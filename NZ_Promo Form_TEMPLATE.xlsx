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cgear.sharepoint.com/sites/Product/Files/ADMIN FOLDER/Promo Forms and Brand Claims/"/>
    </mc:Choice>
  </mc:AlternateContent>
  <xr:revisionPtr revIDLastSave="1759" documentId="8_{1BD9E5FD-5813-7141-BB75-890E847A17F1}" xr6:coauthVersionLast="47" xr6:coauthVersionMax="47" xr10:uidLastSave="{338CD18C-6958-7445-99CD-A42538A25A9C}"/>
  <bookViews>
    <workbookView xWindow="0" yWindow="880" windowWidth="36000" windowHeight="20980" xr2:uid="{D7B7AAA3-4846-8540-8E38-4AD6CD62D704}"/>
  </bookViews>
  <sheets>
    <sheet name="Promo Form" sheetId="1" r:id="rId1"/>
    <sheet name="Sales Copy" sheetId="6" r:id="rId2"/>
    <sheet name="Vendor Copy" sheetId="7" r:id="rId3"/>
    <sheet name="Data Validation" sheetId="3" r:id="rId4"/>
    <sheet name="Master Price Level NZ" sheetId="10" r:id="rId5"/>
    <sheet name="Merge" sheetId="11" state="hidden" r:id="rId6"/>
    <sheet name="ST" sheetId="13" r:id="rId7"/>
    <sheet name="Sell Through" sheetId="9" state="hidden" r:id="rId8"/>
  </sheets>
  <definedNames>
    <definedName name="ExternalData_1" localSheetId="5" hidden="1">Merge!$A$1:$K$3305</definedName>
    <definedName name="ExternalData_1" localSheetId="6" hidden="1">ST!$A$1:$H$1501</definedName>
    <definedName name="ExternalData_2" localSheetId="4" hidden="1">'Master Price Level NZ'!$A$1:$Z$2671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6" i="1" l="1"/>
  <c r="CM6" i="1" s="1"/>
  <c r="CG6" i="1" a="1"/>
  <c r="CG6" i="1" s="1"/>
  <c r="CH6" i="1" s="1"/>
  <c r="CA6" i="1" a="1"/>
  <c r="CA6" i="1" s="1"/>
  <c r="BZ6" i="1" a="1"/>
  <c r="BZ6" i="1" s="1"/>
  <c r="BU6" i="1" a="1"/>
  <c r="BU6" i="1" s="1"/>
  <c r="BV6" i="1" s="1"/>
  <c r="BO6" i="1"/>
  <c r="BQ6" i="1" s="1"/>
  <c r="BO6" i="1" a="1"/>
  <c r="BN6" i="1" a="1"/>
  <c r="BN6" i="1" s="1"/>
  <c r="BI6" i="1" a="1"/>
  <c r="BI6" i="1" s="1"/>
  <c r="BJ6" i="1" s="1"/>
  <c r="BC6" i="1" a="1"/>
  <c r="BC6" i="1" s="1"/>
  <c r="BB6" i="1" a="1"/>
  <c r="BB6" i="1" s="1"/>
  <c r="AW6" i="1" a="1"/>
  <c r="AW6" i="1" s="1"/>
  <c r="AX6" i="1" s="1"/>
  <c r="AQ6" i="1" a="1"/>
  <c r="AQ6" i="1" s="1"/>
  <c r="AP6" i="1"/>
  <c r="AP6" i="1" a="1"/>
  <c r="AK6" i="1"/>
  <c r="AL6" i="1" s="1"/>
  <c r="AK6" i="1" a="1"/>
  <c r="AE6" i="1" a="1"/>
  <c r="AE6" i="1" s="1"/>
  <c r="AD6" i="1" a="1"/>
  <c r="AD6" i="1" s="1"/>
  <c r="Y6" i="1" a="1"/>
  <c r="Y6" i="1" s="1"/>
  <c r="Z6" i="1" s="1"/>
  <c r="S6" i="1" a="1"/>
  <c r="S6" i="1" s="1"/>
  <c r="R6" i="1" a="1"/>
  <c r="R6" i="1" s="1"/>
  <c r="M6" i="1" a="1"/>
  <c r="M6" i="1" s="1"/>
  <c r="N6" i="1" s="1"/>
  <c r="G6" i="1" a="1"/>
  <c r="G6" i="1" s="1"/>
  <c r="AK5" i="1" a="1"/>
  <c r="AK5" i="1" s="1"/>
  <c r="AL5" i="1" s="1"/>
  <c r="AW5" i="1" a="1"/>
  <c r="AW5" i="1" s="1"/>
  <c r="AX5" i="1" s="1"/>
  <c r="Y5" i="1" a="1"/>
  <c r="Y5" i="1" s="1"/>
  <c r="Z5" i="1" s="1"/>
  <c r="S5" i="1" a="1"/>
  <c r="S5" i="1" s="1"/>
  <c r="AK27" i="1" a="1"/>
  <c r="AK27" i="1" s="1"/>
  <c r="AK26" i="1" a="1"/>
  <c r="AK26" i="1" s="1"/>
  <c r="AK25" i="1" a="1"/>
  <c r="AK25" i="1" s="1"/>
  <c r="AK24" i="1" a="1"/>
  <c r="AK24" i="1" s="1"/>
  <c r="AK23" i="1" a="1"/>
  <c r="AK23" i="1" s="1"/>
  <c r="AK22" i="1" a="1"/>
  <c r="AK22" i="1" s="1"/>
  <c r="AK21" i="1" a="1"/>
  <c r="AK21" i="1" s="1"/>
  <c r="AK20" i="1" a="1"/>
  <c r="AK20" i="1" s="1"/>
  <c r="AK19" i="1" a="1"/>
  <c r="AK19" i="1" s="1"/>
  <c r="CG27" i="1" a="1"/>
  <c r="CG27" i="1" s="1"/>
  <c r="CG26" i="1" a="1"/>
  <c r="CG26" i="1" s="1"/>
  <c r="CG25" i="1" a="1"/>
  <c r="CG25" i="1" s="1"/>
  <c r="CG24" i="1" a="1"/>
  <c r="CG24" i="1" s="1"/>
  <c r="CG23" i="1" a="1"/>
  <c r="CG23" i="1" s="1"/>
  <c r="CG22" i="1" a="1"/>
  <c r="CG22" i="1" s="1"/>
  <c r="CG21" i="1" a="1"/>
  <c r="CG21" i="1" s="1"/>
  <c r="CG20" i="1" a="1"/>
  <c r="CG20" i="1" s="1"/>
  <c r="CG19" i="1" a="1"/>
  <c r="CG19" i="1" s="1"/>
  <c r="CG18" i="1" a="1"/>
  <c r="CG18" i="1" s="1"/>
  <c r="CG17" i="1" a="1"/>
  <c r="CG17" i="1" s="1"/>
  <c r="CG16" i="1" a="1"/>
  <c r="CG16" i="1" s="1"/>
  <c r="CG15" i="1" a="1"/>
  <c r="CG15" i="1" s="1"/>
  <c r="CG14" i="1" a="1"/>
  <c r="CG14" i="1" s="1"/>
  <c r="CG13" i="1" a="1"/>
  <c r="CG13" i="1" s="1"/>
  <c r="CG12" i="1" a="1"/>
  <c r="CG12" i="1" s="1"/>
  <c r="CG11" i="1" a="1"/>
  <c r="CG11" i="1" s="1"/>
  <c r="CG10" i="1" a="1"/>
  <c r="CG10" i="1" s="1"/>
  <c r="CG9" i="1" a="1"/>
  <c r="CG9" i="1" s="1"/>
  <c r="CG8" i="1" a="1"/>
  <c r="CG8" i="1" s="1"/>
  <c r="CG7" i="1" a="1"/>
  <c r="CG7" i="1" s="1"/>
  <c r="BU27" i="1" a="1"/>
  <c r="BU27" i="1" s="1"/>
  <c r="BU26" i="1" a="1"/>
  <c r="BU26" i="1" s="1"/>
  <c r="BU25" i="1" a="1"/>
  <c r="BU25" i="1" s="1"/>
  <c r="BU24" i="1" a="1"/>
  <c r="BU24" i="1" s="1"/>
  <c r="BU23" i="1" a="1"/>
  <c r="BU23" i="1" s="1"/>
  <c r="BU22" i="1" a="1"/>
  <c r="BU22" i="1" s="1"/>
  <c r="BU21" i="1" a="1"/>
  <c r="BU21" i="1" s="1"/>
  <c r="BU20" i="1" a="1"/>
  <c r="BU20" i="1" s="1"/>
  <c r="BU19" i="1" a="1"/>
  <c r="BU19" i="1" s="1"/>
  <c r="BU18" i="1" a="1"/>
  <c r="BU18" i="1" s="1"/>
  <c r="BU17" i="1" a="1"/>
  <c r="BU17" i="1" s="1"/>
  <c r="BU16" i="1" a="1"/>
  <c r="BU16" i="1" s="1"/>
  <c r="BU15" i="1" a="1"/>
  <c r="BU15" i="1" s="1"/>
  <c r="BU14" i="1" a="1"/>
  <c r="BU14" i="1" s="1"/>
  <c r="BU13" i="1" a="1"/>
  <c r="BU13" i="1" s="1"/>
  <c r="BU12" i="1" a="1"/>
  <c r="BU12" i="1" s="1"/>
  <c r="BU11" i="1" a="1"/>
  <c r="BU11" i="1" s="1"/>
  <c r="BU10" i="1" a="1"/>
  <c r="BU10" i="1" s="1"/>
  <c r="BU9" i="1" a="1"/>
  <c r="BU9" i="1" s="1"/>
  <c r="BU8" i="1" a="1"/>
  <c r="BU8" i="1" s="1"/>
  <c r="BU7" i="1" a="1"/>
  <c r="BU7" i="1" s="1"/>
  <c r="BI27" i="1" a="1"/>
  <c r="BI27" i="1" s="1"/>
  <c r="BI26" i="1" a="1"/>
  <c r="BI26" i="1" s="1"/>
  <c r="BI25" i="1" a="1"/>
  <c r="BI25" i="1" s="1"/>
  <c r="BI24" i="1" a="1"/>
  <c r="BI24" i="1" s="1"/>
  <c r="BI23" i="1" a="1"/>
  <c r="BI23" i="1" s="1"/>
  <c r="BI22" i="1" a="1"/>
  <c r="BI22" i="1" s="1"/>
  <c r="BI21" i="1" a="1"/>
  <c r="BI21" i="1" s="1"/>
  <c r="BI20" i="1" a="1"/>
  <c r="BI20" i="1" s="1"/>
  <c r="BI19" i="1" a="1"/>
  <c r="BI19" i="1" s="1"/>
  <c r="BI18" i="1" a="1"/>
  <c r="BI18" i="1" s="1"/>
  <c r="BI17" i="1" a="1"/>
  <c r="BI17" i="1" s="1"/>
  <c r="BI16" i="1" a="1"/>
  <c r="BI16" i="1" s="1"/>
  <c r="BI15" i="1" a="1"/>
  <c r="BI15" i="1" s="1"/>
  <c r="BI14" i="1" a="1"/>
  <c r="BI14" i="1" s="1"/>
  <c r="BI13" i="1" a="1"/>
  <c r="BI13" i="1" s="1"/>
  <c r="BI12" i="1" a="1"/>
  <c r="BI12" i="1" s="1"/>
  <c r="BI11" i="1" a="1"/>
  <c r="BI11" i="1" s="1"/>
  <c r="BI10" i="1" a="1"/>
  <c r="BI10" i="1" s="1"/>
  <c r="BI9" i="1" a="1"/>
  <c r="BI9" i="1" s="1"/>
  <c r="BI8" i="1" a="1"/>
  <c r="BI8" i="1" s="1"/>
  <c r="BI7" i="1" a="1"/>
  <c r="BI7" i="1" s="1"/>
  <c r="AW27" i="1" a="1"/>
  <c r="AW27" i="1" s="1"/>
  <c r="AW26" i="1" a="1"/>
  <c r="AW26" i="1" s="1"/>
  <c r="AW25" i="1" a="1"/>
  <c r="AW25" i="1" s="1"/>
  <c r="AW24" i="1" a="1"/>
  <c r="AW24" i="1" s="1"/>
  <c r="AW23" i="1" a="1"/>
  <c r="AW23" i="1" s="1"/>
  <c r="AW22" i="1" a="1"/>
  <c r="AW22" i="1" s="1"/>
  <c r="AW21" i="1" a="1"/>
  <c r="AW21" i="1" s="1"/>
  <c r="AW20" i="1" a="1"/>
  <c r="AW20" i="1" s="1"/>
  <c r="AW19" i="1" a="1"/>
  <c r="AW19" i="1" s="1"/>
  <c r="AW18" i="1" a="1"/>
  <c r="AW18" i="1" s="1"/>
  <c r="AW17" i="1" a="1"/>
  <c r="AW17" i="1" s="1"/>
  <c r="AW16" i="1" a="1"/>
  <c r="AW16" i="1" s="1"/>
  <c r="AW15" i="1" a="1"/>
  <c r="AW15" i="1" s="1"/>
  <c r="AW14" i="1" a="1"/>
  <c r="AW14" i="1" s="1"/>
  <c r="AW13" i="1" a="1"/>
  <c r="AW13" i="1" s="1"/>
  <c r="AW12" i="1" a="1"/>
  <c r="AW12" i="1" s="1"/>
  <c r="AW11" i="1" a="1"/>
  <c r="AW11" i="1" s="1"/>
  <c r="AW10" i="1" a="1"/>
  <c r="AW10" i="1" s="1"/>
  <c r="AW9" i="1" a="1"/>
  <c r="AW9" i="1" s="1"/>
  <c r="AW8" i="1" a="1"/>
  <c r="AW8" i="1" s="1"/>
  <c r="AW7" i="1" a="1"/>
  <c r="AW7" i="1" s="1"/>
  <c r="AK18" i="1" a="1"/>
  <c r="AK18" i="1" s="1"/>
  <c r="AK17" i="1" a="1"/>
  <c r="AK17" i="1" s="1"/>
  <c r="AK16" i="1" a="1"/>
  <c r="AK16" i="1" s="1"/>
  <c r="AK15" i="1" a="1"/>
  <c r="AK15" i="1" s="1"/>
  <c r="AK14" i="1" a="1"/>
  <c r="AK14" i="1" s="1"/>
  <c r="AK13" i="1" a="1"/>
  <c r="AK13" i="1" s="1"/>
  <c r="AK12" i="1" a="1"/>
  <c r="AK12" i="1" s="1"/>
  <c r="AK11" i="1" a="1"/>
  <c r="AK11" i="1" s="1"/>
  <c r="AK10" i="1" a="1"/>
  <c r="AK10" i="1" s="1"/>
  <c r="AK9" i="1" a="1"/>
  <c r="AK9" i="1" s="1"/>
  <c r="AK8" i="1" a="1"/>
  <c r="AK8" i="1" s="1"/>
  <c r="AK7" i="1" a="1"/>
  <c r="AK7" i="1" s="1"/>
  <c r="Y27" i="1" a="1"/>
  <c r="Y27" i="1" s="1"/>
  <c r="Y26" i="1" a="1"/>
  <c r="Y26" i="1" s="1"/>
  <c r="Y25" i="1" a="1"/>
  <c r="Y25" i="1" s="1"/>
  <c r="Y24" i="1" a="1"/>
  <c r="Y24" i="1" s="1"/>
  <c r="Y23" i="1" a="1"/>
  <c r="Y23" i="1" s="1"/>
  <c r="Y22" i="1" a="1"/>
  <c r="Y22" i="1" s="1"/>
  <c r="Y21" i="1" a="1"/>
  <c r="Y21" i="1" s="1"/>
  <c r="Y20" i="1" a="1"/>
  <c r="Y20" i="1" s="1"/>
  <c r="Y19" i="1" a="1"/>
  <c r="Y19" i="1" s="1"/>
  <c r="Y18" i="1" a="1"/>
  <c r="Y18" i="1" s="1"/>
  <c r="Y17" i="1" a="1"/>
  <c r="Y17" i="1" s="1"/>
  <c r="Y16" i="1" a="1"/>
  <c r="Y16" i="1" s="1"/>
  <c r="Y15" i="1" a="1"/>
  <c r="Y15" i="1" s="1"/>
  <c r="Y14" i="1" a="1"/>
  <c r="Y14" i="1" s="1"/>
  <c r="Y13" i="1" a="1"/>
  <c r="Y13" i="1" s="1"/>
  <c r="Y12" i="1" a="1"/>
  <c r="Y12" i="1" s="1"/>
  <c r="Y11" i="1" a="1"/>
  <c r="Y11" i="1" s="1"/>
  <c r="Y10" i="1" a="1"/>
  <c r="Y10" i="1" s="1"/>
  <c r="Y9" i="1" a="1"/>
  <c r="Y9" i="1" s="1"/>
  <c r="Y8" i="1" a="1"/>
  <c r="Y8" i="1" s="1"/>
  <c r="Y7" i="1" a="1"/>
  <c r="Y7" i="1" s="1"/>
  <c r="CG5" i="1" a="1"/>
  <c r="CG5" i="1" s="1"/>
  <c r="CH5" i="1" s="1"/>
  <c r="BU5" i="1" a="1"/>
  <c r="BU5" i="1" s="1"/>
  <c r="BV5" i="1" s="1"/>
  <c r="BI5" i="1" a="1"/>
  <c r="BI5" i="1" s="1"/>
  <c r="BJ5" i="1" s="1"/>
  <c r="M5" i="1" a="1"/>
  <c r="M5" i="1" s="1"/>
  <c r="N5" i="1" s="1"/>
  <c r="M27" i="1" a="1"/>
  <c r="M27" i="1" s="1"/>
  <c r="M26" i="1" a="1"/>
  <c r="M26" i="1" s="1"/>
  <c r="M25" i="1" a="1"/>
  <c r="M25" i="1" s="1"/>
  <c r="M24" i="1" a="1"/>
  <c r="M24" i="1" s="1"/>
  <c r="M23" i="1" a="1"/>
  <c r="M23" i="1" s="1"/>
  <c r="M22" i="1" a="1"/>
  <c r="M22" i="1" s="1"/>
  <c r="M21" i="1" a="1"/>
  <c r="M21" i="1" s="1"/>
  <c r="M20" i="1" a="1"/>
  <c r="M20" i="1" s="1"/>
  <c r="M19" i="1" a="1"/>
  <c r="M19" i="1" s="1"/>
  <c r="M18" i="1" a="1"/>
  <c r="M18" i="1" s="1"/>
  <c r="M17" i="1" a="1"/>
  <c r="M17" i="1" s="1"/>
  <c r="M16" i="1" a="1"/>
  <c r="M16" i="1" s="1"/>
  <c r="M15" i="1" a="1"/>
  <c r="M15" i="1" s="1"/>
  <c r="M14" i="1" a="1"/>
  <c r="M14" i="1" s="1"/>
  <c r="M13" i="1" a="1"/>
  <c r="M13" i="1" s="1"/>
  <c r="M12" i="1" a="1"/>
  <c r="M12" i="1" s="1"/>
  <c r="M11" i="1" a="1"/>
  <c r="M11" i="1" s="1"/>
  <c r="M10" i="1" a="1"/>
  <c r="M10" i="1" s="1"/>
  <c r="M9" i="1" a="1"/>
  <c r="M9" i="1" s="1"/>
  <c r="M8" i="1" a="1"/>
  <c r="M8" i="1" s="1"/>
  <c r="M7" i="1" a="1"/>
  <c r="M7" i="1" s="1"/>
  <c r="AG6" i="1" l="1"/>
  <c r="AF6" i="1"/>
  <c r="AH6" i="1" s="1"/>
  <c r="BE6" i="1"/>
  <c r="BD6" i="1"/>
  <c r="BF6" i="1" s="1"/>
  <c r="BX6" i="1"/>
  <c r="BW6" i="1"/>
  <c r="BL6" i="1"/>
  <c r="BK6" i="1"/>
  <c r="I6" i="1"/>
  <c r="H6" i="1"/>
  <c r="J6" i="1" s="1"/>
  <c r="P6" i="1"/>
  <c r="O6" i="1"/>
  <c r="AS6" i="1"/>
  <c r="AR6" i="1"/>
  <c r="AT6" i="1" s="1"/>
  <c r="CC6" i="1"/>
  <c r="CJ6" i="1" s="1"/>
  <c r="CB6" i="1"/>
  <c r="CD6" i="1" s="1"/>
  <c r="AZ6" i="1"/>
  <c r="AY6" i="1"/>
  <c r="AN6" i="1"/>
  <c r="AM6" i="1"/>
  <c r="U6" i="1"/>
  <c r="AB6" i="1" s="1"/>
  <c r="T6" i="1"/>
  <c r="V6" i="1" s="1"/>
  <c r="AJ6" i="1"/>
  <c r="BH6" i="1"/>
  <c r="CF6" i="1"/>
  <c r="X6" i="1"/>
  <c r="L6" i="1"/>
  <c r="W6" i="1"/>
  <c r="CE6" i="1"/>
  <c r="BG6" i="1"/>
  <c r="BP6" i="1"/>
  <c r="BR6" i="1" s="1"/>
  <c r="AI6" i="1"/>
  <c r="K6" i="1"/>
  <c r="BS6" i="1"/>
  <c r="AU6" i="1"/>
  <c r="U5" i="1"/>
  <c r="T5" i="1"/>
  <c r="CA27" i="1" a="1"/>
  <c r="CA27" i="1" s="1"/>
  <c r="CA26" i="1" a="1"/>
  <c r="CA26" i="1" s="1"/>
  <c r="CA25" i="1" a="1"/>
  <c r="CA25" i="1" s="1"/>
  <c r="CA24" i="1" a="1"/>
  <c r="CA24" i="1" s="1"/>
  <c r="CA23" i="1" a="1"/>
  <c r="CA23" i="1" s="1"/>
  <c r="CA22" i="1" a="1"/>
  <c r="CA22" i="1" s="1"/>
  <c r="CA21" i="1" a="1"/>
  <c r="CA21" i="1" s="1"/>
  <c r="CA20" i="1" a="1"/>
  <c r="CA20" i="1" s="1"/>
  <c r="CA19" i="1" a="1"/>
  <c r="CA19" i="1" s="1"/>
  <c r="CA18" i="1" a="1"/>
  <c r="CA18" i="1" s="1"/>
  <c r="CA17" i="1" a="1"/>
  <c r="CA17" i="1" s="1"/>
  <c r="CA16" i="1" a="1"/>
  <c r="CA16" i="1" s="1"/>
  <c r="CA15" i="1" a="1"/>
  <c r="CA15" i="1" s="1"/>
  <c r="CA14" i="1" a="1"/>
  <c r="CA14" i="1" s="1"/>
  <c r="CA13" i="1" a="1"/>
  <c r="CA13" i="1" s="1"/>
  <c r="CA12" i="1" a="1"/>
  <c r="CA12" i="1" s="1"/>
  <c r="CA11" i="1" a="1"/>
  <c r="CA11" i="1" s="1"/>
  <c r="CA10" i="1" a="1"/>
  <c r="CA10" i="1" s="1"/>
  <c r="CA9" i="1" a="1"/>
  <c r="CA9" i="1" s="1"/>
  <c r="CA8" i="1" a="1"/>
  <c r="CA8" i="1" s="1"/>
  <c r="CA7" i="1" a="1"/>
  <c r="CA7" i="1" s="1"/>
  <c r="CA5" i="1" a="1"/>
  <c r="CA5" i="1" s="1"/>
  <c r="BO27" i="1" a="1"/>
  <c r="BO27" i="1" s="1"/>
  <c r="BO26" i="1" a="1"/>
  <c r="BO26" i="1" s="1"/>
  <c r="BO25" i="1" a="1"/>
  <c r="BO25" i="1" s="1"/>
  <c r="BO24" i="1" a="1"/>
  <c r="BO24" i="1" s="1"/>
  <c r="BO23" i="1" a="1"/>
  <c r="BO23" i="1" s="1"/>
  <c r="BO22" i="1" a="1"/>
  <c r="BO22" i="1" s="1"/>
  <c r="BO21" i="1" a="1"/>
  <c r="BO21" i="1" s="1"/>
  <c r="BO20" i="1" a="1"/>
  <c r="BO20" i="1" s="1"/>
  <c r="BO19" i="1" a="1"/>
  <c r="BO19" i="1" s="1"/>
  <c r="BO18" i="1" a="1"/>
  <c r="BO18" i="1" s="1"/>
  <c r="BO17" i="1" a="1"/>
  <c r="BO17" i="1" s="1"/>
  <c r="BO16" i="1" a="1"/>
  <c r="BO16" i="1" s="1"/>
  <c r="BO15" i="1" a="1"/>
  <c r="BO15" i="1" s="1"/>
  <c r="BO14" i="1" a="1"/>
  <c r="BO14" i="1" s="1"/>
  <c r="BO13" i="1" a="1"/>
  <c r="BO13" i="1" s="1"/>
  <c r="BO12" i="1" a="1"/>
  <c r="BO12" i="1" s="1"/>
  <c r="BO11" i="1" a="1"/>
  <c r="BO11" i="1" s="1"/>
  <c r="BO10" i="1" a="1"/>
  <c r="BO10" i="1" s="1"/>
  <c r="BO9" i="1" a="1"/>
  <c r="BO9" i="1" s="1"/>
  <c r="BO8" i="1" a="1"/>
  <c r="BO8" i="1" s="1"/>
  <c r="BO7" i="1" a="1"/>
  <c r="BO7" i="1" s="1"/>
  <c r="BO5" i="1" a="1"/>
  <c r="BO5" i="1" s="1"/>
  <c r="BC27" i="1" a="1"/>
  <c r="BC27" i="1" s="1"/>
  <c r="BC26" i="1" a="1"/>
  <c r="BC26" i="1" s="1"/>
  <c r="BC25" i="1" a="1"/>
  <c r="BC25" i="1" s="1"/>
  <c r="BC24" i="1" a="1"/>
  <c r="BC24" i="1" s="1"/>
  <c r="BC23" i="1" a="1"/>
  <c r="BC23" i="1" s="1"/>
  <c r="BC22" i="1" a="1"/>
  <c r="BC22" i="1" s="1"/>
  <c r="BC21" i="1" a="1"/>
  <c r="BC21" i="1" s="1"/>
  <c r="BC20" i="1" a="1"/>
  <c r="BC20" i="1" s="1"/>
  <c r="BC19" i="1" a="1"/>
  <c r="BC19" i="1" s="1"/>
  <c r="BC18" i="1" a="1"/>
  <c r="BC18" i="1" s="1"/>
  <c r="BC17" i="1" a="1"/>
  <c r="BC17" i="1" s="1"/>
  <c r="BC16" i="1" a="1"/>
  <c r="BC16" i="1" s="1"/>
  <c r="BC15" i="1" a="1"/>
  <c r="BC15" i="1" s="1"/>
  <c r="BC14" i="1" a="1"/>
  <c r="BC14" i="1" s="1"/>
  <c r="BC13" i="1" a="1"/>
  <c r="BC13" i="1" s="1"/>
  <c r="BC12" i="1" a="1"/>
  <c r="BC12" i="1" s="1"/>
  <c r="BC11" i="1" a="1"/>
  <c r="BC11" i="1" s="1"/>
  <c r="BC10" i="1" a="1"/>
  <c r="BC10" i="1" s="1"/>
  <c r="BC9" i="1" a="1"/>
  <c r="BC9" i="1" s="1"/>
  <c r="BC8" i="1" a="1"/>
  <c r="BC8" i="1" s="1"/>
  <c r="BC7" i="1" a="1"/>
  <c r="BC7" i="1" s="1"/>
  <c r="BC5" i="1" a="1"/>
  <c r="BC5" i="1" s="1"/>
  <c r="AQ27" i="1" a="1"/>
  <c r="AQ27" i="1" s="1"/>
  <c r="AQ26" i="1" a="1"/>
  <c r="AQ26" i="1" s="1"/>
  <c r="AQ25" i="1" a="1"/>
  <c r="AQ25" i="1" s="1"/>
  <c r="AQ24" i="1" a="1"/>
  <c r="AQ24" i="1" s="1"/>
  <c r="AQ23" i="1" a="1"/>
  <c r="AQ23" i="1" s="1"/>
  <c r="AQ22" i="1" a="1"/>
  <c r="AQ22" i="1" s="1"/>
  <c r="AQ21" i="1" a="1"/>
  <c r="AQ21" i="1" s="1"/>
  <c r="AQ20" i="1" a="1"/>
  <c r="AQ20" i="1" s="1"/>
  <c r="AQ19" i="1" a="1"/>
  <c r="AQ19" i="1" s="1"/>
  <c r="AQ18" i="1" a="1"/>
  <c r="AQ18" i="1" s="1"/>
  <c r="AQ17" i="1" a="1"/>
  <c r="AQ17" i="1" s="1"/>
  <c r="AQ16" i="1" a="1"/>
  <c r="AQ16" i="1" s="1"/>
  <c r="AQ15" i="1" a="1"/>
  <c r="AQ15" i="1" s="1"/>
  <c r="AQ14" i="1" a="1"/>
  <c r="AQ14" i="1" s="1"/>
  <c r="AQ13" i="1" a="1"/>
  <c r="AQ13" i="1" s="1"/>
  <c r="AQ12" i="1" a="1"/>
  <c r="AQ12" i="1" s="1"/>
  <c r="AQ11" i="1" a="1"/>
  <c r="AQ11" i="1" s="1"/>
  <c r="AQ10" i="1" a="1"/>
  <c r="AQ10" i="1" s="1"/>
  <c r="AQ9" i="1" a="1"/>
  <c r="AQ9" i="1" s="1"/>
  <c r="AQ8" i="1" a="1"/>
  <c r="AQ8" i="1" s="1"/>
  <c r="AQ7" i="1" a="1"/>
  <c r="AQ7" i="1" s="1"/>
  <c r="AQ5" i="1" a="1"/>
  <c r="AQ5" i="1" s="1"/>
  <c r="AE27" i="1" a="1"/>
  <c r="AE27" i="1" s="1"/>
  <c r="AE26" i="1" a="1"/>
  <c r="AE26" i="1" s="1"/>
  <c r="AE25" i="1" a="1"/>
  <c r="AE25" i="1" s="1"/>
  <c r="AE24" i="1" a="1"/>
  <c r="AE24" i="1" s="1"/>
  <c r="AE23" i="1" a="1"/>
  <c r="AE23" i="1" s="1"/>
  <c r="AE22" i="1" a="1"/>
  <c r="AE22" i="1" s="1"/>
  <c r="AE21" i="1" a="1"/>
  <c r="AE21" i="1" s="1"/>
  <c r="AE20" i="1" a="1"/>
  <c r="AE20" i="1" s="1"/>
  <c r="AE19" i="1" a="1"/>
  <c r="AE19" i="1" s="1"/>
  <c r="AE18" i="1" a="1"/>
  <c r="AE18" i="1" s="1"/>
  <c r="AE17" i="1" a="1"/>
  <c r="AE17" i="1" s="1"/>
  <c r="AE16" i="1" a="1"/>
  <c r="AE16" i="1" s="1"/>
  <c r="AE15" i="1" a="1"/>
  <c r="AE15" i="1" s="1"/>
  <c r="AE14" i="1" a="1"/>
  <c r="AE14" i="1" s="1"/>
  <c r="AE13" i="1" a="1"/>
  <c r="AE13" i="1" s="1"/>
  <c r="AE12" i="1" a="1"/>
  <c r="AE12" i="1" s="1"/>
  <c r="AE11" i="1" a="1"/>
  <c r="AE11" i="1" s="1"/>
  <c r="AE10" i="1" a="1"/>
  <c r="AE10" i="1" s="1"/>
  <c r="AE9" i="1" a="1"/>
  <c r="AE9" i="1" s="1"/>
  <c r="AE8" i="1" a="1"/>
  <c r="AE8" i="1" s="1"/>
  <c r="AE7" i="1" a="1"/>
  <c r="AE7" i="1" s="1"/>
  <c r="AE5" i="1" a="1"/>
  <c r="AE5" i="1" s="1"/>
  <c r="S27" i="1" a="1"/>
  <c r="S27" i="1" s="1"/>
  <c r="S26" i="1" a="1"/>
  <c r="S26" i="1" s="1"/>
  <c r="S25" i="1" a="1"/>
  <c r="S25" i="1" s="1"/>
  <c r="S24" i="1" a="1"/>
  <c r="S24" i="1" s="1"/>
  <c r="S23" i="1" a="1"/>
  <c r="S23" i="1" s="1"/>
  <c r="S22" i="1" a="1"/>
  <c r="S22" i="1" s="1"/>
  <c r="S21" i="1" a="1"/>
  <c r="S21" i="1" s="1"/>
  <c r="S20" i="1" a="1"/>
  <c r="S20" i="1" s="1"/>
  <c r="S19" i="1" a="1"/>
  <c r="S19" i="1" s="1"/>
  <c r="S18" i="1" a="1"/>
  <c r="S18" i="1" s="1"/>
  <c r="S17" i="1" a="1"/>
  <c r="S17" i="1" s="1"/>
  <c r="S16" i="1" a="1"/>
  <c r="S16" i="1" s="1"/>
  <c r="S15" i="1" a="1"/>
  <c r="S15" i="1" s="1"/>
  <c r="S14" i="1" a="1"/>
  <c r="S14" i="1" s="1"/>
  <c r="S13" i="1" a="1"/>
  <c r="S13" i="1" s="1"/>
  <c r="S12" i="1" a="1"/>
  <c r="S12" i="1" s="1"/>
  <c r="S11" i="1" a="1"/>
  <c r="S11" i="1" s="1"/>
  <c r="S10" i="1" a="1"/>
  <c r="S10" i="1" s="1"/>
  <c r="S9" i="1" a="1"/>
  <c r="S9" i="1" s="1"/>
  <c r="S8" i="1" a="1"/>
  <c r="S8" i="1" s="1"/>
  <c r="S7" i="1" a="1"/>
  <c r="S7" i="1" s="1"/>
  <c r="G27" i="1" a="1"/>
  <c r="G27" i="1" s="1"/>
  <c r="G26" i="1" a="1"/>
  <c r="G26" i="1" s="1"/>
  <c r="G25" i="1" a="1"/>
  <c r="G25" i="1" s="1"/>
  <c r="G24" i="1" a="1"/>
  <c r="G24" i="1" s="1"/>
  <c r="G23" i="1" a="1"/>
  <c r="G23" i="1" s="1"/>
  <c r="G22" i="1" a="1"/>
  <c r="G22" i="1" s="1"/>
  <c r="G21" i="1" a="1"/>
  <c r="G21" i="1" s="1"/>
  <c r="G20" i="1" a="1"/>
  <c r="G20" i="1" s="1"/>
  <c r="G19" i="1" a="1"/>
  <c r="G19" i="1" s="1"/>
  <c r="G18" i="1" a="1"/>
  <c r="G18" i="1" s="1"/>
  <c r="G17" i="1" a="1"/>
  <c r="G17" i="1" s="1"/>
  <c r="G16" i="1" a="1"/>
  <c r="G16" i="1" s="1"/>
  <c r="G15" i="1" a="1"/>
  <c r="G15" i="1" s="1"/>
  <c r="G14" i="1" a="1"/>
  <c r="G14" i="1" s="1"/>
  <c r="G13" i="1" a="1"/>
  <c r="G13" i="1" s="1"/>
  <c r="G12" i="1" a="1"/>
  <c r="G12" i="1" s="1"/>
  <c r="G11" i="1" a="1"/>
  <c r="G11" i="1" s="1"/>
  <c r="G10" i="1" a="1"/>
  <c r="G10" i="1" s="1"/>
  <c r="G9" i="1" a="1"/>
  <c r="G9" i="1" s="1"/>
  <c r="G8" i="1" a="1"/>
  <c r="G8" i="1" s="1"/>
  <c r="G7" i="1" a="1"/>
  <c r="G7" i="1" s="1"/>
  <c r="G5" i="1" a="1"/>
  <c r="G5" i="1" s="1"/>
  <c r="AV6" i="1" l="1"/>
  <c r="AA6" i="1"/>
  <c r="CI6" i="1"/>
  <c r="BT6" i="1"/>
  <c r="AG5" i="1"/>
  <c r="AF5" i="1"/>
  <c r="AS5" i="1"/>
  <c r="AR5" i="1"/>
  <c r="I5" i="1"/>
  <c r="H5" i="1"/>
  <c r="BQ5" i="1"/>
  <c r="BP5" i="1"/>
  <c r="BE5" i="1"/>
  <c r="BD5" i="1"/>
  <c r="CC5" i="1"/>
  <c r="CB5" i="1"/>
  <c r="BB26" i="6"/>
  <c r="AT26" i="6"/>
  <c r="AL26" i="6"/>
  <c r="AD26" i="6"/>
  <c r="V26" i="6"/>
  <c r="N26" i="6"/>
  <c r="F26" i="6"/>
  <c r="B6" i="1"/>
  <c r="A6" i="1"/>
  <c r="BC3" i="6"/>
  <c r="AU3" i="6"/>
  <c r="AM3" i="6"/>
  <c r="AE3" i="6"/>
  <c r="W3" i="6"/>
  <c r="O3" i="6"/>
  <c r="G3" i="6"/>
  <c r="D28" i="1"/>
  <c r="CH27" i="1"/>
  <c r="CH26" i="1"/>
  <c r="CH25" i="1"/>
  <c r="CH24" i="1"/>
  <c r="CH23" i="1"/>
  <c r="CH22" i="1"/>
  <c r="CH21" i="1"/>
  <c r="CH20" i="1"/>
  <c r="CH19" i="1"/>
  <c r="CH18" i="1"/>
  <c r="CH17" i="1"/>
  <c r="CH16" i="1"/>
  <c r="CH15" i="1"/>
  <c r="CH14" i="1"/>
  <c r="CH13" i="1"/>
  <c r="CH12" i="1"/>
  <c r="CH11" i="1"/>
  <c r="CH10" i="1"/>
  <c r="CH9" i="1"/>
  <c r="CH8" i="1"/>
  <c r="CH7" i="1"/>
  <c r="BV27" i="1"/>
  <c r="BV26" i="1"/>
  <c r="BV25" i="1"/>
  <c r="BV24" i="1"/>
  <c r="BV23" i="1"/>
  <c r="BV22" i="1"/>
  <c r="BV21" i="1"/>
  <c r="BV20" i="1"/>
  <c r="BV19" i="1"/>
  <c r="BV18" i="1"/>
  <c r="BV17" i="1"/>
  <c r="BV16" i="1"/>
  <c r="BV15" i="1"/>
  <c r="BV14" i="1"/>
  <c r="BV13" i="1"/>
  <c r="BV12" i="1"/>
  <c r="BV11" i="1"/>
  <c r="BV10" i="1"/>
  <c r="BV9" i="1"/>
  <c r="BV8" i="1"/>
  <c r="BV7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  <c r="BJ10" i="1"/>
  <c r="BJ9" i="1"/>
  <c r="BJ8" i="1"/>
  <c r="BJ7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B3" i="1"/>
  <c r="CD3" i="1" l="1"/>
  <c r="CL27" i="1"/>
  <c r="CL26" i="1"/>
  <c r="CL25" i="1"/>
  <c r="CL24" i="1"/>
  <c r="CL23" i="1"/>
  <c r="CL22" i="1"/>
  <c r="CL21" i="1"/>
  <c r="CL20" i="1"/>
  <c r="CL19" i="1"/>
  <c r="CL18" i="1"/>
  <c r="CL17" i="1"/>
  <c r="CL16" i="1"/>
  <c r="CL15" i="1"/>
  <c r="CL14" i="1"/>
  <c r="CL13" i="1"/>
  <c r="CL12" i="1"/>
  <c r="CL11" i="1"/>
  <c r="CL10" i="1"/>
  <c r="CL9" i="1"/>
  <c r="CL8" i="1"/>
  <c r="CL7" i="1"/>
  <c r="R27" i="1" a="1"/>
  <c r="R27" i="1" s="1"/>
  <c r="R26" i="1" a="1"/>
  <c r="R26" i="1" s="1"/>
  <c r="R25" i="1" a="1"/>
  <c r="R25" i="1" s="1"/>
  <c r="R24" i="1" a="1"/>
  <c r="R24" i="1" s="1"/>
  <c r="R23" i="1" a="1"/>
  <c r="R23" i="1" s="1"/>
  <c r="R22" i="1" a="1"/>
  <c r="R22" i="1" s="1"/>
  <c r="R21" i="1" a="1"/>
  <c r="R21" i="1" s="1"/>
  <c r="R20" i="1" a="1"/>
  <c r="R20" i="1" s="1"/>
  <c r="R19" i="1" a="1"/>
  <c r="R19" i="1" s="1"/>
  <c r="R18" i="1" a="1"/>
  <c r="R18" i="1" s="1"/>
  <c r="R17" i="1" a="1"/>
  <c r="R17" i="1" s="1"/>
  <c r="R16" i="1" a="1"/>
  <c r="R16" i="1" s="1"/>
  <c r="R15" i="1" a="1"/>
  <c r="R15" i="1" s="1"/>
  <c r="R14" i="1" a="1"/>
  <c r="R14" i="1" s="1"/>
  <c r="R13" i="1" a="1"/>
  <c r="R13" i="1" s="1"/>
  <c r="R12" i="1" a="1"/>
  <c r="R12" i="1" s="1"/>
  <c r="R11" i="1" a="1"/>
  <c r="R11" i="1" s="1"/>
  <c r="R10" i="1" a="1"/>
  <c r="R10" i="1" s="1"/>
  <c r="R9" i="1" a="1"/>
  <c r="R9" i="1" s="1"/>
  <c r="R8" i="1" a="1"/>
  <c r="R8" i="1" s="1"/>
  <c r="R7" i="1" a="1"/>
  <c r="R7" i="1" s="1"/>
  <c r="CL5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AL23" i="7" l="1"/>
  <c r="AL22" i="7"/>
  <c r="AL21" i="7"/>
  <c r="AL20" i="7"/>
  <c r="AL19" i="7"/>
  <c r="AL18" i="7"/>
  <c r="AL17" i="7"/>
  <c r="AL16" i="7"/>
  <c r="AL15" i="7"/>
  <c r="AL14" i="7"/>
  <c r="AL13" i="7"/>
  <c r="AL12" i="7"/>
  <c r="AL11" i="7"/>
  <c r="AL10" i="7"/>
  <c r="AL9" i="7"/>
  <c r="AL8" i="7"/>
  <c r="AL7" i="7"/>
  <c r="AL6" i="7"/>
  <c r="AD3" i="7"/>
  <c r="Z3" i="7"/>
  <c r="V3" i="7"/>
  <c r="R3" i="7"/>
  <c r="N3" i="7"/>
  <c r="J3" i="7"/>
  <c r="C5" i="6"/>
  <c r="BN23" i="6"/>
  <c r="BN22" i="6"/>
  <c r="BN21" i="6"/>
  <c r="BN20" i="6"/>
  <c r="BN19" i="6"/>
  <c r="BN18" i="6"/>
  <c r="BN17" i="6"/>
  <c r="BN16" i="6"/>
  <c r="BN15" i="6"/>
  <c r="BN14" i="6"/>
  <c r="BN13" i="6"/>
  <c r="BN12" i="6"/>
  <c r="BN11" i="6"/>
  <c r="BN10" i="6"/>
  <c r="BN9" i="6"/>
  <c r="BN8" i="6"/>
  <c r="BN7" i="6"/>
  <c r="BN6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BH24" i="6"/>
  <c r="BF24" i="6"/>
  <c r="AZ24" i="6"/>
  <c r="AX24" i="6"/>
  <c r="AR24" i="6"/>
  <c r="AP24" i="6"/>
  <c r="AJ24" i="6"/>
  <c r="AH24" i="6"/>
  <c r="AB24" i="6"/>
  <c r="Z24" i="6"/>
  <c r="AA5" i="6" l="1"/>
  <c r="BZ27" i="1" a="1"/>
  <c r="BZ27" i="1" s="1"/>
  <c r="BZ26" i="1" a="1"/>
  <c r="BZ26" i="1" s="1"/>
  <c r="BZ25" i="1" a="1"/>
  <c r="BZ25" i="1" s="1"/>
  <c r="BZ24" i="1" a="1"/>
  <c r="BZ24" i="1" s="1"/>
  <c r="BZ23" i="1" a="1"/>
  <c r="BZ23" i="1" s="1"/>
  <c r="BB23" i="6" s="1"/>
  <c r="BZ22" i="1" a="1"/>
  <c r="BZ22" i="1" s="1"/>
  <c r="BB22" i="6" s="1"/>
  <c r="BZ21" i="1" a="1"/>
  <c r="BZ21" i="1" s="1"/>
  <c r="BB21" i="6" s="1"/>
  <c r="BZ20" i="1" a="1"/>
  <c r="BZ20" i="1" s="1"/>
  <c r="BB20" i="6" s="1"/>
  <c r="BZ19" i="1" a="1"/>
  <c r="BZ19" i="1" s="1"/>
  <c r="BB19" i="6" s="1"/>
  <c r="BZ18" i="1" a="1"/>
  <c r="BZ18" i="1" s="1"/>
  <c r="BB18" i="6" s="1"/>
  <c r="BZ17" i="1" a="1"/>
  <c r="BZ17" i="1" s="1"/>
  <c r="BB17" i="6" s="1"/>
  <c r="BZ16" i="1" a="1"/>
  <c r="BZ16" i="1" s="1"/>
  <c r="BB16" i="6" s="1"/>
  <c r="BZ15" i="1" a="1"/>
  <c r="BZ15" i="1" s="1"/>
  <c r="BB15" i="6" s="1"/>
  <c r="BZ14" i="1" a="1"/>
  <c r="BZ14" i="1" s="1"/>
  <c r="BB14" i="6" s="1"/>
  <c r="BZ13" i="1" a="1"/>
  <c r="BZ13" i="1" s="1"/>
  <c r="BB13" i="6" s="1"/>
  <c r="BZ12" i="1" a="1"/>
  <c r="BZ12" i="1" s="1"/>
  <c r="BB12" i="6" s="1"/>
  <c r="BZ11" i="1" a="1"/>
  <c r="BZ11" i="1" s="1"/>
  <c r="BB11" i="6" s="1"/>
  <c r="BZ10" i="1" a="1"/>
  <c r="BZ10" i="1" s="1"/>
  <c r="BB10" i="6" s="1"/>
  <c r="BZ9" i="1" a="1"/>
  <c r="BZ9" i="1" s="1"/>
  <c r="BB9" i="6" s="1"/>
  <c r="BZ8" i="1" a="1"/>
  <c r="BZ8" i="1" s="1"/>
  <c r="BB8" i="6" s="1"/>
  <c r="BZ7" i="1" a="1"/>
  <c r="BZ7" i="1" s="1"/>
  <c r="BB7" i="6" s="1"/>
  <c r="BB6" i="6"/>
  <c r="BN27" i="1" a="1"/>
  <c r="BN27" i="1" s="1"/>
  <c r="BN26" i="1" a="1"/>
  <c r="BN26" i="1" s="1"/>
  <c r="BN25" i="1" a="1"/>
  <c r="BN25" i="1" s="1"/>
  <c r="BN24" i="1" a="1"/>
  <c r="BN24" i="1" s="1"/>
  <c r="BN23" i="1" a="1"/>
  <c r="BN23" i="1" s="1"/>
  <c r="AT23" i="6" s="1"/>
  <c r="BN22" i="1" a="1"/>
  <c r="BN22" i="1" s="1"/>
  <c r="AT22" i="6" s="1"/>
  <c r="BN21" i="1" a="1"/>
  <c r="BN21" i="1" s="1"/>
  <c r="AT21" i="6" s="1"/>
  <c r="BN20" i="1" a="1"/>
  <c r="BN20" i="1" s="1"/>
  <c r="AT20" i="6" s="1"/>
  <c r="BN19" i="1" a="1"/>
  <c r="BN19" i="1" s="1"/>
  <c r="AT19" i="6" s="1"/>
  <c r="BN18" i="1" a="1"/>
  <c r="BN18" i="1" s="1"/>
  <c r="AT18" i="6" s="1"/>
  <c r="BN17" i="1" a="1"/>
  <c r="BN17" i="1" s="1"/>
  <c r="AT17" i="6" s="1"/>
  <c r="BN16" i="1" a="1"/>
  <c r="BN16" i="1" s="1"/>
  <c r="AT16" i="6" s="1"/>
  <c r="BN15" i="1" a="1"/>
  <c r="BN15" i="1" s="1"/>
  <c r="AT15" i="6" s="1"/>
  <c r="BN14" i="1" a="1"/>
  <c r="BN14" i="1" s="1"/>
  <c r="AT14" i="6" s="1"/>
  <c r="BN13" i="1" a="1"/>
  <c r="BN13" i="1" s="1"/>
  <c r="AT13" i="6" s="1"/>
  <c r="BN12" i="1" a="1"/>
  <c r="BN12" i="1" s="1"/>
  <c r="AT12" i="6" s="1"/>
  <c r="BN11" i="1" a="1"/>
  <c r="BN11" i="1" s="1"/>
  <c r="AT11" i="6" s="1"/>
  <c r="BN10" i="1" a="1"/>
  <c r="BN10" i="1" s="1"/>
  <c r="AT10" i="6" s="1"/>
  <c r="BN9" i="1" a="1"/>
  <c r="BN9" i="1" s="1"/>
  <c r="AT9" i="6" s="1"/>
  <c r="BN8" i="1" a="1"/>
  <c r="BN8" i="1" s="1"/>
  <c r="AT8" i="6" s="1"/>
  <c r="BN7" i="1" a="1"/>
  <c r="BN7" i="1" s="1"/>
  <c r="AT7" i="6" s="1"/>
  <c r="AT6" i="6"/>
  <c r="BB27" i="1" a="1"/>
  <c r="BB27" i="1" s="1"/>
  <c r="BB26" i="1" a="1"/>
  <c r="BB26" i="1" s="1"/>
  <c r="BB25" i="1" a="1"/>
  <c r="BB25" i="1" s="1"/>
  <c r="BB24" i="1" a="1"/>
  <c r="BB24" i="1" s="1"/>
  <c r="BB23" i="1" a="1"/>
  <c r="BB23" i="1" s="1"/>
  <c r="BB22" i="1" a="1"/>
  <c r="BB22" i="1" s="1"/>
  <c r="BB21" i="1" a="1"/>
  <c r="BB21" i="1" s="1"/>
  <c r="BB20" i="1" a="1"/>
  <c r="BB20" i="1" s="1"/>
  <c r="BB19" i="1" a="1"/>
  <c r="BB19" i="1" s="1"/>
  <c r="BB18" i="1" a="1"/>
  <c r="BB18" i="1" s="1"/>
  <c r="BB17" i="1" a="1"/>
  <c r="BB17" i="1" s="1"/>
  <c r="BB16" i="1" a="1"/>
  <c r="BB16" i="1" s="1"/>
  <c r="BB15" i="1" a="1"/>
  <c r="BB15" i="1" s="1"/>
  <c r="BB14" i="1" a="1"/>
  <c r="BB14" i="1" s="1"/>
  <c r="BB13" i="1" a="1"/>
  <c r="BB13" i="1" s="1"/>
  <c r="BB12" i="1" a="1"/>
  <c r="BB12" i="1" s="1"/>
  <c r="BB11" i="1" a="1"/>
  <c r="BB11" i="1" s="1"/>
  <c r="BB10" i="1" a="1"/>
  <c r="BB10" i="1" s="1"/>
  <c r="BB9" i="1" a="1"/>
  <c r="BB9" i="1" s="1"/>
  <c r="BB8" i="1" a="1"/>
  <c r="BB8" i="1" s="1"/>
  <c r="BB7" i="1" a="1"/>
  <c r="BB7" i="1" s="1"/>
  <c r="AP27" i="1" a="1"/>
  <c r="AP27" i="1" s="1"/>
  <c r="AP26" i="1" a="1"/>
  <c r="AP26" i="1" s="1"/>
  <c r="AP25" i="1" a="1"/>
  <c r="AP25" i="1" s="1"/>
  <c r="AP24" i="1" a="1"/>
  <c r="AP24" i="1" s="1"/>
  <c r="AP23" i="1" a="1"/>
  <c r="AP23" i="1" s="1"/>
  <c r="AP22" i="1" a="1"/>
  <c r="AP22" i="1" s="1"/>
  <c r="AP21" i="1" a="1"/>
  <c r="AP21" i="1" s="1"/>
  <c r="AP20" i="1" a="1"/>
  <c r="AP20" i="1" s="1"/>
  <c r="AP19" i="1" a="1"/>
  <c r="AP19" i="1" s="1"/>
  <c r="AP18" i="1" a="1"/>
  <c r="AP18" i="1" s="1"/>
  <c r="AP17" i="1" a="1"/>
  <c r="AP17" i="1" s="1"/>
  <c r="AP16" i="1" a="1"/>
  <c r="AP16" i="1" s="1"/>
  <c r="AP15" i="1" a="1"/>
  <c r="AP15" i="1" s="1"/>
  <c r="AP14" i="1" a="1"/>
  <c r="AP14" i="1" s="1"/>
  <c r="AP13" i="1" a="1"/>
  <c r="AP13" i="1" s="1"/>
  <c r="AP12" i="1" a="1"/>
  <c r="AP12" i="1" s="1"/>
  <c r="AP11" i="1" a="1"/>
  <c r="AP11" i="1" s="1"/>
  <c r="AP10" i="1" a="1"/>
  <c r="AP10" i="1" s="1"/>
  <c r="AP9" i="1" a="1"/>
  <c r="AP9" i="1" s="1"/>
  <c r="AP8" i="1" a="1"/>
  <c r="AP8" i="1" s="1"/>
  <c r="AP7" i="1" a="1"/>
  <c r="AP7" i="1" s="1"/>
  <c r="AD27" i="1" a="1"/>
  <c r="AD27" i="1" s="1"/>
  <c r="AD23" i="6" s="1"/>
  <c r="AD26" i="1" a="1"/>
  <c r="AD26" i="1" s="1"/>
  <c r="AD22" i="6" s="1"/>
  <c r="AD25" i="1" a="1"/>
  <c r="AD25" i="1" s="1"/>
  <c r="AD21" i="6" s="1"/>
  <c r="AD24" i="1" a="1"/>
  <c r="AD24" i="1" s="1"/>
  <c r="AD20" i="6" s="1"/>
  <c r="AD23" i="1" a="1"/>
  <c r="AD23" i="1" s="1"/>
  <c r="V23" i="6" s="1"/>
  <c r="AD22" i="1" a="1"/>
  <c r="AD22" i="1" s="1"/>
  <c r="V22" i="6" s="1"/>
  <c r="AD21" i="1" a="1"/>
  <c r="AD21" i="1" s="1"/>
  <c r="V21" i="6" s="1"/>
  <c r="AD20" i="1" a="1"/>
  <c r="AD20" i="1" s="1"/>
  <c r="V20" i="6" s="1"/>
  <c r="AD19" i="1" a="1"/>
  <c r="AD19" i="1" s="1"/>
  <c r="AD18" i="1" a="1"/>
  <c r="AD18" i="1" s="1"/>
  <c r="AD17" i="1" a="1"/>
  <c r="AD17" i="1" s="1"/>
  <c r="AD16" i="1" a="1"/>
  <c r="AD16" i="1" s="1"/>
  <c r="AD15" i="1" a="1"/>
  <c r="AD15" i="1" s="1"/>
  <c r="AD14" i="1" a="1"/>
  <c r="AD14" i="1" s="1"/>
  <c r="AD13" i="1" a="1"/>
  <c r="AD13" i="1" s="1"/>
  <c r="AD12" i="1" a="1"/>
  <c r="AD12" i="1" s="1"/>
  <c r="AD11" i="1" a="1"/>
  <c r="AD11" i="1" s="1"/>
  <c r="AD10" i="1" a="1"/>
  <c r="AD10" i="1" s="1"/>
  <c r="AD9" i="1" a="1"/>
  <c r="AD9" i="1" s="1"/>
  <c r="AD8" i="1" a="1"/>
  <c r="AD8" i="1" s="1"/>
  <c r="AD7" i="1" a="1"/>
  <c r="AD7" i="1" s="1"/>
  <c r="N23" i="6"/>
  <c r="N22" i="6"/>
  <c r="N21" i="6"/>
  <c r="N20" i="6"/>
  <c r="N19" i="6"/>
  <c r="N18" i="6"/>
  <c r="N17" i="6"/>
  <c r="N16" i="6"/>
  <c r="N15" i="6"/>
  <c r="AO23" i="6"/>
  <c r="AE23" i="6"/>
  <c r="AO22" i="6"/>
  <c r="AE22" i="6"/>
  <c r="AO21" i="6"/>
  <c r="AE21" i="6"/>
  <c r="AO20" i="6"/>
  <c r="AE20" i="6"/>
  <c r="BC23" i="6"/>
  <c r="AU23" i="6"/>
  <c r="W23" i="7"/>
  <c r="S23" i="7"/>
  <c r="W23" i="6"/>
  <c r="O23" i="6"/>
  <c r="G23" i="6"/>
  <c r="F23" i="6"/>
  <c r="D23" i="6"/>
  <c r="BC22" i="6"/>
  <c r="AU22" i="6"/>
  <c r="W22" i="7"/>
  <c r="S22" i="7"/>
  <c r="W22" i="6"/>
  <c r="O22" i="6"/>
  <c r="G22" i="6"/>
  <c r="F22" i="6"/>
  <c r="D22" i="6"/>
  <c r="BC21" i="6"/>
  <c r="AU21" i="6"/>
  <c r="W21" i="7"/>
  <c r="S21" i="7"/>
  <c r="W21" i="6"/>
  <c r="O21" i="6"/>
  <c r="G21" i="6"/>
  <c r="F21" i="6"/>
  <c r="D21" i="6"/>
  <c r="BC20" i="6"/>
  <c r="AU20" i="6"/>
  <c r="W20" i="7"/>
  <c r="S20" i="7"/>
  <c r="W20" i="6"/>
  <c r="O20" i="6"/>
  <c r="G20" i="6"/>
  <c r="F20" i="6"/>
  <c r="D20" i="6"/>
  <c r="W19" i="7"/>
  <c r="W18" i="7"/>
  <c r="W17" i="7"/>
  <c r="W16" i="7"/>
  <c r="W15" i="7"/>
  <c r="W14" i="7"/>
  <c r="W13" i="7"/>
  <c r="W12" i="7"/>
  <c r="W11" i="7"/>
  <c r="W10" i="7"/>
  <c r="W9" i="7"/>
  <c r="W8" i="7"/>
  <c r="W7" i="7"/>
  <c r="W6" i="7"/>
  <c r="AQ5" i="6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BZ5" i="1" a="1"/>
  <c r="BZ5" i="1" s="1"/>
  <c r="BB5" i="6" s="1"/>
  <c r="BN5" i="1" a="1"/>
  <c r="BN5" i="1" s="1"/>
  <c r="AT5" i="6" s="1"/>
  <c r="BB5" i="1" a="1"/>
  <c r="BB5" i="1" s="1"/>
  <c r="AL5" i="6" s="1"/>
  <c r="AP5" i="1" a="1"/>
  <c r="AP5" i="1" s="1"/>
  <c r="AD5" i="6" s="1"/>
  <c r="AD5" i="1" a="1"/>
  <c r="AD5" i="1" s="1"/>
  <c r="V5" i="6" s="1"/>
  <c r="R5" i="1" a="1"/>
  <c r="R5" i="1" s="1"/>
  <c r="BZ40" i="1"/>
  <c r="BZ30" i="1"/>
  <c r="CH28" i="1"/>
  <c r="BC19" i="6"/>
  <c r="BC18" i="6"/>
  <c r="BC17" i="6"/>
  <c r="BC16" i="6"/>
  <c r="BC15" i="6"/>
  <c r="BC14" i="6"/>
  <c r="BC13" i="6"/>
  <c r="BC12" i="6"/>
  <c r="BC11" i="6"/>
  <c r="BC10" i="6"/>
  <c r="BC9" i="6"/>
  <c r="BC8" i="6"/>
  <c r="BC7" i="6"/>
  <c r="BC6" i="6"/>
  <c r="BC5" i="6"/>
  <c r="BZ2" i="1"/>
  <c r="R2" i="1"/>
  <c r="AD2" i="1"/>
  <c r="AP2" i="1"/>
  <c r="BB2" i="1"/>
  <c r="BN2" i="1"/>
  <c r="V3" i="1"/>
  <c r="AH3" i="1"/>
  <c r="AT3" i="1"/>
  <c r="BF3" i="1"/>
  <c r="BR3" i="1"/>
  <c r="W5" i="6"/>
  <c r="AE5" i="6"/>
  <c r="AM5" i="6"/>
  <c r="AU5" i="6"/>
  <c r="AO6" i="6"/>
  <c r="AU6" i="6"/>
  <c r="AO7" i="6"/>
  <c r="AU7" i="6"/>
  <c r="AO8" i="6"/>
  <c r="AU8" i="6"/>
  <c r="AO9" i="6"/>
  <c r="AU9" i="6"/>
  <c r="AO10" i="6"/>
  <c r="AU10" i="6"/>
  <c r="AO11" i="6"/>
  <c r="AU11" i="6"/>
  <c r="AO12" i="6"/>
  <c r="AU12" i="6"/>
  <c r="AO13" i="6"/>
  <c r="AU13" i="6"/>
  <c r="AO14" i="6"/>
  <c r="AU14" i="6"/>
  <c r="O15" i="6"/>
  <c r="AO15" i="6"/>
  <c r="AU15" i="6"/>
  <c r="O16" i="6"/>
  <c r="AO16" i="6"/>
  <c r="AU16" i="6"/>
  <c r="O17" i="6"/>
  <c r="AO17" i="6"/>
  <c r="AU17" i="6"/>
  <c r="O18" i="6"/>
  <c r="AO18" i="6"/>
  <c r="AU18" i="6"/>
  <c r="O19" i="6"/>
  <c r="AO19" i="6"/>
  <c r="AU19" i="6"/>
  <c r="Z28" i="1"/>
  <c r="AL28" i="1"/>
  <c r="AX28" i="1"/>
  <c r="BJ28" i="1"/>
  <c r="BV28" i="1"/>
  <c r="R30" i="1"/>
  <c r="AD30" i="1"/>
  <c r="AP30" i="1"/>
  <c r="BB30" i="1"/>
  <c r="BN30" i="1"/>
  <c r="R40" i="1"/>
  <c r="AD40" i="1"/>
  <c r="AP40" i="1"/>
  <c r="BB40" i="1"/>
  <c r="BN40" i="1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CN6" i="1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K19" i="6"/>
  <c r="K18" i="6"/>
  <c r="K16" i="6"/>
  <c r="K15" i="6"/>
  <c r="T24" i="6"/>
  <c r="R24" i="6"/>
  <c r="BG19" i="1" l="1"/>
  <c r="BG15" i="1"/>
  <c r="BG20" i="1"/>
  <c r="BG25" i="1"/>
  <c r="BG21" i="1"/>
  <c r="BG24" i="1"/>
  <c r="BG12" i="1"/>
  <c r="BG17" i="1"/>
  <c r="BG27" i="1"/>
  <c r="BG22" i="1"/>
  <c r="BG14" i="1"/>
  <c r="BG13" i="1"/>
  <c r="BG16" i="1"/>
  <c r="BG23" i="1"/>
  <c r="BG18" i="1"/>
  <c r="BG5" i="1"/>
  <c r="BG26" i="1"/>
  <c r="BG8" i="1"/>
  <c r="BG9" i="1"/>
  <c r="BG7" i="1"/>
  <c r="BG11" i="1"/>
  <c r="BG10" i="1"/>
  <c r="CE5" i="1"/>
  <c r="CE27" i="1"/>
  <c r="CE26" i="1"/>
  <c r="CE25" i="1"/>
  <c r="CE24" i="1"/>
  <c r="CE23" i="1"/>
  <c r="BE23" i="6" s="1"/>
  <c r="CE22" i="1"/>
  <c r="BE22" i="6" s="1"/>
  <c r="CE21" i="1"/>
  <c r="BE21" i="6" s="1"/>
  <c r="CE20" i="1"/>
  <c r="BE20" i="6" s="1"/>
  <c r="CE19" i="1"/>
  <c r="CE18" i="1"/>
  <c r="CE17" i="1"/>
  <c r="CE16" i="1"/>
  <c r="CE15" i="1"/>
  <c r="CE14" i="1"/>
  <c r="CE13" i="1"/>
  <c r="CE12" i="1"/>
  <c r="CE11" i="1"/>
  <c r="CE7" i="1"/>
  <c r="CE10" i="1"/>
  <c r="CE9" i="1"/>
  <c r="CE8" i="1"/>
  <c r="W5" i="1"/>
  <c r="W8" i="1"/>
  <c r="W9" i="1"/>
  <c r="W10" i="1"/>
  <c r="W11" i="1"/>
  <c r="W12" i="1"/>
  <c r="W13" i="1"/>
  <c r="W14" i="1"/>
  <c r="W15" i="1"/>
  <c r="W20" i="1"/>
  <c r="Q20" i="6" s="1"/>
  <c r="W25" i="1"/>
  <c r="W23" i="1"/>
  <c r="Q23" i="6" s="1"/>
  <c r="W19" i="1"/>
  <c r="W16" i="1"/>
  <c r="W21" i="1"/>
  <c r="Q21" i="6" s="1"/>
  <c r="W17" i="1"/>
  <c r="W18" i="1"/>
  <c r="W7" i="1"/>
  <c r="W22" i="1"/>
  <c r="Q22" i="6" s="1"/>
  <c r="W24" i="1"/>
  <c r="W26" i="1"/>
  <c r="W27" i="1"/>
  <c r="AI5" i="1"/>
  <c r="AI12" i="1"/>
  <c r="AI21" i="1"/>
  <c r="Y21" i="6" s="1"/>
  <c r="AI20" i="1"/>
  <c r="Y20" i="6" s="1"/>
  <c r="AI19" i="1"/>
  <c r="AI18" i="1"/>
  <c r="AI17" i="1"/>
  <c r="AI16" i="1"/>
  <c r="AI13" i="1"/>
  <c r="AI11" i="1"/>
  <c r="AI10" i="1"/>
  <c r="AI27" i="1"/>
  <c r="AG23" i="6" s="1"/>
  <c r="AI26" i="1"/>
  <c r="AG22" i="6" s="1"/>
  <c r="AI25" i="1"/>
  <c r="AG21" i="6" s="1"/>
  <c r="AI24" i="1"/>
  <c r="AG20" i="6" s="1"/>
  <c r="AI23" i="1"/>
  <c r="Y23" i="6" s="1"/>
  <c r="AI22" i="1"/>
  <c r="Y22" i="6" s="1"/>
  <c r="AI15" i="1"/>
  <c r="AI14" i="1"/>
  <c r="AI9" i="1"/>
  <c r="AI7" i="1"/>
  <c r="AI8" i="1"/>
  <c r="AU5" i="1"/>
  <c r="AU19" i="1"/>
  <c r="AU21" i="1"/>
  <c r="AU22" i="1"/>
  <c r="AU23" i="1"/>
  <c r="AU10" i="1"/>
  <c r="AU9" i="1"/>
  <c r="AU8" i="1"/>
  <c r="AU20" i="1"/>
  <c r="AU7" i="1"/>
  <c r="AU25" i="1"/>
  <c r="AU27" i="1"/>
  <c r="AU26" i="1"/>
  <c r="AU24" i="1"/>
  <c r="AU15" i="1"/>
  <c r="AU17" i="1"/>
  <c r="AU18" i="1"/>
  <c r="AU14" i="1"/>
  <c r="AU13" i="1"/>
  <c r="AU11" i="1"/>
  <c r="AU12" i="1"/>
  <c r="AU16" i="1"/>
  <c r="BS5" i="1"/>
  <c r="BS26" i="1"/>
  <c r="BS17" i="1"/>
  <c r="BS27" i="1"/>
  <c r="BS21" i="1"/>
  <c r="AW21" i="6" s="1"/>
  <c r="BS22" i="1"/>
  <c r="AW22" i="6" s="1"/>
  <c r="BS23" i="1"/>
  <c r="AW23" i="6" s="1"/>
  <c r="BS20" i="1"/>
  <c r="AW20" i="6" s="1"/>
  <c r="BS24" i="1"/>
  <c r="BS7" i="1"/>
  <c r="BS9" i="1"/>
  <c r="BS10" i="1"/>
  <c r="BS11" i="1"/>
  <c r="BS8" i="1"/>
  <c r="BS13" i="1"/>
  <c r="BS14" i="1"/>
  <c r="BS15" i="1"/>
  <c r="BS16" i="1"/>
  <c r="BS25" i="1"/>
  <c r="BS18" i="1"/>
  <c r="BS19" i="1"/>
  <c r="BS12" i="1"/>
  <c r="AJ6" i="7"/>
  <c r="BT28" i="1"/>
  <c r="BX5" i="1"/>
  <c r="BH28" i="1"/>
  <c r="BL5" i="1"/>
  <c r="CF28" i="1"/>
  <c r="CJ5" i="1"/>
  <c r="AD5" i="7"/>
  <c r="AV28" i="1"/>
  <c r="AZ5" i="1"/>
  <c r="X28" i="1"/>
  <c r="AB5" i="1"/>
  <c r="AJ28" i="1"/>
  <c r="AN5" i="1"/>
  <c r="AH23" i="7"/>
  <c r="BJ23" i="6"/>
  <c r="AH22" i="7"/>
  <c r="BJ22" i="6"/>
  <c r="BJ20" i="6"/>
  <c r="AH20" i="7"/>
  <c r="AH21" i="7"/>
  <c r="BJ21" i="6"/>
  <c r="BG23" i="6"/>
  <c r="BG15" i="6"/>
  <c r="BG22" i="6"/>
  <c r="BG21" i="6"/>
  <c r="BG20" i="6"/>
  <c r="BG19" i="6"/>
  <c r="BG16" i="6"/>
  <c r="BG17" i="6"/>
  <c r="BG18" i="6"/>
  <c r="AY15" i="6"/>
  <c r="AY16" i="6"/>
  <c r="AY21" i="6"/>
  <c r="AY20" i="6"/>
  <c r="AY17" i="6"/>
  <c r="AY18" i="6"/>
  <c r="AY19" i="6"/>
  <c r="AY23" i="6"/>
  <c r="AY22" i="6"/>
  <c r="AA21" i="6"/>
  <c r="AA22" i="6"/>
  <c r="AD19" i="6"/>
  <c r="V19" i="6"/>
  <c r="AE15" i="6"/>
  <c r="W15" i="6"/>
  <c r="AA15" i="6"/>
  <c r="AI15" i="6"/>
  <c r="AA23" i="6"/>
  <c r="V18" i="6"/>
  <c r="AD18" i="6"/>
  <c r="W18" i="6"/>
  <c r="AE18" i="6"/>
  <c r="AI16" i="6"/>
  <c r="AA16" i="6"/>
  <c r="AI20" i="6"/>
  <c r="AI17" i="6"/>
  <c r="AA17" i="6"/>
  <c r="AI21" i="6"/>
  <c r="W17" i="6"/>
  <c r="AE17" i="6"/>
  <c r="AA18" i="6"/>
  <c r="AI18" i="6"/>
  <c r="AI22" i="6"/>
  <c r="AE16" i="6"/>
  <c r="W16" i="6"/>
  <c r="AD15" i="6"/>
  <c r="V15" i="6"/>
  <c r="AE19" i="6"/>
  <c r="W19" i="6"/>
  <c r="AD16" i="6"/>
  <c r="V16" i="6"/>
  <c r="AA19" i="6"/>
  <c r="AI19" i="6"/>
  <c r="AI23" i="6"/>
  <c r="AD17" i="6"/>
  <c r="V17" i="6"/>
  <c r="AA20" i="6"/>
  <c r="S19" i="6"/>
  <c r="S20" i="6"/>
  <c r="S21" i="6"/>
  <c r="S22" i="6"/>
  <c r="S15" i="6"/>
  <c r="S23" i="6"/>
  <c r="S17" i="6"/>
  <c r="S16" i="6"/>
  <c r="S18" i="6"/>
  <c r="K21" i="6"/>
  <c r="K20" i="6"/>
  <c r="K17" i="6"/>
  <c r="K23" i="6"/>
  <c r="K22" i="6"/>
  <c r="AY5" i="6"/>
  <c r="AY13" i="6"/>
  <c r="BG6" i="6"/>
  <c r="BG14" i="6"/>
  <c r="N8" i="6"/>
  <c r="AD10" i="6"/>
  <c r="V10" i="6"/>
  <c r="K11" i="7"/>
  <c r="S11" i="6"/>
  <c r="O13" i="7"/>
  <c r="AA13" i="6"/>
  <c r="AI13" i="6"/>
  <c r="K13" i="6"/>
  <c r="CN7" i="1"/>
  <c r="AS7" i="1" s="1"/>
  <c r="AZ7" i="1" s="1"/>
  <c r="BL6" i="6"/>
  <c r="AY14" i="6"/>
  <c r="BG7" i="6"/>
  <c r="N9" i="6"/>
  <c r="V11" i="6"/>
  <c r="AD11" i="6"/>
  <c r="K12" i="7"/>
  <c r="S12" i="6"/>
  <c r="O6" i="7"/>
  <c r="AI6" i="6"/>
  <c r="AA6" i="6"/>
  <c r="O14" i="7"/>
  <c r="AI14" i="6"/>
  <c r="AA14" i="6"/>
  <c r="AY6" i="6"/>
  <c r="K9" i="6"/>
  <c r="K14" i="6"/>
  <c r="O12" i="6"/>
  <c r="W7" i="6"/>
  <c r="AE7" i="6"/>
  <c r="AI5" i="6"/>
  <c r="AY7" i="6"/>
  <c r="BG8" i="6"/>
  <c r="N10" i="6"/>
  <c r="V12" i="6"/>
  <c r="AD12" i="6"/>
  <c r="K13" i="7"/>
  <c r="S13" i="6"/>
  <c r="O7" i="7"/>
  <c r="AA7" i="6"/>
  <c r="AI7" i="6"/>
  <c r="O14" i="6"/>
  <c r="AE9" i="6"/>
  <c r="W9" i="6"/>
  <c r="O6" i="6"/>
  <c r="W12" i="6"/>
  <c r="AE12" i="6"/>
  <c r="O9" i="6"/>
  <c r="K6" i="6"/>
  <c r="AE10" i="6"/>
  <c r="W10" i="6"/>
  <c r="O7" i="6"/>
  <c r="AY8" i="6"/>
  <c r="BG9" i="6"/>
  <c r="N11" i="6"/>
  <c r="V13" i="6"/>
  <c r="AD13" i="6"/>
  <c r="K6" i="7"/>
  <c r="S6" i="6"/>
  <c r="K14" i="7"/>
  <c r="S14" i="6"/>
  <c r="O8" i="7"/>
  <c r="AA8" i="6"/>
  <c r="AI8" i="6"/>
  <c r="K7" i="6"/>
  <c r="W13" i="6"/>
  <c r="AE13" i="6"/>
  <c r="O10" i="6"/>
  <c r="AY9" i="6"/>
  <c r="BG10" i="6"/>
  <c r="N12" i="6"/>
  <c r="V6" i="6"/>
  <c r="AD6" i="6"/>
  <c r="V14" i="6"/>
  <c r="AD14" i="6"/>
  <c r="K7" i="7"/>
  <c r="S7" i="6"/>
  <c r="O9" i="7"/>
  <c r="AA9" i="6"/>
  <c r="AI9" i="6"/>
  <c r="K12" i="6"/>
  <c r="K8" i="6"/>
  <c r="O13" i="6"/>
  <c r="AE8" i="6"/>
  <c r="W8" i="6"/>
  <c r="BG11" i="6"/>
  <c r="N13" i="6"/>
  <c r="AD7" i="6"/>
  <c r="V7" i="6"/>
  <c r="K8" i="7"/>
  <c r="S8" i="6"/>
  <c r="O10" i="7"/>
  <c r="AA10" i="6"/>
  <c r="AI10" i="6"/>
  <c r="AY10" i="6"/>
  <c r="K10" i="6"/>
  <c r="W11" i="6"/>
  <c r="AE11" i="6"/>
  <c r="O8" i="6"/>
  <c r="AY11" i="6"/>
  <c r="BG12" i="6"/>
  <c r="N6" i="6"/>
  <c r="N14" i="6"/>
  <c r="AD8" i="6"/>
  <c r="V8" i="6"/>
  <c r="K9" i="7"/>
  <c r="S9" i="6"/>
  <c r="O11" i="7"/>
  <c r="AI11" i="6"/>
  <c r="AA11" i="6"/>
  <c r="K11" i="6"/>
  <c r="W14" i="6"/>
  <c r="AE14" i="6"/>
  <c r="O11" i="6"/>
  <c r="W6" i="6"/>
  <c r="AE6" i="6"/>
  <c r="AY12" i="6"/>
  <c r="BG5" i="6"/>
  <c r="BG13" i="6"/>
  <c r="N7" i="6"/>
  <c r="AD9" i="6"/>
  <c r="V9" i="6"/>
  <c r="K10" i="7"/>
  <c r="S10" i="6"/>
  <c r="O12" i="7"/>
  <c r="AA12" i="6"/>
  <c r="AI12" i="6"/>
  <c r="B7" i="1"/>
  <c r="B6" i="6"/>
  <c r="A7" i="1"/>
  <c r="A6" i="6"/>
  <c r="K5" i="7"/>
  <c r="S5" i="6"/>
  <c r="Z6" i="7" l="1"/>
  <c r="V6" i="7"/>
  <c r="AD6" i="7"/>
  <c r="J6" i="7"/>
  <c r="N6" i="7"/>
  <c r="R5" i="7"/>
  <c r="Z5" i="7"/>
  <c r="V5" i="7"/>
  <c r="N5" i="7"/>
  <c r="J5" i="7"/>
  <c r="T7" i="1"/>
  <c r="U7" i="1"/>
  <c r="AB7" i="1" s="1"/>
  <c r="AF6" i="7"/>
  <c r="BD6" i="6"/>
  <c r="X6" i="7"/>
  <c r="AN6" i="6"/>
  <c r="AG7" i="1"/>
  <c r="AN7" i="1" s="1"/>
  <c r="AB6" i="7"/>
  <c r="AV6" i="6"/>
  <c r="AR7" i="1"/>
  <c r="AJ7" i="7"/>
  <c r="CM7" i="1"/>
  <c r="CB7" i="1"/>
  <c r="CC7" i="1"/>
  <c r="CJ7" i="1" s="1"/>
  <c r="BQ7" i="1"/>
  <c r="BX7" i="1" s="1"/>
  <c r="BD7" i="1"/>
  <c r="BE7" i="1"/>
  <c r="BL7" i="1" s="1"/>
  <c r="BP7" i="1"/>
  <c r="AF7" i="1"/>
  <c r="BK5" i="1"/>
  <c r="X5" i="7" s="1"/>
  <c r="BF5" i="1"/>
  <c r="AN5" i="6" s="1"/>
  <c r="T6" i="7"/>
  <c r="BW5" i="1"/>
  <c r="AB5" i="7" s="1"/>
  <c r="BR5" i="1"/>
  <c r="AV5" i="6" s="1"/>
  <c r="CI5" i="1"/>
  <c r="AF5" i="7" s="1"/>
  <c r="CD5" i="1"/>
  <c r="BD5" i="6" s="1"/>
  <c r="AM5" i="1"/>
  <c r="P5" i="7" s="1"/>
  <c r="AH5" i="1"/>
  <c r="X5" i="6" s="1"/>
  <c r="AA5" i="1"/>
  <c r="L5" i="7" s="1"/>
  <c r="V5" i="1"/>
  <c r="P5" i="6" s="1"/>
  <c r="P6" i="7"/>
  <c r="AY5" i="1"/>
  <c r="T5" i="7" s="1"/>
  <c r="AT5" i="1"/>
  <c r="AF5" i="6" s="1"/>
  <c r="L6" i="7"/>
  <c r="BH17" i="6"/>
  <c r="AE17" i="7"/>
  <c r="AE21" i="7"/>
  <c r="BH21" i="6"/>
  <c r="AE22" i="7"/>
  <c r="BH22" i="6"/>
  <c r="BH16" i="6"/>
  <c r="AE16" i="7"/>
  <c r="AE19" i="7"/>
  <c r="BH19" i="6"/>
  <c r="AE15" i="7"/>
  <c r="BH15" i="6"/>
  <c r="AE18" i="7"/>
  <c r="BH18" i="6"/>
  <c r="BH20" i="6"/>
  <c r="AE20" i="7"/>
  <c r="AE23" i="7"/>
  <c r="BH23" i="6"/>
  <c r="AA23" i="7"/>
  <c r="AZ23" i="6"/>
  <c r="AZ20" i="6"/>
  <c r="AA20" i="7"/>
  <c r="AA21" i="7"/>
  <c r="AZ21" i="6"/>
  <c r="AA19" i="7"/>
  <c r="AZ19" i="6"/>
  <c r="AZ18" i="6"/>
  <c r="AA18" i="7"/>
  <c r="AZ16" i="6"/>
  <c r="AA16" i="7"/>
  <c r="AZ22" i="6"/>
  <c r="AA22" i="7"/>
  <c r="AA17" i="7"/>
  <c r="AZ17" i="6"/>
  <c r="AA15" i="7"/>
  <c r="AZ15" i="6"/>
  <c r="O17" i="7"/>
  <c r="AJ17" i="6"/>
  <c r="AB17" i="6"/>
  <c r="AL17" i="6"/>
  <c r="AL23" i="6"/>
  <c r="AJ23" i="6"/>
  <c r="AB18" i="6"/>
  <c r="O18" i="7"/>
  <c r="AL18" i="6"/>
  <c r="AJ18" i="6"/>
  <c r="AB23" i="6"/>
  <c r="O23" i="7"/>
  <c r="AJ20" i="6"/>
  <c r="AL20" i="6"/>
  <c r="AB22" i="6"/>
  <c r="O22" i="7"/>
  <c r="O19" i="7"/>
  <c r="AB19" i="6"/>
  <c r="AJ19" i="6"/>
  <c r="AL19" i="6"/>
  <c r="O20" i="7"/>
  <c r="AB20" i="6"/>
  <c r="AL21" i="6"/>
  <c r="AJ21" i="6"/>
  <c r="AJ16" i="6"/>
  <c r="O16" i="7"/>
  <c r="AB16" i="6"/>
  <c r="AL16" i="6"/>
  <c r="AJ22" i="6"/>
  <c r="AL22" i="6"/>
  <c r="AB15" i="6"/>
  <c r="AL15" i="6"/>
  <c r="AJ15" i="6"/>
  <c r="O15" i="7"/>
  <c r="AB21" i="6"/>
  <c r="O21" i="7"/>
  <c r="T22" i="6"/>
  <c r="K22" i="7"/>
  <c r="T17" i="6"/>
  <c r="K17" i="7"/>
  <c r="T16" i="6"/>
  <c r="K16" i="7"/>
  <c r="T21" i="6"/>
  <c r="K21" i="7"/>
  <c r="K23" i="7"/>
  <c r="T23" i="6"/>
  <c r="T20" i="6"/>
  <c r="K20" i="7"/>
  <c r="T18" i="6"/>
  <c r="K18" i="7"/>
  <c r="K15" i="7"/>
  <c r="T15" i="6"/>
  <c r="K19" i="7"/>
  <c r="T19" i="6"/>
  <c r="G23" i="7"/>
  <c r="L23" i="6"/>
  <c r="G19" i="7"/>
  <c r="L19" i="6"/>
  <c r="L18" i="6"/>
  <c r="G18" i="7"/>
  <c r="G15" i="7"/>
  <c r="L15" i="6"/>
  <c r="L20" i="6"/>
  <c r="G20" i="7"/>
  <c r="L16" i="6"/>
  <c r="G16" i="7"/>
  <c r="G17" i="7"/>
  <c r="L17" i="6"/>
  <c r="G22" i="7"/>
  <c r="L22" i="6"/>
  <c r="G21" i="7"/>
  <c r="L21" i="6"/>
  <c r="L14" i="6"/>
  <c r="G14" i="7"/>
  <c r="AZ10" i="6"/>
  <c r="AA10" i="7"/>
  <c r="BH11" i="6"/>
  <c r="AE11" i="7"/>
  <c r="AZ8" i="6"/>
  <c r="AA8" i="7"/>
  <c r="AZ7" i="6"/>
  <c r="AA7" i="7"/>
  <c r="BH7" i="6"/>
  <c r="AE7" i="7"/>
  <c r="BH14" i="6"/>
  <c r="AE14" i="7"/>
  <c r="L9" i="6"/>
  <c r="G9" i="7"/>
  <c r="L11" i="6"/>
  <c r="G11" i="7"/>
  <c r="L7" i="6"/>
  <c r="G7" i="7"/>
  <c r="AZ14" i="6"/>
  <c r="AA14" i="7"/>
  <c r="BH6" i="6"/>
  <c r="AE6" i="7"/>
  <c r="BH9" i="6"/>
  <c r="AE9" i="7"/>
  <c r="BH13" i="6"/>
  <c r="AE13" i="7"/>
  <c r="AZ11" i="6"/>
  <c r="AA11" i="7"/>
  <c r="L12" i="6"/>
  <c r="G12" i="7"/>
  <c r="BH8" i="6"/>
  <c r="AE8" i="7"/>
  <c r="BH10" i="6"/>
  <c r="AE10" i="7"/>
  <c r="L10" i="6"/>
  <c r="G10" i="7"/>
  <c r="AZ13" i="6"/>
  <c r="AA13" i="7"/>
  <c r="AZ12" i="6"/>
  <c r="AA12" i="7"/>
  <c r="AZ6" i="6"/>
  <c r="AA6" i="7"/>
  <c r="BH12" i="6"/>
  <c r="AE12" i="7"/>
  <c r="L8" i="6"/>
  <c r="G8" i="7"/>
  <c r="AZ9" i="6"/>
  <c r="AA9" i="7"/>
  <c r="L6" i="6"/>
  <c r="G6" i="7"/>
  <c r="L13" i="6"/>
  <c r="G13" i="7"/>
  <c r="AP6" i="6"/>
  <c r="R6" i="7"/>
  <c r="T12" i="6"/>
  <c r="AL13" i="6"/>
  <c r="AB13" i="6"/>
  <c r="AJ13" i="6"/>
  <c r="AB10" i="6"/>
  <c r="AL10" i="6"/>
  <c r="AJ10" i="6"/>
  <c r="T11" i="6"/>
  <c r="AB14" i="6"/>
  <c r="AJ14" i="6"/>
  <c r="AL14" i="6"/>
  <c r="T6" i="6"/>
  <c r="T13" i="6"/>
  <c r="O5" i="7"/>
  <c r="AB5" i="6"/>
  <c r="CN8" i="1"/>
  <c r="BL7" i="6"/>
  <c r="AB12" i="6"/>
  <c r="AL12" i="6"/>
  <c r="AJ12" i="6"/>
  <c r="AB9" i="6"/>
  <c r="AL9" i="6"/>
  <c r="AJ9" i="6"/>
  <c r="AL8" i="6"/>
  <c r="AB8" i="6"/>
  <c r="AJ8" i="6"/>
  <c r="S5" i="7"/>
  <c r="AJ5" i="6"/>
  <c r="AE5" i="7"/>
  <c r="BH5" i="6"/>
  <c r="AL7" i="6"/>
  <c r="AJ7" i="6"/>
  <c r="AB7" i="6"/>
  <c r="T9" i="6"/>
  <c r="T8" i="6"/>
  <c r="AQ6" i="6"/>
  <c r="W5" i="7"/>
  <c r="AR5" i="6"/>
  <c r="AJ6" i="6"/>
  <c r="AB6" i="6"/>
  <c r="T10" i="6"/>
  <c r="AB11" i="6"/>
  <c r="AL11" i="6"/>
  <c r="AJ11" i="6"/>
  <c r="T7" i="6"/>
  <c r="T14" i="6"/>
  <c r="AZ5" i="6"/>
  <c r="AA5" i="7"/>
  <c r="B8" i="1"/>
  <c r="B8" i="7" s="1"/>
  <c r="B7" i="6"/>
  <c r="A8" i="1"/>
  <c r="A8" i="7" s="1"/>
  <c r="A7" i="6"/>
  <c r="T5" i="6"/>
  <c r="F30" i="1"/>
  <c r="F3" i="7"/>
  <c r="D28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B7" i="7"/>
  <c r="A7" i="7"/>
  <c r="C6" i="7"/>
  <c r="B6" i="7"/>
  <c r="A6" i="7"/>
  <c r="AL5" i="7"/>
  <c r="AJ5" i="7"/>
  <c r="C5" i="7"/>
  <c r="B5" i="7"/>
  <c r="A5" i="7"/>
  <c r="D2" i="7"/>
  <c r="C2" i="7"/>
  <c r="C1" i="7"/>
  <c r="D24" i="6"/>
  <c r="BN5" i="6"/>
  <c r="BL5" i="6"/>
  <c r="K5" i="6"/>
  <c r="A5" i="6"/>
  <c r="B5" i="6"/>
  <c r="D2" i="6"/>
  <c r="C2" i="6"/>
  <c r="C1" i="6"/>
  <c r="L24" i="6"/>
  <c r="O5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N5" i="6"/>
  <c r="F5" i="6"/>
  <c r="G5" i="7"/>
  <c r="BH7" i="1" l="1"/>
  <c r="AR6" i="6"/>
  <c r="AF6" i="6"/>
  <c r="CF7" i="1"/>
  <c r="AJ7" i="1"/>
  <c r="AA7" i="1"/>
  <c r="L7" i="7" s="1"/>
  <c r="X7" i="1"/>
  <c r="AT7" i="1"/>
  <c r="AV7" i="1"/>
  <c r="V7" i="7"/>
  <c r="Z7" i="7"/>
  <c r="BT7" i="1"/>
  <c r="K5" i="1"/>
  <c r="K19" i="1"/>
  <c r="K17" i="1"/>
  <c r="K15" i="1"/>
  <c r="K10" i="1"/>
  <c r="K24" i="1"/>
  <c r="K22" i="1"/>
  <c r="I22" i="6" s="1"/>
  <c r="K14" i="1"/>
  <c r="K12" i="1"/>
  <c r="K25" i="1"/>
  <c r="K13" i="1"/>
  <c r="K8" i="1"/>
  <c r="K20" i="1"/>
  <c r="I20" i="6" s="1"/>
  <c r="K18" i="1"/>
  <c r="K11" i="1"/>
  <c r="K27" i="1"/>
  <c r="K26" i="1"/>
  <c r="K23" i="1"/>
  <c r="I23" i="6" s="1"/>
  <c r="K21" i="1"/>
  <c r="I21" i="6" s="1"/>
  <c r="K16" i="1"/>
  <c r="K9" i="1"/>
  <c r="K7" i="1"/>
  <c r="J7" i="7"/>
  <c r="AH7" i="1"/>
  <c r="X7" i="6" s="1"/>
  <c r="V7" i="1"/>
  <c r="P7" i="6" s="1"/>
  <c r="AY7" i="1"/>
  <c r="T7" i="7" s="1"/>
  <c r="AM7" i="1"/>
  <c r="P7" i="7" s="1"/>
  <c r="CD7" i="1"/>
  <c r="BD7" i="6" s="1"/>
  <c r="CI7" i="1"/>
  <c r="AF7" i="7" s="1"/>
  <c r="N7" i="7"/>
  <c r="BW7" i="1"/>
  <c r="AB7" i="7" s="1"/>
  <c r="BR7" i="1"/>
  <c r="AV7" i="6" s="1"/>
  <c r="AJ8" i="7"/>
  <c r="CB8" i="1"/>
  <c r="BP8" i="1"/>
  <c r="BD8" i="1"/>
  <c r="BQ8" i="1"/>
  <c r="BX8" i="1" s="1"/>
  <c r="CM8" i="1"/>
  <c r="BE8" i="1"/>
  <c r="BL8" i="1" s="1"/>
  <c r="CC8" i="1"/>
  <c r="CJ8" i="1" s="1"/>
  <c r="AG8" i="1"/>
  <c r="AN8" i="1" s="1"/>
  <c r="AR8" i="1"/>
  <c r="U8" i="1"/>
  <c r="AB8" i="1" s="1"/>
  <c r="AS8" i="1"/>
  <c r="AZ8" i="1" s="1"/>
  <c r="AF8" i="1"/>
  <c r="T8" i="1"/>
  <c r="BK7" i="1"/>
  <c r="X7" i="7" s="1"/>
  <c r="BF7" i="1"/>
  <c r="AN7" i="6" s="1"/>
  <c r="H8" i="1"/>
  <c r="H7" i="1"/>
  <c r="I8" i="1"/>
  <c r="P8" i="1" s="1"/>
  <c r="I7" i="1"/>
  <c r="P7" i="1" s="1"/>
  <c r="AP7" i="6"/>
  <c r="R7" i="7"/>
  <c r="AQ7" i="6"/>
  <c r="AD7" i="7"/>
  <c r="AM6" i="6"/>
  <c r="X6" i="6"/>
  <c r="P6" i="6"/>
  <c r="CN9" i="1"/>
  <c r="H9" i="1" s="1"/>
  <c r="BL8" i="6"/>
  <c r="B9" i="1"/>
  <c r="B8" i="6"/>
  <c r="A9" i="1"/>
  <c r="A8" i="6"/>
  <c r="L5" i="6"/>
  <c r="G5" i="6"/>
  <c r="J24" i="6"/>
  <c r="E35" i="1" a="1"/>
  <c r="E35" i="1" s="1"/>
  <c r="D34" i="1" a="1"/>
  <c r="D34" i="1" s="1"/>
  <c r="E34" i="1" a="1"/>
  <c r="E34" i="1" s="1"/>
  <c r="AH14" i="7"/>
  <c r="AH13" i="7"/>
  <c r="AH12" i="7"/>
  <c r="AH11" i="7"/>
  <c r="AH10" i="7"/>
  <c r="AH9" i="7"/>
  <c r="AH8" i="7"/>
  <c r="AH7" i="7"/>
  <c r="AH6" i="7"/>
  <c r="BE5" i="6"/>
  <c r="F40" i="1"/>
  <c r="N28" i="1"/>
  <c r="BH8" i="1" l="1"/>
  <c r="AR7" i="6"/>
  <c r="AF7" i="6"/>
  <c r="L8" i="1"/>
  <c r="L7" i="1"/>
  <c r="AD8" i="7"/>
  <c r="CF8" i="1"/>
  <c r="Z8" i="7"/>
  <c r="BT8" i="1"/>
  <c r="V8" i="7"/>
  <c r="R8" i="7"/>
  <c r="AV8" i="1"/>
  <c r="N8" i="7"/>
  <c r="AJ8" i="1"/>
  <c r="J8" i="7"/>
  <c r="X8" i="1"/>
  <c r="F5" i="7"/>
  <c r="I9" i="1"/>
  <c r="AT8" i="1"/>
  <c r="AY8" i="1"/>
  <c r="T8" i="7" s="1"/>
  <c r="AM8" i="1"/>
  <c r="P8" i="7" s="1"/>
  <c r="AH8" i="1"/>
  <c r="CI8" i="1"/>
  <c r="AF8" i="7" s="1"/>
  <c r="CD8" i="1"/>
  <c r="BD8" i="6" s="1"/>
  <c r="V8" i="1"/>
  <c r="AA8" i="1"/>
  <c r="L8" i="7" s="1"/>
  <c r="BK8" i="1"/>
  <c r="X8" i="7" s="1"/>
  <c r="BF8" i="1"/>
  <c r="AN8" i="6" s="1"/>
  <c r="AJ9" i="7"/>
  <c r="CC9" i="1"/>
  <c r="CJ9" i="1" s="1"/>
  <c r="BE9" i="1"/>
  <c r="BL9" i="1" s="1"/>
  <c r="CM9" i="1"/>
  <c r="BQ9" i="1"/>
  <c r="BX9" i="1" s="1"/>
  <c r="CB9" i="1"/>
  <c r="BP9" i="1"/>
  <c r="BD9" i="1"/>
  <c r="AG9" i="1"/>
  <c r="AN9" i="1" s="1"/>
  <c r="U9" i="1"/>
  <c r="AB9" i="1" s="1"/>
  <c r="AF9" i="1"/>
  <c r="T9" i="1"/>
  <c r="AR9" i="1"/>
  <c r="AS9" i="1"/>
  <c r="AZ9" i="1" s="1"/>
  <c r="BR8" i="1"/>
  <c r="AV8" i="6" s="1"/>
  <c r="BW8" i="1"/>
  <c r="AB8" i="7" s="1"/>
  <c r="O8" i="1"/>
  <c r="J8" i="1"/>
  <c r="O7" i="1"/>
  <c r="J7" i="1"/>
  <c r="O9" i="1"/>
  <c r="BE17" i="6"/>
  <c r="BJ17" i="6"/>
  <c r="AH17" i="7"/>
  <c r="BE18" i="6"/>
  <c r="BJ18" i="6"/>
  <c r="AH18" i="7"/>
  <c r="BE15" i="6"/>
  <c r="AH15" i="7"/>
  <c r="BJ15" i="6"/>
  <c r="BE16" i="6"/>
  <c r="AH16" i="7"/>
  <c r="BJ16" i="6"/>
  <c r="BE19" i="6"/>
  <c r="AH19" i="7"/>
  <c r="BJ19" i="6"/>
  <c r="AM7" i="6"/>
  <c r="BE11" i="6"/>
  <c r="BJ11" i="6"/>
  <c r="BE12" i="6"/>
  <c r="BJ12" i="6"/>
  <c r="CN10" i="1"/>
  <c r="BL9" i="6"/>
  <c r="BE13" i="6"/>
  <c r="BJ13" i="6"/>
  <c r="BE6" i="6"/>
  <c r="BJ6" i="6"/>
  <c r="BE14" i="6"/>
  <c r="BJ14" i="6"/>
  <c r="AP8" i="6"/>
  <c r="BE7" i="6"/>
  <c r="BJ7" i="6"/>
  <c r="BE8" i="6"/>
  <c r="BJ8" i="6"/>
  <c r="AQ8" i="6"/>
  <c r="BE9" i="6"/>
  <c r="BJ9" i="6"/>
  <c r="BE10" i="6"/>
  <c r="BJ10" i="6"/>
  <c r="B10" i="1"/>
  <c r="B9" i="6"/>
  <c r="B9" i="7"/>
  <c r="A10" i="1"/>
  <c r="A9" i="6"/>
  <c r="A9" i="7"/>
  <c r="Q18" i="6"/>
  <c r="AW18" i="6"/>
  <c r="AW7" i="6"/>
  <c r="Q15" i="6"/>
  <c r="AW15" i="6"/>
  <c r="AW8" i="6"/>
  <c r="AW16" i="6"/>
  <c r="Q16" i="6"/>
  <c r="AW9" i="6"/>
  <c r="Q17" i="6"/>
  <c r="AW17" i="6"/>
  <c r="AW10" i="6"/>
  <c r="AW11" i="6"/>
  <c r="Q19" i="6"/>
  <c r="AW19" i="6"/>
  <c r="AW12" i="6"/>
  <c r="Q5" i="6"/>
  <c r="Y5" i="6"/>
  <c r="AO5" i="6"/>
  <c r="AW5" i="6"/>
  <c r="AG5" i="6"/>
  <c r="AW13" i="6"/>
  <c r="AW6" i="6"/>
  <c r="AW14" i="6"/>
  <c r="D11" i="7"/>
  <c r="D19" i="7"/>
  <c r="D12" i="7"/>
  <c r="D20" i="7"/>
  <c r="D13" i="7"/>
  <c r="D21" i="7"/>
  <c r="D6" i="7"/>
  <c r="D14" i="7"/>
  <c r="D22" i="7"/>
  <c r="D8" i="7"/>
  <c r="D16" i="7"/>
  <c r="D15" i="7"/>
  <c r="D9" i="7"/>
  <c r="D7" i="7"/>
  <c r="D23" i="7"/>
  <c r="D17" i="7"/>
  <c r="D10" i="7"/>
  <c r="D18" i="7"/>
  <c r="AH5" i="7"/>
  <c r="BJ5" i="6"/>
  <c r="D5" i="6"/>
  <c r="D5" i="7"/>
  <c r="CM5" i="1"/>
  <c r="AI7" i="7"/>
  <c r="AI6" i="7"/>
  <c r="AI8" i="7"/>
  <c r="J3" i="1"/>
  <c r="BH9" i="1" l="1"/>
  <c r="AR8" i="6"/>
  <c r="AF8" i="6"/>
  <c r="AJ9" i="1"/>
  <c r="AV9" i="1"/>
  <c r="P9" i="1"/>
  <c r="L9" i="1"/>
  <c r="AD9" i="7"/>
  <c r="CF9" i="1"/>
  <c r="BF9" i="6" s="1"/>
  <c r="Z9" i="7"/>
  <c r="BT9" i="1"/>
  <c r="AX9" i="6" s="1"/>
  <c r="V9" i="7"/>
  <c r="J9" i="7"/>
  <c r="X9" i="1"/>
  <c r="L5" i="1"/>
  <c r="BT5" i="1"/>
  <c r="AX5" i="6" s="1"/>
  <c r="AJ5" i="1"/>
  <c r="Z5" i="6" s="1"/>
  <c r="X5" i="1"/>
  <c r="R5" i="6" s="1"/>
  <c r="AV5" i="1"/>
  <c r="AH5" i="6" s="1"/>
  <c r="BH5" i="1"/>
  <c r="AP5" i="6" s="1"/>
  <c r="CF5" i="1"/>
  <c r="BF5" i="6" s="1"/>
  <c r="J9" i="1"/>
  <c r="AY9" i="1"/>
  <c r="T9" i="7" s="1"/>
  <c r="AT9" i="1"/>
  <c r="AJ10" i="7"/>
  <c r="CM10" i="1"/>
  <c r="CB10" i="1"/>
  <c r="BQ10" i="1"/>
  <c r="BX10" i="1" s="1"/>
  <c r="BE10" i="1"/>
  <c r="BL10" i="1" s="1"/>
  <c r="BD10" i="1"/>
  <c r="CC10" i="1"/>
  <c r="CJ10" i="1" s="1"/>
  <c r="BP10" i="1"/>
  <c r="AF10" i="1"/>
  <c r="AS10" i="1"/>
  <c r="AZ10" i="1" s="1"/>
  <c r="U10" i="1"/>
  <c r="AB10" i="1" s="1"/>
  <c r="AR10" i="1"/>
  <c r="T10" i="1"/>
  <c r="AG10" i="1"/>
  <c r="AN10" i="1" s="1"/>
  <c r="H10" i="1"/>
  <c r="I10" i="1"/>
  <c r="P10" i="1" s="1"/>
  <c r="AA9" i="1"/>
  <c r="L9" i="7" s="1"/>
  <c r="V9" i="1"/>
  <c r="AM9" i="1"/>
  <c r="P9" i="7" s="1"/>
  <c r="AH9" i="1"/>
  <c r="BK9" i="1"/>
  <c r="X9" i="7" s="1"/>
  <c r="BF9" i="1"/>
  <c r="AN9" i="6" s="1"/>
  <c r="R9" i="7"/>
  <c r="BW9" i="1"/>
  <c r="AB9" i="7" s="1"/>
  <c r="BR9" i="1"/>
  <c r="AV9" i="6" s="1"/>
  <c r="AI9" i="7"/>
  <c r="N9" i="7"/>
  <c r="CI9" i="1"/>
  <c r="AF9" i="7" s="1"/>
  <c r="CD9" i="1"/>
  <c r="BD9" i="6" s="1"/>
  <c r="AG19" i="6"/>
  <c r="Y19" i="6"/>
  <c r="AG16" i="6"/>
  <c r="Y16" i="6"/>
  <c r="Y18" i="6"/>
  <c r="AG18" i="6"/>
  <c r="Y15" i="6"/>
  <c r="AG15" i="6"/>
  <c r="Y17" i="6"/>
  <c r="AG17" i="6"/>
  <c r="Q11" i="6"/>
  <c r="Y7" i="6"/>
  <c r="AG7" i="6"/>
  <c r="Q14" i="6"/>
  <c r="Y13" i="6"/>
  <c r="AG13" i="6"/>
  <c r="BF7" i="6"/>
  <c r="BK7" i="6"/>
  <c r="Q10" i="6"/>
  <c r="Y8" i="6"/>
  <c r="AG8" i="6"/>
  <c r="BK9" i="6"/>
  <c r="Q6" i="6"/>
  <c r="Y10" i="6"/>
  <c r="AG10" i="6"/>
  <c r="Q7" i="6"/>
  <c r="X8" i="6"/>
  <c r="CN11" i="1"/>
  <c r="BL10" i="6"/>
  <c r="BF8" i="6"/>
  <c r="BK8" i="6"/>
  <c r="Q13" i="6"/>
  <c r="Q12" i="6"/>
  <c r="BF6" i="6"/>
  <c r="BK6" i="6"/>
  <c r="Y6" i="6"/>
  <c r="AG6" i="6"/>
  <c r="Y11" i="6"/>
  <c r="AG11" i="6"/>
  <c r="Q8" i="6"/>
  <c r="AM8" i="6"/>
  <c r="AG12" i="6"/>
  <c r="Y12" i="6"/>
  <c r="Y9" i="6"/>
  <c r="AG9" i="6"/>
  <c r="P8" i="6"/>
  <c r="AQ9" i="6"/>
  <c r="Y14" i="6"/>
  <c r="AG14" i="6"/>
  <c r="Q9" i="6"/>
  <c r="AP9" i="6"/>
  <c r="B11" i="1"/>
  <c r="B10" i="6"/>
  <c r="B10" i="7"/>
  <c r="A11" i="1"/>
  <c r="A10" i="6"/>
  <c r="A10" i="7"/>
  <c r="AX7" i="6"/>
  <c r="AX8" i="6"/>
  <c r="AX6" i="6"/>
  <c r="AI5" i="7"/>
  <c r="BK5" i="6"/>
  <c r="CO7" i="1"/>
  <c r="CO5" i="1"/>
  <c r="I19" i="6"/>
  <c r="CO6" i="1"/>
  <c r="I15" i="6"/>
  <c r="CO9" i="1"/>
  <c r="I17" i="6"/>
  <c r="CO8" i="1"/>
  <c r="I16" i="6"/>
  <c r="I13" i="6"/>
  <c r="I18" i="6"/>
  <c r="I6" i="6"/>
  <c r="I12" i="6"/>
  <c r="F8" i="7"/>
  <c r="I11" i="6"/>
  <c r="I10" i="6"/>
  <c r="F7" i="7"/>
  <c r="I9" i="6"/>
  <c r="F6" i="7"/>
  <c r="I8" i="6"/>
  <c r="F9" i="7"/>
  <c r="I14" i="6"/>
  <c r="I7" i="6"/>
  <c r="I5" i="6"/>
  <c r="P5" i="1"/>
  <c r="L28" i="1"/>
  <c r="BK10" i="6" l="1"/>
  <c r="BH10" i="1"/>
  <c r="AR9" i="6"/>
  <c r="AF9" i="6"/>
  <c r="BT10" i="1"/>
  <c r="AX10" i="6" s="1"/>
  <c r="CF10" i="1"/>
  <c r="BF10" i="6" s="1"/>
  <c r="V10" i="7"/>
  <c r="N10" i="7"/>
  <c r="AJ10" i="1"/>
  <c r="AH10" i="6" s="1"/>
  <c r="R10" i="7"/>
  <c r="AV10" i="1"/>
  <c r="J10" i="7"/>
  <c r="X10" i="1"/>
  <c r="F10" i="7"/>
  <c r="L10" i="1"/>
  <c r="CO10" i="1"/>
  <c r="BM10" i="6" s="1"/>
  <c r="BK10" i="1"/>
  <c r="X10" i="7" s="1"/>
  <c r="BF10" i="1"/>
  <c r="AN10" i="6" s="1"/>
  <c r="V10" i="1"/>
  <c r="AA10" i="1"/>
  <c r="L10" i="7" s="1"/>
  <c r="AY10" i="1"/>
  <c r="T10" i="7" s="1"/>
  <c r="AT10" i="1"/>
  <c r="CD10" i="1"/>
  <c r="BD10" i="6" s="1"/>
  <c r="CI10" i="1"/>
  <c r="AF10" i="7" s="1"/>
  <c r="AI10" i="7"/>
  <c r="AJ11" i="7"/>
  <c r="CB11" i="1"/>
  <c r="BQ11" i="1"/>
  <c r="BX11" i="1" s="1"/>
  <c r="BP11" i="1"/>
  <c r="CC11" i="1"/>
  <c r="CJ11" i="1" s="1"/>
  <c r="BD11" i="1"/>
  <c r="CM11" i="1"/>
  <c r="BE11" i="1"/>
  <c r="BL11" i="1" s="1"/>
  <c r="AR11" i="1"/>
  <c r="AF11" i="1"/>
  <c r="AG11" i="1"/>
  <c r="AN11" i="1" s="1"/>
  <c r="T11" i="1"/>
  <c r="AS11" i="1"/>
  <c r="AZ11" i="1" s="1"/>
  <c r="U11" i="1"/>
  <c r="AB11" i="1" s="1"/>
  <c r="H11" i="1"/>
  <c r="I11" i="1"/>
  <c r="P11" i="1" s="1"/>
  <c r="AH10" i="1"/>
  <c r="AM10" i="1"/>
  <c r="P10" i="7" s="1"/>
  <c r="BW10" i="1"/>
  <c r="AB10" i="7" s="1"/>
  <c r="BR10" i="1"/>
  <c r="AV10" i="6" s="1"/>
  <c r="J10" i="1"/>
  <c r="H10" i="6" s="1"/>
  <c r="O10" i="1"/>
  <c r="H10" i="7" s="1"/>
  <c r="BM9" i="6"/>
  <c r="AK9" i="7"/>
  <c r="BM6" i="6"/>
  <c r="AK6" i="7"/>
  <c r="AD10" i="7"/>
  <c r="BM8" i="6"/>
  <c r="AK8" i="7"/>
  <c r="BM7" i="6"/>
  <c r="AK7" i="7"/>
  <c r="Z10" i="7"/>
  <c r="AQ10" i="6"/>
  <c r="CN12" i="1"/>
  <c r="BL11" i="6"/>
  <c r="Z7" i="6"/>
  <c r="AH7" i="6"/>
  <c r="Z9" i="6"/>
  <c r="AH9" i="6"/>
  <c r="R8" i="6"/>
  <c r="P9" i="6"/>
  <c r="Z8" i="6"/>
  <c r="AH8" i="6"/>
  <c r="Z6" i="6"/>
  <c r="AH6" i="6"/>
  <c r="R7" i="6"/>
  <c r="R6" i="6"/>
  <c r="AM9" i="6"/>
  <c r="R9" i="6"/>
  <c r="AP10" i="6"/>
  <c r="X9" i="6"/>
  <c r="B12" i="1"/>
  <c r="B11" i="6"/>
  <c r="B11" i="7"/>
  <c r="A12" i="1"/>
  <c r="A11" i="6"/>
  <c r="A11" i="7"/>
  <c r="AK5" i="7"/>
  <c r="BM5" i="6"/>
  <c r="J5" i="1"/>
  <c r="H5" i="6" s="1"/>
  <c r="O5" i="1"/>
  <c r="H5" i="7" s="1"/>
  <c r="H9" i="7"/>
  <c r="H9" i="6"/>
  <c r="H8" i="7"/>
  <c r="H8" i="6"/>
  <c r="H7" i="7"/>
  <c r="H7" i="6"/>
  <c r="H6" i="7"/>
  <c r="H6" i="6"/>
  <c r="J5" i="6"/>
  <c r="AI11" i="7" l="1"/>
  <c r="BH11" i="1"/>
  <c r="AR10" i="6"/>
  <c r="AF10" i="6"/>
  <c r="X11" i="1"/>
  <c r="CF11" i="1"/>
  <c r="BF11" i="6" s="1"/>
  <c r="Z11" i="7"/>
  <c r="BT11" i="1"/>
  <c r="AX11" i="6" s="1"/>
  <c r="V11" i="7"/>
  <c r="R11" i="7"/>
  <c r="AV11" i="1"/>
  <c r="N11" i="7"/>
  <c r="AJ11" i="1"/>
  <c r="F11" i="7"/>
  <c r="L11" i="1"/>
  <c r="J11" i="6" s="1"/>
  <c r="AK10" i="7"/>
  <c r="AJ12" i="7"/>
  <c r="BQ12" i="1"/>
  <c r="BX12" i="1" s="1"/>
  <c r="BD12" i="1"/>
  <c r="CB12" i="1"/>
  <c r="BE12" i="1"/>
  <c r="BL12" i="1" s="1"/>
  <c r="CM12" i="1"/>
  <c r="CC12" i="1"/>
  <c r="CJ12" i="1" s="1"/>
  <c r="BP12" i="1"/>
  <c r="AG12" i="1"/>
  <c r="AN12" i="1" s="1"/>
  <c r="U12" i="1"/>
  <c r="AB12" i="1" s="1"/>
  <c r="AF12" i="1"/>
  <c r="AS12" i="1"/>
  <c r="AZ12" i="1" s="1"/>
  <c r="AR12" i="1"/>
  <c r="T12" i="1"/>
  <c r="H12" i="1"/>
  <c r="I12" i="1"/>
  <c r="P12" i="1" s="1"/>
  <c r="V11" i="1"/>
  <c r="AA11" i="1"/>
  <c r="L11" i="7" s="1"/>
  <c r="BW11" i="1"/>
  <c r="AB11" i="7" s="1"/>
  <c r="BR11" i="1"/>
  <c r="AV11" i="6" s="1"/>
  <c r="AH11" i="1"/>
  <c r="AM11" i="1"/>
  <c r="P11" i="7" s="1"/>
  <c r="CD11" i="1"/>
  <c r="BD11" i="6" s="1"/>
  <c r="CI11" i="1"/>
  <c r="AF11" i="7" s="1"/>
  <c r="AT11" i="1"/>
  <c r="AY11" i="1"/>
  <c r="T11" i="7" s="1"/>
  <c r="J11" i="7"/>
  <c r="BK11" i="1"/>
  <c r="X11" i="7" s="1"/>
  <c r="BF11" i="1"/>
  <c r="AN11" i="6" s="1"/>
  <c r="AD11" i="7"/>
  <c r="J11" i="1"/>
  <c r="H11" i="6" s="1"/>
  <c r="O11" i="1"/>
  <c r="H11" i="7" s="1"/>
  <c r="Z10" i="6"/>
  <c r="J8" i="6"/>
  <c r="J7" i="6"/>
  <c r="BL12" i="6"/>
  <c r="CN13" i="1"/>
  <c r="AP11" i="6"/>
  <c r="R10" i="6"/>
  <c r="J10" i="6"/>
  <c r="X10" i="6"/>
  <c r="AQ11" i="6"/>
  <c r="J9" i="6"/>
  <c r="BK11" i="6"/>
  <c r="CO11" i="1"/>
  <c r="AK11" i="7" s="1"/>
  <c r="P10" i="6"/>
  <c r="J6" i="6"/>
  <c r="AM10" i="6"/>
  <c r="B13" i="1"/>
  <c r="B12" i="6"/>
  <c r="B12" i="7"/>
  <c r="A13" i="1"/>
  <c r="A12" i="6"/>
  <c r="A12" i="7"/>
  <c r="BH12" i="1" l="1"/>
  <c r="AR11" i="6"/>
  <c r="AF11" i="6"/>
  <c r="AV12" i="1"/>
  <c r="CF12" i="1"/>
  <c r="BF12" i="6" s="1"/>
  <c r="L12" i="1"/>
  <c r="V12" i="7"/>
  <c r="Z12" i="7"/>
  <c r="BT12" i="1"/>
  <c r="AX12" i="6" s="1"/>
  <c r="N12" i="7"/>
  <c r="AJ12" i="1"/>
  <c r="J12" i="7"/>
  <c r="X12" i="1"/>
  <c r="BW12" i="1"/>
  <c r="AB12" i="7" s="1"/>
  <c r="BR12" i="1"/>
  <c r="AV12" i="6" s="1"/>
  <c r="O12" i="1"/>
  <c r="H12" i="7" s="1"/>
  <c r="J12" i="1"/>
  <c r="H12" i="6" s="1"/>
  <c r="AJ13" i="7"/>
  <c r="BP13" i="1"/>
  <c r="BD13" i="1"/>
  <c r="BE13" i="1"/>
  <c r="BL13" i="1" s="1"/>
  <c r="CM13" i="1"/>
  <c r="CC13" i="1"/>
  <c r="CJ13" i="1" s="1"/>
  <c r="BQ13" i="1"/>
  <c r="BX13" i="1" s="1"/>
  <c r="CB13" i="1"/>
  <c r="AF13" i="1"/>
  <c r="AR13" i="1"/>
  <c r="AG13" i="1"/>
  <c r="AN13" i="1" s="1"/>
  <c r="U13" i="1"/>
  <c r="AB13" i="1" s="1"/>
  <c r="AS13" i="1"/>
  <c r="AZ13" i="1" s="1"/>
  <c r="T13" i="1"/>
  <c r="I13" i="1"/>
  <c r="P13" i="1" s="1"/>
  <c r="H13" i="1"/>
  <c r="AA12" i="1"/>
  <c r="L12" i="7" s="1"/>
  <c r="V12" i="1"/>
  <c r="AT12" i="1"/>
  <c r="AY12" i="1"/>
  <c r="T12" i="7" s="1"/>
  <c r="F12" i="7"/>
  <c r="R12" i="7"/>
  <c r="CI12" i="1"/>
  <c r="AF12" i="7" s="1"/>
  <c r="CD12" i="1"/>
  <c r="BD12" i="6" s="1"/>
  <c r="AI12" i="7"/>
  <c r="AH12" i="1"/>
  <c r="AM12" i="1"/>
  <c r="P12" i="7" s="1"/>
  <c r="BK12" i="1"/>
  <c r="X12" i="7" s="1"/>
  <c r="BF12" i="1"/>
  <c r="AN12" i="6" s="1"/>
  <c r="AD12" i="7"/>
  <c r="BK12" i="6"/>
  <c r="CO12" i="1"/>
  <c r="AK12" i="7" s="1"/>
  <c r="AQ12" i="6"/>
  <c r="BM11" i="6"/>
  <c r="CN14" i="1"/>
  <c r="BL13" i="6"/>
  <c r="AM11" i="6"/>
  <c r="Z11" i="6"/>
  <c r="AH11" i="6"/>
  <c r="X11" i="6"/>
  <c r="R11" i="6"/>
  <c r="P11" i="6"/>
  <c r="AP12" i="6"/>
  <c r="B14" i="1"/>
  <c r="B13" i="6"/>
  <c r="B13" i="7"/>
  <c r="A14" i="1"/>
  <c r="A13" i="6"/>
  <c r="A13" i="7"/>
  <c r="AI13" i="7" l="1"/>
  <c r="BH13" i="1"/>
  <c r="AR12" i="6"/>
  <c r="AF12" i="6"/>
  <c r="Z13" i="7"/>
  <c r="BT13" i="1"/>
  <c r="AX13" i="6" s="1"/>
  <c r="V13" i="7"/>
  <c r="AD13" i="7"/>
  <c r="CF13" i="1"/>
  <c r="BF13" i="6" s="1"/>
  <c r="N13" i="7"/>
  <c r="AJ13" i="1"/>
  <c r="R13" i="7"/>
  <c r="AV13" i="1"/>
  <c r="J13" i="7"/>
  <c r="X13" i="1"/>
  <c r="F13" i="7"/>
  <c r="L13" i="1"/>
  <c r="AA13" i="1"/>
  <c r="L13" i="7" s="1"/>
  <c r="V13" i="1"/>
  <c r="BK13" i="1"/>
  <c r="X13" i="7" s="1"/>
  <c r="BF13" i="1"/>
  <c r="AN13" i="6" s="1"/>
  <c r="AJ14" i="7"/>
  <c r="CC14" i="1"/>
  <c r="CJ14" i="1" s="1"/>
  <c r="BQ14" i="1"/>
  <c r="BX14" i="1" s="1"/>
  <c r="BP14" i="1"/>
  <c r="CB14" i="1"/>
  <c r="BE14" i="1"/>
  <c r="BL14" i="1" s="1"/>
  <c r="BD14" i="1"/>
  <c r="CM14" i="1"/>
  <c r="AG14" i="1"/>
  <c r="AN14" i="1" s="1"/>
  <c r="U14" i="1"/>
  <c r="AB14" i="1" s="1"/>
  <c r="T14" i="1"/>
  <c r="AF14" i="1"/>
  <c r="AS14" i="1"/>
  <c r="AZ14" i="1" s="1"/>
  <c r="AR14" i="1"/>
  <c r="H14" i="1"/>
  <c r="I14" i="1"/>
  <c r="P14" i="1" s="1"/>
  <c r="AT13" i="1"/>
  <c r="AY13" i="1"/>
  <c r="T13" i="7" s="1"/>
  <c r="BR13" i="1"/>
  <c r="AV13" i="6" s="1"/>
  <c r="BW13" i="1"/>
  <c r="AB13" i="7" s="1"/>
  <c r="AM13" i="1"/>
  <c r="P13" i="7" s="1"/>
  <c r="AH13" i="1"/>
  <c r="J13" i="1"/>
  <c r="H13" i="6" s="1"/>
  <c r="O13" i="1"/>
  <c r="H13" i="7" s="1"/>
  <c r="CI13" i="1"/>
  <c r="AF13" i="7" s="1"/>
  <c r="CD13" i="1"/>
  <c r="BD13" i="6" s="1"/>
  <c r="X12" i="6"/>
  <c r="P12" i="6"/>
  <c r="CN15" i="1"/>
  <c r="BL14" i="6"/>
  <c r="AP13" i="6"/>
  <c r="BK13" i="6"/>
  <c r="CO13" i="1"/>
  <c r="AK13" i="7" s="1"/>
  <c r="BM12" i="6"/>
  <c r="Z12" i="6"/>
  <c r="AH12" i="6"/>
  <c r="AM12" i="6"/>
  <c r="J12" i="6"/>
  <c r="AQ13" i="6"/>
  <c r="R12" i="6"/>
  <c r="B15" i="1"/>
  <c r="B14" i="6"/>
  <c r="B14" i="7"/>
  <c r="A15" i="1"/>
  <c r="A14" i="6"/>
  <c r="A14" i="7"/>
  <c r="AI14" i="7" l="1"/>
  <c r="BH14" i="1"/>
  <c r="AR13" i="6"/>
  <c r="AF13" i="6"/>
  <c r="X14" i="1"/>
  <c r="AV14" i="1"/>
  <c r="Z14" i="7"/>
  <c r="BT14" i="1"/>
  <c r="AX14" i="6" s="1"/>
  <c r="AD14" i="7"/>
  <c r="CF14" i="1"/>
  <c r="BF14" i="6" s="1"/>
  <c r="V14" i="7"/>
  <c r="N14" i="7"/>
  <c r="AJ14" i="1"/>
  <c r="F14" i="7"/>
  <c r="L14" i="1"/>
  <c r="CI14" i="1"/>
  <c r="AF14" i="7" s="1"/>
  <c r="CD14" i="1"/>
  <c r="BD14" i="6" s="1"/>
  <c r="AH14" i="1"/>
  <c r="AM14" i="1"/>
  <c r="P14" i="7" s="1"/>
  <c r="BR14" i="1"/>
  <c r="AV14" i="6" s="1"/>
  <c r="BW14" i="1"/>
  <c r="AB14" i="7" s="1"/>
  <c r="AT14" i="1"/>
  <c r="AY14" i="1"/>
  <c r="T14" i="7" s="1"/>
  <c r="V14" i="1"/>
  <c r="AA14" i="1"/>
  <c r="L14" i="7" s="1"/>
  <c r="AJ15" i="7"/>
  <c r="CM15" i="1"/>
  <c r="BP15" i="1"/>
  <c r="BD15" i="1"/>
  <c r="BQ15" i="1"/>
  <c r="BX15" i="1" s="1"/>
  <c r="BE15" i="1"/>
  <c r="BL15" i="1" s="1"/>
  <c r="CC15" i="1"/>
  <c r="CJ15" i="1" s="1"/>
  <c r="CB15" i="1"/>
  <c r="AS15" i="1"/>
  <c r="AZ15" i="1" s="1"/>
  <c r="AR15" i="1"/>
  <c r="AF15" i="1"/>
  <c r="U15" i="1"/>
  <c r="AB15" i="1" s="1"/>
  <c r="AG15" i="1"/>
  <c r="AN15" i="1" s="1"/>
  <c r="T15" i="1"/>
  <c r="I15" i="1"/>
  <c r="P15" i="1" s="1"/>
  <c r="H15" i="1"/>
  <c r="R14" i="7"/>
  <c r="J14" i="7"/>
  <c r="O14" i="1"/>
  <c r="H14" i="7" s="1"/>
  <c r="J14" i="1"/>
  <c r="H14" i="6" s="1"/>
  <c r="BK14" i="1"/>
  <c r="X14" i="7" s="1"/>
  <c r="BF14" i="1"/>
  <c r="AN14" i="6" s="1"/>
  <c r="BK14" i="6"/>
  <c r="CO14" i="1"/>
  <c r="AK14" i="7" s="1"/>
  <c r="J13" i="6"/>
  <c r="X13" i="6"/>
  <c r="AM13" i="6"/>
  <c r="Z13" i="6"/>
  <c r="AH13" i="6"/>
  <c r="CN16" i="1"/>
  <c r="BL15" i="6"/>
  <c r="BM13" i="6"/>
  <c r="P13" i="6"/>
  <c r="R13" i="6"/>
  <c r="AP14" i="6"/>
  <c r="AQ14" i="6"/>
  <c r="B16" i="1"/>
  <c r="B15" i="6"/>
  <c r="B15" i="7"/>
  <c r="A16" i="1"/>
  <c r="A15" i="6"/>
  <c r="A15" i="7"/>
  <c r="AI15" i="7" l="1"/>
  <c r="BH15" i="1"/>
  <c r="AR14" i="6"/>
  <c r="AF14" i="6"/>
  <c r="CF15" i="1"/>
  <c r="BF15" i="6" s="1"/>
  <c r="Z15" i="7"/>
  <c r="BT15" i="1"/>
  <c r="AX15" i="6" s="1"/>
  <c r="V15" i="7"/>
  <c r="R15" i="7"/>
  <c r="AV15" i="1"/>
  <c r="N15" i="7"/>
  <c r="AJ15" i="1"/>
  <c r="J15" i="7"/>
  <c r="X15" i="1"/>
  <c r="F15" i="7"/>
  <c r="L15" i="1"/>
  <c r="O15" i="1"/>
  <c r="H15" i="7" s="1"/>
  <c r="J15" i="1"/>
  <c r="H15" i="6" s="1"/>
  <c r="CI15" i="1"/>
  <c r="AF15" i="7" s="1"/>
  <c r="CD15" i="1"/>
  <c r="BD15" i="6" s="1"/>
  <c r="AJ16" i="7"/>
  <c r="BQ16" i="1"/>
  <c r="BX16" i="1" s="1"/>
  <c r="CC16" i="1"/>
  <c r="CJ16" i="1" s="1"/>
  <c r="CB16" i="1"/>
  <c r="BP16" i="1"/>
  <c r="BD16" i="1"/>
  <c r="CM16" i="1"/>
  <c r="BE16" i="1"/>
  <c r="BL16" i="1" s="1"/>
  <c r="AS16" i="1"/>
  <c r="AZ16" i="1" s="1"/>
  <c r="T16" i="1"/>
  <c r="AG16" i="1"/>
  <c r="AN16" i="1" s="1"/>
  <c r="AR16" i="1"/>
  <c r="AF16" i="1"/>
  <c r="U16" i="1"/>
  <c r="AB16" i="1" s="1"/>
  <c r="H16" i="1"/>
  <c r="I16" i="1"/>
  <c r="P16" i="1" s="1"/>
  <c r="V15" i="1"/>
  <c r="AA15" i="1"/>
  <c r="L15" i="7" s="1"/>
  <c r="BK15" i="1"/>
  <c r="X15" i="7" s="1"/>
  <c r="BF15" i="1"/>
  <c r="AN15" i="6" s="1"/>
  <c r="AH15" i="1"/>
  <c r="AM15" i="1"/>
  <c r="P15" i="7" s="1"/>
  <c r="BW15" i="1"/>
  <c r="AB15" i="7" s="1"/>
  <c r="BR15" i="1"/>
  <c r="AV15" i="6" s="1"/>
  <c r="AD15" i="7"/>
  <c r="AT15" i="1"/>
  <c r="AY15" i="1"/>
  <c r="T15" i="7" s="1"/>
  <c r="BK15" i="6"/>
  <c r="CO15" i="1"/>
  <c r="AK15" i="7" s="1"/>
  <c r="BM14" i="6"/>
  <c r="AH14" i="6"/>
  <c r="Z14" i="6"/>
  <c r="AM14" i="6"/>
  <c r="X14" i="6"/>
  <c r="J14" i="6"/>
  <c r="AP15" i="6"/>
  <c r="R14" i="6"/>
  <c r="AQ15" i="6"/>
  <c r="P14" i="6"/>
  <c r="CN17" i="1"/>
  <c r="BL16" i="6"/>
  <c r="B17" i="1"/>
  <c r="B16" i="6"/>
  <c r="B16" i="7"/>
  <c r="A17" i="1"/>
  <c r="A16" i="6"/>
  <c r="A16" i="7"/>
  <c r="AI16" i="7" l="1"/>
  <c r="BH16" i="1"/>
  <c r="AR15" i="6"/>
  <c r="AF15" i="6"/>
  <c r="CF16" i="1"/>
  <c r="BF16" i="6" s="1"/>
  <c r="X16" i="1"/>
  <c r="Z16" i="7"/>
  <c r="BT16" i="1"/>
  <c r="AX16" i="6" s="1"/>
  <c r="V16" i="7"/>
  <c r="R16" i="7"/>
  <c r="AV16" i="1"/>
  <c r="N16" i="7"/>
  <c r="AJ16" i="1"/>
  <c r="F16" i="7"/>
  <c r="L16" i="1"/>
  <c r="CI16" i="1"/>
  <c r="AF16" i="7" s="1"/>
  <c r="CD16" i="1"/>
  <c r="BD16" i="6" s="1"/>
  <c r="AA16" i="1"/>
  <c r="L16" i="7" s="1"/>
  <c r="V16" i="1"/>
  <c r="AY16" i="1"/>
  <c r="T16" i="7" s="1"/>
  <c r="AT16" i="1"/>
  <c r="AD16" i="7"/>
  <c r="J16" i="7"/>
  <c r="BK16" i="1"/>
  <c r="X16" i="7" s="1"/>
  <c r="BF16" i="1"/>
  <c r="AN16" i="6" s="1"/>
  <c r="AJ17" i="7"/>
  <c r="CB17" i="1"/>
  <c r="CM17" i="1"/>
  <c r="BQ17" i="1"/>
  <c r="BX17" i="1" s="1"/>
  <c r="BD17" i="1"/>
  <c r="CC17" i="1"/>
  <c r="CJ17" i="1" s="1"/>
  <c r="BP17" i="1"/>
  <c r="BE17" i="1"/>
  <c r="BL17" i="1" s="1"/>
  <c r="AR17" i="1"/>
  <c r="U17" i="1"/>
  <c r="AB17" i="1" s="1"/>
  <c r="AS17" i="1"/>
  <c r="AZ17" i="1" s="1"/>
  <c r="T17" i="1"/>
  <c r="AG17" i="1"/>
  <c r="AN17" i="1" s="1"/>
  <c r="AF17" i="1"/>
  <c r="H17" i="1"/>
  <c r="I17" i="1"/>
  <c r="P17" i="1" s="1"/>
  <c r="O16" i="1"/>
  <c r="H16" i="7" s="1"/>
  <c r="J16" i="1"/>
  <c r="H16" i="6" s="1"/>
  <c r="AH16" i="1"/>
  <c r="AM16" i="1"/>
  <c r="P16" i="7" s="1"/>
  <c r="BW16" i="1"/>
  <c r="AB16" i="7" s="1"/>
  <c r="BR16" i="1"/>
  <c r="AV16" i="6" s="1"/>
  <c r="Z15" i="6"/>
  <c r="AH15" i="6"/>
  <c r="BK16" i="6"/>
  <c r="CO16" i="1"/>
  <c r="AK16" i="7" s="1"/>
  <c r="X15" i="6"/>
  <c r="AQ16" i="6"/>
  <c r="AM15" i="6"/>
  <c r="AP16" i="6"/>
  <c r="R15" i="6"/>
  <c r="CN18" i="1"/>
  <c r="BL17" i="6"/>
  <c r="BM15" i="6"/>
  <c r="J15" i="6"/>
  <c r="P15" i="6"/>
  <c r="B18" i="1"/>
  <c r="B17" i="6"/>
  <c r="B17" i="7"/>
  <c r="A18" i="1"/>
  <c r="A17" i="6"/>
  <c r="A17" i="7"/>
  <c r="AI17" i="7" l="1"/>
  <c r="BH17" i="1"/>
  <c r="AR16" i="6"/>
  <c r="AF16" i="6"/>
  <c r="AV17" i="1"/>
  <c r="L17" i="1"/>
  <c r="CF17" i="1"/>
  <c r="BF17" i="6" s="1"/>
  <c r="V17" i="7"/>
  <c r="Z17" i="7"/>
  <c r="BT17" i="1"/>
  <c r="AX17" i="6" s="1"/>
  <c r="J17" i="7"/>
  <c r="X17" i="1"/>
  <c r="N17" i="7"/>
  <c r="AJ17" i="1"/>
  <c r="J17" i="1"/>
  <c r="H17" i="6" s="1"/>
  <c r="O17" i="1"/>
  <c r="H17" i="7" s="1"/>
  <c r="BW17" i="1"/>
  <c r="AB17" i="7" s="1"/>
  <c r="BR17" i="1"/>
  <c r="AV17" i="6" s="1"/>
  <c r="AH17" i="1"/>
  <c r="AM17" i="1"/>
  <c r="P17" i="7" s="1"/>
  <c r="BF17" i="1"/>
  <c r="AN17" i="6" s="1"/>
  <c r="BK17" i="1"/>
  <c r="X17" i="7" s="1"/>
  <c r="AA17" i="1"/>
  <c r="L17" i="7" s="1"/>
  <c r="V17" i="1"/>
  <c r="F17" i="7"/>
  <c r="AJ18" i="7"/>
  <c r="CM18" i="1"/>
  <c r="BQ18" i="1"/>
  <c r="BX18" i="1" s="1"/>
  <c r="CB18" i="1"/>
  <c r="BE18" i="1"/>
  <c r="BL18" i="1" s="1"/>
  <c r="BD18" i="1"/>
  <c r="BP18" i="1"/>
  <c r="CC18" i="1"/>
  <c r="CJ18" i="1" s="1"/>
  <c r="T18" i="1"/>
  <c r="AF18" i="1"/>
  <c r="AS18" i="1"/>
  <c r="AZ18" i="1" s="1"/>
  <c r="AR18" i="1"/>
  <c r="U18" i="1"/>
  <c r="AB18" i="1" s="1"/>
  <c r="AG18" i="1"/>
  <c r="AN18" i="1" s="1"/>
  <c r="H18" i="1"/>
  <c r="I18" i="1"/>
  <c r="P18" i="1" s="1"/>
  <c r="CI17" i="1"/>
  <c r="AF17" i="7" s="1"/>
  <c r="CD17" i="1"/>
  <c r="BD17" i="6" s="1"/>
  <c r="AD17" i="7"/>
  <c r="AT17" i="1"/>
  <c r="AY17" i="1"/>
  <c r="T17" i="7" s="1"/>
  <c r="R17" i="7"/>
  <c r="BK17" i="6"/>
  <c r="CO17" i="1"/>
  <c r="AK17" i="7" s="1"/>
  <c r="AM16" i="6"/>
  <c r="R16" i="6"/>
  <c r="P16" i="6"/>
  <c r="J16" i="6"/>
  <c r="AQ17" i="6"/>
  <c r="Z16" i="6"/>
  <c r="AH16" i="6"/>
  <c r="X16" i="6"/>
  <c r="AP17" i="6"/>
  <c r="CN19" i="1"/>
  <c r="BL18" i="6"/>
  <c r="BM16" i="6"/>
  <c r="B19" i="1"/>
  <c r="B18" i="6"/>
  <c r="B18" i="7"/>
  <c r="A19" i="1"/>
  <c r="A18" i="6"/>
  <c r="A18" i="7"/>
  <c r="AI18" i="7" l="1"/>
  <c r="BH18" i="1"/>
  <c r="AR17" i="6"/>
  <c r="AF17" i="6"/>
  <c r="AJ18" i="1"/>
  <c r="AD18" i="7"/>
  <c r="CF18" i="1"/>
  <c r="BF18" i="6" s="1"/>
  <c r="V18" i="7"/>
  <c r="Z18" i="7"/>
  <c r="BT18" i="1"/>
  <c r="AX18" i="6" s="1"/>
  <c r="J18" i="7"/>
  <c r="X18" i="1"/>
  <c r="R18" i="7"/>
  <c r="AV18" i="1"/>
  <c r="F18" i="7"/>
  <c r="L18" i="1"/>
  <c r="BK18" i="1"/>
  <c r="X18" i="7" s="1"/>
  <c r="BF18" i="1"/>
  <c r="AN18" i="6" s="1"/>
  <c r="AY18" i="1"/>
  <c r="T18" i="7" s="1"/>
  <c r="AT18" i="1"/>
  <c r="CI18" i="1"/>
  <c r="AF18" i="7" s="1"/>
  <c r="CD18" i="1"/>
  <c r="BD18" i="6" s="1"/>
  <c r="AH18" i="1"/>
  <c r="AM18" i="1"/>
  <c r="P18" i="7" s="1"/>
  <c r="AA18" i="1"/>
  <c r="L18" i="7" s="1"/>
  <c r="V18" i="1"/>
  <c r="AJ19" i="7"/>
  <c r="CC19" i="1"/>
  <c r="CJ19" i="1" s="1"/>
  <c r="CB19" i="1"/>
  <c r="CM19" i="1"/>
  <c r="BE19" i="1"/>
  <c r="BL19" i="1" s="1"/>
  <c r="BQ19" i="1"/>
  <c r="BX19" i="1" s="1"/>
  <c r="BP19" i="1"/>
  <c r="BD19" i="1"/>
  <c r="U19" i="1"/>
  <c r="AB19" i="1" s="1"/>
  <c r="AG19" i="1"/>
  <c r="AN19" i="1" s="1"/>
  <c r="T19" i="1"/>
  <c r="AF19" i="1"/>
  <c r="AR19" i="1"/>
  <c r="AS19" i="1"/>
  <c r="AZ19" i="1" s="1"/>
  <c r="I19" i="1"/>
  <c r="P19" i="1" s="1"/>
  <c r="H19" i="1"/>
  <c r="N18" i="7"/>
  <c r="O18" i="1"/>
  <c r="H18" i="7" s="1"/>
  <c r="J18" i="1"/>
  <c r="H18" i="6" s="1"/>
  <c r="BW18" i="1"/>
  <c r="AB18" i="7" s="1"/>
  <c r="BR18" i="1"/>
  <c r="AV18" i="6" s="1"/>
  <c r="AP18" i="6"/>
  <c r="X17" i="6"/>
  <c r="P17" i="6"/>
  <c r="AQ18" i="6"/>
  <c r="Z17" i="6"/>
  <c r="AH17" i="6"/>
  <c r="AM17" i="6"/>
  <c r="CN20" i="1"/>
  <c r="CN21" i="1" s="1"/>
  <c r="BL19" i="6"/>
  <c r="BK18" i="6"/>
  <c r="CO18" i="1"/>
  <c r="AK18" i="7" s="1"/>
  <c r="J17" i="6"/>
  <c r="BM17" i="6"/>
  <c r="R17" i="6"/>
  <c r="B20" i="1"/>
  <c r="B19" i="6"/>
  <c r="B19" i="7"/>
  <c r="A20" i="1"/>
  <c r="A19" i="6"/>
  <c r="A19" i="7"/>
  <c r="BD21" i="1" l="1"/>
  <c r="U21" i="1"/>
  <c r="AB21" i="1" s="1"/>
  <c r="BE21" i="1"/>
  <c r="BL21" i="1" s="1"/>
  <c r="BP21" i="1"/>
  <c r="T21" i="1"/>
  <c r="BQ21" i="1"/>
  <c r="BX21" i="1" s="1"/>
  <c r="CM21" i="1"/>
  <c r="CB21" i="1"/>
  <c r="I21" i="1"/>
  <c r="P21" i="1" s="1"/>
  <c r="H21" i="1"/>
  <c r="AS21" i="1"/>
  <c r="AZ21" i="1" s="1"/>
  <c r="BL21" i="6"/>
  <c r="AJ21" i="7"/>
  <c r="CC21" i="1"/>
  <c r="CJ21" i="1" s="1"/>
  <c r="AG21" i="1"/>
  <c r="AN21" i="1" s="1"/>
  <c r="AR21" i="1"/>
  <c r="CN22" i="1"/>
  <c r="AF21" i="1"/>
  <c r="AI19" i="7"/>
  <c r="BH19" i="1"/>
  <c r="AR18" i="6"/>
  <c r="AF18" i="6"/>
  <c r="AJ19" i="1"/>
  <c r="AV19" i="1"/>
  <c r="AD19" i="7"/>
  <c r="CF19" i="1"/>
  <c r="BF19" i="6" s="1"/>
  <c r="Z19" i="7"/>
  <c r="BT19" i="1"/>
  <c r="AX19" i="6" s="1"/>
  <c r="V19" i="7"/>
  <c r="J19" i="7"/>
  <c r="X19" i="1"/>
  <c r="F19" i="7"/>
  <c r="L19" i="1"/>
  <c r="AA19" i="1"/>
  <c r="L19" i="7" s="1"/>
  <c r="V19" i="1"/>
  <c r="CI19" i="1"/>
  <c r="AF19" i="7" s="1"/>
  <c r="CD19" i="1"/>
  <c r="BD19" i="6" s="1"/>
  <c r="AY19" i="1"/>
  <c r="T19" i="7" s="1"/>
  <c r="AT19" i="1"/>
  <c r="AM19" i="1"/>
  <c r="P19" i="7" s="1"/>
  <c r="AH19" i="1"/>
  <c r="N19" i="7"/>
  <c r="BR19" i="1"/>
  <c r="AV19" i="6" s="1"/>
  <c r="BW19" i="1"/>
  <c r="AB19" i="7" s="1"/>
  <c r="AJ20" i="7"/>
  <c r="BD20" i="1"/>
  <c r="CC20" i="1"/>
  <c r="CJ20" i="1" s="1"/>
  <c r="CB20" i="1"/>
  <c r="CM20" i="1"/>
  <c r="BE20" i="1"/>
  <c r="BL20" i="1" s="1"/>
  <c r="BQ20" i="1"/>
  <c r="BX20" i="1" s="1"/>
  <c r="BP20" i="1"/>
  <c r="AF20" i="1"/>
  <c r="AR20" i="1"/>
  <c r="T20" i="1"/>
  <c r="U20" i="1"/>
  <c r="AB20" i="1" s="1"/>
  <c r="AS20" i="1"/>
  <c r="AZ20" i="1" s="1"/>
  <c r="AG20" i="1"/>
  <c r="AN20" i="1" s="1"/>
  <c r="I20" i="1"/>
  <c r="P20" i="1" s="1"/>
  <c r="H20" i="1"/>
  <c r="R19" i="7"/>
  <c r="O19" i="1"/>
  <c r="H19" i="7" s="1"/>
  <c r="J19" i="1"/>
  <c r="H19" i="6" s="1"/>
  <c r="BK19" i="1"/>
  <c r="X19" i="7" s="1"/>
  <c r="BF19" i="1"/>
  <c r="AN19" i="6" s="1"/>
  <c r="AQ19" i="6"/>
  <c r="BK19" i="6"/>
  <c r="CO19" i="1"/>
  <c r="AK19" i="7" s="1"/>
  <c r="BM18" i="6"/>
  <c r="BL20" i="6"/>
  <c r="Z18" i="6"/>
  <c r="AH18" i="6"/>
  <c r="X18" i="6"/>
  <c r="P18" i="6"/>
  <c r="AP19" i="6"/>
  <c r="R18" i="6"/>
  <c r="J18" i="6"/>
  <c r="AM18" i="6"/>
  <c r="B21" i="1"/>
  <c r="B20" i="6"/>
  <c r="A21" i="1"/>
  <c r="A20" i="6"/>
  <c r="AM21" i="1" l="1"/>
  <c r="P21" i="7" s="1"/>
  <c r="AH21" i="1"/>
  <c r="X21" i="6" s="1"/>
  <c r="N21" i="7"/>
  <c r="F21" i="7"/>
  <c r="O21" i="1"/>
  <c r="H21" i="7" s="1"/>
  <c r="J21" i="1"/>
  <c r="H21" i="6" s="1"/>
  <c r="CD21" i="1"/>
  <c r="BD21" i="6" s="1"/>
  <c r="CI21" i="1"/>
  <c r="AF21" i="7" s="1"/>
  <c r="AD21" i="7"/>
  <c r="H22" i="1"/>
  <c r="AF22" i="1"/>
  <c r="AS22" i="1"/>
  <c r="AZ22" i="1" s="1"/>
  <c r="BL22" i="6"/>
  <c r="U22" i="1"/>
  <c r="AB22" i="1" s="1"/>
  <c r="AJ22" i="7"/>
  <c r="CN23" i="1"/>
  <c r="CN24" i="1" s="1"/>
  <c r="BP22" i="1"/>
  <c r="CC22" i="1"/>
  <c r="CJ22" i="1" s="1"/>
  <c r="I22" i="1"/>
  <c r="P22" i="1" s="1"/>
  <c r="CM22" i="1"/>
  <c r="CB22" i="1"/>
  <c r="BQ22" i="1"/>
  <c r="BX22" i="1" s="1"/>
  <c r="BE22" i="1"/>
  <c r="BL22" i="1" s="1"/>
  <c r="BD22" i="1"/>
  <c r="T22" i="1"/>
  <c r="AG22" i="1"/>
  <c r="AN22" i="1" s="1"/>
  <c r="AR22" i="1"/>
  <c r="AT21" i="1"/>
  <c r="AF21" i="6" s="1"/>
  <c r="AY21" i="1"/>
  <c r="T21" i="7" s="1"/>
  <c r="R21" i="7"/>
  <c r="BH21" i="1"/>
  <c r="BK21" i="6"/>
  <c r="X21" i="1"/>
  <c r="R21" i="6" s="1"/>
  <c r="AI21" i="7"/>
  <c r="L21" i="1"/>
  <c r="J21" i="6" s="1"/>
  <c r="BT21" i="1"/>
  <c r="AX21" i="6" s="1"/>
  <c r="CF21" i="1"/>
  <c r="BF21" i="6" s="1"/>
  <c r="AV21" i="1"/>
  <c r="CO21" i="1"/>
  <c r="AJ21" i="1"/>
  <c r="Z21" i="6" s="1"/>
  <c r="J21" i="7"/>
  <c r="V21" i="1"/>
  <c r="P21" i="6" s="1"/>
  <c r="AA21" i="1"/>
  <c r="L21" i="7" s="1"/>
  <c r="Z21" i="7"/>
  <c r="BW21" i="1"/>
  <c r="AB21" i="7" s="1"/>
  <c r="BR21" i="1"/>
  <c r="AV21" i="6" s="1"/>
  <c r="BK21" i="1"/>
  <c r="X21" i="7" s="1"/>
  <c r="V21" i="7"/>
  <c r="BF21" i="1"/>
  <c r="AN21" i="6" s="1"/>
  <c r="AI20" i="7"/>
  <c r="BH20" i="1"/>
  <c r="AR19" i="6"/>
  <c r="AF19" i="6"/>
  <c r="CF20" i="1"/>
  <c r="BF20" i="6" s="1"/>
  <c r="X20" i="1"/>
  <c r="R20" i="6" s="1"/>
  <c r="V20" i="7"/>
  <c r="Z20" i="7"/>
  <c r="BT20" i="1"/>
  <c r="AX20" i="6" s="1"/>
  <c r="N20" i="7"/>
  <c r="AJ20" i="1"/>
  <c r="Z20" i="6" s="1"/>
  <c r="R20" i="7"/>
  <c r="AV20" i="1"/>
  <c r="F20" i="7"/>
  <c r="L20" i="1"/>
  <c r="J20" i="6" s="1"/>
  <c r="CI20" i="1"/>
  <c r="CD20" i="1"/>
  <c r="BD20" i="6" s="1"/>
  <c r="AA20" i="1"/>
  <c r="L20" i="7" s="1"/>
  <c r="V20" i="1"/>
  <c r="P20" i="6" s="1"/>
  <c r="AM20" i="1"/>
  <c r="AH20" i="1"/>
  <c r="X20" i="6" s="1"/>
  <c r="O20" i="1"/>
  <c r="J20" i="1"/>
  <c r="H20" i="6" s="1"/>
  <c r="BW20" i="1"/>
  <c r="BR20" i="1"/>
  <c r="AV20" i="6" s="1"/>
  <c r="AD20" i="7"/>
  <c r="AY20" i="1"/>
  <c r="AT20" i="1"/>
  <c r="AF20" i="6" s="1"/>
  <c r="BK20" i="1"/>
  <c r="BF20" i="1"/>
  <c r="AN20" i="6" s="1"/>
  <c r="J20" i="7"/>
  <c r="AM19" i="6"/>
  <c r="J19" i="6"/>
  <c r="BK20" i="6"/>
  <c r="CO20" i="1"/>
  <c r="Z19" i="6"/>
  <c r="AH19" i="6"/>
  <c r="R19" i="6"/>
  <c r="P19" i="6"/>
  <c r="X19" i="6"/>
  <c r="BM19" i="6"/>
  <c r="B22" i="1"/>
  <c r="B21" i="6"/>
  <c r="A22" i="1"/>
  <c r="A21" i="6"/>
  <c r="BP24" i="1" l="1"/>
  <c r="BD24" i="1"/>
  <c r="T24" i="1"/>
  <c r="CB24" i="1"/>
  <c r="AS24" i="1"/>
  <c r="AF24" i="1"/>
  <c r="U24" i="1"/>
  <c r="AB24" i="1" s="1"/>
  <c r="AR24" i="1"/>
  <c r="CM24" i="1"/>
  <c r="CN25" i="1"/>
  <c r="AG24" i="1"/>
  <c r="AN24" i="1" s="1"/>
  <c r="I24" i="1"/>
  <c r="P24" i="1" s="1"/>
  <c r="BQ24" i="1"/>
  <c r="BX24" i="1" s="1"/>
  <c r="BE24" i="1"/>
  <c r="BL24" i="1" s="1"/>
  <c r="CC24" i="1"/>
  <c r="CJ24" i="1" s="1"/>
  <c r="H24" i="1"/>
  <c r="BW22" i="1"/>
  <c r="AB22" i="7" s="1"/>
  <c r="BR22" i="1"/>
  <c r="AV22" i="6" s="1"/>
  <c r="Z22" i="7"/>
  <c r="BL23" i="6"/>
  <c r="BE23" i="1"/>
  <c r="BL23" i="1" s="1"/>
  <c r="BP23" i="1"/>
  <c r="CC23" i="1"/>
  <c r="CJ23" i="1" s="1"/>
  <c r="I23" i="1"/>
  <c r="P23" i="1" s="1"/>
  <c r="AR23" i="1"/>
  <c r="U23" i="1"/>
  <c r="AB23" i="1" s="1"/>
  <c r="BD23" i="1"/>
  <c r="CB23" i="1"/>
  <c r="CM23" i="1"/>
  <c r="BQ23" i="1"/>
  <c r="BX23" i="1" s="1"/>
  <c r="AS23" i="1"/>
  <c r="AZ23" i="1" s="1"/>
  <c r="AF23" i="1"/>
  <c r="H23" i="1"/>
  <c r="T23" i="1"/>
  <c r="AG23" i="1"/>
  <c r="AN23" i="1" s="1"/>
  <c r="AJ23" i="7"/>
  <c r="AM22" i="1"/>
  <c r="P22" i="7" s="1"/>
  <c r="N22" i="7"/>
  <c r="AH22" i="1"/>
  <c r="X22" i="6" s="1"/>
  <c r="AK21" i="7"/>
  <c r="BM21" i="6"/>
  <c r="F22" i="7"/>
  <c r="O22" i="1"/>
  <c r="H22" i="7" s="1"/>
  <c r="J22" i="1"/>
  <c r="H22" i="6" s="1"/>
  <c r="AT22" i="1"/>
  <c r="AF22" i="6" s="1"/>
  <c r="AY22" i="1"/>
  <c r="T22" i="7" s="1"/>
  <c r="R22" i="7"/>
  <c r="BK22" i="1"/>
  <c r="X22" i="7" s="1"/>
  <c r="BF22" i="1"/>
  <c r="AN22" i="6" s="1"/>
  <c r="V22" i="7"/>
  <c r="AA22" i="1"/>
  <c r="L22" i="7" s="1"/>
  <c r="J22" i="7"/>
  <c r="V22" i="1"/>
  <c r="P22" i="6" s="1"/>
  <c r="AD22" i="7"/>
  <c r="CI22" i="1"/>
  <c r="AF22" i="7" s="1"/>
  <c r="CD22" i="1"/>
  <c r="BD22" i="6" s="1"/>
  <c r="BH22" i="1"/>
  <c r="CO22" i="1"/>
  <c r="CF22" i="1"/>
  <c r="BF22" i="6" s="1"/>
  <c r="AV22" i="1"/>
  <c r="BK22" i="6"/>
  <c r="AJ22" i="1"/>
  <c r="Z22" i="6" s="1"/>
  <c r="BT22" i="1"/>
  <c r="AX22" i="6" s="1"/>
  <c r="AI22" i="7"/>
  <c r="X22" i="1"/>
  <c r="R22" i="6" s="1"/>
  <c r="L22" i="1"/>
  <c r="J22" i="6" s="1"/>
  <c r="H20" i="7"/>
  <c r="AF20" i="7"/>
  <c r="X20" i="7"/>
  <c r="P20" i="7"/>
  <c r="T20" i="7"/>
  <c r="AB20" i="7"/>
  <c r="BM20" i="6"/>
  <c r="AK20" i="7"/>
  <c r="B23" i="1"/>
  <c r="B22" i="6"/>
  <c r="A23" i="1"/>
  <c r="A22" i="6"/>
  <c r="O24" i="1" l="1"/>
  <c r="J24" i="1"/>
  <c r="CB25" i="1"/>
  <c r="BP25" i="1"/>
  <c r="AF25" i="1"/>
  <c r="CN26" i="1"/>
  <c r="BE25" i="1"/>
  <c r="BL25" i="1" s="1"/>
  <c r="BD25" i="1"/>
  <c r="CM25" i="1"/>
  <c r="BQ25" i="1"/>
  <c r="BX25" i="1" s="1"/>
  <c r="CC25" i="1"/>
  <c r="CJ25" i="1" s="1"/>
  <c r="T25" i="1"/>
  <c r="AR25" i="1"/>
  <c r="U25" i="1"/>
  <c r="AB25" i="1" s="1"/>
  <c r="AG25" i="1"/>
  <c r="AN25" i="1" s="1"/>
  <c r="AS25" i="1"/>
  <c r="H25" i="1"/>
  <c r="I25" i="1"/>
  <c r="P25" i="1" s="1"/>
  <c r="AH24" i="1"/>
  <c r="AM24" i="1"/>
  <c r="AM20" i="6" s="1"/>
  <c r="CI24" i="1"/>
  <c r="CD24" i="1"/>
  <c r="AA24" i="1"/>
  <c r="V24" i="1"/>
  <c r="BH24" i="1"/>
  <c r="AV24" i="1"/>
  <c r="BT24" i="1"/>
  <c r="CF24" i="1"/>
  <c r="L24" i="1"/>
  <c r="X24" i="1"/>
  <c r="AJ24" i="1"/>
  <c r="AH20" i="6" s="1"/>
  <c r="CO24" i="1"/>
  <c r="BK24" i="1"/>
  <c r="BF24" i="1"/>
  <c r="AY24" i="1"/>
  <c r="AT24" i="1"/>
  <c r="AR20" i="6" s="1"/>
  <c r="AP20" i="6"/>
  <c r="AZ24" i="1"/>
  <c r="AQ20" i="6"/>
  <c r="BW24" i="1"/>
  <c r="BR24" i="1"/>
  <c r="AM23" i="1"/>
  <c r="AH23" i="1"/>
  <c r="X23" i="6" s="1"/>
  <c r="N23" i="7"/>
  <c r="R23" i="7"/>
  <c r="AY23" i="1"/>
  <c r="AT23" i="1"/>
  <c r="AF23" i="6" s="1"/>
  <c r="AD23" i="7"/>
  <c r="CD23" i="1"/>
  <c r="BD23" i="6" s="1"/>
  <c r="CI23" i="1"/>
  <c r="J23" i="1"/>
  <c r="H23" i="6" s="1"/>
  <c r="F23" i="7"/>
  <c r="O23" i="1"/>
  <c r="BK23" i="1"/>
  <c r="V23" i="7"/>
  <c r="BF23" i="1"/>
  <c r="AN23" i="6" s="1"/>
  <c r="Z23" i="7"/>
  <c r="BW23" i="1"/>
  <c r="AB23" i="7" s="1"/>
  <c r="BR23" i="1"/>
  <c r="AV23" i="6" s="1"/>
  <c r="AJ23" i="1"/>
  <c r="Z23" i="6" s="1"/>
  <c r="L23" i="1"/>
  <c r="J23" i="6" s="1"/>
  <c r="AI23" i="7"/>
  <c r="BH23" i="1"/>
  <c r="AV23" i="1"/>
  <c r="X23" i="1"/>
  <c r="R23" i="6" s="1"/>
  <c r="CO23" i="1"/>
  <c r="CF23" i="1"/>
  <c r="BF23" i="6" s="1"/>
  <c r="BK23" i="6"/>
  <c r="BT23" i="1"/>
  <c r="AX23" i="6" s="1"/>
  <c r="AK22" i="7"/>
  <c r="BM22" i="6"/>
  <c r="J23" i="7"/>
  <c r="V23" i="1"/>
  <c r="P23" i="6" s="1"/>
  <c r="AA23" i="1"/>
  <c r="L23" i="7" s="1"/>
  <c r="B24" i="1"/>
  <c r="B23" i="6"/>
  <c r="A24" i="1"/>
  <c r="A23" i="6"/>
  <c r="J25" i="1" l="1"/>
  <c r="O25" i="1"/>
  <c r="AZ25" i="1"/>
  <c r="AQ21" i="6"/>
  <c r="AP21" i="6"/>
  <c r="AT25" i="1"/>
  <c r="AR21" i="6" s="1"/>
  <c r="AY25" i="1"/>
  <c r="AA25" i="1"/>
  <c r="V25" i="1"/>
  <c r="BH25" i="1"/>
  <c r="CF25" i="1"/>
  <c r="X25" i="1"/>
  <c r="L25" i="1"/>
  <c r="AJ25" i="1"/>
  <c r="AH21" i="6" s="1"/>
  <c r="BT25" i="1"/>
  <c r="AV25" i="1"/>
  <c r="CO25" i="1"/>
  <c r="AM25" i="1"/>
  <c r="AM21" i="6" s="1"/>
  <c r="AH25" i="1"/>
  <c r="H26" i="1"/>
  <c r="I26" i="1"/>
  <c r="P26" i="1" s="1"/>
  <c r="U26" i="1"/>
  <c r="AB26" i="1" s="1"/>
  <c r="BP26" i="1"/>
  <c r="BQ26" i="1"/>
  <c r="BX26" i="1" s="1"/>
  <c r="AR26" i="1"/>
  <c r="BD26" i="1"/>
  <c r="BE26" i="1"/>
  <c r="BL26" i="1" s="1"/>
  <c r="CM26" i="1"/>
  <c r="CN27" i="1"/>
  <c r="CC26" i="1"/>
  <c r="CJ26" i="1" s="1"/>
  <c r="AG26" i="1"/>
  <c r="AN26" i="1" s="1"/>
  <c r="CB26" i="1"/>
  <c r="AS26" i="1"/>
  <c r="T26" i="1"/>
  <c r="AF26" i="1"/>
  <c r="CI25" i="1"/>
  <c r="CD25" i="1"/>
  <c r="BF25" i="1"/>
  <c r="BK25" i="1"/>
  <c r="BW25" i="1"/>
  <c r="BR25" i="1"/>
  <c r="H23" i="7"/>
  <c r="AF23" i="7"/>
  <c r="T23" i="7"/>
  <c r="X23" i="7"/>
  <c r="BM23" i="6"/>
  <c r="AK23" i="7"/>
  <c r="P23" i="7"/>
  <c r="B25" i="1"/>
  <c r="B20" i="7"/>
  <c r="A25" i="1"/>
  <c r="A20" i="7"/>
  <c r="V26" i="1" l="1"/>
  <c r="AA26" i="1"/>
  <c r="H27" i="1"/>
  <c r="BE27" i="1"/>
  <c r="BL27" i="1" s="1"/>
  <c r="BL30" i="1" s="1"/>
  <c r="I27" i="1"/>
  <c r="P27" i="1" s="1"/>
  <c r="P30" i="1" s="1"/>
  <c r="AS27" i="1"/>
  <c r="CB27" i="1"/>
  <c r="CC27" i="1"/>
  <c r="CJ27" i="1" s="1"/>
  <c r="CJ30" i="1" s="1"/>
  <c r="AF27" i="1"/>
  <c r="CM27" i="1"/>
  <c r="BQ27" i="1"/>
  <c r="BX27" i="1" s="1"/>
  <c r="BX30" i="1" s="1"/>
  <c r="BP27" i="1"/>
  <c r="BD27" i="1"/>
  <c r="U27" i="1"/>
  <c r="AB27" i="1" s="1"/>
  <c r="AB30" i="1" s="1"/>
  <c r="AR27" i="1"/>
  <c r="T27" i="1"/>
  <c r="AG27" i="1"/>
  <c r="AN27" i="1" s="1"/>
  <c r="AN30" i="1" s="1"/>
  <c r="CI26" i="1"/>
  <c r="CD26" i="1"/>
  <c r="BH26" i="1"/>
  <c r="AV26" i="1"/>
  <c r="X26" i="1"/>
  <c r="AJ26" i="1"/>
  <c r="AH22" i="6" s="1"/>
  <c r="L26" i="1"/>
  <c r="CF26" i="1"/>
  <c r="BT26" i="1"/>
  <c r="CO26" i="1"/>
  <c r="AH26" i="1"/>
  <c r="AM26" i="1"/>
  <c r="BF26" i="1"/>
  <c r="BK26" i="1"/>
  <c r="AZ26" i="1"/>
  <c r="AQ22" i="6"/>
  <c r="O26" i="1"/>
  <c r="J26" i="1"/>
  <c r="AY26" i="1"/>
  <c r="AP22" i="6"/>
  <c r="AT26" i="1"/>
  <c r="AR22" i="6" s="1"/>
  <c r="BR26" i="1"/>
  <c r="BW26" i="1"/>
  <c r="B26" i="1"/>
  <c r="B21" i="7"/>
  <c r="A26" i="1"/>
  <c r="A21" i="7"/>
  <c r="CI27" i="1" l="1"/>
  <c r="CI30" i="1" s="1"/>
  <c r="CD27" i="1"/>
  <c r="J27" i="1"/>
  <c r="O27" i="1"/>
  <c r="O30" i="1" s="1"/>
  <c r="BH27" i="1"/>
  <c r="CO27" i="1"/>
  <c r="CF27" i="1"/>
  <c r="X27" i="1"/>
  <c r="BT27" i="1"/>
  <c r="AJ27" i="1"/>
  <c r="AH23" i="6" s="1"/>
  <c r="L27" i="1"/>
  <c r="AV27" i="1"/>
  <c r="AH27" i="1"/>
  <c r="AM27" i="1"/>
  <c r="AM23" i="6" s="1"/>
  <c r="AZ27" i="1"/>
  <c r="AZ30" i="1" s="1"/>
  <c r="D30" i="1" s="1"/>
  <c r="AQ23" i="6"/>
  <c r="AP23" i="6"/>
  <c r="AY27" i="1"/>
  <c r="AY30" i="1" s="1"/>
  <c r="AT27" i="1"/>
  <c r="AR23" i="6" s="1"/>
  <c r="AM22" i="6"/>
  <c r="AA27" i="1"/>
  <c r="AA30" i="1" s="1"/>
  <c r="V27" i="1"/>
  <c r="BR27" i="1"/>
  <c r="BW27" i="1"/>
  <c r="BW30" i="1" s="1"/>
  <c r="BF27" i="1"/>
  <c r="BK27" i="1"/>
  <c r="BK30" i="1" s="1"/>
  <c r="B27" i="1"/>
  <c r="B23" i="7" s="1"/>
  <c r="B22" i="7"/>
  <c r="A27" i="1"/>
  <c r="A23" i="7" s="1"/>
  <c r="A22" i="7"/>
  <c r="L25" i="7" l="1"/>
  <c r="R45" i="1"/>
  <c r="BB45" i="1"/>
  <c r="X25" i="7"/>
  <c r="AF25" i="7"/>
  <c r="BZ45" i="1"/>
  <c r="BN45" i="1"/>
  <c r="AB25" i="7"/>
  <c r="AM30" i="1"/>
  <c r="D31" i="1" s="1"/>
  <c r="H25" i="7"/>
  <c r="F45" i="1"/>
  <c r="AP45" i="1"/>
  <c r="T25" i="7"/>
  <c r="D26" i="7" l="1"/>
  <c r="D32" i="1"/>
  <c r="D27" i="7" s="1"/>
  <c r="P25" i="7"/>
  <c r="AD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Aaron Steel</author>
    <author/>
  </authors>
  <commentList>
    <comment ref="B3" authorId="0" shapeId="0" xr:uid="{C9605446-E43C-435A-BB0F-96052DA5B758}">
      <text>
        <r>
          <rPr>
            <b/>
            <sz val="9"/>
            <color indexed="81"/>
            <rFont val="Tahoma"/>
            <family val="2"/>
          </rPr>
          <t>Aaron Steel:</t>
        </r>
        <r>
          <rPr>
            <sz val="9"/>
            <color indexed="81"/>
            <rFont val="Tahoma"/>
            <family val="2"/>
          </rPr>
          <t xml:space="preserve">
number of weeks in the promo
</t>
        </r>
      </text>
    </comment>
    <comment ref="A43" authorId="1" shapeId="0" xr:uid="{8A702B99-2B27-F94D-A9BA-B6920FA6524B}">
      <text>
        <r>
          <rPr>
            <sz val="10"/>
            <color rgb="FF000000"/>
            <rFont val="Aptos Narrow"/>
            <family val="2"/>
            <scheme val="minor"/>
          </rPr>
          <t>The date you received the claim from the customer</t>
        </r>
      </text>
    </comment>
    <comment ref="F43" authorId="1" shapeId="0" xr:uid="{FEF0E6C7-57A4-5948-A5E3-E1B48F5CE8FB}">
      <text>
        <r>
          <rPr>
            <sz val="10"/>
            <color rgb="FF000000"/>
            <rFont val="Aptos Narrow"/>
            <family val="2"/>
            <scheme val="minor"/>
          </rPr>
          <t xml:space="preserve">Double Click cell to select date
</t>
        </r>
      </text>
    </comment>
    <comment ref="R43" authorId="1" shapeId="0" xr:uid="{7B3A6D98-3D77-B047-8EB7-1CD0EA4F599F}">
      <text>
        <r>
          <rPr>
            <sz val="10"/>
            <color rgb="FF000000"/>
            <rFont val="Aptos Narrow"/>
            <family val="2"/>
            <scheme val="minor"/>
          </rPr>
          <t xml:space="preserve">Double Click cell to select date
</t>
        </r>
      </text>
    </comment>
    <comment ref="AD43" authorId="1" shapeId="0" xr:uid="{CFCE7639-DC3F-7E4C-8204-CE5AB85D3B49}">
      <text>
        <r>
          <rPr>
            <sz val="10"/>
            <color rgb="FF000000"/>
            <rFont val="Aptos Narrow"/>
            <family val="2"/>
            <scheme val="minor"/>
          </rPr>
          <t xml:space="preserve">Double Click cell to select date
</t>
        </r>
      </text>
    </comment>
    <comment ref="AP43" authorId="1" shapeId="0" xr:uid="{17BFAD09-9B8C-7640-B3B4-5FCEA15C66DB}">
      <text>
        <r>
          <rPr>
            <sz val="10"/>
            <color rgb="FF000000"/>
            <rFont val="Aptos Narrow"/>
            <family val="2"/>
            <scheme val="minor"/>
          </rPr>
          <t xml:space="preserve">Double Click cell to select date
</t>
        </r>
      </text>
    </comment>
    <comment ref="BB43" authorId="1" shapeId="0" xr:uid="{D5A0DDB9-5710-5B4E-BD20-EFF587706723}">
      <text>
        <r>
          <rPr>
            <sz val="10"/>
            <color rgb="FF000000"/>
            <rFont val="Aptos Narrow"/>
            <family val="2"/>
            <scheme val="minor"/>
          </rPr>
          <t xml:space="preserve">Double Click cell to select date
</t>
        </r>
      </text>
    </comment>
    <comment ref="BN43" authorId="1" shapeId="0" xr:uid="{62764C0C-B0BB-C94B-9E69-07D41AB55BD6}">
      <text>
        <r>
          <rPr>
            <sz val="10"/>
            <color rgb="FF000000"/>
            <rFont val="Aptos Narrow"/>
            <family val="2"/>
            <scheme val="minor"/>
          </rPr>
          <t xml:space="preserve">Double Click cell to select date
</t>
        </r>
      </text>
    </comment>
    <comment ref="BZ43" authorId="1" shapeId="0" xr:uid="{8C5F606B-65B5-694B-B1FC-1683B960C631}">
      <text>
        <r>
          <rPr>
            <sz val="10"/>
            <color rgb="FF000000"/>
            <rFont val="Aptos Narrow"/>
            <family val="2"/>
            <scheme val="minor"/>
          </rPr>
          <t xml:space="preserve">Double Click cell to select date
</t>
        </r>
      </text>
    </comment>
    <comment ref="A44" authorId="1" shapeId="0" xr:uid="{E6CB02CD-9825-094E-9683-0616BC700EAD}">
      <text>
        <r>
          <rPr>
            <sz val="10"/>
            <color rgb="FF000000"/>
            <rFont val="Aptos Narrow"/>
            <family val="2"/>
            <scheme val="minor"/>
          </rPr>
          <t>The amount being claimed by the customer</t>
        </r>
      </text>
    </comment>
    <comment ref="A45" authorId="1" shapeId="0" xr:uid="{E3A68521-56B1-FA41-B2E9-3982A33D2BF8}">
      <text>
        <r>
          <rPr>
            <sz val="10"/>
            <color rgb="FF000000"/>
            <rFont val="Aptos Narrow"/>
            <family val="2"/>
            <scheme val="minor"/>
          </rPr>
          <t>= What the claim should be based on our calculation. If this is off by more than a few $. Something is probably wrong</t>
        </r>
      </text>
    </comment>
    <comment ref="A46" authorId="1" shapeId="0" xr:uid="{1660F5A4-A18E-994D-B1D3-F3DC07D64E4E}">
      <text>
        <r>
          <rPr>
            <sz val="10"/>
            <color rgb="FF000000"/>
            <rFont val="Aptos Narrow"/>
            <family val="2"/>
            <scheme val="minor"/>
          </rPr>
          <t>whether the claim is approved or rejected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CD939C-1D95-5540-97CF-B2319731E430}" keepAlive="1" name="Query - Master Price Level NZ" description="Connection to the 'Master Price Level NZ' query in the workbook." type="5" refreshedVersion="8" background="1" saveData="1">
    <dbPr connection="Provider=Microsoft.Mashup.OleDb.1;Data Source=$Workbook$;Location=&quot;Master Price Level NZ&quot;;Extended Properties=&quot;&quot;" command="SELECT * FROM [Master Price Level NZ]"/>
  </connection>
  <connection id="2" xr16:uid="{28304019-FE72-4193-B4C9-345D847B3BA5}" keepAlive="1" name="Query - Merge" description="Connection to the 'Merge' query in the workbook." type="5" refreshedVersion="8" background="1" saveData="1">
    <dbPr connection="Provider=Microsoft.Mashup.OleDb.1;Data Source=$Workbook$;Location=Merge;Extended Properties=&quot;&quot;" command="SELECT * FROM [Merge]"/>
  </connection>
  <connection id="3" xr16:uid="{E58CD402-FBD3-4176-B53A-FE45DDA1075B}" keepAlive="1" name="Query - Sheet2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<sst xmlns="http://schemas.openxmlformats.org/spreadsheetml/2006/main" count="61968" uniqueCount="7823">
  <si>
    <t>New Zealand Claim Number</t>
  </si>
  <si>
    <t>Name of Promotion.</t>
  </si>
  <si>
    <t>Rebate</t>
  </si>
  <si>
    <t>Brand</t>
  </si>
  <si>
    <t xml:space="preserve">Growth </t>
  </si>
  <si>
    <t>Promo Date(s)</t>
  </si>
  <si>
    <t>Code</t>
  </si>
  <si>
    <t>Product Description</t>
  </si>
  <si>
    <t>Harvey Norman</t>
  </si>
  <si>
    <t>&lt;-- Select</t>
  </si>
  <si>
    <t>NZ - Heathcotes</t>
  </si>
  <si>
    <t xml:space="preserve">From </t>
  </si>
  <si>
    <t>To</t>
  </si>
  <si>
    <t>Customer Code</t>
  </si>
  <si>
    <t>Retailer Buy ex</t>
  </si>
  <si>
    <t>Supplier Support</t>
  </si>
  <si>
    <t>MG Support</t>
  </si>
  <si>
    <t>Total Support</t>
  </si>
  <si>
    <t>End to End Standard Margin</t>
  </si>
  <si>
    <t>End to End Promo Margin</t>
  </si>
  <si>
    <t>6wk Avg</t>
  </si>
  <si>
    <r>
      <rPr>
        <i/>
        <sz val="10"/>
        <color rgb="FF000000"/>
        <rFont val="Arial"/>
        <family val="2"/>
      </rPr>
      <t>Expected Sales</t>
    </r>
    <r>
      <rPr>
        <sz val="10"/>
        <color rgb="FF000000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/ Actual Sales</t>
    </r>
  </si>
  <si>
    <t>Supplier Claim Amount</t>
  </si>
  <si>
    <t>MacGear Claim Amount</t>
  </si>
  <si>
    <t>12wk Avg</t>
  </si>
  <si>
    <t>RRP Inc</t>
  </si>
  <si>
    <t>Recommended Sale Inc</t>
  </si>
  <si>
    <t>Recommended % Off</t>
  </si>
  <si>
    <t>Recommended $ Off</t>
  </si>
  <si>
    <t>Comments</t>
  </si>
  <si>
    <t>ELK-80062-R</t>
  </si>
  <si>
    <t>Last Day for Customer claims to be submitted</t>
  </si>
  <si>
    <t xml:space="preserve">Total </t>
  </si>
  <si>
    <t>Supplier</t>
  </si>
  <si>
    <t>Macgear</t>
  </si>
  <si>
    <t xml:space="preserve"> </t>
  </si>
  <si>
    <t>TOTAL Macgear Claim NZD Ex</t>
  </si>
  <si>
    <t>TOTAL Brand Claim NZD Ex</t>
  </si>
  <si>
    <t>TOTAL CLAIM to USD ex</t>
  </si>
  <si>
    <t>Vendor Claim</t>
  </si>
  <si>
    <t>Not Sent</t>
  </si>
  <si>
    <t>AUD to USD Rate</t>
  </si>
  <si>
    <t>Claim Date</t>
  </si>
  <si>
    <t>Vendor Claim $</t>
  </si>
  <si>
    <t>Claims and Funding</t>
  </si>
  <si>
    <t>Ratio</t>
  </si>
  <si>
    <t>Company</t>
  </si>
  <si>
    <t>This shows the split of funding between the Retailer, Macgear and Brand</t>
  </si>
  <si>
    <t>Retailer</t>
  </si>
  <si>
    <t>MacGear</t>
  </si>
  <si>
    <t>Total (should = 1)</t>
  </si>
  <si>
    <t>Notes:</t>
  </si>
  <si>
    <t>Claim Details</t>
  </si>
  <si>
    <t xml:space="preserve">Date of claim 
</t>
  </si>
  <si>
    <t>Date</t>
  </si>
  <si>
    <t>Amount Claimed by Customer</t>
  </si>
  <si>
    <t>Customer Claim Amount</t>
  </si>
  <si>
    <t>Cust Claim $</t>
  </si>
  <si>
    <t xml:space="preserve">Check Value </t>
  </si>
  <si>
    <t>Status of customers claim</t>
  </si>
  <si>
    <t xml:space="preserve">Status </t>
  </si>
  <si>
    <t>Not Received</t>
  </si>
  <si>
    <t>Name of Promotion</t>
  </si>
  <si>
    <t>NOTES</t>
  </si>
  <si>
    <t>TOTAL Brand Claim AUD Ex</t>
  </si>
  <si>
    <t>VENDOR NOTE</t>
  </si>
  <si>
    <t xml:space="preserve"> ** Please note, Expected Sales and claim totals are a projection based on estimated sales within promo Period. Total claim will vary depending on success of promotion.</t>
  </si>
  <si>
    <t>Costco Wholesale</t>
  </si>
  <si>
    <t>Cyclone Computer Co Ltd</t>
  </si>
  <si>
    <t>EB Games (NZ)</t>
  </si>
  <si>
    <t>JB HIFI</t>
  </si>
  <si>
    <t>Leading Edge</t>
  </si>
  <si>
    <t>Noel Leeming</t>
  </si>
  <si>
    <t>PB Tech</t>
  </si>
  <si>
    <t>Smiths City</t>
  </si>
  <si>
    <t>Dealer 1</t>
  </si>
  <si>
    <t>Dealer 2</t>
  </si>
  <si>
    <t>NZ AU - Smart Loyalty</t>
  </si>
  <si>
    <t>NZ AU - Fly Buys</t>
  </si>
  <si>
    <t>NZ AU - Qantas</t>
  </si>
  <si>
    <t>NZ AU - AirPoints / Aciem / Collinson</t>
  </si>
  <si>
    <t>Spare</t>
  </si>
  <si>
    <t>Description</t>
  </si>
  <si>
    <t>NZ Status</t>
  </si>
  <si>
    <t>Base (RRP Inc)</t>
  </si>
  <si>
    <t>Clearance - MacGear + Brand Sites</t>
  </si>
  <si>
    <t>Dealer 3</t>
  </si>
  <si>
    <t>Education</t>
  </si>
  <si>
    <t>JB HIfi</t>
  </si>
  <si>
    <t>LS travel</t>
  </si>
  <si>
    <t>NZ - HN Commercial</t>
  </si>
  <si>
    <t>NZ - NL Commercial</t>
  </si>
  <si>
    <t>NZ - Spark</t>
  </si>
  <si>
    <t>NZ AU - RRP - Home Of Brands</t>
  </si>
  <si>
    <t>NZ AU - RRP - List Price</t>
  </si>
  <si>
    <t>ADONIT</t>
  </si>
  <si>
    <t>ADU010WH</t>
  </si>
  <si>
    <t>ADONIT ADU USI (White)</t>
  </si>
  <si>
    <t>Inactive</t>
  </si>
  <si>
    <t>ADIM</t>
  </si>
  <si>
    <t>ADONIT Ink M (Black)</t>
  </si>
  <si>
    <t>ADIBUVCV</t>
  </si>
  <si>
    <t>ADONIT Ink UVC</t>
  </si>
  <si>
    <t>ADMB</t>
  </si>
  <si>
    <t>ADONIT Mark (Black)</t>
  </si>
  <si>
    <t>Active</t>
  </si>
  <si>
    <t>ADMS</t>
  </si>
  <si>
    <t>ADONIT Mark (Silver)</t>
  </si>
  <si>
    <t>ADM4RB</t>
  </si>
  <si>
    <t>ADONIT Mini 4 (Blue)</t>
  </si>
  <si>
    <t>ADM4DG</t>
  </si>
  <si>
    <t>ADONIT Mini 4 (Grey)</t>
  </si>
  <si>
    <t>ADNB</t>
  </si>
  <si>
    <t>ADONIT Note (Black)</t>
  </si>
  <si>
    <t>ADNBCF</t>
  </si>
  <si>
    <t>ADONIT Note Clip Free (Black)</t>
  </si>
  <si>
    <t>ADNM</t>
  </si>
  <si>
    <t>ADONIT Note M (Black)</t>
  </si>
  <si>
    <t>ADNSB</t>
  </si>
  <si>
    <t>ADONIT Note Plus (Black)</t>
  </si>
  <si>
    <t>ADNT</t>
  </si>
  <si>
    <t>ADONIT Note Replacement Tips (3 Pack)</t>
  </si>
  <si>
    <t>ADNP2</t>
  </si>
  <si>
    <t>ADONIT Note+2</t>
  </si>
  <si>
    <t>ADP4B</t>
  </si>
  <si>
    <t>ADONIT Pro 4 (Black)</t>
  </si>
  <si>
    <t>ADP4S</t>
  </si>
  <si>
    <t>ADONIT Pro 4 (Silver)</t>
  </si>
  <si>
    <t>DISC T</t>
  </si>
  <si>
    <t>ADONIT Replacement Disc Pack (3 Pack)</t>
  </si>
  <si>
    <t>ADRDK</t>
  </si>
  <si>
    <t>ADONIT Replacement Disc Tip Mini 4 / Pro 3 / Pro 4 - 2 pack</t>
  </si>
  <si>
    <t>ADSEB</t>
  </si>
  <si>
    <t>ADONIT SE (Black)</t>
  </si>
  <si>
    <t>ADSEP</t>
  </si>
  <si>
    <t>ADONIT SE (Pink)</t>
  </si>
  <si>
    <t>ADSEG</t>
  </si>
  <si>
    <t>ADONIT SE (Teal)</t>
  </si>
  <si>
    <t>EOL</t>
  </si>
  <si>
    <t>ADSEW</t>
  </si>
  <si>
    <t>ADONIT SE (White)</t>
  </si>
  <si>
    <t>ADSE2B</t>
  </si>
  <si>
    <t>ADONIT SE 2 - Black</t>
  </si>
  <si>
    <t>ADSE2PK</t>
  </si>
  <si>
    <t>ADONIT SE 2 - Pink</t>
  </si>
  <si>
    <t>ADSE2W</t>
  </si>
  <si>
    <t>ADONIT SE 2 - White</t>
  </si>
  <si>
    <t>AMAZFIT</t>
  </si>
  <si>
    <t>W2437GL7N</t>
  </si>
  <si>
    <t>Amazfit Active 2 (Round) Standard</t>
  </si>
  <si>
    <t>W2557AP1N</t>
  </si>
  <si>
    <t>Amazfit Active Max</t>
  </si>
  <si>
    <t>W2430GL1N</t>
  </si>
  <si>
    <t>Amazfit Balance 2</t>
  </si>
  <si>
    <t>W2435AP1N</t>
  </si>
  <si>
    <t>Amazfit BIP 6 Black</t>
  </si>
  <si>
    <t>B2445GL7N</t>
  </si>
  <si>
    <t>Amazfit Helio Strap</t>
  </si>
  <si>
    <t>W2323GL2N</t>
  </si>
  <si>
    <t>Amazfit T-Rex3 Onyx</t>
  </si>
  <si>
    <t>ANTIGRAVITY</t>
  </si>
  <si>
    <t>Antigravity 65W GaN Fast Charger</t>
  </si>
  <si>
    <t>Antigravity A1 360 Drone Explorer Bundle</t>
  </si>
  <si>
    <t>Antigravity A1 360 Drone Infinity Bundle</t>
  </si>
  <si>
    <t>Antigravity A1 360 Drone Standard Bundle</t>
  </si>
  <si>
    <t>SA-6978913850002</t>
  </si>
  <si>
    <t>Antigravity A1 360 Drone Standard Bundle SAMPLES</t>
  </si>
  <si>
    <t>Antigravity A1 Charging Hub</t>
  </si>
  <si>
    <t>Antigravity A1 Flight Battery</t>
  </si>
  <si>
    <t>Antigravity A1 High-Capacity Flight Battery</t>
  </si>
  <si>
    <t>Antigravity A1 Landing Pad</t>
  </si>
  <si>
    <t>Antigravity A1 Propeller Guards</t>
  </si>
  <si>
    <t>Antigravity A1 Propellers</t>
  </si>
  <si>
    <t>Antigravity A1 Replacement Lens Kit</t>
  </si>
  <si>
    <t>Antigravity A1 Replacement Lens Kit (Double Lens)</t>
  </si>
  <si>
    <t>Antigravity A1 Sling Bag</t>
  </si>
  <si>
    <t>Antigravity Flexi Care (1 year)  Physical Card</t>
  </si>
  <si>
    <t>Antigravity Flexi Care (1 year) Virtual Card</t>
  </si>
  <si>
    <t>Antigravity Flexi Care (2 year) Physical Card</t>
  </si>
  <si>
    <t>Antigravity Flexi Care (2 year) Virtual Card</t>
  </si>
  <si>
    <t>Antigravity Quick Reader</t>
  </si>
  <si>
    <t>Antigravity Vision -3.0D Corrective Lenses</t>
  </si>
  <si>
    <t>Antigravity Vision Battery</t>
  </si>
  <si>
    <t>Antigravity Vision Head Strap</t>
  </si>
  <si>
    <t>Antigravity Vision USB-C to DC Power Cable?0.65m?</t>
  </si>
  <si>
    <t>Antigravity Vision USB-C to DC Power Cable?1.2m?</t>
  </si>
  <si>
    <t>AQUA MARINA</t>
  </si>
  <si>
    <t>B0303691</t>
  </si>
  <si>
    <t>AQUA MARINA 12V Electric Pump (16psi)</t>
  </si>
  <si>
    <t>B0303690</t>
  </si>
  <si>
    <t>AQUA MARINA 12V Electric Pump (20psi)</t>
  </si>
  <si>
    <t>B0302515</t>
  </si>
  <si>
    <t>AQUA MARINA AM Inflatable Paddle Board Valve Adaptor</t>
  </si>
  <si>
    <t>B0303628</t>
  </si>
  <si>
    <t>AQUA MARINA AREO II 16" Hand Pump</t>
  </si>
  <si>
    <t>B0303036-B</t>
  </si>
  <si>
    <t>AQUA MARINA Dry Bag 20L Blue</t>
  </si>
  <si>
    <t>B0303036-T</t>
  </si>
  <si>
    <t>AQUA MARINA Dry Bag 20L Teal</t>
  </si>
  <si>
    <t>B0303039-T</t>
  </si>
  <si>
    <t>AQUA MARINA Duffel Bag 50L Teal</t>
  </si>
  <si>
    <t>LA-320</t>
  </si>
  <si>
    <t>AQUA MARINA Laxo-320 Recreational Inflatable Kayak - 2 person</t>
  </si>
  <si>
    <t>B0302964</t>
  </si>
  <si>
    <t>AQUA MARINA Paddle Board High Back Seat</t>
  </si>
  <si>
    <t>B0303012</t>
  </si>
  <si>
    <t>AQUA MARINA SPORTS III Adjustable Aluminium Paddle Board Paddle</t>
  </si>
  <si>
    <t>B0303624</t>
  </si>
  <si>
    <t>AQUA MARINA SPORTS III CORAL Adjustable Aluminium Paddle Board Paddle</t>
  </si>
  <si>
    <t>B0303030</t>
  </si>
  <si>
    <t>AQUA MARINA Zip Backpack for Inflatable Paddle Board - Size M (FUSION/ MAGMA/ BEAST/ SUPER TRIP)</t>
  </si>
  <si>
    <t>ARLO</t>
  </si>
  <si>
    <t>FLW2001B-100AUS</t>
  </si>
  <si>
    <t>ARLO 2K Wired Floodlight Camera (Black)</t>
  </si>
  <si>
    <t>FLW2001-100AUS</t>
  </si>
  <si>
    <t>ARLO 2K Wired Floodlight Camera (White)</t>
  </si>
  <si>
    <t>AC2001-100AUS</t>
  </si>
  <si>
    <t>ARLO Chime 2</t>
  </si>
  <si>
    <t>VMC3050-100AUS</t>
  </si>
  <si>
    <t>ARLO Essential 2K Outdoor Security Camera (2nd Generation) - 1 Pack</t>
  </si>
  <si>
    <t>VMC3450-100AUS</t>
  </si>
  <si>
    <t>ARLO Essential 2K Outdoor Security Camera (2nd Generation) - 4 Pack</t>
  </si>
  <si>
    <t>VMC3073-100AUS</t>
  </si>
  <si>
    <t>ARLO Essential 3 2K Indoor Powered PTZ Camera - 1 Pack</t>
  </si>
  <si>
    <t>VMC3083-100AUS</t>
  </si>
  <si>
    <t>ARLO Essential 3 2K Outdoor Powered PTZ Camera - 1 Pack</t>
  </si>
  <si>
    <t>VMC3080-100AUS</t>
  </si>
  <si>
    <t>ARLO Essential 3 2K Outdoor Security Camera - 1 Pack</t>
  </si>
  <si>
    <t>VMC3280-100AUS</t>
  </si>
  <si>
    <t>ARLO Essential 3 2K Outdoor Security Camera - 2 Pack</t>
  </si>
  <si>
    <t>VMC3480-100AUS</t>
  </si>
  <si>
    <t>ARLO Essential 3 2K Outdoor Security Camera - 4 Pack</t>
  </si>
  <si>
    <t>VMA6600-10000S</t>
  </si>
  <si>
    <t>ARLO Essential Solar Panel Charger (2nd Generation)</t>
  </si>
  <si>
    <t>VMC3052-100AUS</t>
  </si>
  <si>
    <t>ARLO Essential XL 2nd Gen Wireless Security Camera - 1pk</t>
  </si>
  <si>
    <t>VMC3352-100AUS</t>
  </si>
  <si>
    <t>ARLO Essential XL 2nd Gen Wireless Security Camera - 3pk</t>
  </si>
  <si>
    <t>VML2030-100AUS</t>
  </si>
  <si>
    <t>ARLO Go 2 4G/Wi-Fi Mobile Security Camera</t>
  </si>
  <si>
    <t>FB1001-100AUS</t>
  </si>
  <si>
    <t>ARLO Pro 2K Wireless Floodlight Camera</t>
  </si>
  <si>
    <t>VMC4060P-100AUS</t>
  </si>
  <si>
    <t>ARLO Pro 5 2K Wireless Security Camera - 1 Pack</t>
  </si>
  <si>
    <t>VMC4260P-100AUS</t>
  </si>
  <si>
    <t>ARLO Pro 5 2K Wireless Security Camera - 2 Pack</t>
  </si>
  <si>
    <t>VMC4460P-100AUS</t>
  </si>
  <si>
    <t>ARLO Pro 5 2K Wireless Security Camera - 4 Pack</t>
  </si>
  <si>
    <t>VMC4070P-100AUS</t>
  </si>
  <si>
    <t>ARLO Pro 6 2K Outdoor Security Camera - 1 Pack</t>
  </si>
  <si>
    <t>VMC4270P-100AUS</t>
  </si>
  <si>
    <t>ARLO Pro 6 2K Outdoor Security Camera - 2 Pack</t>
  </si>
  <si>
    <t>VMC4470P-100AUS</t>
  </si>
  <si>
    <t>ARLO Pro 6 2K Outdoor Security Camera - 4 Pack</t>
  </si>
  <si>
    <t>VMB4540-100AUS</t>
  </si>
  <si>
    <t>ARLO Pro Smart Hub</t>
  </si>
  <si>
    <t>VMC5040-200AUS</t>
  </si>
  <si>
    <t>ARLO Ultra 2 4K Spotlight Camera - 1 Pack</t>
  </si>
  <si>
    <t>VMS5240-200AUS</t>
  </si>
  <si>
    <t>ARLO Ultra 2 4K Spotlight Camera - 2 Pack</t>
  </si>
  <si>
    <t>VMS5340-200AUS</t>
  </si>
  <si>
    <t>ARLO Ultra 2 4K Spotlight Camera - 3 Pack</t>
  </si>
  <si>
    <t>VMC5050-100AUS</t>
  </si>
  <si>
    <t>ARLO Ultra 3 4K Outdoor Security Camera - 1 Pack</t>
  </si>
  <si>
    <t>VMS5250-100AUS</t>
  </si>
  <si>
    <t>ARLO Ultra 3 4K Outdoor Security Camera - 2 Pack</t>
  </si>
  <si>
    <t>VMS5450-100AUS</t>
  </si>
  <si>
    <t>ARLO Ultra 3 4K Outdoor Security Camera - 4 Pack</t>
  </si>
  <si>
    <t>VMA7600-10000S</t>
  </si>
  <si>
    <t>ARLO Universal Solar Panel Charger</t>
  </si>
  <si>
    <t>AVD4001-100AUS</t>
  </si>
  <si>
    <t>ARLO Video Doorbell 2K (2nd Generation)</t>
  </si>
  <si>
    <t>AVANTI</t>
  </si>
  <si>
    <t>AVANTI 4 Egg Poacher with Non Stick Cups 20cm</t>
  </si>
  <si>
    <t>AVANTI 6 Egg Poacher with Non Stick Cups 24cm</t>
  </si>
  <si>
    <t>AVANTI Asola Stainless Steel Whistling Kettle 2.5L</t>
  </si>
  <si>
    <t>AVANTI BBQ Fork with Pre-programmed Digital Thermometer</t>
  </si>
  <si>
    <t>AVANTI BBQ Pizza Stone 33cm with Aluminium Slider</t>
  </si>
  <si>
    <t>AVANTI Deluxe Salad Spinner 3.5L</t>
  </si>
  <si>
    <t>AVANTI Emperor Hobnail Cast Iron Teapot 750ml (Black)</t>
  </si>
  <si>
    <t>AVANTI Essentials Cocktail Set</t>
  </si>
  <si>
    <t>AVANTI Large Display Digital Kitchen Scale (Black)</t>
  </si>
  <si>
    <t>AVANTI Large Display Digital Kitchen Scale (White)</t>
  </si>
  <si>
    <t>AVANTI Pencil Edge Mortar and Pestle 18cm (Black Speckled)</t>
  </si>
  <si>
    <t>AVANTI Stainless Steel Carving Tray with Spikes</t>
  </si>
  <si>
    <t>AVANTI Stainless Steel Pasta Making Machine 180mm</t>
  </si>
  <si>
    <t>AVANTI Vintage Mechanical Scales (Black)</t>
  </si>
  <si>
    <t>AVANTI Vintage Mechanical Scales (White)</t>
  </si>
  <si>
    <t>BACKBONE</t>
  </si>
  <si>
    <t>AD-01-B-E</t>
  </si>
  <si>
    <t>BACKBONE Adapter for iPhone 13 Pro &amp; 13 Pro Max</t>
  </si>
  <si>
    <t>BB-51-P-BR</t>
  </si>
  <si>
    <t>Backbone One - Classic Mobile Gaming Controller for USB-C (Gen 2)</t>
  </si>
  <si>
    <t>BB-02-B-X</t>
  </si>
  <si>
    <t>Backbone One - Mobile Gaming Controller for Lightning (Xbox Edition) (Gen 1)</t>
  </si>
  <si>
    <t>BB-51-B-R</t>
  </si>
  <si>
    <t>Backbone One - Mobile Gaming Controller for USB-C (Gen 1)</t>
  </si>
  <si>
    <t>BB-02-W-S</t>
  </si>
  <si>
    <t>Backbone One - PlayStation Edition Mobile Gaming Controller for Lightning (Gen 1)</t>
  </si>
  <si>
    <t>BB-51-W-S</t>
  </si>
  <si>
    <t>Backbone One - PlayStation Edition Mobile Gaming Controller for USB-C (Gen 1)</t>
  </si>
  <si>
    <t>BB-51-P-WS</t>
  </si>
  <si>
    <t>Backbone One - PlayStation Edition Mobile Gaming Controller for USB-C (Gen 2)</t>
  </si>
  <si>
    <t>DSP-SHT-EN</t>
  </si>
  <si>
    <t>Backbone One Display Shorty POS</t>
  </si>
  <si>
    <t>DSP-STDSCN-EN</t>
  </si>
  <si>
    <t>Backbone One Display Standard with Screen POS</t>
  </si>
  <si>
    <t>BENQ</t>
  </si>
  <si>
    <t>XL2545K</t>
  </si>
  <si>
    <t>- None -</t>
  </si>
  <si>
    <t>BL2480T</t>
  </si>
  <si>
    <t>BENQ 23.8 inch Business Monitor with Eye Care Technology</t>
  </si>
  <si>
    <t>BL2485TC</t>
  </si>
  <si>
    <t>BENQ 23.8 inch FHD IPS Frameless Business Monitor</t>
  </si>
  <si>
    <t>PD2705U</t>
  </si>
  <si>
    <t>BENQ 27 inch 4K Monitor USB-C, sRGB and Rec.709, HDR10</t>
  </si>
  <si>
    <t>BL2780T-RF</t>
  </si>
  <si>
    <t>BENQ 27 inch Business Monitor with Eye Care Technology</t>
  </si>
  <si>
    <t>BL2780T</t>
  </si>
  <si>
    <t>BL2785TC</t>
  </si>
  <si>
    <t>BENQ 27 inch FHD IPS Frameless Business Monitor</t>
  </si>
  <si>
    <t>EW2880U</t>
  </si>
  <si>
    <t>BENQ 28 inch 4K UHD HDRi IPS Entertainment Monitor</t>
  </si>
  <si>
    <t>PD3205U</t>
  </si>
  <si>
    <t>BENQ 31.5 inch 4K Monitor USB-C, sRGB and Rec.709, HDR10</t>
  </si>
  <si>
    <t>EW3270U</t>
  </si>
  <si>
    <t>BENQ 31.5" 4K UHD HDR Monitor</t>
  </si>
  <si>
    <t>EX2710U-RF</t>
  </si>
  <si>
    <t>BENQ 4K 27 inch Gaming Monitor</t>
  </si>
  <si>
    <t>EX2710U</t>
  </si>
  <si>
    <t>EX3210U</t>
  </si>
  <si>
    <t>BENQ 4K 32 inch Gaming Monitor</t>
  </si>
  <si>
    <t>X3100i</t>
  </si>
  <si>
    <t>BENQ 4K HDR 4LED Gaming Projector X3100i (White)</t>
  </si>
  <si>
    <t>W4000i</t>
  </si>
  <si>
    <t>BENQ 4K HDR LED 3200lm 100% DCI-P3 Home Theatre Projector (Black)</t>
  </si>
  <si>
    <t>TK700STi</t>
  </si>
  <si>
    <t>BENQ 4K HDR Projector TK700STi</t>
  </si>
  <si>
    <t>TK700STINFR</t>
  </si>
  <si>
    <t>BENQ 4K HDR Projector TK700STi NFR</t>
  </si>
  <si>
    <t>TK850</t>
  </si>
  <si>
    <t>BENQ 4K HDR Projector TK850</t>
  </si>
  <si>
    <t>BENQ 4LED 4K HDR Gaming Projector X3000i</t>
  </si>
  <si>
    <t>X3000i</t>
  </si>
  <si>
    <t>TK850i</t>
  </si>
  <si>
    <t>BENQ ATV Projector TK850i (White)</t>
  </si>
  <si>
    <t>9H.W47WT.ES1</t>
  </si>
  <si>
    <t>BENQ Eye Care Piano Light</t>
  </si>
  <si>
    <t>GL2480</t>
  </si>
  <si>
    <t>BENQ GL2480 23.8" FHD TN 1ms 75Hz eye-care</t>
  </si>
  <si>
    <t>GL2780</t>
  </si>
  <si>
    <t>BENQ GL2780 27" FHD TN 1ms 75Hz eye-care</t>
  </si>
  <si>
    <t>GS50</t>
  </si>
  <si>
    <t>BENQ GS50 Projector</t>
  </si>
  <si>
    <t>W1700M</t>
  </si>
  <si>
    <t>BENQ Home Cinema Projector with 4K UHD, HDR, Rec.709</t>
  </si>
  <si>
    <t>LK936ST</t>
  </si>
  <si>
    <t>BENQ LK936ST 4K Short-Throw BlueCore Laser Projector</t>
  </si>
  <si>
    <t>LU935ST</t>
  </si>
  <si>
    <t>BENQ LU935ST Laser Projector with 5500 Lumens &amp; Short Throw Lens</t>
  </si>
  <si>
    <t>5J.BQP11.025</t>
  </si>
  <si>
    <t>BENQ Manual Height Trolley</t>
  </si>
  <si>
    <t>MW855UST+-RF</t>
  </si>
  <si>
    <t>BENQ MW855UST+ 3500lms WXGA Meeting Room Projector + Mount</t>
  </si>
  <si>
    <t>GV31</t>
  </si>
  <si>
    <t>BENQ Portable 1080P Projector (White)</t>
  </si>
  <si>
    <t>GV11</t>
  </si>
  <si>
    <t>BENQ Portable 480P Smart Projector with Free-angle Projection (White)</t>
  </si>
  <si>
    <t>GV30</t>
  </si>
  <si>
    <t>BENQ Portable Mini Projector with Extra Bass Bluetooth Speaker</t>
  </si>
  <si>
    <t>GS2</t>
  </si>
  <si>
    <t>BENQ Portable Projector GS2 (Brown)</t>
  </si>
  <si>
    <t>GV1</t>
  </si>
  <si>
    <t>BENQ Portable Projector GV1 (Grey-Silver)</t>
  </si>
  <si>
    <t>TH685</t>
  </si>
  <si>
    <t>BENQ Projector TH685 (White)</t>
  </si>
  <si>
    <t>BENQ Projector TK800M (White)</t>
  </si>
  <si>
    <t>TK800M</t>
  </si>
  <si>
    <t>RM6503</t>
  </si>
  <si>
    <t>BENQ RM6503 Interactive Flat Panel</t>
  </si>
  <si>
    <t>RM7503</t>
  </si>
  <si>
    <t>BENQ RM7503 Interactive Flat Panel</t>
  </si>
  <si>
    <t>RM8603</t>
  </si>
  <si>
    <t>BENQ RM8603 Interactive Flat Panel</t>
  </si>
  <si>
    <t>9H.W49WT.WS7</t>
  </si>
  <si>
    <t>BENQ ScreenBar Halo LED Monitor Light</t>
  </si>
  <si>
    <t>5J.W4014.002</t>
  </si>
  <si>
    <t>BENQ ScreenBar Halo Webcam Accessory</t>
  </si>
  <si>
    <t>9H.W42WT.WQ1</t>
  </si>
  <si>
    <t>BENQ ScreenBar LED Monitor Light</t>
  </si>
  <si>
    <t>9H.W43WT.WQ1</t>
  </si>
  <si>
    <t>BENQ ScreenBar Plus LED Monitor Light</t>
  </si>
  <si>
    <t>SH240</t>
  </si>
  <si>
    <t>BENQ Shading Hood For SW240</t>
  </si>
  <si>
    <t>SW240</t>
  </si>
  <si>
    <t>BENQ SW240 24.1â€ Adobe RGB Photographer Monitor with Shading Hood</t>
  </si>
  <si>
    <t>SW270C</t>
  </si>
  <si>
    <t>BENQ SW270C 27â€ 2K 99% Adobe RGB Photography Monitor with Shading Hood</t>
  </si>
  <si>
    <t>SW272Q</t>
  </si>
  <si>
    <t>BenQ SW272Q 27-inch 2K AdobeRGB 90W USB-C Photographer Photo Editing Monitor</t>
  </si>
  <si>
    <t>TDY31</t>
  </si>
  <si>
    <t>BENQ TDY31 Wireless USB Adapter</t>
  </si>
  <si>
    <t>BenQ TH585 - Low Input Lag Console Gaming Projector with 3500 ANSI Lumens Brightness</t>
  </si>
  <si>
    <t>TH585</t>
  </si>
  <si>
    <t>TH585P</t>
  </si>
  <si>
    <t>BENQ TH585P Low Input Lag Console Gaming Projector with 3500 ANSI Lumens Brightness</t>
  </si>
  <si>
    <t>TH585PNFR</t>
  </si>
  <si>
    <t>BENQ TH585P Low Input Lag Console Gaming Projector with 3500 ANSI Lumens Brightness NFR</t>
  </si>
  <si>
    <t>TH690ST</t>
  </si>
  <si>
    <t>BENQ TH690ST 1080p HDR 4 LED Short Throw Console Gaming Projector</t>
  </si>
  <si>
    <t>5J.JAM10.001</t>
  </si>
  <si>
    <t>BenQ Universal Ceiling Mount</t>
  </si>
  <si>
    <t>WDC10C</t>
  </si>
  <si>
    <t>BENQ WDC10C InstaShow USB-C Wireless Presentation Device</t>
  </si>
  <si>
    <t>WDC20</t>
  </si>
  <si>
    <t>BENQ WDC20 InstaShow S for Wireless Presentation &amp; Collaboration</t>
  </si>
  <si>
    <t>5J.W3P14.002</t>
  </si>
  <si>
    <t>BENQ WiT Clamp</t>
  </si>
  <si>
    <t>9H.W3PWT.ESH</t>
  </si>
  <si>
    <t>BENQ WiT eReading Desk Lamp (Blue)</t>
  </si>
  <si>
    <t>9H.W3PWT.ESJ</t>
  </si>
  <si>
    <t>BENQ WiT eReading Desk Lamp (Gold)</t>
  </si>
  <si>
    <t>9H.W3PWT.ESN</t>
  </si>
  <si>
    <t>BENQ WiT eReading Desk Lamp (Pink)</t>
  </si>
  <si>
    <t>9H.W3PWT.ESK</t>
  </si>
  <si>
    <t>BENQ WiT eReading Desk Lamp (Silver)</t>
  </si>
  <si>
    <t>9H.W3PWT.PSF</t>
  </si>
  <si>
    <t>BENQ WiT eReading Desk Lamp V2 (Blue)</t>
  </si>
  <si>
    <t>9H.W3PWT.PSG</t>
  </si>
  <si>
    <t>BENQ WiT eReading Desk Lamp V2 (Gold)</t>
  </si>
  <si>
    <t>9H.W3PWT.PSH</t>
  </si>
  <si>
    <t>BENQ WiT eReading Desk Lamp V2 (Silver)</t>
  </si>
  <si>
    <t>5J.W4414.011</t>
  </si>
  <si>
    <t>BENQ WiT Floor Stand Extension</t>
  </si>
  <si>
    <t>TRY01</t>
  </si>
  <si>
    <t>TRY01 IFP Remote (RM03, RP03)</t>
  </si>
  <si>
    <t>BODUM</t>
  </si>
  <si>
    <t>11659-913AUS</t>
  </si>
  <si>
    <t>1801-16BD</t>
  </si>
  <si>
    <t>BODUM Assam Tea Press with Stainless Steel Filter 1L (Silver)</t>
  </si>
  <si>
    <t>1812-01BD</t>
  </si>
  <si>
    <t>BODUM Assam Tea Press with Stainless Steel Filter 500ml (Black)</t>
  </si>
  <si>
    <t>1807-16_BD</t>
  </si>
  <si>
    <t>BODUM Assam Tea Press with Stainless Steel Filter 500ml (Silver)</t>
  </si>
  <si>
    <t>10709-01AUS-3_BD</t>
  </si>
  <si>
    <t>BODUM Bistro 2 Slice Toaster 940W (Black)</t>
  </si>
  <si>
    <t>10709-913AUS-3_BD</t>
  </si>
  <si>
    <t>BODUM Bistro 2 Slice Toaster 940W (Off-White)</t>
  </si>
  <si>
    <t>11902-01AUS</t>
  </si>
  <si>
    <t>BODUM Bistro Barista Electric Milk Frother 500W (Black)</t>
  </si>
  <si>
    <t>11901-01AUSBD</t>
  </si>
  <si>
    <t>BODUM Bistro Barista Electric Milk Frother 600W (Black)</t>
  </si>
  <si>
    <t>11901-913AUS_BD</t>
  </si>
  <si>
    <t>BODUM Bistro Barista Electric Milk Frother 600W (Off-White)</t>
  </si>
  <si>
    <t>11555-01SRECBD</t>
  </si>
  <si>
    <t>BODUM Bistro Bread Box (Black)</t>
  </si>
  <si>
    <t>11555-913BD</t>
  </si>
  <si>
    <t>BODUM Bistro Bread Box (Off-White)</t>
  </si>
  <si>
    <t>10604-10BD</t>
  </si>
  <si>
    <t>BODUM Bistro Double Wall 300ml 2 Piece Set</t>
  </si>
  <si>
    <t>10606-10BD</t>
  </si>
  <si>
    <t>BODUM Bistro Double Wall 450ml 2 Piece Set</t>
  </si>
  <si>
    <t>11659-01AUSBD</t>
  </si>
  <si>
    <t>BODUM Bistro Double Wall with Temperature Control Electric Water Kettle 1.1L (Black)</t>
  </si>
  <si>
    <t>10903-01AUS-3_BD</t>
  </si>
  <si>
    <t>BODUM Bistro Electric Burr Coffee Grinder 160W (Black)</t>
  </si>
  <si>
    <t>11160-01AUS-3BD</t>
  </si>
  <si>
    <t>BODUM Bistro Electric Coffee Grinder 150W (Black)</t>
  </si>
  <si>
    <t>11160-913AUS-3BD</t>
  </si>
  <si>
    <t>BODUM Bistro Electric Coffee Grinder 150W (Off-White)</t>
  </si>
  <si>
    <t>11160-16AUS-4PLBD</t>
  </si>
  <si>
    <t>BODUM Bistro Electric Coffee Grinder 150W (Silver)</t>
  </si>
  <si>
    <t>11750-01AUSBD</t>
  </si>
  <si>
    <t>BODUM Bistro Electric Coffee Grinder 160W (Black)</t>
  </si>
  <si>
    <t>11940-01AUSBD</t>
  </si>
  <si>
    <t>BODUM Bistro Gooseneck Water Kettle 1L (Black)</t>
  </si>
  <si>
    <t>11089-01S_BD</t>
  </si>
  <si>
    <t>BODUM Bistro Knife Block (Black)</t>
  </si>
  <si>
    <t>11754-01AUS-3_BD</t>
  </si>
  <si>
    <t>BODUM Bistro Programmable Coffee Maker 1.5L 12 Cup 900W (Black)</t>
  </si>
  <si>
    <t>11569-01B_BD</t>
  </si>
  <si>
    <t>BODUM Bistro Tea Egg (Black)</t>
  </si>
  <si>
    <t>10938-01_BD</t>
  </si>
  <si>
    <t>BODUM Brazil French Press 1L 8 Cup (Black)</t>
  </si>
  <si>
    <t>10948-01_BD</t>
  </si>
  <si>
    <t>BODUM Brazil French Press 350ml 3 Cup (Black)</t>
  </si>
  <si>
    <t>1918-01BD</t>
  </si>
  <si>
    <t>BODUM Caffettiera French Press 1L 8 Cup (Stainless Steel/Black)</t>
  </si>
  <si>
    <t>1913-01BD</t>
  </si>
  <si>
    <t>BODUM Caffettiera French Press 350ml 3 Cup (Stainless Steel/Black)</t>
  </si>
  <si>
    <t>10109-10BD</t>
  </si>
  <si>
    <t>BODUM Canteen Double Wall 200ml 2 Piece Set</t>
  </si>
  <si>
    <t>10109-10-12BD</t>
  </si>
  <si>
    <t>BODUM Canteen Double Wall 200ml 6 Piece Set</t>
  </si>
  <si>
    <t>10110-10BD</t>
  </si>
  <si>
    <t>BODUM Canteen Double Wall 400ml 2 Piece Set</t>
  </si>
  <si>
    <t>10110-10-12BD</t>
  </si>
  <si>
    <t>BODUM Canteen Double Wall 400ml 6 Piece Set</t>
  </si>
  <si>
    <t>10325-10BD</t>
  </si>
  <si>
    <t>BODUM Canteen with Handle Double Wall 200ml 2 Piece Set</t>
  </si>
  <si>
    <t>10326-10BD</t>
  </si>
  <si>
    <t>BODUM Canteen with Handle Double Wall 400ml 2 Piece Set</t>
  </si>
  <si>
    <t>10619-10SBD</t>
  </si>
  <si>
    <t>BODUM Ceylon Ice Tea Jug with Filter 3L</t>
  </si>
  <si>
    <t>1932-16BD</t>
  </si>
  <si>
    <t>BODUM Chambord French Press 1.5L 12 Cup (Stainless Steel)</t>
  </si>
  <si>
    <t>1928-18BD</t>
  </si>
  <si>
    <t>BODUM Chambord French Press 1L 8 Cup (S/S Copper)</t>
  </si>
  <si>
    <t>1928-16BD</t>
  </si>
  <si>
    <t>BODUM Chambord French Press 1L 8 Cup (Stainless Steel)</t>
  </si>
  <si>
    <t>1923-16BD</t>
  </si>
  <si>
    <t>BODUM Chambord French Press 350ml 3 Cup (Stainless Steel)</t>
  </si>
  <si>
    <t>1924-16_BD</t>
  </si>
  <si>
    <t>BODUM Chambord French Press 500ml 4 Cup (Stainless Steel)</t>
  </si>
  <si>
    <t>1308-16_BD</t>
  </si>
  <si>
    <t>BODUM Columbia Double Wall Coffee Maker 1L 8 Cup (Stainless Steel)</t>
  </si>
  <si>
    <t>1303-16BD</t>
  </si>
  <si>
    <t>BODUM Columbia Double Wall Coffee Maker 350ml 3 Cup (Stainless Steel)</t>
  </si>
  <si>
    <t>1908-01BD</t>
  </si>
  <si>
    <t>BODUM Java French Press 1L 8 Cup (Stainless Steel/Black)</t>
  </si>
  <si>
    <t>1903-01BD</t>
  </si>
  <si>
    <t>BODUM Java French Press 350ml 3 Cup (Stainless Steel/Black)</t>
  </si>
  <si>
    <t>11922-913B_BD</t>
  </si>
  <si>
    <t>BODUM Joycup Granola (Off-White)</t>
  </si>
  <si>
    <t>11889-279_BD</t>
  </si>
  <si>
    <t>BODUM Joycup Travel Mug 250ml (Black)</t>
  </si>
  <si>
    <t>11889-280_BD</t>
  </si>
  <si>
    <t>BODUM Joycup Travel Mug 250ml (Grey)</t>
  </si>
  <si>
    <t>1788-01BD</t>
  </si>
  <si>
    <t>BODUM Kenya French Press 1L 8 Cup (Black)</t>
  </si>
  <si>
    <t>1783-01BD</t>
  </si>
  <si>
    <t>BODUM Kenya French Press 350ml 3 Cup (Black)</t>
  </si>
  <si>
    <t>4312-10TBD</t>
  </si>
  <si>
    <t>BODUM Kvadrant Beer Glasses 500ml 2 Piece Set</t>
  </si>
  <si>
    <t>4306-10TBD</t>
  </si>
  <si>
    <t>BODUM Kvadrant Juice Glasses 200ml 4 Piece Set</t>
  </si>
  <si>
    <t>4308-10T_BD</t>
  </si>
  <si>
    <t>BODUM Kvadrant Tumbler Glasses 350ml 4 Piece Set</t>
  </si>
  <si>
    <t>1446-01BD</t>
  </si>
  <si>
    <t>BODUM Latteo Milk Frother with Glass Handle (Black)</t>
  </si>
  <si>
    <t>4558-10BD</t>
  </si>
  <si>
    <t>BODUM Pavina Double Wall 250ml 2 Piece Set</t>
  </si>
  <si>
    <t>4558-10-12BD</t>
  </si>
  <si>
    <t>BODUM Pavina Double Wall 250ml 6 Piece Set</t>
  </si>
  <si>
    <t>4559-10BD</t>
  </si>
  <si>
    <t>BODUM Pavina Double Wall 350ml 2 Piece Set</t>
  </si>
  <si>
    <t>4559-10-12BD</t>
  </si>
  <si>
    <t>BODUM Pavina Double Wall 350ml 6 Piece Set</t>
  </si>
  <si>
    <t>K4557-10BD</t>
  </si>
  <si>
    <t>BODUM Pavina Double Wall 4 Piece Set (2 x 80ml, 2 x 350ml)</t>
  </si>
  <si>
    <t>4560-10BD</t>
  </si>
  <si>
    <t>BODUM Pavina Double Wall 450ml 2 Piece Set</t>
  </si>
  <si>
    <t>4560-10-12BD</t>
  </si>
  <si>
    <t>BODUM Pavina Double Wall 450ml 6 Piece Set</t>
  </si>
  <si>
    <t>K4558-10BD</t>
  </si>
  <si>
    <t>BODUM Pavina Double Wall 8 Piece Set (4 x 250ml, 4 x 350ml)</t>
  </si>
  <si>
    <t>4557-10BD</t>
  </si>
  <si>
    <t>BODUM Pavina Double Wall 80ml 2 Piece Set</t>
  </si>
  <si>
    <t>4557-10-12BD</t>
  </si>
  <si>
    <t>BODUM Pavina Double Wall 80ml 6 Piece Set</t>
  </si>
  <si>
    <t>11848-10SA-12BD</t>
  </si>
  <si>
    <t>BODUM Pavina Outdoor Double Wall 250ml 6 Piece Set</t>
  </si>
  <si>
    <t>11849-10SA-12BD</t>
  </si>
  <si>
    <t>BODUM Pavina Outdoor Double Wall 350ml 6 Piece Set</t>
  </si>
  <si>
    <t>K11849-10SABD</t>
  </si>
  <si>
    <t>BODUM Pavina To Go Double Wall with Lid 300ml 2 Piece Set</t>
  </si>
  <si>
    <t>11571-01S_BD</t>
  </si>
  <si>
    <t>BODUM Pour Over with Permanent Filter 1L (Black)</t>
  </si>
  <si>
    <t>K11830-01SA-1BD</t>
  </si>
  <si>
    <t>BODUM Presso 12 Piece Storage Set (4 x 250ml, 3 x 600ml, 3 x 1L, 2 x 2L)</t>
  </si>
  <si>
    <t>3040-01BD</t>
  </si>
  <si>
    <t>BODUM Schiuma Battery Operated Milk Frother (Black)</t>
  </si>
  <si>
    <t>K11153-01_BD</t>
  </si>
  <si>
    <t>BODUM Tea For One Double Wall Glass with Tea Strainer 350ml (Black)</t>
  </si>
  <si>
    <t>K11153-913_BD</t>
  </si>
  <si>
    <t>BODUM Tea For One Double Wall Glass with Tea Strainer 350ml (White)</t>
  </si>
  <si>
    <t>K11067-01BD</t>
  </si>
  <si>
    <t>BODUM Travel Press Vacuum with Extra Lid Set (Black)</t>
  </si>
  <si>
    <t>11002-01BD</t>
  </si>
  <si>
    <t>BODUM Twin Salt and Pepper Grinder (Black)</t>
  </si>
  <si>
    <t>K11239-16_BD</t>
  </si>
  <si>
    <t>BODUM Yoyo Mug, Glass and Tea Strainer Set (Stainless Steel)</t>
  </si>
  <si>
    <t>BONELK</t>
  </si>
  <si>
    <t>ELK-23016-R</t>
  </si>
  <si>
    <t>BONELK 10k mAh Power Bank Mini, 1 x USB-C PD20W, 1 x USB-A QC22.5W (Black)</t>
  </si>
  <si>
    <t>ELK-23019-R</t>
  </si>
  <si>
    <t>BONELK 10k mAh Power Bank Mini, 1 x USB-C PD20W, 1 x USB-A QC22.5W (Blue)</t>
  </si>
  <si>
    <t>ELK-23018-R</t>
  </si>
  <si>
    <t>BONELK 10k mAh Power Bank Mini, 1 x USB-C PD20W, 1 x USB-A QC22.5W (Pink)</t>
  </si>
  <si>
    <t>ELK-23015-R</t>
  </si>
  <si>
    <t>BONELK 10k mAh Power Bank Mini, 1 x USB-C PD20W, 1 x USB-A QC22.5W (White)</t>
  </si>
  <si>
    <t>ELK-23017-R</t>
  </si>
  <si>
    <t>BONELK 10k mAh Power Bank Mini, 1 x USB-C PD20W, 1 x USB-A QC22.5W (Yellow)</t>
  </si>
  <si>
    <t>ELK-23022-R</t>
  </si>
  <si>
    <t>BONELK 20k mAh Power Bank Pro, 1 x USB-C PD20W, 1 x USB-A QC22.5W (Black)</t>
  </si>
  <si>
    <t>ELK-23021-R</t>
  </si>
  <si>
    <t>BONELK 20k mAh Power Bank Pro, 1 x USB-C PD20W, 1 x USB-A QC22.5W (White)</t>
  </si>
  <si>
    <t>ELK-21720-R</t>
  </si>
  <si>
    <t>BONELK 65W PD GaN Desktop Charger, 2 x USB-C, 2 x USB-A (Black)</t>
  </si>
  <si>
    <t>ELK-21736-R</t>
  </si>
  <si>
    <t>BONELK 65W PD GaN Wall Charger, 1 x USB-C (Black)</t>
  </si>
  <si>
    <t>NSC-002</t>
  </si>
  <si>
    <t>BONELK Clean-Screen Luxury Microfibre Cloth (Blue)</t>
  </si>
  <si>
    <t>ELK-80032-R</t>
  </si>
  <si>
    <t>BONELK Desktop Series 14 in 1 USB-CÂ Multiport Hub - Black</t>
  </si>
  <si>
    <t>ELK-80031-R</t>
  </si>
  <si>
    <t>BONELK Desktop Series 9 in 1 USB-C Multiport Hub - Black</t>
  </si>
  <si>
    <t>ELK-05012-R</t>
  </si>
  <si>
    <t>BONELK Display Port to Display Port Long Life Cable 1.5m (Black)</t>
  </si>
  <si>
    <t>ELK-70418-R</t>
  </si>
  <si>
    <t>BONELK Elevate 360 Laptop Stand (Black)</t>
  </si>
  <si>
    <t>ELK-70411-R</t>
  </si>
  <si>
    <t>BONELK Elevate Junior Stand (Black)</t>
  </si>
  <si>
    <t>ELK-70408-R</t>
  </si>
  <si>
    <t>BONELK Elevate Laptop Stand (Black)</t>
  </si>
  <si>
    <t>ELK-70419-R</t>
  </si>
  <si>
    <t>BONELK Elevate Stance Aluminium Riser Laptop Stand - Black</t>
  </si>
  <si>
    <t>ELK-70420-R</t>
  </si>
  <si>
    <t>BONELK Elevate Stance Aluminium Riser Laptop Stand - Sliver</t>
  </si>
  <si>
    <t>ELK-70413-R</t>
  </si>
  <si>
    <t>ELK-42002-R</t>
  </si>
  <si>
    <t>BONELK Fly Wireless Bluetooth Transmitter (Black)</t>
  </si>
  <si>
    <t>ELK-42005-R</t>
  </si>
  <si>
    <t>BONELK Fly Wireless Pro (Black)</t>
  </si>
  <si>
    <t>ELK-42006-R</t>
  </si>
  <si>
    <t>BONELK Fly Wireless Pro (White)</t>
  </si>
  <si>
    <t>ELK-61002-R</t>
  </si>
  <si>
    <t>BONELK Full Size Aluminium Bluetooth Keyboard and Mouse Bundle (Sliver)</t>
  </si>
  <si>
    <t>ELK-61001-R</t>
  </si>
  <si>
    <t>BONELK Full Size Aluminium Bluetooth Keyboard and Mouse Bundle (Space Grey)</t>
  </si>
  <si>
    <t>ELK-80060-R</t>
  </si>
  <si>
    <t>BONELK Long Life USB-C to 12 in 1 Multiport Slim Powered Hub - (Black)</t>
  </si>
  <si>
    <t>ELK-80028-R</t>
  </si>
  <si>
    <t>BONELK Long-Life  7 in 1 Multiport Hub  (Space Grey)</t>
  </si>
  <si>
    <t>ELK-21786-R</t>
  </si>
  <si>
    <t>BONELK Long-Life 100W GaN Multi-Device Laptop Charger, in-built Cable 1.5m (Black)</t>
  </si>
  <si>
    <t>ELK-21730-R</t>
  </si>
  <si>
    <t>BONELK Long-Life 100W PD GaN Desktop Charger, in-built USB-C Cable 1.5m (Black)</t>
  </si>
  <si>
    <t>ELK-80029-R</t>
  </si>
  <si>
    <t>BONELK Long-Life 13 in 1 Multiport Hub  (Space Grey)</t>
  </si>
  <si>
    <t>ELK-80047-R</t>
  </si>
  <si>
    <t>BONELK Long-Life 3in1 Multiport Hub  - Blue</t>
  </si>
  <si>
    <t>ELK-80046-R</t>
  </si>
  <si>
    <t>BONELK Long-Life 3in1 Multiport Hub  - Green</t>
  </si>
  <si>
    <t>ELK-80045-R</t>
  </si>
  <si>
    <t>BONELK Long-Life 3in1 Multiport Hub  - White</t>
  </si>
  <si>
    <t>ELK-80044-R</t>
  </si>
  <si>
    <t>BONELK Long-Life 3in1 Multiport Hub (Black)</t>
  </si>
  <si>
    <t>ELK-80020-R</t>
  </si>
  <si>
    <t>BONELK Long-Life 3in1 Multiport Hub (Space Grey)</t>
  </si>
  <si>
    <t>ELK-80030-R</t>
  </si>
  <si>
    <t>BONELK Long-Life 6 in 1 Multiport Adaptor (Space Grey)</t>
  </si>
  <si>
    <t>ELK-21785-R</t>
  </si>
  <si>
    <t>BONELK Long-Life 65W GaN Multi-Device Laptop Charger, in-built Cable 1.5m (Black)</t>
  </si>
  <si>
    <t>ELK-21727-R</t>
  </si>
  <si>
    <t>BONELK Long-Life 65W PD GaN Desktop Charger, in-built USB-C Cable 1.5m (Black)</t>
  </si>
  <si>
    <t>ELK-21729-R</t>
  </si>
  <si>
    <t>BONELK Long-Life 65W PD GaN Desktop Charger, in-built USB-C Cable 1.5m (Space Grey)</t>
  </si>
  <si>
    <t>ELK-90028-R</t>
  </si>
  <si>
    <t>BONELK Long-Life Armour Backpack 15" - 16" (Black)</t>
  </si>
  <si>
    <t>ELK-90024-R</t>
  </si>
  <si>
    <t>BONELK Long-Life Armour Sleeve 13" - 14" (Black)</t>
  </si>
  <si>
    <t>ELK-90025-R</t>
  </si>
  <si>
    <t>BONELK Long-Life Armour Sleeve 15" - 16" (Black)</t>
  </si>
  <si>
    <t>ELK-90026-R</t>
  </si>
  <si>
    <t>BONELK Long-Life Attache 13" - 14" (Black)</t>
  </si>
  <si>
    <t>ELK-90027-R</t>
  </si>
  <si>
    <t>BONELK Long-Life Attache 15" - 16" (Black)</t>
  </si>
  <si>
    <t>ELK-05122-R</t>
  </si>
  <si>
    <t>BONELK Long-Life Display Port to Display Port Cable 1.5m (Black)</t>
  </si>
  <si>
    <t>ELK-05123-R</t>
  </si>
  <si>
    <t>BONELK Long-Life Display Port to Display Port Cable 2.5m (Black)</t>
  </si>
  <si>
    <t>ELK-05037-R</t>
  </si>
  <si>
    <t>BONELK Long-Life Easy Grip USB-A to USB-C Cable, 60W (2m) (Black)</t>
  </si>
  <si>
    <t>ELK-05030-R</t>
  </si>
  <si>
    <t>BONELK Long-Life Easy Grip USB-C to USB-C Cable, 100W 1.2m (Black)</t>
  </si>
  <si>
    <t>ELK-04522-R</t>
  </si>
  <si>
    <t>BONELK Long-Life Easy Grip USB-C to USB-C Cable, 240w/20Gbps 4K 60Hz - 1.5m (Black)</t>
  </si>
  <si>
    <t>ELK-04523-R</t>
  </si>
  <si>
    <t>BONELK Long-Life Easy Grip USB-C to USB-C Cable, 240w/40Gbps 8K 60Hz - 1.5m (Black)</t>
  </si>
  <si>
    <t>ELK-04520-R</t>
  </si>
  <si>
    <t>BONELK Long-Life Easy Grip USB-C to USB-C Cable, 240w/480Mbps - 1.5m (Black)</t>
  </si>
  <si>
    <t>ELK-05124-R</t>
  </si>
  <si>
    <t>BONELK Long-Life Mini Display Port to HDMI Cable 1.5m (Black)</t>
  </si>
  <si>
    <t>ELK-80038-R</t>
  </si>
  <si>
    <t>BONELK Long-Life USB-A to 3 Port Hub + SD/TF Reader - Black</t>
  </si>
  <si>
    <t>ELK-80037-R</t>
  </si>
  <si>
    <t>BONELK Long-Life USB-A to 3 Port Hub + SD/TF Reader - Space Grey</t>
  </si>
  <si>
    <t>ELK-80036-R</t>
  </si>
  <si>
    <t>BONELK Long-Life USB-A to 4 Port USB 3.0 Slim Hub (Black)</t>
  </si>
  <si>
    <t>ELK-80043-R</t>
  </si>
  <si>
    <t>BONELK Long-Life USB-A to 4 Port USB 3.0 Slim Hub (Blue)</t>
  </si>
  <si>
    <t>ELK-80042-R</t>
  </si>
  <si>
    <t>BONELK Long-Life USB-A to 4 Port USB 3.0 Slim Hub (Green)</t>
  </si>
  <si>
    <t>ELK-80024-R</t>
  </si>
  <si>
    <t>BONELK Long-Life USB-A to 4 Port USB 3.0 Slim Hub (Space Grey)</t>
  </si>
  <si>
    <t>ELK-80041-R</t>
  </si>
  <si>
    <t>BONELK Long-Life USB-A to 4 Port USB 3.0 Slim Hub (White)</t>
  </si>
  <si>
    <t>ELK-80059-R</t>
  </si>
  <si>
    <t>BONELK Long-Life USB-C 4 in 1 Multiport Slim Hub (Black)</t>
  </si>
  <si>
    <t>ELK-80048-R</t>
  </si>
  <si>
    <t>BONELK Long-Life USB-C 4 in 1 Multiport Slim Hub (Space Grey)</t>
  </si>
  <si>
    <t>ELK-80055-R</t>
  </si>
  <si>
    <t>BONELK Long-Life USB-C to 11 in 1 Multiport Hub - (Space Grey)</t>
  </si>
  <si>
    <t>ELK-80023-R</t>
  </si>
  <si>
    <t>BONELK Long-Life USB-C to 2 Port USB 3.0 Slim Hub (Space Grey)</t>
  </si>
  <si>
    <t>ELK-80075-R</t>
  </si>
  <si>
    <t>BONELK Long-Life USB-C to 3.5mm AUX Audio Adapter (Black)</t>
  </si>
  <si>
    <t>ELK-80076-R</t>
  </si>
  <si>
    <t>BONELK Long-Life USB-C to 3.5mm AUX Audio Adapter (White)</t>
  </si>
  <si>
    <t>ELK-80052-R</t>
  </si>
  <si>
    <t>BONELK Long-Life USB-C to 4 Port USB 3.0 Slim Hub  (Blue)</t>
  </si>
  <si>
    <t>ELK-80051-R</t>
  </si>
  <si>
    <t>BONELK Long-Life USB-C to 4 Port USB 3.0 Slim Hub  (Green)</t>
  </si>
  <si>
    <t>ELK-80050-R</t>
  </si>
  <si>
    <t>BONELK Long-Life USB-C to 4 Port USB 3.0 Slim Hub  (White)</t>
  </si>
  <si>
    <t>ELK-80022-R</t>
  </si>
  <si>
    <t>BONELK Long-Life USB-C to 4 Port USB 3.0 Slim Hub (Space Grey)</t>
  </si>
  <si>
    <t>ELK-80040-R</t>
  </si>
  <si>
    <t>BONELK Long-Life USB-C to 4 Port USB 3.0 Slim Hub - (Black)</t>
  </si>
  <si>
    <t>ELK-80058-R</t>
  </si>
  <si>
    <t>BONELK Long-Life USB-C to 4 Port USB-C 3.0 Slim Hub - (Black)</t>
  </si>
  <si>
    <t>ELK-80025-R</t>
  </si>
  <si>
    <t>BONELK Long-Life USB-C to 4K HDMI Adapter - 15cm (Space Grey)</t>
  </si>
  <si>
    <t>ELK-80053-R</t>
  </si>
  <si>
    <t>BONELK Long-Life USB-C to 8 in 1 Multiport Hub - (Black)</t>
  </si>
  <si>
    <t>ELK-80057-R</t>
  </si>
  <si>
    <t>BONELK Long-Life USB-C to 8 in 1 Multiport Hub - (Space Grey)</t>
  </si>
  <si>
    <t>ELK-05125-R</t>
  </si>
  <si>
    <t>BONELK Long-Life USB-C to Display Port  Cable 1.5m (Black)</t>
  </si>
  <si>
    <t>ELK-80027-R</t>
  </si>
  <si>
    <t>BONELK Long-Life USB-C to Gigabit Ethernet Adapter - 15cm (Space Grey)</t>
  </si>
  <si>
    <t>ELK-05120-R</t>
  </si>
  <si>
    <t>BONELK Long-Life USB-C to HDMI Cable 1.5m (Black)</t>
  </si>
  <si>
    <t>ELK-05121-R</t>
  </si>
  <si>
    <t>BONELK Long-Life USB-C to HDMI Cable 2.5m (Black)</t>
  </si>
  <si>
    <t>ELK-80019-R</t>
  </si>
  <si>
    <t>BONELK Long-Life USB-C to USB-A Adapter - 15cm (Space Grey)</t>
  </si>
  <si>
    <t>ELK-05016-R</t>
  </si>
  <si>
    <t>BONELK Mini Display Port to HDMI Long Life Cable 1.5m (Black)</t>
  </si>
  <si>
    <t>ELK-05017-R</t>
  </si>
  <si>
    <t>BONELK Mini Display Port to HDMI Long Life Cable 2.5m (Black)</t>
  </si>
  <si>
    <t>ELK-05236-R</t>
  </si>
  <si>
    <t>BONELK Pro-X Long-Life HDMI to HDMI Cable 1.5m (Black)</t>
  </si>
  <si>
    <t>ELK-05230-R</t>
  </si>
  <si>
    <t>BONELK Pro-X Long-Life USB-C to HDMI Cable 1.5m (Black)</t>
  </si>
  <si>
    <t>NSC-003</t>
  </si>
  <si>
    <t>BONELK Screen Cleaning Kit (200 ml)</t>
  </si>
  <si>
    <t>NSC-001</t>
  </si>
  <si>
    <t>BONELK Screen Cleaning Kit 30 ml</t>
  </si>
  <si>
    <t>ELK-61003-R</t>
  </si>
  <si>
    <t>BONELK Slim Bluetooth/RF Keyboard and Mouse Combo, KM-447 (Space Grey)</t>
  </si>
  <si>
    <t>ELK-61014-R</t>
  </si>
  <si>
    <t>BONELK Slim Bluetooth/RF Keyboard and Mouse Combo, KM-447 (White)</t>
  </si>
  <si>
    <t>ELK-51016-R</t>
  </si>
  <si>
    <t>BONELK Slim Smart Folio Case for iPad 10.2 7th/8th/9th Gen (Midnight)</t>
  </si>
  <si>
    <t>ELK-61012-R</t>
  </si>
  <si>
    <t>BONELK Slim Wireless Keyboard and Mouse Combo, KM-314 - Black</t>
  </si>
  <si>
    <t>ELK-61013-R</t>
  </si>
  <si>
    <t>BONELK Slim Wireless Keyboard and Mouse Combo, KM-314 - White</t>
  </si>
  <si>
    <t>ELK-61004-R</t>
  </si>
  <si>
    <t>BONELK Slim Wireless Keyboard and Mouse Combo, KM-322 (Black)</t>
  </si>
  <si>
    <t>ELK-61007-R</t>
  </si>
  <si>
    <t>BONELK Slim Wireless Keyboard and Mouse Combo, KM-322 (Salmon)</t>
  </si>
  <si>
    <t>ELK-61006-R</t>
  </si>
  <si>
    <t>BONELK Slim Wireless Keyboard and Mouse Combo, KM-322 (Teal)</t>
  </si>
  <si>
    <t>ELK-61005-R</t>
  </si>
  <si>
    <t>BONELK Slim Wireless Keyboard and Mouse Combo, KM-322 (White)</t>
  </si>
  <si>
    <t>ELK-90022-R</t>
  </si>
  <si>
    <t>BONELK Traveller Alpine Backpack 15"- 16" (Black)</t>
  </si>
  <si>
    <t>ELK-90023-R</t>
  </si>
  <si>
    <t>BONELK Uptown Backpack 15" - 16" (Grey)</t>
  </si>
  <si>
    <t>ELK-90021-R</t>
  </si>
  <si>
    <t>BONELK Urban Classic Backpack 15" - 16" (Grey)</t>
  </si>
  <si>
    <t>ELK-63026-R</t>
  </si>
  <si>
    <t>BONELK USB Webcam Pro LED, Clip On, 1080p (Black)</t>
  </si>
  <si>
    <t>ELK-63022-R</t>
  </si>
  <si>
    <t>BONELK USB Webcam, Clip On, 1080p (Black)</t>
  </si>
  <si>
    <t>ELK-63021-R</t>
  </si>
  <si>
    <t>BONELK USB Webcam, Clip On, 720p (Black)</t>
  </si>
  <si>
    <t>ELK-80077-R</t>
  </si>
  <si>
    <t>BONELK USB-A to USB-C 3.0 Adapter (Space Grey)</t>
  </si>
  <si>
    <t>ELK-80061-R</t>
  </si>
  <si>
    <t>BONELK USB-A to USB-C 3.0 Adapter - (Black)</t>
  </si>
  <si>
    <t>ELK-80070-R</t>
  </si>
  <si>
    <t>BONELK USB-A to USB-C 3.0 Adapter - (White)</t>
  </si>
  <si>
    <t>ELK-80063-R</t>
  </si>
  <si>
    <t>BONELK USB-C to 4K HDMI Adapter - (Black)</t>
  </si>
  <si>
    <t>ELK-80064-R</t>
  </si>
  <si>
    <t>BONELK USB-C to Ethernet Adapter - (Black)</t>
  </si>
  <si>
    <t>ELK-05010-R</t>
  </si>
  <si>
    <t>BONELK USB-C to HDMI Long Life Cable 1.5m (Black)</t>
  </si>
  <si>
    <t>ELK-05011-R</t>
  </si>
  <si>
    <t>BONELK USB-C to HDMI Long Life Cable 2.5m (Black)</t>
  </si>
  <si>
    <t>ELK-80078-R</t>
  </si>
  <si>
    <t>BONELK USB-C to MicroSD/SD Adapter (Space Grey)</t>
  </si>
  <si>
    <t>ELK-80065-R</t>
  </si>
  <si>
    <t>BONELK USB-C to MicroSD/SD Adapter - (Black)</t>
  </si>
  <si>
    <t>ELK-80072-R</t>
  </si>
  <si>
    <t>BONELK USB-C to MicroSD/SD Adapter - (White)</t>
  </si>
  <si>
    <t>ELK-80079-R</t>
  </si>
  <si>
    <t>BONELK USB-C to USB-A 3.0 Adapter (Space Grey)</t>
  </si>
  <si>
    <t>BONELK USB-C to USB-A 3.0 Adapter - (Black)</t>
  </si>
  <si>
    <t>ELK-80071-R</t>
  </si>
  <si>
    <t>BONELK USB-C to USB-A 3.0 Adapter - (White)</t>
  </si>
  <si>
    <t>ELK-05018-R</t>
  </si>
  <si>
    <t>BONELK USB-C to USB-C Long-Life Cable 10Gbps / 140W 2m (Black)</t>
  </si>
  <si>
    <t>ELK-05019-R</t>
  </si>
  <si>
    <t>BONELK USB-C to USB-C Long-Life Cable 10Gbps / 140W 2m (White)</t>
  </si>
  <si>
    <t>ELK-05020-R</t>
  </si>
  <si>
    <t>BONELK USB-C to USB-C Long-Life Cable 20Gbps / 240W 2m (White)</t>
  </si>
  <si>
    <t>ELK-04016-R</t>
  </si>
  <si>
    <t>BONELK USB-C to USB-C LongLife Digital Cable 100W 1.5m - (Black)</t>
  </si>
  <si>
    <t>ELK-80150-R</t>
  </si>
  <si>
    <t>BONELK Vision Long-Life USB-C to 6-in-1 Multiport Hub (SG/Clear)</t>
  </si>
  <si>
    <t>ELK-80151-R</t>
  </si>
  <si>
    <t>BONELK Vision Long-Life USB-C to 6-in-1 w/Card Reader Multiport Hub (SG/Clear)</t>
  </si>
  <si>
    <t>ELK-80152-R</t>
  </si>
  <si>
    <t>BONELK Vision Long-Life USB-C to 8-in-1 Multiport Hub (SG/Clear)</t>
  </si>
  <si>
    <t>ELK-61020-R</t>
  </si>
  <si>
    <t>BONELK Wireless Keyboard and Mouse Combo, Compact, KM-383 (Grey)</t>
  </si>
  <si>
    <t>ELK-61023-R</t>
  </si>
  <si>
    <t>BONELK Wireless Keyboard and Mouse Combo, Compact, KM-383 (Lilac)</t>
  </si>
  <si>
    <t>ELK-70406-R</t>
  </si>
  <si>
    <t>BONELK X-Frame Laptop Stand (Black)</t>
  </si>
  <si>
    <t>BOSCH</t>
  </si>
  <si>
    <t>BHZUB1830</t>
  </si>
  <si>
    <t>BOSCH 3MAh Exchangable 18V Battery</t>
  </si>
  <si>
    <t>BHZUB1850</t>
  </si>
  <si>
    <t>BOSCH 5MAh Exchangeable 18V Battery</t>
  </si>
  <si>
    <t>BCH6255NAU</t>
  </si>
  <si>
    <t>BOSCH Athlet 25,2V Cordless Handstick Vacuum Cleaner</t>
  </si>
  <si>
    <t>BHZUC183AU</t>
  </si>
  <si>
    <t>BOSCH Desk Top Quick Charger (18V Batteries)</t>
  </si>
  <si>
    <t>BGL72234AU</t>
  </si>
  <si>
    <t>BOSCH Ergomaxx'x Bagged Vacuum Cleaner (White)</t>
  </si>
  <si>
    <t>BCS61PE2AU</t>
  </si>
  <si>
    <t>BOSCH Serie 6 ProAnimal Rechargeable Vacuum Cleaner Unlimited (Red)</t>
  </si>
  <si>
    <t>BCS61113AU</t>
  </si>
  <si>
    <t>BOSCH Serie 6 Rechargeable Vacuum Cleaner Unlimited (White)</t>
  </si>
  <si>
    <t>BCH86PETAU</t>
  </si>
  <si>
    <t>BOSCH Serie 6 Rechargeable vacuum cleaner, Athlet ProAnimal 28Vmax (Red)</t>
  </si>
  <si>
    <t>BCH86HYGAU</t>
  </si>
  <si>
    <t>BOSCH Serie 6 Rechargeable vacuum cleaner, Athlet ProHygienic 28Vmax (White)</t>
  </si>
  <si>
    <t>BCH87POW1</t>
  </si>
  <si>
    <t>BOSCH Serie 8 Rechargeable vacuum cleaner, Athlet ProPower 36Vmax (Black)</t>
  </si>
  <si>
    <t>BGL38BA3AU</t>
  </si>
  <si>
    <t>BOSCH Series 4 Bagged Vacuum Cleaner (Black)</t>
  </si>
  <si>
    <t>BGL6PETAU</t>
  </si>
  <si>
    <t>BOSCH Series 6 ProAnimal Bagged Vacuum (Red)</t>
  </si>
  <si>
    <t>BGS41PETAU</t>
  </si>
  <si>
    <t>BOSCH Series 6 ProAnimal Bagless Vacuum</t>
  </si>
  <si>
    <t>BGL6HYGAU</t>
  </si>
  <si>
    <t>BOSCH Series 6 ProHygienic Bagged Vacuum (White)</t>
  </si>
  <si>
    <t>BHZUFEH</t>
  </si>
  <si>
    <t>BOSCH Stick Vacuum Flexible Extension Hose</t>
  </si>
  <si>
    <t>BCS712FCAU</t>
  </si>
  <si>
    <t>BOSCH Unlimited 7 Rechargeable Premium Stick Vacuum (Black)</t>
  </si>
  <si>
    <t>BCS71PETAU</t>
  </si>
  <si>
    <t>BOSCH Unlimited 7 Rechargeable ProAnimal Stick Vacuum (Red)</t>
  </si>
  <si>
    <t>BBS711AU</t>
  </si>
  <si>
    <t>BOSCH Unlimited 7 Rechargeable Stick Vacuum (Laguna Blue)</t>
  </si>
  <si>
    <t>BCS711WAU</t>
  </si>
  <si>
    <t>BOSCH Unlimited 7 Rechargeable Stick Vacuum (White)</t>
  </si>
  <si>
    <t>TIS30129RW</t>
  </si>
  <si>
    <t>BOSCH VeroCup 100 (Black)</t>
  </si>
  <si>
    <t>TIS30321RW</t>
  </si>
  <si>
    <t>BOSCH VeroCup 300 (Silver)</t>
  </si>
  <si>
    <t>BCH6ZOOAU</t>
  </si>
  <si>
    <t>BOSCH Zoo'o 25 2V Rechargeable Vacuum Cleaner (Red)</t>
  </si>
  <si>
    <t>BGL8ZOOAU</t>
  </si>
  <si>
    <t>BOSCH Zoo'o ProAnimal Bagged Vacuum Cleaner</t>
  </si>
  <si>
    <t>BGS5ZOOOAU</t>
  </si>
  <si>
    <t>BOSCH Zoo'o ProAnimal Bagless vacuum cleaner (Silver)</t>
  </si>
  <si>
    <t>BRENTHAVEN</t>
  </si>
  <si>
    <t>BRENTHAVEN Edge Case for iPad 10.2" (7th, 8th &amp; 9th Gen)</t>
  </si>
  <si>
    <t>CAMPFIRE</t>
  </si>
  <si>
    <t>P92OVL-09</t>
  </si>
  <si>
    <t>CAMPFIRE 10 QRT Oval Dutch Oven Pre-Seasoned</t>
  </si>
  <si>
    <t>EN8030</t>
  </si>
  <si>
    <t>CAMPFIRE 11 Piece Enamel Cookware Set (Navy)</t>
  </si>
  <si>
    <t>CAMPFIRE 12V/240V Vacuum Sealer</t>
  </si>
  <si>
    <t>CAMPFIRE 22 Piece BBQ Set</t>
  </si>
  <si>
    <t>CAMPFIRE 3 Piece Premium Knife Set</t>
  </si>
  <si>
    <t>CFR16123</t>
  </si>
  <si>
    <t>CAMPFIRE 8L Potjie Pot Cast Iron</t>
  </si>
  <si>
    <t>CAMPFIRE Aluminium Stockpot &amp; Basket 30L</t>
  </si>
  <si>
    <t>CAMPFIRE Bush Pan 40cm</t>
  </si>
  <si>
    <t>CAMPFIRE Camp Oven Set 4.5 Quart</t>
  </si>
  <si>
    <t>CAMPFIRE Camp Oven Set 9 Quart</t>
  </si>
  <si>
    <t>CAMPFIRE Canvas Camp Oven Bag 12 QRT</t>
  </si>
  <si>
    <t>CAMPFIRE Cast Iron Boxed Pack 9 Piece</t>
  </si>
  <si>
    <t>CFR16023</t>
  </si>
  <si>
    <t>CAMPFIRE Combo Cooker Cast 3.2 Quart</t>
  </si>
  <si>
    <t>CAMPFIRE Dinnerset 4 Person Enamel (Navy)</t>
  </si>
  <si>
    <t>CFR24001</t>
  </si>
  <si>
    <t>CAMPFIRE Melamine Set 16 Piece Set (Blue Moon)</t>
  </si>
  <si>
    <t>CAMPFIRE Stainless Steel 6 Piece Pot Set</t>
  </si>
  <si>
    <t>ST0385</t>
  </si>
  <si>
    <t>CAMPFIRE Stockpot Stainless Steel 50L</t>
  </si>
  <si>
    <t>765025R</t>
  </si>
  <si>
    <t>CAMPFIRE Whistling Kettle S/S 2.5L (Red)</t>
  </si>
  <si>
    <t>765004R</t>
  </si>
  <si>
    <t>CAMPFIRE Whistling Kettle S/S 4 L (Red)</t>
  </si>
  <si>
    <t>CATALYST</t>
  </si>
  <si>
    <t>CATVIBE12GRNS</t>
  </si>
  <si>
    <t>CATALYST Vibe Case for iPhone 12 - (Green)</t>
  </si>
  <si>
    <t>CATAPDPROBLK</t>
  </si>
  <si>
    <t>CATALYST Waterproof Case for AirPods Pro 1st/2nd Gen (Black)</t>
  </si>
  <si>
    <t>CHASSEUR</t>
  </si>
  <si>
    <t>CHASSEUR Rectangular Baker with Lid (Red)</t>
  </si>
  <si>
    <t>CHIPOLO</t>
  </si>
  <si>
    <t>CH-C17B-WE-R</t>
  </si>
  <si>
    <t>CHIPOLO CARD (White)</t>
  </si>
  <si>
    <t>RCS.0000001</t>
  </si>
  <si>
    <t>CHIPOLO CARD Point</t>
  </si>
  <si>
    <t>RAC.0000001</t>
  </si>
  <si>
    <t>Chipolo CARD Point + Chipolo ONE Point BUNDLE</t>
  </si>
  <si>
    <t>CH-C21R-GY-R-EN</t>
  </si>
  <si>
    <t>CHIPOLO CARD Spot (Black)</t>
  </si>
  <si>
    <t>CH-SPOTBUNDLE</t>
  </si>
  <si>
    <t>CHIPOLO CARD Spot + Chipolo ONE Spot Bundle</t>
  </si>
  <si>
    <t>RRF.0000001</t>
  </si>
  <si>
    <t>Chipolo CARD Tracker - Charcoal</t>
  </si>
  <si>
    <t>RAB.0000001</t>
  </si>
  <si>
    <t>Chipolo LOOP &amp; CARD Tracker Bundle - Charcoal</t>
  </si>
  <si>
    <t>RSO.0000001</t>
  </si>
  <si>
    <t>Chipolo LOOP Tracker - Chalk</t>
  </si>
  <si>
    <t>RSO.0000006</t>
  </si>
  <si>
    <t>Chipolo LOOP Tracker - Charcoal</t>
  </si>
  <si>
    <t>RSO.0000003</t>
  </si>
  <si>
    <t>Chipolo LOOP Tracker - Coral</t>
  </si>
  <si>
    <t>RSO.0000002</t>
  </si>
  <si>
    <t>Chipolo LOOP Tracker - Honey</t>
  </si>
  <si>
    <t>RSO.0000005</t>
  </si>
  <si>
    <t>Chipolo LOOP Tracker - Mint</t>
  </si>
  <si>
    <t>RSO.0000004</t>
  </si>
  <si>
    <t>Chipolo LOOP Tracker - Navy</t>
  </si>
  <si>
    <t>RSO.0000007</t>
  </si>
  <si>
    <t>Chipolo LOOP Tracker 4 Pack - Charcoal</t>
  </si>
  <si>
    <t>RSO.0000008</t>
  </si>
  <si>
    <t>Chipolo LOOP Tracker 4 Pack - Charcoal Chalk Navy Coral</t>
  </si>
  <si>
    <t>CH-C19M-BK-R</t>
  </si>
  <si>
    <t>CHIPOLO ONE (Black)</t>
  </si>
  <si>
    <t>CH-C19M-BE-R</t>
  </si>
  <si>
    <t>CHIPOLO ONE (Blue)</t>
  </si>
  <si>
    <t>CH-C19M-GN-R</t>
  </si>
  <si>
    <t>CHIPOLO ONE (Green)</t>
  </si>
  <si>
    <t>CH-C19M-RD-R</t>
  </si>
  <si>
    <t>CHIPOLO ONE (Red)</t>
  </si>
  <si>
    <t>RAS.0000001</t>
  </si>
  <si>
    <t>CHIPOLO ONE Point</t>
  </si>
  <si>
    <t>RAS.0000003</t>
  </si>
  <si>
    <t>CHIPOLO ONE Point 4 pack</t>
  </si>
  <si>
    <t>CH-C21M-GY-R</t>
  </si>
  <si>
    <t>CHIPOLO One SPOT</t>
  </si>
  <si>
    <t>CH-C21M-2GY-R</t>
  </si>
  <si>
    <t>CHIPOLO One SPOT 2 pack</t>
  </si>
  <si>
    <t>CH-C21M-4GY-R</t>
  </si>
  <si>
    <t>CHIPOLO One SPOT 4 pack</t>
  </si>
  <si>
    <t>CH-POS</t>
  </si>
  <si>
    <t>CHIPOLO Point of Sale (18pc Dual Display)</t>
  </si>
  <si>
    <t>RWS.0000007.000</t>
  </si>
  <si>
    <t>CHIPOLO POP - 4 Pack - Black</t>
  </si>
  <si>
    <t>RWS.0000006.000</t>
  </si>
  <si>
    <t>CHIPOLO POP - Black</t>
  </si>
  <si>
    <t>RWS.0000004.000</t>
  </si>
  <si>
    <t>CHIPOLO POP - Blue</t>
  </si>
  <si>
    <t>RWS.0000001.000</t>
  </si>
  <si>
    <t>CHIPOLO POP - White</t>
  </si>
  <si>
    <t>RWS.0000005.000</t>
  </si>
  <si>
    <t>CHIPOLO POP Green</t>
  </si>
  <si>
    <t>RWS.0000003.000</t>
  </si>
  <si>
    <t>CHIPOLO POP Red</t>
  </si>
  <si>
    <t>RWS.0000002.000</t>
  </si>
  <si>
    <t>CHIPOLO POP Yellow</t>
  </si>
  <si>
    <t>CLASS VR</t>
  </si>
  <si>
    <t>CVR-CRS-4</t>
  </si>
  <si>
    <t>CLASS VR (Set of 4)</t>
  </si>
  <si>
    <t>CVR-CON-4</t>
  </si>
  <si>
    <t>CLASS VR Controller - 4 pack</t>
  </si>
  <si>
    <t>CVR-CUB-1</t>
  </si>
  <si>
    <t>CLASS VR Cube</t>
  </si>
  <si>
    <t>CVR-ASC-CUB-8</t>
  </si>
  <si>
    <t>ClassVR Cubes (CVR-ASC-CUB)</t>
  </si>
  <si>
    <t>CVR264-CRS-4</t>
  </si>
  <si>
    <t>ClassVR Headsets 4pk (CVR-255)</t>
  </si>
  <si>
    <t>CVR2-CRS-64</t>
  </si>
  <si>
    <t>ClassVR Headsets 8pk (CVR-255)</t>
  </si>
  <si>
    <t>CUISINART</t>
  </si>
  <si>
    <t>CUISINART 2 Piece Grill &amp; Fry Set (Grill Pan 28cm, Fry Pan 26cm)</t>
  </si>
  <si>
    <t>CUISINART 2 Slice Digital Toaster</t>
  </si>
  <si>
    <t>CUISINART 2 Slice Toaster (Matte Black)</t>
  </si>
  <si>
    <t>CUISINART 3 in 1 Multi Cooker</t>
  </si>
  <si>
    <t>CUISINART 4 Slice Digital Toaster</t>
  </si>
  <si>
    <t>CUISINART 4 Slice Toaster (Matte Black)</t>
  </si>
  <si>
    <t>CUISINART 6 Piece Cookware Set</t>
  </si>
  <si>
    <t>CUISINART 8 Cup Food Processor - Gun Metal Grey</t>
  </si>
  <si>
    <t>CUISINART 9 Speed Hand Mixer with Storage Case (Silver)</t>
  </si>
  <si>
    <t>CUISINART 9 Speed Hand Mixer with Storage Case (White)</t>
  </si>
  <si>
    <t>CUISINART Acrylic/Silicone Basting Set</t>
  </si>
  <si>
    <t>CUISINART Belgian Waffle Maker</t>
  </si>
  <si>
    <t>CUISINART Blade and Disc Holder</t>
  </si>
  <si>
    <t>CUISINART Bread Knife 20cm</t>
  </si>
  <si>
    <t>CUISINART Casserole 26cm/4.5 Litre</t>
  </si>
  <si>
    <t>CUISINART Chef Pan 26cm</t>
  </si>
  <si>
    <t>CUISINART Combo Steam &amp; Convection Oven</t>
  </si>
  <si>
    <t>CUISINART Compact Juice Extractor</t>
  </si>
  <si>
    <t>CUISINART Cookfresh Digital Glass Steamer</t>
  </si>
  <si>
    <t>01269CI</t>
  </si>
  <si>
    <t>CUISINART Cool Scoops Ice-Cream Maker</t>
  </si>
  <si>
    <t>CUISINART Cordless Blender</t>
  </si>
  <si>
    <t>CUISINART Cordless Electric Kettle</t>
  </si>
  <si>
    <t>CUISINART Cordless Hand Blender</t>
  </si>
  <si>
    <t>CUISINART Cordless Hand Mixer</t>
  </si>
  <si>
    <t>01345CI</t>
  </si>
  <si>
    <t>01386CI</t>
  </si>
  <si>
    <t>CUISINART Cordless Mini Chopper</t>
  </si>
  <si>
    <t>CUISINART Cordless Mini Processor</t>
  </si>
  <si>
    <t>CUISINART Crepe Pan 26cm</t>
  </si>
  <si>
    <t>CUISINART Electric Knife</t>
  </si>
  <si>
    <t>CUISINART Express Oven Air Fryer</t>
  </si>
  <si>
    <t>01219CI</t>
  </si>
  <si>
    <t>CUISINART Express Oven with Air Fry</t>
  </si>
  <si>
    <t>CUISINART Fine Zester Grater with Box</t>
  </si>
  <si>
    <t>CUISINART Food Dehydrator</t>
  </si>
  <si>
    <t>CUISINART Fry Pan 20cm</t>
  </si>
  <si>
    <t>CUISINART Fry Pan 26cm</t>
  </si>
  <si>
    <t>CUISINART Fry Pan 28cm</t>
  </si>
  <si>
    <t>CUISINART Fry Pan 30cm</t>
  </si>
  <si>
    <t>CUISINART Fusion Slow Juicer</t>
  </si>
  <si>
    <t>CUISINART GR-4NA Griddler</t>
  </si>
  <si>
    <t>01344CI</t>
  </si>
  <si>
    <t>CUISINART Griddle &amp; Deep Pan</t>
  </si>
  <si>
    <t>CUISINART Griddler &amp; Deep Pan</t>
  </si>
  <si>
    <t>CUISINART Ice Cream Maker 1.5lt</t>
  </si>
  <si>
    <t>CUISINART Ice Cream Maker with Compressor</t>
  </si>
  <si>
    <t>CUISINART Ice Cream/Yoghurt Maker 2 Litre (Rose Gold)</t>
  </si>
  <si>
    <t>CUISINART Ice Cream/Yoghurt Maker 2lt</t>
  </si>
  <si>
    <t>00905CI</t>
  </si>
  <si>
    <t>CUISINART Ice-Cream &amp; Gelato Maker</t>
  </si>
  <si>
    <t>46230NC</t>
  </si>
  <si>
    <t>CUISINART Juice Extractor</t>
  </si>
  <si>
    <t>01441CI</t>
  </si>
  <si>
    <t>CUISINART Kick Start Personal Juicer &amp; Blender</t>
  </si>
  <si>
    <t>CUISINART Large Coarse Grater with Box</t>
  </si>
  <si>
    <t>CUISINART Large Stainless 2 Way Grater with box</t>
  </si>
  <si>
    <t>CUISINART Mini Prep Processor - Gun Metal Grey</t>
  </si>
  <si>
    <t>CUISINART Mini Prep Processor - White</t>
  </si>
  <si>
    <t>01667CI</t>
  </si>
  <si>
    <t>CUISINART Multi Temp Cordless Kettle</t>
  </si>
  <si>
    <t>CUISINART Multi Temperature Kettle</t>
  </si>
  <si>
    <t>CUISINART Multi Temperature Kettle (Matte Black)</t>
  </si>
  <si>
    <t>CUISINART Nut and Spice Grinder</t>
  </si>
  <si>
    <t>CUISINART Paring Knife 9cm</t>
  </si>
  <si>
    <t>CUISINART Pasta Extruder Attachment</t>
  </si>
  <si>
    <t>CUISINART Pasta Roller &amp; Cutter Set</t>
  </si>
  <si>
    <t>01778CI</t>
  </si>
  <si>
    <t>CUISINART Pizzeria Pro Indoor Pizza Oven</t>
  </si>
  <si>
    <t>CUISINART Pizzeria Pro Pizza Oven</t>
  </si>
  <si>
    <t>01701CI</t>
  </si>
  <si>
    <t>CUISINART Precision Pro Digital Planetary Mixer</t>
  </si>
  <si>
    <t>CUISINART Pressure Cooker Plus</t>
  </si>
  <si>
    <t>CUISINART Programmable Kettle</t>
  </si>
  <si>
    <t>CUISINART Roasting Pan with Rack 35 x 26cm</t>
  </si>
  <si>
    <t>CUISINART Saucepan 16cm/1.8 Litre</t>
  </si>
  <si>
    <t>CUISINART Saucepan 18cm/2.7 Litre</t>
  </si>
  <si>
    <t>CUISINART Saute Pan with Helper Handle 28cm</t>
  </si>
  <si>
    <t>CUISINART Saute Pan with Helper Handle 30cm</t>
  </si>
  <si>
    <t>01668CI</t>
  </si>
  <si>
    <t>CUISINART Signature Automated Digital 2 Slice Toaster</t>
  </si>
  <si>
    <t>01669CI</t>
  </si>
  <si>
    <t>CUISINART Signature Automated Digital 4 Slice Toaster</t>
  </si>
  <si>
    <t>CUISINART Signature Kettle 1.7L</t>
  </si>
  <si>
    <t>CUISINART Slicer/Carving Knife 20cm</t>
  </si>
  <si>
    <t>CUISINART Slicer/Carving Knife 26cm</t>
  </si>
  <si>
    <t>CUISINART Slow Cooker Programmable</t>
  </si>
  <si>
    <t>CUISINART Soft Touch Can Opener</t>
  </si>
  <si>
    <t>CUISINART Soft Touch Cheese Slicer</t>
  </si>
  <si>
    <t>CUISINART Soft Touch Garlic Press</t>
  </si>
  <si>
    <t>CUISINART Soft Touch Oriental Turner</t>
  </si>
  <si>
    <t>CUISINART Soft Touch Potato Masher</t>
  </si>
  <si>
    <t>CUISINART Soft Touch Potato Masher Stainless</t>
  </si>
  <si>
    <t>CUISINART Soft Touch Skimmer</t>
  </si>
  <si>
    <t>CUISINART Soft Touch Soup Ladle</t>
  </si>
  <si>
    <t>CUISINART Soft Touch Stainless Steel Avocado Slicer</t>
  </si>
  <si>
    <t>CUISINART Soft Touch Stainless Steel Melon Baller</t>
  </si>
  <si>
    <t>CUISINART Soft Touch Stainless Steel Universal Opener</t>
  </si>
  <si>
    <t>CUISINART Stick Blender with Accessories</t>
  </si>
  <si>
    <t>CUISINART Stockpot 24cm/7.2 Litre</t>
  </si>
  <si>
    <t>CUISINART Supergrains &amp; Rice Multi Cooker</t>
  </si>
  <si>
    <t>01714CI</t>
  </si>
  <si>
    <t>CUISINART The Soft Serve</t>
  </si>
  <si>
    <t>CUISINART Toaster 2 Slice</t>
  </si>
  <si>
    <t>CUISINART Toaster 4 Slice</t>
  </si>
  <si>
    <t>01779CI</t>
  </si>
  <si>
    <t>CUISINART VersaMix 800W Hand Blender</t>
  </si>
  <si>
    <t>CUISINART Vertical Waffle Maker</t>
  </si>
  <si>
    <t>01130CI</t>
  </si>
  <si>
    <t>CUISINART Wok with Lid 32cm</t>
  </si>
  <si>
    <t>46328NC</t>
  </si>
  <si>
    <t>CUISINARTCordless Electric Kettle (Black)</t>
  </si>
  <si>
    <t>46920NC</t>
  </si>
  <si>
    <t>CUISINEART 2 Slice Toaster SS</t>
  </si>
  <si>
    <t>46921NC</t>
  </si>
  <si>
    <t>CUISINEART 4 Slice toaster SS</t>
  </si>
  <si>
    <t>46421NC</t>
  </si>
  <si>
    <t>CUISINEART CPC-610A Pressure Cooker Plus 6 Litre</t>
  </si>
  <si>
    <t>46602NC</t>
  </si>
  <si>
    <t>CUISINEART GR-4NA Griddler</t>
  </si>
  <si>
    <t>46561NC</t>
  </si>
  <si>
    <t>CUISINEART ICE-30BCA Ice Cream/Yoghurt Maker 2 Litre (Rose Gold)</t>
  </si>
  <si>
    <t>46824NC</t>
  </si>
  <si>
    <t>CUISINEART Mini Prep Processor (Gun Metal Grey)</t>
  </si>
  <si>
    <t>46443NC</t>
  </si>
  <si>
    <t>CUISINEART MSC-600A 3 in 1 Multi Cooker</t>
  </si>
  <si>
    <t>46441NC</t>
  </si>
  <si>
    <t>CUISINEART MSC-600A Multi Cooker</t>
  </si>
  <si>
    <t>46944NC</t>
  </si>
  <si>
    <t>CUISINEART Vertical Waffle Maker</t>
  </si>
  <si>
    <t>46946NC</t>
  </si>
  <si>
    <t>CUISINEART WAF-150A Waffle Maker - 4 Slice</t>
  </si>
  <si>
    <t>DEUTER</t>
  </si>
  <si>
    <t>D33507224409</t>
  </si>
  <si>
    <t>DEUTER Aircontact Core 70+10 (Graphite Shale)</t>
  </si>
  <si>
    <t>FURI</t>
  </si>
  <si>
    <t>49081_FU</t>
  </si>
  <si>
    <t>FURI Ash Chopping Board 42x30x4cm</t>
  </si>
  <si>
    <t>41453_FU</t>
  </si>
  <si>
    <t>FURI Capsule Knife Block Set 7pc</t>
  </si>
  <si>
    <t>FUR620E_FU</t>
  </si>
  <si>
    <t>FURI Diamond Fingers Knife Sharpener</t>
  </si>
  <si>
    <t>41550_FU</t>
  </si>
  <si>
    <t>FURI Double Serrated Bread Knife &amp; Bread Cutting Board Set 2 Piece</t>
  </si>
  <si>
    <t>41483_FU</t>
  </si>
  <si>
    <t>FURI Jet Black Knife Set 3pc</t>
  </si>
  <si>
    <t>41364_FU</t>
  </si>
  <si>
    <t>FURI Pro Acacia Set 3pc</t>
  </si>
  <si>
    <t>4153063_FU</t>
  </si>
  <si>
    <t>FURI Pro Brisket Slicing Knife 26cm</t>
  </si>
  <si>
    <t>41339_FU</t>
  </si>
  <si>
    <t>FURI Pro Carving Set 2pc</t>
  </si>
  <si>
    <t>41475X_FU</t>
  </si>
  <si>
    <t>FURI Pro Duo-Angled Knife Block Set 7pc</t>
  </si>
  <si>
    <t>41354_FU</t>
  </si>
  <si>
    <t>FURI Pro East/West Santoku Set 2pc</t>
  </si>
  <si>
    <t>41357_FU</t>
  </si>
  <si>
    <t>FURI Pro Limited Edition Black Block Set 5pc</t>
  </si>
  <si>
    <t>41347_FU</t>
  </si>
  <si>
    <t>FURI Pro Stainless Steel Block Set 7pc</t>
  </si>
  <si>
    <t>41375_FU</t>
  </si>
  <si>
    <t>FURI Pro Vault Block Set 6pc</t>
  </si>
  <si>
    <t>41472_FU</t>
  </si>
  <si>
    <t>FURI Steak Knives 4pc</t>
  </si>
  <si>
    <t>41504_FU</t>
  </si>
  <si>
    <t>FURI Stone Knife Block Set 5pc (Azure Terazzo)</t>
  </si>
  <si>
    <t>41507_FU</t>
  </si>
  <si>
    <t>FURI Stone Knife Block Set 6pc (Flint Terazzo)</t>
  </si>
  <si>
    <t>41511_FU</t>
  </si>
  <si>
    <t>FURI Stone Knife Block Set 7pc (Snow Terazzo)</t>
  </si>
  <si>
    <t>GARMIN</t>
  </si>
  <si>
    <t>010-02555-00</t>
  </si>
  <si>
    <t>GARMIN Approach G12 (Black)</t>
  </si>
  <si>
    <t>010-01690-01</t>
  </si>
  <si>
    <t>GARMIN Approach G30</t>
  </si>
  <si>
    <t>010-01914-01</t>
  </si>
  <si>
    <t>GARMIN Approach G80</t>
  </si>
  <si>
    <t>010-02356-03</t>
  </si>
  <si>
    <t>GARMIN Approach R10 Golf Launch Monitor</t>
  </si>
  <si>
    <t>010-02028-00</t>
  </si>
  <si>
    <t>GARMIN Approach S10</t>
  </si>
  <si>
    <t>010-02472-00</t>
  </si>
  <si>
    <t>GARMIN Approach S12 (Black)</t>
  </si>
  <si>
    <t>010-02472-01</t>
  </si>
  <si>
    <t>GARMIN Approach S12 (Granite Blue)</t>
  </si>
  <si>
    <t>010-02472-02</t>
  </si>
  <si>
    <t>GARMIN Approach S12 (White)</t>
  </si>
  <si>
    <t>010-02140-01</t>
  </si>
  <si>
    <t>Garmin Approach S40 (Black Stainless Steel with Black Band)</t>
  </si>
  <si>
    <t>010-02140-02</t>
  </si>
  <si>
    <t>Garmin Approach S40 (Light Gold with White Band)</t>
  </si>
  <si>
    <t>010-02140-00</t>
  </si>
  <si>
    <t>Garmin Approach S40 (Stainless Steel with Powder Gray Band)</t>
  </si>
  <si>
    <t>010-02572-10</t>
  </si>
  <si>
    <t>GARMIN Approach S42 (Gunmetal Ceramic Bezel with Black Silicone Band)</t>
  </si>
  <si>
    <t>010-02572-12</t>
  </si>
  <si>
    <t>GARMIN Approach S42 (Rose Gold Ceramic Bezel with Light Sand Silicone Band)</t>
  </si>
  <si>
    <t>010-02572-11</t>
  </si>
  <si>
    <t>GARMIN Approach S42 (Silver Ceramic Bezel with White Silicone Band)</t>
  </si>
  <si>
    <t>010-03009-01</t>
  </si>
  <si>
    <t>GARMIN Approach S44 (Silver Aluminium Bezel with Twilight Silicone Band)</t>
  </si>
  <si>
    <t>010-02200-00</t>
  </si>
  <si>
    <t>GARMIN Approach S62 (Black ceramic bezel with black band)</t>
  </si>
  <si>
    <t>010-02200-01</t>
  </si>
  <si>
    <t>GARMIN Approach S62 (Black ceramic bezel with white band)</t>
  </si>
  <si>
    <t>010-02746-11</t>
  </si>
  <si>
    <t>GARMIN Approach S70 42mm (Black with Grey Band)</t>
  </si>
  <si>
    <t>010-02746-10</t>
  </si>
  <si>
    <t>GARMIN Approach S70 42mm (Black with White Band)</t>
  </si>
  <si>
    <t>010-02746-12</t>
  </si>
  <si>
    <t>GARMIN Approach S70 47mm (Black with Black Band)</t>
  </si>
  <si>
    <t>010-02950-00</t>
  </si>
  <si>
    <t>GARMIN Approach Z30</t>
  </si>
  <si>
    <t>010-02260-00</t>
  </si>
  <si>
    <t>GARMIN Approach Z82</t>
  </si>
  <si>
    <t>010-12845-00</t>
  </si>
  <si>
    <t>GARMIN Bike Speed Sensor 2 and Cadence Sensor 2</t>
  </si>
  <si>
    <t>010-03399-01</t>
  </si>
  <si>
    <t>GARMIN Bounce 2 (Light Purple)</t>
  </si>
  <si>
    <t>010-03399-00</t>
  </si>
  <si>
    <t>GARMIN Bounce 2 (Slate Grey)</t>
  </si>
  <si>
    <t>010-03399-02</t>
  </si>
  <si>
    <t>GARMIN Bounce 2 (Turquoise)</t>
  </si>
  <si>
    <t>010-02345-10</t>
  </si>
  <si>
    <t>GARMIN Catalyst</t>
  </si>
  <si>
    <t>010-12491-01</t>
  </si>
  <si>
    <t>GARMIN Charging/Data Cable for Fenix 5/5S/5X (0.5 m)</t>
  </si>
  <si>
    <t>010-02231-01</t>
  </si>
  <si>
    <t>GARMIN Dash Cam 46</t>
  </si>
  <si>
    <t>010-02505-01</t>
  </si>
  <si>
    <t>GARMIN Dash Cam 47</t>
  </si>
  <si>
    <t>010-02505-11</t>
  </si>
  <si>
    <t>GARMIN Dash Cam 57</t>
  </si>
  <si>
    <t>010-02505-15</t>
  </si>
  <si>
    <t>GARMIN Dash Cam 67W</t>
  </si>
  <si>
    <t>010-02062-10</t>
  </si>
  <si>
    <t>Garmin Dash Cam Mini</t>
  </si>
  <si>
    <t>010-02504-10</t>
  </si>
  <si>
    <t>GARMIN Dash Cam Mini 2</t>
  </si>
  <si>
    <t>010-02899-10</t>
  </si>
  <si>
    <t>GARMIN Dash Cam Mini 3</t>
  </si>
  <si>
    <t>010-02259-01</t>
  </si>
  <si>
    <t>GARMIN Dash Cam Tandem</t>
  </si>
  <si>
    <t>010-02900-10</t>
  </si>
  <si>
    <t>GARMIN Dash Cam X110</t>
  </si>
  <si>
    <t>010-02859-10</t>
  </si>
  <si>
    <t>GARMIN Dash Cam X210</t>
  </si>
  <si>
    <t>010-02860-10</t>
  </si>
  <si>
    <t>GARMIN Dash Cam X310</t>
  </si>
  <si>
    <t>010-02132-20</t>
  </si>
  <si>
    <t>GARMIN Descent Mk2 (Stainless Steel with Black Band)</t>
  </si>
  <si>
    <t>010-02132-23</t>
  </si>
  <si>
    <t>GARMIN Descent Mk2i (T1 Bundle)</t>
  </si>
  <si>
    <t>010-02132-22</t>
  </si>
  <si>
    <t>GARMIN Descent Mk2i (Ti Band, T1 Bundle)</t>
  </si>
  <si>
    <t>010-02132-21</t>
  </si>
  <si>
    <t>GARMIN Descent Mk2i (Titanium Carbon Grey DLC with Black Band)</t>
  </si>
  <si>
    <t>010-02403-05</t>
  </si>
  <si>
    <t>GARMIN Descent Mk2S (Carbon Grey DLC with Black Silicone Band)</t>
  </si>
  <si>
    <t>010-02403-02</t>
  </si>
  <si>
    <t>GARMIN Descent Mk2S (Light Gold with Light Sand Silicone Band)</t>
  </si>
  <si>
    <t>010-02403-08</t>
  </si>
  <si>
    <t>GARMIN Descent Mk2S (Mineral Blue with Sea Foam Silicone Band)</t>
  </si>
  <si>
    <t>010-01858-42</t>
  </si>
  <si>
    <t>Garmin Dezl 580 LMT-S</t>
  </si>
  <si>
    <t>010-01678-41</t>
  </si>
  <si>
    <t>Garmin Drive 51 LM, Australia and New Zealand</t>
  </si>
  <si>
    <t>010-02036-42</t>
  </si>
  <si>
    <t>Garmin Drive 52 &amp; Live Traffic</t>
  </si>
  <si>
    <t>010-02858-20</t>
  </si>
  <si>
    <t>GARMIN Drive 53 &amp; Live Traffic 5" GPS</t>
  </si>
  <si>
    <t>010-01679-41</t>
  </si>
  <si>
    <t>Garmin Drive 61 LM, Australia and New Zealand</t>
  </si>
  <si>
    <t>010-01679-42</t>
  </si>
  <si>
    <t>Garmin Drive 61 LMT-S, Australia and New Zealand</t>
  </si>
  <si>
    <t>010-01682-42</t>
  </si>
  <si>
    <t>Garmin DriveAssist 51 LMT-S</t>
  </si>
  <si>
    <t>010-02729-20</t>
  </si>
  <si>
    <t>GARMIN DriveCam 76 MT-S (Australia and New Zealand)</t>
  </si>
  <si>
    <t>010-01680-42</t>
  </si>
  <si>
    <t>Garmin DriveSmart 51 LMT-S</t>
  </si>
  <si>
    <t>010-02037-42</t>
  </si>
  <si>
    <t>Garmin DriveSmart 55 &amp; Live Traffic</t>
  </si>
  <si>
    <t>010-02038-42</t>
  </si>
  <si>
    <t>GARMIN DriveSmart 65 &amp; Live Traffic</t>
  </si>
  <si>
    <t>010-02469-20</t>
  </si>
  <si>
    <t>GARMIN DriveSmart 66 MT-S</t>
  </si>
  <si>
    <t>010-02470-20</t>
  </si>
  <si>
    <t>GARMIN DriveSmart 76 MT-S</t>
  </si>
  <si>
    <t>010-02471-20</t>
  </si>
  <si>
    <t>GARMIN DriveSmart 86 MT-S</t>
  </si>
  <si>
    <t>010-02060-02</t>
  </si>
  <si>
    <t>GARMIN Edge 530</t>
  </si>
  <si>
    <t>010-02060-22</t>
  </si>
  <si>
    <t>GARMIN Edge 530 Mountain Bike Bundle</t>
  </si>
  <si>
    <t>010-02694-03</t>
  </si>
  <si>
    <t>GARMIN Edge 540 (Unit only)</t>
  </si>
  <si>
    <t>010-02694-13</t>
  </si>
  <si>
    <t>GARMIN Edge 540 Sensor Bundle Pack</t>
  </si>
  <si>
    <t>010-02694-23</t>
  </si>
  <si>
    <t>GARMIN Edge 540 Solar (Unit only)</t>
  </si>
  <si>
    <t>010-02061-22</t>
  </si>
  <si>
    <t>GARMIN Edge 830 Mountain Bike Bundle</t>
  </si>
  <si>
    <t>010-02695-03</t>
  </si>
  <si>
    <t>GARMIN Edge 840 (Unit only)</t>
  </si>
  <si>
    <t>010-02695-13</t>
  </si>
  <si>
    <t>GARMIN Edge 840 Sensor Bundle Pack</t>
  </si>
  <si>
    <t>010-02695-23</t>
  </si>
  <si>
    <t>GARMIN Edge 840 Solar (Unit only)</t>
  </si>
  <si>
    <t>010-02408-01</t>
  </si>
  <si>
    <t>GARMIN Enduro (Carbon Grey DLC Titanium with UltraFit Nylon Strap)</t>
  </si>
  <si>
    <t>010-02408-00</t>
  </si>
  <si>
    <t>GARMIN Enduro (Steel with Grey UltraFit Nylon Strap)</t>
  </si>
  <si>
    <t>010-02754-02</t>
  </si>
  <si>
    <t>GARMIN Enduro 2 (Carbon Grey DLC Titanium with Black Nylon Strap)</t>
  </si>
  <si>
    <t>010-02751-02</t>
  </si>
  <si>
    <t>GARMIN Enduro 3 51mm Solar Sapphire (Carbon Gray DLC Titanium with Black UltraFit Nylon Strap)</t>
  </si>
  <si>
    <t>010-02582-31</t>
  </si>
  <si>
    <t>GARMIN Epix (Black/Carbon Grey DLC Titanium with Chestnut Leather Band)</t>
  </si>
  <si>
    <t>010-02582-12</t>
  </si>
  <si>
    <t>GARMIN Epix (Black/Carbon Grey DLC Titanium with Silcone Band)</t>
  </si>
  <si>
    <t>010-02582-22</t>
  </si>
  <si>
    <t>GARMIN Epix (Camera White Titanium with Silcone Band)</t>
  </si>
  <si>
    <t>010-02582-01</t>
  </si>
  <si>
    <t>GARMIN Epix (Slate/Stainless Steel with Silcone Band)</t>
  </si>
  <si>
    <t>010-02802-01</t>
  </si>
  <si>
    <t>GARMIN Epix Pro Gen2 42mm (Silver with Whitestone Band)</t>
  </si>
  <si>
    <t>010-02802-12</t>
  </si>
  <si>
    <t>GARMIN Epix Pro Gen2 42mm Sapphire (Gold with Light Sand Band)</t>
  </si>
  <si>
    <t>010-02802-16</t>
  </si>
  <si>
    <t>GARMIN Epix Pro Gen2 42mm Sapphire (Grey Titanium with Black Band)</t>
  </si>
  <si>
    <t>010-02802-21</t>
  </si>
  <si>
    <t>GARMIN Epix Pro Gen2 42mm Sapphire (Soft Gold with Cream Heathered Nylon Band)</t>
  </si>
  <si>
    <t>010-02803-01</t>
  </si>
  <si>
    <t>GARMIN Epix Pro Gen2 47mm (Slate with Black Band)</t>
  </si>
  <si>
    <t>010-02803-12</t>
  </si>
  <si>
    <t>GARMIN Epix Pro Gen2 47mm Sapphire (Grey Titanium with Black Band)</t>
  </si>
  <si>
    <t>010-02803-31</t>
  </si>
  <si>
    <t>GARMIN Epix Pro Gen2 47mm Sapphire (Grey Titanium with Black Leather Band)</t>
  </si>
  <si>
    <t>010-02803-22</t>
  </si>
  <si>
    <t>GARMIN Epix Pro Gen2 47mm Sapphire (Titanium with Whitestone Band)</t>
  </si>
  <si>
    <t>010-02804-21</t>
  </si>
  <si>
    <t>GARMIN Epix Pro Gen2 51mm (Slate with Black Band)</t>
  </si>
  <si>
    <t>010-02804-02</t>
  </si>
  <si>
    <t>GARMIN Epix Pro Gen2 51mm Sapphire (Grey Titanium with Black Band)</t>
  </si>
  <si>
    <t>010-02804-31</t>
  </si>
  <si>
    <t>GARMIN Epix Pro Gen2 51mm Sapphire (Grey Titanium with Chestnut Leather Band)</t>
  </si>
  <si>
    <t>010-02804-12</t>
  </si>
  <si>
    <t>GARMIN Epix Pro Gen2 51mm Sapphire (Titanium with Whitestone Band)</t>
  </si>
  <si>
    <t>010-02257-02</t>
  </si>
  <si>
    <t>GARMIN eTrex 32x Rugged Handheld GPS with Compass and Barometric Altimeter</t>
  </si>
  <si>
    <t>010-02734-00</t>
  </si>
  <si>
    <t>GARMIN eTrex SE Handheld GPS</t>
  </si>
  <si>
    <t>010-02782-00</t>
  </si>
  <si>
    <t>GARMIN eTrex Solar Handheld GPS</t>
  </si>
  <si>
    <t>010-02940-01</t>
  </si>
  <si>
    <t>GARMIN eTrex Touch Handheld GPS</t>
  </si>
  <si>
    <t>010-01688-00</t>
  </si>
  <si>
    <t>Garmin fenix 5 Slate Gray with Black Band, Worldwide</t>
  </si>
  <si>
    <t>010-02410-12</t>
  </si>
  <si>
    <t>Garmin fenix 6 - Pro Solar Edition (Black with slate grey band)</t>
  </si>
  <si>
    <t>010-02158-03</t>
  </si>
  <si>
    <t>Garmin fenix 6 Pro Black with Black Band</t>
  </si>
  <si>
    <t>010-02410-20</t>
  </si>
  <si>
    <t>GARMIN Fenix 6 Pro Solar (Mineral blue with whitestone band)</t>
  </si>
  <si>
    <t>010-02410-16</t>
  </si>
  <si>
    <t>GARMIN Fenix 6 Pro Solar (Slate grey with black band)</t>
  </si>
  <si>
    <t>010-02410-24</t>
  </si>
  <si>
    <t>GARMIN Fenix 6 Pro Solar (Titanium carbon grey DLC with titanium DLC band)</t>
  </si>
  <si>
    <t>010-02158-18</t>
  </si>
  <si>
    <t>Garmin fenix 6 Sapphire, Black DLC with Heathered Red Nylon Band</t>
  </si>
  <si>
    <t>010-02158-12</t>
  </si>
  <si>
    <t>Garmin fenix 6 Sapphire, Carbon Gray DLC with Black Band</t>
  </si>
  <si>
    <t>010-02158-15</t>
  </si>
  <si>
    <t>Garmin fenix 6 Sapphire, Titanium with Ember Orange Band</t>
  </si>
  <si>
    <t>010-02158-24</t>
  </si>
  <si>
    <t>Garmin fenix 6 Sapphire, Titanium with Vented Titanium Bracelet</t>
  </si>
  <si>
    <t>010-02158-00</t>
  </si>
  <si>
    <t>Garmin fenix 6, Silver with Black Band</t>
  </si>
  <si>
    <t>010-02159-15</t>
  </si>
  <si>
    <t>Garmin fenix 6S - Pro and Sapphire editions (Black with Black Band)</t>
  </si>
  <si>
    <t>010-02159-12</t>
  </si>
  <si>
    <t>Garmin fenix 6S - Pro and Sapphire editions (Rose Gold-tone with White Band)</t>
  </si>
  <si>
    <t>010-02409-16</t>
  </si>
  <si>
    <t>Garmin fenix 6S - Pro Solar Edition (Amethyst steel with shale grey band)</t>
  </si>
  <si>
    <t>010-02409-12</t>
  </si>
  <si>
    <t>Garmin fenix 6S - Pro Solar Edition (Light gold with light sand band)</t>
  </si>
  <si>
    <t>010-02159-26</t>
  </si>
  <si>
    <t>Garmin fenix 6S Sapphire, Carbon Gray DLC with Black Band</t>
  </si>
  <si>
    <t>010-02159-41</t>
  </si>
  <si>
    <t>Garmin fenix 6S Sapphire, Light Gold-tone with Shale Gray Leather Band</t>
  </si>
  <si>
    <t>010-02159-38</t>
  </si>
  <si>
    <t>Garmin fenix 6S Sapphire, Rose Gold-tone with Heathered Black Nylon Band</t>
  </si>
  <si>
    <t>010-02159-22</t>
  </si>
  <si>
    <t>Garmin fenix 6S Sapphire, Rose Gold-tone with Powder Gray Band</t>
  </si>
  <si>
    <t>010-02159-01</t>
  </si>
  <si>
    <t>Garmin fenix 6S, Silver with Black Band</t>
  </si>
  <si>
    <t>010-02159-00</t>
  </si>
  <si>
    <t>Garmin fenix 6S, White with White Band</t>
  </si>
  <si>
    <t>010-02157-25</t>
  </si>
  <si>
    <t>Garmin fenix 6X  Pro Solar Edition (Titanium with Vented Titanium Bracelet)</t>
  </si>
  <si>
    <t>010-02157-22</t>
  </si>
  <si>
    <t>GARMIN Fenix 6X Pro Solar (Titanium Carbon Gray DLC with Black Band)</t>
  </si>
  <si>
    <t>010-02157-02</t>
  </si>
  <si>
    <t>Garmin fenix 6X Pro, Black with Black Band</t>
  </si>
  <si>
    <t>010-02157-15</t>
  </si>
  <si>
    <t>Garmin fenix 6X Sapphire, Black DLC with Chestnut Leather Band</t>
  </si>
  <si>
    <t>010-02157-12</t>
  </si>
  <si>
    <t>Garmin fenix 6X Sapphire, Carbon Gray DLC with Black Band</t>
  </si>
  <si>
    <t>010-02540-01</t>
  </si>
  <si>
    <t>GARMIN Fenix 7 (Silver with Graphite Band)</t>
  </si>
  <si>
    <t>010-02777-12</t>
  </si>
  <si>
    <t>GARMIN Fenix 7 Pro Sapphire Solar (Grey Titanium with Black Band)</t>
  </si>
  <si>
    <t>010-02777-31</t>
  </si>
  <si>
    <t>GARMIN Fenix 7 Pro Sapphire Solar (Titanium with Chestnut Leather Band)</t>
  </si>
  <si>
    <t>010-02777-22</t>
  </si>
  <si>
    <t>GARMIN Fenix 7 Pro Sapphire Solar (Titanium with Grey and Orange Band)</t>
  </si>
  <si>
    <t>010-02777-01</t>
  </si>
  <si>
    <t>GARMIN Fenix 7 Pro Solar (Slate with Black Band)</t>
  </si>
  <si>
    <t>010-02540-36</t>
  </si>
  <si>
    <t>GARMIN Fenix 7 Sapphire Solar (Black DLC Titanium with Black Band)</t>
  </si>
  <si>
    <t>010-02540-22</t>
  </si>
  <si>
    <t>GARMIN Fenix 7 Sapphire Solar (Carbon Grey DLC Titanium with Black Band)</t>
  </si>
  <si>
    <t>010-02540-40</t>
  </si>
  <si>
    <t>GARMIN Fenix 7 Sapphire Solar (Carbon Grey DLC Titanium with Carbon Grey DLC Vented Titanium Band and Black Silicone Band)</t>
  </si>
  <si>
    <t>010-02540-26</t>
  </si>
  <si>
    <t>GARMIN Fenix 7 Sapphire Solar (Mineral Blue DLC Titanium with Whitestone Band)</t>
  </si>
  <si>
    <t>010-02540-32</t>
  </si>
  <si>
    <t>GARMIN Fenix 7 Sapphire Solar (Titanium with Chestnut Leather Band)</t>
  </si>
  <si>
    <t>010-02540-11</t>
  </si>
  <si>
    <t>GARMIN Fenix 7 Solar (Slate Grey with Black Band)</t>
  </si>
  <si>
    <t>010-02539-01</t>
  </si>
  <si>
    <t>GARMIN Fenix 7S (Silver with Graphite Band)</t>
  </si>
  <si>
    <t>010-02539-03</t>
  </si>
  <si>
    <t>GARMIN Fenix 7S (Silver with Whitestone Band)</t>
  </si>
  <si>
    <t>010-02776-16</t>
  </si>
  <si>
    <t>GARMIN Fenix 7S Pro Sapphire Solar (Gold with Light Sand Band)</t>
  </si>
  <si>
    <t>010-02776-12</t>
  </si>
  <si>
    <t>GARMIN Fenix 7S Pro Sapphire Solar (Grey Titanium with Black Band)</t>
  </si>
  <si>
    <t>010-02776-31</t>
  </si>
  <si>
    <t>GARMIN Fenix 7S Pro Sapphire Solar (Soft Gold with Limestone Leather Band)</t>
  </si>
  <si>
    <t>010-02776-01</t>
  </si>
  <si>
    <t>GARMIN Fenix 7S Pro Solar (Silver with Graphite Band)</t>
  </si>
  <si>
    <t>010-02539-26</t>
  </si>
  <si>
    <t>GARMIN Fenix 7S Sapphire Solar (Carbon Grey DLC Titanium with Black Band)</t>
  </si>
  <si>
    <t>010-02539-22</t>
  </si>
  <si>
    <t>GARMIN Fenix 7S Sapphire Solar (Cream Gold Titanium with Light Sand Band)</t>
  </si>
  <si>
    <t>010-02539-30</t>
  </si>
  <si>
    <t>GARMIN Fenix 7S Sapphire Solar (Dark Bronze Titanium with Shale Grey Band)</t>
  </si>
  <si>
    <t>010-02539-36</t>
  </si>
  <si>
    <t>GARMIN Fenix 7S Sapphire Solar (Rose Gold Titanium with Limestone Leather Band)</t>
  </si>
  <si>
    <t>010-02539-40</t>
  </si>
  <si>
    <t>GARMIN fenix 7S Sapphire Solar Edition (Cream Gold Titanium with Cream Heathered Nylon Band)</t>
  </si>
  <si>
    <t>010-02539-11</t>
  </si>
  <si>
    <t>GARMIN Fenix 7S Solar (Rose Gold with Light Sand Band)</t>
  </si>
  <si>
    <t>010-02539-13</t>
  </si>
  <si>
    <t>GARMIN Fenix 7S Solar (Slate Grey with Black Band)</t>
  </si>
  <si>
    <t>010-02778-12</t>
  </si>
  <si>
    <t>GARMIN Fenix 7X Pro Sapphire Solar (Grey Titanium with Black Band)</t>
  </si>
  <si>
    <t>010-02778-31</t>
  </si>
  <si>
    <t>GARMIN Fenix 7X Pro Sapphire Solar (Grey Titanium with Vented Titanium Bracelet)</t>
  </si>
  <si>
    <t>010-02778-16</t>
  </si>
  <si>
    <t>GARMIN Fenix 7X Pro Sapphire Solar (Titanium with Grey and Orange Band)</t>
  </si>
  <si>
    <t>010-02778-01</t>
  </si>
  <si>
    <t>GARMIN Fenix 7X Pro Solar (Slate with Black Band)</t>
  </si>
  <si>
    <t>010-02541-24</t>
  </si>
  <si>
    <t>GARMIN Fenix 7X Sapphire Solar (Black DLC Titanium with Black Band)</t>
  </si>
  <si>
    <t>010-02541-12</t>
  </si>
  <si>
    <t>GARMIN Fenix 7X Sapphire Solar (Carbon Grey DLC Titanium with Black Band)</t>
  </si>
  <si>
    <t>010-02541-28</t>
  </si>
  <si>
    <t>GARMIN Fenix 7X Sapphire Solar (Carbon Grey DLC Titanium with Carbon Grey DLC Vented Titanium Band)</t>
  </si>
  <si>
    <t>010-02541-16</t>
  </si>
  <si>
    <t>GARMIN Fenix 7X Sapphire Solar (Mineral Blue DLC Titanium with Whitestone Band)</t>
  </si>
  <si>
    <t>010-02541-20</t>
  </si>
  <si>
    <t>GARMIN Fenix 7X Sapphire Solar (Titanium with Chestnut Leather Band)</t>
  </si>
  <si>
    <t>010-02541-01</t>
  </si>
  <si>
    <t>GARMIN Fenix 7X Solar (Slate Grey with Black Band)</t>
  </si>
  <si>
    <t>010-02903-00</t>
  </si>
  <si>
    <t>GARMIN Fenix 8 43mm AMOLED (Silver with Whitestone Silicone Band)</t>
  </si>
  <si>
    <t>010-02903-22</t>
  </si>
  <si>
    <t>GARMIN Fenix 8 43mm AMOLED Sapphire (Carbon Gray DLC Titanium with Black/Pebble Gray Silicone Band)</t>
  </si>
  <si>
    <t>010-02903-12</t>
  </si>
  <si>
    <t>GARMIN Fenix 8 43mm AMOLED Sapphire (Soft Gold with Fog Gray/Dark Sandstone Silicone Band)</t>
  </si>
  <si>
    <t>010-02904-00</t>
  </si>
  <si>
    <t>GARMIN Fenix 8 47mm AMOLED (Slate Gray with Black Silicone Band)</t>
  </si>
  <si>
    <t>010-02904-22</t>
  </si>
  <si>
    <t>GARMIN Fenix 8 47mm AMOLED Sapphire (Carbon Gray DLC Titanium with Black/Pebble Gray Silicone Band)</t>
  </si>
  <si>
    <t>010-02904-12</t>
  </si>
  <si>
    <t>GARMIN Fenix 8 47mm AMOLED Sapphire (Titanium with Spark Orange/Graphite Silicone Band)</t>
  </si>
  <si>
    <t>010-02906-12</t>
  </si>
  <si>
    <t>GARMIN Fenix 8 47mm Solar Sapphire (Carbon Gray DLC Titanium with Black/Pebble Gray Silicone Band)</t>
  </si>
  <si>
    <t>010-02906-22</t>
  </si>
  <si>
    <t>GARMIN Fenix 8 47mm Solar Sapphire (Titanium with Amp Yellow/Graphite Silicone Band)</t>
  </si>
  <si>
    <t>010-02905-00</t>
  </si>
  <si>
    <t>GARMIN Fenix 8 51mm AMOLED (Slate Gray with Black Silicone Band)</t>
  </si>
  <si>
    <t>010-02905-22</t>
  </si>
  <si>
    <t>GARMIN Fenix 8 51mm AMOLED Sapphire (Carbon Gray DLC Titanium with Black/Pebble Gray Silicone Band)</t>
  </si>
  <si>
    <t>010-02905-12</t>
  </si>
  <si>
    <t>GARMIN Fenix 8 51mm AMOLED Sapphire (Titanium with Spark Orange/Graphite Silicone Band)</t>
  </si>
  <si>
    <t>010-02907-12</t>
  </si>
  <si>
    <t>GARMIN Fenix 8 51mm Solar Sapphire (Carbon Gray DLC Titanium with Black/Pebble Gray Silicone Band)</t>
  </si>
  <si>
    <t>010-02907-22</t>
  </si>
  <si>
    <t>GARMIN Fenix 8 51mm Solar Sapphire (Titanium with Amp Yellow/Graphite Silicone Band)</t>
  </si>
  <si>
    <t>010-01957-02</t>
  </si>
  <si>
    <t>Garmin fenix Chronos with Brushed Stainless Steel Watch Band</t>
  </si>
  <si>
    <t>010-03025-01</t>
  </si>
  <si>
    <t>GARMIN Fenix E 47mm AMOLED (Slate Gray Steel with Black Silicone Band)</t>
  </si>
  <si>
    <t>010-03025-00</t>
  </si>
  <si>
    <t>GARMIN Fenix E 47mm AMOLED (Stainless Steel with Black Silicone Band)</t>
  </si>
  <si>
    <t>010-02863-20</t>
  </si>
  <si>
    <t>GARMIN Forerunner 165 (Black/Grey)</t>
  </si>
  <si>
    <t>010-02863-21</t>
  </si>
  <si>
    <t>GARMIN Forerunner 165 (Grey/Whitestone)</t>
  </si>
  <si>
    <t>010-02863-33</t>
  </si>
  <si>
    <t>GARMIN Forerunner 165 Music (Berry/Lilac)</t>
  </si>
  <si>
    <t>010-02863-30</t>
  </si>
  <si>
    <t>GARMIN Forerunner 165 Music (Black/Grey)</t>
  </si>
  <si>
    <t>010-02863-31</t>
  </si>
  <si>
    <t>GARMIN Forerunner 165 Music (Grey/Whitestone)</t>
  </si>
  <si>
    <t>010-02863-32</t>
  </si>
  <si>
    <t>GARMIN Forerunner 165 Music (Turquoise/Aqua)</t>
  </si>
  <si>
    <t>010-02120-32</t>
  </si>
  <si>
    <t>Garmin Forerunner 245 Music (Aqua)</t>
  </si>
  <si>
    <t>010-02120-30</t>
  </si>
  <si>
    <t>GARMIN Forerunner 245 Music (Black)</t>
  </si>
  <si>
    <t>010-02120-31</t>
  </si>
  <si>
    <t>Garmin Forerunner 245 Music (White)</t>
  </si>
  <si>
    <t>010-02641-10</t>
  </si>
  <si>
    <t>GARMIN Forerunner 255 (Slate Grey)</t>
  </si>
  <si>
    <t>010-02641-11</t>
  </si>
  <si>
    <t>GARMIN Forerunner 255 (Tidal Blue)</t>
  </si>
  <si>
    <t>010-02641-30</t>
  </si>
  <si>
    <t>GARMIN Forerunner 255 Music (Black)</t>
  </si>
  <si>
    <t>010-02641-31</t>
  </si>
  <si>
    <t>GARMIN Forerunner 255 Music (Whitestone)</t>
  </si>
  <si>
    <t>010-02641-13</t>
  </si>
  <si>
    <t>GARMIN Forerunner 255S (Light Pink)</t>
  </si>
  <si>
    <t>010-02641-12</t>
  </si>
  <si>
    <t>GARMIN Forerunner 255S (Powder Grey)</t>
  </si>
  <si>
    <t>010-02641-32</t>
  </si>
  <si>
    <t>GARMIN Forerunner 255S Music (Black)</t>
  </si>
  <si>
    <t>010-02641-33</t>
  </si>
  <si>
    <t>GARMIN Forerunner 255S Music (Whitestone)</t>
  </si>
  <si>
    <t>010-02810-12</t>
  </si>
  <si>
    <t>GARMIN Forerunner 265 (Aqua/Black)</t>
  </si>
  <si>
    <t>010-02810-10</t>
  </si>
  <si>
    <t>GARMIN Forerunner 265 (Black/Powder Grey)</t>
  </si>
  <si>
    <t>010-02810-11</t>
  </si>
  <si>
    <t>GARMIN Forerunner 265 (Whitestone/Tidal Blue)</t>
  </si>
  <si>
    <t>010-02810-13</t>
  </si>
  <si>
    <t>GARMIN Forerunner 265S (Black/Amp Yellow)</t>
  </si>
  <si>
    <t>010-02810-15</t>
  </si>
  <si>
    <t>GARMIN Forerunner 265S (Light Pink/Whitestone)</t>
  </si>
  <si>
    <t>010-02810-14</t>
  </si>
  <si>
    <t>GARMIN Forerunner 265S (Whitestone/Neo Tropic)</t>
  </si>
  <si>
    <t>010-02156-05</t>
  </si>
  <si>
    <t>Garmin Forerunner 45 (Black)</t>
  </si>
  <si>
    <t>010-02156-06</t>
  </si>
  <si>
    <t>Garmin Forerunner 45 (Lava Red)</t>
  </si>
  <si>
    <t>010-02156-02</t>
  </si>
  <si>
    <t>Garmin Forerunner 45S (Black)</t>
  </si>
  <si>
    <t>010-02156-01</t>
  </si>
  <si>
    <t>Garmin Forerunner 45S (Iris)</t>
  </si>
  <si>
    <t>010-02156-00</t>
  </si>
  <si>
    <t>Garmin Forerunner 45S (White)</t>
  </si>
  <si>
    <t>010-02562-02</t>
  </si>
  <si>
    <t>GARMIN Forerunner 55 (Aqua)</t>
  </si>
  <si>
    <t>010-02562-00</t>
  </si>
  <si>
    <t>GARMIN Forerunner 55 (Black)</t>
  </si>
  <si>
    <t>010-02562-01</t>
  </si>
  <si>
    <t>GARMIN Forerunner 55 (Whitestone)</t>
  </si>
  <si>
    <t>010-02445-10</t>
  </si>
  <si>
    <t>GARMIN Forerunner 745 (Black)</t>
  </si>
  <si>
    <t>010-02445-12</t>
  </si>
  <si>
    <t>GARMIN Forerunner 745 (Magma Red)</t>
  </si>
  <si>
    <t>010-02445-11</t>
  </si>
  <si>
    <t>GARMIN Forerunner 745 (Neo Tropic)</t>
  </si>
  <si>
    <t>010-02445-13</t>
  </si>
  <si>
    <t>GARMIN Forerunner 745 (Whitestone)</t>
  </si>
  <si>
    <t>010-01746-04</t>
  </si>
  <si>
    <t>Garmin Forerunner 935, Black</t>
  </si>
  <si>
    <t>010-02063-02</t>
  </si>
  <si>
    <t>GARMIN Forerunner 945 (Black)</t>
  </si>
  <si>
    <t>010-02383-42</t>
  </si>
  <si>
    <t>GARMIN Forerunner 945 LTE (Black)</t>
  </si>
  <si>
    <t>010-02383-40</t>
  </si>
  <si>
    <t>Garmin Forerunner 945 LTE (Black) DNU</t>
  </si>
  <si>
    <t>010-02383-41</t>
  </si>
  <si>
    <t>Garmin Forerunner 945 LTE (White)</t>
  </si>
  <si>
    <t>010-02638-50</t>
  </si>
  <si>
    <t>GARMIN Forerunner 955 (Black)</t>
  </si>
  <si>
    <t>010-02638-51</t>
  </si>
  <si>
    <t>GARMIN Forerunner 955 (Whitestone)</t>
  </si>
  <si>
    <t>010-02638-40</t>
  </si>
  <si>
    <t>GARMIN Forerunner 955 Solar (Black)</t>
  </si>
  <si>
    <t>010-02638-41</t>
  </si>
  <si>
    <t>GARMIN Forerunner 955 Solar (Whitestone)</t>
  </si>
  <si>
    <t>010-02809-22</t>
  </si>
  <si>
    <t>GARMIN Forerunner 965 (Amp Yellow/Black)</t>
  </si>
  <si>
    <t>010-02809-20</t>
  </si>
  <si>
    <t>GARMIN Forerunner 965 (Black/Powder Grey)</t>
  </si>
  <si>
    <t>010-02809-21</t>
  </si>
  <si>
    <t>GARMIN Forerunner 965 (Whitestone/Powder Grey)</t>
  </si>
  <si>
    <t>010-02759-00</t>
  </si>
  <si>
    <t>GARMIN Foretrex 801 Wrist-Mounted GPS</t>
  </si>
  <si>
    <t>010-02760-00</t>
  </si>
  <si>
    <t>GARMIN Foretrex 901 Wrist-Mounted GPS (Ballistic Edition)</t>
  </si>
  <si>
    <t>010-02813-02</t>
  </si>
  <si>
    <t>GARMIN GPSMAP 67 Handheld GPS</t>
  </si>
  <si>
    <t>010-02812-02</t>
  </si>
  <si>
    <t>GARMIN GPSMAP 67i Handheld GPS</t>
  </si>
  <si>
    <t>010-02920-01</t>
  </si>
  <si>
    <t>GARMIN GPSMAP H1 Premium Handheld GPS</t>
  </si>
  <si>
    <t>010-02921-01</t>
  </si>
  <si>
    <t>010-13388-00</t>
  </si>
  <si>
    <t>GARMIN HRM 200 (M-XL)</t>
  </si>
  <si>
    <t>010-13388-01</t>
  </si>
  <si>
    <t>GARMIN HRM 200 (XS - S)</t>
  </si>
  <si>
    <t>010-13383-00</t>
  </si>
  <si>
    <t>GARMIN HRM 600 (M-XL)</t>
  </si>
  <si>
    <t>010-13383-01</t>
  </si>
  <si>
    <t>GARMIN HRM 600 (XS-S)</t>
  </si>
  <si>
    <t>010-12883-00</t>
  </si>
  <si>
    <t>GARMIN HRM-Dual (Heart Rate Monitor)</t>
  </si>
  <si>
    <t>010-13314-00</t>
  </si>
  <si>
    <t>GARMIN HRM-Fit (Heart Rate Monitor for Women)</t>
  </si>
  <si>
    <t>010-12955-00</t>
  </si>
  <si>
    <t>GARMIN HRM-Pro (Heart Rate Monitor)</t>
  </si>
  <si>
    <t>010-12342-00</t>
  </si>
  <si>
    <t>GARMIN HRM-Swim (Heart Rate Monitor)</t>
  </si>
  <si>
    <t>010-02294-12</t>
  </si>
  <si>
    <t>GARMIN Index S2 Wi-Fi Smart Scale (Black)</t>
  </si>
  <si>
    <t>010-02294-13</t>
  </si>
  <si>
    <t>GARMIN Index S2 Wi-Fi Smart Scale (White)</t>
  </si>
  <si>
    <t>010-02464-03</t>
  </si>
  <si>
    <t>GARMIN Index Smart Blood Pressure Monitor</t>
  </si>
  <si>
    <t>010-01735-13</t>
  </si>
  <si>
    <t>Garmin inReach Explorer+</t>
  </si>
  <si>
    <t>010-02672-00</t>
  </si>
  <si>
    <t>GARMIN inReach Messenger Companion Satellite Communicator</t>
  </si>
  <si>
    <t>010-02887-00</t>
  </si>
  <si>
    <t>GARMIN InReach Messenger Plus</t>
  </si>
  <si>
    <t>010-01879-01</t>
  </si>
  <si>
    <t>Garmin inReach Mini (Black)</t>
  </si>
  <si>
    <t>010-01879-00</t>
  </si>
  <si>
    <t>Garmin inReach Mini (Orange)</t>
  </si>
  <si>
    <t>010-02602-01</t>
  </si>
  <si>
    <t>GARMIN inReach Mini 2 (Black)</t>
  </si>
  <si>
    <t>010-02602-00</t>
  </si>
  <si>
    <t>GARMIN inReach Mini 2 (Flame Red)</t>
  </si>
  <si>
    <t>010-02602-30</t>
  </si>
  <si>
    <t>GARMIN inReach Mini 2 Marine Bundle</t>
  </si>
  <si>
    <t>010-01879-02</t>
  </si>
  <si>
    <t>Garmin inReach Mini Marine Bundle (Orange)</t>
  </si>
  <si>
    <t>010-01735-00</t>
  </si>
  <si>
    <t>GARMIN inReach SE+</t>
  </si>
  <si>
    <t>010-02064-00</t>
  </si>
  <si>
    <t>Garmin Instinct (Graphite)</t>
  </si>
  <si>
    <t>010-02064-04</t>
  </si>
  <si>
    <t>Garmin Instinct (Lake Blue)</t>
  </si>
  <si>
    <t>010-02064-05</t>
  </si>
  <si>
    <t>Garmin Instinct (Sea Foam)</t>
  </si>
  <si>
    <t>010-02064-01</t>
  </si>
  <si>
    <t>Garmin Instinct (Tundra)</t>
  </si>
  <si>
    <t>010-02626-11</t>
  </si>
  <si>
    <t>GARMIN Instinct 2 (Electric Lime)</t>
  </si>
  <si>
    <t>010-02626-13</t>
  </si>
  <si>
    <t>GARMIN Instinct 2 Camo Edition (Graphite Camo)</t>
  </si>
  <si>
    <t>010-02626-70</t>
  </si>
  <si>
    <t>GARMIN Instinct 2 dezl Edition</t>
  </si>
  <si>
    <t>010-02627-10</t>
  </si>
  <si>
    <t>GARMIN Instinct 2 Solar (Graphite)</t>
  </si>
  <si>
    <t>010-02627-11</t>
  </si>
  <si>
    <t>GARMIN Instinct 2 Solar (Mist Grey)</t>
  </si>
  <si>
    <t>010-02627-16</t>
  </si>
  <si>
    <t>GARMIN Instinct 2 Solar (Tidal Blue)</t>
  </si>
  <si>
    <t>010-02627-15</t>
  </si>
  <si>
    <t>GARMIN Instinct 2 Solar Surf Edition (Bells Beach)</t>
  </si>
  <si>
    <t>010-02627-14</t>
  </si>
  <si>
    <t>GARMIN Instinct 2 Solar Tactical Edition (Coyote Tan)</t>
  </si>
  <si>
    <t>010-02626-12</t>
  </si>
  <si>
    <t>GARMIN Instinct 2 Surf Edition (Mavericks)</t>
  </si>
  <si>
    <t>010-02563-14</t>
  </si>
  <si>
    <t>GARMIN Instinct 2S (Deep Orchid)</t>
  </si>
  <si>
    <t>010-02563-10</t>
  </si>
  <si>
    <t>GARMIN Instinct 2S (Graphite)</t>
  </si>
  <si>
    <t>010-02563-16</t>
  </si>
  <si>
    <t>GARMIN Instinct 2S (Poppy)</t>
  </si>
  <si>
    <t>010-02563-13</t>
  </si>
  <si>
    <t>GARMIN Instinct 2S Camo Edition (Mist Camo)</t>
  </si>
  <si>
    <t>010-02564-10</t>
  </si>
  <si>
    <t>GARMIN Instinct 2S Solar (Graphite)</t>
  </si>
  <si>
    <t>010-02564-11</t>
  </si>
  <si>
    <t>GARMIN Instinct 2S Solar (Mist Grey)</t>
  </si>
  <si>
    <t>010-02564-12</t>
  </si>
  <si>
    <t>GARMIN Instinct 2S Solar (Neo Tropic)</t>
  </si>
  <si>
    <t>010-02564-13</t>
  </si>
  <si>
    <t>GARMIN Instinct 2S Solar Surf Edition (Ericeira)</t>
  </si>
  <si>
    <t>010-02563-12</t>
  </si>
  <si>
    <t>GARMIN Instinct 2S Surf Edition (Waikiki)</t>
  </si>
  <si>
    <t>010-02805-11</t>
  </si>
  <si>
    <t>GARMIN Instinct 2X Solar (Flame Red)</t>
  </si>
  <si>
    <t>010-02805-10</t>
  </si>
  <si>
    <t>GARMIN Instinct 2X Solar (Graphite)</t>
  </si>
  <si>
    <t>010-02805-15</t>
  </si>
  <si>
    <t>GARMIN Instinct 2X Solar (Moss)</t>
  </si>
  <si>
    <t>010-02805-14</t>
  </si>
  <si>
    <t>GARMIN Instinct 2X Solar (Whitestone)</t>
  </si>
  <si>
    <t>010-02805-13</t>
  </si>
  <si>
    <t>GARMIN Instinct 2X Solar Tactical Edition (Black)</t>
  </si>
  <si>
    <t>010-02805-12</t>
  </si>
  <si>
    <t>GARMIN Instinct 2X Solar Tactical Edition (Coyote Tan)</t>
  </si>
  <si>
    <t>010-02936-00</t>
  </si>
  <si>
    <t>GARMIN Instinct 3 45 mm AMOLED (Black with black silicone band)</t>
  </si>
  <si>
    <t>010-02934-00</t>
  </si>
  <si>
    <t>GARMIN Instinct 3 45 mm Solar (Black with black silicone band)</t>
  </si>
  <si>
    <t>010-02934-50</t>
  </si>
  <si>
    <t>GARMIN Instinct 3 45 mm Solar Tactical Edition (Black with black silicone band)</t>
  </si>
  <si>
    <t>010-03020-00</t>
  </si>
  <si>
    <t>GARMIN Instinct 3 50 mm AMOLED (Black with charcoal silicone band)</t>
  </si>
  <si>
    <t>010-03020-50</t>
  </si>
  <si>
    <t>GARMIN Instinct 3 50 mm AMOLED Tactical Edition (Black with black silicone band)</t>
  </si>
  <si>
    <t>010-02935-00</t>
  </si>
  <si>
    <t>GARMIN Instinct 3 50 mm Solar (Black with charcoal silicone band)</t>
  </si>
  <si>
    <t>010-02935-50</t>
  </si>
  <si>
    <t>GARMIN Instinct 3 50 mm Solar Tactical Edition (Black with black silicone band)</t>
  </si>
  <si>
    <t>010-02730-13</t>
  </si>
  <si>
    <t>GARMIN Instinct Crossover (Black)</t>
  </si>
  <si>
    <t>010-02730-14</t>
  </si>
  <si>
    <t>GARMIN Instinct Crossover (Granite)</t>
  </si>
  <si>
    <t>010-03398-01</t>
  </si>
  <si>
    <t>GARMIN Instinct Crossover AMOLED (Bronze/Sunburst with Cocoa Silicone Band)</t>
  </si>
  <si>
    <t>010-03398-00</t>
  </si>
  <si>
    <t>GARMIN Instinct Crossover AMOLED (Charcoal with Charcoal Silicone Band)</t>
  </si>
  <si>
    <t>010-03398-02</t>
  </si>
  <si>
    <t>GARMIN Instinct Crossover AMOLED -Tactical Edition (Black with Black Silicone Band)</t>
  </si>
  <si>
    <t>010-02730-11</t>
  </si>
  <si>
    <t>GARMIN Instinct Crossover Solar (Graphite)</t>
  </si>
  <si>
    <t>010-02730-12</t>
  </si>
  <si>
    <t>GARMIN Instinct Crossover Solar (Tidal Blue)</t>
  </si>
  <si>
    <t>010-02730-10</t>
  </si>
  <si>
    <t>GARMIN Instinct Crossover Solar Tactical Edition (Black)</t>
  </si>
  <si>
    <t>010-02932-00</t>
  </si>
  <si>
    <t>GARMIN Instinct E 40 mm (Black with charcoal silicone band)</t>
  </si>
  <si>
    <t>010-02933-00</t>
  </si>
  <si>
    <t>GARMIN Instinct E 45 mm (Black with charcoal silicone band)</t>
  </si>
  <si>
    <t>010-02064-73</t>
  </si>
  <si>
    <t>GARMIN Instinct Esports Edition (Black Lava)</t>
  </si>
  <si>
    <t>010-02293-21</t>
  </si>
  <si>
    <t>Garmin Instinct Solar (Flame Red)</t>
  </si>
  <si>
    <t>010-02293-10</t>
  </si>
  <si>
    <t>Garmin Instinct Solar (Graphite)</t>
  </si>
  <si>
    <t>010-02293-12</t>
  </si>
  <si>
    <t>Garmin Instinct Solar (Orchid)</t>
  </si>
  <si>
    <t>010-02293-19</t>
  </si>
  <si>
    <t>Garmin Instinct Solar (Sunburst)</t>
  </si>
  <si>
    <t>010-02293-11</t>
  </si>
  <si>
    <t>Garmin Instinct Solar (Tidal Blue)</t>
  </si>
  <si>
    <t>010-02293-15</t>
  </si>
  <si>
    <t>Garmin Instinct Solar Camo Edition (Graphite Camo)</t>
  </si>
  <si>
    <t>010-02293-18</t>
  </si>
  <si>
    <t>Garmin Instinct Solar Surf Edition (Cloudbreak)</t>
  </si>
  <si>
    <t>010-02293-17</t>
  </si>
  <si>
    <t>Garmin Instinct Solar Surf Edition (Pipeline)</t>
  </si>
  <si>
    <t>010-02293-13</t>
  </si>
  <si>
    <t>Garmin Instinct Solar Tactical Edition (Black)</t>
  </si>
  <si>
    <t>010-02293-14</t>
  </si>
  <si>
    <t>Garmin Instinct Solar Tactical Edition (Moss)</t>
  </si>
  <si>
    <t>010-02293-16</t>
  </si>
  <si>
    <t>010-02064-71</t>
  </si>
  <si>
    <t>Garmin Instinct Tactical Edition (Coyote Tan)</t>
  </si>
  <si>
    <t>010-02064-70</t>
  </si>
  <si>
    <t>010-02064-03</t>
  </si>
  <si>
    <t>Garmin Instinct, Sunburst</t>
  </si>
  <si>
    <t>010-02172-42</t>
  </si>
  <si>
    <t>GARMIN Legacy Hero Series (Captain Marvel)</t>
  </si>
  <si>
    <t>010-02174-42</t>
  </si>
  <si>
    <t>GARMIN Legacy Hero Series (First Avenger)</t>
  </si>
  <si>
    <t>010-02174-52</t>
  </si>
  <si>
    <t>GARMIN Legacy Saga Series (Darth Vader)</t>
  </si>
  <si>
    <t>010-02172-52</t>
  </si>
  <si>
    <t>GARMIN Legacy Saga Series (Rey)</t>
  </si>
  <si>
    <t>010-02839-00</t>
  </si>
  <si>
    <t>GARMIN Lily 2 (Cream Gold/Coconut)</t>
  </si>
  <si>
    <t>010-02839-01</t>
  </si>
  <si>
    <t>GARMIN Lily 2 (Lilac/Lilac)</t>
  </si>
  <si>
    <t>010-02891-00</t>
  </si>
  <si>
    <t>GARMIN Lily 2 Active (Cream Gold with Bone Silicone Band)</t>
  </si>
  <si>
    <t>010-02891-02</t>
  </si>
  <si>
    <t>GARMIN Lily 2 Active (Jasper Green with Jasper Green Silicone Band)</t>
  </si>
  <si>
    <t>010-02891-01</t>
  </si>
  <si>
    <t>GARMIN Lily 2 Active (Silver with Jasmine Silicone Band)</t>
  </si>
  <si>
    <t>010-02839-02</t>
  </si>
  <si>
    <t>GARMIN Lily 2 Classic (Cream Gold/Tan Leather)</t>
  </si>
  <si>
    <t>010-02839-03</t>
  </si>
  <si>
    <t>GARMIN Lily 2 Classic (Dark Bronze/Mulberry Leather)</t>
  </si>
  <si>
    <t>010-02839-14</t>
  </si>
  <si>
    <t>GARMIN Lily 2 Classic PF (Cream Gold/Coffee)</t>
  </si>
  <si>
    <t>010-02839-15</t>
  </si>
  <si>
    <t>GARMIN Lily 2 Classic PF (Silver/Sage Grey)</t>
  </si>
  <si>
    <t>010-02384-A1</t>
  </si>
  <si>
    <t>GARMIN Lily Classic Edition (Black with Cream Gold Bezel &amp; Italian Leather Band)</t>
  </si>
  <si>
    <t>010-02384-A2</t>
  </si>
  <si>
    <t>GARMIN Lily Classic Edition (Cream Gold SS/Grey Leather Band)</t>
  </si>
  <si>
    <t>010-02384-A0</t>
  </si>
  <si>
    <t>GARMIN Lily Classic Edition (Paloma with Dark Bronze Bezel &amp; Italian Leather Band)</t>
  </si>
  <si>
    <t>010-02384-A3</t>
  </si>
  <si>
    <t>GARMIN Lily Classic Edition (White with Light Gold Bezel &amp; Italian Leather Band)</t>
  </si>
  <si>
    <t>010-02384-03</t>
  </si>
  <si>
    <t>GARMIN Lily Sport Edition (Cream Gold SS/Dust Pink Silicone Band)</t>
  </si>
  <si>
    <t>010-02384-02</t>
  </si>
  <si>
    <t>GARMIN Lily Sport Edition (Deep Orchid with Midnight Orchid Bezel &amp; Silcone Band)</t>
  </si>
  <si>
    <t>010-02384-01</t>
  </si>
  <si>
    <t>GARMIN Lily Sport Edition (Light Sand with Rose Gold Bezel &amp; Silcone Band)</t>
  </si>
  <si>
    <t>010-02384-00</t>
  </si>
  <si>
    <t>GARMIN Lily Sport Edition (White with Cream Gold Bezel &amp; Silcone Band)</t>
  </si>
  <si>
    <t>010-02006-28</t>
  </si>
  <si>
    <t>GARMIN MARQ Adventurer</t>
  </si>
  <si>
    <t>010-02006-17</t>
  </si>
  <si>
    <t>Garmin MARQ Athlete</t>
  </si>
  <si>
    <t>010-02006-05</t>
  </si>
  <si>
    <t>Garmin MARQ Aviator</t>
  </si>
  <si>
    <t>010-02006-11</t>
  </si>
  <si>
    <t>Garmin MARQ Commander</t>
  </si>
  <si>
    <t>010-02006-02</t>
  </si>
  <si>
    <t>Garmin MARQ Driver</t>
  </si>
  <si>
    <t>010-02006-08</t>
  </si>
  <si>
    <t>Garmin MARQ, Captain</t>
  </si>
  <si>
    <t>010-02963-02</t>
  </si>
  <si>
    <t>GARMIN Montana 710</t>
  </si>
  <si>
    <t>010-02964-02</t>
  </si>
  <si>
    <t>GARMIN Montana 710i</t>
  </si>
  <si>
    <t>010-02964-12</t>
  </si>
  <si>
    <t>GARMIN Montana 760i</t>
  </si>
  <si>
    <t>010-11430-00</t>
  </si>
  <si>
    <t>GARMIN Quarter-turn Bike Mount</t>
  </si>
  <si>
    <t>010-02904-52</t>
  </si>
  <si>
    <t>GARMIN Quatix 8 47 mm AMOLED Sapphire (Titanium bezel with captain blue silicone band)</t>
  </si>
  <si>
    <t>010-02905-92</t>
  </si>
  <si>
    <t>GARMIN Quatix 8 51 mm AMOLED Sapphire (Titanium bezel with captain blue silicone band)</t>
  </si>
  <si>
    <t>010-02142-20</t>
  </si>
  <si>
    <t>Garmin RV 775 MT-S</t>
  </si>
  <si>
    <t>010-02425-20</t>
  </si>
  <si>
    <t>Garmin RV 890 MT-S</t>
  </si>
  <si>
    <t>010-02749-20</t>
  </si>
  <si>
    <t>GARMIN RV1095 MT-S (Australia and New Zealand)</t>
  </si>
  <si>
    <t>010-02747-20</t>
  </si>
  <si>
    <t>GARMIN RV795 MT-S (Australia and New Zealand)</t>
  </si>
  <si>
    <t>010-02748-20</t>
  </si>
  <si>
    <t>GARMIN RV895 MT-S (Australia and New Zealand)</t>
  </si>
  <si>
    <t>010-02728-20</t>
  </si>
  <si>
    <t>GARMIN RVCam 795 MT-S (Australia and New Zealand)</t>
  </si>
  <si>
    <t>010-02247-00</t>
  </si>
  <si>
    <t>GARMIN Swim 2 (Slate)</t>
  </si>
  <si>
    <t>010-02247-01</t>
  </si>
  <si>
    <t>GARMIN Swim 2 (Whitestone)</t>
  </si>
  <si>
    <t>010-02931-02</t>
  </si>
  <si>
    <t>GARMIN tactix 7 AMOLED Edition</t>
  </si>
  <si>
    <t>010-02704-12</t>
  </si>
  <si>
    <t>GARMIN tactix 7 Pro Edition</t>
  </si>
  <si>
    <t>010-02704-02</t>
  </si>
  <si>
    <t>GARMIN tactix 7 Standard Edition</t>
  </si>
  <si>
    <t>010-03405-02</t>
  </si>
  <si>
    <t>GARMIN Tactix 8 47mm (AMOLED Sapphire Edition) with Applied Ballistics Ultralight solver</t>
  </si>
  <si>
    <t>010-03406-02</t>
  </si>
  <si>
    <t>GARMIN Tactix 8 51mm (AMOLED Sapphire Edition) with Applied Ballistics Ultralight solver</t>
  </si>
  <si>
    <t>010-03407-12</t>
  </si>
  <si>
    <t>GARMIN Tactix 8 51mm (Solar Sapphire Edition) with Applied Ballistics Elite solver</t>
  </si>
  <si>
    <t>010-03407-02</t>
  </si>
  <si>
    <t>GARMIN Tactix 8 51mm (Solar Sapphire Edition) with Applied Ballistics Ultralight solver</t>
  </si>
  <si>
    <t>010-02406-30</t>
  </si>
  <si>
    <t>GARMIN Tread</t>
  </si>
  <si>
    <t>010-02972-20</t>
  </si>
  <si>
    <t>GARMIN Tread 2</t>
  </si>
  <si>
    <t>010-02173-32</t>
  </si>
  <si>
    <t>GARMIN Venu (Black with Gold Hardware)</t>
  </si>
  <si>
    <t>010-02173-12</t>
  </si>
  <si>
    <t>GARMIN Venu (Black with Slate Hardware)</t>
  </si>
  <si>
    <t>010-02173-02</t>
  </si>
  <si>
    <t>GARMIN Venu (Granite Blue with Silver Hardware)</t>
  </si>
  <si>
    <t>010-02173-22</t>
  </si>
  <si>
    <t>GARMIN Venu (Light Sand with Rose-gold Hardware)</t>
  </si>
  <si>
    <t>010-02430-10</t>
  </si>
  <si>
    <t>GARMIN Venu 2 (Silver Bezel with Granite Blue Case and Silicone Band)</t>
  </si>
  <si>
    <t>010-02430-11</t>
  </si>
  <si>
    <t>GARMIN Venu 2 (Slate Bezel with Black Case and Silicone Band)</t>
  </si>
  <si>
    <t>010-02496-12</t>
  </si>
  <si>
    <t>GARMIN Venu 2 Plus (Cream Gold Bezel with Ivory Case and Silicone Band)</t>
  </si>
  <si>
    <t>010-02496-10</t>
  </si>
  <si>
    <t>GARMIN Venu 2 Plus (Silver Bezel with Powder Grey Case and Silicone Band)</t>
  </si>
  <si>
    <t>010-02496-11</t>
  </si>
  <si>
    <t>GARMIN Venu 2 Plus (Slate Bezel with Black Case and Silicone Band)</t>
  </si>
  <si>
    <t>010-02429-11</t>
  </si>
  <si>
    <t>GARMIN Venu 2S (Light Gold Bezel with Light Sand Case and Silicone Band)</t>
  </si>
  <si>
    <t>010-02429-13</t>
  </si>
  <si>
    <t>GARMIN Venu 2S (Rose Gold Bezel with White Case and Silicone Band)</t>
  </si>
  <si>
    <t>010-02429-12</t>
  </si>
  <si>
    <t>GARMIN Venu 2S (Silver Bezel with Mist Grey Case and Silicone Band)</t>
  </si>
  <si>
    <t>010-02429-10</t>
  </si>
  <si>
    <t>GARMIN Venu 2S (Slate Bezel with Graphite Case and Silicone Band)</t>
  </si>
  <si>
    <t>010-02784-00</t>
  </si>
  <si>
    <t>GARMIN Venu 3 (Silver SS with Whitestone Band)</t>
  </si>
  <si>
    <t>010-02784-01</t>
  </si>
  <si>
    <t>GARMIN Venu 3 (Slate SS with Black Band)</t>
  </si>
  <si>
    <t>010-02785-01</t>
  </si>
  <si>
    <t>GARMIN Venu 3S (Silver SS with Sage Band)</t>
  </si>
  <si>
    <t>010-02785-00</t>
  </si>
  <si>
    <t>GARMIN Venu 3S (Slate SS with Grey Band)</t>
  </si>
  <si>
    <t>010-02785-03</t>
  </si>
  <si>
    <t>GARMIN Venu 3S (Soft Gold SS with Dust Rose Band)</t>
  </si>
  <si>
    <t>010-02785-02</t>
  </si>
  <si>
    <t>GARMIN Venu 3S (Soft Gold SS with Grey Band)</t>
  </si>
  <si>
    <t>010-02785-04</t>
  </si>
  <si>
    <t>GARMIN Venu 3S (Soft Gold SS with Ivory Band)</t>
  </si>
  <si>
    <t>010-03013-00</t>
  </si>
  <si>
    <t>GARMIN Venu 4 - 41mm (Lunar Gold with Bone Silicone Band)</t>
  </si>
  <si>
    <t>010-03013-01</t>
  </si>
  <si>
    <t>GARMIN Venu 4 - 41mm (Silver with Periwinkle Silicone Band)</t>
  </si>
  <si>
    <t>010-03013-02</t>
  </si>
  <si>
    <t>GARMIN Venu 4 - 41mm (Slate with Black Silicone Band)</t>
  </si>
  <si>
    <t>010-03014-02</t>
  </si>
  <si>
    <t>GARMIN Venu 4 - 45mm (Silver with Citron Band)</t>
  </si>
  <si>
    <t>010-03014-01</t>
  </si>
  <si>
    <t>GARMIN Venu 4 - 45mm (Silver with Silver Gray Silicone Band)</t>
  </si>
  <si>
    <t>010-03014-00</t>
  </si>
  <si>
    <t>GARMIN Venu 4 - 45mm (Slate with Black Silicone Band)</t>
  </si>
  <si>
    <t>010-02427-02</t>
  </si>
  <si>
    <t>Garmin Venu SQ (Orchid with Metallic Orchid Bezel)</t>
  </si>
  <si>
    <t>010-02427-00</t>
  </si>
  <si>
    <t>Garmin Venu SQ (Shadow Grey with Slate Bezel)</t>
  </si>
  <si>
    <t>010-02427-01</t>
  </si>
  <si>
    <t>Garmin Venu SQ (White with Light Gold Bezel)</t>
  </si>
  <si>
    <t>010-02701-01</t>
  </si>
  <si>
    <t>GARMIN Venu SQ 2 (Cream Gold Bezel with White Case and Silicone Band)</t>
  </si>
  <si>
    <t>010-02701-02</t>
  </si>
  <si>
    <t>GARMIN Venu SQ 2 (Metallic Mint Bezel with Mint Case and Silicone Band)</t>
  </si>
  <si>
    <t>010-02701-00</t>
  </si>
  <si>
    <t>GARMIN Venu SQ 2 (Slate Bezel with Shadow Grey Case and Silicone Band)</t>
  </si>
  <si>
    <t>010-02700-12</t>
  </si>
  <si>
    <t>GARMIN Venu SQ 2 Music (Cream Gold Bezel with Grey Case and Silicone Band)</t>
  </si>
  <si>
    <t>010-02700-11</t>
  </si>
  <si>
    <t>GARMIN Venu SQ 2 Music (Peach Gold Bezel with Ivory Case and Silicone Band)</t>
  </si>
  <si>
    <t>010-02700-10</t>
  </si>
  <si>
    <t>GARMIN Venu SQ 2 Music (Slate Bezel with Black Case and Silicone Band)</t>
  </si>
  <si>
    <t>010-02426-15</t>
  </si>
  <si>
    <t>GARMIN Venu SQ Music Edition (Black with Rose Gold Bezel)</t>
  </si>
  <si>
    <t>010-02426-10</t>
  </si>
  <si>
    <t>Garmin Venu SQ Music Edition (Black with Slate Bezel)</t>
  </si>
  <si>
    <t>010-02426-11</t>
  </si>
  <si>
    <t>Garmin Venu SQ Music Edition (Light Sand with Rose Gold Bezel)</t>
  </si>
  <si>
    <t>010-02426-13</t>
  </si>
  <si>
    <t>Garmin Venu SQ Music Edition (Moss with Slate Bezel)</t>
  </si>
  <si>
    <t>010-02426-12</t>
  </si>
  <si>
    <t>Garmin Venu SQ Music Edition (Navy with Light Gold Bezel)</t>
  </si>
  <si>
    <t>010-02426-14</t>
  </si>
  <si>
    <t>GARMIN Venu SQ Music Edition (White with Slate Bezel)</t>
  </si>
  <si>
    <t>010-02980-04</t>
  </si>
  <si>
    <t>GARMIN Venu X1 (Black with Slate Titanium Caseback and Black ComfortFit Nylon Band)</t>
  </si>
  <si>
    <t>010-02980-05</t>
  </si>
  <si>
    <t>GARMIN Venu X1 (Moss with Titanium Caseback and Moss ComfortFit Nylon Band)</t>
  </si>
  <si>
    <t>010-02980-15</t>
  </si>
  <si>
    <t>GARMIN Venu X1 (Soft Gold with Titanium Caseback and French Gray Nylon Band)</t>
  </si>
  <si>
    <t>010-02174-12</t>
  </si>
  <si>
    <t>Garmin vivoactive 4, Black with Slate Hardware</t>
  </si>
  <si>
    <t>010-02174-02</t>
  </si>
  <si>
    <t>Garmin vivoactive 4, Shadow Gray with Silver Hardware</t>
  </si>
  <si>
    <t>010-02172-12</t>
  </si>
  <si>
    <t>Garmin vivoactive 4S, Black with Slate Hardware</t>
  </si>
  <si>
    <t>010-02172-32</t>
  </si>
  <si>
    <t>Garmin vivoactive 4S, Dust Rose with Light Gold Hardware</t>
  </si>
  <si>
    <t>010-02172-02</t>
  </si>
  <si>
    <t>Garmin vivoactive 4S, Powder Gray with Silver Hardware</t>
  </si>
  <si>
    <t>010-02172-22</t>
  </si>
  <si>
    <t>Garmin vivoactive 4S, White with Rose-gold Hardware</t>
  </si>
  <si>
    <t>010-02862-11</t>
  </si>
  <si>
    <t>GARMIN vivoactive 5 (Cream Gold with Ivory Band)</t>
  </si>
  <si>
    <t>010-02862-12</t>
  </si>
  <si>
    <t>GARMIN vivoactive 5 (Metallic Captain Blue with Blue Band)</t>
  </si>
  <si>
    <t>010-02862-13</t>
  </si>
  <si>
    <t>GARMIN vivoactive 5 (Metallic Orchid with Orchid Band)</t>
  </si>
  <si>
    <t>010-02862-10</t>
  </si>
  <si>
    <t>GARMIN vivoactive 5 (Slate with Black Band)</t>
  </si>
  <si>
    <t>010-02985-01</t>
  </si>
  <si>
    <t>GARMIN Vivoactive 6 (Lunar Gold with Bone Silicone Band)</t>
  </si>
  <si>
    <t>010-02985-02</t>
  </si>
  <si>
    <t>GARMIN Vivoactive 6 (Metallic Jasper Green with Jasper Green Silicone Band)</t>
  </si>
  <si>
    <t>010-02985-03</t>
  </si>
  <si>
    <t>GARMIN Vivoactive 6 (Metallic Pink Dawn with Pink Dawn Silicone Band)</t>
  </si>
  <si>
    <t>010-02985-00</t>
  </si>
  <si>
    <t>GARMIN Vivoactive 6 (Slate with Black Silicone Band)</t>
  </si>
  <si>
    <t>010-01847-04</t>
  </si>
  <si>
    <t>GARMIN vivofit 4 English Only Club Bundle Small/Medium (Black/White)</t>
  </si>
  <si>
    <t>010-01847-03</t>
  </si>
  <si>
    <t>GARMIN vivofit 4, Black (Large)</t>
  </si>
  <si>
    <t>010-01634-01</t>
  </si>
  <si>
    <t>Garmin vivofit jr (Digi Camo)</t>
  </si>
  <si>
    <t>010-01909-39</t>
  </si>
  <si>
    <t>Garmin vivofit jr. 2, Disney Frozen 2 - Anna</t>
  </si>
  <si>
    <t>010-01909-38</t>
  </si>
  <si>
    <t>Garmin vivofit jr. 2, Disney Frozen 2 - Elsa</t>
  </si>
  <si>
    <t>010-01909-30</t>
  </si>
  <si>
    <t>Garmin vivofit jr. 2, Disney Minnie Mouse</t>
  </si>
  <si>
    <t>010-01909-33</t>
  </si>
  <si>
    <t>Garmin vivofit jr. 2, Disney Princess - Ariel, Belle, Jasmine, Mulan and Rapunzel</t>
  </si>
  <si>
    <t>010-01909-34</t>
  </si>
  <si>
    <t>Garmin vivofit jr. 2, Disney Princess - Princess Character Icons</t>
  </si>
  <si>
    <t>010-01909-32</t>
  </si>
  <si>
    <t>Garmin vivofit jr. 2, Marvel Avengers</t>
  </si>
  <si>
    <t>010-01909-37</t>
  </si>
  <si>
    <t>Garmin vivofit jr. 2, Marvel Spider-Man - Black</t>
  </si>
  <si>
    <t>010-01909-36</t>
  </si>
  <si>
    <t>Garmin vivofit jr. 2, Marvel Spider-Man - Red</t>
  </si>
  <si>
    <t>010-01909-3B</t>
  </si>
  <si>
    <t>Garmin vivofit jr. 2, Star Wars - Dark Side</t>
  </si>
  <si>
    <t>010-01909-13</t>
  </si>
  <si>
    <t>Garmin vivofit jr. 2, Star Wars - First Order</t>
  </si>
  <si>
    <t>010-01909-3A</t>
  </si>
  <si>
    <t>Garmin vivofit jr. 2, Star Wars - Light Side</t>
  </si>
  <si>
    <t>010-01909-31</t>
  </si>
  <si>
    <t>Garmin vivofit jr. 2, Star Wars - The Resistance</t>
  </si>
  <si>
    <t>010-02441-23</t>
  </si>
  <si>
    <t>GARMIN vivofit jr. 3 (Black Cosmic)</t>
  </si>
  <si>
    <t>010-02441-22</t>
  </si>
  <si>
    <t>GARMIN vivofit jr. 3 (Blue Stars)</t>
  </si>
  <si>
    <t>010-02441-20</t>
  </si>
  <si>
    <t>GARMIN vivofit jr. 3 (Digi Camo)</t>
  </si>
  <si>
    <t>010-02441-32</t>
  </si>
  <si>
    <t>GARMIN vivofit jr. 3 (Disney - Princess)</t>
  </si>
  <si>
    <t>010-02441-33</t>
  </si>
  <si>
    <t>GARMIN vivofit jr. 3 (Disney - The Little Mermaid)</t>
  </si>
  <si>
    <t>010-02441-21</t>
  </si>
  <si>
    <t>GARMIN vivofit jr. 3 (Lilac Floral)</t>
  </si>
  <si>
    <t>010-02441-30</t>
  </si>
  <si>
    <t>GARMIN vivofit jr. 3 (Marvel - Black Panther)</t>
  </si>
  <si>
    <t>010-02441-31</t>
  </si>
  <si>
    <t>GARMIN vivofit jr. 3 (Marvel - Iron Man)</t>
  </si>
  <si>
    <t>010-02441-24</t>
  </si>
  <si>
    <t>GARMIN vivofit jr. 3 (Peach Leopard)</t>
  </si>
  <si>
    <t>010-02441-36</t>
  </si>
  <si>
    <t>GARMIN vivofit jr. 3 (Star Wars - Grogu)</t>
  </si>
  <si>
    <t>010-02441-35</t>
  </si>
  <si>
    <t>GARMIN vivofit jr. 3 (Star Wars - The Mandalorian)</t>
  </si>
  <si>
    <t>010-01634-00</t>
  </si>
  <si>
    <t>Garmin vivofit jr., Broken Lava</t>
  </si>
  <si>
    <t>010-01634-02</t>
  </si>
  <si>
    <t>Garmin vivofit jr., Real Flower</t>
  </si>
  <si>
    <t>010-01850-16</t>
  </si>
  <si>
    <t>Garmin vivomove HR, Sport, ENG, Rose Gold Stainless Steel Bezel with Black Case and Silicone Band</t>
  </si>
  <si>
    <t>010-01850-12</t>
  </si>
  <si>
    <t>Garmin vivomove HR, Sport, ENG, Rose Gold Stainless Steel Bezel with White Case and Silicone Band</t>
  </si>
  <si>
    <t>010-02241-01</t>
  </si>
  <si>
    <t>GARMIN vivomove Luxe, 18K Rose Gold PVD Stainless Steel Case with Light Sand Italian Leather Band</t>
  </si>
  <si>
    <t>010-02241-04</t>
  </si>
  <si>
    <t>Garmin vivomove Luxe, 18K Rose Gold PVD Stainless Steel Case with Rose Gold Milanese Band</t>
  </si>
  <si>
    <t>010-02241-02</t>
  </si>
  <si>
    <t>Garmin vivomove Luxe, 24K Gold PVD Stainless Steel Case with Black Embossed Italian Leather Band</t>
  </si>
  <si>
    <t>010-02241-08</t>
  </si>
  <si>
    <t>Garmin vivomove Luxe, 24K Gold PVD Stainless Steel Case with White Italian Leather Band</t>
  </si>
  <si>
    <t>010-02241-00</t>
  </si>
  <si>
    <t>Garmin vivomove Luxe, Silver Stainless Steel Case with Navy Italian Leather Band</t>
  </si>
  <si>
    <t>010-02241-03</t>
  </si>
  <si>
    <t>GARMIN vivomove Luxe, Silver Stainless Steel Case with Silver Milanese Band</t>
  </si>
  <si>
    <t>010-02566-00</t>
  </si>
  <si>
    <t>GARMIN vivomove Sport (Black Case and Silicone Band with Slate Accents)</t>
  </si>
  <si>
    <t>010-02566-02</t>
  </si>
  <si>
    <t>GARMIN vivomove Sport (Cocoa Case and Silicone Band with Peach Gold Accents)</t>
  </si>
  <si>
    <t>010-02566-03</t>
  </si>
  <si>
    <t>GARMIN vivomove Sport (Cool Mint Case and Silicone Band with Silver Accents)</t>
  </si>
  <si>
    <t>010-02566-01</t>
  </si>
  <si>
    <t>GARMIN vivomove Sport (Ivory Case and Silicone Band with Peach Gold Accents)</t>
  </si>
  <si>
    <t>010-02665-02</t>
  </si>
  <si>
    <t>GARMIN vivomove Trend (Gold SS with Grey Case and Band)</t>
  </si>
  <si>
    <t>010-02665-01</t>
  </si>
  <si>
    <t>GARMIN vivomove Trend (Peach SS with Cream Case and Band)</t>
  </si>
  <si>
    <t>010-02665-03</t>
  </si>
  <si>
    <t>GARMIN vivomove Trend (Silver SS with Grey Case and Band)</t>
  </si>
  <si>
    <t>010-02665-00</t>
  </si>
  <si>
    <t>GARMIN vivomove Trend (Slate SS with Black Case and Band)</t>
  </si>
  <si>
    <t>010-01995-13</t>
  </si>
  <si>
    <t>Garmin vivosmart 4, Large, Black with Midnight Hardware</t>
  </si>
  <si>
    <t>010-01995-14</t>
  </si>
  <si>
    <t>Garmin vivosmart 4, Small/Medium (Azure Blue with Silver Hardware)</t>
  </si>
  <si>
    <t>010-01995-11</t>
  </si>
  <si>
    <t>Garmin vivosmart 4, Small/Medium (Berry with Light Gold Hardware)</t>
  </si>
  <si>
    <t>010-01995-10</t>
  </si>
  <si>
    <t>Garmin vivosmart 4, Small/Medium (Black with Midnight Hardware)</t>
  </si>
  <si>
    <t>010-01995-12</t>
  </si>
  <si>
    <t>Garmin vivosmart 4, Small/Medium (Gray with Rose Gold Hardware)</t>
  </si>
  <si>
    <t>010-02645-04</t>
  </si>
  <si>
    <t>GARMIN vivosmart 5 Large (Black)</t>
  </si>
  <si>
    <t>010-02645-00</t>
  </si>
  <si>
    <t>GARMIN vivosmart 5 Small/Medium (Black)</t>
  </si>
  <si>
    <t>010-02645-02</t>
  </si>
  <si>
    <t>GARMIN vivosmart 5 Small/Medium (Cool Mint)</t>
  </si>
  <si>
    <t>010-02645-01</t>
  </si>
  <si>
    <t>GARMIN vivosmart 5 Small/Medium (White)</t>
  </si>
  <si>
    <t>010-02019-20</t>
  </si>
  <si>
    <t>Garmin Zumo 396 LMT-S</t>
  </si>
  <si>
    <t>010-02902-00</t>
  </si>
  <si>
    <t>GARMIN ZUMO R1 Motorcycle Radar</t>
  </si>
  <si>
    <t>010-02296-20</t>
  </si>
  <si>
    <t>Garmin Zumo XT MT-S</t>
  </si>
  <si>
    <t>010-02781-20</t>
  </si>
  <si>
    <t>GARMIN Zumo XT2 Motorcycle Navigator 6"</t>
  </si>
  <si>
    <t>GoCube</t>
  </si>
  <si>
    <t>GC22</t>
  </si>
  <si>
    <t>GOCUBE 2X2</t>
  </si>
  <si>
    <t>GC33A-SP</t>
  </si>
  <si>
    <t>GOCUBE Edge</t>
  </si>
  <si>
    <t>GC33X</t>
  </si>
  <si>
    <t>GOCUBE GoCube-X</t>
  </si>
  <si>
    <t>GDN1-Set6</t>
  </si>
  <si>
    <t>GOCUBE GoDice 6-Pack</t>
  </si>
  <si>
    <t>RBE001-CC</t>
  </si>
  <si>
    <t>GOCUBE Rubik's Connected</t>
  </si>
  <si>
    <t>GREENPAN</t>
  </si>
  <si>
    <t>CC008230</t>
  </si>
  <si>
    <t>GREENPAN Bistro Airfryer 7.2L (Black)</t>
  </si>
  <si>
    <t>CC010172</t>
  </si>
  <si>
    <t>GREENPAN Bistro Airfryer 7.2L (Light Blue)</t>
  </si>
  <si>
    <t>CC010171</t>
  </si>
  <si>
    <t>GREENPAN Bistro Airfryer 7.2L (Mint Green)</t>
  </si>
  <si>
    <t>CC009007</t>
  </si>
  <si>
    <t>GREENPAN Bistro Airfryer 7.2L (Pine Green)</t>
  </si>
  <si>
    <t>CC010170</t>
  </si>
  <si>
    <t>GREENPAN Bistro Airfryer 7.2L (Pink)</t>
  </si>
  <si>
    <t>CC009006</t>
  </si>
  <si>
    <t>GREENPAN Bistro Airfryer 7.2L (Smokey Blue)</t>
  </si>
  <si>
    <t>CC010169</t>
  </si>
  <si>
    <t>GREENPAN Bistro Airfryer 7.2L (Taupe)</t>
  </si>
  <si>
    <t>CC009068</t>
  </si>
  <si>
    <t>GREENPAN Bistro Airfryer with See-thru Lid 6.6L</t>
  </si>
  <si>
    <t>CC009501</t>
  </si>
  <si>
    <t>GREENPAN Bistro Slow Cooker 3.7L (Black)</t>
  </si>
  <si>
    <t>CC009535</t>
  </si>
  <si>
    <t>GREENPAN Bistro Slow Cooker 3.7L (Stainless Steel)</t>
  </si>
  <si>
    <t>CC006848</t>
  </si>
  <si>
    <t>GREENPAN Contact Grill (Black)</t>
  </si>
  <si>
    <t>CC006847</t>
  </si>
  <si>
    <t>GREENPAN Contact Grill (Stainless Steel)</t>
  </si>
  <si>
    <t>CC008084-003</t>
  </si>
  <si>
    <t>GREENPAN Contact Grill Waffle Plates</t>
  </si>
  <si>
    <t>CC010410</t>
  </si>
  <si>
    <t>GREENPAN Frost Ice-Cream and Slushie Maker (Cream)</t>
  </si>
  <si>
    <t>CC010343</t>
  </si>
  <si>
    <t>GREENPAN Padova Cream PFAS Free Roasting Pan</t>
  </si>
  <si>
    <t>CC004980</t>
  </si>
  <si>
    <t>GREENPAN Padova Navy Blue Covered Casserole 24cm/4.7L</t>
  </si>
  <si>
    <t>CC004979</t>
  </si>
  <si>
    <t>GREENPAN Padova Navy Blue Covered Saucepan 18cm/2L</t>
  </si>
  <si>
    <t>CC004982</t>
  </si>
  <si>
    <t>GREENPAN Padova Navy Blue Frypan 24cm</t>
  </si>
  <si>
    <t>CC006464</t>
  </si>
  <si>
    <t>GREENPAN Padova Navy Blue Open wok 28cm/ 3.7L</t>
  </si>
  <si>
    <t>CC006187</t>
  </si>
  <si>
    <t>GREENPAN Padova Smokey Blue Covered Casserole 24cm/4.7L</t>
  </si>
  <si>
    <t>CC003717</t>
  </si>
  <si>
    <t>GREENPAN Padova Smokey Blue Covered Saucepan 18cm / 2.01L</t>
  </si>
  <si>
    <t>CC007938</t>
  </si>
  <si>
    <t>GREENPAN Padova Smokey Blue Covered Saute Pan 28cm/3.6L</t>
  </si>
  <si>
    <t>CC006199</t>
  </si>
  <si>
    <t>GREENPAN Padova Smokey Blue Covered Wok 28cm/3.7L</t>
  </si>
  <si>
    <t>CC003713</t>
  </si>
  <si>
    <t>GREENPAN Padova Smokey Blue Frypan 20cm</t>
  </si>
  <si>
    <t>CC003714</t>
  </si>
  <si>
    <t>GREENPAN Padova Smokey Blue Frypan 24cm</t>
  </si>
  <si>
    <t>CC003715</t>
  </si>
  <si>
    <t>GREENPAN Padova Smokey Blue Frypan 28cm</t>
  </si>
  <si>
    <t>CC010340</t>
  </si>
  <si>
    <t>GREENPAN Padova Smokey Blue PFAS Free Roasting Pan</t>
  </si>
  <si>
    <t>CC004408</t>
  </si>
  <si>
    <t>GREENPAN Premiere Frypan 20cm</t>
  </si>
  <si>
    <t>CC004409</t>
  </si>
  <si>
    <t>GREENPAN Premiere Frypan 24cm</t>
  </si>
  <si>
    <t>CC004411</t>
  </si>
  <si>
    <t>GREENPAN Premiere Frypan 30cm</t>
  </si>
  <si>
    <t>CC009499</t>
  </si>
  <si>
    <t>GREENPAN Rice Cooker 2L/8 Cups (White)</t>
  </si>
  <si>
    <t>CC005723</t>
  </si>
  <si>
    <t>GREENPAN Slow Cooker 6L (Black)</t>
  </si>
  <si>
    <t>CC005725</t>
  </si>
  <si>
    <t>GREENPAN Slow Cooker 6L (Blue Haze)</t>
  </si>
  <si>
    <t>CC005724</t>
  </si>
  <si>
    <t>GREENPAN Slow Cooker 6L (Cloud Cream)</t>
  </si>
  <si>
    <t>GUMDROP</t>
  </si>
  <si>
    <t>BT-A732CCS-BLK</t>
  </si>
  <si>
    <t>GUMDROP BumpTech for Acer Chromebook C732 (Black)</t>
  </si>
  <si>
    <t>BT-L100ECS-BLK</t>
  </si>
  <si>
    <t>GUMDROP BumpTech for Lenovo 100e Chromebook (Black)</t>
  </si>
  <si>
    <t>DT-HEADPHONE-B1-BLK</t>
  </si>
  <si>
    <t>GUMDROP DropTech Beta Headphones</t>
  </si>
  <si>
    <t>DT-HEADSET-B1-BLK</t>
  </si>
  <si>
    <t>GUMDROP DropTech Beta Headsets</t>
  </si>
  <si>
    <t>01A001</t>
  </si>
  <si>
    <t>GUMDROP DropTech Case for iPad 10.2â€³ (7th, 8th, 9th Gen)</t>
  </si>
  <si>
    <t>DT-ACERS5-BLK</t>
  </si>
  <si>
    <t>GUMDROP DropTech for for Acer Switch 5 (Black)</t>
  </si>
  <si>
    <t>01M000</t>
  </si>
  <si>
    <t>GUMDROP DropTech for for Microsoft Surface Pro 6 (Black)</t>
  </si>
  <si>
    <t>DT-HPPB11G2-BLK</t>
  </si>
  <si>
    <t>GUMDROP DropTech for HP ProBook 11 x360 G2 EE (Black)</t>
  </si>
  <si>
    <t>DT-L300E-BLK</t>
  </si>
  <si>
    <t>GUMDROP DropTech for Lenovo 300e Chromebook (Black)</t>
  </si>
  <si>
    <t>DT-LN24F-BLK</t>
  </si>
  <si>
    <t>GUMDROP DropTech for Lenovo 300e Windows (Black)</t>
  </si>
  <si>
    <t>DT-L11EYC-BLK</t>
  </si>
  <si>
    <t>GUMDROP DropTech for Lenovo Yoga 11e Chromebook (Black)</t>
  </si>
  <si>
    <t>DT-APRIPAD6G-BLK</t>
  </si>
  <si>
    <t>GUMDROP DropTech for Rugged iPad iPad 9.7" 6th Gen (Black)</t>
  </si>
  <si>
    <t>01H004</t>
  </si>
  <si>
    <t>GUMDROP DropTechUSB B2 Headsets</t>
  </si>
  <si>
    <t>02A002</t>
  </si>
  <si>
    <t>GUMDROP FoamTech Case for iPad 10.2â€³ (7th, 8th, 9th Gen)</t>
  </si>
  <si>
    <t>FT-IPADPRO9-BLK_WW</t>
  </si>
  <si>
    <t>GUMDROP FoamTech for iPad 9.7" (6th Gen) (Black)</t>
  </si>
  <si>
    <t>03A005</t>
  </si>
  <si>
    <t>GUMDROP Hideaway Case for iPad 10.2â€³ (7th, 8th, 9th Gen)</t>
  </si>
  <si>
    <t>03A008</t>
  </si>
  <si>
    <t>GUMDROP HideAway Folio for iPad 10.2" (7th, 8th, 9th Gen) - Black</t>
  </si>
  <si>
    <t>GS-IPAD97-BLK_BLK</t>
  </si>
  <si>
    <t>GUMDROP Hideaway for iPad 9.7" (5th &amp; 6th Gen) (Black)</t>
  </si>
  <si>
    <t>DT-HPCB11360-BLK</t>
  </si>
  <si>
    <t>GUMDROP HP Chromebook x360 11 G1 EE (Black)</t>
  </si>
  <si>
    <t>01L001</t>
  </si>
  <si>
    <t>GUMDROP MTK Lenovo 300e Gen2 CB</t>
  </si>
  <si>
    <t>HONOR</t>
  </si>
  <si>
    <t>5109BYWT</t>
  </si>
  <si>
    <t>HONOR 400 Pro Black</t>
  </si>
  <si>
    <t>5109BYWU</t>
  </si>
  <si>
    <t>HONOR 400 Pro Gray</t>
  </si>
  <si>
    <t>5109BYWU-DEMO</t>
  </si>
  <si>
    <t>HONOR 400 Pro Gray DEMO</t>
  </si>
  <si>
    <t>5109BYPB</t>
  </si>
  <si>
    <t>HONOR Magic V5 16GB+512GB Black</t>
  </si>
  <si>
    <t>5109BYPA</t>
  </si>
  <si>
    <t>HONOR Magic V5 16GB+512GB Dawn Gold</t>
  </si>
  <si>
    <t>5109BYPA-DEMO</t>
  </si>
  <si>
    <t>HONOR Magic V5 16GB+512GB Dawn Gold DEMO</t>
  </si>
  <si>
    <t>5109BYPC</t>
  </si>
  <si>
    <t>HONOR Magic V5 16GB+512GB Ivory White</t>
  </si>
  <si>
    <t>5301AQXF</t>
  </si>
  <si>
    <t>HONOR Pad 10 12.1 inch Only  Gray Keyboard inbox</t>
  </si>
  <si>
    <t>5301AQXE-DEMO</t>
  </si>
  <si>
    <t>HONOR Pad 10 DEMO</t>
  </si>
  <si>
    <t>5502AARN</t>
  </si>
  <si>
    <t>HONOR Watch 4 Black</t>
  </si>
  <si>
    <t>5502AARN-DEMO</t>
  </si>
  <si>
    <t>HONOR Watch 4 Black DEMO</t>
  </si>
  <si>
    <t>INSTA360</t>
  </si>
  <si>
    <t>Insta360 114cm Invisible Selfie Stick</t>
  </si>
  <si>
    <t>Insta360 2-in-1 Invisible Selfie Stick + Tripod</t>
  </si>
  <si>
    <t>Insta360 Ace Pro 2 Dual Battery Bundle</t>
  </si>
  <si>
    <t>Insta360 Ace Pro 2 Standard Bundle</t>
  </si>
  <si>
    <t>Insta360 Ace Pro 2/Ace Pro Xplorer Grip Kit - Dark Gray</t>
  </si>
  <si>
    <t>Insta360 Ace Pro 2/Ace Pro Xplorer Grip Kit - Silver</t>
  </si>
  <si>
    <t>Insta360 Ace Pro 2/Ace Pro/Ace Battery</t>
  </si>
  <si>
    <t>Insta360 Ace Pro 2/Ace Pro/Ace Standard Mount</t>
  </si>
  <si>
    <t>Insta360 Ace Pro 8k Action Camera - Black</t>
  </si>
  <si>
    <t>Insta360 All-Purpose Tripod</t>
  </si>
  <si>
    <t>INSTA360-CAP</t>
  </si>
  <si>
    <t>Insta360 Baseball Cap</t>
  </si>
  <si>
    <t>Insta360 Bike Bundle (New Version)</t>
  </si>
  <si>
    <t>Insta360 Bullet Time Selfie Stick 2.0</t>
  </si>
  <si>
    <t>Insta360 Chest Strap</t>
  </si>
  <si>
    <t>Insta360 Connect Dual Camera AI Video Bar</t>
  </si>
  <si>
    <t>Insta360 Dash Cam Mount</t>
  </si>
  <si>
    <t>Insta360 Dual/Triple Suction Cup Car Mount</t>
  </si>
  <si>
    <t>Insta360 Enhanced Extended Edition Selfie Stick</t>
  </si>
  <si>
    <t>Insta360 Flexi Strap Mount</t>
  </si>
  <si>
    <t>Insta360 Floating Hand Grip</t>
  </si>
  <si>
    <t>Insta360 Flow 2 AI Tracker Bundle / Stone Gray</t>
  </si>
  <si>
    <t>Insta360 Flow 2 AI Tracker Bundle / Summit White</t>
  </si>
  <si>
    <t>Insta360 Flow 2 Pro Creator Kit Grey Edition</t>
  </si>
  <si>
    <t>Insta360 Flow 2 Pro Creator Kit White Edition</t>
  </si>
  <si>
    <t>Insta360 Flow 2 Pro Gimbal Grey Edition</t>
  </si>
  <si>
    <t>Insta360 Flow 2 Pro Gimbal White Edition</t>
  </si>
  <si>
    <t>Insta360 Flow 2 Pro Magnetic Phone Mount</t>
  </si>
  <si>
    <t>Insta360 Flow 2 Standard Bundle / Stone Gray</t>
  </si>
  <si>
    <t>Insta360 Flow 2 Standard Bundle / Summit White</t>
  </si>
  <si>
    <t>Insta360 Foldable 2-in-1 Selfie Stick</t>
  </si>
  <si>
    <t>Insta360 Foldable 2-in-1 Selfie Stick Remote Kit (1/4" Mount)</t>
  </si>
  <si>
    <t>Insta360 GO 3/GO 3S Easy Clip</t>
  </si>
  <si>
    <t>Insta360 GO 3/GO 3S Magnet Pendant</t>
  </si>
  <si>
    <t>Insta360 GO 3/GO 3S Magnet Pendant Safety Cord (Black)</t>
  </si>
  <si>
    <t>Insta360 GO 3/GO 3S Magnet Pendant Safety Cord (White)</t>
  </si>
  <si>
    <t>Insta360 GO 3/GO 3S Quick Reader</t>
  </si>
  <si>
    <t>Insta360 GO 3S Standalone Camera - Arctic White 128GB</t>
  </si>
  <si>
    <t>Insta360 GO 3S Standalone Camera - Arctic White 64GB</t>
  </si>
  <si>
    <t>Insta360 GO 3S Standard Edition 128GB - Arctic White</t>
  </si>
  <si>
    <t>Insta360 GO 3S Standard Edition 128GB - Midnight Black</t>
  </si>
  <si>
    <t>Insta360 GO 3S Standard Edition 64GB - Arctic White</t>
  </si>
  <si>
    <t>Insta360 GO 3S Standard Edition 64GB - Midnight Black</t>
  </si>
  <si>
    <t>Insta360 GO Ultra Action Mount</t>
  </si>
  <si>
    <t>Insta360 GO Ultra AquaLens</t>
  </si>
  <si>
    <t>Insta360 GO Ultra Charging Base</t>
  </si>
  <si>
    <t>Insta360 GO Ultra Creator Bundle - Arctic White</t>
  </si>
  <si>
    <t>Insta360 GO Ultra Creator Bundle - Midnight Black</t>
  </si>
  <si>
    <t>Insta360 GO Ultra Dive Case</t>
  </si>
  <si>
    <t>Insta360 GO Ultra Easy Clip Headband (Gray)</t>
  </si>
  <si>
    <t>Insta360 GO Ultra Flexi Strap Mount</t>
  </si>
  <si>
    <t>Insta360 GO Ultra Lens Guard</t>
  </si>
  <si>
    <t>Insta360 GO Ultra Magnet Pendant</t>
  </si>
  <si>
    <t>Insta360 GO Ultra Magnetic Easy Clip</t>
  </si>
  <si>
    <t>Insta360 GO Ultra ND Filter Set</t>
  </si>
  <si>
    <t>Insta360 GO Ultra Pivot Stand</t>
  </si>
  <si>
    <t>Insta360 GO Ultra Quick Release Mount</t>
  </si>
  <si>
    <t>Insta360 GO Ultra Quick Release Wrist Strap</t>
  </si>
  <si>
    <t>Insta360 GO Ultra Screen Protector</t>
  </si>
  <si>
    <t>Insta360 GO Ultra Standard Bundle - Arctic White</t>
  </si>
  <si>
    <t>Insta360 GO Ultra Standard Bundle - Midnight Black</t>
  </si>
  <si>
    <t>Insta360 GO Ultra Sticky Tabs</t>
  </si>
  <si>
    <t>Insta360 GO Ultra Toddler Titan Kit</t>
  </si>
  <si>
    <t>Insta360 GO Ultra Utility Frame</t>
  </si>
  <si>
    <t>Insta360 Hard Hat Camera Mount</t>
  </si>
  <si>
    <t>Insta360 Link 2</t>
  </si>
  <si>
    <t>Insta360 Link 2C</t>
  </si>
  <si>
    <t>Insta360 Mic Air (1 TX + 1 RX)</t>
  </si>
  <si>
    <t>Insta360 Mic Air Transmitter</t>
  </si>
  <si>
    <t>Insta360 Motorcycle Accessories Bundle</t>
  </si>
  <si>
    <t>Insta360 Pet Harness Mount Size L</t>
  </si>
  <si>
    <t>Insta360 Pet Harness Mount Size M</t>
  </si>
  <si>
    <t>Insta360 Pet Harness Mount Size S</t>
  </si>
  <si>
    <t>Insta360 Quick Release Mount 2.0</t>
  </si>
  <si>
    <t>SA-6970357858774</t>
  </si>
  <si>
    <t>Insta360 SAMPLE Flow 2 Pro Gimbal White Edition</t>
  </si>
  <si>
    <t>Insta360 Throwpod 1M</t>
  </si>
  <si>
    <t>Insta360 Wave PSP - Arctic White</t>
  </si>
  <si>
    <t>Insta360 Wave PSP - Graphite Black</t>
  </si>
  <si>
    <t>Insta360 X Series Mic Cold Shoe (for RODE MIC)</t>
  </si>
  <si>
    <t>Insta360 X3 Battery</t>
  </si>
  <si>
    <t>Insta360 X3 Standalone Camera - Black</t>
  </si>
  <si>
    <t>Insta360 X4 8k 360 Action Camera - Black</t>
  </si>
  <si>
    <t>Insta360 X4 Air 360 Camera</t>
  </si>
  <si>
    <t>Insta360 X4 Air Battery</t>
  </si>
  <si>
    <t>Insta360 X4 Air Starter Bundle</t>
  </si>
  <si>
    <t>Insta360 X4 Air Starter Bundle Arctic White</t>
  </si>
  <si>
    <t>Insta360 X4 Battery</t>
  </si>
  <si>
    <t>Insta360 X4 Carry Case</t>
  </si>
  <si>
    <t>Insta360 X4 Fast Charge Hub</t>
  </si>
  <si>
    <t>Insta360 X4 Invisible Dive Case</t>
  </si>
  <si>
    <t>Insta360 X4 Premium Lens Guards</t>
  </si>
  <si>
    <t>Insta360 X5 Battery</t>
  </si>
  <si>
    <t>Insta360 X5 BMW Motorrad Edition</t>
  </si>
  <si>
    <t>Insta360 X5 Carry Case</t>
  </si>
  <si>
    <t>Insta360 X5 Costco Adventure Bundle (exclusive)</t>
  </si>
  <si>
    <t>Insta360 X5 Cycling Bundle</t>
  </si>
  <si>
    <t>Insta360 X5 Essentials Bundle</t>
  </si>
  <si>
    <t>Insta360 X5 Invisible Dive Case</t>
  </si>
  <si>
    <t>Insta360 X5 Invisible Dive Case Pro</t>
  </si>
  <si>
    <t>Insta360 X5 Lens Cap</t>
  </si>
  <si>
    <t>Insta360 X5 Mic Adapter</t>
  </si>
  <si>
    <t>Insta360 X5 Motorcycle Bundle</t>
  </si>
  <si>
    <t>Insta360 X5 Premium Lens Guards</t>
  </si>
  <si>
    <t>Insta360 X5 Quick Release Mount</t>
  </si>
  <si>
    <t>Insta360 X5 Replacement Lens Kit</t>
  </si>
  <si>
    <t>Insta360 X5 Satin White Limited Edition</t>
  </si>
  <si>
    <t>Insta360 X5 Screen Protector</t>
  </si>
  <si>
    <t>Insta360 X5 Standard Bundle</t>
  </si>
  <si>
    <t>Insta360 X5 Standard Lens Guards</t>
  </si>
  <si>
    <t>Insta360 X5 Starter Bundle</t>
  </si>
  <si>
    <t>Insta360 X5 Ultra Battery</t>
  </si>
  <si>
    <t>Insta360 X5 Utility Fast Charge Case</t>
  </si>
  <si>
    <t>INSTANT</t>
  </si>
  <si>
    <t>140-5022-01_IN</t>
  </si>
  <si>
    <t>INSTANT 10 Cup Rice &amp; Grain Cooker</t>
  </si>
  <si>
    <t>140-5021-01_IN</t>
  </si>
  <si>
    <t>INSTANT 5 Cup Rice &amp; Grain Cooker</t>
  </si>
  <si>
    <t>150-0035-01-AU_IN</t>
  </si>
  <si>
    <t>INSTANT AP100 Air Purifier</t>
  </si>
  <si>
    <t>150-0036-01-AU_IN</t>
  </si>
  <si>
    <t>INSTANT AP200 Air Purifier</t>
  </si>
  <si>
    <t>150-0037-01-AU_IN</t>
  </si>
  <si>
    <t>INSTANT AP300 Air Purifier</t>
  </si>
  <si>
    <t>140-0060-01_IN</t>
  </si>
  <si>
    <t>INSTANT Duo Crisp with Ultimate Lid 6.5L</t>
  </si>
  <si>
    <t>140-0022-01_IN</t>
  </si>
  <si>
    <t>INSTANT Duo Crisp, Air Fryer &amp; Pressure Cooker Combo 8L</t>
  </si>
  <si>
    <t>140-6017-01_IN</t>
  </si>
  <si>
    <t>INSTANT Fast Cold Brew</t>
  </si>
  <si>
    <t>140-1097-01_IN</t>
  </si>
  <si>
    <t>INSTANT Infusion Brew</t>
  </si>
  <si>
    <t>140-6276-01_IN</t>
  </si>
  <si>
    <t>INSTANT Infusion Brew Plus</t>
  </si>
  <si>
    <t>140-6075-01_IN</t>
  </si>
  <si>
    <t>INSTANT Milk Frother</t>
  </si>
  <si>
    <t>110-0022-01_IN</t>
  </si>
  <si>
    <t>INSTANT Pot Duo Nova 3L</t>
  </si>
  <si>
    <t>112-0099-01_IN</t>
  </si>
  <si>
    <t>INSTANT Pot Duo Nova 5.7L</t>
  </si>
  <si>
    <t>113-0027-01_IN</t>
  </si>
  <si>
    <t>INSTANT Pot Duo Nova 8L</t>
  </si>
  <si>
    <t>110-0037-01-AU_IN</t>
  </si>
  <si>
    <t>INSTANT POT Duo Plus 3L</t>
  </si>
  <si>
    <t>112-0184-01-AU_IN</t>
  </si>
  <si>
    <t>INSTANT POT Duo Plus 5.7L</t>
  </si>
  <si>
    <t>113-0063-01-AU_IN</t>
  </si>
  <si>
    <t>INSTANT POT Duo Plus 8L</t>
  </si>
  <si>
    <t>112-0127-01_IN</t>
  </si>
  <si>
    <t>INSTANT POT Pro 5.7L</t>
  </si>
  <si>
    <t>113-0076-01_IN</t>
  </si>
  <si>
    <t>INSTANT POT Pro 8L</t>
  </si>
  <si>
    <t>112-0202-01_IN</t>
  </si>
  <si>
    <t>INSTANT POT Pro Plus Wifi 5.7L</t>
  </si>
  <si>
    <t>140-0026-01_IN</t>
  </si>
  <si>
    <t>INSTANT Pro Crisp, Air Fryer &amp; Pressure Cooker Combo 8L</t>
  </si>
  <si>
    <t>113-1066-01_IN</t>
  </si>
  <si>
    <t>INSTANT Rio Wide 7.5L</t>
  </si>
  <si>
    <t>140-6128-01_IN</t>
  </si>
  <si>
    <t>INSTANT Superior Slow Cooker 7.1L</t>
  </si>
  <si>
    <t>140-3073-01_IN</t>
  </si>
  <si>
    <t>INSTANT Vortex Air Fryer 2L (Black)</t>
  </si>
  <si>
    <t>140-3074-01_IN</t>
  </si>
  <si>
    <t>INSTANT Vortex Air Fryer 2L (White)</t>
  </si>
  <si>
    <t>140-3033-01_IN</t>
  </si>
  <si>
    <t>INSTANT Vortex Plus Air Fryer 10L</t>
  </si>
  <si>
    <t>140-4126-01_IN</t>
  </si>
  <si>
    <t>INSTANT Vortex Plus Air Fryer Oven 13L</t>
  </si>
  <si>
    <t>140-3107-01-AU_IN</t>
  </si>
  <si>
    <t>INSTANT Vortex Plus Air Fryer with ClearCook 5.7L</t>
  </si>
  <si>
    <t>140-3128-01-AU_IN</t>
  </si>
  <si>
    <t>INSTANT Vortex Plus Dual Air Fryer with ClearCook 8L</t>
  </si>
  <si>
    <t>140-1150-01_IN</t>
  </si>
  <si>
    <t>INSTANT Vortex Slim Air Fryer 5.7L</t>
  </si>
  <si>
    <t>140-1151-01_IN</t>
  </si>
  <si>
    <t>INSTANT Vortex VersaZone Air Fryer 8.5L (Black)</t>
  </si>
  <si>
    <t>JAYS</t>
  </si>
  <si>
    <t>T00237</t>
  </si>
  <si>
    <t>JAYS a-One Black/Gold</t>
  </si>
  <si>
    <t>T00505</t>
  </si>
  <si>
    <t>JAYS s-Living One (Black)</t>
  </si>
  <si>
    <t>T00242</t>
  </si>
  <si>
    <t>JAYS t-Seven True Wireless (Black)</t>
  </si>
  <si>
    <t>JOSEPH JOSEPH</t>
  </si>
  <si>
    <t>85149_JJ</t>
  </si>
  <si>
    <t>JOSEPH JOSEPH 4 Pan Lid Holders Set</t>
  </si>
  <si>
    <t>10540_JJ</t>
  </si>
  <si>
    <t>JOSEPH JOSEPH 6 Piece Utensil Carousel (Sage)</t>
  </si>
  <si>
    <t>45030X_JJ</t>
  </si>
  <si>
    <t>JOSEPH JOSEPH Bloom Steamer</t>
  </si>
  <si>
    <t>20005_JJ</t>
  </si>
  <si>
    <t>JOSEPH JOSEPH Can-Do Opener (White/Green)</t>
  </si>
  <si>
    <t>20098X_JJ</t>
  </si>
  <si>
    <t>JOSEPH JOSEPH Can-Do Plus Can Opener</t>
  </si>
  <si>
    <t>981003_JJ</t>
  </si>
  <si>
    <t>JOSEPH JOSEPH Chop2pot 2 Pack (Sky)</t>
  </si>
  <si>
    <t>70535_JJ</t>
  </si>
  <si>
    <t>JOSEPH JOSEPH Compact Shower Squeegee</t>
  </si>
  <si>
    <t>30046_JJ</t>
  </si>
  <si>
    <t>JOSEPH JOSEPH Compo 4 Food Waste Caddy</t>
  </si>
  <si>
    <t>60142_JJ</t>
  </si>
  <si>
    <t>JOSEPH JOSEPH Cut &amp; Carve Bamboo</t>
  </si>
  <si>
    <t>981001_JJ</t>
  </si>
  <si>
    <t>JOSEPH JOSEPH Cut&amp;Carve Plus (Sky)</t>
  </si>
  <si>
    <t>20176_JJ</t>
  </si>
  <si>
    <t>JOSEPH JOSEPH Dash Pestle &amp; Mortar</t>
  </si>
  <si>
    <t>85042_JJ</t>
  </si>
  <si>
    <t>JOSEPH JOSEPH Drawer Store (Grey)</t>
  </si>
  <si>
    <t>85041_JJ</t>
  </si>
  <si>
    <t>JOSEPH JOSEPH Drawer Store (White/Green)</t>
  </si>
  <si>
    <t>70560_JJ</t>
  </si>
  <si>
    <t>JOSEPH JOSEPH Easystore Squeegee</t>
  </si>
  <si>
    <t>103055_JJ</t>
  </si>
  <si>
    <t>JOSEPH JOSEPH EasyStore Toothbrush Caddy &amp; Soap Pump Set (Ecru)</t>
  </si>
  <si>
    <t>10525_JJ</t>
  </si>
  <si>
    <t>JOSEPH JOSEPH Elevate 6-Piece Carousel Set (Sky)</t>
  </si>
  <si>
    <t>10118_JJ</t>
  </si>
  <si>
    <t>Joseph Joseph Elevate Carousel Set</t>
  </si>
  <si>
    <t>10569_JJ</t>
  </si>
  <si>
    <t>JOSEPH JOSEPH Elevate Fusion 3 Piece Silicone Set with Stand</t>
  </si>
  <si>
    <t>10577_JJ</t>
  </si>
  <si>
    <t>JOSEPH JOSEPH Elevate Fusion 5 Piece Knife &amp; Scissor Block Set</t>
  </si>
  <si>
    <t>10568_JJ</t>
  </si>
  <si>
    <t>JOSEPH JOSEPH Elevate Fusion 5 Piece Silicone Set with Stand</t>
  </si>
  <si>
    <t>10567_JJ</t>
  </si>
  <si>
    <t>JOSEPH JOSEPH Elevate Silicone/Steel Carousel 5 Piece Set</t>
  </si>
  <si>
    <t>10537_JJ</t>
  </si>
  <si>
    <t>JOSEPH JOSEPH Elevate Slimblock</t>
  </si>
  <si>
    <t>10536_JJ</t>
  </si>
  <si>
    <t>JOSEPH JOSEPH Elevate Slimline Tongs</t>
  </si>
  <si>
    <t>10564_JJ</t>
  </si>
  <si>
    <t>JOSEPH JOSEPH Elevate Steel Knives Bamboo 5 Piece Block</t>
  </si>
  <si>
    <t>10563_JJ</t>
  </si>
  <si>
    <t>JOSEPH JOSEPH Elevate Steel Knives Bamboo Store 5 Piece Set</t>
  </si>
  <si>
    <t>85071_JJ</t>
  </si>
  <si>
    <t>Joseph Joseph Ext-Expan Dish Rack (White)</t>
  </si>
  <si>
    <t>85040_JJ</t>
  </si>
  <si>
    <t>JOSEPH JOSEPH Extend Dish Rack (Grey)</t>
  </si>
  <si>
    <t>70583_JJ</t>
  </si>
  <si>
    <t>JOSEPH JOSEPH Flex 360 Luxe Toilet Brush (Stainless Steel)</t>
  </si>
  <si>
    <t>70516X_JJ</t>
  </si>
  <si>
    <t>JOSEPH JOSEPH Flex Plus Smart Toilet Brush With Storage Bay</t>
  </si>
  <si>
    <t>70517X_JJ</t>
  </si>
  <si>
    <t>JOSEPH JOSEPH Flex Steel Toilet Brush</t>
  </si>
  <si>
    <t>70537_JJ</t>
  </si>
  <si>
    <t>JOSEPH JOSEPH Flex Store Toilet Brush with XL Caddy (Grey/White)</t>
  </si>
  <si>
    <t>60184_JJ</t>
  </si>
  <si>
    <t>JOSEPH JOSEPH Folio 4 Piece Large (Graphite)</t>
  </si>
  <si>
    <t>60186_JJ</t>
  </si>
  <si>
    <t>JOSEPH JOSEPH Folio 4 Piece Regular (Graphite)</t>
  </si>
  <si>
    <t>60219_JJ</t>
  </si>
  <si>
    <t>JOSEPH JOSEPH Folio Icon 4 Piece Large Chopping Board Set</t>
  </si>
  <si>
    <t>60218_JJ</t>
  </si>
  <si>
    <t>JOSEPH JOSEPH Folio Icon 4 Piece Regular Chopping Board Set</t>
  </si>
  <si>
    <t>60226_JJ</t>
  </si>
  <si>
    <t>JOSEPH JOSEPH Folio Icon Steel 4 Piece Board Set</t>
  </si>
  <si>
    <t>60197_JJ</t>
  </si>
  <si>
    <t>JOSEPH JOSEPH Folio Large (Sage)</t>
  </si>
  <si>
    <t>60193_JJ</t>
  </si>
  <si>
    <t>JOSEPH JOSEPH Folio Large Chopping Board Set (Sky)</t>
  </si>
  <si>
    <t>60171_JJ</t>
  </si>
  <si>
    <t>JOSEPH JOSEPH Folio Steel (Black)</t>
  </si>
  <si>
    <t>60172_JJ</t>
  </si>
  <si>
    <t>Joseph Joseph Folio Steel (Rose Gold)</t>
  </si>
  <si>
    <t>60170_JJ</t>
  </si>
  <si>
    <t>Joseph Joseph Folio Steel (Silver)</t>
  </si>
  <si>
    <t>60229_JJ</t>
  </si>
  <si>
    <t>JOSEPH JOSEPH Folio Steel Bamboo 3 Piece Board Set</t>
  </si>
  <si>
    <t>20065_JJ</t>
  </si>
  <si>
    <t>JOSEPH JOSEPH Garlic Rocker Zinc</t>
  </si>
  <si>
    <t>50006_JJ</t>
  </si>
  <si>
    <t>JOSEPH JOSEPH Glide Plus Easy-Store Ironing Board With Advanced Cover (Black/Blue)</t>
  </si>
  <si>
    <t>20112_JJ</t>
  </si>
  <si>
    <t>JOSEPH JOSEPH Goavocado</t>
  </si>
  <si>
    <t>40108_JJ</t>
  </si>
  <si>
    <t>JOSEPH JOSEPH Grip-Pin Rolling Pin</t>
  </si>
  <si>
    <t>63802_JJ</t>
  </si>
  <si>
    <t>JOSEPH JOSEPH Handi-Grate 2-In-1 Mini Grater/Slicer</t>
  </si>
  <si>
    <t>63803_JJ</t>
  </si>
  <si>
    <t>JOSEPH JOSEPH Handi-Zest Zester With Blade Wiper</t>
  </si>
  <si>
    <t>20101X_JJ</t>
  </si>
  <si>
    <t>JOSEPH JOSEPH Helix Citrus Press</t>
  </si>
  <si>
    <t>20102_JJ</t>
  </si>
  <si>
    <t>JOSEPH JOSEPH Helix Garlic Press</t>
  </si>
  <si>
    <t>50023_JJ</t>
  </si>
  <si>
    <t>JOSEPH JOSEPH Hold-All Collapsible Laundry Basket 35L (Grey)</t>
  </si>
  <si>
    <t>60134_JJ</t>
  </si>
  <si>
    <t>JOSEPH JOSEPH Index Board Large (Silver)</t>
  </si>
  <si>
    <t>60131_JJ</t>
  </si>
  <si>
    <t>JOSEPH JOSEPH Index Chopping Board</t>
  </si>
  <si>
    <t>60168_JJ</t>
  </si>
  <si>
    <t>JOSEPH JOSEPH Index Large (Sky)</t>
  </si>
  <si>
    <t>105551_JJ</t>
  </si>
  <si>
    <t>JOSEPH JOSEPH Luxe Toothbrush Caddy &amp; Soap Dish (S/S) (Large)</t>
  </si>
  <si>
    <t>105550_JJ</t>
  </si>
  <si>
    <t>JOSEPH JOSEPH Luxe Toothbrush Caddy &amp; Soap Dish (S/S) (Small)</t>
  </si>
  <si>
    <t>40105_JJ</t>
  </si>
  <si>
    <t>JOSEPH JOSEPH Measure Up Spoon (Blue)</t>
  </si>
  <si>
    <t>95036_JJ</t>
  </si>
  <si>
    <t>JOSEPH JOSEPH Milltop Salt &amp; Pepper Set (Grey)</t>
  </si>
  <si>
    <t>20157_JJ</t>
  </si>
  <si>
    <t>JOSEPH JOSEPH Milltop Salt &amp; Pepper Set (Sky)</t>
  </si>
  <si>
    <t>20190_JJ</t>
  </si>
  <si>
    <t>JOSEPH JOSEPH Milltop Wood Pepper Grinder</t>
  </si>
  <si>
    <t>20191_JJ</t>
  </si>
  <si>
    <t>JOSEPH JOSEPH Milltop Wood Salt Grinder</t>
  </si>
  <si>
    <t>20186_JJ</t>
  </si>
  <si>
    <t>JOSEPH JOSEPH Multi-Grip Mandoline Plus</t>
  </si>
  <si>
    <t>20222_JJ</t>
  </si>
  <si>
    <t>JOSEPH JOSEPH Multi-Prep Compact 4 Piece Prep Set</t>
  </si>
  <si>
    <t>20154_JJ</t>
  </si>
  <si>
    <t>JOSEPH JOSEPH Multi-Prep Salad Prep Set</t>
  </si>
  <si>
    <t>99997_JJ</t>
  </si>
  <si>
    <t>JOSEPH JOSEPH Nest 9 Piece Set (Multi)</t>
  </si>
  <si>
    <t>40112_JJ</t>
  </si>
  <si>
    <t>JOSEPH JOSEPH Nest 9 Piece Set (Sage)</t>
  </si>
  <si>
    <t>40101_JJ</t>
  </si>
  <si>
    <t>JOSEPH JOSEPH Nest 9 Plus 9-Piece Food Preparation Set (Sky)</t>
  </si>
  <si>
    <t>60167_JJ</t>
  </si>
  <si>
    <t>Joseph Joseph Nest Boards Large - Editions (Sky)</t>
  </si>
  <si>
    <t>60194_JJ</t>
  </si>
  <si>
    <t>JOSEPH JOSEPH Nest Boards Plus Knives</t>
  </si>
  <si>
    <t>81105X_JJ</t>
  </si>
  <si>
    <t>JOSEPH JOSEPH Nest Lock 5-Piece Container Set (Sky)</t>
  </si>
  <si>
    <t>98999_JJ</t>
  </si>
  <si>
    <t>JOSEPH JOSEPH Nest Measuring Cup (Sky)</t>
  </si>
  <si>
    <t>10124_JJ</t>
  </si>
  <si>
    <t>JOSEPH JOSEPH Nest Utensils Plus</t>
  </si>
  <si>
    <t>10526_JJ</t>
  </si>
  <si>
    <t>JOSEPH JOSEPH Nest Utensils Plus (Sky)</t>
  </si>
  <si>
    <t>50010_JJ</t>
  </si>
  <si>
    <t>JOSEPH JOSEPH Pocket Plus Folding Table-Top Ironing Board</t>
  </si>
  <si>
    <t>81106X_JJ</t>
  </si>
  <si>
    <t>JOSEPH JOSEPH Podium 5-Piece Storage Container Set (Sky)</t>
  </si>
  <si>
    <t>981002_JJ</t>
  </si>
  <si>
    <t>JOSEPH JOSEPH Pop Chopping Mats (Sky)</t>
  </si>
  <si>
    <t>10302_JJ</t>
  </si>
  <si>
    <t>JOSEPH JOSEPH Powergrip Kitchen Scissors</t>
  </si>
  <si>
    <t>42287_JJ</t>
  </si>
  <si>
    <t>JOSEPH JOSEPH Quicksnap Plus (Green)</t>
  </si>
  <si>
    <t>45037_JJ</t>
  </si>
  <si>
    <t>Joseph Joseph Space 15cm Non-Stick Saucepan</t>
  </si>
  <si>
    <t>45038_JJ</t>
  </si>
  <si>
    <t>Joseph Joseph Space 19cm Non-Stick Saucepan</t>
  </si>
  <si>
    <t>45040_JJ</t>
  </si>
  <si>
    <t>Joseph Joseph Space 20cm Non-Stick Frying Pan</t>
  </si>
  <si>
    <t>45039_JJ</t>
  </si>
  <si>
    <t>Joseph Joseph Space 23cm Non-Stick Saucepan</t>
  </si>
  <si>
    <t>45041_JJ</t>
  </si>
  <si>
    <t>Joseph Joseph Space 24cm Non-Stick Frying Pan</t>
  </si>
  <si>
    <t>45045_JJ</t>
  </si>
  <si>
    <t>Joseph Joseph Space 25cm Non-Stick Stock Pot</t>
  </si>
  <si>
    <t>45042_JJ</t>
  </si>
  <si>
    <t>Joseph Joseph Space 28cm Non-Stick Frying Pan</t>
  </si>
  <si>
    <t>45044_JJ</t>
  </si>
  <si>
    <t>Joseph Joseph Space 28cm Non-Stick Saute Pan</t>
  </si>
  <si>
    <t>45046_JJ</t>
  </si>
  <si>
    <t>Joseph Joseph Space 28cm Non-Stick Shallow Casserole &amp; Lid</t>
  </si>
  <si>
    <t>45051_JJ</t>
  </si>
  <si>
    <t>Joseph Joseph Space 2pc Non-Stick Fry Pan Set</t>
  </si>
  <si>
    <t>45043_JJ</t>
  </si>
  <si>
    <t>Joseph Joseph Space 30cm Non-Stick Frying Pan</t>
  </si>
  <si>
    <t>45048_JJ</t>
  </si>
  <si>
    <t>Joseph Joseph Space 32cm Non-Stick Wok</t>
  </si>
  <si>
    <t>45049_JJ</t>
  </si>
  <si>
    <t>Joseph Joseph Space 3pc Non-Stick Saucepan Set</t>
  </si>
  <si>
    <t>20105_JJ</t>
  </si>
  <si>
    <t>Joseph Joseph Spiro Spiraliser</t>
  </si>
  <si>
    <t>20158_JJ</t>
  </si>
  <si>
    <t>JOSEPH JOSEPH Spiro Spiralizer (Sky)</t>
  </si>
  <si>
    <t>40088X_JJ</t>
  </si>
  <si>
    <t>JOSEPH JOSEPH Square Colander (Green)</t>
  </si>
  <si>
    <t>30016_JJ</t>
  </si>
  <si>
    <t>JOSEPH JOSEPH Stack 4 (Graphite)</t>
  </si>
  <si>
    <t>30108_JJ</t>
  </si>
  <si>
    <t>Joseph Joseph Stack 4 - Editions (Sky)</t>
  </si>
  <si>
    <t>70530_JJ</t>
  </si>
  <si>
    <t>JOSEPH JOSEPH Steel Toothbrush Caddy</t>
  </si>
  <si>
    <t>70531_JJ</t>
  </si>
  <si>
    <t>Joseph Joseph Steel Toothbursh Caddy Large</t>
  </si>
  <si>
    <t>70033X_JJ</t>
  </si>
  <si>
    <t>JOSEPH JOSEPH Stretch Trivet (Black)</t>
  </si>
  <si>
    <t>42272_JJ</t>
  </si>
  <si>
    <t>JOSEPH JOSEPH Switch Scale (Grey)</t>
  </si>
  <si>
    <t>50002_JJ</t>
  </si>
  <si>
    <t>JOSEPH JOSEPH Tota 60L Laundry Separation Basket (Carbon Black)</t>
  </si>
  <si>
    <t>50019_JJ</t>
  </si>
  <si>
    <t>JOSEPH JOSEPH Tota 60L Laundry Separation Basket (Ecru)</t>
  </si>
  <si>
    <t>50001_JJ</t>
  </si>
  <si>
    <t>JOSEPH JOSEPH Tota 60L Laundry Separation Basket (Grey)</t>
  </si>
  <si>
    <t>50004_JJ</t>
  </si>
  <si>
    <t>JOSEPH JOSEPH Tota 90L Laundry Separation Basket  (Carbon Black)</t>
  </si>
  <si>
    <t>50020_JJ</t>
  </si>
  <si>
    <t>JOSEPH JOSEPH Tota 90L Laundry Separation Basket (Ecru)</t>
  </si>
  <si>
    <t>50003_JJ</t>
  </si>
  <si>
    <t>JOSEPH JOSEPH Tota 90L Laundry Separation Basket (Grey)</t>
  </si>
  <si>
    <t>50025_JJ</t>
  </si>
  <si>
    <t>JOSEPH JOSEPH Tota Trio 90L Laundry Separation Basket (Black)</t>
  </si>
  <si>
    <t>50021_JJ</t>
  </si>
  <si>
    <t>JOSEPH JOSEPH Tota Trio 90L Laundry Separation Basket (Ecru)</t>
  </si>
  <si>
    <t>50024_JJ</t>
  </si>
  <si>
    <t>JOSEPH JOSEPH Tota Trio 90L Laundry Separation Basket (Grey)</t>
  </si>
  <si>
    <t>30063_JJ</t>
  </si>
  <si>
    <t>JOSEPH JOSEPH Totem 40L Bin (Stainless Steel)</t>
  </si>
  <si>
    <t>30061_JJ</t>
  </si>
  <si>
    <t>JOSEPH JOSEPH Totem 60L Bin (Stone)</t>
  </si>
  <si>
    <t>42267_JJ</t>
  </si>
  <si>
    <t>JOSEPH JOSEPH Twist Grater Coarse &amp; Fine</t>
  </si>
  <si>
    <t>10539_JJ</t>
  </si>
  <si>
    <t>JOSEPH JOSEPH Twist Whisk (Grey/Green)</t>
  </si>
  <si>
    <t>75005_JJ</t>
  </si>
  <si>
    <t>JOSEPH JOSEPH Viva Large Organiser with Removable Mirror</t>
  </si>
  <si>
    <t>85056_JJ</t>
  </si>
  <si>
    <t>JOSEPH JOSEPH Wash&amp;Drain Washing Up Bowl</t>
  </si>
  <si>
    <t>LOGITECH</t>
  </si>
  <si>
    <t>960-001196</t>
  </si>
  <si>
    <t>LOGITECH 4K Pro Webcam</t>
  </si>
  <si>
    <t>960-000939</t>
  </si>
  <si>
    <t>Logitech BCC950 ConferenceCam</t>
  </si>
  <si>
    <t>980-000914</t>
  </si>
  <si>
    <t>Logitech Bluetooth Audio Receiver</t>
  </si>
  <si>
    <t>960-001105</t>
  </si>
  <si>
    <t>Logitech BRIO UHD 4K Webcam</t>
  </si>
  <si>
    <t>960-000584</t>
  </si>
  <si>
    <t>LOGITECH C270 HD 720p Webcam</t>
  </si>
  <si>
    <t>960-001370</t>
  </si>
  <si>
    <t>Logitech C505 HD 720p Webcam</t>
  </si>
  <si>
    <t>960-000770</t>
  </si>
  <si>
    <t>LOGITECH C920 HD Pro 1080p Webcam</t>
  </si>
  <si>
    <t>960-001090</t>
  </si>
  <si>
    <t>Logitech C922 Pro Stream Webcam</t>
  </si>
  <si>
    <t>960-001075</t>
  </si>
  <si>
    <t>Logitech C925e Wide Angle Webcam</t>
  </si>
  <si>
    <t>960-000976</t>
  </si>
  <si>
    <t>Logitech C930e HD Pro Wide Angle 1080p Webcam</t>
  </si>
  <si>
    <t>960-001035</t>
  </si>
  <si>
    <t>Logitech ConferenceCam Connect Portable - Silver</t>
  </si>
  <si>
    <t>941-000132</t>
  </si>
  <si>
    <t>Logitech Driving Force Shifter for G29 and G920</t>
  </si>
  <si>
    <t>942-000008</t>
  </si>
  <si>
    <t>Logitech Extreme 3D Pro USB PC Joystick</t>
  </si>
  <si>
    <t>940-000112</t>
  </si>
  <si>
    <t>Logitech F310 PC Gamepad Controller</t>
  </si>
  <si>
    <t>940-000119</t>
  </si>
  <si>
    <t>Logitech F710 USB Wireless PC Gamepad Controller</t>
  </si>
  <si>
    <t>945-000063</t>
  </si>
  <si>
    <t>Logitech G Farm Simulator Heavy Equipment Bundle</t>
  </si>
  <si>
    <t>945-000058</t>
  </si>
  <si>
    <t>Logitech G Pro Flight Control System X56 Rhino</t>
  </si>
  <si>
    <t>910-005274</t>
  </si>
  <si>
    <t>Logitech G Pro Wireless Gaming Mouse</t>
  </si>
  <si>
    <t>981-000820</t>
  </si>
  <si>
    <t>Logitech G Pro X Gaming Headset 7.1 Surround Gaming Headset</t>
  </si>
  <si>
    <t>920-009239</t>
  </si>
  <si>
    <t>Logitech G PRO X Wired RGB Mechanical Gaming Keyboard</t>
  </si>
  <si>
    <t>981-000909</t>
  </si>
  <si>
    <t>Logitech G Pro X Wireless LIGHTSPEED Gaming Headset</t>
  </si>
  <si>
    <t>910-005792</t>
  </si>
  <si>
    <t>Logitech G203 LIGHTSYNC Gaming Mouse - Blue</t>
  </si>
  <si>
    <t>910-005851</t>
  </si>
  <si>
    <t>Logitech G203 LIGHTSYNC Gaming Mouse - Lilac</t>
  </si>
  <si>
    <t>910-005791</t>
  </si>
  <si>
    <t>Logitech G203 LIGHTSYNC Gaming Mouse - White</t>
  </si>
  <si>
    <t>943-000046</t>
  </si>
  <si>
    <t>Logitech G240 Gaming Mouse Mat</t>
  </si>
  <si>
    <t>941-000115</t>
  </si>
  <si>
    <t>Logitech G29 Driving Force Racing Wheel for PS4 and PS3</t>
  </si>
  <si>
    <t>910-006039</t>
  </si>
  <si>
    <t>Logitech G305 LIGHTSPEED Wireless Gaming Mouse - Blue</t>
  </si>
  <si>
    <t>910-006040</t>
  </si>
  <si>
    <t>Logitech G305 LIGHTSPEED Wireless Gaming Mouse - Lilac</t>
  </si>
  <si>
    <t>910-006042</t>
  </si>
  <si>
    <t>Logitech G305 LIGHTSPEED Wireless Gaming Mouse - White</t>
  </si>
  <si>
    <t>981-000823</t>
  </si>
  <si>
    <t>Logitech G332 Wired Gaming Headset</t>
  </si>
  <si>
    <t>981-001025</t>
  </si>
  <si>
    <t>Logitech G335 Wired Gaming Headset (Mint)</t>
  </si>
  <si>
    <t>981-001019</t>
  </si>
  <si>
    <t>Logitech G335 Wired Gaming Headset (White)</t>
  </si>
  <si>
    <t>943-000052</t>
  </si>
  <si>
    <t>Logitech G440 Gaming Mouse Mat</t>
  </si>
  <si>
    <t>910-005569</t>
  </si>
  <si>
    <t>Logitech G502 Lightspeed Wireless Tunable Gaming Mouse</t>
  </si>
  <si>
    <t>920-009372</t>
  </si>
  <si>
    <t>Logitech G512 Carbon RGB Linear Mechanical Gaming Keyboard</t>
  </si>
  <si>
    <t>981-000636</t>
  </si>
  <si>
    <t>Logitech G533 Wireless DTS 7.1 Surround Gaming Headset</t>
  </si>
  <si>
    <t>910-005651</t>
  </si>
  <si>
    <t>Logitech G604 LIGHTSPEED Wireless Gaming Mouse</t>
  </si>
  <si>
    <t>920-008402</t>
  </si>
  <si>
    <t>Logitech G613 Wireless Mechanical Gaming Keyboard</t>
  </si>
  <si>
    <t>981-000826</t>
  </si>
  <si>
    <t>Logitech G635 Surround Sound LIGHTSYNC Gaming Headset</t>
  </si>
  <si>
    <t>943-000061</t>
  </si>
  <si>
    <t>Logitech G640 Gaming Mouse Mat</t>
  </si>
  <si>
    <t>910-005642</t>
  </si>
  <si>
    <t>Logitech G703 Wireless Gaming Mouse w HERO 16K Sensor</t>
  </si>
  <si>
    <t>981-000893</t>
  </si>
  <si>
    <t>Logitech G733 LIGHTSPEED Wireless RGB Gaming Headset - Lilac</t>
  </si>
  <si>
    <t>920-009223</t>
  </si>
  <si>
    <t>Logitech G815 Lightsync RGB Mechanical Gaming Keyboard Linear</t>
  </si>
  <si>
    <t>910-005674</t>
  </si>
  <si>
    <t>Logitech G903 Lightspeed HERO Gaming Mouse</t>
  </si>
  <si>
    <t>920-009227</t>
  </si>
  <si>
    <t>Logitech G915 Lightspeed W/L RGB Mechanical Gaming Keyboard Linear</t>
  </si>
  <si>
    <t>920-009226</t>
  </si>
  <si>
    <t>Logitech G915 Lightspeed W/L RGB Mechanical Gaming Keyboard Tactile</t>
  </si>
  <si>
    <t>920-009660</t>
  </si>
  <si>
    <t>Logitech G915 TKL LIGHTSPEED W/L Mechanical Gaming Keyboard - White</t>
  </si>
  <si>
    <t>920-009529</t>
  </si>
  <si>
    <t>Logitech G915 TKL Lightspeed W/L RGB Mechanical Gaming Keyboard Clicky</t>
  </si>
  <si>
    <t>920-009512</t>
  </si>
  <si>
    <t>Logitech G915 TKL Lightspeed W/L RGB Mechanical Gaming Keyboard Linear</t>
  </si>
  <si>
    <t>920-009495</t>
  </si>
  <si>
    <t>941-000126</t>
  </si>
  <si>
    <t>Logitech G920 Driving Force Racing Wheel for Xbox One and PC</t>
  </si>
  <si>
    <t>989-000171</t>
  </si>
  <si>
    <t>Logitech GROUP Expansion Mics</t>
  </si>
  <si>
    <t>939-001487</t>
  </si>
  <si>
    <t>Logitech GROUP Extension Cable 10m</t>
  </si>
  <si>
    <t>939-001490</t>
  </si>
  <si>
    <t>Logitech GROUP Extension Cable 15m</t>
  </si>
  <si>
    <t>960-001054</t>
  </si>
  <si>
    <t>Logitech GROUP Video Conferencing System</t>
  </si>
  <si>
    <t>981-000459</t>
  </si>
  <si>
    <t>Logitech H110 Stereo Headset with Noise-Cancelling Microphone</t>
  </si>
  <si>
    <t>981-000587</t>
  </si>
  <si>
    <t>Logitech H151 Stereo Headset</t>
  </si>
  <si>
    <t>981-000477</t>
  </si>
  <si>
    <t>Logitech H340 USB Over Head Headset</t>
  </si>
  <si>
    <t>981-000485</t>
  </si>
  <si>
    <t>Logitech H390 USB Headset</t>
  </si>
  <si>
    <t>981-000574</t>
  </si>
  <si>
    <t>LOGITECH H570e USB Stereo Headset</t>
  </si>
  <si>
    <t>981-000462</t>
  </si>
  <si>
    <t>Logitech H600 USB Wireless Headset</t>
  </si>
  <si>
    <t>981-000544</t>
  </si>
  <si>
    <t>Logitech H650e USB Mono Headset w/ Pro-Quality Audio</t>
  </si>
  <si>
    <t>981-000545</t>
  </si>
  <si>
    <t>Logitech H650e USB Stereo Headset w/ Pro-Quality Audio</t>
  </si>
  <si>
    <t>981-000458</t>
  </si>
  <si>
    <t>Logitech H800 USB Wireless/Bluetooth Headset</t>
  </si>
  <si>
    <t>915-000244</t>
  </si>
  <si>
    <t>Logitech Harmony 350 Remote</t>
  </si>
  <si>
    <t>915-000173</t>
  </si>
  <si>
    <t>Logitech Harmony 650 Remote</t>
  </si>
  <si>
    <t>915-000265</t>
  </si>
  <si>
    <t>Logitech Harmony Companion</t>
  </si>
  <si>
    <t>915-000258</t>
  </si>
  <si>
    <t>Logitech Harmony Elite Universal Remote</t>
  </si>
  <si>
    <t>920-002582</t>
  </si>
  <si>
    <t>Logitech K120 USB Keyboard</t>
  </si>
  <si>
    <t>920-003357</t>
  </si>
  <si>
    <t>Logitech K230 Compact Wireless Keyboard</t>
  </si>
  <si>
    <t>920-003057</t>
  </si>
  <si>
    <t>Logitech K270 Unifying Wireless Keyboard</t>
  </si>
  <si>
    <t>920-008250</t>
  </si>
  <si>
    <t>Logitech K375s Multi-Device Wireless Keyboard</t>
  </si>
  <si>
    <t>920-007596</t>
  </si>
  <si>
    <t>Logitech K380 Multi-Device Bluetooth Keyboard - Black</t>
  </si>
  <si>
    <t>920-007165</t>
  </si>
  <si>
    <t>Logitech K400 Plus Wireless Keyboard with Touch Pad Black</t>
  </si>
  <si>
    <t>920-006380</t>
  </si>
  <si>
    <t>Logitech K480 Bluetooth Tablet/Smartphone Keyboard Black</t>
  </si>
  <si>
    <t>920-009210</t>
  </si>
  <si>
    <t>Logitech K580 Multi-Device Wireless Keyboard - Grey</t>
  </si>
  <si>
    <t>920-009211</t>
  </si>
  <si>
    <t>Logitech K580 Multi-Device Wireless Keyboard - White</t>
  </si>
  <si>
    <t>920-004631</t>
  </si>
  <si>
    <t>Logitech K750r Wireless Solar Keyboard - Black</t>
  </si>
  <si>
    <t>920-008028</t>
  </si>
  <si>
    <t>Logitech K780 Bluetooth Wireless Keyboard</t>
  </si>
  <si>
    <t>920-002361</t>
  </si>
  <si>
    <t>Logitech K800 Wireless Illuminated Keyboard</t>
  </si>
  <si>
    <t>920-010111</t>
  </si>
  <si>
    <t>LOGITECH K860 Ergonomic Wireless Keyboard</t>
  </si>
  <si>
    <t>920-010040</t>
  </si>
  <si>
    <t>LOGITECH Keys-to-Go Keyboard (Blue)</t>
  </si>
  <si>
    <t>910-006479</t>
  </si>
  <si>
    <t>LOGITECH Lift Ergo Mouse (Graphite)</t>
  </si>
  <si>
    <t>910-002920</t>
  </si>
  <si>
    <t>Logitech M105 USB Mouse - Black</t>
  </si>
  <si>
    <t>910-004655</t>
  </si>
  <si>
    <t>Logitech M171 USB Wireless Mouse - Black</t>
  </si>
  <si>
    <t>910-004656</t>
  </si>
  <si>
    <t>Logitech M171 USB Wireless Mouse - Blue</t>
  </si>
  <si>
    <t>910-004657</t>
  </si>
  <si>
    <t>Logitech M171 USB Wireless Mouse - Red</t>
  </si>
  <si>
    <t>910-002502</t>
  </si>
  <si>
    <t>Logitech M185 USB Wireless Compact Mouse - Blue</t>
  </si>
  <si>
    <t>910-002255</t>
  </si>
  <si>
    <t>Logitech M185 USB Wireless Compact Mouse - Dark Grey</t>
  </si>
  <si>
    <t>910-002503</t>
  </si>
  <si>
    <t>Logitech M185 USB Wireless Compact Mouse - Red</t>
  </si>
  <si>
    <t>910-005371</t>
  </si>
  <si>
    <t>Logitech M187 USB Wireless Mini Mouse - Black</t>
  </si>
  <si>
    <t>910-005380</t>
  </si>
  <si>
    <t>Logitech M187 USB Wireless Mini Mouse - White</t>
  </si>
  <si>
    <t>910-005913</t>
  </si>
  <si>
    <t>Logitech M190 Full Size Wireless Mouse - Charcoal</t>
  </si>
  <si>
    <t>910-005914</t>
  </si>
  <si>
    <t>LOGITECH M190 USB Wireless Fullsize Mouse (Blue)</t>
  </si>
  <si>
    <t>910-004882</t>
  </si>
  <si>
    <t>Logitech M221 Silent Wireless Mouse Black</t>
  </si>
  <si>
    <t>910-004883</t>
  </si>
  <si>
    <t>Logitech M221 Silent Wireless Mouse Blue</t>
  </si>
  <si>
    <t>910-004295</t>
  </si>
  <si>
    <t>Logitech M280 USB Wireless Full Size Mouse - Black</t>
  </si>
  <si>
    <t>910-003988</t>
  </si>
  <si>
    <t>Logitech M310T USB Wireless Full Size Mouse - Silver</t>
  </si>
  <si>
    <t>910-002151</t>
  </si>
  <si>
    <t>Logitech M325 USB Wireless Compact Mouse - Dark Grey</t>
  </si>
  <si>
    <t>910-002325</t>
  </si>
  <si>
    <t>Logitech M325 USB Wireless Compact Mouse - Grey</t>
  </si>
  <si>
    <t>910-004914</t>
  </si>
  <si>
    <t>Logitech M331 Silent Plus USB Wireless Mouse</t>
  </si>
  <si>
    <t>910-004916</t>
  </si>
  <si>
    <t>Logitech M331 Silent Plus USB Wireless Red</t>
  </si>
  <si>
    <t>910-005601</t>
  </si>
  <si>
    <t>Logitech M350 Pebble USB Wireless/Bluetooth Mouse - Blush Rose</t>
  </si>
  <si>
    <t>910-005602</t>
  </si>
  <si>
    <t>Logitech M350 Pebble USB Wireless/Bluetooth Mouse - Graphite</t>
  </si>
  <si>
    <t>910-005600</t>
  </si>
  <si>
    <t>Logitech M350 Pebble USB Wireless/Bluetooth Mouse - White</t>
  </si>
  <si>
    <t>910-001822</t>
  </si>
  <si>
    <t>Logitech M510 USB Wireless Full Size Mouse - Black</t>
  </si>
  <si>
    <t>910-003960</t>
  </si>
  <si>
    <t>Logitech M557 Bluetooth Wireless Mouse - Dark Grey</t>
  </si>
  <si>
    <t>910-005117</t>
  </si>
  <si>
    <t>Logitech M585 Bluetooth &amp; Wireless Mouse w/ Flow</t>
  </si>
  <si>
    <t>910-001963</t>
  </si>
  <si>
    <t>LOGITECH M705 Marathon USB Wireless Laser Mouse</t>
  </si>
  <si>
    <t>910-001795</t>
  </si>
  <si>
    <t>Logitech M90 USB Wired Full Size Mouse</t>
  </si>
  <si>
    <t>960-001101</t>
  </si>
  <si>
    <t>Logitech MeetUp 4K ConferenceCam</t>
  </si>
  <si>
    <t>939-001498</t>
  </si>
  <si>
    <t>Logitech MeetUp 4K ConferenceCam Mount</t>
  </si>
  <si>
    <t>939-001656</t>
  </si>
  <si>
    <t>Logitech MeetUp 4K ConferenceCam XL Mounting Bracket</t>
  </si>
  <si>
    <t>989-000405</t>
  </si>
  <si>
    <t>Logitech MeetUp Expansion Mic</t>
  </si>
  <si>
    <t>950-000005</t>
  </si>
  <si>
    <t>Logitech MeetUp Expansion Mic Extension Cable 10m</t>
  </si>
  <si>
    <t>920-002586</t>
  </si>
  <si>
    <t>Logitech MK120 USB Wired Keyboard and Mouse</t>
  </si>
  <si>
    <t>920-002693</t>
  </si>
  <si>
    <t>Logitech MK200 Wired USB Keyboard and Mouse</t>
  </si>
  <si>
    <t>920-007937</t>
  </si>
  <si>
    <t>Logitech MK235 Wireless Keyboard and Mouse</t>
  </si>
  <si>
    <t>920-006314</t>
  </si>
  <si>
    <t>Logitech MK270R Wireless Keyboard and Mouse</t>
  </si>
  <si>
    <t>920-009814</t>
  </si>
  <si>
    <t>LOGITECH MK295 Silent Wireless Combo</t>
  </si>
  <si>
    <t>920-009068</t>
  </si>
  <si>
    <t>Logitech MK315 Quiet Keyboard and Mouse - Wireless</t>
  </si>
  <si>
    <t>920-006491</t>
  </si>
  <si>
    <t>LOGITECH MK345 Wireless Keyboard and Mouse</t>
  </si>
  <si>
    <t>920-009183</t>
  </si>
  <si>
    <t>Logitech MK470 Slim W/L Desktop Kit - White</t>
  </si>
  <si>
    <t>920-009182</t>
  </si>
  <si>
    <t>LOGITECH MK470 Slim Wireless Desktop Kit (Black)</t>
  </si>
  <si>
    <t>920-008696</t>
  </si>
  <si>
    <t>LOGITECH MK545 Advanced Wireless Keyboard and Mouse</t>
  </si>
  <si>
    <t>920-002555</t>
  </si>
  <si>
    <t>Logitech MK550 Unifying Wireless Wave Keyboard and Mouse</t>
  </si>
  <si>
    <t>920-008233</t>
  </si>
  <si>
    <t>LOGITECH MK850 Performance Wireless Keyboard and Mouse</t>
  </si>
  <si>
    <t>910-005156</t>
  </si>
  <si>
    <t>Logitech MX Anywhere 2S Bluetooth &amp; Wireless Mouse w/ Flow</t>
  </si>
  <si>
    <t>910-005992</t>
  </si>
  <si>
    <t>Logitech MX Anywhere 3 Mouse - Graphite</t>
  </si>
  <si>
    <t>910-005993</t>
  </si>
  <si>
    <t>Logitech MX Anywhere 3 Mouse - Pale Grey</t>
  </si>
  <si>
    <t>910-005994</t>
  </si>
  <si>
    <t>Logitech MX Anywhere 3 Mouse - Rose</t>
  </si>
  <si>
    <t>910-005180</t>
  </si>
  <si>
    <t>Logitech MX Ergo Wireless Trackball</t>
  </si>
  <si>
    <t>920-009418</t>
  </si>
  <si>
    <t>LOGITECH MX Keys Advanced Wireless Illuminated Keyboard</t>
  </si>
  <si>
    <t>920-010937</t>
  </si>
  <si>
    <t>LOGITECH MX Keys and MX Master Combo for Business (Gen 2)</t>
  </si>
  <si>
    <t>920-010505</t>
  </si>
  <si>
    <t>LOGITECH MX Keys Mini Wireless Illuminated Keyboard (Graphite)</t>
  </si>
  <si>
    <t>920-010506</t>
  </si>
  <si>
    <t>LOGITECH MX Keys Mini Wireless Illuminated Keyboard (Grey)</t>
  </si>
  <si>
    <t>920-010528</t>
  </si>
  <si>
    <t>Logitech MX Keys Mini Wireless Illuminated Keyboard - Mac</t>
  </si>
  <si>
    <t>920-010507</t>
  </si>
  <si>
    <t>Logitech MX Keys Mini Wireless Illuminated Keyboard - Rose</t>
  </si>
  <si>
    <t>910-005698</t>
  </si>
  <si>
    <t>Logitech MX Master 3 Advanced Wireless Mouse</t>
  </si>
  <si>
    <t>910-005710</t>
  </si>
  <si>
    <t>Logitech MX Master 3 Advanced Wireless Mouse B2B Version</t>
  </si>
  <si>
    <t>910-006561</t>
  </si>
  <si>
    <t>LOGITECH MX Master 3s Performance Wireless Mouse</t>
  </si>
  <si>
    <t>910-005449</t>
  </si>
  <si>
    <t>Logitech MX Vertical Advanced Ergonomic Mouse</t>
  </si>
  <si>
    <t>980-000744</t>
  </si>
  <si>
    <t>Logitech P710e Mobile Speakerphone</t>
  </si>
  <si>
    <t>956-000032</t>
  </si>
  <si>
    <t>LOGITECH POP Desk Mat / Mousepad (Lavender)</t>
  </si>
  <si>
    <t>956-000046</t>
  </si>
  <si>
    <t>LOGITECH POP Desk Mat/ Mousepad (Mid Grey)</t>
  </si>
  <si>
    <t>956-000045</t>
  </si>
  <si>
    <t>LOGITECH POP Desk Mat/ Mousepad (Rose)</t>
  </si>
  <si>
    <t>920-010577</t>
  </si>
  <si>
    <t>LOGITECH POP Keys Wireless Mechanical Keyboard w/Emoji (Blast Yellow)</t>
  </si>
  <si>
    <t>920-010578</t>
  </si>
  <si>
    <t>LOGITECH POP Keys Wireless Mechanical Keyboard w/Emoji (Mint Green)</t>
  </si>
  <si>
    <t>920-010579</t>
  </si>
  <si>
    <t>LOGITECH POP Keys Wireless Mechanical Keyboard w/Emoji (Rose)</t>
  </si>
  <si>
    <t>910-006514</t>
  </si>
  <si>
    <t>LOGITECH POP Mouse with emoji (Blast Yellow)</t>
  </si>
  <si>
    <t>910-006515</t>
  </si>
  <si>
    <t>LOGITECH POP Mouse with emoji (Daydream Mint)</t>
  </si>
  <si>
    <t>910-006516</t>
  </si>
  <si>
    <t>LOGITECH POP Mouse with emoji (Heartbreaker Rose)</t>
  </si>
  <si>
    <t>943-000164</t>
  </si>
  <si>
    <t>Logitech POWERPLAY Wireless Charging System Mousemat</t>
  </si>
  <si>
    <t>945-000027</t>
  </si>
  <si>
    <t>Logitech Pro Flight Instrument Panel</t>
  </si>
  <si>
    <t>945-000028</t>
  </si>
  <si>
    <t>Logitech Pro Flight Multi Panel</t>
  </si>
  <si>
    <t>945-000029</t>
  </si>
  <si>
    <t>Logitech Pro Flight Radio Panel</t>
  </si>
  <si>
    <t>945-000024</t>
  </si>
  <si>
    <t>Logitech PRO Flight Rudder Pedals</t>
  </si>
  <si>
    <t>945-000030</t>
  </si>
  <si>
    <t>Logitech Pro Flight Switch Panel</t>
  </si>
  <si>
    <t>945-000032</t>
  </si>
  <si>
    <t>Logitech PRO Flight Throttle Quadrant</t>
  </si>
  <si>
    <t>945-000023</t>
  </si>
  <si>
    <t>Logitech PRO Flight Yoke System</t>
  </si>
  <si>
    <t>943-000325</t>
  </si>
  <si>
    <t>Logitech PRO X Mechanical Switches - GX Blue Clicky</t>
  </si>
  <si>
    <t>943-000326</t>
  </si>
  <si>
    <t>Logitech PRO X Mechanical Switches - GX Brown Tactile</t>
  </si>
  <si>
    <t>943-000327</t>
  </si>
  <si>
    <t>Logitech PRO X Mechanical Switches - GX Red Linear</t>
  </si>
  <si>
    <t>960-001184</t>
  </si>
  <si>
    <t>Logitech PTZ Pro 2 HD Camera</t>
  </si>
  <si>
    <t>910-005388</t>
  </si>
  <si>
    <t>Logitech R500 Laser Presentation Remote</t>
  </si>
  <si>
    <t>910-001358</t>
  </si>
  <si>
    <t>LOGITECH R800 Laser Presentation Remote</t>
  </si>
  <si>
    <t>939-001644</t>
  </si>
  <si>
    <t>Logitech Rally Mounting Kit</t>
  </si>
  <si>
    <t>960-001274</t>
  </si>
  <si>
    <t>Logitech Rally Plus Ultra-HD ConferenceCam System</t>
  </si>
  <si>
    <t>960-001226</t>
  </si>
  <si>
    <t>Logitech Rally Premium PTZ Camera (Camera Only)</t>
  </si>
  <si>
    <t>960-001219</t>
  </si>
  <si>
    <t>Logitech Rally Ultra-HD ConferenceCam System</t>
  </si>
  <si>
    <t>920-009458</t>
  </si>
  <si>
    <t>Logitech Rugged Folio For IPAD  7th &amp; 8th Gen</t>
  </si>
  <si>
    <t>939-001553</t>
  </si>
  <si>
    <t>Logitech Screen Share</t>
  </si>
  <si>
    <t>920-009469</t>
  </si>
  <si>
    <t>Logitech Slim Folio for Ipad 7th &amp; 8th Gen</t>
  </si>
  <si>
    <t>920-009575</t>
  </si>
  <si>
    <t>Logitech Slim Keyboard Folio for Ipad Air (3rd Gen)</t>
  </si>
  <si>
    <t>993-001145</t>
  </si>
  <si>
    <t>Logitech Spare Power Adapter for Group Conferencecam and Meetup</t>
  </si>
  <si>
    <t>910-004863</t>
  </si>
  <si>
    <t>Logitech Spotlight Presentation Remote Slate</t>
  </si>
  <si>
    <t>960-001283</t>
  </si>
  <si>
    <t>Logitech StreamCam - Graphite</t>
  </si>
  <si>
    <t>960-001299</t>
  </si>
  <si>
    <t>Logitech StreamCam - Off White</t>
  </si>
  <si>
    <t>952-000011</t>
  </si>
  <si>
    <t>Logitech Swytch - Laptop link for VC Meeting Rooms</t>
  </si>
  <si>
    <t>920-008334</t>
  </si>
  <si>
    <t>Logitech Universal Folio with Bluetooth Keyboard for 9"-10" Tablets</t>
  </si>
  <si>
    <t>910-005934</t>
  </si>
  <si>
    <t>Logitech USB Unifying Receiver</t>
  </si>
  <si>
    <t>939-001799</t>
  </si>
  <si>
    <t>Logitech VC Strong USB Cable 10m 10GBPS</t>
  </si>
  <si>
    <t>910-005203</t>
  </si>
  <si>
    <t>Logitech Wireless M590 Silent Bluetooth &amp; Wireless Mouse w/Flow</t>
  </si>
  <si>
    <t>945-000025</t>
  </si>
  <si>
    <t>Logitech X52 Flight Control System</t>
  </si>
  <si>
    <t>945-000022</t>
  </si>
  <si>
    <t>Logitech X52 Pro Flight Control System</t>
  </si>
  <si>
    <t>980-000862</t>
  </si>
  <si>
    <t>Logitech Z150 Black 2.0 Channel 3W Multimedia Speakers</t>
  </si>
  <si>
    <t>980-000850</t>
  </si>
  <si>
    <t>Logitech Z200 Black 2.0 Channel 5W Multimedia Speakers</t>
  </si>
  <si>
    <t>980-000944</t>
  </si>
  <si>
    <t>Logitech Z213 2.1 Channel 7W Multimedia Speakers</t>
  </si>
  <si>
    <t>980-000414</t>
  </si>
  <si>
    <t>LOGITECH Z313 2.1 Channel 25W Multimedia Speakers</t>
  </si>
  <si>
    <t>980-001204</t>
  </si>
  <si>
    <t>Logitech Z333 2.1 Channel 40W Multimedia Speakers</t>
  </si>
  <si>
    <t>980-001263</t>
  </si>
  <si>
    <t>Logitech Z337 2.1 Speakers with Bluetooth</t>
  </si>
  <si>
    <t>980-001350</t>
  </si>
  <si>
    <t>LOGITECH Z407 2.1 Speakers with Bluetooth &amp; Wireless Control</t>
  </si>
  <si>
    <t>980-001056</t>
  </si>
  <si>
    <t>Logitech Z533 2.1 Channel 60W Multimedia Speakers</t>
  </si>
  <si>
    <t>980-001318</t>
  </si>
  <si>
    <t>Logitech Z607 5.1 Surround Sound with Bluetooth</t>
  </si>
  <si>
    <t>980-000405</t>
  </si>
  <si>
    <t>LOGITECH Z623 2.1 Channel 200W Multimedia Speakers</t>
  </si>
  <si>
    <t>980-000470</t>
  </si>
  <si>
    <t>LOGITECH Z906 5.1 Channel Surround Sound 500W Multimedia Speakers</t>
  </si>
  <si>
    <t>981-000808</t>
  </si>
  <si>
    <t>Logitech Zone Plus Wireless/Bluetooth Headset</t>
  </si>
  <si>
    <t>981-000871</t>
  </si>
  <si>
    <t>Logitech Zone Teams Wired Headset</t>
  </si>
  <si>
    <t>981-000876</t>
  </si>
  <si>
    <t>Logitech Zone UC Wired Headset</t>
  </si>
  <si>
    <t>981-000799</t>
  </si>
  <si>
    <t>Logitech Zone Wireless/Bluetooth Headset</t>
  </si>
  <si>
    <t>984-001373</t>
  </si>
  <si>
    <t>ULTIMATE EARS Boom 3 - Forest Green</t>
  </si>
  <si>
    <t>984-000929</t>
  </si>
  <si>
    <t>ULTIMATE EARS MegaBlast - Black Graphite</t>
  </si>
  <si>
    <t>984-001415</t>
  </si>
  <si>
    <t>ULTIMATE EARS Megaboom 3 - Forest Green</t>
  </si>
  <si>
    <t>989-000435</t>
  </si>
  <si>
    <t>ULTIMATE EARS Power Up Charger</t>
  </si>
  <si>
    <t>984-001550</t>
  </si>
  <si>
    <t>ULTIMATE EARS WonderBoom 2 (Bermuda Blue)</t>
  </si>
  <si>
    <t>984-001548</t>
  </si>
  <si>
    <t>ULTIMATE EARS WonderBoom 2 - Crushed Ice Grey</t>
  </si>
  <si>
    <t>984-001551</t>
  </si>
  <si>
    <t>ULTIMATE EARS WonderBoom 2 - Just Peach</t>
  </si>
  <si>
    <t>984-001549</t>
  </si>
  <si>
    <t>ULTIMATE EARS WonderBoom 2 - Radical Red</t>
  </si>
  <si>
    <t>984-001641</t>
  </si>
  <si>
    <t>ULTIMATE EARS WonderBoom 2 - Unicorn</t>
  </si>
  <si>
    <t>LOGITECH G</t>
  </si>
  <si>
    <t>910-005442</t>
  </si>
  <si>
    <t>Logitech G Pro Hero Gaming Mouse</t>
  </si>
  <si>
    <t>910-006632</t>
  </si>
  <si>
    <t>LOGITECH G Pro X Superlight 2 Lightspeed Gaming Mouse (Black)</t>
  </si>
  <si>
    <t>910-006640</t>
  </si>
  <si>
    <t>LOGITECH G Pro X Superlight 2 Lightspeed Gaming Mouse (White)</t>
  </si>
  <si>
    <t>910-005882</t>
  </si>
  <si>
    <t>LOGITECH G PRO X SUPERLIGHT Wireless Gaming Mouse (Black)</t>
  </si>
  <si>
    <t>910-005944</t>
  </si>
  <si>
    <t>LOGITECH G PRO X SUPERLIGHT Wireless Gaming Mouse (White)</t>
  </si>
  <si>
    <t>910-005790</t>
  </si>
  <si>
    <t>LOGITECH G203 LIGHTSYNC Gaming Mouse (Black)</t>
  </si>
  <si>
    <t>920-008096</t>
  </si>
  <si>
    <t>LOGITECH G213 Prodigy Gaming Keyboard</t>
  </si>
  <si>
    <t>910-006041</t>
  </si>
  <si>
    <t>LOGITECH G305 LIGHTSPEED Wireless Gaming Mouse (Black)</t>
  </si>
  <si>
    <t>981-000979</t>
  </si>
  <si>
    <t>LOGITECH G335 Wired Gaming Headset (Black)</t>
  </si>
  <si>
    <t>910-004070</t>
  </si>
  <si>
    <t>Logitech G402 Hyperion Fury USB Wired Gaming Mouse</t>
  </si>
  <si>
    <t>920-010439</t>
  </si>
  <si>
    <t>LOGITECH G413 SE Mechanical Gaming Keyboard (Tactile)</t>
  </si>
  <si>
    <t>981-000824</t>
  </si>
  <si>
    <t>LOGITECH G432 Surround Sound Wired Gaming Headset</t>
  </si>
  <si>
    <t>910-005472</t>
  </si>
  <si>
    <t>LOGITECH G502 Hero USB Wired Tunable Gaming Mouse</t>
  </si>
  <si>
    <t>910-006164</t>
  </si>
  <si>
    <t>LOGITECH G502X Plus Wireless Gaming Mouse (Black)</t>
  </si>
  <si>
    <t>920-008949</t>
  </si>
  <si>
    <t>Logitech G512 Carbon RGB Blue Mechanical Gaming Keyboard</t>
  </si>
  <si>
    <t>920-009354</t>
  </si>
  <si>
    <t>LOGITECH G512 Carbon RGB Tactile Mechanical Gaming Keyboard</t>
  </si>
  <si>
    <t>981-000867</t>
  </si>
  <si>
    <t>LOGITECH G733 LIGHTSPEED Wireless RGB Gaming Headset (Black)</t>
  </si>
  <si>
    <t>981-000946</t>
  </si>
  <si>
    <t>LOGITECH G733 LIGHTSPEED Wireless RGB Gaming Headset (Blue)</t>
  </si>
  <si>
    <t>981-000886</t>
  </si>
  <si>
    <t>LOGITECH G733 LIGHTSPEED Wireless RGB Gaming Headset (White)</t>
  </si>
  <si>
    <t>920-009224</t>
  </si>
  <si>
    <t>Logitech G815 Lightsync RGB Mechanical Gaming Keyboard Clicky</t>
  </si>
  <si>
    <t>920-009222</t>
  </si>
  <si>
    <t>Logitech G815 Lightsync RGB Mechanical Gaming Keyboard Tactile</t>
  </si>
  <si>
    <t>920-009228</t>
  </si>
  <si>
    <t>Logitech G915 Lightspeed W/L RGB Mechanical Gaming Keyboard Clicky</t>
  </si>
  <si>
    <t>941-000152</t>
  </si>
  <si>
    <t>LOGITECH G923 TrueForce Driving Wheel (PS4/PC)</t>
  </si>
  <si>
    <t>941-000161</t>
  </si>
  <si>
    <t>LOGITECH G923 TrueForce Driving Wheel (Xbox/PC)</t>
  </si>
  <si>
    <t>981-000825</t>
  </si>
  <si>
    <t>LOGITECH G935 Wireless Surround Sound LIGHTSYNC Gaming Headset</t>
  </si>
  <si>
    <t>MACPAC</t>
  </si>
  <si>
    <t>119185.BLK00.10</t>
  </si>
  <si>
    <t>MACPAC Geothermal Pant V2 Womens (10)</t>
  </si>
  <si>
    <t>119183.BLK00.10</t>
  </si>
  <si>
    <t>MACPAC Long Sleeve Geothermal Womens V2 (10) (Black)</t>
  </si>
  <si>
    <t>119249.BLKOO.10</t>
  </si>
  <si>
    <t>MACPAC Tui Pullover Womens (10) (Black)</t>
  </si>
  <si>
    <t>114098.BLK00.12</t>
  </si>
  <si>
    <t>MACPAC Uber Light Down Jacket Womens (12) (Black)</t>
  </si>
  <si>
    <t>114099.BLK00.M</t>
  </si>
  <si>
    <t>MACPAC Uber Light Down Vest Mens (M) (Black)</t>
  </si>
  <si>
    <t>MAD CATZ</t>
  </si>
  <si>
    <t>AE21CDINBL000-0</t>
  </si>
  <si>
    <t>MAD CATZ ES PRO+ Gaming Ear Buds (Black)</t>
  </si>
  <si>
    <t>AF13C1INBL000-0</t>
  </si>
  <si>
    <t>MAD CATZ F.R.E.Q. 2 Gaming Headset (Black)</t>
  </si>
  <si>
    <t>AF13C2INBL000-0</t>
  </si>
  <si>
    <t>MAD CATZ F.R.E.Q. 4 Gaming Headset (Black)</t>
  </si>
  <si>
    <t>SGSNNS16BL000-0</t>
  </si>
  <si>
    <t>MAD CATZ G.L.I.D.E. 16 Gaming Surface</t>
  </si>
  <si>
    <t>SGSSNS19BL000-0</t>
  </si>
  <si>
    <t>MAD CATZ G.L.I.D.E. 19 Gaming Surface</t>
  </si>
  <si>
    <t>SGSSNS21BL000-0</t>
  </si>
  <si>
    <t>MAD CATZ G.L.I.D.E. 21 Gaming Surface</t>
  </si>
  <si>
    <t>CGPUBAINBL000-0</t>
  </si>
  <si>
    <t>MAD CATZ GYRA C1 Gaming Chair</t>
  </si>
  <si>
    <t>CGPULUINBL000-0</t>
  </si>
  <si>
    <t>MAD CATZ GYRA Gaming Chair</t>
  </si>
  <si>
    <t>MR01MCINBL000-0</t>
  </si>
  <si>
    <t>MAD CATZ R.A.T. 1+ Gaming Mouse (Black)</t>
  </si>
  <si>
    <t>MR02MCINBL000-0</t>
  </si>
  <si>
    <t>MAD CATZ R.A.T. 2+ Gaming Mouse (Black)</t>
  </si>
  <si>
    <t>MR03MCINBL000-0</t>
  </si>
  <si>
    <t>MAD CATZ R.A.T. 4+ Gaming Mouse (Black)</t>
  </si>
  <si>
    <t>MR04DCINBL000-0</t>
  </si>
  <si>
    <t>MAD CATZ R.A.T. 6+ Gaming Mouse (Black)</t>
  </si>
  <si>
    <t>MR05DCINBL000-0</t>
  </si>
  <si>
    <t>MAD CATZ R.A.T. 8+ Gaming Mouse (Black)</t>
  </si>
  <si>
    <t>MR04DHAMBL000-0</t>
  </si>
  <si>
    <t>MAD CATZ R.A.T. AIR Wireless Power Gaming Mouse</t>
  </si>
  <si>
    <t>KS63DMUSBL000-0</t>
  </si>
  <si>
    <t>MAD CATZ S.T.R.I.K.E 6 Gaming Keyboard (Black)</t>
  </si>
  <si>
    <t>KS13MRUSBL000-0</t>
  </si>
  <si>
    <t>MAD CATZ S.T.R.I.K.E. 2 Gaming Keyboard (Black)</t>
  </si>
  <si>
    <t>KS13MMUSBL000-0</t>
  </si>
  <si>
    <t>MAD CATZ S.T.R.I.K.E. 4 Gaming Keyboard (Black)</t>
  </si>
  <si>
    <t>SSSCCS36BL001-0</t>
  </si>
  <si>
    <t>MAD CATZ SURF RGB Mouse Pad</t>
  </si>
  <si>
    <t>MB05DCINBL000-0</t>
  </si>
  <si>
    <t>MADCATZ B.A.T. 6+ Wired Gaming Mouse</t>
  </si>
  <si>
    <t>GCPCCAINBL000-0</t>
  </si>
  <si>
    <t>MADCATZ C.A.T. 7 Wired Game Controller (Black)</t>
  </si>
  <si>
    <t>GAPCCAINBL000-0</t>
  </si>
  <si>
    <t>MADCATZ EGO Arcade Stick</t>
  </si>
  <si>
    <t>MM04DCINBL000-0</t>
  </si>
  <si>
    <t>MADCATZ M.O.J.O M1 Wired Gaming Mouse</t>
  </si>
  <si>
    <t>MR07DHINBL000-0</t>
  </si>
  <si>
    <t>MADCATZ R.A.T. DWS Wireless Gaming Mouse</t>
  </si>
  <si>
    <t>KS83MMUSBL000-0</t>
  </si>
  <si>
    <t>MADCATZ S.T.R.I.K.E. 13 Gaming Keyboard (Black)</t>
  </si>
  <si>
    <t>MAKEBLOCK</t>
  </si>
  <si>
    <t>MARBOTIC</t>
  </si>
  <si>
    <t>SL15</t>
  </si>
  <si>
    <t>MARBOTIC Smart Letters</t>
  </si>
  <si>
    <t>SN15</t>
  </si>
  <si>
    <t>MARBOTIC Smart Numbers</t>
  </si>
  <si>
    <t>MOSHI</t>
  </si>
  <si>
    <t>99MO117602</t>
  </si>
  <si>
    <t>MOSHI Altra for iPhone XS Max (Green)</t>
  </si>
  <si>
    <t>99MO021911</t>
  </si>
  <si>
    <t>MOSHI ClearGuard for MacBook Pro 13 without Touch Bar/MacBook 12"</t>
  </si>
  <si>
    <t>99MO023207</t>
  </si>
  <si>
    <t>MOSHI HDMI to VGA Adapter with Audio</t>
  </si>
  <si>
    <t>99MO113632</t>
  </si>
  <si>
    <t>MOSHI iGlaze for iPhone XS Max (Blue)</t>
  </si>
  <si>
    <t>99MO113322</t>
  </si>
  <si>
    <t>MOSHI iGlaze for iPhone XS Max (Red)</t>
  </si>
  <si>
    <t>99MO023208</t>
  </si>
  <si>
    <t>MOSHI Mini Display Port to HDMI Adapter 4K (Silver)</t>
  </si>
  <si>
    <t>99MO023201</t>
  </si>
  <si>
    <t>MOSHI Mini Display Port to VGA Adapter (White)</t>
  </si>
  <si>
    <t>99MO023002</t>
  </si>
  <si>
    <t>MOSHI Mini-Stereo Audio Cable 1.8m</t>
  </si>
  <si>
    <t>99MO072112</t>
  </si>
  <si>
    <t>MOSHI SenseCover for iPhone XS Max (Beige)</t>
  </si>
  <si>
    <t>99MO023209</t>
  </si>
  <si>
    <t>MOSHI USB 3.0 to Ethernet Adapter (Silver)</t>
  </si>
  <si>
    <t>99MO084204</t>
  </si>
  <si>
    <t>MOSHI USB-C Multiport Adapter/Hub (Silver)</t>
  </si>
  <si>
    <t>99MO084202</t>
  </si>
  <si>
    <t>MOSHI USB-C to HDMI Adapter (Silver)</t>
  </si>
  <si>
    <t>99MO116601</t>
  </si>
  <si>
    <t>MOSHI Vesta for iPhone XR (Green)</t>
  </si>
  <si>
    <t>99MO116012</t>
  </si>
  <si>
    <t>MOSHI Vesta for iPhone XS Max (Grey)</t>
  </si>
  <si>
    <t>99MO116302</t>
  </si>
  <si>
    <t>MOSHI Vesta for iPhone XS Max (Pink)</t>
  </si>
  <si>
    <t>99MO088901</t>
  </si>
  <si>
    <t>MOSHI XT for iPhone 7 (Clear)</t>
  </si>
  <si>
    <t>MOVA</t>
  </si>
  <si>
    <t>DOA-011106AA000018</t>
  </si>
  <si>
    <t>DOA-MOVA M10 Wet and Dry Vacuum</t>
  </si>
  <si>
    <t>DOA-20010100001243</t>
  </si>
  <si>
    <t>DOA-MOVA Main Brush for P50 U and P50 PU</t>
  </si>
  <si>
    <t>DOA-010403AN000024</t>
  </si>
  <si>
    <t>DOA-MOVA Master 10 Hair Styler - Pink</t>
  </si>
  <si>
    <t>DOA-010403AE000024</t>
  </si>
  <si>
    <t>DOA-MOVA Master 10 Hair Styler - Silver</t>
  </si>
  <si>
    <t>DOA-20010100001799</t>
  </si>
  <si>
    <t>DOA-010401AA000323</t>
  </si>
  <si>
    <t>DOA-MOVA Shine 20 Hair Dryer - Gold</t>
  </si>
  <si>
    <t>MOVA Auxiliary Cleaning Kit for V50 Ultra</t>
  </si>
  <si>
    <t>MOVA Auxiliary Cleaning Kit for Z50 Ultra</t>
  </si>
  <si>
    <t>MOVA Auxiliary Cleaning Kit for Z60 Ultra Roller</t>
  </si>
  <si>
    <t>MOVA Deodorizing Stick for M50 Ultra</t>
  </si>
  <si>
    <t>MOVA Dust Bag for Z50 Ultra</t>
  </si>
  <si>
    <t>MOVA Dust Box Filter x2 for Z50 Ultra</t>
  </si>
  <si>
    <t>010204AA000891</t>
  </si>
  <si>
    <t>MOVA E40 Ultra Robotic Vacuum</t>
  </si>
  <si>
    <t>MOVA Filter for M10 and M50</t>
  </si>
  <si>
    <t>010401AC000279</t>
  </si>
  <si>
    <t>MOVA Flip 10 Hair Styler</t>
  </si>
  <si>
    <t>011501AA000007</t>
  </si>
  <si>
    <t>MOVA G1 Pro Pet Grooming Kit</t>
  </si>
  <si>
    <t>011101AA000214</t>
  </si>
  <si>
    <t>MOVA K30 Wet and Dry Vacuum</t>
  </si>
  <si>
    <t>011106AA000018</t>
  </si>
  <si>
    <t>MOVA M10 Wet and Dry Vacuum</t>
  </si>
  <si>
    <t>011102AA000032</t>
  </si>
  <si>
    <t>MOVA M50 Ultra Wet and Dry Vacuum</t>
  </si>
  <si>
    <t>MOVA Main Mop Pad x1 for Z50 Ultra</t>
  </si>
  <si>
    <t>MOVA Main Mop Pad x2 for Z50 Ultra</t>
  </si>
  <si>
    <t>010403AN000024</t>
  </si>
  <si>
    <t>MOVA Master 10 Hair Styler - Pink</t>
  </si>
  <si>
    <t>010403AE000024</t>
  </si>
  <si>
    <t>MOVA Master 10 Hair Styler - Silver</t>
  </si>
  <si>
    <t>MOVA Multi-Surface Floor Cleaner 400mL for Z50 Ultra</t>
  </si>
  <si>
    <t>MOVA Multi-Surface Floor Cleaner 500mL for M50 Ultra</t>
  </si>
  <si>
    <t>010204AA000727</t>
  </si>
  <si>
    <t>MOVA P50 Ultra Wet and Dry Robotic Vacuum</t>
  </si>
  <si>
    <t>011503AA000007</t>
  </si>
  <si>
    <t>MOVA PF10 Pro Pet Feeder</t>
  </si>
  <si>
    <t>010901AA000024</t>
  </si>
  <si>
    <t>MOVA Robotic Lawn Mower 1000</t>
  </si>
  <si>
    <t>010901AA000026</t>
  </si>
  <si>
    <t>MOVA Robotic Lawn Mower 600</t>
  </si>
  <si>
    <t>MOVA Robotic Lawn Mower Garage</t>
  </si>
  <si>
    <t>MOVA Roller Brush for K30</t>
  </si>
  <si>
    <t>010401AB000273</t>
  </si>
  <si>
    <t>MOVA Shine 10 Hair Dryer - Gold</t>
  </si>
  <si>
    <t>010401AA000273</t>
  </si>
  <si>
    <t>MOVA Shine 10 Hair Dryer - Silver</t>
  </si>
  <si>
    <t>010401AA000323</t>
  </si>
  <si>
    <t>MOVA Shine 20 Hair Dryer - Gold</t>
  </si>
  <si>
    <t>MOVA Small Mop Pad x2 for Z50 Ultra</t>
  </si>
  <si>
    <t>010201AA000488</t>
  </si>
  <si>
    <t>MOVA V50 Ultra Wet and Dry Robotic Vacuum</t>
  </si>
  <si>
    <t>011502AA000013</t>
  </si>
  <si>
    <t>MOVA WF10 Pro Pet Water Fountain</t>
  </si>
  <si>
    <t>011502AA000014</t>
  </si>
  <si>
    <t>MOVA WF20 Pro Pet Water Fountain</t>
  </si>
  <si>
    <t>011106AA000047</t>
  </si>
  <si>
    <t>MOVA X4 Pro Wet and Dry Vacuum</t>
  </si>
  <si>
    <t>010201AA000437</t>
  </si>
  <si>
    <t>MOVA Z50 Ultra Wet and Dry Robotic Vacuum</t>
  </si>
  <si>
    <t>010201AA000795</t>
  </si>
  <si>
    <t>MOVA Z60 Ultra Roller Wet and Dry Robotic Vacuum</t>
  </si>
  <si>
    <t>Z60 URC-DU</t>
  </si>
  <si>
    <t>MOVA Z60 Ultra Roller Wet and Dry Robotic Vacuum Free Display Unit</t>
  </si>
  <si>
    <t>MW SLEEVES</t>
  </si>
  <si>
    <t>MW-450017</t>
  </si>
  <si>
    <t>MW - SLEEVE MacBook Pro/Air 13" - Seasons Grey</t>
  </si>
  <si>
    <t>MW-450012</t>
  </si>
  <si>
    <t>MW - SLEEVE MacBook Pro/Air 13" - Shade Green</t>
  </si>
  <si>
    <t>MW-450011</t>
  </si>
  <si>
    <t>MW - SLEEVE MacBook Pro/Air 13" - Shade Red</t>
  </si>
  <si>
    <t>MW-450039</t>
  </si>
  <si>
    <t>MW Basics Â²Life MacBook Air 15" (Black/White)</t>
  </si>
  <si>
    <t>MW-410167</t>
  </si>
  <si>
    <t>MW-410168</t>
  </si>
  <si>
    <t>MW-410166</t>
  </si>
  <si>
    <t>MW-410165</t>
  </si>
  <si>
    <t>MW-410163</t>
  </si>
  <si>
    <t>MW Basics Â²Life MacBook Pro/Air 13" (Red/White)</t>
  </si>
  <si>
    <t>MW-410164</t>
  </si>
  <si>
    <t>MW-450029</t>
  </si>
  <si>
    <t>MW Basics Â²Life MacBook Pro/Air 13" Sleeve Black / White</t>
  </si>
  <si>
    <t>MW-450031</t>
  </si>
  <si>
    <t>MW Basics Â²Life Recycled Sleeve for MacBook Pro 14" (Black)</t>
  </si>
  <si>
    <t>MW-450032</t>
  </si>
  <si>
    <t>MW Basics Â²Life Recycled Sleeve for MacBook Pro 16" (Black)</t>
  </si>
  <si>
    <t>MW-450033</t>
  </si>
  <si>
    <t>MW Basics2Life Recycled Sleeve for MacBook Pro/Air 13" (Blue/White)</t>
  </si>
  <si>
    <t>MW-450009</t>
  </si>
  <si>
    <t>MW Classic Sleeve for MacBook Pro 16" (Grey)</t>
  </si>
  <si>
    <t>MW-450006</t>
  </si>
  <si>
    <t>MW Classic Sleeve for MacBook Pro/Air 13" - (Black)</t>
  </si>
  <si>
    <t>MW-450005</t>
  </si>
  <si>
    <t>MW Classic Sleeve for MacBook Pro/Air 13" - (Grey)</t>
  </si>
  <si>
    <t>MW-450023</t>
  </si>
  <si>
    <t>MW Horizon Recycled Sleeve for MacBook Pro 14" (Blackened Pearl)</t>
  </si>
  <si>
    <t>MW-450025</t>
  </si>
  <si>
    <t>MW Horizon Recycled Sleeve for MacBook Pro 14" (Frosty Green)</t>
  </si>
  <si>
    <t>MW-450024</t>
  </si>
  <si>
    <t>MW Horizon Recycled Sleeve for MacBook Pro 14" (Redwood)</t>
  </si>
  <si>
    <t>MW-450004</t>
  </si>
  <si>
    <t>MW Horizon Recycled Sleeve for MacBook Pro 16" (Blackened Pearl)</t>
  </si>
  <si>
    <t>MW-450001</t>
  </si>
  <si>
    <t>MW Horizon Recycled Sleeve for MacBook Pro/Air 13" (Blackened Pearl)</t>
  </si>
  <si>
    <t>MW-450002</t>
  </si>
  <si>
    <t>MW Horizon Recycled Sleeve for MacBook Pro/Air 13" (Green)</t>
  </si>
  <si>
    <t>MW-450003</t>
  </si>
  <si>
    <t>MW Horizon Recycled Sleeve for MacBook Pro/Air 13" (Redwood)</t>
  </si>
  <si>
    <t>MW-450016</t>
  </si>
  <si>
    <t>MW Seasons Sleeve for MacBook Pro/Air 13" (Blue)</t>
  </si>
  <si>
    <t>MW-450015</t>
  </si>
  <si>
    <t>MW Seasons Sleeve for MacBook Pro/Air 13" (Pink)</t>
  </si>
  <si>
    <t>MW-450019</t>
  </si>
  <si>
    <t>MW Seasons Sleeve for MacBook Pro/Air 13" (Sky Blue)</t>
  </si>
  <si>
    <t>MW-450014</t>
  </si>
  <si>
    <t>MW Seasons Sleeve for MacBook Pro/Air 13" (Wine)</t>
  </si>
  <si>
    <t>MW-450018</t>
  </si>
  <si>
    <t>MW Seasons Sleeve for MacBook Pro/Air 13" (Yellow)</t>
  </si>
  <si>
    <t>MW-450013</t>
  </si>
  <si>
    <t>MW Shade Sleeve for MacBook Pro 16" (Anthracite)</t>
  </si>
  <si>
    <t>MW-450010</t>
  </si>
  <si>
    <t>MW Shade Sleeve for MacBook Pro/Air 13" (Anthracite)</t>
  </si>
  <si>
    <t>NANOLEAF</t>
  </si>
  <si>
    <t>N7601K00-1LS4D</t>
  </si>
  <si>
    <t>NANOLEAF 4D PC Screen Mirror Lightstrip</t>
  </si>
  <si>
    <t>NF082K05-40LS</t>
  </si>
  <si>
    <t>NANOLEAF 4D TV Screen Mirror Kit for TVs up to 65"- 4 Meters</t>
  </si>
  <si>
    <t>NF082K05-52LS</t>
  </si>
  <si>
    <t>NANOLEAF 4D TV Screen Mirror Kit for TVs up to 85" - 5.2 Meters</t>
  </si>
  <si>
    <t>N6900K05-43LS</t>
  </si>
  <si>
    <t>NANOLEAF 4D V2 TV Screen Mirror Kit for TVs up to 65"- 4 Meters</t>
  </si>
  <si>
    <t>N8100K05-5CL</t>
  </si>
  <si>
    <t>Nanoleaf Blocks - Combo Starter Kit</t>
  </si>
  <si>
    <t>N8100K05-10CB</t>
  </si>
  <si>
    <t>Nanoleaf Blocks - Combo XL Starter Kit</t>
  </si>
  <si>
    <t>N8100E00-1BP</t>
  </si>
  <si>
    <t>Nanoleaf Blocks - Pegboard Add-On Kit (1 Pack)</t>
  </si>
  <si>
    <t>N8100E00-2BSH</t>
  </si>
  <si>
    <t>Nanoleaf Blocks - Shelf Add-On Kit (2 Pack)</t>
  </si>
  <si>
    <t>N8100E00-4SS</t>
  </si>
  <si>
    <t>Nanoleaf Blocks - Small Squares Add-On Kit (4 Pack)</t>
  </si>
  <si>
    <t>N8100E00-2BS</t>
  </si>
  <si>
    <t>Nanoleaf Blocks - Squares Add-On Kit (2 Pack)</t>
  </si>
  <si>
    <t>N8100K05-6BS</t>
  </si>
  <si>
    <t>Nanoleaf Blocks - Squares Starter Kit (6 Pack)</t>
  </si>
  <si>
    <t>N8100E00-2TBS</t>
  </si>
  <si>
    <t>Nanoleaf Blocks - Textured Squares Add-On Kit (2 Pack)</t>
  </si>
  <si>
    <t>N8100K05-5CLSH</t>
  </si>
  <si>
    <t>NANOLEAF Blocks 3 Big Squares, 2 Shelf Starter Kit</t>
  </si>
  <si>
    <t>NL29-0001SW-4PK</t>
  </si>
  <si>
    <t>NANOLEAF Canvas Expansion - 4 Pack</t>
  </si>
  <si>
    <t>NC04-0030</t>
  </si>
  <si>
    <t>NANOLEAF Canvas Flexible linkers - 9 Pack</t>
  </si>
  <si>
    <t>NL34-0001</t>
  </si>
  <si>
    <t>NANOLEAF Canvas Mounting Kit - 25 Pack</t>
  </si>
  <si>
    <t>NL34-0002</t>
  </si>
  <si>
    <t>NANOLEAF Canvas Mounting Kit - 9 Pack</t>
  </si>
  <si>
    <t>NC04-0020</t>
  </si>
  <si>
    <t>NANOLEAF Canvas Rigid linkers - 9 Pack</t>
  </si>
  <si>
    <t>NL29-0005SW-9PK</t>
  </si>
  <si>
    <t>NANOLEAF Canvas Smarter Kit - 9 Pack</t>
  </si>
  <si>
    <t>DUAL POS</t>
  </si>
  <si>
    <t>NANOLEAF Canvas/Triangle Light Panel POS with LCD panel</t>
  </si>
  <si>
    <t>DB-NF082K05-40LS-BUN</t>
  </si>
  <si>
    <t>NANOLEAF Dummy Box - BUN - NANOLEAF 4D TV Screen Mirror Kit for TVs up to 65"- 4 Meters - Sleeve</t>
  </si>
  <si>
    <t>NL52-E-0001HB-3PK</t>
  </si>
  <si>
    <t>NANOLEAF Elements Expansion - 3 Pack</t>
  </si>
  <si>
    <t>NL52-K-7005HB-7PK</t>
  </si>
  <si>
    <t>NANOLEAF Elements Starter Kit - 7 Pack</t>
  </si>
  <si>
    <t>N7502B02-1GU10</t>
  </si>
  <si>
    <t>NANOLEAF Essentials Colour Smart LED Bulb GU10 (WiFi)</t>
  </si>
  <si>
    <t>N7502B02-3GU10</t>
  </si>
  <si>
    <t>NANOLEAF Essentials Colour Smart LED Bulb GU10 (WiFi) - 3 Pack</t>
  </si>
  <si>
    <t>NF080D05-1W35</t>
  </si>
  <si>
    <t>NANOLEAF Essentials Colour Smart LED Downlight  (matter)</t>
  </si>
  <si>
    <t>NF080D05-2W35</t>
  </si>
  <si>
    <t>NANOLEAF Essentials Colour Smart LED Downlight  (matter) - 2 pack</t>
  </si>
  <si>
    <t>NF080D05-4W35</t>
  </si>
  <si>
    <t>NANOLEAF Essentials Colour Smart LED Downlight  (matter) - 4 pack</t>
  </si>
  <si>
    <t>NL55-0001LS-1M</t>
  </si>
  <si>
    <t>NANOLEAF Essentials Light Strips Expansion (matter) - 1 Meter</t>
  </si>
  <si>
    <t>NF080E00-2LS</t>
  </si>
  <si>
    <t>NANOLEAF Essentials Light Strips Expansion (matter) 2 Meter</t>
  </si>
  <si>
    <t>NF080K05-2LS</t>
  </si>
  <si>
    <t>NANOLEAF Essentials Light Strips Starter Kit (matter) - 2 Meters</t>
  </si>
  <si>
    <t>NF080K05-5LS</t>
  </si>
  <si>
    <t>NANOLEAF Essentials Light Strips Starter Kit (matter) - 5 Meters</t>
  </si>
  <si>
    <t>NL55-0005LS-2M</t>
  </si>
  <si>
    <t>NANOLEAF Essentials Lightstrips Starter Kit - 2 Meters</t>
  </si>
  <si>
    <t>NL45-0800WT240B22</t>
  </si>
  <si>
    <t>NANOLEAF Essentials Smart Bulb B22</t>
  </si>
  <si>
    <t>NF080B02-1A19B</t>
  </si>
  <si>
    <t>NANOLEAF Essentials Smart Bulb B22 (matter)</t>
  </si>
  <si>
    <t>NF080B02-3A19B</t>
  </si>
  <si>
    <t>NANOLEAF Essentials Smart Bulb B22 (matter) - 3 Pack</t>
  </si>
  <si>
    <t>N7501B02-2A60B</t>
  </si>
  <si>
    <t>NANOLEAF Essentials Smart Bulb B22 (WIFI) - 2 Pack</t>
  </si>
  <si>
    <t>N7501B02-4A60B</t>
  </si>
  <si>
    <t>NANOLEAF Essentials Smart Bulb B22 (WIFI) - 4 Pack</t>
  </si>
  <si>
    <t>NL45-0800WT240B22-3PK</t>
  </si>
  <si>
    <t>NANOLEAF Essentials Smart Bulb B22 - 3 Pack</t>
  </si>
  <si>
    <t>NL45-0800WT240E27</t>
  </si>
  <si>
    <t>NANOLEAF Essentials Smart Bulb E27</t>
  </si>
  <si>
    <t>NF080B02-1A19E</t>
  </si>
  <si>
    <t>NANOLEAF Essentials Smart Bulb E27 (matter)</t>
  </si>
  <si>
    <t>NF080B02-3A19E</t>
  </si>
  <si>
    <t>NANOLEAF Essentials Smart Bulb E27 (matter) - 3 Pack</t>
  </si>
  <si>
    <t>N7501B02-2A60E</t>
  </si>
  <si>
    <t>NANOLEAF Essentials Smart Bulb E27 (WIFI) - 2 Pack</t>
  </si>
  <si>
    <t>N7501B02-4A60E</t>
  </si>
  <si>
    <t>NANOLEAF Essentials Smart Bulb E27 (WIFI) - 4 Pack</t>
  </si>
  <si>
    <t>NL45-0800WT240E27-3PK</t>
  </si>
  <si>
    <t>NANOLEAF Essentials Smart Bulb E27 - 3 Pack</t>
  </si>
  <si>
    <t>N7602K00-1LB</t>
  </si>
  <si>
    <t>NANOLEAF Gaming Dock Desk Lamp</t>
  </si>
  <si>
    <t>NLEDK00-1TFM</t>
  </si>
  <si>
    <t>NANOLEAF LED Light Therapy Face Mask</t>
  </si>
  <si>
    <t>NL59-E-0001LW-3PK</t>
  </si>
  <si>
    <t>NANOLEAF Lines 60 Degrees Expansion Pack - 3 Pack</t>
  </si>
  <si>
    <t>NL59-K-6005LW-15PK</t>
  </si>
  <si>
    <t>NANOLEAF Lines 60 Degrees Starter Kit - 15 Pack</t>
  </si>
  <si>
    <t>NL59-K-0005LW-9PK</t>
  </si>
  <si>
    <t>NANOLEAF Lines 60 Degrees Starter Kit - 9 Pack</t>
  </si>
  <si>
    <t>NL59E00-3SN00</t>
  </si>
  <si>
    <t>NANOLEAF Lines 90 Degrees Squared Expansion - 3 Pack</t>
  </si>
  <si>
    <t>NL59K05-4SN00</t>
  </si>
  <si>
    <t>NANOLEAF Lines 90 Degrees Squared Starter Kit - 4 Pack</t>
  </si>
  <si>
    <t>N7204K05-1FL</t>
  </si>
  <si>
    <t>NANOLEAF Multicolour Floor Lamp</t>
  </si>
  <si>
    <t>N4400C02-1BUT</t>
  </si>
  <si>
    <t>NANOLEAF Sense+ Wireless Smart Light Switch - White</t>
  </si>
  <si>
    <t>NC04-0043</t>
  </si>
  <si>
    <t>NANOLEAF Shapes Double-sided Tape (25 pack)</t>
  </si>
  <si>
    <t>NC04-0070</t>
  </si>
  <si>
    <t>NANOLEAF Shapes Flexible linkers - 3 Pack</t>
  </si>
  <si>
    <t>NL42-0001HX-3PK</t>
  </si>
  <si>
    <t>NANOLEAF Shapes Hexagon Expansion - 3 Pack</t>
  </si>
  <si>
    <t>NL42-5005HX-5PK</t>
  </si>
  <si>
    <t>NANOLEAF Shapes Hexagon Starter Kit - 5 Pack</t>
  </si>
  <si>
    <t>NL42-0005HX-9PK</t>
  </si>
  <si>
    <t>NANOLEAF Shapes Hexagon Starter Kit - 9 Pack</t>
  </si>
  <si>
    <t>NL42-6005HX-15PK</t>
  </si>
  <si>
    <t>NANOLEAF Shapes Hexagons Starter Kit - 15 Pack</t>
  </si>
  <si>
    <t>NC04-0044</t>
  </si>
  <si>
    <t>NANOLEAF Shapes Mounting Plate + Tape (9 Pack)</t>
  </si>
  <si>
    <t>NC04-0042</t>
  </si>
  <si>
    <t>NANOLEAF Shapes Rigid linkers - 9 Pack</t>
  </si>
  <si>
    <t>NL47-0001TW-3PK</t>
  </si>
  <si>
    <t>NANOLEAF Shapes Triangles Expansion - 3 Pack</t>
  </si>
  <si>
    <t>NL47-0101TW-3PK</t>
  </si>
  <si>
    <t>NANOLEAF Shapes Triangles Expansion - 3 Pack (Black)</t>
  </si>
  <si>
    <t>NL48-1001TW-10PK</t>
  </si>
  <si>
    <t>NANOLEAF Shapes Triangles Mini Expansion - 10 Pack</t>
  </si>
  <si>
    <t>NL48-5005TW-5PK</t>
  </si>
  <si>
    <t>NANOLEAF Shapes Triangles Mini Starter Kit - 5 Pack</t>
  </si>
  <si>
    <t>NL48-0005TW-9PK</t>
  </si>
  <si>
    <t>NANOLEAF Shapes Triangles Mini Starter Kit - 9 Pack</t>
  </si>
  <si>
    <t>NL47-6005TW-15PK</t>
  </si>
  <si>
    <t>NANOLEAF Shapes Triangles Starter Kit - 15 Pack</t>
  </si>
  <si>
    <t>NL47-2005TW-4PK</t>
  </si>
  <si>
    <t>NANOLEAF Shapes Triangles Starter Kit - 4 Pack</t>
  </si>
  <si>
    <t>NL47-0005TW-9PK</t>
  </si>
  <si>
    <t>NANOLEAF Shapes Triangles Starter Kit - 9 Pack</t>
  </si>
  <si>
    <t>NL47-0105TW-9PK</t>
  </si>
  <si>
    <t>NANOLEAF Shapes Triangles Starter Kit - 9 Pack (Black)</t>
  </si>
  <si>
    <t>N7206K05-1LS</t>
  </si>
  <si>
    <t>NANOLEAF Smart Multicolour Rope Light - 5m</t>
  </si>
  <si>
    <t>NETATMO</t>
  </si>
  <si>
    <t>NIM01-WW</t>
  </si>
  <si>
    <t>NETATMO Additional Smart Indoor Module for Weather Station</t>
  </si>
  <si>
    <t>NWM01-WW</t>
  </si>
  <si>
    <t>NETATMO Mounting Bracket for Wind &amp; Rain Gauge</t>
  </si>
  <si>
    <t>NETATMO POS</t>
  </si>
  <si>
    <t>NETATMO Point of Sale</t>
  </si>
  <si>
    <t>NRG01-WW</t>
  </si>
  <si>
    <t>NETATMO Rain Gauge for Weather Station</t>
  </si>
  <si>
    <t>DTG-P</t>
  </si>
  <si>
    <t>NETATMO Smart Door and Window Sensors - 3 Pack</t>
  </si>
  <si>
    <t>NWS01-P</t>
  </si>
  <si>
    <t>NETATMO Smart Home Weather Station</t>
  </si>
  <si>
    <t>NSC01-P</t>
  </si>
  <si>
    <t>NETATMO Smart Indoor Camera</t>
  </si>
  <si>
    <t>NIS01-P</t>
  </si>
  <si>
    <t>NETATMO Smart Indoor Siren</t>
  </si>
  <si>
    <t>NOC01-P2</t>
  </si>
  <si>
    <t>NETATMO Smart Outdoor Camera</t>
  </si>
  <si>
    <t>NDB-P</t>
  </si>
  <si>
    <t>NETATMO Smart Video Doorbell</t>
  </si>
  <si>
    <t>NWA01-WW</t>
  </si>
  <si>
    <t>NETATMO Smart Wind Gauge for Weather Station</t>
  </si>
  <si>
    <t>NEXTBASE</t>
  </si>
  <si>
    <t>NBDVRS2HK</t>
  </si>
  <si>
    <t>Nextbase  Dash Camera Hardwire Kit</t>
  </si>
  <si>
    <t>NBDVRS2SD128GBU3</t>
  </si>
  <si>
    <t>Nextbase 128GB U3 Industrial Grade microSD Card</t>
  </si>
  <si>
    <t>NBDVR222X</t>
  </si>
  <si>
    <t>Nextbase 222X Front and Rear Dash Camera</t>
  </si>
  <si>
    <t>NBDVR222XR</t>
  </si>
  <si>
    <t>Nextbase 222XR Front and Rear Dash Camera</t>
  </si>
  <si>
    <t>NBDVRS2SD256GBU3</t>
  </si>
  <si>
    <t>Nextbase 256GB U3 Industrial Grade microSD Card</t>
  </si>
  <si>
    <t>NBDVR320XRWC32GB</t>
  </si>
  <si>
    <t>Nextbase 320XR Front and Rear Dash Camera with 32GB SD Card</t>
  </si>
  <si>
    <t>NBDVR322GW</t>
  </si>
  <si>
    <t>Nextbase 322GW Dash Camera</t>
  </si>
  <si>
    <t>NBDVRS2SD32GBU3</t>
  </si>
  <si>
    <t>Nextbase 32GB U3 Industrial Grade microSD Card</t>
  </si>
  <si>
    <t>NBDVR622GW</t>
  </si>
  <si>
    <t>Nextbase 622GW Dash Camera</t>
  </si>
  <si>
    <t>NB622XR64</t>
  </si>
  <si>
    <t>Nextbase 622XR Front and Rear Dash Camera with 64GB SD Card</t>
  </si>
  <si>
    <t>NBDVRS2SD64GBU3</t>
  </si>
  <si>
    <t>Nextbase 64GB U3 Industrial Grade microSD Card</t>
  </si>
  <si>
    <t>NBDVRS2RFCW</t>
  </si>
  <si>
    <t>Nextbase Cabin View Add-on Camera</t>
  </si>
  <si>
    <t>NBDVRS2OBD</t>
  </si>
  <si>
    <t>Nextbase Dash Camera OBD Kit</t>
  </si>
  <si>
    <t>NBIQ1KAU</t>
  </si>
  <si>
    <t>Nextbase IQ 1K Smart Dash Camera</t>
  </si>
  <si>
    <t>NBIQ2KAU</t>
  </si>
  <si>
    <t>Nextbase IQ 2K Smart Dash Camera</t>
  </si>
  <si>
    <t>NBIQ4KAU</t>
  </si>
  <si>
    <t>Nextbase IQ 4K Smart Dash Camera</t>
  </si>
  <si>
    <t>NBIQ4KUS-RWC</t>
  </si>
  <si>
    <t>Nextbase IQ 4K Smart Dash Camera with Rear Camera Bundle</t>
  </si>
  <si>
    <t>NBIQRWC</t>
  </si>
  <si>
    <t>Nextbase IQ Rear Window Camera</t>
  </si>
  <si>
    <t>NBPICO1</t>
  </si>
  <si>
    <t>Nextbase Piqo 1K Dash Camera</t>
  </si>
  <si>
    <t>NBPICO1K32GB</t>
  </si>
  <si>
    <t>Nextbase Piqo 1K Dash Camera with 32GB  SD Card</t>
  </si>
  <si>
    <t>NBPICO2</t>
  </si>
  <si>
    <t>Nextbase Piqo 2K Dash Camera</t>
  </si>
  <si>
    <t>NBPICO2K32GB</t>
  </si>
  <si>
    <t>Nextbase Piqo 2K Dash Camera with 32GB  SD Card</t>
  </si>
  <si>
    <t>NBPIQO2K32GB-AUS</t>
  </si>
  <si>
    <t>Nextbase Piqo 2K Dash Camera with 32GB SD Card</t>
  </si>
  <si>
    <t>NBPICO-HK</t>
  </si>
  <si>
    <t>Nextbase Piqo Pro Install Cable</t>
  </si>
  <si>
    <t>NBPICO-OBD</t>
  </si>
  <si>
    <t>Nextbase Piqo Quick Connect Cable</t>
  </si>
  <si>
    <t>NBDVRS2RFCZ</t>
  </si>
  <si>
    <t>Nextbase Rear View Add-on Camera</t>
  </si>
  <si>
    <t>NBDVRS2RWC</t>
  </si>
  <si>
    <t>Nextbase Rear Window Add-on Camera</t>
  </si>
  <si>
    <t>NURA</t>
  </si>
  <si>
    <t>GSI00BB1400012</t>
  </si>
  <si>
    <t>NURA Nuraphone Wireless Over-the-Ear Headphones - MODEL i00B</t>
  </si>
  <si>
    <t>NVS CASES</t>
  </si>
  <si>
    <t>NSL-014</t>
  </si>
  <si>
    <t>NVS Apollo Sleeve for 13" Devices (Black/Tan)</t>
  </si>
  <si>
    <t>NGL-014</t>
  </si>
  <si>
    <t>NVS Atom Glass for iPhone 11 Pro/ X/Xs</t>
  </si>
  <si>
    <t>NSG-007</t>
  </si>
  <si>
    <t>NVS Screen Guard for Samsung Galaxy Tab A 9.7" (2 Pack) (Clear)</t>
  </si>
  <si>
    <t>OSMO</t>
  </si>
  <si>
    <t>901-00021</t>
  </si>
  <si>
    <t>OSMO Coding Starter Kit</t>
  </si>
  <si>
    <t>901-00012</t>
  </si>
  <si>
    <t>OSMO Creative Starter Kit</t>
  </si>
  <si>
    <t>901-00011</t>
  </si>
  <si>
    <t>OSMO Genius Starter Kit</t>
  </si>
  <si>
    <t>901-00010</t>
  </si>
  <si>
    <t>OSMO Little Genius Starter Kit</t>
  </si>
  <si>
    <t>901-00023</t>
  </si>
  <si>
    <t>OSMO Pizza Co. Starter Kit</t>
  </si>
  <si>
    <t>901-00029</t>
  </si>
  <si>
    <t>OSMO Super Studio Disney Princess Starter Kit</t>
  </si>
  <si>
    <t>901-00016</t>
  </si>
  <si>
    <t>OSMO Super Studio Frozen 2 Kit</t>
  </si>
  <si>
    <t>OZTRAIL</t>
  </si>
  <si>
    <t>CO-MF15-D</t>
  </si>
  <si>
    <t>OZTRAIL 1.3L Flask</t>
  </si>
  <si>
    <t>CI-CC12-C</t>
  </si>
  <si>
    <t>OZTRAIL 12 Can Collapsible Cooler</t>
  </si>
  <si>
    <t>CI-EN12-C</t>
  </si>
  <si>
    <t>OZTRAIL 12 Can Enduro Cooler</t>
  </si>
  <si>
    <t>EMA-PU12V-A</t>
  </si>
  <si>
    <t>OZTRAIL 12V Air Mattress Pump</t>
  </si>
  <si>
    <t>OZTRAIL 12V Hi Flo Air Pump</t>
  </si>
  <si>
    <t>CI-CH18-C</t>
  </si>
  <si>
    <t>OZTRAIL 18 Can PermaFrost HardBody Cooler</t>
  </si>
  <si>
    <t>CO-MF10-D</t>
  </si>
  <si>
    <t>OZTRAIL 1L Flask</t>
  </si>
  <si>
    <t>CI-EN24B-C</t>
  </si>
  <si>
    <t>OZTRAIL 20 Can Enduro Backpack Cooler</t>
  </si>
  <si>
    <t>OZTRAIL 200L Headlamp</t>
  </si>
  <si>
    <t>CI-CC24-C</t>
  </si>
  <si>
    <t>OZTRAIL 24 Can Collapsible Cooler</t>
  </si>
  <si>
    <t>EMA-RPU-A</t>
  </si>
  <si>
    <t>OZTRAIL 240V/12V Rechargeable Air Pump</t>
  </si>
  <si>
    <t>CO-MF20-D</t>
  </si>
  <si>
    <t>OZTRAIL 2L Flask</t>
  </si>
  <si>
    <t>FSU-DC3D-D</t>
  </si>
  <si>
    <t>OZTRAIL 3 Shelf Double Deluxe Cupboard</t>
  </si>
  <si>
    <t>CI-EN36-C</t>
  </si>
  <si>
    <t>OZTRAIL 36 Can Enduro Cooler</t>
  </si>
  <si>
    <t>OZTRAIL 3D Fatmat 1500 Sleeping Mat</t>
  </si>
  <si>
    <t>OZTRAIL 3D Fatmat 750 Sleeping Mat</t>
  </si>
  <si>
    <t>OZTRAIL 3D Fatmat Lite Sleeping Mat</t>
  </si>
  <si>
    <t>FSU-DC4-D</t>
  </si>
  <si>
    <t>OZTRAIL 4 Shelf Deluxe Cupboard</t>
  </si>
  <si>
    <t>OZTRAIL 4.2 Blockout Shade Dome with Sunwall</t>
  </si>
  <si>
    <t>CI-CH48-C</t>
  </si>
  <si>
    <t>OZTRAIL 48 Can PermaFrost HardBody Cooler</t>
  </si>
  <si>
    <t>OZTRAIL 500L Headlamp</t>
  </si>
  <si>
    <t>CI-CC06-C</t>
  </si>
  <si>
    <t>OZTRAIL 6 Can Collapsible Cooler</t>
  </si>
  <si>
    <t>OZTRAIL Air Bed (Double)</t>
  </si>
  <si>
    <t>OZTRAIL Air Bed (King Single)</t>
  </si>
  <si>
    <t>OZTRAIL Air Bed (Queen)</t>
  </si>
  <si>
    <t>EMA-AMDDH-C</t>
  </si>
  <si>
    <t>OZTRAIL Air Mattress Double 35cm</t>
  </si>
  <si>
    <t>EMA-AMT-C</t>
  </si>
  <si>
    <t>OZTRAIL Air Mattress King Single 23cm</t>
  </si>
  <si>
    <t>EMA-AMTDH-C</t>
  </si>
  <si>
    <t>OZTRAIL Air Mattress King Single 35cm</t>
  </si>
  <si>
    <t>EMA-AMQ-C</t>
  </si>
  <si>
    <t>OZTRAIL Air Mattress Queen 23cm</t>
  </si>
  <si>
    <t>EMA-AMS-C</t>
  </si>
  <si>
    <t>OZTRAIL Air Mattress Single 23cm</t>
  </si>
  <si>
    <t>OZTRAIL All In One Camp Kitchen</t>
  </si>
  <si>
    <t>FCM-STA-A</t>
  </si>
  <si>
    <t>OZTRAIL Aluminium Stool</t>
  </si>
  <si>
    <t>OZTRAIL Anywhere Bed Queen</t>
  </si>
  <si>
    <t>FBI-AQB-B</t>
  </si>
  <si>
    <t>FBI-ASB-B</t>
  </si>
  <si>
    <t>OZTRAIL Anywhere Bed Single</t>
  </si>
  <si>
    <t>OZTRAIL Anywhere Hammock (Red/Blue)</t>
  </si>
  <si>
    <t>OZTRAIL Anywhere Hammock and Frame</t>
  </si>
  <si>
    <t>FHA-HD-B</t>
  </si>
  <si>
    <t>OZTRAIL Anywhere Hammock Double</t>
  </si>
  <si>
    <t>OZTRAIL Bamboo Table 100CM</t>
  </si>
  <si>
    <t>OZTRAIL Bamboo Table 65CM</t>
  </si>
  <si>
    <t>FCE-BIGBL-F</t>
  </si>
  <si>
    <t>OZTRAIL Big Boy Arm Chair (Black)</t>
  </si>
  <si>
    <t>OZTRAIL Biker Expedition Single Swag</t>
  </si>
  <si>
    <t>SBH-BLH-C</t>
  </si>
  <si>
    <t>OZTRAIL Blaxland Hooded Sleeping Bag 0 Degrees</t>
  </si>
  <si>
    <t>OZTRAIL Blockout Deluxe Gazebo 3.0M</t>
  </si>
  <si>
    <t>DTMBUN-D</t>
  </si>
  <si>
    <t>OZTRAIL Bungalow Dome Tent 9P</t>
  </si>
  <si>
    <t>FKA-CKS-C</t>
  </si>
  <si>
    <t>OZTRAIL Camp Kitchen and Sink</t>
  </si>
  <si>
    <t>FKA-CKDSK-C</t>
  </si>
  <si>
    <t>OZTRAIL Camp Kitchen Deluxe with Sink</t>
  </si>
  <si>
    <t>FKA-CKDP-C</t>
  </si>
  <si>
    <t>OZTRAIL Camp Kitchen with Double Pantry</t>
  </si>
  <si>
    <t>OZTRAIL Cape Series Flat Fold Chair</t>
  </si>
  <si>
    <t>OZTRAIL Cape Series Picnic Table</t>
  </si>
  <si>
    <t>OZTRAIL Cape Series Recliner Chair</t>
  </si>
  <si>
    <t>FCA-CAS5-E</t>
  </si>
  <si>
    <t>OZTRAIL Cascade 5 Position Chair</t>
  </si>
  <si>
    <t>DTC-3XV-F</t>
  </si>
  <si>
    <t>OZTRAIL Classic Skygazer 3XV Dome Tent</t>
  </si>
  <si>
    <t>DTC-6XV-F</t>
  </si>
  <si>
    <t>OZTRAIL Classic Skygazer 6XV Dome Tent</t>
  </si>
  <si>
    <t>FSU-WDR-E</t>
  </si>
  <si>
    <t>OZTRAIL Collapsible Camp Wagon</t>
  </si>
  <si>
    <t>GCL-COM-A</t>
  </si>
  <si>
    <t>OZTRAIL Comet 12V Campste Light</t>
  </si>
  <si>
    <t>EMB-C1400-B</t>
  </si>
  <si>
    <t>OZTRAIL Comfort Bonded Mat 1400</t>
  </si>
  <si>
    <t>EMB-C0900-B</t>
  </si>
  <si>
    <t>OZTRAIL Comfort Bonded Mat 900</t>
  </si>
  <si>
    <t>FCE-CACB-F</t>
  </si>
  <si>
    <t>OZTRAIL Cooler Arm Chair (Blue)</t>
  </si>
  <si>
    <t>MPGO-D30B-B</t>
  </si>
  <si>
    <t>OZTRAIL Deluxe 3.0 Gazebo (Blue)</t>
  </si>
  <si>
    <t>FCC-DJCB-F</t>
  </si>
  <si>
    <t>OZTRAIL Deluxe Junior Chair (Blue)</t>
  </si>
  <si>
    <t>FCC-DJCB-B</t>
  </si>
  <si>
    <t>FCC-DJCG-B</t>
  </si>
  <si>
    <t>OZTRAIL Deluxe Junior Chair (Green)</t>
  </si>
  <si>
    <t>FCC-DJCP-B</t>
  </si>
  <si>
    <t>OZTRAIL Deluxe Junior Chair (Pink)</t>
  </si>
  <si>
    <t>FCC-DJCP-F</t>
  </si>
  <si>
    <t>OZTRAIL Deluxe Kitchen With Sink</t>
  </si>
  <si>
    <t>OZTRAIL Deluxe Shade Dome 4.2m</t>
  </si>
  <si>
    <t>FBS-DBD-C</t>
  </si>
  <si>
    <t>OZTRAIL Double Bunk Deluxe Bed</t>
  </si>
  <si>
    <t>OZTRAIL Duocomfort Queen 12V/240V Air Bed</t>
  </si>
  <si>
    <t>OZTRAIL Duocomfort Queen Double High Air Bed</t>
  </si>
  <si>
    <t>OZTRAIL Easy Fold Blockout Stretcher Tent (Single)</t>
  </si>
  <si>
    <t>FBS-SQE-D</t>
  </si>
  <si>
    <t>OZTRAIL Easy Fold Stretcher Bed (Queen)</t>
  </si>
  <si>
    <t>FBS-SSE-D</t>
  </si>
  <si>
    <t>OZTRAIL Easy Fold Stretcher Bed (Single)</t>
  </si>
  <si>
    <t>GCL-LECLR-F</t>
  </si>
  <si>
    <t>OZTRAIL Eclipse LED Rechargeable Lantern</t>
  </si>
  <si>
    <t>DTE-FA10-E</t>
  </si>
  <si>
    <t>OZTRAIL Family 10 Dome Tent</t>
  </si>
  <si>
    <t>DTE-FA12-E</t>
  </si>
  <si>
    <t>OZTRAIL Family 12 Dome Tent</t>
  </si>
  <si>
    <t>OZTRAIL Fast Frame 10P</t>
  </si>
  <si>
    <t>OZTRAIL Fast Frame 3P</t>
  </si>
  <si>
    <t>OZTRAIL Fast Frame 3P Tent</t>
  </si>
  <si>
    <t>OZTRAIL Fast Frame 4P</t>
  </si>
  <si>
    <t>OZTRAIL Fast Frame 4P Tent</t>
  </si>
  <si>
    <t>OZTRAIL Fast Frame 6P</t>
  </si>
  <si>
    <t>OZTRAIL Fast Frame 6P Tent</t>
  </si>
  <si>
    <t>OZTRAIL Fast Frame Blockout 10P Tent</t>
  </si>
  <si>
    <t>OZTRAIL Fast Frame Blockout 6P Tent</t>
  </si>
  <si>
    <t>OZTRAIL Fast Frame Blockout Lumos 10P Tent</t>
  </si>
  <si>
    <t>OZTRAIL Fast Frame Blockout Lumos 12P Tent</t>
  </si>
  <si>
    <t>OZTRAIL Fast Frame Blockout Lumos 6P Tent</t>
  </si>
  <si>
    <t>OZTRAIL Fast Frame Ensuite (Double)</t>
  </si>
  <si>
    <t>MPE-FFD-D</t>
  </si>
  <si>
    <t>OZTRAIL Fast Frame Ensuite (Single)</t>
  </si>
  <si>
    <t>MPE-FFS-D</t>
  </si>
  <si>
    <t>OZTRAIL Fast Frame Lumos 10P Tent</t>
  </si>
  <si>
    <t>OZTRAIL Fast Frame Lumos 12P Tent</t>
  </si>
  <si>
    <t>OZTRAIL Fast Frame Lumos 6P Tent</t>
  </si>
  <si>
    <t>DTF-T300-F</t>
  </si>
  <si>
    <t>OZTRAIL Fast Frame Tourer 300</t>
  </si>
  <si>
    <t>DTF-T450-F</t>
  </si>
  <si>
    <t>OZTRAIL Fast Frame Tourer 450 Cabin</t>
  </si>
  <si>
    <t>FCB-FES-B</t>
  </si>
  <si>
    <t>OZTRAIL Festival Arm Chair</t>
  </si>
  <si>
    <t>OZTRAIL Fireside Double Chair</t>
  </si>
  <si>
    <t>OZTRAIL Folding Table with Storage</t>
  </si>
  <si>
    <t>FTA-FTST-B</t>
  </si>
  <si>
    <t>OZTRAIL Galaxy 2 Seater with Arms</t>
  </si>
  <si>
    <t>OZTRAIL Galaxy 3 Seater with Arms</t>
  </si>
  <si>
    <t>OZTRAIL Gazebo Bar Table</t>
  </si>
  <si>
    <t>MPGW-H30B-C</t>
  </si>
  <si>
    <t>OZTRAIL Gazebo Heavy Duty Solid Wall 3.0 (Blue)</t>
  </si>
  <si>
    <t>OZTRAIL Gazebo Portico 3.0</t>
  </si>
  <si>
    <t>MPGO-TIK30-D</t>
  </si>
  <si>
    <t>OZTRAIL Gazebo Tent Inner Kit 3.0</t>
  </si>
  <si>
    <t>GCL-GWLK-D</t>
  </si>
  <si>
    <t>OZTRAIL Glow Worm LED Light Kit</t>
  </si>
  <si>
    <t>GCK-HL250-A</t>
  </si>
  <si>
    <t>OZTRAIL Halo Headlamp 250L</t>
  </si>
  <si>
    <t>GCK-HL300R-A</t>
  </si>
  <si>
    <t>OZTRAIL Halo Headlamp Rechargeable 300L</t>
  </si>
  <si>
    <t>GCK-HT100-A</t>
  </si>
  <si>
    <t>OZTRAIL Halo Tent Light</t>
  </si>
  <si>
    <t>GCL-HL100-E</t>
  </si>
  <si>
    <t>OZTRAIL Headlamp 100L (Blue)</t>
  </si>
  <si>
    <t>GCL-HL150R-E</t>
  </si>
  <si>
    <t>OZTRAIL Headlamp 150L Rechargeable (Blue)</t>
  </si>
  <si>
    <t>GCL-HL180-E</t>
  </si>
  <si>
    <t>OZTRAIL Headlamp 180L</t>
  </si>
  <si>
    <t>OZTRAIL Hi Flo Rechargeable Lithium Air Pump</t>
  </si>
  <si>
    <t>DTC-H3-E</t>
  </si>
  <si>
    <t>OZTRAIL Hiker 3 Dome Tent</t>
  </si>
  <si>
    <t>MPG-D30B-D</t>
  </si>
  <si>
    <t>OZTRAIL Hydroflow Deluxe 3.0 Gazebo (Blue)</t>
  </si>
  <si>
    <t>MPGC-D30B-D</t>
  </si>
  <si>
    <t>OZTRAIL Hydroflow Deluxe Gazebo Canopy 3.0m (Blue)</t>
  </si>
  <si>
    <t>GCK-LLS1000R-A</t>
  </si>
  <si>
    <t>OZTRAIL Ignite Speaker Lantern 1000L</t>
  </si>
  <si>
    <t>FTA-IR180F-D</t>
  </si>
  <si>
    <t>OZTRAIL Ironside 180cm Folding Table</t>
  </si>
  <si>
    <t>FTA-IRPS-D</t>
  </si>
  <si>
    <t>OZTRAIL Ironside 3 piece Picnic Set</t>
  </si>
  <si>
    <t>FCC-DJHC-C</t>
  </si>
  <si>
    <t>OZTRAIL Junior High Chair</t>
  </si>
  <si>
    <t>OZTRAIL Junior Kingsford Sleeping Bag -3 Degrees</t>
  </si>
  <si>
    <t>OZTRAIL Junior Kingsford Sleeping Bag 0 Degrees</t>
  </si>
  <si>
    <t>OZTRAIL Kingsford Junior +0C Sleeping Bag</t>
  </si>
  <si>
    <t>OZTRAIL Kingsford Junior -3C Sleeping Bag</t>
  </si>
  <si>
    <t>OZTRAIL Kingsford Sleeping Bag -3C</t>
  </si>
  <si>
    <t>OZTRAIL Kingsford Sleeping Bag 0C</t>
  </si>
  <si>
    <t>OZTRAIL Kitchen Double Pantry</t>
  </si>
  <si>
    <t>CI-STKO-C</t>
  </si>
  <si>
    <t>OZTRAIL Kool Stool</t>
  </si>
  <si>
    <t>SBA-LAH-C</t>
  </si>
  <si>
    <t>OZTRAIL Lawson Hooded Sleeping Bag -5C (Blue)</t>
  </si>
  <si>
    <t>SBA-LAJHB-D</t>
  </si>
  <si>
    <t>OZTRAIL Lawson Jumbo Hooded Sleeping Bag</t>
  </si>
  <si>
    <t>SBA-LAJUN-C</t>
  </si>
  <si>
    <t>OZTRAIL Lawson Junior Hooded Sleeping Bag -5C (Blue)</t>
  </si>
  <si>
    <t>OZTRAIL Lumos FP100 Headlamp</t>
  </si>
  <si>
    <t>OZTRAIL Lumos FP200 Headlamp</t>
  </si>
  <si>
    <t>OZTRAIL Lumos FP300 Dual Powered Headlamp</t>
  </si>
  <si>
    <t>OZTRAIL Lumos Hanger 700 Lantern</t>
  </si>
  <si>
    <t>GCK-LL0500R-A</t>
  </si>
  <si>
    <t>OZTRAIL Lumos Lantern Rechargeable 500L</t>
  </si>
  <si>
    <t>OZTRAIL Lumos R3000 Spotlight</t>
  </si>
  <si>
    <t>OZTRAIL Lumos R700 Spotlight</t>
  </si>
  <si>
    <t>OZTRAIL Lumos Stadium Light</t>
  </si>
  <si>
    <t>GCK-LL1000R-A</t>
  </si>
  <si>
    <t>OZTRAIL LumosLantern Rechargeable 1000L</t>
  </si>
  <si>
    <t>EMA-AMDDHP-D</t>
  </si>
  <si>
    <t>OZTRAIL Majesty Air Mattress Double</t>
  </si>
  <si>
    <t>EMA-AMTDHP-D</t>
  </si>
  <si>
    <t>OZTRAIL Majesty Air Mattress King Single</t>
  </si>
  <si>
    <t>EMA-AMQDHP-D</t>
  </si>
  <si>
    <t>OZTRAIL Majesty Air Mattress Queen</t>
  </si>
  <si>
    <t>OCP-MDS16-E</t>
  </si>
  <si>
    <t>OZTRAIL Melamine Dinner Set 16pc</t>
  </si>
  <si>
    <t>OLS-MS270-D</t>
  </si>
  <si>
    <t>OZTRAIL MicroSmart 270 Sleeping Bag -5C (Gold)</t>
  </si>
  <si>
    <t>OLS-MS360-D</t>
  </si>
  <si>
    <t>OZTRAIL MicroSmart 360 Sleeping Bag -10C (Blue)</t>
  </si>
  <si>
    <t>FCB-MSTA-D</t>
  </si>
  <si>
    <t>OZTRAIL Monsta Chair</t>
  </si>
  <si>
    <t>FCB-MOXL-C</t>
  </si>
  <si>
    <t>OZTRAIL Moon Chair Jumbo</t>
  </si>
  <si>
    <t>OZTRAIL Moon Junior Chair (Blue)</t>
  </si>
  <si>
    <t>OZTRAIL Moon Junior Chair (Purple)</t>
  </si>
  <si>
    <t>DTC-NOM2-E</t>
  </si>
  <si>
    <t>OZTRAIL Nomad 2P Dome Tent</t>
  </si>
  <si>
    <t>OZTRAIL Off Road Wagon</t>
  </si>
  <si>
    <t>FBI-OBC-A</t>
  </si>
  <si>
    <t>OZTRAIL Outback Comforter Queen S/Bag 0C</t>
  </si>
  <si>
    <t>OZTRAIL Oxley Jumbo Camper S/Bag 0C</t>
  </si>
  <si>
    <t>OZTRAIL Pop Up Pod Tent 2P</t>
  </si>
  <si>
    <t>OZTRAIL Pop Up Pod Tent 3P</t>
  </si>
  <si>
    <t>GCL-F12LR-D</t>
  </si>
  <si>
    <t>OZTRAIL Portable Fan &amp; Light Rechargeable</t>
  </si>
  <si>
    <t>ELE-PG060-D</t>
  </si>
  <si>
    <t>OZTRAIL Powergrid 6000MAH</t>
  </si>
  <si>
    <t>GCL-UTR18-F</t>
  </si>
  <si>
    <t>OZTRAIL Powergrid Tent Light 1800</t>
  </si>
  <si>
    <t>GCL-UTR80-F</t>
  </si>
  <si>
    <t>OZTRAIL Powergrid Tent Light 8000</t>
  </si>
  <si>
    <t>MPB-DRE-D</t>
  </si>
  <si>
    <t>OZTRAIL Resort Beach Dome (Blue)</t>
  </si>
  <si>
    <t>FCE-RVC-F</t>
  </si>
  <si>
    <t>OZTRAIL RV Chair</t>
  </si>
  <si>
    <t>FCE-RVCR-F</t>
  </si>
  <si>
    <t>OZTRAIL RV Royale Chair</t>
  </si>
  <si>
    <t>FCE-RVSM-F</t>
  </si>
  <si>
    <t>OZTRAIL RV Travel Mate</t>
  </si>
  <si>
    <t>DTMSEA-D</t>
  </si>
  <si>
    <t>OZTRAIL Seascape Dome Tent 10P</t>
  </si>
  <si>
    <t>FCC-SOV-D</t>
  </si>
  <si>
    <t>OZTRAIL Sovereign Arm Chair</t>
  </si>
  <si>
    <t>FCC-SOVC-F</t>
  </si>
  <si>
    <t>OZTRAIL Sovereign Cooler Arm Chair (Blue)</t>
  </si>
  <si>
    <t>FCB-LOL-E</t>
  </si>
  <si>
    <t>OZTRAIL Sunlounger Deluxe</t>
  </si>
  <si>
    <t>OZTRAIL Sunwall for Blockout Shade Dome 4.2M</t>
  </si>
  <si>
    <t>DTMTAS3V-C</t>
  </si>
  <si>
    <t>OZTRAIL Tasman 3V Dome Tent</t>
  </si>
  <si>
    <t>DTMTAS3V-D</t>
  </si>
  <si>
    <t>DTMTAS6V-D</t>
  </si>
  <si>
    <t>OZTRAIL Tasman 6V Dome Tent</t>
  </si>
  <si>
    <t>MPB-DTE-D</t>
  </si>
  <si>
    <t>OZTRAIL Terra Beach Dome (Blue)</t>
  </si>
  <si>
    <t>FCE-TITB-F</t>
  </si>
  <si>
    <t>OZTRAIL Titan Arm Chair (Blue)</t>
  </si>
  <si>
    <t>FCE-TITG-E</t>
  </si>
  <si>
    <t>OZTRAIL Titan Arm Chair (Green)</t>
  </si>
  <si>
    <t>GCL-GULK-D</t>
  </si>
  <si>
    <t>OZTRAIL Universal LED Light Kit</t>
  </si>
  <si>
    <t>PAPERLIKE</t>
  </si>
  <si>
    <t>PL3-10-19</t>
  </si>
  <si>
    <t>Paperlike 3 for iPad 10.2" (2019, 2020 &amp; 2021)</t>
  </si>
  <si>
    <t>PL3-10-22</t>
  </si>
  <si>
    <t>Paperlike 3 for iPad 11" (A16 2025) &amp; iPad 10.9" (2022-2024)</t>
  </si>
  <si>
    <t>PL3-10-24</t>
  </si>
  <si>
    <t>PL3-08-21</t>
  </si>
  <si>
    <t>Paperlike 3 for iPad Mini (2021)</t>
  </si>
  <si>
    <t>PL3-11-18</t>
  </si>
  <si>
    <t>Paperlike 3 for iPad Pro 11" &amp; iPad Air 10.9"</t>
  </si>
  <si>
    <t>PL3-11-24</t>
  </si>
  <si>
    <t>PL3-12-18</t>
  </si>
  <si>
    <t>PL3-13-24</t>
  </si>
  <si>
    <t>PL-APT-CB-25</t>
  </si>
  <si>
    <t>Paperlike Pencil Tips (4-pack)</t>
  </si>
  <si>
    <t>PL2-10-19</t>
  </si>
  <si>
    <t>PAPERLIKE Screen Protector for iPad 10.2" (2018/2020/2021)</t>
  </si>
  <si>
    <t>PL2-08-21</t>
  </si>
  <si>
    <t>PAPERLIKE Screen Protector for iPad Mini 6 (2021)</t>
  </si>
  <si>
    <t>PL2-11-18</t>
  </si>
  <si>
    <t>PAPERLIKE Screen Protector for iPad Pro 11" &amp; iPad Air 10.9"</t>
  </si>
  <si>
    <t>PL2-12-18</t>
  </si>
  <si>
    <t>PAPERLIKE Screen Protector for iPad Pro 12.9" (2018/2020/2021)</t>
  </si>
  <si>
    <t>PL2A-10-19</t>
  </si>
  <si>
    <t>PAPERLIKE Screen Protector v2.1 for iPad 10.2" (2 Pack)</t>
  </si>
  <si>
    <t>PL2A-10-22</t>
  </si>
  <si>
    <t>PL2A-10-24</t>
  </si>
  <si>
    <t>PL2A-12-24</t>
  </si>
  <si>
    <t>PL2A-08-21</t>
  </si>
  <si>
    <t>PAPERLIKE Screen Protector v2.1 for iPad Mini 8.3â€ 2021 &amp; 2024 (2 Pack)</t>
  </si>
  <si>
    <t>PL2A-11-18</t>
  </si>
  <si>
    <t>PAPERLIKE Screen Protector v2.1 for iPad Pro 11" &amp; iPad Air 10.9" (2 Pack)</t>
  </si>
  <si>
    <t>PL2A-11-24</t>
  </si>
  <si>
    <t>PAPERLIKE Screen Protector v2.1 for iPad Pro 11" (M4, 2024) (2 Pack)</t>
  </si>
  <si>
    <t>PL2A-12-18</t>
  </si>
  <si>
    <t>PAPERLIKE Screen Protector v2.1 for iPad Pro 12.9" (2 Pack)</t>
  </si>
  <si>
    <t>PL2A-13-24</t>
  </si>
  <si>
    <t>PAPERLIKE Screen Protector v2.1 for iPad Pro 13" (M4, 2024) (2 Pack)</t>
  </si>
  <si>
    <t>POINT OF SALE DISPLAY</t>
  </si>
  <si>
    <t>DISP-063-MB</t>
  </si>
  <si>
    <t>NATIVE UNION Marble Display with Perspex Cover</t>
  </si>
  <si>
    <t>DISP-062-MB-U</t>
  </si>
  <si>
    <t>NATIVE UNION Marble Display with Perspex Cover #2</t>
  </si>
  <si>
    <t>SD01POP1</t>
  </si>
  <si>
    <t>SPHERO Specdrums POP</t>
  </si>
  <si>
    <t>PROPER</t>
  </si>
  <si>
    <t>SPCIPAVSA2</t>
  </si>
  <si>
    <t>STUDIO PROPER X Lock Vesa Adaptor</t>
  </si>
  <si>
    <t>PYROLUX</t>
  </si>
  <si>
    <t>PYROLUX PYROCHEF R/FR/OVEN 20CM/2L O/BLU</t>
  </si>
  <si>
    <t>ROLI</t>
  </si>
  <si>
    <t>ROL-001143</t>
  </si>
  <si>
    <t>ROLI Touch Block</t>
  </si>
  <si>
    <t>SATECHI</t>
  </si>
  <si>
    <t>ST-TC100GM-AU</t>
  </si>
  <si>
    <t>SATECHI 100W USB-C PD GaN Compact Charger</t>
  </si>
  <si>
    <t>ST-UC100WSM</t>
  </si>
  <si>
    <t>SATECHI 100W USB-C PD GaN Wall Charger</t>
  </si>
  <si>
    <t>ST-TC108WM</t>
  </si>
  <si>
    <t>SATECHI 108W Multiport Desktop Charger (Space Grey)</t>
  </si>
  <si>
    <t>ST-P3D13K</t>
  </si>
  <si>
    <t>SATECHI 13-in-1 USB-C Triple Display Multiport Adapter (Black)</t>
  </si>
  <si>
    <t>ST-W145GTM</t>
  </si>
  <si>
    <t>SATECHI 145W USB-C 4-Port GaN Travel Charger (Space Grey)</t>
  </si>
  <si>
    <t>ST-UC165GM-AU</t>
  </si>
  <si>
    <t>SATECHI 165W USB-C 4-Port PD GaN Charger</t>
  </si>
  <si>
    <t>ST-UCHSMCM</t>
  </si>
  <si>
    <t>SATECHI 2 in 1 Headphone Stand with Wireless Charger</t>
  </si>
  <si>
    <t>ST-Q21FM</t>
  </si>
  <si>
    <t>SATECHI 2-in-1Â Foldable QI2 Wireless Charging Stand</t>
  </si>
  <si>
    <t>ST-C200GM-AU</t>
  </si>
  <si>
    <t>SATECHI 200W USB-C 6-port GaN Charger</t>
  </si>
  <si>
    <t>ST-Q31FM-AP</t>
  </si>
  <si>
    <t>SATECHI 3-in-1 Foldable QI2 Wireless Charging Stand</t>
  </si>
  <si>
    <t>ST-P4SM</t>
  </si>
  <si>
    <t>SATECHI 4-in-1 USB-C Slim Multiport Adapter 4K (Space Grey)</t>
  </si>
  <si>
    <t>ST-H4CPDM</t>
  </si>
  <si>
    <t>SATECHI 4-Port USB-C Hub with PD (Space Grey)</t>
  </si>
  <si>
    <t>ST-U2C40CCM</t>
  </si>
  <si>
    <t>SATECHI 40W Dual USB-C PD Car Charger (Space Grey)</t>
  </si>
  <si>
    <t>ST-P6SM</t>
  </si>
  <si>
    <t>SATECHI 6-in-1 USB-C Slim Multiport Adapter 4K (Space Grey)</t>
  </si>
  <si>
    <t>ST-P7SM</t>
  </si>
  <si>
    <t>SATECHI 7-in-1 USB-C Slim Multiport Adapter 4K (Space Grey)</t>
  </si>
  <si>
    <t>ST-TCPDCCM</t>
  </si>
  <si>
    <t>SATECHI 72W USB-C PD Car Charger (Space Grey)</t>
  </si>
  <si>
    <t>ST-8KHC2MM</t>
  </si>
  <si>
    <t>SATECHI 8K Ultra HD HDMI 2.1 Cable - 2m</t>
  </si>
  <si>
    <t>ST-ALTSM</t>
  </si>
  <si>
    <t>SATECHI Aluminium Laptop Stand (Space Grey)</t>
  </si>
  <si>
    <t>ST-AMSHS</t>
  </si>
  <si>
    <t>SATECHI Aluminium Monitor Stand Hub for iMac (Silver)</t>
  </si>
  <si>
    <t>ST-AMSHM</t>
  </si>
  <si>
    <t>SATECHI Aluminium Monitor Stand Hub for iMac (Space Grey)</t>
  </si>
  <si>
    <t>ST-ABHFS</t>
  </si>
  <si>
    <t>SATECHI Aluminium Stand and Hub for Mac Mini (Silver)</t>
  </si>
  <si>
    <t>ST-ABHFM</t>
  </si>
  <si>
    <t>SATECHI Aluminium Stand and Hub for Mac Mini (Space Grey)</t>
  </si>
  <si>
    <t>ST-TCSHIPM</t>
  </si>
  <si>
    <t>SATECHI Aluminium Stand Hub For iPad Pro &amp; Selected Tablets (Space Grey)</t>
  </si>
  <si>
    <t>ST-TCIMHM</t>
  </si>
  <si>
    <t>SATECHI Aluminium Type-C Clamp Hub Pro(Space Grey)</t>
  </si>
  <si>
    <t>ST-TAUCS</t>
  </si>
  <si>
    <t>SATECHI Aluminium USB-A to USB-C Adapter (Silver)</t>
  </si>
  <si>
    <t>ST-TAUCM</t>
  </si>
  <si>
    <t>SATECHI Aluminium USB-A to USB-C Adapter (Space Grey)</t>
  </si>
  <si>
    <t>ST-AMWKM</t>
  </si>
  <si>
    <t>SATECHI Aluminium Wired USB-A Keyboard (Grey)</t>
  </si>
  <si>
    <t>ST-XLABKS</t>
  </si>
  <si>
    <t>SATECHI Bluetooth Extended Keypad (Silver)</t>
  </si>
  <si>
    <t>ST-XLABKM</t>
  </si>
  <si>
    <t>SATECHI Bluetooth Extended Keypad (Space Grey)</t>
  </si>
  <si>
    <t>ST-AWUCMM</t>
  </si>
  <si>
    <t>SATECHI C1 USB-C Wired Mouse  (Space Grey)</t>
  </si>
  <si>
    <t>ST-WCS5PM</t>
  </si>
  <si>
    <t>SATECHI Dock5 Multi-Device Charging Station with Wireless Charging</t>
  </si>
  <si>
    <t>ST-ADVSM</t>
  </si>
  <si>
    <t>SATECHI Dual Vertical Laptop Stand (Space Grey)</t>
  </si>
  <si>
    <t>ST-MBAM2CL</t>
  </si>
  <si>
    <t>SATECHI Eco Hardshell Case for MacBook Air 13" M2, M3 &amp; M4 (Clear)</t>
  </si>
  <si>
    <t>ST-MBAM2DR</t>
  </si>
  <si>
    <t>SATECHI Eco Hardshell Case for MacBook Air 13" M2, M3 &amp; M4 (Dark)</t>
  </si>
  <si>
    <t>ST-MBP14CL</t>
  </si>
  <si>
    <t>SATECHI Eco Hardshell Case for MacBook Pro 14" (Clear)</t>
  </si>
  <si>
    <t>ST-LFAWCK</t>
  </si>
  <si>
    <t>SATECHI FindAll Card (Black)</t>
  </si>
  <si>
    <t>ST-ABTCMB</t>
  </si>
  <si>
    <t>SATECHI M1 Bluetooth Wireless Mouse (Blue)</t>
  </si>
  <si>
    <t>ST-ABTCMS</t>
  </si>
  <si>
    <t>SATECHI M1 Bluetooth Wireless Mouse (Silver)</t>
  </si>
  <si>
    <t>ST-ABTCMM</t>
  </si>
  <si>
    <t>SATECHI M1 Bluetooth Wireless Mouse (Space Grey)</t>
  </si>
  <si>
    <t>ST-GNMMES</t>
  </si>
  <si>
    <t>SATECHI Mac Mini M4 Stand &amp; Hub with SSD Enclosure (Silver)</t>
  </si>
  <si>
    <t>ST-VLWK</t>
  </si>
  <si>
    <t>SATECHI Magnetic Wallet Stand (Black)</t>
  </si>
  <si>
    <t>ST-MCMWCM</t>
  </si>
  <si>
    <t>SATECHI Magnetic Wireless Car Charger (Space Grey)</t>
  </si>
  <si>
    <t>ST-HXRAJM</t>
  </si>
  <si>
    <t>SATECHI Mobile XR Hub with Audio (Space Grey)</t>
  </si>
  <si>
    <t>ST-HXRSDM</t>
  </si>
  <si>
    <t>SATECHI Mobile XR Hub with microSD (Space Grey)</t>
  </si>
  <si>
    <t>ST-QTG21K</t>
  </si>
  <si>
    <t>SATECHI OntheGo 2-in-1 Wireless Charger (Black)</t>
  </si>
  <si>
    <t>ST-QTG21W</t>
  </si>
  <si>
    <t>SATECHI OntheGo 2-in-1 Wireless Charger (Sand)</t>
  </si>
  <si>
    <t>ST-QTG31K</t>
  </si>
  <si>
    <t>SATECHI OntheGo 3-in-1 Wireless Charger (Black)</t>
  </si>
  <si>
    <t>ST-QTG31R</t>
  </si>
  <si>
    <t>SATECHI OntheGo 3-in-1 Wireless Charger (Desert Rose)</t>
  </si>
  <si>
    <t>ST-QTG31W</t>
  </si>
  <si>
    <t>SATECHI OntheGo 3-in-1 Wireless Charger (Sand)</t>
  </si>
  <si>
    <t>ST-KOTGK-EN</t>
  </si>
  <si>
    <t>SATECHI OntheGo Keyboard (Black)</t>
  </si>
  <si>
    <t>ST-KOTGW-EN</t>
  </si>
  <si>
    <t>SATECHI OntheGo Keyboard (Sand)</t>
  </si>
  <si>
    <t>ST-MOTGK</t>
  </si>
  <si>
    <t>SATECHI OntheGo Mouse (Black)</t>
  </si>
  <si>
    <t>ST-MOTGW</t>
  </si>
  <si>
    <t>SATECHI OntheGo Mouse (Sand)</t>
  </si>
  <si>
    <t>ST-Q2CCM</t>
  </si>
  <si>
    <t>SATECHI Qi2 Wireless Car Charger (Space Grey)</t>
  </si>
  <si>
    <t>ST-UC10WPBM</t>
  </si>
  <si>
    <t>SATECHI Quatro Wireless Power Bank</t>
  </si>
  <si>
    <t>ST-R1M</t>
  </si>
  <si>
    <t>SATECHI R1 Adjustable Mobile Stand (Space Grey)</t>
  </si>
  <si>
    <t>ST-UCSW1M</t>
  </si>
  <si>
    <t>SATECHI Slim W1 USB-C Wired Keyboard (Space Grey)</t>
  </si>
  <si>
    <t>ST-UCSW3M</t>
  </si>
  <si>
    <t>SATECHI Slim W3 USB-C Wired Keyboard (Space Grey)</t>
  </si>
  <si>
    <t>ST-SALKPM</t>
  </si>
  <si>
    <t>SATECHI Slim Wireless Keypad (Space Grey)</t>
  </si>
  <si>
    <t>ST-KSALKPM</t>
  </si>
  <si>
    <t>SATECHI Slim Wireless USB-C Keypad (Space Grey)</t>
  </si>
  <si>
    <t>ST-KSALKPS</t>
  </si>
  <si>
    <t>ST-BTSX1M</t>
  </si>
  <si>
    <t>SATECHI Slim X1 Bluetooth Keyboard (Space Grey)</t>
  </si>
  <si>
    <t>ST-BTSX2M</t>
  </si>
  <si>
    <t>SATECHI Slim X2 Bluetooth Backlit Keyboard</t>
  </si>
  <si>
    <t>ST-BTSX3M</t>
  </si>
  <si>
    <t>SATECHI Slim X3 Bluetooth Keyboard (Space Grey)</t>
  </si>
  <si>
    <t>ST-KSM1DK-EN</t>
  </si>
  <si>
    <t>SATECHI SM1 Slim Mechanical Backlit BT/2.4Ghz Keyboard (Dark)</t>
  </si>
  <si>
    <t>ST-KSM1LT-EN</t>
  </si>
  <si>
    <t>SATECHI SM1 Slim Mechanical Backlit BT/2.4Ghz Keyboard (Light)</t>
  </si>
  <si>
    <t>ST-KSM3DK-EN</t>
  </si>
  <si>
    <t>SATECHI SM3 Slim Mechanical Backlit Bluetooth Keyboard (Dark)</t>
  </si>
  <si>
    <t>ST-KSM3LT-EN</t>
  </si>
  <si>
    <t>SATECHI SM3 Slim Mechanical Backlit Bluetooth Keyboard (Light)</t>
  </si>
  <si>
    <t>ST-GMMSHS</t>
  </si>
  <si>
    <t>SATECHI Stand &amp; Hub for Mac mini/Studio W/NVME SSD Enclosure (Silver)</t>
  </si>
  <si>
    <t>ST-YTB100K</t>
  </si>
  <si>
    <t>SATECHI Thunderbolt 4 Pro Cable 1m (Space Grey)</t>
  </si>
  <si>
    <t>ST-T4SHM-AU</t>
  </si>
  <si>
    <t>SATECHI Thunderbolt 4 Slim Hub</t>
  </si>
  <si>
    <t>ST-X3TWCPM</t>
  </si>
  <si>
    <t>SATECHI Trio Wireless Charging Pad (Space Grey)</t>
  </si>
  <si>
    <t>ST-TC4KHAM</t>
  </si>
  <si>
    <t>SATECHI Type-C to 4K HDMI Adaptor (Space Grey)</t>
  </si>
  <si>
    <t>ST-TCENM</t>
  </si>
  <si>
    <t>SATECHI Type-C to Ethernet Adaptor (Space Grey)</t>
  </si>
  <si>
    <t>ST-TC2N1USB31AM</t>
  </si>
  <si>
    <t>SATECHI USB-C 2-in-1 3 Port USB 3.0 Hub &amp; Ethernet (Space Grey)</t>
  </si>
  <si>
    <t>ST-TCMAM</t>
  </si>
  <si>
    <t>SATECHI USB-C 4K Ethernet Multi-Port Adapter (Space Grey)</t>
  </si>
  <si>
    <t>ST-UCICHS</t>
  </si>
  <si>
    <t>SATECHI USB-C Clamp Hub for 24" iMac (Silver)</t>
  </si>
  <si>
    <t>ST-TCHCRM</t>
  </si>
  <si>
    <t>SATECHI USB-C Combo Hub for Desktop (Space Grey)</t>
  </si>
  <si>
    <t>ST-TCDHAM</t>
  </si>
  <si>
    <t>SATECHI USB-C Dual HDMI Adapter (Space Grey)</t>
  </si>
  <si>
    <t>ST-QCAWM</t>
  </si>
  <si>
    <t>SATECHI USB-C Fast Charging Cable for Apple Watch (Space Grey)</t>
  </si>
  <si>
    <t>ST-UCHSEK</t>
  </si>
  <si>
    <t>SATECHI USB-C Hybrid Multiport Adapter with SSD Enclosure (Black)</t>
  </si>
  <si>
    <t>ST-UCHSEM</t>
  </si>
  <si>
    <t>SATECHI USB-C Hybrid Multiport Adapter with SSD Enclosure (Space Grey)</t>
  </si>
  <si>
    <t>ST-E2230M</t>
  </si>
  <si>
    <t>SATECHI USB-C Mini NVMe SSD Enclosure (Space Grey)</t>
  </si>
  <si>
    <t>ST-TCMPHM</t>
  </si>
  <si>
    <t>SATECHI USB-C Mobile Pro Hub (Space Grey)</t>
  </si>
  <si>
    <t>ST-TCMA2M</t>
  </si>
  <si>
    <t>SATECHI USB-C Multi-Port Adapter 4K Ethernet V2 (Space Grey)</t>
  </si>
  <si>
    <t>ST-U4MA3M</t>
  </si>
  <si>
    <t>SATECHI USB-C Multiport  USB4 Adapter with 8k HDMI (Space Grey)</t>
  </si>
  <si>
    <t>ST-P8KEM</t>
  </si>
  <si>
    <t>SATECHI USB-C Multiport Adapter 8K with Ethernet V3 (Space Grey)</t>
  </si>
  <si>
    <t>ST-UCNSEM</t>
  </si>
  <si>
    <t>SATECHI USB-C NVMe and SATA SSD Enclosure (Space Grey)</t>
  </si>
  <si>
    <t>ST-UCPHMIM</t>
  </si>
  <si>
    <t>SATECHI USB-C Pro Hub Mini Adapter (Space Grey)</t>
  </si>
  <si>
    <t>ST-CMAM</t>
  </si>
  <si>
    <t>SATECHI USB-C Slim Multiport Adapter v1 (Space Grey)</t>
  </si>
  <si>
    <t>ST-UCAPDAM</t>
  </si>
  <si>
    <t>SATECHI USB-C to 3.5mm Audio &amp; PD Adapter (Space Grey)</t>
  </si>
  <si>
    <t>ST-CHDMIM</t>
  </si>
  <si>
    <t>SATECHI USB-C to 4K HDMI Cable (Space Grey)</t>
  </si>
  <si>
    <t>ST-TCL18M</t>
  </si>
  <si>
    <t>SATECHI USB-C to Lightning Charging Cable - 1.8m (Space Grey)</t>
  </si>
  <si>
    <t>ST-TCL10M</t>
  </si>
  <si>
    <t>SATECHI USB-C to Lightning Short Cable - 25cm (Space Grey)</t>
  </si>
  <si>
    <t>ST-UCATCM</t>
  </si>
  <si>
    <t>SATECHI USB-C to USB 3.0 Adapter</t>
  </si>
  <si>
    <t>ST-TCUAM</t>
  </si>
  <si>
    <t>SATECHI USB-C to USB-A USB Adapter (Space Grey)</t>
  </si>
  <si>
    <t>ST-TCC2MM</t>
  </si>
  <si>
    <t>SATECHI USB-C to USB-C 100W Charging Cable - 2m (Space Grey)</t>
  </si>
  <si>
    <t>ST-TCC10M</t>
  </si>
  <si>
    <t>SATECHI USB-C to USB-C Short Cable - 25cm (Space Grey)</t>
  </si>
  <si>
    <t>ST-TCUPM</t>
  </si>
  <si>
    <t>SATECHI USB-C USB Passthrough Hub (Space Grey)</t>
  </si>
  <si>
    <t>ST-U4MGEM</t>
  </si>
  <si>
    <t>SATECHI USB4 Multiport Adapter with 2.5G Ethernet (Space Grey)</t>
  </si>
  <si>
    <t>ST-YU4120K</t>
  </si>
  <si>
    <t>SATECHI USB4 Pro Cable 1.2m (Black)</t>
  </si>
  <si>
    <t>ST-U4C80M</t>
  </si>
  <si>
    <t>SATECHI USB4 USB-C to USB-C 40Gbps Data / 100W Charging Cable - 80cm</t>
  </si>
  <si>
    <t>ST-LFAGCK</t>
  </si>
  <si>
    <t>SATECHI Vegan-Leather FindAll Glasses Case (Black)</t>
  </si>
  <si>
    <t>ST-LFAGCW</t>
  </si>
  <si>
    <t>SATECHI Vegan-Leather FindAll Glasses Case (Sand)</t>
  </si>
  <si>
    <t>ST-LKCFK</t>
  </si>
  <si>
    <t>SATECHI Vegan-Leather FindAll Keychain (Black)</t>
  </si>
  <si>
    <t>ST-LKCFR</t>
  </si>
  <si>
    <t>SATECHI Vegan-Leather FindAll Keychain (Desert Rose)</t>
  </si>
  <si>
    <t>ST-LKCFW</t>
  </si>
  <si>
    <t>SATECHI Vegan-Leather FindAll Keychain (Sand)</t>
  </si>
  <si>
    <t>ST-LFALTK</t>
  </si>
  <si>
    <t>SATECHI Vegan-Leather FindAll Luggage Tag (Black)</t>
  </si>
  <si>
    <t>ST-LFALTW</t>
  </si>
  <si>
    <t>SATECHI Vegan-Leather FindAll Luggage Tag (Sand)</t>
  </si>
  <si>
    <t>ST-VPCK</t>
  </si>
  <si>
    <t>SATECHI Vegan-Leather FindAll Passport Cover (Black)</t>
  </si>
  <si>
    <t>ST-LPDMK</t>
  </si>
  <si>
    <t>SATECHI Vegan-Leather Premium Desk Mat (Black)</t>
  </si>
  <si>
    <t>ST-LPDMN</t>
  </si>
  <si>
    <t>SATECHI Vegan-Leather Premium Desk Mat (Brown)</t>
  </si>
  <si>
    <t>ST-LPDMB</t>
  </si>
  <si>
    <t>SATECHI Vegan-Leather Premium Desk Mat (Navy)</t>
  </si>
  <si>
    <t>ST-LMPK</t>
  </si>
  <si>
    <t>SATECHI Vegan-Leather Premium Mouse Pad (Black)</t>
  </si>
  <si>
    <t>ST-LMPN</t>
  </si>
  <si>
    <t>SATECHI Vegan-Leather Premium Mouse Pad (Brown)</t>
  </si>
  <si>
    <t>ST-LMPB</t>
  </si>
  <si>
    <t>SATECHI Vegan-Leather Premium Mouse Pad (Navy)</t>
  </si>
  <si>
    <t>ST-AMBKM</t>
  </si>
  <si>
    <t>SATECHI Wireless Keyboard for Mac (Space Grey)</t>
  </si>
  <si>
    <t>SCANPAN</t>
  </si>
  <si>
    <t>SCANPAN 4 Piece Cheese Knife Set - Coloured/Grey</t>
  </si>
  <si>
    <t>162714NC</t>
  </si>
  <si>
    <t>SCANPAN 8L Pressure Cooker</t>
  </si>
  <si>
    <t>SCANPAN Bamboo Board 3 Piece Set</t>
  </si>
  <si>
    <t>18980GWP</t>
  </si>
  <si>
    <t>SCANPAN Cheese Knife Set (Assorted)</t>
  </si>
  <si>
    <t>SCANPAN Classic 10 Piece Knife Block Set</t>
  </si>
  <si>
    <t>SCANPAN Classic 15 Piece Knife Block Set</t>
  </si>
  <si>
    <t>SCANPAN Classic 2 Piece Fry Pan Set</t>
  </si>
  <si>
    <t>SCANPAN Classic 2 Piece Santoku Set</t>
  </si>
  <si>
    <t>SCANPAN Classic 3 Piece Knife Set</t>
  </si>
  <si>
    <t>SCANPAN Classic 4 Piece Knife Block Set</t>
  </si>
  <si>
    <t>SCANPAN Classic 5 Piece Knife Block Set</t>
  </si>
  <si>
    <t>SCANPAN Classic 6 Piece Knife Block Set</t>
  </si>
  <si>
    <t>SCANPAN Classic 6 Piece Magnetic Rack Set</t>
  </si>
  <si>
    <t>SCANPAN Classic 6 Piece Steak Knife Set</t>
  </si>
  <si>
    <t>SCANPAN Classic 7 Piece Knife Block Set</t>
  </si>
  <si>
    <t>SCANPAN Classic 7 Piece Step Knife Block Set</t>
  </si>
  <si>
    <t>SCANPAN Classic 8 Piece Eclipse Knife Block Set</t>
  </si>
  <si>
    <t>SCANPAN Classic 8 Piece Knife Block Set</t>
  </si>
  <si>
    <t>SCANPAN Classic Inox 3 Piece Saucepan Set</t>
  </si>
  <si>
    <t>SCANPAN Coppernox 3 Piece Saucepan Set</t>
  </si>
  <si>
    <t>26018NC</t>
  </si>
  <si>
    <t>SCANPAN Coppernox 42 x 26 x 10cm Roaster with Rack</t>
  </si>
  <si>
    <t>139326NC</t>
  </si>
  <si>
    <t>SCANPAN Coppernox 5 Piece Set</t>
  </si>
  <si>
    <t>SCANPAN Coppernox 9 Piece Cookware Set</t>
  </si>
  <si>
    <t>SCANPAN Coppernox Roaster with Rack - 42 x 26 x 10cm</t>
  </si>
  <si>
    <t>SCANPAN HaptIQ 16cm/1.8L Saucepan</t>
  </si>
  <si>
    <t>17195NC</t>
  </si>
  <si>
    <t>SCANPAN HaptIQ 18cm/2.5L Saucepan</t>
  </si>
  <si>
    <t>17196NC</t>
  </si>
  <si>
    <t>17197NC</t>
  </si>
  <si>
    <t>SCANPAN HaptIQ 20cm/3.5L Saucepan</t>
  </si>
  <si>
    <t>SCANPAN HaptIQ 24cm/4.8L Dutch Oven</t>
  </si>
  <si>
    <t>17202NC</t>
  </si>
  <si>
    <t>17203NC</t>
  </si>
  <si>
    <t>SCANPAN HaptIQ 26cm/6.5L Dutch Oven</t>
  </si>
  <si>
    <t>17199NC</t>
  </si>
  <si>
    <t>SCANPAN HaptIQ 28cm/2.5L Saute Pan</t>
  </si>
  <si>
    <t>SCANPAN HaptIQ 32cm Wok</t>
  </si>
  <si>
    <t>17200NC</t>
  </si>
  <si>
    <t>SCANPAN Impact 10 Piece Cookware Set</t>
  </si>
  <si>
    <t>SCANPAN Impact 2 Piece Frypan Set</t>
  </si>
  <si>
    <t>SCANPAN Impact 2 Piece Saucepan Set</t>
  </si>
  <si>
    <t>22031NC</t>
  </si>
  <si>
    <t>SCANPAN Impact 24cm/1.5L Tagine</t>
  </si>
  <si>
    <t>22028NC</t>
  </si>
  <si>
    <t>SCANPAN Impact 28cm Chafing Set</t>
  </si>
  <si>
    <t>SCANPAN Impact 3 Piece 24cm Multi Pot Set</t>
  </si>
  <si>
    <t>SCANPAN Impact 3 Piece Saucepan Set</t>
  </si>
  <si>
    <t>SCANPAN Impact 5 Piece Cookware Set</t>
  </si>
  <si>
    <t>SCANPAN Impact 5 Piece Cookware Starter Set</t>
  </si>
  <si>
    <t>SCANPAN Impact 6 Piece Cookware Set with Roaster</t>
  </si>
  <si>
    <t>SCANPAN Kalo 6 Piece Knife Block Set - Oak</t>
  </si>
  <si>
    <t>SCANPAN Kattegat 6 Piece Knife Block Set - Oak</t>
  </si>
  <si>
    <t>SCANPAN Kitchen Essentials Set - 6 Piece</t>
  </si>
  <si>
    <t>SCANPAN Large Roaster (44 x 32cm)</t>
  </si>
  <si>
    <t>SCANPAN Maitre D' 7 Piece Knife Block Oak</t>
  </si>
  <si>
    <t>18531NC</t>
  </si>
  <si>
    <t>SCANPAN Maitre D' 7 Piece Knife Block Set</t>
  </si>
  <si>
    <t>SCANPAN Small Roaster (34 x 22cm)</t>
  </si>
  <si>
    <t>SCANPAN STS 2 Piece Frypan Set</t>
  </si>
  <si>
    <t>SCANPAN STS 2 Piece Saucepan Set</t>
  </si>
  <si>
    <t>SCANPAN STS 3 Piece Saucepan Set</t>
  </si>
  <si>
    <t>SCANPAN STS 5 Piece Cookware Set</t>
  </si>
  <si>
    <t>SPACETALK</t>
  </si>
  <si>
    <t>SP-CD3-KIT</t>
  </si>
  <si>
    <t>SPACETALK Adventurer 2 Charging Dock</t>
  </si>
  <si>
    <t>ST3-DK-1-DU</t>
  </si>
  <si>
    <t>Spacetalk Adventurer 2 Dusk Dummy Unit</t>
  </si>
  <si>
    <t>ST2-SP-KIT</t>
  </si>
  <si>
    <t>SPACETALK Adventurer 2 Screen Protector</t>
  </si>
  <si>
    <t>ST3-DK-1-NS</t>
  </si>
  <si>
    <t>SPACETALK Adventurer 2 Smartwatch - 4G - Dusk</t>
  </si>
  <si>
    <t>ST3-FT-1-NS</t>
  </si>
  <si>
    <t>SPACETALK Adventurer 2 Smartwatch - 4G - Frost</t>
  </si>
  <si>
    <t>ST3-BS-AR</t>
  </si>
  <si>
    <t>SPACETALK Band Strap - Arctic - For Adventurer 2 and Loop</t>
  </si>
  <si>
    <t>ST3-BS-BK</t>
  </si>
  <si>
    <t>SPACETALK Band Strap - Black - For Adventurer 2 and Loop</t>
  </si>
  <si>
    <t>ST3-BS-CN</t>
  </si>
  <si>
    <t>SPACETALK Band Strap - Candy - For Adventurer 2 and Loop</t>
  </si>
  <si>
    <t>ST3-BS-CY</t>
  </si>
  <si>
    <t>SPACETALK Band Strap - Cherry - For Adventurer 2 and Loop</t>
  </si>
  <si>
    <t>ST3-BS-FG</t>
  </si>
  <si>
    <t>SPACETALK Band Strap - Flamingo - For Adventurer 2 and Loop</t>
  </si>
  <si>
    <t>ST3-BS-LN</t>
  </si>
  <si>
    <t>SPACETALK Band Strap - Lemon - For Adventurer 2 and Loop</t>
  </si>
  <si>
    <t>ST3-BS-LC</t>
  </si>
  <si>
    <t>SPACETALK Band Strap - Lilac - For Adventurer 2 and Loop</t>
  </si>
  <si>
    <t>ST3-BS-OL</t>
  </si>
  <si>
    <t>SPACETALK Band Strap - Olive - For Adventurer 2 and Loop</t>
  </si>
  <si>
    <t>ST3-BS-PH</t>
  </si>
  <si>
    <t>SPACETALK Band Strap - Peach - For Adventurer 2 and Loop</t>
  </si>
  <si>
    <t>ST3-BS-SK</t>
  </si>
  <si>
    <t>SPACETALK Band Strap - Sky - For Adventurer 2 and Loop</t>
  </si>
  <si>
    <t>ST3-BS-ST</t>
  </si>
  <si>
    <t>SPACETALK Band Strap - Stone - For Adventurer 2 and Loop</t>
  </si>
  <si>
    <t>ST3-BS-TL</t>
  </si>
  <si>
    <t>SPACETALK Band Strap - Teal - For Adventurer 2 and Loop</t>
  </si>
  <si>
    <t>ST3-BS-SL</t>
  </si>
  <si>
    <t>SPACETALK Band Strap -Slate - For Adventurer 2 and Loop</t>
  </si>
  <si>
    <t>SP-L4G-1</t>
  </si>
  <si>
    <t>SPACETALK Life 4G Connected Smartwatch</t>
  </si>
  <si>
    <t>SK2-CC-KIT</t>
  </si>
  <si>
    <t>SPACETALK Loop Charging Cable</t>
  </si>
  <si>
    <t>SK2-FT-1-DU</t>
  </si>
  <si>
    <t>Spacetalk Loop Frost Dummy Unit</t>
  </si>
  <si>
    <t>SK2-SP-KIT</t>
  </si>
  <si>
    <t>SPACETALK Loop Screen Protector</t>
  </si>
  <si>
    <t>SK2-DK-1-NS</t>
  </si>
  <si>
    <t>SPACETALK Loop Smartwatch - 4G - Dusk</t>
  </si>
  <si>
    <t>SK2-FT-1-NS</t>
  </si>
  <si>
    <t>SPACETALK Loop Smartwatch - 4G - Frost</t>
  </si>
  <si>
    <t>ST3-BS-ARLCCN</t>
  </si>
  <si>
    <t>SPACETALK Triple Band Strap Pack - Arctic-Lilac-Candy - For Adventurer 2 and Loop</t>
  </si>
  <si>
    <t>ST3-BS-BKLNCY</t>
  </si>
  <si>
    <t>SPACETALK Triple Band Strap Pack - Black-Lemon-Cherry - For Adventurer 2 and Loop</t>
  </si>
  <si>
    <t>SPHERO</t>
  </si>
  <si>
    <t>750-0906</t>
  </si>
  <si>
    <t>SPHERO Blueprint Engineering Class Pack (5 Kits)</t>
  </si>
  <si>
    <t>750-0904</t>
  </si>
  <si>
    <t>SPHERO Blueprint Engineering Kit</t>
  </si>
  <si>
    <t>FC-BP</t>
  </si>
  <si>
    <t>SPHERO Blueprint Self-Guided PD Online Course</t>
  </si>
  <si>
    <t>740-0740</t>
  </si>
  <si>
    <t>740-0745</t>
  </si>
  <si>
    <t>K002ROW</t>
  </si>
  <si>
    <t>SPHERO BOLT</t>
  </si>
  <si>
    <t>PP02ROW</t>
  </si>
  <si>
    <t>SPHERO BOLT Education Power Pack (15 robots)</t>
  </si>
  <si>
    <t>920-0700</t>
  </si>
  <si>
    <t>SPHERO BOLT+</t>
  </si>
  <si>
    <t>920-0903-UGBOLT</t>
  </si>
  <si>
    <t>SPHERO BOLT+ Edu Power Pack (15 robots) Upgrade from BOLT Power Pack</t>
  </si>
  <si>
    <t>920-0903</t>
  </si>
  <si>
    <t>SPHERO BOLT+ Education Power Pack (15 robots)</t>
  </si>
  <si>
    <t>FC-BOLT</t>
  </si>
  <si>
    <t>SPHERO BOLT+ Self-Guided PD Online Course</t>
  </si>
  <si>
    <t>920-0700-UGSPRK+</t>
  </si>
  <si>
    <t>SPHERO BOLT+ Upgrade from SPRK+</t>
  </si>
  <si>
    <t>CODEMAT01</t>
  </si>
  <si>
    <t>SPHERO Code Mat "City &amp; Golf" 2-sided</t>
  </si>
  <si>
    <t>980-0544</t>
  </si>
  <si>
    <t>SPHERO Code Mat "indi Land &amp; Grid" 2-sided (includes Activity Cards)</t>
  </si>
  <si>
    <t>810-0230</t>
  </si>
  <si>
    <t>SPHERO Code Mat "Maze &amp; Grid" 2-sided</t>
  </si>
  <si>
    <t>CODEMAT02_MAT</t>
  </si>
  <si>
    <t>SPHERO Code Mat "Space &amp; Soccer" 2-sided</t>
  </si>
  <si>
    <t>FC-S</t>
  </si>
  <si>
    <t>SPHERO EDU &amp; BOLT Self-Guided PD Online Course</t>
  </si>
  <si>
    <t>980-0529</t>
  </si>
  <si>
    <t>SPHERO indi At-Home Learning Kit</t>
  </si>
  <si>
    <t>980-0532</t>
  </si>
  <si>
    <t>SPHERO indi Education Class Pack (8 robots)</t>
  </si>
  <si>
    <t>FC-IN</t>
  </si>
  <si>
    <t>SPHERO indi Self-Guided PD Online Course</t>
  </si>
  <si>
    <t>980-0530</t>
  </si>
  <si>
    <t>SPHERO indi Student Kit</t>
  </si>
  <si>
    <t>M001BRW</t>
  </si>
  <si>
    <t>SPHERO Mini (Blue)</t>
  </si>
  <si>
    <t>M001GRW</t>
  </si>
  <si>
    <t>SPHERO Mini (Green)</t>
  </si>
  <si>
    <t>M001RW2</t>
  </si>
  <si>
    <t>SPHERO Mini Activity Kit</t>
  </si>
  <si>
    <t>M001SRW</t>
  </si>
  <si>
    <t>SPHERO Mini Soccer</t>
  </si>
  <si>
    <t>RV01ABLTT01</t>
  </si>
  <si>
    <t>SPHERO RVR Tank Treads (Blue)</t>
  </si>
  <si>
    <t>940-0702</t>
  </si>
  <si>
    <t>SPHERO RVR+ Blueprint Plate</t>
  </si>
  <si>
    <t>940-0605</t>
  </si>
  <si>
    <t>SPHERO RVR+ Class Pack (6 robots)</t>
  </si>
  <si>
    <t>FC-RV</t>
  </si>
  <si>
    <t>SPHERO RVR+ Self-Guided PD Online Course</t>
  </si>
  <si>
    <t>940-0601</t>
  </si>
  <si>
    <t>SPHERO RVR+ Single</t>
  </si>
  <si>
    <t>940-0513</t>
  </si>
  <si>
    <t>SPHERO RVR+ Spare Battery</t>
  </si>
  <si>
    <t>STANLEY ROGERS</t>
  </si>
  <si>
    <t>50484_SR</t>
  </si>
  <si>
    <t>STANLEY ROGERS Albany 24 Piece Cutlery Set</t>
  </si>
  <si>
    <t>50661_SR</t>
  </si>
  <si>
    <t>STANLEY ROGERS Albany 56 Piece Cutlery Set</t>
  </si>
  <si>
    <t>50818_SR</t>
  </si>
  <si>
    <t>STANLEY ROGERS Amsterdam 56 Piece Cutlery Set</t>
  </si>
  <si>
    <t>50480_SR</t>
  </si>
  <si>
    <t>STANLEY ROGERS Baguette 24 Piece Cutlery Set</t>
  </si>
  <si>
    <t>50501_SR</t>
  </si>
  <si>
    <t>STANLEY ROGERS Baguette 56 Piece Cutlery Set</t>
  </si>
  <si>
    <t>49051_SR</t>
  </si>
  <si>
    <t>STANLEY ROGERS Bamboo 5 Piece Cheese Set</t>
  </si>
  <si>
    <t>42305_SR</t>
  </si>
  <si>
    <t>STANLEY ROGERS BI-PLY Professional Casserole (24cm/5.0L)</t>
  </si>
  <si>
    <t>42278X_SR</t>
  </si>
  <si>
    <t>STANLEY ROGERS BI-PLY Professional Saucepan (16cm/1.5L)</t>
  </si>
  <si>
    <t>42279X_SR</t>
  </si>
  <si>
    <t>STANLEY ROGERS BI-PLY Professional Saucepan (18cm/2.2L)</t>
  </si>
  <si>
    <t>42280X_SR</t>
  </si>
  <si>
    <t>STANLEY ROGERS BI-PLY Professional Saucepan (20cm/3.0L)</t>
  </si>
  <si>
    <t>42283X_SR</t>
  </si>
  <si>
    <t>STANLEY ROGERS BI-PLY Professional Saute Pan (26cm)</t>
  </si>
  <si>
    <t>50421_SR</t>
  </si>
  <si>
    <t>STANLEY ROGERS Bistro Steak Knives 6 Piece Set</t>
  </si>
  <si>
    <t>42372_SR</t>
  </si>
  <si>
    <t>STANLEY ROGERS Cast Iron French Oven (24cm) (Bordeaux)</t>
  </si>
  <si>
    <t>42373_SR</t>
  </si>
  <si>
    <t>STANLEY ROGERS Cast Iron French Oven (24cm) (Mid Blue)</t>
  </si>
  <si>
    <t>42369_SR</t>
  </si>
  <si>
    <t>STANLEY ROGERS Cast Iron French Oven (28cm) (Bordeaux)</t>
  </si>
  <si>
    <t>42370_SR</t>
  </si>
  <si>
    <t>STANLEY ROGERS Cast Iron French Oven (28cm) (Mid Blue)</t>
  </si>
  <si>
    <t>44080_SR</t>
  </si>
  <si>
    <t>STANLEY ROGERS Cocktail 10 Piece Set</t>
  </si>
  <si>
    <t>50856_SR</t>
  </si>
  <si>
    <t>STANLEY ROGERS Lazy Susan (35x3.5cm)</t>
  </si>
  <si>
    <t>42311_SR</t>
  </si>
  <si>
    <t>STANLEY ROGERS Light Weight Cast Iron Cooks Pan (30cm)</t>
  </si>
  <si>
    <t>42310_SR</t>
  </si>
  <si>
    <t>STANLEY ROGERS Light Weight Cast Iron Frypan (28cm)</t>
  </si>
  <si>
    <t>42374_SR</t>
  </si>
  <si>
    <t>STANLEY ROGERS Magnetic Trivet (24cm) (Acacia)</t>
  </si>
  <si>
    <t>42375_SR</t>
  </si>
  <si>
    <t>STANLEY ROGERS Magnetic Trivet (28cm) (Acacia)</t>
  </si>
  <si>
    <t>4241863_SR</t>
  </si>
  <si>
    <t>STANLEY ROGERS Matrix Non-Stick Saucepan with Glass Lid (16cm / 1.7L)</t>
  </si>
  <si>
    <t>4241963_SR</t>
  </si>
  <si>
    <t>STANLEY ROGERS Matrix Non-Stick Saucepan with Glass Lid (18cm / 2.3L)</t>
  </si>
  <si>
    <t>4242163_SR</t>
  </si>
  <si>
    <t>STANLEY ROGERS Matrix Non-Stick Saucepan with Glass Lid (20cm / 3.0L)</t>
  </si>
  <si>
    <t>42376_SR</t>
  </si>
  <si>
    <t>STANLEY ROGERS Matrix Stainless Steel Non-Stick Chef Pan (28cm)</t>
  </si>
  <si>
    <t>42301_SR</t>
  </si>
  <si>
    <t>STANLEY ROGERS Matrix Stainless Steel Non-Stick Frypan (20cm)</t>
  </si>
  <si>
    <t>42302_SR</t>
  </si>
  <si>
    <t>STANLEY ROGERS Matrix Stainless Steel Non-Stick Frypan (26cm)</t>
  </si>
  <si>
    <t>42303_SR</t>
  </si>
  <si>
    <t>STANLEY ROGERS Matrix Stainless Steel Non-Stick Frypan (28cm)</t>
  </si>
  <si>
    <t>42304_SR</t>
  </si>
  <si>
    <t>STANLEY ROGERS Matrix Stainless Steel Non-Stick Frypan (32cm)</t>
  </si>
  <si>
    <t>42317_SR</t>
  </si>
  <si>
    <t>STANLEY ROGERS Matrix Stainless Steel Non-Stick Wok Pan (32cm)</t>
  </si>
  <si>
    <t>50876_SR</t>
  </si>
  <si>
    <t>STANLEY ROGERS Metropolitan 24 Piece Cutlery Set</t>
  </si>
  <si>
    <t>50874_SR</t>
  </si>
  <si>
    <t>STANLEY ROGERS Metropolitan 56 Piece Cutlery Set</t>
  </si>
  <si>
    <t>50564_SR</t>
  </si>
  <si>
    <t>STANLEY ROGERS Modena 56 Piece Cutlery Set</t>
  </si>
  <si>
    <t>50838_SR</t>
  </si>
  <si>
    <t>STANLEY ROGERS Noah 16 Piece Cutlery Set</t>
  </si>
  <si>
    <t>50839_SR</t>
  </si>
  <si>
    <t>STANLEY ROGERS Noah 30 Piece Cutlery Set</t>
  </si>
  <si>
    <t>CPI64_SR</t>
  </si>
  <si>
    <t>STANLEY ROGERS Pistol Grip Steak 6 Piece Set</t>
  </si>
  <si>
    <t>50464_SR</t>
  </si>
  <si>
    <t>STANLEY ROGERS Soho 24 Piece Cutlery Set</t>
  </si>
  <si>
    <t>50426_SR</t>
  </si>
  <si>
    <t>STANLEY ROGERS Soho 56 Piece Cutlery Set</t>
  </si>
  <si>
    <t>50468_SR</t>
  </si>
  <si>
    <t>STANLEY ROGERS Soho Steak Knives 4 Piece Set</t>
  </si>
  <si>
    <t>50758_SR</t>
  </si>
  <si>
    <t>STANLEY ROGERS Wooden Serving Platter Rectangular (Large)</t>
  </si>
  <si>
    <t>50756_SR</t>
  </si>
  <si>
    <t>STANLEY ROGERS Wooden Serving Platter Rectangular (Medium)</t>
  </si>
  <si>
    <t>50759_SR</t>
  </si>
  <si>
    <t>STANLEY ROGERS Wooden Serving Platter Round (Large)</t>
  </si>
  <si>
    <t>50760_SR</t>
  </si>
  <si>
    <t>STANLEY ROGERS Wooden Serving Platter Round (Medium)</t>
  </si>
  <si>
    <t>50782_SR</t>
  </si>
  <si>
    <t>STANLEY ROGERS Wooden Serving Platter Round (Small)</t>
  </si>
  <si>
    <t>TADO</t>
  </si>
  <si>
    <t>TADO Smart AC Control V3+</t>
  </si>
  <si>
    <t>THRONMAX</t>
  </si>
  <si>
    <t>TMAX-S1PRO</t>
  </si>
  <si>
    <t>THRONMAX Caster Stand Pro</t>
  </si>
  <si>
    <t>TMAX-50</t>
  </si>
  <si>
    <t>THRONMAX DJ Studio and Streaming Headphones</t>
  </si>
  <si>
    <t>TMAX-THX-50</t>
  </si>
  <si>
    <t>TMAX-M9</t>
  </si>
  <si>
    <t>THRONMAX Fireball 48Khz/16Bit USB Microphone</t>
  </si>
  <si>
    <t>TMAX-M20</t>
  </si>
  <si>
    <t>THRONMAX M20 Streaming Kit</t>
  </si>
  <si>
    <t>TMAX-M3</t>
  </si>
  <si>
    <t>THRONMAX Mdrill Dome jet Black 48Khz</t>
  </si>
  <si>
    <t>TMAX-M2</t>
  </si>
  <si>
    <t>THRONMAX Mdrill One Jet Black 48Khz USB Microphone</t>
  </si>
  <si>
    <t>TMAX-M2KIT</t>
  </si>
  <si>
    <t>THRONMAX Mdrill One Jet Black 48Khz USB Microphone Kit</t>
  </si>
  <si>
    <t>TMAX-M2 KIT</t>
  </si>
  <si>
    <t>THRONMAX Mdrill One Kit</t>
  </si>
  <si>
    <t>TMAX-M2PB</t>
  </si>
  <si>
    <t>THRONMAX Mdrill One Pro Jet Black 96Khz USB Microphone</t>
  </si>
  <si>
    <t>TMAX-M2PKIT</t>
  </si>
  <si>
    <t>THRONMAX Mdrill One Pro Jet Black 96Khz USB Microphone Kit</t>
  </si>
  <si>
    <t>TMAX-M8</t>
  </si>
  <si>
    <t>THRONMAX Mdrill Pulse 96Khz + Noise Cancellation USB Microphone</t>
  </si>
  <si>
    <t>TMAX-M4</t>
  </si>
  <si>
    <t>THRONMAX Mdrill Zero Jet Black 48Khz USB Microphone</t>
  </si>
  <si>
    <t>TMAX-M4 PLUS</t>
  </si>
  <si>
    <t>THRONMAX Mdrill Zero Plus Jet Black 96Khz</t>
  </si>
  <si>
    <t>TMAX-P2</t>
  </si>
  <si>
    <t>THRONMAX Metal Shock Mounting</t>
  </si>
  <si>
    <t>TMAX-S4</t>
  </si>
  <si>
    <t>THRONMAX Phantom Stand</t>
  </si>
  <si>
    <t>TMAX-P1</t>
  </si>
  <si>
    <t>THRONMAX Pop Filter</t>
  </si>
  <si>
    <t>TMAX-THX-20</t>
  </si>
  <si>
    <t>THRONMAX Skype/USB  Headset</t>
  </si>
  <si>
    <t>TMAX-X1</t>
  </si>
  <si>
    <t>THRONMAX Stream GO 1080P Webcam</t>
  </si>
  <si>
    <t>TMAX-X1PRO</t>
  </si>
  <si>
    <t>THRONMAX Stream GO PRO 1080P Webcam w/ tripod</t>
  </si>
  <si>
    <t>TMAX-C1PRO</t>
  </si>
  <si>
    <t>THRONMAX StreamMic Vlogger Pro Streaming Kit</t>
  </si>
  <si>
    <t>TMAX-THX-40</t>
  </si>
  <si>
    <t>THRONMAX Wireless Headset with Microphone</t>
  </si>
  <si>
    <t>TMAX-S3</t>
  </si>
  <si>
    <t>THRONMAX Zoom Stand</t>
  </si>
  <si>
    <t>TRAMONTINA</t>
  </si>
  <si>
    <t>TRAMONTINA Century Wood Boning Knife 6" 15cm</t>
  </si>
  <si>
    <t>TRAMONTINA Century Wood Bread Knife 8", 20cm</t>
  </si>
  <si>
    <t>TRAMONTINA Century Wood Chefs Knife 8", 20cm</t>
  </si>
  <si>
    <t>TRAMONTINA Century Wood Santoku Knife 7", 18cm</t>
  </si>
  <si>
    <t>TRAMONTINA Century Wood Utility Knife 6", 15cm</t>
  </si>
  <si>
    <t>TRAMONTINA Century Wood Utility/Carving Knife 8", 20cm</t>
  </si>
  <si>
    <t>TRAMONTINA Churrasco Barbecue Knife Block 5 Piece - Brown</t>
  </si>
  <si>
    <t>TRAMONTINA Churrasco Barbecue Knife Block 5 Piece - Red</t>
  </si>
  <si>
    <t>TRAMONTINA Churrasco Barbecue Set Polywood 2 Piece Set</t>
  </si>
  <si>
    <t>TRAMONTINA Churrasco Barbecue Set Polywood 3 Piece Set</t>
  </si>
  <si>
    <t>TRAMONTINA Churrasco Black Barbecue ABS Claws 2 Piece</t>
  </si>
  <si>
    <t>TRAMONTINA Churrasco Black Barbecue Apron</t>
  </si>
  <si>
    <t>TRAMONTINA Churrasco Black Barbecue Basting Brush</t>
  </si>
  <si>
    <t>TRAMONTINA Churrasco Black Barbecue Burger Spatula 6", 15cm</t>
  </si>
  <si>
    <t>TRAMONTINA Churrasco Black Barbecue Cutting Board 43x40cm</t>
  </si>
  <si>
    <t>TRAMONTINA Churrasco Black Barbecue Grill Brush 40cm</t>
  </si>
  <si>
    <t>TRAMONTINA Churrasco Black Barbecue Hamburger Press</t>
  </si>
  <si>
    <t>TRAMONTINA Churrasco Black Barbecue Meat Claw</t>
  </si>
  <si>
    <t>TRAMONTINA Churrasco Black Barbecue Meat Tong 45cm</t>
  </si>
  <si>
    <t>TRAMONTINA Churrasco Black Barbecue Set 5 Piece</t>
  </si>
  <si>
    <t>TRAMONTINA Churrasco Black Barbecue Spatula 45cm</t>
  </si>
  <si>
    <t>03327TR</t>
  </si>
  <si>
    <t>TRAMONTINA Enammelled Cast Iron Round Grill Press (17cm)</t>
  </si>
  <si>
    <t>TRAMONTINA Low &amp; Slow 10 Sharpener</t>
  </si>
  <si>
    <t>TRAMONTINA Low &amp; Slow Boning Knife 6", 15cm</t>
  </si>
  <si>
    <t>TRAMONTINA Low &amp; Slow Brisket Slicer 12", 30cm</t>
  </si>
  <si>
    <t>TRAMONTINA Low &amp; Slow Carving Knife, 10", 25cm</t>
  </si>
  <si>
    <t>TRAMONTINA Low &amp; Slow Pouch (Knives + Pouch) 5 Piece Set</t>
  </si>
  <si>
    <t>03319TR</t>
  </si>
  <si>
    <t>TRAMONTINA Pre-Seasoned Cast Iron Griddle Pan (26cm,1.65L)</t>
  </si>
  <si>
    <t>03317TR</t>
  </si>
  <si>
    <t>TRAMONTINA Pre-Seasoned Cast Iron Skillet Pan (30cm,3.1L)</t>
  </si>
  <si>
    <t>03318TR</t>
  </si>
  <si>
    <t>TRAMONTINA Pre-Seasoned Cast Iron Square Griddle Pan (26cm,2.2L)</t>
  </si>
  <si>
    <t>TWELVE SOUTH</t>
  </si>
  <si>
    <t>TS-2010</t>
  </si>
  <si>
    <t>TWELVE SOUTH AirFly Pro (Black)</t>
  </si>
  <si>
    <t>TW-1911</t>
  </si>
  <si>
    <t>TWELVE SOUTH AirFly Pro (White)</t>
  </si>
  <si>
    <t>TS-2511</t>
  </si>
  <si>
    <t>TWELVE SOUTH AirFly Pro 2 (Black)</t>
  </si>
  <si>
    <t>TS-2512</t>
  </si>
  <si>
    <t>TWELVE SOUTH AirFly Pro 2 (Blue)</t>
  </si>
  <si>
    <t>TS-2518</t>
  </si>
  <si>
    <t>TWELVE SOUTH AirFly Pro 2 (Evergreen)</t>
  </si>
  <si>
    <t>TS-2411</t>
  </si>
  <si>
    <t>TWELVE SOUTH AirFly Pro 2 (White)</t>
  </si>
  <si>
    <t>TS-2510</t>
  </si>
  <si>
    <t>TWELVE SOUTH AirFly Pro 2 Deluxe (White)</t>
  </si>
  <si>
    <t>TS-2305</t>
  </si>
  <si>
    <t>TWELVE SOUTH AirFly Pro Deluxe</t>
  </si>
  <si>
    <t>TS-2259</t>
  </si>
  <si>
    <t>TWELVE SOUTH AirFly SE</t>
  </si>
  <si>
    <t>TS-2412</t>
  </si>
  <si>
    <t>TWELVE SOUTH AirFly SE (Iridescent)</t>
  </si>
  <si>
    <t>TW-1803</t>
  </si>
  <si>
    <t>TWELVE SOUTH AirSnap for AirPods (Cognac)</t>
  </si>
  <si>
    <t>TS-2432</t>
  </si>
  <si>
    <t>TWELVE SOUTH ButterFly SE 2-in-1 Qi2 Travel Charger (Black)</t>
  </si>
  <si>
    <t>TS-2435</t>
  </si>
  <si>
    <t>TWELVE SOUTH ButterFly SE 2-in-1 Qi2 Travel Charger (Iridescent)</t>
  </si>
  <si>
    <t>TS-2431</t>
  </si>
  <si>
    <t>TWELVE SOUTH ButterFly SE 2-in-1 Qi2 Travel Charger (Pink)</t>
  </si>
  <si>
    <t>TS-2433</t>
  </si>
  <si>
    <t>TWELVE SOUTH ButterFly SE 2-in-1 Qi2 Travel Charger (Whte)</t>
  </si>
  <si>
    <t>TS-2201</t>
  </si>
  <si>
    <t>TWELVE SOUTH Curve Flex flexible desktop stand for MacBook / Laptops (Black)</t>
  </si>
  <si>
    <t>TS-2202</t>
  </si>
  <si>
    <t>TWELVE SOUTH Curve Flex flexible desktop stand for MacBook / Laptops (White)</t>
  </si>
  <si>
    <t>TW-1708</t>
  </si>
  <si>
    <t>TWELVE SOUTH Curve for MacBook / Laptops (Black)</t>
  </si>
  <si>
    <t>TW-1915</t>
  </si>
  <si>
    <t>TWELVE SOUTH Curve for MacBook / Laptops (White)</t>
  </si>
  <si>
    <t>TS-2563</t>
  </si>
  <si>
    <t>TWELVE SOUTH Curve Mini (Slate)</t>
  </si>
  <si>
    <t>TS-2562</t>
  </si>
  <si>
    <t>TWELVE SOUTH Curve Nano (Coastal)</t>
  </si>
  <si>
    <t>TS-2561</t>
  </si>
  <si>
    <t>TWELVE SOUTH Curve Nano (Dune)</t>
  </si>
  <si>
    <t>TS-2560</t>
  </si>
  <si>
    <t>TWELVE SOUTH Curve Nano (Slate)</t>
  </si>
  <si>
    <t>TW-1835</t>
  </si>
  <si>
    <t>TWELVE SOUTH Curve Riser for iMac and Displays</t>
  </si>
  <si>
    <t>TS-2256</t>
  </si>
  <si>
    <t>TWELVE SOUTH Curve SE stand for MacBooks and Laptops (Silver)</t>
  </si>
  <si>
    <t>TW-2040</t>
  </si>
  <si>
    <t>TWELVE SOUTH Forte for iPhone with Magsafe</t>
  </si>
  <si>
    <t>TS-24212</t>
  </si>
  <si>
    <t>TWELVE SOUTH HiRise 2 Deluxe 2-in-1 Qi2 Charger (Black)</t>
  </si>
  <si>
    <t>TS-24215</t>
  </si>
  <si>
    <t>TWELVE SOUTH HiRise 2 Deluxe 2-in-1 Qi2 Charger (White)</t>
  </si>
  <si>
    <t>TS-2211</t>
  </si>
  <si>
    <t>TWELVE SOUTH HiRise Pro for Macbook</t>
  </si>
  <si>
    <t>TW-1811</t>
  </si>
  <si>
    <t>TWELVE SOUTH HiRise Wireless</t>
  </si>
  <si>
    <t>TW-2143</t>
  </si>
  <si>
    <t>TWELVE SOUTH HoverBar Duo (2nd Gen) - Black</t>
  </si>
  <si>
    <t>TS-2208</t>
  </si>
  <si>
    <t>TWELVE SOUTH HoverBar Tower (Black)</t>
  </si>
  <si>
    <t>TW-1807</t>
  </si>
  <si>
    <t>TWELVE SOUTH Journal for Macbook Pro 15" USB-C (Cognac)</t>
  </si>
  <si>
    <t>TS-2442</t>
  </si>
  <si>
    <t>TWELVE SOUTH PlugBug with Find My: 120 Travel</t>
  </si>
  <si>
    <t>TS-2441</t>
  </si>
  <si>
    <t>TWELVE SOUTH PlugBug with Find My: 50 Travel</t>
  </si>
  <si>
    <t>TW-2019</t>
  </si>
  <si>
    <t>TWELVE SOUTH PowerPic Mod - Black</t>
  </si>
  <si>
    <t>TW-2039</t>
  </si>
  <si>
    <t>TWELVE SOUTH StayGo Mini Compact USB-C Hub</t>
  </si>
  <si>
    <t>TW-1907</t>
  </si>
  <si>
    <t>TWELVE SOUTH StayGo USB-C Multiport Hub (Black)</t>
  </si>
  <si>
    <t>TW-2115</t>
  </si>
  <si>
    <t>TWELVE SOUTH StayGo USB-C Multiport Hub (White)</t>
  </si>
  <si>
    <t>UGEE</t>
  </si>
  <si>
    <t>ZYU1200</t>
  </si>
  <si>
    <t>UGEE Pen Display Tablet U1200 11.6"</t>
  </si>
  <si>
    <t>ZYM708</t>
  </si>
  <si>
    <t>UGEE Pen Tablet M708 10x6"</t>
  </si>
  <si>
    <t>ZYS1060</t>
  </si>
  <si>
    <t>UGEE Pen Tablet S1060 10x6"</t>
  </si>
  <si>
    <t>ZYS1060W</t>
  </si>
  <si>
    <t>UGEE Pen Tablet S1060W 10x6" (Wireless)</t>
  </si>
  <si>
    <t>ZYS640</t>
  </si>
  <si>
    <t>UGEE Pen Tablet S640 6x4"</t>
  </si>
  <si>
    <t>ZYS640W</t>
  </si>
  <si>
    <t>UGEE Pen Tablet S640W 6x4" (Wireless)</t>
  </si>
  <si>
    <t>Ulike</t>
  </si>
  <si>
    <t>UI20S DB</t>
  </si>
  <si>
    <t>Ulike Air 10 Ice Cooling IPL Hair Removal Device Purple</t>
  </si>
  <si>
    <t>UI06S PR</t>
  </si>
  <si>
    <t>Ulike Air 4 Hair Removal Device Purple</t>
  </si>
  <si>
    <t>ULTIMATE EARS</t>
  </si>
  <si>
    <t>984-001374</t>
  </si>
  <si>
    <t>ULTIMATE EARS Boom 3 (Lagoon Blue)</t>
  </si>
  <si>
    <t>984-001372</t>
  </si>
  <si>
    <t>ULTIMATE EARS Boom 3 (Night Black)</t>
  </si>
  <si>
    <t>984-001377</t>
  </si>
  <si>
    <t>ULTIMATE EARS Boom 3 (Seashell Peach)</t>
  </si>
  <si>
    <t>984-001376</t>
  </si>
  <si>
    <t>ULTIMATE EARS Boom 3 (Sunset Red)</t>
  </si>
  <si>
    <t>984-001375</t>
  </si>
  <si>
    <t>ULTIMATE EARS Boom 3 (UltraViolet Purple)</t>
  </si>
  <si>
    <t>984-001644</t>
  </si>
  <si>
    <t>ULTIMATE EARS Boom 3 (Unicorn)</t>
  </si>
  <si>
    <t>984-001971</t>
  </si>
  <si>
    <t>ULTIMATE EARS Boom 4 (Black)</t>
  </si>
  <si>
    <t>984-001979</t>
  </si>
  <si>
    <t>ULTIMATE EARS Boom 4 (Blue)</t>
  </si>
  <si>
    <t>984-002013</t>
  </si>
  <si>
    <t>ULTIMATE EARS Boom 4 (Lilac)</t>
  </si>
  <si>
    <t>984-002008</t>
  </si>
  <si>
    <t>ULTIMATE EARS Boom 4 (Raspberry)</t>
  </si>
  <si>
    <t>984-001864</t>
  </si>
  <si>
    <t>ULTIMATE EARS Epicboom (Black)</t>
  </si>
  <si>
    <t>984-001868</t>
  </si>
  <si>
    <t>ULTIMATE EARS Epicboom (White)</t>
  </si>
  <si>
    <t>984-001920</t>
  </si>
  <si>
    <t>ULTIMATE EARS Everboom (Black)</t>
  </si>
  <si>
    <t>984-001925</t>
  </si>
  <si>
    <t>ULTIMATE EARS Everboom (Cobalt Blue)</t>
  </si>
  <si>
    <t>984-001935</t>
  </si>
  <si>
    <t>ULTIMATE EARS Everboom (Lilac Lime)</t>
  </si>
  <si>
    <t>984-001930</t>
  </si>
  <si>
    <t>ULTIMATE EARS Everboom (Raspberry Red)</t>
  </si>
  <si>
    <t>984-001689</t>
  </si>
  <si>
    <t>ULTIMATE EARS Hyperboom (Black)</t>
  </si>
  <si>
    <t>984-001805</t>
  </si>
  <si>
    <t>ULTIMATE EARS Hyperboom (White)</t>
  </si>
  <si>
    <t>984-001956</t>
  </si>
  <si>
    <t>ULTIMATE EARS Hyperboom USB-C (Black)</t>
  </si>
  <si>
    <t>984-001416</t>
  </si>
  <si>
    <t>ULTIMATE EARS Megaboom 3 (Lagoon Blue)</t>
  </si>
  <si>
    <t>984-001414</t>
  </si>
  <si>
    <t>ULTIMATE EARS Megaboom 3 (Night Black)</t>
  </si>
  <si>
    <t>984-001419</t>
  </si>
  <si>
    <t>ULTIMATE EARS Megaboom 3 (Seashell Peach)</t>
  </si>
  <si>
    <t>984-001418</t>
  </si>
  <si>
    <t>ULTIMATE EARS Megaboom 3 (Sunset Red)</t>
  </si>
  <si>
    <t>984-001417</t>
  </si>
  <si>
    <t>ULTIMATE EARS Megaboom 3 (Ultraviolet Purple)</t>
  </si>
  <si>
    <t>984-001983</t>
  </si>
  <si>
    <t>ULTIMATE EARS Megaboom 4 (Black)</t>
  </si>
  <si>
    <t>984-001993</t>
  </si>
  <si>
    <t>ULTIMATE EARS Megaboom 4 (Blue)</t>
  </si>
  <si>
    <t>984-002003</t>
  </si>
  <si>
    <t>ULTIMATE EARS Megaboom 4 - (Lilac)</t>
  </si>
  <si>
    <t>984-001998</t>
  </si>
  <si>
    <t>ULTIMATE EARS Megaboom 4 - (Raspberry)</t>
  </si>
  <si>
    <t>984-002018</t>
  </si>
  <si>
    <t>ULTIMATE EARS Miniroll (Black)</t>
  </si>
  <si>
    <t>984-002023</t>
  </si>
  <si>
    <t>ULTIMATE EARS Miniroll - (Blue)</t>
  </si>
  <si>
    <t>984-002028</t>
  </si>
  <si>
    <t>ULTIMATE EARS Miniroll - (Grey)</t>
  </si>
  <si>
    <t>984-002036</t>
  </si>
  <si>
    <t>ULTIMATE EARS Miniroll - (Pink)</t>
  </si>
  <si>
    <t>984-001547</t>
  </si>
  <si>
    <t>ULTIMATE EARS WonderBoom 2 (Deep Space Black)</t>
  </si>
  <si>
    <t>984-001845</t>
  </si>
  <si>
    <t>ULTIMATE EARS WonderBoom 3 (Active Black)</t>
  </si>
  <si>
    <t>984-001847</t>
  </si>
  <si>
    <t>ULTIMATE EARS WonderBoom 3 (Hyper Pink)</t>
  </si>
  <si>
    <t>984-001848</t>
  </si>
  <si>
    <t>ULTIMATE EARS WonderBoom 3 (Joyous Brights)</t>
  </si>
  <si>
    <t>984-001846</t>
  </si>
  <si>
    <t>ULTIMATE EARS WonderBoom 3 (Performance Blue)</t>
  </si>
  <si>
    <t>984-001882</t>
  </si>
  <si>
    <t>ULTIMATE EARS Wonderboom 4 (Black)</t>
  </si>
  <si>
    <t>984-001883</t>
  </si>
  <si>
    <t>ULTIMATE EARS Wonderboom 4 (Blue)</t>
  </si>
  <si>
    <t>984-001887</t>
  </si>
  <si>
    <t>ULTIMATE EARS Wonderboom 4 (Enchanting Lilac)</t>
  </si>
  <si>
    <t>984-001885</t>
  </si>
  <si>
    <t>ULTIMATE EARS Wonderboom 4 (Joyous Brights)</t>
  </si>
  <si>
    <t>984-001884</t>
  </si>
  <si>
    <t>ULTIMATE EARS Wonderboom 4 (Pink)</t>
  </si>
  <si>
    <t>984-001947</t>
  </si>
  <si>
    <t>ULTIMATE EARS Wonderboom Play (Black)</t>
  </si>
  <si>
    <t>VICTORINOX</t>
  </si>
  <si>
    <t>6.7193.9</t>
  </si>
  <si>
    <t>VICTORINOX Classic 10 Piece Block Set (Black)</t>
  </si>
  <si>
    <t>6.7153.11</t>
  </si>
  <si>
    <t>VICTORINOX Classic 12 Piece Block Set (Black)</t>
  </si>
  <si>
    <t>6.7173.8</t>
  </si>
  <si>
    <t>VICTORINOX Classic 9 Piece Block Set (Black)</t>
  </si>
  <si>
    <t>6.8633.21G</t>
  </si>
  <si>
    <t>VICTORINOX Classic Bread Wavy Edge Knife 21cm (Black)</t>
  </si>
  <si>
    <t>6.7133.2G</t>
  </si>
  <si>
    <t>VICTORINOX Classic Carving 2 Piece Set (Black)</t>
  </si>
  <si>
    <t>6.8083.20G</t>
  </si>
  <si>
    <t>VICTORINOX Classic Cooks Carving Extra Wide Fluted Blade Knife 20cm (Black)</t>
  </si>
  <si>
    <t>6.8063.20G</t>
  </si>
  <si>
    <t>VICTORINOX Classic Cooks Carving Extra Wide Straight Edge Knife 20cm (Black)</t>
  </si>
  <si>
    <t>6.8023.25G</t>
  </si>
  <si>
    <t>VICTORINOX Classic Cooks Carving Fluted Blade Knife 25cm (Black)</t>
  </si>
  <si>
    <t>6.8003.19G</t>
  </si>
  <si>
    <t>VICTORINOX Classic Cooks Carving Straight Edge Knife 19cm (Black)</t>
  </si>
  <si>
    <t>6.8003.22G</t>
  </si>
  <si>
    <t>VICTORINOX Classic Cooks Carving Straight Edge Knife 22cm (Black)</t>
  </si>
  <si>
    <t>6.8003.25G</t>
  </si>
  <si>
    <t>VICTORINOX Classic Cooks Carving Straight Edge Knife 25cm (Black)</t>
  </si>
  <si>
    <t>6.7143.5</t>
  </si>
  <si>
    <t>VICTORINOX Classic In-Drawer 6 Piece Set (Black)</t>
  </si>
  <si>
    <t>6.7133.4G</t>
  </si>
  <si>
    <t>VICTORINOX Classic Kitchen 4 Piece Set (Black)</t>
  </si>
  <si>
    <t>6.7131.4G</t>
  </si>
  <si>
    <t>VICTORINOX Classic Kitchen 4 Piece Set (Red)</t>
  </si>
  <si>
    <t>6.7133.5G</t>
  </si>
  <si>
    <t>VICTORINOX Classic Kitchen 5 Piece Set (Black)</t>
  </si>
  <si>
    <t>6.7133.7G</t>
  </si>
  <si>
    <t>VICTORINOX Classic Kitchen 7 Piece Set (Black)</t>
  </si>
  <si>
    <t>6.7113.3G</t>
  </si>
  <si>
    <t>VICTORINOX Classic Paring Knife 3 Piece Set (Black)</t>
  </si>
  <si>
    <t>6.7113.6G</t>
  </si>
  <si>
    <t>VICTORINOX Classic Paring Knife 6 Piece Set (Black)</t>
  </si>
  <si>
    <t>6.7111.6G</t>
  </si>
  <si>
    <t>VICTORINOX Classic Paring Knife 6 Piece Set (Red)</t>
  </si>
  <si>
    <t>6.7833.FB</t>
  </si>
  <si>
    <t>VICTORINOX Classic Paring Wavy Edge Foldable Knife 11cm (Black)</t>
  </si>
  <si>
    <t>6.7836.F4B</t>
  </si>
  <si>
    <t>VICTORINOX Classic Paring Wavy Edge Foldable Knife 11cm (Green)</t>
  </si>
  <si>
    <t>6.7836.F9B</t>
  </si>
  <si>
    <t>VICTORINOX Classic Paring Wavy Edge Foldable Knife 11cm (Orange)</t>
  </si>
  <si>
    <t>6.7836.F5B</t>
  </si>
  <si>
    <t>VICTORINOX Classic Paring Wavy Edge Foldable Knife 11cm (Pink)</t>
  </si>
  <si>
    <t>6.7831.FB</t>
  </si>
  <si>
    <t>VICTORINOX Classic Paring Wavy Edge Foldable Knife 11cm (Red)</t>
  </si>
  <si>
    <t>6.7836.F8B</t>
  </si>
  <si>
    <t>VICTORINOX Classic Paring Wavy Edge Foldable Knife 11cm (Yellow)</t>
  </si>
  <si>
    <t>6.7793.B</t>
  </si>
  <si>
    <t>VICTORINOX Classic Paring Wavy Edge Pointed &amp; Straight Edge Knife 2 Piece Set 10cm (Black)</t>
  </si>
  <si>
    <t>6.7796.L4B</t>
  </si>
  <si>
    <t>VICTORINOX Classic Paring Wavy Edge Pointed &amp; Straight Edge Knife 2 Piece Set 10cm (Green)</t>
  </si>
  <si>
    <t>6.7796.L9B</t>
  </si>
  <si>
    <t>VICTORINOX Classic Paring Wavy Edge Pointed &amp; Straight Edge Knife 2 Piece Set 10cm (Orange)</t>
  </si>
  <si>
    <t>6.7796.L5B</t>
  </si>
  <si>
    <t>VICTORINOX Classic Paring Wavy Edge Pointed &amp; Straight Edge Knife 2 Piece Set 10cm (Pink)</t>
  </si>
  <si>
    <t>6.7796.L8B</t>
  </si>
  <si>
    <t>VICTORINOX Classic Paring Wavy Edge Pointed &amp; Straight Edge Knife 2 Piece Set 10cm (Yellow)</t>
  </si>
  <si>
    <t>6.8523.17G</t>
  </si>
  <si>
    <t>VICTORINOX Classic Santoku Fluted Wide Blade Knife 17cm (Black)</t>
  </si>
  <si>
    <t>6.8503.17G</t>
  </si>
  <si>
    <t>VICTORINOX Classic Santoku Wide Blade Knife 17cm (Black)</t>
  </si>
  <si>
    <t>6.7933.12B</t>
  </si>
  <si>
    <t>VICTORINOX Classic Steak &amp; Pizza Wide Blade Wavy Edge Knife 2 Piece Set 12cm (Black)</t>
  </si>
  <si>
    <t>6.7936.12L4B</t>
  </si>
  <si>
    <t>VICTORINOX Classic Steak &amp; Pizza Wide Blade Wavy Edge Knife 2 Piece Set 12cm (Green)</t>
  </si>
  <si>
    <t>6.7936.12L5B</t>
  </si>
  <si>
    <t>VICTORINOX Classic Steak &amp; Pizza Wide Blade Wavy Edge Knife 2 Piece Set 12cm (Pink)</t>
  </si>
  <si>
    <t>6.7833.12</t>
  </si>
  <si>
    <t>VICTORINOX Classic Steak &amp; Tomato Round Tip Wavy Edge Knife 12 Piece Set 11cm (Black)</t>
  </si>
  <si>
    <t>6.7833.24</t>
  </si>
  <si>
    <t>VICTORINOX Classic Steak &amp; Tomato Round Tip Wavy Edge Knife 24 Piece Set 11cm (Black)</t>
  </si>
  <si>
    <t>6.7833.6</t>
  </si>
  <si>
    <t>VICTORINOX Classic Steak &amp; Tomato Round Tip Wavy Edge Knife 6 Piece Set 11cm (Black)</t>
  </si>
  <si>
    <t>6.7832.6</t>
  </si>
  <si>
    <t>VICTORINOX Classic Steak &amp; Tomato Round Tip Wavy Edge Knife 6 Piece Set 11cm (Blue)</t>
  </si>
  <si>
    <t>6.7833.8</t>
  </si>
  <si>
    <t>VICTORINOX Classic Steak &amp; Tomato Round Tip Wavy Edge Knife 8 Piece Set 11cm (Black)</t>
  </si>
  <si>
    <t>6.7233.6</t>
  </si>
  <si>
    <t>VICTORINOX Classic Steak Wavy Edge Pointed Knife 6 Piece Set 11cm (Black)</t>
  </si>
  <si>
    <t>6.7232.6</t>
  </si>
  <si>
    <t>VICTORINOX Classic Steak Wavy Edge Pointed Knife 6 Piece Set 11cm (Blue)</t>
  </si>
  <si>
    <t>6.7903.12B</t>
  </si>
  <si>
    <t>VICTORINOX Classic Steak Wide Blade Straight Edge Knife 2 Piece Set 12cm (Black)</t>
  </si>
  <si>
    <t>6.7839.6G</t>
  </si>
  <si>
    <t>VICTORINOX Classic Tomato &amp; Table Knife 6 Piece Set 11cm (Multi Colour)</t>
  </si>
  <si>
    <t>7.7243.3</t>
  </si>
  <si>
    <t>VICTORINOX Forged Chefs 3 Piece Set (Black)</t>
  </si>
  <si>
    <t>VICTORINOX Kitchen Sharpening Oval Middle Fine Cut Steel 27cm (Black)</t>
  </si>
  <si>
    <t>VICTORINOX Kitchen Sharpening Round Middle Fine Cut Steel 20cm (Wood)</t>
  </si>
  <si>
    <t>VICTORINOX Kitchen Sharpening Round Middle Fine Cut Steel 27cm (Black)</t>
  </si>
  <si>
    <t>5.1113.6</t>
  </si>
  <si>
    <t>VICTORINOX Standard Paring Knife 6 Piece Set (Black)</t>
  </si>
  <si>
    <t>5.1111.6</t>
  </si>
  <si>
    <t>VICTORINOX Standard Paring Knife 6 Piece Set (Red)</t>
  </si>
  <si>
    <t>VICTORINOX Swibo Ultimate Filleting 3 Piece Set</t>
  </si>
  <si>
    <t>6.9070.22WG</t>
  </si>
  <si>
    <t>VICTORINOX Swiss Modern Bread &amp; Pastry Knife 22cm (Walnut)</t>
  </si>
  <si>
    <t>6.9010.22G</t>
  </si>
  <si>
    <t>VICTORINOX Swiss Modern Carving Knife 22cm (Walnut)</t>
  </si>
  <si>
    <t>6.9050.17KG</t>
  </si>
  <si>
    <t>VICTORINOX Swiss Modern Santoku Knife 17cm (Walnut)</t>
  </si>
  <si>
    <t>6.9093.11W12</t>
  </si>
  <si>
    <t>VICTORINOX Swiss Modern Tomato Knife 12 Piece Table Set (Black)</t>
  </si>
  <si>
    <t>6.909611W212</t>
  </si>
  <si>
    <t>VICTORINOX Swiss Modern Tomato Knife 12 Piece Table Set (Cornflower)</t>
  </si>
  <si>
    <t>6909611W4112</t>
  </si>
  <si>
    <t>VICTORINOX Swiss Modern Tomato Knife 12 Piece Table Set (Mint)</t>
  </si>
  <si>
    <t>6.9093.11W24</t>
  </si>
  <si>
    <t>VICTORINOX Swiss Modern Tomato Knife 24 Piece Table Set (Black)</t>
  </si>
  <si>
    <t>6.909611W224</t>
  </si>
  <si>
    <t>VICTORINOX Swiss Modern Tomato Knife 24 Piece Table Set (Cornflower)</t>
  </si>
  <si>
    <t>6909611W4124</t>
  </si>
  <si>
    <t>VICTORINOX Swiss Modern Tomato Knife 24 Piece Table Set (Mint)</t>
  </si>
  <si>
    <t>5.1150.11</t>
  </si>
  <si>
    <t>VICTORINOX Wood 12 Piece Block Set</t>
  </si>
  <si>
    <t>5.1020.2G</t>
  </si>
  <si>
    <t>VICTORINOX Wood 2 Piece Carving Set</t>
  </si>
  <si>
    <t>5.1050.3G</t>
  </si>
  <si>
    <t>VICTORINOX Wood 3 Piece Carving Set</t>
  </si>
  <si>
    <t>5.1630.21G</t>
  </si>
  <si>
    <t>VICTORINOX Wood Bread Wavy Edge Knife 21cm</t>
  </si>
  <si>
    <t>5.2000.19G</t>
  </si>
  <si>
    <t>VICTORINOX Wood Cooks Carving Knife 19cm</t>
  </si>
  <si>
    <t>5.2000.22G</t>
  </si>
  <si>
    <t>VICTORINOX Wood Cooks Carving Knife 22cm</t>
  </si>
  <si>
    <t>5.2000.25G</t>
  </si>
  <si>
    <t>VICTORINOX Wood Cooks Carving Knife 25cm</t>
  </si>
  <si>
    <t>5.2000.28G</t>
  </si>
  <si>
    <t>VICTORINOX Wood Cooks Carving Knife 28cm</t>
  </si>
  <si>
    <t>7.7240.2</t>
  </si>
  <si>
    <t>VICTORINOX Wood Forged Carving 2 Piece Set (3 Rivet)</t>
  </si>
  <si>
    <t>7.7400.15G</t>
  </si>
  <si>
    <t>VICTORINOX Wood Forged Chefs Straight Edge Knife 15cm (3 Rivet)</t>
  </si>
  <si>
    <t>7.7400.20G</t>
  </si>
  <si>
    <t>VICTORINOX Wood Forged Chefs Straight Edge Knife 20cm (3 Rivet)</t>
  </si>
  <si>
    <t>7.7200.10G</t>
  </si>
  <si>
    <t>VICTORINOX Wood Forged Kitchen Plain Edge Knife 10cm (3 Rivet)</t>
  </si>
  <si>
    <t>7.7320.17G</t>
  </si>
  <si>
    <t>VICTORINOX Wood Forged Santoku Fluted Blade Knife (3 Rivet)</t>
  </si>
  <si>
    <t>6.8520.17G</t>
  </si>
  <si>
    <t>VICTORINOX Wood Santoku Fluted Wide Blade Knife 17cm</t>
  </si>
  <si>
    <t>6.8500.17G</t>
  </si>
  <si>
    <t>VICTORINOX Wood Santoku Wide Blade Knife 17cm</t>
  </si>
  <si>
    <t>VITAMIX</t>
  </si>
  <si>
    <t>74371_VM</t>
  </si>
  <si>
    <t>VITAMIX Ascent A3500i Gold Label Blender (Matt Blue)</t>
  </si>
  <si>
    <t>74391_VM</t>
  </si>
  <si>
    <t>VITAMIX Ascent A3500i Gold Label Blender (White)</t>
  </si>
  <si>
    <t>071197_VM</t>
  </si>
  <si>
    <t>VITAMIX Ascent AER Blade Jug 1.4L</t>
  </si>
  <si>
    <t>068391_VM</t>
  </si>
  <si>
    <t>VITAMIX Ascent Blending Starter Kit (1 x 225ml Bowl Set, 1 x 600ml Cup Set and Blade Base)</t>
  </si>
  <si>
    <t>071194_VM</t>
  </si>
  <si>
    <t>VITAMIX Ascent Dry Blade Jug 1.4L</t>
  </si>
  <si>
    <t>065207_VM</t>
  </si>
  <si>
    <t>VITAMIX Ascent Low Profile Container 2L</t>
  </si>
  <si>
    <t>065302_VM</t>
  </si>
  <si>
    <t>VITAMIX Ascent Series A2300i High Performance Blender (Black)</t>
  </si>
  <si>
    <t>065332_VM</t>
  </si>
  <si>
    <t>VITAMIX Ascent Series A2300i High Performance Blender (Red)</t>
  </si>
  <si>
    <t>065333_VM</t>
  </si>
  <si>
    <t>VITAMIX Ascent Series A2300i High Performance Blender (Slate)</t>
  </si>
  <si>
    <t>065331_VM</t>
  </si>
  <si>
    <t>VITAMIX Ascent Series A2300I High Performance Blender (White)</t>
  </si>
  <si>
    <t>063209_VM</t>
  </si>
  <si>
    <t>VITAMIX Ascent Series A2500I High Performance Blender (Black)</t>
  </si>
  <si>
    <t>063211_VM</t>
  </si>
  <si>
    <t>VITAMIX Ascent Series A2500i High Performance Blender (Red)</t>
  </si>
  <si>
    <t>063212_VM</t>
  </si>
  <si>
    <t>VITAMIX Ascent Series A2500i High Performance Blender (Slate)</t>
  </si>
  <si>
    <t>063210_VM</t>
  </si>
  <si>
    <t>VITAMIX Ascent Series A2500i High Performance Blender (White)</t>
  </si>
  <si>
    <t>068011_VM</t>
  </si>
  <si>
    <t>VITAMIX Ascent Series A3500I High Performance Blender (Black Stainless)</t>
  </si>
  <si>
    <t>063213_VM</t>
  </si>
  <si>
    <t>VITAMIX Ascent Series A3500i High Performance Blender (Brushed Stainless)</t>
  </si>
  <si>
    <t>074731_VM</t>
  </si>
  <si>
    <t>VITAMIX Ascent Series A3500i High-Performance Blender (Bundle)</t>
  </si>
  <si>
    <t>069853_VM</t>
  </si>
  <si>
    <t>VITAMIX Ascent Series A3500i High-Performance Blender - Bundle Collection (Black Stainless)</t>
  </si>
  <si>
    <t>071191_VM</t>
  </si>
  <si>
    <t>VITAMIX Ascent Wet Blade Jug 1.4L</t>
  </si>
  <si>
    <t>016208_VM</t>
  </si>
  <si>
    <t>VITAMIX Explorian Classic Dry Grains Container 900ml (Lid, Cap &amp; Blade)</t>
  </si>
  <si>
    <t>016221_VM</t>
  </si>
  <si>
    <t>VITAMIX Explorian Classic Wet Container 1.4L (Lid/Cap/Blade/Tamper)</t>
  </si>
  <si>
    <t>061048_VM</t>
  </si>
  <si>
    <t>VITAMIX Explorian Classic Wet Container 900ml (Lid/Cap/Blade/Tamper)</t>
  </si>
  <si>
    <t>061050_VM</t>
  </si>
  <si>
    <t>VITAMIX Explorian Classic Wet Container Tall 2L (Lid/Cap/Blade/Tamper)</t>
  </si>
  <si>
    <t>066571_VM</t>
  </si>
  <si>
    <t>VITAMIX Explorian E310 High Performance Blender (Black)</t>
  </si>
  <si>
    <t>066572_VM</t>
  </si>
  <si>
    <t>VITAMIX Explorian E310 High Performance Blender (White)</t>
  </si>
  <si>
    <t>057704_VM</t>
  </si>
  <si>
    <t>072493_VM</t>
  </si>
  <si>
    <t>VITAMIX Explorian Personal Cup Adapter Set (1 x Adapter and 2 x 600ml Cups)</t>
  </si>
  <si>
    <t>063229_VMGWP</t>
  </si>
  <si>
    <t>VITAMIX On the Go Travel Cup</t>
  </si>
  <si>
    <t>WITHINGS</t>
  </si>
  <si>
    <t>SCT02-02</t>
  </si>
  <si>
    <t>Withings BeamO 4-in-1 Multiscan Device</t>
  </si>
  <si>
    <t>WBS05-BLACK</t>
  </si>
  <si>
    <t>WITHINGS Body + Scale (Black)</t>
  </si>
  <si>
    <t>WBS05-BLACK-old</t>
  </si>
  <si>
    <t>WBS05-WHITE-old</t>
  </si>
  <si>
    <t>WITHINGS Body + Scale (White)</t>
  </si>
  <si>
    <t>WBS05-WHITE</t>
  </si>
  <si>
    <t>WBS06-BLACK-old</t>
  </si>
  <si>
    <t>WITHINGS Body BMI Wifi Scale (Black)</t>
  </si>
  <si>
    <t>WBS06-BLACK</t>
  </si>
  <si>
    <t>WBS06-WHITE</t>
  </si>
  <si>
    <t>WITHINGS Body BMI Wifi Scale (White)</t>
  </si>
  <si>
    <t>WBS06-WHITE-old</t>
  </si>
  <si>
    <t>WBS04-BLACK-old</t>
  </si>
  <si>
    <t>WITHINGS Body Cardio Scale (Black)</t>
  </si>
  <si>
    <t>WBS04-BLACK</t>
  </si>
  <si>
    <t>WBS12-Black</t>
  </si>
  <si>
    <t>WITHINGS Body Comp Scale - Black</t>
  </si>
  <si>
    <t>WBS12-Black-old</t>
  </si>
  <si>
    <t>WBS08-Black-old</t>
  </si>
  <si>
    <t>WITHINGS Body Scan Scale - Black</t>
  </si>
  <si>
    <t>WBS08-Black</t>
  </si>
  <si>
    <t>WBS13-Black-old</t>
  </si>
  <si>
    <t>WITHINGS Body Smart Scale - Black</t>
  </si>
  <si>
    <t>WBS13-Black</t>
  </si>
  <si>
    <t>WBS13-White-old</t>
  </si>
  <si>
    <t>WITHINGS Body Smart Scale - White</t>
  </si>
  <si>
    <t>WBS13-White</t>
  </si>
  <si>
    <t>WPM-05-AU-old</t>
  </si>
  <si>
    <t>WITHINGS BPM Connect Wireless Blood Pressure Monitor</t>
  </si>
  <si>
    <t>WPM-05-AU</t>
  </si>
  <si>
    <t>WPM-04-AU</t>
  </si>
  <si>
    <t>WITHINGS BPM CoreWireless Blood Pressure Monitor</t>
  </si>
  <si>
    <t>WPM-04-AU-old</t>
  </si>
  <si>
    <t>DB-HWA10-model-9</t>
  </si>
  <si>
    <t>WITHINGS Dummy Box - Scanwatch Nova Black</t>
  </si>
  <si>
    <t>DB-HWA10-model-7</t>
  </si>
  <si>
    <t>WITHINGS Dummy Box - Scanwatch Nova Blue</t>
  </si>
  <si>
    <t>DB-HWA10-model-8</t>
  </si>
  <si>
    <t>WITHINGS Dummy Box - Scanwatch Nova Green</t>
  </si>
  <si>
    <t>HWA03B-WHITE-SPORT-AU</t>
  </si>
  <si>
    <t>Withings HR Sport Smart Watch - White</t>
  </si>
  <si>
    <t>SCALEHOLDER-1</t>
  </si>
  <si>
    <t>WITHINGS Scales Holder</t>
  </si>
  <si>
    <t>HWA10-model-1-old</t>
  </si>
  <si>
    <t>Withings Scanwatch 2 38 Black</t>
  </si>
  <si>
    <t>HWA10-model-1</t>
  </si>
  <si>
    <t>HWA10-model-2-old</t>
  </si>
  <si>
    <t>Withings Scanwatch 2 38 White</t>
  </si>
  <si>
    <t>HWA10-model-2</t>
  </si>
  <si>
    <t>HWA10-model-4</t>
  </si>
  <si>
    <t>Withings Scanwatch 2 42mm Black</t>
  </si>
  <si>
    <t>HWA10-model-4-old</t>
  </si>
  <si>
    <t>HWA10-model-3</t>
  </si>
  <si>
    <t>Withings Scanwatch 2 Rose Gold</t>
  </si>
  <si>
    <t>HWA10-model-3-old</t>
  </si>
  <si>
    <t>HWA09-model-2-old</t>
  </si>
  <si>
    <t>WITHINGS Scanwatch 38 mm (Black)</t>
  </si>
  <si>
    <t>HWA09-model-2</t>
  </si>
  <si>
    <t>HWA09-model-1</t>
  </si>
  <si>
    <t>WITHINGS Scanwatch 38 mm (White)</t>
  </si>
  <si>
    <t>HWA09-model-1-old</t>
  </si>
  <si>
    <t>HWA09-model-5-old</t>
  </si>
  <si>
    <t>WITHINGS ScanWatch 38mm (Rose Gold)</t>
  </si>
  <si>
    <t>HWA09-model-5</t>
  </si>
  <si>
    <t>HWA09-model-4-old</t>
  </si>
  <si>
    <t>WITHINGS Scanwatch 42 mm (Black)</t>
  </si>
  <si>
    <t>HWA09-model-4</t>
  </si>
  <si>
    <t>HWA09-model-3</t>
  </si>
  <si>
    <t>WITHINGS Scanwatch 42 mm (White)</t>
  </si>
  <si>
    <t>HWA09-model-3-old</t>
  </si>
  <si>
    <t>HWA09-model-7-old</t>
  </si>
  <si>
    <t>WITHINGS ScanWatch Horizon (Blue)</t>
  </si>
  <si>
    <t>HWA09-model-7</t>
  </si>
  <si>
    <t>HWA09-model-8</t>
  </si>
  <si>
    <t>WITHINGS ScanWatch Horizon (Green)</t>
  </si>
  <si>
    <t>HWA09-model-8-old</t>
  </si>
  <si>
    <t>HWA11-model-5-old</t>
  </si>
  <si>
    <t>Withings Scanwatch Light 37 mm Black</t>
  </si>
  <si>
    <t>HWA11-model-5</t>
  </si>
  <si>
    <t>HWA11-model-3-old</t>
  </si>
  <si>
    <t>Withings Scanwatch Light 37 mm White</t>
  </si>
  <si>
    <t>HWA11-model-3</t>
  </si>
  <si>
    <t>HWA11-model-1</t>
  </si>
  <si>
    <t>Withings Scanwatch Light 37mm Rose Gold</t>
  </si>
  <si>
    <t>HWA11-model-1-OLD</t>
  </si>
  <si>
    <t>HWA10-model-9</t>
  </si>
  <si>
    <t>Withings Scanwatch Nova Black</t>
  </si>
  <si>
    <t>HWA10-model-9-old</t>
  </si>
  <si>
    <t>HWA10-model-7</t>
  </si>
  <si>
    <t>Withings Scanwatch Nova Blue</t>
  </si>
  <si>
    <t>HWA10-model-7-old</t>
  </si>
  <si>
    <t>HWA10-model-8-old</t>
  </si>
  <si>
    <t>Withings Scanwatch Nova Green</t>
  </si>
  <si>
    <t>HWA10-model-8</t>
  </si>
  <si>
    <t>WSM02-ANALYSER</t>
  </si>
  <si>
    <t>WITHINGS Sleep Analyser</t>
  </si>
  <si>
    <t>WSM02-ANALYSER-old</t>
  </si>
  <si>
    <t>SCT01-N-AU</t>
  </si>
  <si>
    <t>WITHINGS Thermo</t>
  </si>
  <si>
    <t>SCT01-N-AU-old</t>
  </si>
  <si>
    <t>SCT01-N-AU-DUMMY</t>
  </si>
  <si>
    <t>WITHINGS Thermo - Dummy units</t>
  </si>
  <si>
    <t>XENCELABS</t>
  </si>
  <si>
    <t>XMCPH5</t>
  </si>
  <si>
    <t>XENCELABS 3 Button Pen</t>
  </si>
  <si>
    <t>XMCFN10</t>
  </si>
  <si>
    <t>XENCELABS Felt Nibs - 10pk</t>
  </si>
  <si>
    <t>XMCLGL</t>
  </si>
  <si>
    <t>XENCELABS Glove Large</t>
  </si>
  <si>
    <t>XMCLGM</t>
  </si>
  <si>
    <t>XENCELABS Glove Medium</t>
  </si>
  <si>
    <t>XMCLGS</t>
  </si>
  <si>
    <t>XENCELABS Glove Small</t>
  </si>
  <si>
    <t>LPH2412U-A</t>
  </si>
  <si>
    <t>XENCELABS Pen Display 24"</t>
  </si>
  <si>
    <t>XMCTBMFRES-SE</t>
  </si>
  <si>
    <t>XENCELABS Pen Tablet Bundle Medium SE (White)</t>
  </si>
  <si>
    <t>XMCTSMED</t>
  </si>
  <si>
    <t>XENCELABS Pen Tablet M EDU PACK</t>
  </si>
  <si>
    <t>XMCTSMFRES</t>
  </si>
  <si>
    <t>XENCELABS Pen Tablet Medium</t>
  </si>
  <si>
    <t>XMCTBMFRES</t>
  </si>
  <si>
    <t>XENCELABS Pen Tablet Medium Bundle</t>
  </si>
  <si>
    <t>XMCTSSFRES</t>
  </si>
  <si>
    <t>XENCELABS Pen Tablet Small</t>
  </si>
  <si>
    <t>XMCQKFRES</t>
  </si>
  <si>
    <t>XENCELABS Quick Keys</t>
  </si>
  <si>
    <t>XMCPN10</t>
  </si>
  <si>
    <t>XENCELABS Standard Nibs - 10pk</t>
  </si>
  <si>
    <t>XMCPH6</t>
  </si>
  <si>
    <t>XENCELABS Thin Pen</t>
  </si>
  <si>
    <t>ZOWIE</t>
  </si>
  <si>
    <t>EC-2</t>
  </si>
  <si>
    <t>ZOWIE EC-2 (Medium) Mouse for Esports</t>
  </si>
  <si>
    <t>EC2-C</t>
  </si>
  <si>
    <t>ZOWIE EC2-C (Medium) Mouse for Esports</t>
  </si>
  <si>
    <t>EC3-C</t>
  </si>
  <si>
    <t>ZOWIE EC3-C (Small) Mouse for Esports</t>
  </si>
  <si>
    <t>S1-C</t>
  </si>
  <si>
    <t>ZOWIE S1-C (Medium) Mouse for Esports</t>
  </si>
  <si>
    <t>XL2411K</t>
  </si>
  <si>
    <t>ZOWIE XL2411K TN 144Hz DyAc 24 Inch Gaming Monitor for Esports</t>
  </si>
  <si>
    <t>XL2546K</t>
  </si>
  <si>
    <t>ZOWIE XL2546K TN 240Hz DyAc+ 24.5 Inch Gaming Monitor for Esports</t>
  </si>
  <si>
    <t>XL2566K</t>
  </si>
  <si>
    <t>ZOWIE XL2566K TN 360Hz DyAcâºâ„¢ 24.5 Inch Gaming Monitor For Esports</t>
  </si>
  <si>
    <t>ZA11-B</t>
  </si>
  <si>
    <t>ZOWIE ZA11-B (Large) Mouse for Esports</t>
  </si>
  <si>
    <t>Name</t>
  </si>
  <si>
    <t>Display Name</t>
  </si>
  <si>
    <t>Base Price</t>
  </si>
  <si>
    <t>Retail Value</t>
  </si>
  <si>
    <t>Location On Hand</t>
  </si>
  <si>
    <t>Customer Name</t>
  </si>
  <si>
    <t>6wk avg</t>
  </si>
  <si>
    <t>WOS (6wk)</t>
  </si>
  <si>
    <t>SOH</t>
  </si>
  <si>
    <t>JB Hifi</t>
  </si>
  <si>
    <t>BONELK Long-Life 3in1 Multiport Hub  -  Space Grey</t>
  </si>
  <si>
    <t>3040-01_BD</t>
  </si>
  <si>
    <t>ST-CMAG</t>
  </si>
  <si>
    <t>SATECHI USB-C Slim Multiport Adapter v1 (Gold)</t>
  </si>
  <si>
    <t>PAPERLIKE Screen Protector v2.1 for iPad 10.9" 10th Gen (2 Pack)</t>
  </si>
  <si>
    <t>BONELK Long-Life 3in1 Multiport Hub  - Black</t>
  </si>
  <si>
    <t>BONELK Long-Life USB-A to 4 Port USB 3.0 Slim Hub - Blue</t>
  </si>
  <si>
    <t>ST-ADSIM</t>
  </si>
  <si>
    <t>SATECHI Aluminium Desktop Stand for iPad Pro (Space Grey)</t>
  </si>
  <si>
    <t>ST-TCU3CRM</t>
  </si>
  <si>
    <t>SATECHI Type-C UHS-II MIcro/SD Card Reader (Space Grey)</t>
  </si>
  <si>
    <t>PAPERLIKE Screen Protector v2.1 for iPad Air 13" (M2, 2024) (2 Pack)</t>
  </si>
  <si>
    <t>PAPERLIKE Screen Protector v2.1 for iPad Air 11" (M2, 2024) (2 Pack)</t>
  </si>
  <si>
    <t>4560-10_BD</t>
  </si>
  <si>
    <t>BONELK Long-Life USB-A to 4 Port USB 3.0 Slim Hub - Green</t>
  </si>
  <si>
    <t>ST-UCQIMCM</t>
  </si>
  <si>
    <t>SATECHI Magnetic Wireless Charging Cable</t>
  </si>
  <si>
    <t>ST-TCVGAM</t>
  </si>
  <si>
    <t>SATECHI Type-C to VGA Adaptor (Space Grey)</t>
  </si>
  <si>
    <t>Mighty Ape</t>
  </si>
  <si>
    <t>4559-10_BD</t>
  </si>
  <si>
    <t>ST-MBP16CL</t>
  </si>
  <si>
    <t>SATECHI Eco Hardshell Case for MacBook Pro 16" (Clear)</t>
  </si>
  <si>
    <t>BONELK Long-Life USB-A to 4 Port USB 3.0 Slim Hub - White</t>
  </si>
  <si>
    <t>ST-ELMPB</t>
  </si>
  <si>
    <t>SATECHI Eco Leather Mouse Pad (Blue)</t>
  </si>
  <si>
    <t>ST-UCISDS</t>
  </si>
  <si>
    <t>SATECHI USB-C Slim Dock for 24â€ iMac (Silver)</t>
  </si>
  <si>
    <t>ELK-51013-R</t>
  </si>
  <si>
    <t>BONELK Smart Fabric Folio for iPad Air 10.9" 4th Gen (Black/Blue)</t>
  </si>
  <si>
    <t>ST-VLWN</t>
  </si>
  <si>
    <t>SATECHI Magnetic Wallet Stand (Brown)</t>
  </si>
  <si>
    <t>ST-ELMPN</t>
  </si>
  <si>
    <t>SATECHI Eco Leather Mouse Pad (Brown)</t>
  </si>
  <si>
    <t>ST-UCMBAM</t>
  </si>
  <si>
    <t>SATECHI USB-C On-the-Go Multiport Adapter (Space Grey)</t>
  </si>
  <si>
    <t>ST-UCHSHS</t>
  </si>
  <si>
    <t>SATECHI Aluminium Headphone Stand Hub (Silver)</t>
  </si>
  <si>
    <t>ST-YU4120M</t>
  </si>
  <si>
    <t>SATECHI USB4 Pro Cable 1.2m (Space Grey)</t>
  </si>
  <si>
    <t>ST-R1</t>
  </si>
  <si>
    <t>SATECHI R1 Adjustable Mobile Stand (Silver)</t>
  </si>
  <si>
    <t>ST-R1B</t>
  </si>
  <si>
    <t>SATECHI R1 Adjustable Mobile Stand (Blue)</t>
  </si>
  <si>
    <t>ST-U4C80M-PB</t>
  </si>
  <si>
    <t>SATECHI USB4 C to C Cable 80cm (PB TECH EXCLUSIVE)</t>
  </si>
  <si>
    <t>ST-ELMPK</t>
  </si>
  <si>
    <t>SATECHI Eco Leather Mouse Pad (Black)</t>
  </si>
  <si>
    <t>ST-MPHSDM</t>
  </si>
  <si>
    <t>SATECHI USB-C Mobile Pro Hub SD (Space Grey)</t>
  </si>
  <si>
    <t>ST-TCMM8PAM</t>
  </si>
  <si>
    <t>SATECHI USB-C Multimedia Adapter 4K Ethernet Mini Display Port (Space Grey)</t>
  </si>
  <si>
    <t>ST-TCDHAS</t>
  </si>
  <si>
    <t>SATECHI USB-C Dual HDMI Adapter (Silver)</t>
  </si>
  <si>
    <t>ST-UC4PHM</t>
  </si>
  <si>
    <t>SATECHI Aluminium 4 Port USB-C Hub (Space Grey)</t>
  </si>
  <si>
    <t>ST-TCPHEM</t>
  </si>
  <si>
    <t>SATECHI USB-C Pro Hub with Ethernet &amp; 4K HDMI (Space Grey)</t>
  </si>
  <si>
    <t>ST-UCMXAM</t>
  </si>
  <si>
    <t>SATECHI USB-C Multiport MX Adapter (Space Grey)</t>
  </si>
  <si>
    <t>ST-WMCS2M</t>
  </si>
  <si>
    <t>SATECHI Magnetic 2-in-1 Wireless Charging Stand (Space Grey)</t>
  </si>
  <si>
    <t>ST-SCMA2M</t>
  </si>
  <si>
    <t>SATECHI USB-C Slim Multiport Adapter v2 (Space Grey)</t>
  </si>
  <si>
    <t>ST-UCSMA3M</t>
  </si>
  <si>
    <t>SATECHI USB-C Slim Multiport Adapter with Ethernet v3 (Space Grey)</t>
  </si>
  <si>
    <t>TW-1916</t>
  </si>
  <si>
    <t>TWELVE SOUTH AirSnap for AirPods (Dark Grey Twill)</t>
  </si>
  <si>
    <t>CATDRPH12CLRS</t>
  </si>
  <si>
    <t>CATALYST Influence Case for iPhone 12 mini (Clear)</t>
  </si>
  <si>
    <t>2701</t>
  </si>
  <si>
    <t>BRENTHAVEN Tred Zip Folio 13" (Black)</t>
  </si>
  <si>
    <t>ST-ACBKM</t>
  </si>
  <si>
    <t>SATECHI Compact Backlit Wireless Keyboard (Space Grey)</t>
  </si>
  <si>
    <t>CATAPDLOOPBLK</t>
  </si>
  <si>
    <t>CATALYST Minimalist Case for AirPods (Gen 1/2) (Stealth Black)</t>
  </si>
  <si>
    <t>TW-1912</t>
  </si>
  <si>
    <t>TWELVE SOUTH AirFly USB-C</t>
  </si>
  <si>
    <t>NGL-006</t>
  </si>
  <si>
    <t>NVS Atom Glass Guard for iPad Air/Air 2/Pro 9.7"/ iPad 9.7"</t>
  </si>
  <si>
    <t>CATIPDPRO11BLK</t>
  </si>
  <si>
    <t>CATALYST Waterproof Case for iPad Pro 11" 2018 (Black)</t>
  </si>
  <si>
    <t>2699</t>
  </si>
  <si>
    <t>BRENTHAVEN Tred Zip Folio 11" (Black)</t>
  </si>
  <si>
    <t>CATAPD3BLU</t>
  </si>
  <si>
    <t>CATALYST Waterproof Influence Case for AirPods 3rd Gen (Blue)</t>
  </si>
  <si>
    <t>CATDRPHXTBFCL</t>
  </si>
  <si>
    <t>CATALYST Impact Case for iPhone Xs Max (Blue/Orange)</t>
  </si>
  <si>
    <t>TW-1917</t>
  </si>
  <si>
    <t>TWELVE SOUTH AirSnap for AirPods (Light Grey Twill)</t>
  </si>
  <si>
    <t>TW-2012</t>
  </si>
  <si>
    <t>TWELVE SOUTH BookBook Case Vol. 2 for 11" iPad Pro</t>
  </si>
  <si>
    <t>CATATG1HGBLK</t>
  </si>
  <si>
    <t>CATALYST Hang-It Case for AirTag (Black)</t>
  </si>
  <si>
    <t>ST-AMWKS</t>
  </si>
  <si>
    <t>SATECHI Aluminium Wired USB-A Keyboard (Silver/White)</t>
  </si>
  <si>
    <t>TW-2005</t>
  </si>
  <si>
    <t>TWELVE SOUTH BookArc for MacBook/Pro w USB-C (Space Grey)</t>
  </si>
  <si>
    <t>2890</t>
  </si>
  <si>
    <t>CATIPHO7PWHT</t>
  </si>
  <si>
    <t>CATALYST Waterproof Case for iPhone 7+ (White/Grey)</t>
  </si>
  <si>
    <t>TW-1967</t>
  </si>
  <si>
    <t>TWELVE SOUTH AirSnap Pro for AirPods Pro 1st/2nd Gen (Black)</t>
  </si>
  <si>
    <t>CATATG1CPBLK</t>
  </si>
  <si>
    <t>CATALYST Clip-It Case for AirTag (Black)</t>
  </si>
  <si>
    <t>TW-1804</t>
  </si>
  <si>
    <t>TWELVE SOUTH AirSnap for AirPods (Teal)</t>
  </si>
  <si>
    <t>CATIPDAIR3BLK</t>
  </si>
  <si>
    <t>CATALYST Waterproof Case for iPad Air 10.5" 2019 (Black)</t>
  </si>
  <si>
    <t>ST-D4KTM-AU</t>
  </si>
  <si>
    <t>SATECHI Triple 4K Display Docking Station</t>
  </si>
  <si>
    <t>TW-2013</t>
  </si>
  <si>
    <t>TWELVE SOUTH BookBook Case Vol. 2 for 12.9" iPad Pro</t>
  </si>
  <si>
    <t>CATAPD3GRY</t>
  </si>
  <si>
    <t>CATALYST Waterproof Influence Case for AirPods 3rd Gen (Grey)</t>
  </si>
  <si>
    <t>ST-MBP14DR</t>
  </si>
  <si>
    <t>SATECHI Eco Hardshell Case for MacBook Pro 14" (Dark)</t>
  </si>
  <si>
    <t>2705</t>
  </si>
  <si>
    <t>BRENTHAVEN Tred Secure Grip Sleeve 11" (w Pouch) (Black)</t>
  </si>
  <si>
    <t>2757</t>
  </si>
  <si>
    <t>BRENTHAVEN Tred Always-On Sleeve 13" 2017 - w Pouch (Black)</t>
  </si>
  <si>
    <t>2695</t>
  </si>
  <si>
    <t>BRENTHAVEN Tred 11" Slim Sleeve (Black)</t>
  </si>
  <si>
    <t>CATATG1STBLK</t>
  </si>
  <si>
    <t>CATALYST Stick-It Case for AirTag (Black)</t>
  </si>
  <si>
    <t>TW-1914</t>
  </si>
  <si>
    <t>TWELVE SOUTH AirFly Duo</t>
  </si>
  <si>
    <t>ST-DT4PMM-AU</t>
  </si>
  <si>
    <t>SATECHI Thunderbolt 4 Multimedia Pro Dock</t>
  </si>
  <si>
    <t>SATECHI Eco Hardshell Case for MacBook Air M2 &amp; M3 (Clear)</t>
  </si>
  <si>
    <t>SATECHI Eco Hardshell Case for MacBook Air M2 &amp; M3 (Dark)</t>
  </si>
  <si>
    <t>2707</t>
  </si>
  <si>
    <t>BRENTHAVEN Tred Secure Grip Sleeve 13" (w Pouch) (Black)</t>
  </si>
  <si>
    <t>TS-2253</t>
  </si>
  <si>
    <t>TWELVE SOUTH AirFly (2nd Gen)</t>
  </si>
  <si>
    <t>CATAPDKEYBLK</t>
  </si>
  <si>
    <t>CATALYST Keyring Case for AirPods (Gen 1/2) (Stealth Black)</t>
  </si>
  <si>
    <t>TW-1805</t>
  </si>
  <si>
    <t>TWELVE SOUTH Compass Pro (Space Grey)</t>
  </si>
  <si>
    <t>TW-1812</t>
  </si>
  <si>
    <t>TWELVE SOUTH BookBook for iPhone Xs Max (Brown)</t>
  </si>
  <si>
    <t>TW-1814</t>
  </si>
  <si>
    <t>TWELVE SOUTH BookBook for iPhone Xs Max (Black)</t>
  </si>
  <si>
    <t>CATDRPH12CLRL</t>
  </si>
  <si>
    <t>CATALYST Influence Case for iPhone 12 Pro Max - Clear</t>
  </si>
  <si>
    <t>TW-2136</t>
  </si>
  <si>
    <t>TWELVE SOUTH BookBook for iPhone 13 Pro Max (brown) MagSafe</t>
  </si>
  <si>
    <t>ST-UCHSHM</t>
  </si>
  <si>
    <t>SATECHI Aluminium Headphone Stand Hub (Space Grey)</t>
  </si>
  <si>
    <t>ST-CMAS</t>
  </si>
  <si>
    <t>SATECHI USB-C Slim Multiport Adapter v1 (Silver)</t>
  </si>
  <si>
    <t>CATAPDKEYRED</t>
  </si>
  <si>
    <t>CATALYST Keyring Case for AirPods (Gen 1/2) (Flame Red)</t>
  </si>
  <si>
    <t>CATAPDKEYNAV</t>
  </si>
  <si>
    <t>CATALYST Keyring Case for AirPods (Gen 1/2) (Midnight Blue)</t>
  </si>
  <si>
    <t>TW-1931</t>
  </si>
  <si>
    <t>TWELVE SOUTH BookBook for iPhone 11 Pro Max (Black)</t>
  </si>
  <si>
    <t>TW-1926</t>
  </si>
  <si>
    <t>TWELVE SOUTH BookBook for iPhone 11 Pro (Brown)</t>
  </si>
  <si>
    <t>TW-1927</t>
  </si>
  <si>
    <t>TWELVE SOUTH BookBook for iPhone 11 Pro (Black)</t>
  </si>
  <si>
    <t>TW-1928</t>
  </si>
  <si>
    <t>TWELVE SOUTH BookBook for iPhone 11 (Brown)</t>
  </si>
  <si>
    <t>CATDRPHXCLRL</t>
  </si>
  <si>
    <t>CATALYST Impact Case for iPhone Xs Max (Clear)</t>
  </si>
  <si>
    <t>TW-1924</t>
  </si>
  <si>
    <t>TWELVE SOUTH BookBook for iPad Mini 5 (Brown)</t>
  </si>
  <si>
    <t>TW-1906</t>
  </si>
  <si>
    <t>TWELVE SOUTH BookBook for 12.9" iPad Pro (2018/3rd Gen) (Brown)</t>
  </si>
  <si>
    <t>TW-1930</t>
  </si>
  <si>
    <t>TWELVE SOUTH BookBook for iPhone 11 Pro Max (Brown)</t>
  </si>
  <si>
    <t>TW-2028</t>
  </si>
  <si>
    <t>TWELVE SOUTH BookBook for iPhone 12 and 12 Pro (Brown)</t>
  </si>
  <si>
    <t>TW-2134</t>
  </si>
  <si>
    <t>TWELVE SOUTH BookBook for iPhone 13 Pro (brown) MagSafe</t>
  </si>
  <si>
    <t>ELK-51015-R</t>
  </si>
  <si>
    <t>BONELK Smart Fabric Folio for 12.9 inch iPad Pro 4/5/6th Gen (Black/Blue)</t>
  </si>
  <si>
    <t>TW-2130</t>
  </si>
  <si>
    <t>TWELVE SOUTH BookBook for iPhone 13 mini (brown) MagSafe</t>
  </si>
  <si>
    <t>CATDRPH8COR</t>
  </si>
  <si>
    <t>CATALYST Impact Case for iPhone 7/8/SE Gen 2/3 (Coral)</t>
  </si>
  <si>
    <t>TW-2132</t>
  </si>
  <si>
    <t>TWELVE SOUTH BookBook for iPhone 13 (brown) MagSafe</t>
  </si>
  <si>
    <t>ST-MMSHS</t>
  </si>
  <si>
    <t>SATECHI Aluminium Stand and Hub for Mac Mini with SSD Enclosure (Silver)</t>
  </si>
  <si>
    <t>TW-2032</t>
  </si>
  <si>
    <t>TWELVE SOUTH BookBook for iPhone 12 Pro Max (Brown)</t>
  </si>
  <si>
    <t>TW-2026</t>
  </si>
  <si>
    <t>TWELVE SOUTH BookBook for iPhone 12 mini (brown)</t>
  </si>
  <si>
    <t>CATDRPH11CLRL</t>
  </si>
  <si>
    <t>CATALYST Impact Case for iPhone Pro Max - (Clear)</t>
  </si>
  <si>
    <t>ELK-51014-R</t>
  </si>
  <si>
    <t>BONELK Smart Fabric Folio for 11 inch iPad Pro 2/3/4th Gen (Black/Blue)</t>
  </si>
  <si>
    <t>CODEMAT01BUNDLE</t>
  </si>
  <si>
    <t>SPHERO Code Mat "City &amp; Golf" 2-sided with activity cards [ship with CMACARD02]</t>
  </si>
  <si>
    <t>ST-VLWB</t>
  </si>
  <si>
    <t>SATECHI Magnetic Wallet Stand (Blue)</t>
  </si>
  <si>
    <t>SATECHI Vegan-Leather Passport Cover w/ Find My (Black)</t>
  </si>
  <si>
    <t>ELK-80008-R</t>
  </si>
  <si>
    <t>BONELK USB-C to 4K HDMI Adapter 15cm (Space Grey)</t>
  </si>
  <si>
    <t>PP02ROW-UG</t>
  </si>
  <si>
    <t>SPHERO BOLT - Education 15 Pack + Power Pack - Upgrade</t>
  </si>
  <si>
    <t>ELK-80010-R</t>
  </si>
  <si>
    <t>BONELK USB-C to 2 Port USB 3.0 Slim Hub (Space Grey)</t>
  </si>
  <si>
    <t>ST-WMCS3M</t>
  </si>
  <si>
    <t>SATECHI Magnetic 3-in-1 Wireless Charging Stand</t>
  </si>
  <si>
    <t>ELK-80013-R</t>
  </si>
  <si>
    <t>BONELK 8-in-1 Multiport Adapter (Space Grey)</t>
  </si>
  <si>
    <t>99MO117002</t>
  </si>
  <si>
    <t>MOSHI Altra SnapTo for iPhone XS Max (Black)</t>
  </si>
  <si>
    <t>ACBE03</t>
  </si>
  <si>
    <t>SPHERO Computer Science Foundations Course C Code Book</t>
  </si>
  <si>
    <t>ST-ELMSK</t>
  </si>
  <si>
    <t>SATECHI Magnetic Sticker for iPhone 11/12</t>
  </si>
  <si>
    <t>ELK-80011-R</t>
  </si>
  <si>
    <t>BONELK 7-in-1 Multiport Adapter (Space Grey)</t>
  </si>
  <si>
    <t>ACBE02</t>
  </si>
  <si>
    <t>SPHERO Computer Science Foundations Course B Code Book</t>
  </si>
  <si>
    <t>ACBE01</t>
  </si>
  <si>
    <t>SPHERO Computer Science Foundations Course A Code Book</t>
  </si>
  <si>
    <t>99MO117302</t>
  </si>
  <si>
    <t>MOSHI Altra for iPhone XS Max (Pink)</t>
  </si>
  <si>
    <t>2709</t>
  </si>
  <si>
    <t>BRENTHAVEN Aero Sleeve 11" (Black)</t>
  </si>
  <si>
    <t>ST-SALKPS</t>
  </si>
  <si>
    <t>SATECHI Slim Wireless Keypad (Silver)</t>
  </si>
  <si>
    <t>ELK-23001-R</t>
  </si>
  <si>
    <t>BONELK Powerbank, 2.1A Output, 10000mAh (Gunmetal)</t>
  </si>
  <si>
    <t>ST-ASMSM</t>
  </si>
  <si>
    <t>SATECHI Slim Aluminium Monitor Stand (Space Grey)</t>
  </si>
  <si>
    <t>ELK-53001-R</t>
  </si>
  <si>
    <t>BONELK AirPods Edge Anti-Shock Dual Injected Case (Black)</t>
  </si>
  <si>
    <t>NSL-003</t>
  </si>
  <si>
    <t>BONELK Long-Life Universal Work-in Case for 11-12inch Laptops (Black)</t>
  </si>
  <si>
    <t>ELK-03010-R</t>
  </si>
  <si>
    <t>BONELK AUX 3.5mm Cable Long-Life Series 1m (Black)</t>
  </si>
  <si>
    <t>SD01EDU001</t>
  </si>
  <si>
    <t>SPECDRUMS  Education 12-Pack</t>
  </si>
  <si>
    <t>SPECDRUMS</t>
  </si>
  <si>
    <t>ELK-53008-R</t>
  </si>
  <si>
    <t>BONELK AirPods Carbon Anti-Shock Dual Injected Case (Black)</t>
  </si>
  <si>
    <t>ELK-53004-R</t>
  </si>
  <si>
    <t>BONELK AirPods Pro Edge Anti-Shock Dual Injected Case (Grey)</t>
  </si>
  <si>
    <t>ST-AMBKS</t>
  </si>
  <si>
    <t>SATECHI Wireless Keyboard for Mac (Silver)</t>
  </si>
  <si>
    <t>ELK-53003-R</t>
  </si>
  <si>
    <t>BONELK AirPods Edge Anti-Shock Dual Injected Case (Grey)</t>
  </si>
  <si>
    <t>2689</t>
  </si>
  <si>
    <t>BRENTHAVEN Tred 11" Sleeve 2017 (Black)</t>
  </si>
  <si>
    <t>99MO091052</t>
  </si>
  <si>
    <t>MOSHI Overture for iPhone XS Max (Grey)</t>
  </si>
  <si>
    <t>ST-LDMBL</t>
  </si>
  <si>
    <t>SATECHI Eco Leather Deskmate Dual Sided (Blue/Green)</t>
  </si>
  <si>
    <t>99MO091011</t>
  </si>
  <si>
    <t>MOSHI Overture for iPhone XS Max (Black)</t>
  </si>
  <si>
    <t>ST-LDMPV</t>
  </si>
  <si>
    <t>SATECHI Eco Leather Deskmate Dual Sided (Pink/Purple)</t>
  </si>
  <si>
    <t>2901</t>
  </si>
  <si>
    <t>BRENTHAVEN Edge Folio III for iPad 10.2" (7th, 8th &amp; 9th Gen)</t>
  </si>
  <si>
    <t>ST-LDMN</t>
  </si>
  <si>
    <t>SATECHI Eco Leather Deskmate (Brown)</t>
  </si>
  <si>
    <t>99MO084217</t>
  </si>
  <si>
    <t>MOSHI Symbus Q - USB-C Dock w/ Wireless Qi Charging</t>
  </si>
  <si>
    <t>ST-MBP16DR</t>
  </si>
  <si>
    <t>SATECHI Eco Hardshell Case for MacBook Pro 16" (Dark)</t>
  </si>
  <si>
    <t>99MO084213</t>
  </si>
  <si>
    <t>MOSHI USB-C Multimedia Adapter (Grey)</t>
  </si>
  <si>
    <t>ST-LDMK</t>
  </si>
  <si>
    <t>SATECHI Eco Leather Deskmate (Black)</t>
  </si>
  <si>
    <t>DT-LN23-BLK-SM</t>
  </si>
  <si>
    <t>GUMDROP DropTech for Lenovo N23(Chromebook)</t>
  </si>
  <si>
    <t>2712</t>
  </si>
  <si>
    <t>BRENTHAVEN Tred Alpha Backpack (Black)</t>
  </si>
  <si>
    <t>99MO085010</t>
  </si>
  <si>
    <t>MOSHI Umbra Privacy Screen Protector for MacBook Pro 15''</t>
  </si>
  <si>
    <t>ST-LDMB</t>
  </si>
  <si>
    <t>SATECHI Eco Leather Deskmate (Blue)</t>
  </si>
  <si>
    <t>ST-LDMYO</t>
  </si>
  <si>
    <t>SATECHI Eco Leather Deskmate Dual Sided (Yellow/Orange)</t>
  </si>
  <si>
    <t>ST-U4C25M-PB</t>
  </si>
  <si>
    <t>SATECHI USB4 C to C Cable 25cm (PB TECH EXCLUSIVE)</t>
  </si>
  <si>
    <t>99MO071006</t>
  </si>
  <si>
    <t>MOSHI iGlaze for MacBook Pro 15" USB-C (Black)</t>
  </si>
  <si>
    <t>RVR01EDU001</t>
  </si>
  <si>
    <t>SPHERO RVR - Education 5 Pack</t>
  </si>
  <si>
    <t>RV01ROW</t>
  </si>
  <si>
    <t>SPHERO RVR</t>
  </si>
  <si>
    <t>T00211</t>
  </si>
  <si>
    <t>JAYS a-Six Wireless (Grey/Silver)</t>
  </si>
  <si>
    <t>2713</t>
  </si>
  <si>
    <t>BRENTHAVEN Aero Sleeve Pouch 2017 (Black)</t>
  </si>
  <si>
    <t>680-0535</t>
  </si>
  <si>
    <t>SPHERO LittleBits RVR Topper</t>
  </si>
  <si>
    <t>T00507</t>
  </si>
  <si>
    <t>JAYS s-Living Three (Black)</t>
  </si>
  <si>
    <t>DT-A731C-BLK</t>
  </si>
  <si>
    <t>GUMDROP DropTech - Acer Chromebook C731 / C733</t>
  </si>
  <si>
    <t>T00234</t>
  </si>
  <si>
    <t>JAYS m-Five True Wireless (Black)</t>
  </si>
  <si>
    <t>2896</t>
  </si>
  <si>
    <t>BRENTHAVEN Edge Carry Case for iPad 10.2" (7th, 8th &amp; 9th Gen)</t>
  </si>
  <si>
    <t>99MO071908</t>
  </si>
  <si>
    <t>MOSHI iGlaze for MacBook Pro 15" USB-C (Clear)</t>
  </si>
  <si>
    <t>ST-TCWCDM</t>
  </si>
  <si>
    <t>SATECHI USB-C Wireless Charging Dock for AirPods (Space Grey)</t>
  </si>
  <si>
    <t>T00502</t>
  </si>
  <si>
    <t>JAYS s-Go One (White)</t>
  </si>
  <si>
    <t>99MO040910</t>
  </si>
  <si>
    <t>MOSHI iVisor AG for MacBook Pro 15" USB-C</t>
  </si>
  <si>
    <t>104179</t>
  </si>
  <si>
    <t>99MO113002</t>
  </si>
  <si>
    <t>MOSHI iGlaze SnapTo for iPhone Xs Max (Black)</t>
  </si>
  <si>
    <t>2880</t>
  </si>
  <si>
    <t>BRENTHAVEN Edge Bounce Case for iPad 10.2" (7th, 8th &amp; 9th Gen)</t>
  </si>
  <si>
    <t>ST-WCPM</t>
  </si>
  <si>
    <t>SATECHI Aluminium Fast Wireless Charger (Space Grey)</t>
  </si>
  <si>
    <t>902-00027</t>
  </si>
  <si>
    <t>OSMO Maths Wizard and the Amazing Airships Game</t>
  </si>
  <si>
    <t>902-00026</t>
  </si>
  <si>
    <t>OSMO Maths Wizard and the Enchanted World Game</t>
  </si>
  <si>
    <t>CVR-CCP-01</t>
  </si>
  <si>
    <t>CLASSVR Portal Site License (per year)</t>
  </si>
  <si>
    <t>IMMERSIVE IT</t>
  </si>
  <si>
    <t>T00240</t>
  </si>
  <si>
    <t>JAYS f-Five True Wireless (Black)</t>
  </si>
  <si>
    <t>EC1-C</t>
  </si>
  <si>
    <t>ZOWIE EC1-C (Large) Mouse for Esports</t>
  </si>
  <si>
    <t>902-00032</t>
  </si>
  <si>
    <t>OSMO Maths Wizard and the Fantastic Food Truck Game</t>
  </si>
  <si>
    <t>EC-1</t>
  </si>
  <si>
    <t>ZOWIE EC-1 (Large) Mouse for Esports</t>
  </si>
  <si>
    <t>FK1+-B</t>
  </si>
  <si>
    <t>ZOWIE FK1+-B (X-Large) Mouse for Esports</t>
  </si>
  <si>
    <t>906-00082</t>
  </si>
  <si>
    <t>OSMO Genius School (20 x GK and 5 x Guides)</t>
  </si>
  <si>
    <t>FK2-B</t>
  </si>
  <si>
    <t>ZOWIE FK2-B (Medium) Mouse for Esports</t>
  </si>
  <si>
    <t>CVR-CRS-8</t>
  </si>
  <si>
    <t>CLASS VR (Set of 8)</t>
  </si>
  <si>
    <t>FK1-C</t>
  </si>
  <si>
    <t>ZOWIE FK1-C (Large) Mouse for Esports</t>
  </si>
  <si>
    <t>CELERITAS II</t>
  </si>
  <si>
    <t>ZOWIE CELERITAS II Esports Optical Switch Mechanical Keyboard</t>
  </si>
  <si>
    <t>ST-DDSM</t>
  </si>
  <si>
    <t>SATECHI USB-C Dual Dock Stand (Space Grey)</t>
  </si>
  <si>
    <t>FK1-B</t>
  </si>
  <si>
    <t>ZOWIE FK1-B (Large) Mouse for Esports</t>
  </si>
  <si>
    <t>904-00004</t>
  </si>
  <si>
    <t>OSMO iPad Base + Mirror v2</t>
  </si>
  <si>
    <t>T00210</t>
  </si>
  <si>
    <t>JAYS a-Six Wireless (Black/Gold)</t>
  </si>
  <si>
    <t>FK1+-C</t>
  </si>
  <si>
    <t>ZOWIE FK1+-C (Extra Large) Mouse for Esports</t>
  </si>
  <si>
    <t>902-00025</t>
  </si>
  <si>
    <t>OSMO Maths Wizard and the Magical Workshop Game</t>
  </si>
  <si>
    <t>CAMADE II</t>
  </si>
  <si>
    <t>ZOWIE CAMADE II Mouse Cable Management Device For Esports</t>
  </si>
  <si>
    <t>CVR-CRS-4P</t>
  </si>
  <si>
    <t>ClassVR Premium Headset (set of 4)</t>
  </si>
  <si>
    <t>902-00012</t>
  </si>
  <si>
    <t>OSMO Super Studio Frozen 2</t>
  </si>
  <si>
    <t>T00504</t>
  </si>
  <si>
    <t>JAYS s-Go Three (White)</t>
  </si>
  <si>
    <t>CATIPD7THBLK</t>
  </si>
  <si>
    <t>CATALYST Waterproof Case for iPad 10.2" 7th, 8th, 9th Gen (Black)</t>
  </si>
  <si>
    <t>902-00009</t>
  </si>
  <si>
    <t>OSMO Super Studio The Incredibles 2</t>
  </si>
  <si>
    <t>CATAPDTBFC</t>
  </si>
  <si>
    <t>CATALYST Waterproof case for AirPods (Blue/Orange)</t>
  </si>
  <si>
    <t>FK2-C</t>
  </si>
  <si>
    <t>ZOWIE FK2-C (Medium) Mouse for Esports</t>
  </si>
  <si>
    <t>ST-TCHCRB</t>
  </si>
  <si>
    <t>SATECHI USB-C Combo Hub for Desktop (Blue)</t>
  </si>
  <si>
    <t>XL2546</t>
  </si>
  <si>
    <t>ZOWIE 240Hz DyAc 24.5 inch e-Sports Monitor</t>
  </si>
  <si>
    <t>902-00024</t>
  </si>
  <si>
    <t>OSMO Maths Wizard and the Secrets of the Dragons Game</t>
  </si>
  <si>
    <t>XL2540K</t>
  </si>
  <si>
    <t>ZOWIE 240Hz 24.5 inch e-Sports Monitor</t>
  </si>
  <si>
    <t>T00257</t>
  </si>
  <si>
    <t>JAYS q-Seven Wireless Combo</t>
  </si>
  <si>
    <t>900-00022</t>
  </si>
  <si>
    <t>OSMO Metal Countertop Point of Sale Display</t>
  </si>
  <si>
    <t>CATIPDPRO12BLK3</t>
  </si>
  <si>
    <t>CATALYST Waterproof Case for iPad Pro 12.9" 2018 (Black)</t>
  </si>
  <si>
    <t>NVS-8601</t>
  </si>
  <si>
    <t>NVS Apollo Multiview Folio for iPad Pro 11" (Grey/Black)</t>
  </si>
  <si>
    <t>XL2746S</t>
  </si>
  <si>
    <t>ZOWIE XL2746S 240Hz DyAcâº 27 inch e-Sports Monitor</t>
  </si>
  <si>
    <t>NIP-047</t>
  </si>
  <si>
    <t>NVS Executive Wallet Folio for iPhone Xr, No Qi (Black)</t>
  </si>
  <si>
    <t>NIP-048</t>
  </si>
  <si>
    <t>NVS Executive Wallet Folio For iPhone Xs Max, No Qi (Black)</t>
  </si>
  <si>
    <t>XL2740</t>
  </si>
  <si>
    <t>ZOWIE XL2740 240Hz 27 inch e-Sports Monitor</t>
  </si>
  <si>
    <t>ST-TCAW7CM</t>
  </si>
  <si>
    <t>SATECHI USB-C Magnetic Charging Cable  for Apple Watch (Space Grey)</t>
  </si>
  <si>
    <t>ST-TCDMMAS</t>
  </si>
  <si>
    <t>SATECHI USB-C Dual Multimedia Adapter (Silver)</t>
  </si>
  <si>
    <t>NIP-037</t>
  </si>
  <si>
    <t>NVS Executive Wallet Folio with Detachable Case for iPhone 5/5S/SE Gen 1 (Black)</t>
  </si>
  <si>
    <t>NIP-007</t>
  </si>
  <si>
    <t>NVS Clear Shield (drop tested) for iPhone 7/8 (Red)</t>
  </si>
  <si>
    <t>NSL-017</t>
  </si>
  <si>
    <t>NVS Apollo Sleeve for 11" Devices (Black/Tan)</t>
  </si>
  <si>
    <t>ZA13-C</t>
  </si>
  <si>
    <t>ZOWIE ZA13-C (Small) Mouse for Esports</t>
  </si>
  <si>
    <t>NGL-022</t>
  </si>
  <si>
    <t>NVS Atom Glass Guard for iPad Pro 12.9" (Gen 3,4,5)</t>
  </si>
  <si>
    <t>NGL-019</t>
  </si>
  <si>
    <t>NVS Atom Glass Guard for iPhone 11 Pro Max/Xs Max</t>
  </si>
  <si>
    <t>ZA13-B</t>
  </si>
  <si>
    <t>ZOWIE ZA13-B (Small) Mouse for Esports</t>
  </si>
  <si>
    <t>ZA12-C</t>
  </si>
  <si>
    <t>ZOWIE ZA12-C (Medium) Mouse for Esports</t>
  </si>
  <si>
    <t>NGL-011</t>
  </si>
  <si>
    <t>NVS Atom Glass Guard for iPhone 8/7/6s Plus</t>
  </si>
  <si>
    <t>01L009</t>
  </si>
  <si>
    <t>GUMDROP DropTech for Lenovo 100e/100w Chromebook 3rd Gen (Clamshell)</t>
  </si>
  <si>
    <t>ZA12-B</t>
  </si>
  <si>
    <t>ZOWIE ZA12-B (Medium) Mouse for Esports</t>
  </si>
  <si>
    <t>NGL-020</t>
  </si>
  <si>
    <t>NVS Atom Glass Guard for Surface Go</t>
  </si>
  <si>
    <t>ZA11-C</t>
  </si>
  <si>
    <t>ZOWIE ZA11-C (Large) Mouse for Esports</t>
  </si>
  <si>
    <t>ST-TCDMMAM</t>
  </si>
  <si>
    <t>SATECHI USB-C Dual Multimedia Adapter (Space Grey)</t>
  </si>
  <si>
    <t>NPG-002</t>
  </si>
  <si>
    <t>NVS InfoShield Privacy Glass for 8/7/6s</t>
  </si>
  <si>
    <t>GTF-X</t>
  </si>
  <si>
    <t>ZOWIE GTF-X (Large) Mouse Pad for Esports</t>
  </si>
  <si>
    <t>902-00011</t>
  </si>
  <si>
    <t>OSMO Detective Agency Game</t>
  </si>
  <si>
    <t>P-SR</t>
  </si>
  <si>
    <t>ZOWIE P-SR (Small) Mouse Pad for Esports</t>
  </si>
  <si>
    <t>G-SR-SE-ZC02</t>
  </si>
  <si>
    <t>ZOWIE G-SR-SE-ZC02 ROUGE (Large) Esports Gaming Mouse Pad</t>
  </si>
  <si>
    <t>G-SR-SE-ZC01DB</t>
  </si>
  <si>
    <t>ZOWIE G-SR-SE DEEP BLUE (Large) Esports Gaming Mouse Pad</t>
  </si>
  <si>
    <t>906-00081</t>
  </si>
  <si>
    <t>OSMO Genius Classroom  (4 x GK and 1 x Guide)</t>
  </si>
  <si>
    <t>SB44000-G</t>
  </si>
  <si>
    <t>GEO SWISS  Universal Power Pack 4000mAh (White/Gold)</t>
  </si>
  <si>
    <t>GEOSWISS</t>
  </si>
  <si>
    <t>G-SR</t>
  </si>
  <si>
    <t>ZOWIE G-SR (Large) Gaming Mouse Pad for Esports</t>
  </si>
  <si>
    <t>906-00080</t>
  </si>
  <si>
    <t>OSMO Genius Kit Edu</t>
  </si>
  <si>
    <t>T00239</t>
  </si>
  <si>
    <t>JAYS a-Five Wireless (Black/Gold)</t>
  </si>
  <si>
    <t>ST-TCECM</t>
  </si>
  <si>
    <t>SATECHI USB-C Mini Extension Cable (Space Grey)</t>
  </si>
  <si>
    <t>S2-C</t>
  </si>
  <si>
    <t>ZOWIE S2-C (Small) Mouse for Esports</t>
  </si>
  <si>
    <t>ST-TCMCAWM</t>
  </si>
  <si>
    <t>SATECHI USB-C Magnetic Charging Dock for Apple Watch (Space Grey)</t>
  </si>
  <si>
    <t>S2-Mouse</t>
  </si>
  <si>
    <t>ZOWIE S2 (Small) Mouse for Esports</t>
  </si>
  <si>
    <t>DT-A751EF-BLK</t>
  </si>
  <si>
    <t>GUMDROP DropTech for for Acer Chromebook Spin 11 (Black)</t>
  </si>
  <si>
    <t>NIP-033</t>
  </si>
  <si>
    <t>NVS Soft Grip for iPhone X/s, No Qi (Red)</t>
  </si>
  <si>
    <t>NIP-034</t>
  </si>
  <si>
    <t>NVS Soft Grip for iPhone X/Xs, No Qi (White)</t>
  </si>
  <si>
    <t>S1-Mouse</t>
  </si>
  <si>
    <t>ZOWIE S1 (Medium) Mouse for Esports</t>
  </si>
  <si>
    <t>NTC-006</t>
  </si>
  <si>
    <t>NVS Tutor for Surface Pro 7/6/5/4 (Black)</t>
  </si>
  <si>
    <t>PTF-X</t>
  </si>
  <si>
    <t>ZOWIE PTF-X (Small) Mouse Pad for Esports</t>
  </si>
  <si>
    <t>TW-1706</t>
  </si>
  <si>
    <t>TWELVE SOUTH PlugBug Duo</t>
  </si>
  <si>
    <t>TW-2016</t>
  </si>
  <si>
    <t>TWELVE SOUTH ParcSlope for MacBook, Laptops &amp; iPad</t>
  </si>
  <si>
    <t>CATPGBLK6+</t>
  </si>
  <si>
    <t>CATALYST Replacement Plug for 6+/6S+ (Black)</t>
  </si>
  <si>
    <t>ST-CMBPM</t>
  </si>
  <si>
    <t>SATECHI USB-C Pro Hub w 4K HDMI &amp; Thunderbolt 3 (Space Grey)</t>
  </si>
  <si>
    <t>ELK-05015-R</t>
  </si>
  <si>
    <t>BONELK Mini Display Port to Display Port Long Life Cable 3m (Black)</t>
  </si>
  <si>
    <t>ELK-70407-R</t>
  </si>
  <si>
    <t>BONELK Stance Laptop Stand (Silver)</t>
  </si>
  <si>
    <t>TW-1806</t>
  </si>
  <si>
    <t>TWELVE SOUTH Journal for Macbook Pro 13" USB-C (Cognac)</t>
  </si>
  <si>
    <t>ELK-05014-R</t>
  </si>
  <si>
    <t>BONELK Mini Display Port to Display Port Long Life Cable 1.5m (Black)</t>
  </si>
  <si>
    <t>ST-TCC2MM-PB</t>
  </si>
  <si>
    <t>SATECHI Type-C to Type-C 100W Charging Cable (Space Grey) (PB TECH EXCLUSIVE)</t>
  </si>
  <si>
    <t>CATAPDSTDBLK</t>
  </si>
  <si>
    <t>CATALYST Standing Case for AirPods (Gen 1/2) (Stealth Black)</t>
  </si>
  <si>
    <t>NVS-8502</t>
  </si>
  <si>
    <t>BONELK Apollo Multiview Folio for iPad 10.2" 7, 8 &amp; 9th Gen (Black/Blue)</t>
  </si>
  <si>
    <t>CATAPDPROFLTLIL</t>
  </si>
  <si>
    <t>CATALYST Slim Case for AirPods Pro (Lilac)</t>
  </si>
  <si>
    <t>TW-2037</t>
  </si>
  <si>
    <t>TWELVE SOUTH PowerPic Mod - White</t>
  </si>
  <si>
    <t>ELK-23002-R</t>
  </si>
  <si>
    <t>BONELK Powerbank 2.1A Output, 20000mAh (Gunmetal)</t>
  </si>
  <si>
    <t>TW-1222</t>
  </si>
  <si>
    <t>TWELVE SOUTH HiRise for MacBook / Laptops</t>
  </si>
  <si>
    <t>CATPGBLKX</t>
  </si>
  <si>
    <t>CATALYST Replacement Plug for X/Xs (Black)</t>
  </si>
  <si>
    <t>TW-2145</t>
  </si>
  <si>
    <t>TWELVE SOUTH HiRise 3 (Black)</t>
  </si>
  <si>
    <t>CATAPDLANBLK</t>
  </si>
  <si>
    <t>CATALYST Lanyard Case for AirPods (Gen 1/2) (Stealth Black)</t>
  </si>
  <si>
    <t>TW-1817</t>
  </si>
  <si>
    <t>TWELVE SOUTH Journal for iPhone Xs Max (Cognac)</t>
  </si>
  <si>
    <t>TW-1818</t>
  </si>
  <si>
    <t>TWELVE SOUTH Journal for iPhone Xs Max (Black)</t>
  </si>
  <si>
    <t>CATPGBLKXL</t>
  </si>
  <si>
    <t>CATALYST Replacement Plug for iPhone Xs Max (Black)</t>
  </si>
  <si>
    <t>TW-2021</t>
  </si>
  <si>
    <t>TWELVE SOUTH HoverBar Duo for iPad / Tablet / Smartphone (1st Gen)</t>
  </si>
  <si>
    <t>CATPGBLKXM</t>
  </si>
  <si>
    <t>CATALYST Replacement Plug for Xr (Black)</t>
  </si>
  <si>
    <t>ST-TCPDCCS</t>
  </si>
  <si>
    <t>SATECHI 72W USB-C PD Car Charger (Silver)</t>
  </si>
  <si>
    <t>ST-UCMBAK</t>
  </si>
  <si>
    <t>SATECHI USB-C On-the-Go Multiport Adapter (Black)</t>
  </si>
  <si>
    <t>CATIPHO13BLKL</t>
  </si>
  <si>
    <t>CATALYST Total Protection Case for iPhone 13 Pro Max (Stealth Black)</t>
  </si>
  <si>
    <t>T00250</t>
  </si>
  <si>
    <t>JAYS x-Seven Wireless (Green)</t>
  </si>
  <si>
    <t>CAT44WAT4BLK</t>
  </si>
  <si>
    <t>CATALYST Waterproof Case for Apple Watch SE/6/5/4, 44mm (Black)</t>
  </si>
  <si>
    <t>T00247</t>
  </si>
  <si>
    <t>JAYS x-Seven Wireless (Black)</t>
  </si>
  <si>
    <t>T00248</t>
  </si>
  <si>
    <t>JAYS x-Seven Wireless (Yellow)</t>
  </si>
  <si>
    <t>CATVIBE12BLKS</t>
  </si>
  <si>
    <t>CATALYST Vibe Case for iPhone 12 mini (Black)</t>
  </si>
  <si>
    <t>CATIPHO13BLKMP</t>
  </si>
  <si>
    <t>CATALYST Total Protection Case for iPhone 13 Pro (Stealth Black)</t>
  </si>
  <si>
    <t>CATIPHO13BLKM</t>
  </si>
  <si>
    <t>CATALYST Total Protection Case for iPhone 13 (Stealth Black)</t>
  </si>
  <si>
    <t>ELK-51001-R</t>
  </si>
  <si>
    <t>BONELK Long-Life Case for iPad 10.2"</t>
  </si>
  <si>
    <t>ELK-23000-R</t>
  </si>
  <si>
    <t>BONELK Powerbank, 2.1A Output, 5000mAh (Gunmetal)</t>
  </si>
  <si>
    <t>ST-UCPHMXM</t>
  </si>
  <si>
    <t>SATECHI USB-C Pro Hub Max Adapter (Space Grey)</t>
  </si>
  <si>
    <t>NVS-8501</t>
  </si>
  <si>
    <t>BONELK Apollo Multiview Folio for iPad 10.2" 7, 8 &amp; 9th Gen (Black/Tan)</t>
  </si>
  <si>
    <t>NVS-8503</t>
  </si>
  <si>
    <t>BONELK Apollo Multiview Folio for iPad 10.2" 7, 8 &amp; 9th Gen (Black/Grey)</t>
  </si>
  <si>
    <t>CATIPHO13BLKS</t>
  </si>
  <si>
    <t>CATALYST Total Protection Case for iPhone 13 mini (Stealth Black)</t>
  </si>
  <si>
    <t>CATAPDGRY</t>
  </si>
  <si>
    <t>CATALYST Waterproof Case for AirPods (Grey)</t>
  </si>
  <si>
    <t>CATAPDPRORED</t>
  </si>
  <si>
    <t>CATALYST Waterproof Case for AirPods Pro 1st/2nd Gen (Red)</t>
  </si>
  <si>
    <t>CATAPDPRONAV</t>
  </si>
  <si>
    <t>CATALYST Waterproof Case for AirPods Pro (Blue)</t>
  </si>
  <si>
    <t>ST-AHSHU3M</t>
  </si>
  <si>
    <t>SATECHI USB Aluminium Headphone Stand (Space Grey)</t>
  </si>
  <si>
    <t>CATAPDWHT</t>
  </si>
  <si>
    <t>CATALYST Waterproof Case for AirPods (Frost White)</t>
  </si>
  <si>
    <t>ST-MCTCAM-AUK</t>
  </si>
  <si>
    <t>SATECHI 75W Multiport Travel Charger (Space Grey)</t>
  </si>
  <si>
    <t>NVS-251-5</t>
  </si>
  <si>
    <t>NVS Screen Guard for iPad Air/Air 2/Pro 9.7"/iPad 9.7" - 2 Pack</t>
  </si>
  <si>
    <t>NSL-016</t>
  </si>
  <si>
    <t>NVS Apollo Sleeve for 13" Devices (Black/Grey)</t>
  </si>
  <si>
    <t>99MO021917</t>
  </si>
  <si>
    <t>MOSHI ClearGuard for MacBook Pro 13"/Pro 15" with Touchbar</t>
  </si>
  <si>
    <t>99MO021901</t>
  </si>
  <si>
    <t>MOSHI ClearGuard for MacBook Pro 13"/15"/17"/MBA13"</t>
  </si>
  <si>
    <t>90092</t>
  </si>
  <si>
    <t>MAKEBLOCK mBot Ranger</t>
  </si>
  <si>
    <t>99MO101031</t>
  </si>
  <si>
    <t>MOSHI Vesta for iPhone X/XS (Grey)</t>
  </si>
  <si>
    <t>TW-1968</t>
  </si>
  <si>
    <t>TWELVE SOUTH AirSnap Pro for AirPods Pro 1st/2nd Gen (Cognac)</t>
  </si>
  <si>
    <t>TW-1802</t>
  </si>
  <si>
    <t>TWELVE SOUTH AirSnap for AirPods (Black)</t>
  </si>
  <si>
    <t>K001ROW</t>
  </si>
  <si>
    <t>SPHERO SPRK+ Edition</t>
  </si>
  <si>
    <t>M001PRW</t>
  </si>
  <si>
    <t>SPHERO Mini (Pink)</t>
  </si>
  <si>
    <t>TMAX-M4PLUS</t>
  </si>
  <si>
    <t>THRONMAX Mdrill Zero Plus Jet Black 96Khz USB Microphone</t>
  </si>
  <si>
    <t>TW-1819</t>
  </si>
  <si>
    <t>TWELVE SOUTH Journal for iPhone Xr (Cognac)</t>
  </si>
  <si>
    <t>TW-1627</t>
  </si>
  <si>
    <t>TWELVE SOUTH HiRise Deluxe 2 for iPhone/iPad (Black)</t>
  </si>
  <si>
    <t>TW-1625</t>
  </si>
  <si>
    <t>TWELVE SOUTH HiRise 2 for iPhone/iPad (Black)</t>
  </si>
  <si>
    <t>TW-1633</t>
  </si>
  <si>
    <t>TWELVE SOUTH MagicBridge</t>
  </si>
  <si>
    <t>TW-1637</t>
  </si>
  <si>
    <t>TWELVE SOUTH Fermata Intl Headphone Charging Stand (Black)</t>
  </si>
  <si>
    <t>TW-1636</t>
  </si>
  <si>
    <t>TWELVE SOUTH Fermata Headphone Charging Stand (Silver)</t>
  </si>
  <si>
    <t>TW-1734</t>
  </si>
  <si>
    <t>TWELVE SOUTH BookBook for iPhone X/XS (Brown)</t>
  </si>
  <si>
    <t>TW-1905</t>
  </si>
  <si>
    <t>TWELVE SOUTH BookBook Vol 2 for iPad Pro 11" (Brown)</t>
  </si>
  <si>
    <t>ADNG</t>
  </si>
  <si>
    <t>ADONIT Note (Gold)</t>
  </si>
  <si>
    <t>AD15WCC</t>
  </si>
  <si>
    <t>ADONIT 15W Wireless Car Charger</t>
  </si>
  <si>
    <t>ADM4OG</t>
  </si>
  <si>
    <t>ADONIT Mini 4 (Green)</t>
  </si>
  <si>
    <t>ADWCCPQ</t>
  </si>
  <si>
    <t>ADONIT Auto-Clamping Wireless Car Charger Premium (Black)</t>
  </si>
  <si>
    <t>ADM4O</t>
  </si>
  <si>
    <t>ADONIT Mini 4 (Orange)</t>
  </si>
  <si>
    <t>ST-TCACAM</t>
  </si>
  <si>
    <t>SATECHI USB-C to 3.5mm Headphone Jack Adapter w/ PD Charging</t>
  </si>
  <si>
    <t>ADP4G</t>
  </si>
  <si>
    <t>ADONIT Pro 4 (Gold)</t>
  </si>
  <si>
    <t>SPACETALK Triple Band Strap Pack - Artic-Lilac-Candy - For Adventurer 2 and Loop</t>
  </si>
  <si>
    <t>SPACETALK Band Strap - Artic - For Adventurer 2 and Loop</t>
  </si>
  <si>
    <t>XL2746K</t>
  </si>
  <si>
    <t>ZOWIE XL2746K TN 240Hz DyAc+ 27 Inch Gaming Monitor For Esports</t>
  </si>
  <si>
    <t>980-0368</t>
  </si>
  <si>
    <t>SPHERO Indi Student Carry Case</t>
  </si>
  <si>
    <t>980-0366</t>
  </si>
  <si>
    <t>SPHERO Indi Educator Guide Book</t>
  </si>
  <si>
    <t>980-0367</t>
  </si>
  <si>
    <t>SPHERO Indi Charging Case</t>
  </si>
  <si>
    <t>CODEMAT02BUNDLE</t>
  </si>
  <si>
    <t>SPHERO Code Mat "Space &amp; Soccer" 2-sided with activity cards [Ships with CMACARD03]</t>
  </si>
  <si>
    <t>TS-2304</t>
  </si>
  <si>
    <t>TWELVE SOUTH ButterFly 2-in-1 USB-C MagSafe Charger (Sliver)</t>
  </si>
  <si>
    <t>TW-1664</t>
  </si>
  <si>
    <t>TWELVE SOUTH Journal for iPhone 6+/6S+/7+/8+ (Cognac)</t>
  </si>
  <si>
    <t>TW-2138</t>
  </si>
  <si>
    <t>TWELVE SOUTH BookBook Case for 12.9" iPad Pro (Gen 5)</t>
  </si>
  <si>
    <t>SLOW19</t>
  </si>
  <si>
    <t>MARBOTIC Smart Letters Lower Case</t>
  </si>
  <si>
    <t>SSH19</t>
  </si>
  <si>
    <t>MARBOTICS Smart Shapes</t>
  </si>
  <si>
    <t>ELK-80009-R</t>
  </si>
  <si>
    <t>BONELK USB-C to Gigabit Adapter 15cm (Space Grey)</t>
  </si>
  <si>
    <t>M001ORW</t>
  </si>
  <si>
    <t>SPHERO Mini (Orange)</t>
  </si>
  <si>
    <t>ROL-001351</t>
  </si>
  <si>
    <t>ROLI Loop Block</t>
  </si>
  <si>
    <t>ROL-001352</t>
  </si>
  <si>
    <t>ROLI Live Block</t>
  </si>
  <si>
    <t>ROL-001591</t>
  </si>
  <si>
    <t>ROLI Lightpad Block M</t>
  </si>
  <si>
    <t>902-00007</t>
  </si>
  <si>
    <t>OSMO Super Studio Mickey Mouse &amp; Friends</t>
  </si>
  <si>
    <t>99MO084100</t>
  </si>
  <si>
    <t>MOSHI USB-C Charge Cable 2M (White)</t>
  </si>
  <si>
    <t>99MO023251</t>
  </si>
  <si>
    <t>MOSHI USB-A to Lightning Cable 1m (Golden Rose)</t>
  </si>
  <si>
    <t>90053</t>
  </si>
  <si>
    <t>MAKEBLOCK mBot</t>
  </si>
  <si>
    <t>ST-ALVLSM</t>
  </si>
  <si>
    <t>SATECHI Slim Aluminium Vertical Laptop Stand (Space Grey)</t>
  </si>
  <si>
    <t>K001EDU005</t>
  </si>
  <si>
    <t>SPHERO SPRK - Education 12 Pack</t>
  </si>
  <si>
    <t>ELK-80012-R</t>
  </si>
  <si>
    <t>BONELK 6-in-1 Multiport Adapter (Space Grey)</t>
  </si>
  <si>
    <t>ELK-80004-R</t>
  </si>
  <si>
    <t>BONELK USB-C to 4 Port USB 3.0 Slim Hub (Space Grey)</t>
  </si>
  <si>
    <t>ELK-53009-R</t>
  </si>
  <si>
    <t>BONELK AirPods Pro Carbon Anti-Shock Dual Injected Case (Black)</t>
  </si>
  <si>
    <t>ELK-53002-R</t>
  </si>
  <si>
    <t>BONELK AirPods Pro Edge Anti-Shock Dual Injected Case (Black)</t>
  </si>
  <si>
    <t>Heathcote Appliances</t>
  </si>
  <si>
    <t>6970357852338</t>
  </si>
  <si>
    <t>6970357855506</t>
  </si>
  <si>
    <t>6970357854684</t>
  </si>
  <si>
    <t>6977644761496</t>
  </si>
  <si>
    <t>PAPERLIKE Screen Protector v2.1 for iPad 11” 2025 &amp; iPad 10.9” 2022-2024 (2 Pack)</t>
  </si>
  <si>
    <t>6977644761441</t>
  </si>
  <si>
    <t>PAPERLIKE Screen Protector v2.1 for iPad Air 11” 2024 &amp; 2025 (2 Pack)</t>
  </si>
  <si>
    <t>Bunnings</t>
  </si>
  <si>
    <t>PAPERLIKE Screen Protector v2.1 for iPad Air 13” 2024 (2 Pack)</t>
  </si>
  <si>
    <t>6970357857494</t>
  </si>
  <si>
    <t>6970357853922</t>
  </si>
  <si>
    <t>6970357856282</t>
  </si>
  <si>
    <t>6970357857401</t>
  </si>
  <si>
    <t>6970357855391</t>
  </si>
  <si>
    <t>6970357859252</t>
  </si>
  <si>
    <t>6977644761045</t>
  </si>
  <si>
    <t>6970357856329</t>
  </si>
  <si>
    <t>6977644760888</t>
  </si>
  <si>
    <t>6970357858774</t>
  </si>
  <si>
    <t>6970357859221</t>
  </si>
  <si>
    <t>6970357859207</t>
  </si>
  <si>
    <t>PAPERLIKE Screen Protector v2.1 for iPad Mini 8.3” 2021 &amp; 2024 (2 Pack)</t>
  </si>
  <si>
    <t>6977644761090</t>
  </si>
  <si>
    <t>6970357855339</t>
  </si>
  <si>
    <t>6977644760277</t>
  </si>
  <si>
    <t>6970357857425</t>
  </si>
  <si>
    <t>6970357855841</t>
  </si>
  <si>
    <t>6977644760116</t>
  </si>
  <si>
    <t>6977644761113</t>
  </si>
  <si>
    <t>6977644763414</t>
  </si>
  <si>
    <t>6970357859733</t>
  </si>
  <si>
    <t>6970357858767</t>
  </si>
  <si>
    <t>6970357856251</t>
  </si>
  <si>
    <t>6970357851317</t>
  </si>
  <si>
    <t>6970357857500</t>
  </si>
  <si>
    <t>6977644763384</t>
  </si>
  <si>
    <t>SATECHI 2-in-1 Foldable QI2 Wireless Charging Stand</t>
  </si>
  <si>
    <t>6977644760260</t>
  </si>
  <si>
    <t>6970357852611</t>
  </si>
  <si>
    <t>6977644763087</t>
  </si>
  <si>
    <t>6977644763421</t>
  </si>
  <si>
    <t>6977644760307</t>
  </si>
  <si>
    <t>6977644764008</t>
  </si>
  <si>
    <t>6977644761922</t>
  </si>
  <si>
    <t>MW Basics ²Life MacBook Pro/Air 13" (Red/White)</t>
  </si>
  <si>
    <t>6977644765241</t>
  </si>
  <si>
    <t>6970357855452</t>
  </si>
  <si>
    <t>6977644761120</t>
  </si>
  <si>
    <t>6970357858750</t>
  </si>
  <si>
    <t>SATECHI USB-C Slim Dock for 24” iMac (Silver)</t>
  </si>
  <si>
    <t>MW Basics ²Life Recycled Sleeve for MacBook Pro 16" (Black)</t>
  </si>
  <si>
    <t>6970357856725</t>
  </si>
  <si>
    <t>6977644765234</t>
  </si>
  <si>
    <t>6977644761106</t>
  </si>
  <si>
    <t>MW Basics ²Life MacBook Air 15" (Black/White)</t>
  </si>
  <si>
    <t>6970357858743</t>
  </si>
  <si>
    <t>6977644761144</t>
  </si>
  <si>
    <t>6977644761342</t>
  </si>
  <si>
    <t>6970357857388</t>
  </si>
  <si>
    <t>6978913850026</t>
  </si>
  <si>
    <t>6977644763407</t>
  </si>
  <si>
    <t>MW Basics ²Life Recycled Sleeve for MacBook Pro 14" (Black)</t>
  </si>
  <si>
    <t>6970357859160</t>
  </si>
  <si>
    <t>6978913850019</t>
  </si>
  <si>
    <t>MW Basics ²Life MacBook Pro/Air 13" Sleeve Black / White</t>
  </si>
  <si>
    <t>GARMIN GPSMAP H1i Plus Premium Handheld GPS with inReachÂ® Plus Satellite Technology</t>
  </si>
  <si>
    <t>6977644761083</t>
  </si>
  <si>
    <t>BONELK Desktop Series 14 in 1 USB-C Multiport Hub - Black</t>
  </si>
  <si>
    <t>NL28-20XXTW-ACC</t>
  </si>
  <si>
    <t>NANOLEAF Rhythm Module</t>
  </si>
  <si>
    <t>GUMDROP DropTech Case for iPad 10.2″ (7th, 8th, 9th Gen)</t>
  </si>
  <si>
    <t>6978913850002</t>
  </si>
  <si>
    <t>ADJM3B</t>
  </si>
  <si>
    <t>ADONIT Mini 3 - Black *</t>
  </si>
  <si>
    <t>NFS-026</t>
  </si>
  <si>
    <t>NVS Apollo Multiview Folio for iPad Pro 10.5" / Air 10.5" (Black/Tan)</t>
  </si>
  <si>
    <t>NIP-005</t>
  </si>
  <si>
    <t>NVS Clear Shield for iPhone 8/7 - Clear</t>
  </si>
  <si>
    <t>PP01K001EDU</t>
  </si>
  <si>
    <t>SPHERO SPRK - Education 12 Pack + Power Pack</t>
  </si>
  <si>
    <t>Inventory Location</t>
  </si>
  <si>
    <t>Location Committed</t>
  </si>
  <si>
    <t>Location Available</t>
  </si>
  <si>
    <t>Location Back Ordered</t>
  </si>
  <si>
    <t>Location On Order</t>
  </si>
  <si>
    <t>Avg 12 Weeks</t>
  </si>
  <si>
    <t>NZ1 ‚Äì Christchurch Warehouse</t>
  </si>
  <si>
    <t>NZ - Noel Leeming</t>
  </si>
  <si>
    <t>0</t>
  </si>
  <si>
    <t>Backbone One - PlayStation Edition Mobile Gaming Controller for Android (Gen 1)</t>
  </si>
  <si>
    <t>Backbone One - Mobile Gaming Controller for iPhone (Xbox Edition) (Gen 1)</t>
  </si>
  <si>
    <t>Backbone One - PlayStation Edition Mobile Gaming Controller for iPhone (Gen 1)</t>
  </si>
  <si>
    <t>1</t>
  </si>
  <si>
    <t xml:space="preserve"> - </t>
  </si>
  <si>
    <t>BENQ SW240 24.1‚Äù Adobe RGB Photographer Monitor with Shading Hood</t>
  </si>
  <si>
    <t>BENQ SW270C 27‚Äù 2K 99% Adobe RGB Photography Monitor with Shading Hood</t>
  </si>
  <si>
    <t>20</t>
  </si>
  <si>
    <t>BONELK USB-C to Gigabit Adapter - (Black)</t>
  </si>
  <si>
    <t>25</t>
  </si>
  <si>
    <t>15</t>
  </si>
  <si>
    <t>30</t>
  </si>
  <si>
    <t>10</t>
  </si>
  <si>
    <t>BONELK Desktop Series 14 in 1 USB-C¬†Multiport Hub - Black</t>
  </si>
  <si>
    <t>40</t>
  </si>
  <si>
    <t>5</t>
  </si>
  <si>
    <t>GUMDROP DropTech Case for iPad 10.2‚Ä≥ (7th, 8th, 9th Gen)</t>
  </si>
  <si>
    <t>GUMDROP Hideaway Case for iPad 10.2‚Ä≥ (7th, 8th, 9th Gen)</t>
  </si>
  <si>
    <t>GUMDROP FoamTech Case for iPad 10.2‚Ä≥ (7th, 8th, 9th Gen)</t>
  </si>
  <si>
    <t>MW Basics ¬≤Life MacBook Air 15" (Black/White)</t>
  </si>
  <si>
    <t>MW Basics ¬≤Life MacBook Pro/Air 13" (Red/White)</t>
  </si>
  <si>
    <t>MW Basics ¬≤Life Recycled Sleeve for MacBook Pro 14" (Black)</t>
  </si>
  <si>
    <t>MW Basics ¬≤Life Recycled Sleeve for MacBook Pro 16" (Black)</t>
  </si>
  <si>
    <t>MW Basics ¬≤Life MacBook Pro/Air 13" Sleeve Black / White</t>
  </si>
  <si>
    <t>2</t>
  </si>
  <si>
    <t>4</t>
  </si>
  <si>
    <t>32</t>
  </si>
  <si>
    <t>16</t>
  </si>
  <si>
    <t>6</t>
  </si>
  <si>
    <t>13</t>
  </si>
  <si>
    <t>SATECHI USB-C Slim Dock for 24‚Äù iMac (Silver)</t>
  </si>
  <si>
    <t>TWELVESOUTH BookBook for 12.9" iPad Pro (2018/3rd Gen) (Brown)</t>
  </si>
  <si>
    <t>TWELVESOUTH AirFly (2nd Gen)</t>
  </si>
  <si>
    <t>TWELVESOUTH AirFly Duo</t>
  </si>
  <si>
    <t>TWELVESOUTH BookBook for iPhone 13 mini (brown) MagSafe</t>
  </si>
  <si>
    <t>TWELVESOUTH BookBook for iPhone 13 (brown) MagSafe</t>
  </si>
  <si>
    <t>TWELVESOUTH BookBook for iPhone 12 Pro Max (Brown)</t>
  </si>
  <si>
    <t>TWELVESOUTH BookBook for iPhone 12 and 12 Pro (Brown)</t>
  </si>
  <si>
    <t>TWELVESOUTH BookBook for iPhone 11 Pro Max (Brown)</t>
  </si>
  <si>
    <t>TWELVESOUTH BookBook for iPhone 11 Pro Max (Black)</t>
  </si>
  <si>
    <t>TWELVESOUTH BookBook for iPhone 11 Pro (Brown)</t>
  </si>
  <si>
    <t>TWELVESOUTH BookBook for iPhone 12 mini (brown)</t>
  </si>
  <si>
    <t>TWELVESOUTH BookBook for iPhone 13 Pro (brown) MagSafe</t>
  </si>
  <si>
    <t>TWELVESOUTH Curve Flex flexible desktop stand for MacBook / Laptops (White)</t>
  </si>
  <si>
    <t>TWELVESOUTH Curve Flex flexible desktop stand for MacBook / Laptops (Black)</t>
  </si>
  <si>
    <t>TWELVESOUTH Compass Pro (Space Grey)</t>
  </si>
  <si>
    <t>TWELVESOUTH BookBook for iPhone Xs Max (Brown)</t>
  </si>
  <si>
    <t>TWELVESOUTH BookBook for iPhone Xs Max (Black)</t>
  </si>
  <si>
    <t>TWELVESOUTH BookBook for iPhone 13 Pro Max (brown) MagSafe</t>
  </si>
  <si>
    <t>TWELVESOUTH BookBook for iPhone 11 Pro (Black)</t>
  </si>
  <si>
    <t>TWELVESOUTH AirSnap for AirPods (Dark Grey Twill)</t>
  </si>
  <si>
    <t>TWELVESOUTH AirSnap for AirPods (Light Grey Twill)</t>
  </si>
  <si>
    <t>TWELVESOUTH AirFly USB-C</t>
  </si>
  <si>
    <t>TWELVESOUTH AirFly SE</t>
  </si>
  <si>
    <t>TWELVESOUTH AirFly Pro (White)</t>
  </si>
  <si>
    <t>110</t>
  </si>
  <si>
    <t>TWELVESOUTH AirSnap for AirPods (Teal)</t>
  </si>
  <si>
    <t>TWELVESOUTH BookBook for iPad Mini 5 (Brown)</t>
  </si>
  <si>
    <t>TWELVESOUTH BookBook Case Vol. 2 for 12.9" iPad Pro</t>
  </si>
  <si>
    <t>TWELVESOUTH BookBook Case Vol. 2 for 11" iPad Pro</t>
  </si>
  <si>
    <t>TWELVESOUTH BookArc for MacBook/Pro w USB-C (Space Grey)</t>
  </si>
  <si>
    <t>TWELVESOUTH AirSnap Pro for AirPods Pro 1st/2nd Gen (Black)</t>
  </si>
  <si>
    <t>TWELVESOUTH BookBook for iPhone 11 (Brown)</t>
  </si>
  <si>
    <t>TWELVESOUTH StayGo USB-C Multiport Hub (White)</t>
  </si>
  <si>
    <t>TWELVESOUTH StayGo USB-C Multiport Hub (Black)</t>
  </si>
  <si>
    <t>TWELVESOUTH StayGo Mini Compact USB-C Hub</t>
  </si>
  <si>
    <t>TWELVESOUTH HiRise Pro for Macbook</t>
  </si>
  <si>
    <t>TWELVESOUTH HiRise for MacBook / Laptops</t>
  </si>
  <si>
    <t>TWELVESOUTH HiRise 3 (Black)</t>
  </si>
  <si>
    <t>TWELVESOUTH HoverBar Tower (Black)</t>
  </si>
  <si>
    <t>TWELVESOUTH HoverBar Duo for iPad / Tablet / Smartphone (1st Gen)</t>
  </si>
  <si>
    <t>TWELVESOUTH HoverBar Duo (2nd Gen) - Black</t>
  </si>
  <si>
    <t>TWELVESOUTH Curve for MacBook / Laptops (White)</t>
  </si>
  <si>
    <t>TWELVESOUTH Curve for MacBook / Laptops (Black)</t>
  </si>
  <si>
    <t>TWELVESOUTH Forte for iPhone with Magsafe</t>
  </si>
  <si>
    <t>TWELVESOUTH Curve SE stand for MacBooks and Laptops (Silver)</t>
  </si>
  <si>
    <t>TWELVESOUTH Curve Riser for iMac and Displays</t>
  </si>
  <si>
    <t>TWELVESOUTH PowerPic Mod - Black</t>
  </si>
  <si>
    <t>TWELVESOUTH Journal for Macbook Pro 13" USB-C (Cognac)</t>
  </si>
  <si>
    <t>TWELVESOUTH PlugBug Duo</t>
  </si>
  <si>
    <t>TWELVESOUTH Journal for Macbook Pro 15" USB-C (Cognac)</t>
  </si>
  <si>
    <t>TWELVESOUTH Journal for iPhone Xs Max (Black)</t>
  </si>
  <si>
    <t>TWELVESOUTH ParcSlope for MacBook, Laptops &amp; iPad</t>
  </si>
  <si>
    <t>TWELVESOUTH Journal for iPhone Xs Max (Cognac)</t>
  </si>
  <si>
    <t>TWELVESOUTH PowerPic Mod - White</t>
  </si>
  <si>
    <t>TWELVESOUTH BookBook Vol 2 for iPad Pro 11" (Brown)</t>
  </si>
  <si>
    <t>TWELVESOUTH BookBook for iPhone X/XS (Brown)</t>
  </si>
  <si>
    <t>TWELVESOUTH Journal for iPhone Xr (Cognac)</t>
  </si>
  <si>
    <t>TWELVESOUTH HiRise Deluxe 2 for iPhone/iPad (Black)</t>
  </si>
  <si>
    <t>TWELVESOUTH HiRise 2 for iPhone/iPad (Black)</t>
  </si>
  <si>
    <t>TWELVESOUTH Fermata Intl Headphone Charging Stand (Black)</t>
  </si>
  <si>
    <t>TWELVESOUTH Fermata Headphone Charging Stand (Silver)</t>
  </si>
  <si>
    <t>TWELVESOUTH AirFly Pro (Black)</t>
  </si>
  <si>
    <t>TWELVESOUTH MagicBridge</t>
  </si>
  <si>
    <t>TWELVESOUTH AirSnap for AirPods (Black)</t>
  </si>
  <si>
    <t>TWELVESOUTH AirSnap Pro for AirPods Pro 1st/2nd Gen (Cognac)</t>
  </si>
  <si>
    <t>TWELVESOUTH AirSnap for AirPods (Cognac)</t>
  </si>
  <si>
    <t>TWELVESOUTH Journal for iPhone 6+/6S+/7+/8+ (Cognac)</t>
  </si>
  <si>
    <t>TWELVESOUTH BookBook Case for 12.9" iPad Pro (Gen 5)</t>
  </si>
  <si>
    <t>ZOWIE XL2746S 240Hz DyAc‚Å∫ 27 inch e-Sports Monitor</t>
  </si>
  <si>
    <t>ZOWIE XL2566K TN 360Hz DyAc‚Å∫‚Ñ¢ 24.5 Inch Gaming Monitor For Esports</t>
  </si>
  <si>
    <t>Costco</t>
  </si>
  <si>
    <t/>
  </si>
  <si>
    <t>16058</t>
  </si>
  <si>
    <t>16057</t>
  </si>
  <si>
    <t>15458</t>
  </si>
  <si>
    <t>12941</t>
  </si>
  <si>
    <t>12259</t>
  </si>
  <si>
    <t>16925</t>
  </si>
  <si>
    <t>15196</t>
  </si>
  <si>
    <t>16258</t>
  </si>
  <si>
    <t>16852</t>
  </si>
  <si>
    <t>16853</t>
  </si>
  <si>
    <t>12843</t>
  </si>
  <si>
    <t>16056</t>
  </si>
  <si>
    <t>12298</t>
  </si>
  <si>
    <t>16859</t>
  </si>
  <si>
    <t>16860</t>
  </si>
  <si>
    <t>BONELK Elevate Flow Laptop Stand - Black</t>
  </si>
  <si>
    <t>10000494</t>
  </si>
  <si>
    <t>10000786</t>
  </si>
  <si>
    <t>10000788</t>
  </si>
  <si>
    <t>10000605</t>
  </si>
  <si>
    <t>617100</t>
  </si>
  <si>
    <t>621012</t>
  </si>
  <si>
    <t>621023</t>
  </si>
  <si>
    <t>10000358</t>
  </si>
  <si>
    <t>621109</t>
  </si>
  <si>
    <t>727623</t>
  </si>
  <si>
    <t>10000785</t>
  </si>
  <si>
    <t>19251</t>
  </si>
  <si>
    <t>47195</t>
  </si>
  <si>
    <t>46927</t>
  </si>
  <si>
    <t>46933</t>
  </si>
  <si>
    <t>46443</t>
  </si>
  <si>
    <t>46928</t>
  </si>
  <si>
    <t>46934</t>
  </si>
  <si>
    <t>47187</t>
  </si>
  <si>
    <t>46826</t>
  </si>
  <si>
    <t>46241</t>
  </si>
  <si>
    <t>46240</t>
  </si>
  <si>
    <t>47121</t>
  </si>
  <si>
    <t>46447</t>
  </si>
  <si>
    <t>46946</t>
  </si>
  <si>
    <t>46830</t>
  </si>
  <si>
    <t>47913</t>
  </si>
  <si>
    <t>47177</t>
  </si>
  <si>
    <t>47178</t>
  </si>
  <si>
    <t>46444</t>
  </si>
  <si>
    <t>46230</t>
  </si>
  <si>
    <t>46445</t>
  </si>
  <si>
    <t>46782</t>
  </si>
  <si>
    <t>46328</t>
  </si>
  <si>
    <t>46780</t>
  </si>
  <si>
    <t>46781</t>
  </si>
  <si>
    <t>46783</t>
  </si>
  <si>
    <t>47194</t>
  </si>
  <si>
    <t>46742</t>
  </si>
  <si>
    <t>46446</t>
  </si>
  <si>
    <t>47089</t>
  </si>
  <si>
    <t>46760</t>
  </si>
  <si>
    <t>47179</t>
  </si>
  <si>
    <t>47181</t>
  </si>
  <si>
    <t>47182</t>
  </si>
  <si>
    <t>47183</t>
  </si>
  <si>
    <t>46233</t>
  </si>
  <si>
    <t>46602</t>
  </si>
  <si>
    <t>46604</t>
  </si>
  <si>
    <t>46562</t>
  </si>
  <si>
    <t>46550</t>
  </si>
  <si>
    <t>46561</t>
  </si>
  <si>
    <t>46511</t>
  </si>
  <si>
    <t>47091</t>
  </si>
  <si>
    <t>47092</t>
  </si>
  <si>
    <t>46824</t>
  </si>
  <si>
    <t>46823</t>
  </si>
  <si>
    <t>46329</t>
  </si>
  <si>
    <t>46331</t>
  </si>
  <si>
    <t>46302</t>
  </si>
  <si>
    <t>47900</t>
  </si>
  <si>
    <t>46266</t>
  </si>
  <si>
    <t>46265</t>
  </si>
  <si>
    <t>46448</t>
  </si>
  <si>
    <t>46421</t>
  </si>
  <si>
    <t>46325</t>
  </si>
  <si>
    <t>47184</t>
  </si>
  <si>
    <t>47170</t>
  </si>
  <si>
    <t>47171</t>
  </si>
  <si>
    <t>47174</t>
  </si>
  <si>
    <t>47175</t>
  </si>
  <si>
    <t>46330</t>
  </si>
  <si>
    <t>47915</t>
  </si>
  <si>
    <t>47916</t>
  </si>
  <si>
    <t>46441</t>
  </si>
  <si>
    <t>47040</t>
  </si>
  <si>
    <t>47046</t>
  </si>
  <si>
    <t>47041</t>
  </si>
  <si>
    <t>47028</t>
  </si>
  <si>
    <t>47004</t>
  </si>
  <si>
    <t>47025</t>
  </si>
  <si>
    <t>47026</t>
  </si>
  <si>
    <t>47006</t>
  </si>
  <si>
    <t>47051</t>
  </si>
  <si>
    <t>47054</t>
  </si>
  <si>
    <t>47053</t>
  </si>
  <si>
    <t>46246</t>
  </si>
  <si>
    <t>47173</t>
  </si>
  <si>
    <t>46433</t>
  </si>
  <si>
    <t>46920</t>
  </si>
  <si>
    <t>46921</t>
  </si>
  <si>
    <t>46944</t>
  </si>
  <si>
    <t>47176</t>
  </si>
  <si>
    <t>Garmin Instinct Solar â€“ Camo Edition (Lichen Camo)</t>
  </si>
  <si>
    <t>Garmin Instinct â€“ Tactical Edition (Black)</t>
  </si>
  <si>
    <t>GUMDROP Hideaway Case for iPad 10.2″ (7th, 8th, 9th Gen)</t>
  </si>
  <si>
    <t>6970357858675</t>
  </si>
  <si>
    <t>6977644763070</t>
  </si>
  <si>
    <t>6977644763568</t>
  </si>
  <si>
    <t>6970357855179</t>
  </si>
  <si>
    <t>6970357853908</t>
  </si>
  <si>
    <t>6970357859917</t>
  </si>
  <si>
    <t>6970357859474</t>
  </si>
  <si>
    <t>6970357859467</t>
  </si>
  <si>
    <t>6970357858217</t>
  </si>
  <si>
    <t>6970357858224</t>
  </si>
  <si>
    <t>6977644763605</t>
  </si>
  <si>
    <t>6977644763599</t>
  </si>
  <si>
    <t>6977644763025</t>
  </si>
  <si>
    <t>6977644761472</t>
  </si>
  <si>
    <t>6977644763612</t>
  </si>
  <si>
    <t>6977644761915</t>
  </si>
  <si>
    <t>MW Basics ²Life MacBook Air 15" (Green/White)</t>
  </si>
  <si>
    <t>MW Basics ²Life MacBook Air 15" (Red/White)</t>
  </si>
  <si>
    <t>MW Basics ²Life MacBook Pro 14" (Green/White)</t>
  </si>
  <si>
    <t>MW Basics ²Life MacBook Pro/Air 13" (Pattern Flower Bomb)</t>
  </si>
  <si>
    <t>MW Basics ²Life MacBook Pro/Air 13" (Yellow/White)</t>
  </si>
  <si>
    <t>10000535</t>
  </si>
  <si>
    <t>10000448</t>
  </si>
  <si>
    <t>10000447</t>
  </si>
  <si>
    <t>10000446</t>
  </si>
  <si>
    <t>10000541</t>
  </si>
  <si>
    <t>10000633</t>
  </si>
  <si>
    <t>10000632</t>
  </si>
  <si>
    <t>10000634</t>
  </si>
  <si>
    <t>10000458</t>
  </si>
  <si>
    <t>10001566</t>
  </si>
  <si>
    <t>10000730</t>
  </si>
  <si>
    <t>10000732</t>
  </si>
  <si>
    <t>10000461</t>
  </si>
  <si>
    <t>10000460</t>
  </si>
  <si>
    <t>10000158</t>
  </si>
  <si>
    <t>10000539</t>
  </si>
  <si>
    <t>10000728</t>
  </si>
  <si>
    <t>10000798</t>
  </si>
  <si>
    <t>10000727</t>
  </si>
  <si>
    <t>10000457</t>
  </si>
  <si>
    <t>10001451</t>
  </si>
  <si>
    <t>10001450</t>
  </si>
  <si>
    <t>10000812</t>
  </si>
  <si>
    <t>10000113</t>
  </si>
  <si>
    <t>10000796</t>
  </si>
  <si>
    <t>10001501</t>
  </si>
  <si>
    <t>10000111</t>
  </si>
  <si>
    <t>10001502</t>
  </si>
  <si>
    <t>10000112</t>
  </si>
  <si>
    <t>10001503</t>
  </si>
  <si>
    <t>10000116</t>
  </si>
  <si>
    <t>10000115</t>
  </si>
  <si>
    <t>10001506</t>
  </si>
  <si>
    <t>10001507</t>
  </si>
  <si>
    <t>10001505</t>
  </si>
  <si>
    <t>10000429</t>
  </si>
  <si>
    <t>10000428</t>
  </si>
  <si>
    <t>10000118</t>
  </si>
  <si>
    <t>10000119</t>
  </si>
  <si>
    <t>10000117</t>
  </si>
  <si>
    <t>10001169</t>
  </si>
  <si>
    <t>10000801</t>
  </si>
  <si>
    <t>10000189</t>
  </si>
  <si>
    <t>10000190</t>
  </si>
  <si>
    <t>10000808</t>
  </si>
  <si>
    <t>10000153</t>
  </si>
  <si>
    <t>10000545</t>
  </si>
  <si>
    <t>10001022</t>
  </si>
  <si>
    <t>10001021</t>
  </si>
  <si>
    <t>10000076</t>
  </si>
  <si>
    <t>10000077</t>
  </si>
  <si>
    <t>10000080</t>
  </si>
  <si>
    <t>10000079</t>
  </si>
  <si>
    <t>10000456</t>
  </si>
  <si>
    <t>10000468</t>
  </si>
  <si>
    <t>10000469</t>
  </si>
  <si>
    <t>10000470</t>
  </si>
  <si>
    <t>10000465</t>
  </si>
  <si>
    <t>10000576</t>
  </si>
  <si>
    <t>10000466</t>
  </si>
  <si>
    <t>10000474</t>
  </si>
  <si>
    <t>10000393</t>
  </si>
  <si>
    <t>10000394</t>
  </si>
  <si>
    <t>10001519</t>
  </si>
  <si>
    <t>10000081</t>
  </si>
  <si>
    <t>10000543</t>
  </si>
  <si>
    <t>10000544</t>
  </si>
  <si>
    <t>10000540</t>
  </si>
  <si>
    <t>10000814</t>
  </si>
  <si>
    <t>11781</t>
  </si>
  <si>
    <t>19128</t>
  </si>
  <si>
    <t>18302</t>
  </si>
  <si>
    <t>18191</t>
  </si>
  <si>
    <t>18189</t>
  </si>
  <si>
    <t>18089</t>
  </si>
  <si>
    <t>17928</t>
  </si>
  <si>
    <t>18054</t>
  </si>
  <si>
    <t>18166</t>
  </si>
  <si>
    <t>18080</t>
  </si>
  <si>
    <t>18171</t>
  </si>
  <si>
    <t>18119</t>
  </si>
  <si>
    <t>18169</t>
  </si>
  <si>
    <t>18127</t>
  </si>
  <si>
    <t>18185</t>
  </si>
  <si>
    <t>18181</t>
  </si>
  <si>
    <t>18068</t>
  </si>
  <si>
    <t>18187</t>
  </si>
  <si>
    <t>22548</t>
  </si>
  <si>
    <t>26033</t>
  </si>
  <si>
    <t>26035</t>
  </si>
  <si>
    <t>26039</t>
  </si>
  <si>
    <t>26018</t>
  </si>
  <si>
    <t>17195</t>
  </si>
  <si>
    <t>17196</t>
  </si>
  <si>
    <t>17197</t>
  </si>
  <si>
    <t>17202</t>
  </si>
  <si>
    <t>17199</t>
  </si>
  <si>
    <t>17200</t>
  </si>
  <si>
    <t>22040</t>
  </si>
  <si>
    <t>22051</t>
  </si>
  <si>
    <t>22094</t>
  </si>
  <si>
    <t>22031</t>
  </si>
  <si>
    <t>22028</t>
  </si>
  <si>
    <t>22024</t>
  </si>
  <si>
    <t>22033</t>
  </si>
  <si>
    <t>22036</t>
  </si>
  <si>
    <t>22035</t>
  </si>
  <si>
    <t>22046</t>
  </si>
  <si>
    <t>18176</t>
  </si>
  <si>
    <t>18177</t>
  </si>
  <si>
    <t>18877</t>
  </si>
  <si>
    <t>17731</t>
  </si>
  <si>
    <t>18531</t>
  </si>
  <si>
    <t>17733</t>
  </si>
  <si>
    <t>22134</t>
  </si>
  <si>
    <t>22132</t>
  </si>
  <si>
    <t>22133</t>
  </si>
  <si>
    <t>22135</t>
  </si>
  <si>
    <t>21536196</t>
  </si>
  <si>
    <t>21539198</t>
  </si>
  <si>
    <t>21541198</t>
  </si>
  <si>
    <t>21542197</t>
  </si>
  <si>
    <t>21540196</t>
  </si>
  <si>
    <t>21540198</t>
  </si>
  <si>
    <t>21198981</t>
  </si>
  <si>
    <t>21198781</t>
  </si>
  <si>
    <t>21198960</t>
  </si>
  <si>
    <t>21198961</t>
  </si>
  <si>
    <t>22847201</t>
  </si>
  <si>
    <t>26571000</t>
  </si>
  <si>
    <t>26595100</t>
  </si>
  <si>
    <t>24542106</t>
  </si>
  <si>
    <t>25058100</t>
  </si>
  <si>
    <t>26594100</t>
  </si>
  <si>
    <t>20281010</t>
  </si>
  <si>
    <t>22846100</t>
  </si>
  <si>
    <t>26593100</t>
  </si>
  <si>
    <t>22999045</t>
  </si>
  <si>
    <t>26592100</t>
  </si>
  <si>
    <t>38021310</t>
  </si>
  <si>
    <t>38020306</t>
  </si>
  <si>
    <t>38025312</t>
  </si>
  <si>
    <t>38023310</t>
  </si>
  <si>
    <t>38599013</t>
  </si>
  <si>
    <t>7.8343</t>
  </si>
  <si>
    <t>7.8210</t>
  </si>
  <si>
    <t>7.8333</t>
  </si>
  <si>
    <t>35982</t>
  </si>
  <si>
    <t>WOS</t>
  </si>
  <si>
    <t>227007</t>
  </si>
  <si>
    <t>238122</t>
  </si>
  <si>
    <t>238123</t>
  </si>
  <si>
    <t>242419</t>
  </si>
  <si>
    <t>248200</t>
  </si>
  <si>
    <t>248664</t>
  </si>
  <si>
    <t>192229</t>
  </si>
  <si>
    <t>192224</t>
  </si>
  <si>
    <t>187569</t>
  </si>
  <si>
    <t>187568</t>
  </si>
  <si>
    <t>201092</t>
  </si>
  <si>
    <t>212052</t>
  </si>
  <si>
    <t>212746</t>
  </si>
  <si>
    <t>214433</t>
  </si>
  <si>
    <t>214432</t>
  </si>
  <si>
    <t>214431</t>
  </si>
  <si>
    <t>437345</t>
  </si>
  <si>
    <t>20010100001198</t>
  </si>
  <si>
    <t>20010100001259</t>
  </si>
  <si>
    <t>20010100001273</t>
  </si>
  <si>
    <t>20010100001313</t>
  </si>
  <si>
    <t>20010100001370</t>
  </si>
  <si>
    <t>20010100001394</t>
  </si>
  <si>
    <t>20010100001460</t>
  </si>
  <si>
    <t>20010100001464</t>
  </si>
  <si>
    <t>20010100001471</t>
  </si>
  <si>
    <t>20010100001476</t>
  </si>
  <si>
    <t>20010100001534</t>
  </si>
  <si>
    <t>20010100001535</t>
  </si>
  <si>
    <t>20010100001536</t>
  </si>
  <si>
    <t>20010100001537</t>
  </si>
  <si>
    <t>20010100001538</t>
  </si>
  <si>
    <t>20010100001553</t>
  </si>
  <si>
    <t>20010100001554</t>
  </si>
  <si>
    <t>20010100001558</t>
  </si>
  <si>
    <t>20010100001565</t>
  </si>
  <si>
    <t>MOVA Robotic Lawn Mower Blade Kit</t>
  </si>
  <si>
    <t>20010100001573</t>
  </si>
  <si>
    <t>20010100001718</t>
  </si>
  <si>
    <t>20010100001753</t>
  </si>
  <si>
    <t>20010100001767</t>
  </si>
  <si>
    <t>20010100001799</t>
  </si>
  <si>
    <t>20010100001800</t>
  </si>
  <si>
    <t>20010100001804</t>
  </si>
  <si>
    <t>20010100001878</t>
  </si>
  <si>
    <t>20010100001983</t>
  </si>
  <si>
    <t>20010100001991</t>
  </si>
  <si>
    <t>20010100002098</t>
  </si>
  <si>
    <t>MOVA Wood Floor Care Solution</t>
  </si>
  <si>
    <t>162828</t>
  </si>
  <si>
    <t>398895</t>
  </si>
  <si>
    <t>398899</t>
  </si>
  <si>
    <t>437344</t>
  </si>
  <si>
    <t>247316</t>
  </si>
  <si>
    <t>247680</t>
  </si>
  <si>
    <t>247317</t>
  </si>
  <si>
    <t>247313</t>
  </si>
  <si>
    <t>247766</t>
  </si>
  <si>
    <t>247312</t>
  </si>
  <si>
    <t>247681</t>
  </si>
  <si>
    <t>247691</t>
  </si>
  <si>
    <t>247697</t>
  </si>
  <si>
    <t>459524</t>
  </si>
  <si>
    <t>447637</t>
  </si>
  <si>
    <t>233905</t>
  </si>
  <si>
    <t>458983</t>
  </si>
  <si>
    <t>447642</t>
  </si>
  <si>
    <t>447636</t>
  </si>
  <si>
    <t>233907</t>
  </si>
  <si>
    <t>459522</t>
  </si>
  <si>
    <t>233908</t>
  </si>
  <si>
    <t>447634</t>
  </si>
  <si>
    <t>233900</t>
  </si>
  <si>
    <t>447641</t>
  </si>
  <si>
    <t>233901</t>
  </si>
  <si>
    <t>447632</t>
  </si>
  <si>
    <t>233903</t>
  </si>
  <si>
    <t>459525</t>
  </si>
  <si>
    <t>447631</t>
  </si>
  <si>
    <t>447633</t>
  </si>
  <si>
    <t>233909</t>
  </si>
  <si>
    <t>447635</t>
  </si>
  <si>
    <t>233906</t>
  </si>
  <si>
    <t>458984</t>
  </si>
  <si>
    <t>233897</t>
  </si>
  <si>
    <t>447638</t>
  </si>
  <si>
    <t>233902</t>
  </si>
  <si>
    <t>447640</t>
  </si>
  <si>
    <t>233896</t>
  </si>
  <si>
    <t>447639</t>
  </si>
  <si>
    <t>233898</t>
  </si>
  <si>
    <t>233899</t>
  </si>
  <si>
    <t>459137</t>
  </si>
  <si>
    <t>459138</t>
  </si>
  <si>
    <t>459133</t>
  </si>
  <si>
    <t>450326</t>
  </si>
  <si>
    <t>237562</t>
  </si>
  <si>
    <t>459134</t>
  </si>
  <si>
    <t>450327</t>
  </si>
  <si>
    <t>237563</t>
  </si>
  <si>
    <t>450328</t>
  </si>
  <si>
    <t>237564</t>
  </si>
  <si>
    <t>450329</t>
  </si>
  <si>
    <t>237561</t>
  </si>
  <si>
    <t>247563</t>
  </si>
  <si>
    <t>450772</t>
  </si>
  <si>
    <t>237880</t>
  </si>
  <si>
    <t>458975</t>
  </si>
  <si>
    <t>244514</t>
  </si>
  <si>
    <t>458980</t>
  </si>
  <si>
    <t>458978</t>
  </si>
  <si>
    <t>244513</t>
  </si>
  <si>
    <t>458976</t>
  </si>
  <si>
    <t>244511</t>
  </si>
  <si>
    <t>450773</t>
  </si>
  <si>
    <t>237881</t>
  </si>
  <si>
    <t>462976</t>
  </si>
  <si>
    <t>245536</t>
  </si>
  <si>
    <t>458979</t>
  </si>
  <si>
    <t>458977</t>
  </si>
  <si>
    <t>244512</t>
  </si>
  <si>
    <t>458986</t>
  </si>
  <si>
    <t>459523</t>
  </si>
  <si>
    <t>458985</t>
  </si>
  <si>
    <t>244510</t>
  </si>
  <si>
    <t>458981</t>
  </si>
  <si>
    <t>245537</t>
  </si>
  <si>
    <t>455630</t>
  </si>
  <si>
    <t>466361</t>
  </si>
  <si>
    <t>243139</t>
  </si>
  <si>
    <t>455631</t>
  </si>
  <si>
    <t>243136</t>
  </si>
  <si>
    <t>466490</t>
  </si>
  <si>
    <t>458982</t>
  </si>
  <si>
    <t>459135</t>
  </si>
  <si>
    <t>459136</t>
  </si>
  <si>
    <t>458987</t>
  </si>
  <si>
    <t>458988</t>
  </si>
  <si>
    <t>461372</t>
  </si>
  <si>
    <t>462977</t>
  </si>
  <si>
    <t>245492</t>
  </si>
  <si>
    <t>462978</t>
  </si>
  <si>
    <t>245491</t>
  </si>
  <si>
    <t>467810</t>
  </si>
  <si>
    <t>247758</t>
  </si>
  <si>
    <t>467811</t>
  </si>
  <si>
    <t>247757</t>
  </si>
  <si>
    <t>467812</t>
  </si>
  <si>
    <t>247763</t>
  </si>
  <si>
    <t>172740</t>
  </si>
  <si>
    <t>145422</t>
  </si>
  <si>
    <t>215663</t>
  </si>
  <si>
    <t>375902</t>
  </si>
  <si>
    <t>203994</t>
  </si>
  <si>
    <t>174649</t>
  </si>
  <si>
    <t>203993</t>
  </si>
  <si>
    <t>159888</t>
  </si>
  <si>
    <t>233911</t>
  </si>
  <si>
    <t>242739</t>
  </si>
  <si>
    <t>297014</t>
  </si>
  <si>
    <t>363006</t>
  </si>
  <si>
    <t>150753</t>
  </si>
  <si>
    <t>202795</t>
  </si>
  <si>
    <t>ADIB</t>
  </si>
  <si>
    <t>ADONIT Ink Stylus (Black)</t>
  </si>
  <si>
    <t>160855</t>
  </si>
  <si>
    <t>138049</t>
  </si>
  <si>
    <t>164046</t>
  </si>
  <si>
    <t>146389</t>
  </si>
  <si>
    <t>146390</t>
  </si>
  <si>
    <t>187102</t>
  </si>
  <si>
    <t>187103</t>
  </si>
  <si>
    <t>187105</t>
  </si>
  <si>
    <t>187113</t>
  </si>
  <si>
    <t>185935</t>
  </si>
  <si>
    <t>403776</t>
  </si>
  <si>
    <t>215433</t>
  </si>
  <si>
    <t>414061</t>
  </si>
  <si>
    <t>215432</t>
  </si>
  <si>
    <t>425214</t>
  </si>
  <si>
    <t>226302</t>
  </si>
  <si>
    <t>443295</t>
  </si>
  <si>
    <t>443263</t>
  </si>
  <si>
    <t>425215</t>
  </si>
  <si>
    <t>226301</t>
  </si>
  <si>
    <t>189114</t>
  </si>
  <si>
    <t>183579</t>
  </si>
  <si>
    <t>419119</t>
  </si>
  <si>
    <t>226260</t>
  </si>
  <si>
    <t>226259</t>
  </si>
  <si>
    <t>226258</t>
  </si>
  <si>
    <t>226261</t>
  </si>
  <si>
    <t>215155</t>
  </si>
  <si>
    <t>215156</t>
  </si>
  <si>
    <t>215157</t>
  </si>
  <si>
    <t>419114</t>
  </si>
  <si>
    <t>215158</t>
  </si>
  <si>
    <t>215159</t>
  </si>
  <si>
    <t>192227</t>
  </si>
  <si>
    <t>192222</t>
  </si>
  <si>
    <t>450173</t>
  </si>
  <si>
    <t>459687</t>
  </si>
  <si>
    <t>459688</t>
  </si>
  <si>
    <t>459689</t>
  </si>
  <si>
    <t>374115</t>
  </si>
  <si>
    <t>202473</t>
  </si>
  <si>
    <t>374116</t>
  </si>
  <si>
    <t>441374</t>
  </si>
  <si>
    <t>374117</t>
  </si>
  <si>
    <t>374118</t>
  </si>
  <si>
    <t>216982</t>
  </si>
  <si>
    <t>216984</t>
  </si>
  <si>
    <t>450172</t>
  </si>
  <si>
    <t>459686</t>
  </si>
  <si>
    <t>455793</t>
  </si>
  <si>
    <t>242489</t>
  </si>
  <si>
    <t>455794</t>
  </si>
  <si>
    <t>242487</t>
  </si>
  <si>
    <t>455795</t>
  </si>
  <si>
    <t>242486</t>
  </si>
  <si>
    <t>455796</t>
  </si>
  <si>
    <t>242485</t>
  </si>
  <si>
    <t>450171</t>
  </si>
  <si>
    <t>450174</t>
  </si>
  <si>
    <t>243515</t>
  </si>
  <si>
    <t>450169</t>
  </si>
  <si>
    <t>243514</t>
  </si>
  <si>
    <t>450175</t>
  </si>
  <si>
    <t>450170</t>
  </si>
  <si>
    <t>458070</t>
  </si>
  <si>
    <t>244220</t>
  </si>
  <si>
    <t>458071</t>
  </si>
  <si>
    <t>244218</t>
  </si>
  <si>
    <t>202479</t>
  </si>
  <si>
    <t>399436</t>
  </si>
  <si>
    <t>459693</t>
  </si>
  <si>
    <t>459694</t>
  </si>
  <si>
    <t>401960</t>
  </si>
  <si>
    <t>401961</t>
  </si>
  <si>
    <t>384604</t>
  </si>
  <si>
    <t>202155</t>
  </si>
  <si>
    <t>384605</t>
  </si>
  <si>
    <t>202156</t>
  </si>
  <si>
    <t>384606</t>
  </si>
  <si>
    <t>202157</t>
  </si>
  <si>
    <t>441366</t>
  </si>
  <si>
    <t>231298</t>
  </si>
  <si>
    <t>442312</t>
  </si>
  <si>
    <t>231299</t>
  </si>
  <si>
    <t>231294</t>
  </si>
  <si>
    <t>202097</t>
  </si>
  <si>
    <t>450162</t>
  </si>
  <si>
    <t>231292</t>
  </si>
  <si>
    <t>401955</t>
  </si>
  <si>
    <t>214183</t>
  </si>
  <si>
    <t>399661</t>
  </si>
  <si>
    <t>214181</t>
  </si>
  <si>
    <t>399662</t>
  </si>
  <si>
    <t>231295</t>
  </si>
  <si>
    <t>401956</t>
  </si>
  <si>
    <t>214182</t>
  </si>
  <si>
    <t>399663</t>
  </si>
  <si>
    <t>214185</t>
  </si>
  <si>
    <t>399664</t>
  </si>
  <si>
    <t>214186</t>
  </si>
  <si>
    <t>401957</t>
  </si>
  <si>
    <t>214184</t>
  </si>
  <si>
    <t>401958</t>
  </si>
  <si>
    <t>214188</t>
  </si>
  <si>
    <t>450164</t>
  </si>
  <si>
    <t>214187</t>
  </si>
  <si>
    <t>450167</t>
  </si>
  <si>
    <t>214191</t>
  </si>
  <si>
    <t>214190</t>
  </si>
  <si>
    <t>214189</t>
  </si>
  <si>
    <t>459682</t>
  </si>
  <si>
    <t>224387</t>
  </si>
  <si>
    <t>450168</t>
  </si>
  <si>
    <t>214192</t>
  </si>
  <si>
    <t>450160</t>
  </si>
  <si>
    <t>216910</t>
  </si>
  <si>
    <t>216909</t>
  </si>
  <si>
    <t>438002</t>
  </si>
  <si>
    <t>438003</t>
  </si>
  <si>
    <t>450161</t>
  </si>
  <si>
    <t>216911</t>
  </si>
  <si>
    <t>216983</t>
  </si>
  <si>
    <t>450163</t>
  </si>
  <si>
    <t>224385</t>
  </si>
  <si>
    <t>216913</t>
  </si>
  <si>
    <t>438004</t>
  </si>
  <si>
    <t>438005</t>
  </si>
  <si>
    <t>243577</t>
  </si>
  <si>
    <t>450166</t>
  </si>
  <si>
    <t>224388</t>
  </si>
  <si>
    <t>450165</t>
  </si>
  <si>
    <t>224392</t>
  </si>
  <si>
    <t>438007</t>
  </si>
  <si>
    <t>224386</t>
  </si>
  <si>
    <t>438006</t>
  </si>
  <si>
    <t>438008</t>
  </si>
  <si>
    <t>224391</t>
  </si>
  <si>
    <t>438009</t>
  </si>
  <si>
    <t>224389</t>
  </si>
  <si>
    <t>450156</t>
  </si>
  <si>
    <t>224390</t>
  </si>
  <si>
    <t>450157</t>
  </si>
  <si>
    <t>224394</t>
  </si>
  <si>
    <t>450158</t>
  </si>
  <si>
    <t>224393</t>
  </si>
  <si>
    <t>459683</t>
  </si>
  <si>
    <t>243568</t>
  </si>
  <si>
    <t>459684</t>
  </si>
  <si>
    <t>243567</t>
  </si>
  <si>
    <t>459685</t>
  </si>
  <si>
    <t>243566</t>
  </si>
  <si>
    <t>231293</t>
  </si>
  <si>
    <t>231300</t>
  </si>
  <si>
    <t>450155</t>
  </si>
  <si>
    <t>231291</t>
  </si>
  <si>
    <t>450159</t>
  </si>
  <si>
    <t>231296</t>
  </si>
  <si>
    <t>450154</t>
  </si>
  <si>
    <t>231297</t>
  </si>
  <si>
    <t>469084</t>
  </si>
  <si>
    <t>469085</t>
  </si>
  <si>
    <t>ELK-90068-R</t>
  </si>
  <si>
    <t>ELK-90069-R</t>
  </si>
  <si>
    <t>192209</t>
  </si>
  <si>
    <t>206138</t>
  </si>
  <si>
    <t>206137</t>
  </si>
  <si>
    <t>386963</t>
  </si>
  <si>
    <t>407344</t>
  </si>
  <si>
    <t>413277</t>
  </si>
  <si>
    <t>435578</t>
  </si>
  <si>
    <t>237940</t>
  </si>
  <si>
    <t>237946</t>
  </si>
  <si>
    <t>435579</t>
  </si>
  <si>
    <t>435580</t>
  </si>
  <si>
    <t>237937</t>
  </si>
  <si>
    <t>237939</t>
  </si>
  <si>
    <t>435577</t>
  </si>
  <si>
    <t>435581</t>
  </si>
  <si>
    <t>237945</t>
  </si>
  <si>
    <t>435582</t>
  </si>
  <si>
    <t>237943</t>
  </si>
  <si>
    <t>237944</t>
  </si>
  <si>
    <t>435583</t>
  </si>
  <si>
    <t>435574</t>
  </si>
  <si>
    <t>435575</t>
  </si>
  <si>
    <t>435576</t>
  </si>
  <si>
    <t>189044</t>
  </si>
  <si>
    <t>224614</t>
  </si>
  <si>
    <t>218061</t>
  </si>
  <si>
    <t>218056</t>
  </si>
  <si>
    <t>219576</t>
  </si>
  <si>
    <t>218057</t>
  </si>
  <si>
    <t>218059</t>
  </si>
  <si>
    <t>219579</t>
  </si>
  <si>
    <t>219580</t>
  </si>
  <si>
    <t>218060</t>
  </si>
  <si>
    <t>224610</t>
  </si>
  <si>
    <t>224617</t>
  </si>
  <si>
    <t>218058</t>
  </si>
  <si>
    <t>223083</t>
  </si>
  <si>
    <t>446253</t>
  </si>
  <si>
    <t>233531</t>
  </si>
  <si>
    <t>819384</t>
  </si>
  <si>
    <t>819385</t>
  </si>
  <si>
    <t>N7505D05-1W35</t>
  </si>
  <si>
    <t>NANOLEAF Essentials Colour Smart LED Downlight  (WIFI)</t>
  </si>
  <si>
    <t>N7505D05-2W35</t>
  </si>
  <si>
    <t>NANOLEAF Essentials Colour Smart LED Downlight  (WIFI) - 2 pack</t>
  </si>
  <si>
    <t>N7505D05-4W35</t>
  </si>
  <si>
    <t>NANOLEAF Essentials Colour Smart LED Downlight  (WIFI) - 4 pack</t>
  </si>
  <si>
    <t>464328</t>
  </si>
  <si>
    <t>446257</t>
  </si>
  <si>
    <t>233537</t>
  </si>
  <si>
    <t>446255</t>
  </si>
  <si>
    <t>233538</t>
  </si>
  <si>
    <t>446258</t>
  </si>
  <si>
    <t>233536</t>
  </si>
  <si>
    <t>446259</t>
  </si>
  <si>
    <t>233534</t>
  </si>
  <si>
    <t>446256</t>
  </si>
  <si>
    <t>233533</t>
  </si>
  <si>
    <t>446250</t>
  </si>
  <si>
    <t>233540</t>
  </si>
  <si>
    <t>795686</t>
  </si>
  <si>
    <t>446251</t>
  </si>
  <si>
    <t>233539</t>
  </si>
  <si>
    <t>446252</t>
  </si>
  <si>
    <t>233535</t>
  </si>
  <si>
    <t>209574</t>
  </si>
  <si>
    <t>428730</t>
  </si>
  <si>
    <t>224361</t>
  </si>
  <si>
    <t>428732</t>
  </si>
  <si>
    <t>224358</t>
  </si>
  <si>
    <t>428731</t>
  </si>
  <si>
    <t>224360</t>
  </si>
  <si>
    <t>428733</t>
  </si>
  <si>
    <t>224353</t>
  </si>
  <si>
    <t>428736</t>
  </si>
  <si>
    <t>224352</t>
  </si>
  <si>
    <t>428737</t>
  </si>
  <si>
    <t>224350</t>
  </si>
  <si>
    <t>428738</t>
  </si>
  <si>
    <t>224349</t>
  </si>
  <si>
    <t>428735</t>
  </si>
  <si>
    <t>224351</t>
  </si>
  <si>
    <t>428734</t>
  </si>
  <si>
    <t>224357</t>
  </si>
  <si>
    <t>224356</t>
  </si>
  <si>
    <t>830320</t>
  </si>
  <si>
    <t>428739</t>
  </si>
  <si>
    <t>224348</t>
  </si>
  <si>
    <t>428740</t>
  </si>
  <si>
    <t>224355</t>
  </si>
  <si>
    <t>181409</t>
  </si>
  <si>
    <t>142784</t>
  </si>
  <si>
    <t>149856</t>
  </si>
  <si>
    <t>181392</t>
  </si>
  <si>
    <t>181386</t>
  </si>
  <si>
    <t>340541</t>
  </si>
  <si>
    <t>357507</t>
  </si>
  <si>
    <t>379517</t>
  </si>
  <si>
    <t>192839</t>
  </si>
  <si>
    <t>285548</t>
  </si>
  <si>
    <t>379518</t>
  </si>
  <si>
    <t>192841</t>
  </si>
  <si>
    <t>379519</t>
  </si>
  <si>
    <t>192842</t>
  </si>
  <si>
    <t>203609</t>
  </si>
  <si>
    <t>209579</t>
  </si>
  <si>
    <t>203610</t>
  </si>
  <si>
    <t>387764</t>
  </si>
  <si>
    <t>201553</t>
  </si>
  <si>
    <t>387765</t>
  </si>
  <si>
    <t>201555</t>
  </si>
  <si>
    <t>387766</t>
  </si>
  <si>
    <t>201557</t>
  </si>
  <si>
    <t>387767</t>
  </si>
  <si>
    <t>387768</t>
  </si>
  <si>
    <t>201559</t>
  </si>
  <si>
    <t>395865</t>
  </si>
  <si>
    <t>206726</t>
  </si>
  <si>
    <t>395866</t>
  </si>
  <si>
    <t>206722</t>
  </si>
  <si>
    <t>393513</t>
  </si>
  <si>
    <t>203607</t>
  </si>
  <si>
    <t>203608</t>
  </si>
  <si>
    <t>405108</t>
  </si>
  <si>
    <t>209582</t>
  </si>
  <si>
    <t>405107</t>
  </si>
  <si>
    <t>209581</t>
  </si>
  <si>
    <t>405109</t>
  </si>
  <si>
    <t>209583</t>
  </si>
  <si>
    <t>154649</t>
  </si>
  <si>
    <t>149858</t>
  </si>
  <si>
    <t>154577</t>
  </si>
  <si>
    <t>352345</t>
  </si>
  <si>
    <t>163269</t>
  </si>
  <si>
    <t>171536</t>
  </si>
  <si>
    <t>149879</t>
  </si>
  <si>
    <t>139655</t>
  </si>
  <si>
    <t>189331</t>
  </si>
  <si>
    <t>189330</t>
  </si>
  <si>
    <t>149891</t>
  </si>
  <si>
    <t>149894</t>
  </si>
  <si>
    <t>149901</t>
  </si>
  <si>
    <t>OTEM-01-SG</t>
  </si>
  <si>
    <t>Outin Nano Portable Electric Espresso Machine - Space Grey</t>
  </si>
  <si>
    <t>OUTIN</t>
  </si>
  <si>
    <t>202029</t>
  </si>
  <si>
    <t>202030</t>
  </si>
  <si>
    <t>202028</t>
  </si>
  <si>
    <t>421867</t>
  </si>
  <si>
    <t>216924</t>
  </si>
  <si>
    <t>216926</t>
  </si>
  <si>
    <t>442210</t>
  </si>
  <si>
    <t>421875</t>
  </si>
  <si>
    <t>216928</t>
  </si>
  <si>
    <t>442208</t>
  </si>
  <si>
    <t>421872</t>
  </si>
  <si>
    <t>216925</t>
  </si>
  <si>
    <t>442211</t>
  </si>
  <si>
    <t>442209</t>
  </si>
  <si>
    <t>461848</t>
  </si>
  <si>
    <t>246526</t>
  </si>
  <si>
    <t>461847</t>
  </si>
  <si>
    <t>246527</t>
  </si>
  <si>
    <t>246524</t>
  </si>
  <si>
    <t>461849</t>
  </si>
  <si>
    <t>246522</t>
  </si>
  <si>
    <t>461850</t>
  </si>
  <si>
    <t>461846</t>
  </si>
  <si>
    <t>246521</t>
  </si>
  <si>
    <t>181930</t>
  </si>
  <si>
    <t>230298</t>
  </si>
  <si>
    <t>230292</t>
  </si>
  <si>
    <t>247787</t>
  </si>
  <si>
    <t>247786</t>
  </si>
  <si>
    <t>247784</t>
  </si>
  <si>
    <t>247783</t>
  </si>
  <si>
    <t>247782</t>
  </si>
  <si>
    <t>247785</t>
  </si>
  <si>
    <t>242750</t>
  </si>
  <si>
    <t>242752</t>
  </si>
  <si>
    <t>242751</t>
  </si>
  <si>
    <t>343993</t>
  </si>
  <si>
    <t>156745</t>
  </si>
  <si>
    <t>464466</t>
  </si>
  <si>
    <t>246803</t>
  </si>
  <si>
    <t>200240</t>
  </si>
  <si>
    <t>226355</t>
  </si>
  <si>
    <t>460657</t>
  </si>
  <si>
    <t>226356</t>
  </si>
  <si>
    <t>460658</t>
  </si>
  <si>
    <t>226358</t>
  </si>
  <si>
    <t>460661</t>
  </si>
  <si>
    <t>226350</t>
  </si>
  <si>
    <t>460664</t>
  </si>
  <si>
    <t>226366</t>
  </si>
  <si>
    <t>460663</t>
  </si>
  <si>
    <t>226367</t>
  </si>
  <si>
    <t>462105</t>
  </si>
  <si>
    <t>226360</t>
  </si>
  <si>
    <t>460666</t>
  </si>
  <si>
    <t>226362</t>
  </si>
  <si>
    <t>461475</t>
  </si>
  <si>
    <t>226351</t>
  </si>
  <si>
    <t>460665</t>
  </si>
  <si>
    <t>226365</t>
  </si>
  <si>
    <t>226361</t>
  </si>
  <si>
    <t>226353</t>
  </si>
  <si>
    <t>461473</t>
  </si>
  <si>
    <t>226364</t>
  </si>
  <si>
    <t>226363</t>
  </si>
  <si>
    <t>226354</t>
  </si>
  <si>
    <t>226352</t>
  </si>
  <si>
    <t>226359</t>
  </si>
  <si>
    <t>460659</t>
  </si>
  <si>
    <t>226357</t>
  </si>
  <si>
    <t>460660</t>
  </si>
  <si>
    <t>226368</t>
  </si>
  <si>
    <t>168812</t>
  </si>
  <si>
    <t>361857</t>
  </si>
  <si>
    <t>174942</t>
  </si>
  <si>
    <t>357473</t>
  </si>
  <si>
    <t>168817</t>
  </si>
  <si>
    <t>247632</t>
  </si>
  <si>
    <t>394452</t>
  </si>
  <si>
    <t>414136</t>
  </si>
  <si>
    <t>394453</t>
  </si>
  <si>
    <t>429436</t>
  </si>
  <si>
    <t>348093</t>
  </si>
  <si>
    <t>345717</t>
  </si>
  <si>
    <t>162614</t>
  </si>
  <si>
    <t>345719</t>
  </si>
  <si>
    <t>216915</t>
  </si>
  <si>
    <t>216914</t>
  </si>
  <si>
    <t>216912</t>
  </si>
  <si>
    <t>216908</t>
  </si>
  <si>
    <t>348123</t>
  </si>
  <si>
    <t>449283</t>
  </si>
  <si>
    <t>238275</t>
  </si>
  <si>
    <t>446464</t>
  </si>
  <si>
    <t>237900</t>
  </si>
  <si>
    <t>446465</t>
  </si>
  <si>
    <t>237898</t>
  </si>
  <si>
    <t>446466</t>
  </si>
  <si>
    <t>237899</t>
  </si>
  <si>
    <t>414142</t>
  </si>
  <si>
    <t>192065</t>
  </si>
  <si>
    <t>429437</t>
  </si>
  <si>
    <t>228915</t>
  </si>
  <si>
    <t>394654</t>
  </si>
  <si>
    <t>228906</t>
  </si>
  <si>
    <t>189322</t>
  </si>
  <si>
    <t>429439</t>
  </si>
  <si>
    <t>168820</t>
  </si>
  <si>
    <t>163012</t>
  </si>
  <si>
    <t>228918</t>
  </si>
  <si>
    <t>189328</t>
  </si>
  <si>
    <t>189327</t>
  </si>
  <si>
    <t>348095</t>
  </si>
  <si>
    <t>163013</t>
  </si>
  <si>
    <t>192059</t>
  </si>
  <si>
    <t>348099</t>
  </si>
  <si>
    <t>348097</t>
  </si>
  <si>
    <t>163015</t>
  </si>
  <si>
    <t>189325</t>
  </si>
  <si>
    <t>361856</t>
  </si>
  <si>
    <t>192069</t>
  </si>
  <si>
    <t>228909</t>
  </si>
  <si>
    <t>162617</t>
  </si>
  <si>
    <t>348094</t>
  </si>
  <si>
    <t>228907</t>
  </si>
  <si>
    <t>414139</t>
  </si>
  <si>
    <t>228912</t>
  </si>
  <si>
    <t>228913</t>
  </si>
  <si>
    <t>414135</t>
  </si>
  <si>
    <t>429438</t>
  </si>
  <si>
    <t>228914</t>
  </si>
  <si>
    <t>397865</t>
  </si>
  <si>
    <t>429440</t>
  </si>
  <si>
    <t>192068</t>
  </si>
  <si>
    <t>414137</t>
  </si>
  <si>
    <t>247633</t>
  </si>
  <si>
    <t>228916</t>
  </si>
  <si>
    <t>228910</t>
  </si>
  <si>
    <t>441365</t>
  </si>
  <si>
    <t>228911</t>
  </si>
  <si>
    <t>228917</t>
  </si>
  <si>
    <t>397864</t>
  </si>
  <si>
    <t>228908</t>
  </si>
  <si>
    <t>189324</t>
  </si>
  <si>
    <t>206139</t>
  </si>
  <si>
    <t>210962</t>
  </si>
  <si>
    <t>403722</t>
  </si>
  <si>
    <t>207128</t>
  </si>
  <si>
    <t>206135</t>
  </si>
  <si>
    <t>200248</t>
  </si>
  <si>
    <t>200256</t>
  </si>
  <si>
    <t>200250</t>
  </si>
  <si>
    <t>200253</t>
  </si>
  <si>
    <t>200255</t>
  </si>
  <si>
    <t>420744</t>
  </si>
  <si>
    <t>200257</t>
  </si>
  <si>
    <t>385238</t>
  </si>
  <si>
    <t>200258</t>
  </si>
  <si>
    <t>440158</t>
  </si>
  <si>
    <t>219200</t>
  </si>
  <si>
    <t>220145</t>
  </si>
  <si>
    <t>220151</t>
  </si>
  <si>
    <t>220146</t>
  </si>
  <si>
    <t>220144</t>
  </si>
  <si>
    <t>215883</t>
  </si>
  <si>
    <t>426328</t>
  </si>
  <si>
    <t>216699</t>
  </si>
  <si>
    <t>460010</t>
  </si>
  <si>
    <t>242716</t>
  </si>
  <si>
    <t>246820</t>
  </si>
  <si>
    <t>246805</t>
  </si>
  <si>
    <t>460013</t>
  </si>
  <si>
    <t>242720</t>
  </si>
  <si>
    <t>460011</t>
  </si>
  <si>
    <t>242718</t>
  </si>
  <si>
    <t>460012</t>
  </si>
  <si>
    <t>242717</t>
  </si>
  <si>
    <t>246494</t>
  </si>
  <si>
    <t>171501</t>
  </si>
  <si>
    <t>361855</t>
  </si>
  <si>
    <t>171517</t>
  </si>
  <si>
    <t>378545</t>
  </si>
  <si>
    <t>188167</t>
  </si>
  <si>
    <t>191206</t>
  </si>
  <si>
    <t>193608</t>
  </si>
  <si>
    <t>426688</t>
  </si>
  <si>
    <t>220152</t>
  </si>
  <si>
    <t>220147</t>
  </si>
  <si>
    <t>343988</t>
  </si>
  <si>
    <t>367179</t>
  </si>
  <si>
    <t>185822</t>
  </si>
  <si>
    <t>185827</t>
  </si>
  <si>
    <t>429858</t>
  </si>
  <si>
    <t>220480</t>
  </si>
  <si>
    <t>429857</t>
  </si>
  <si>
    <t>220479</t>
  </si>
  <si>
    <t>429722</t>
  </si>
  <si>
    <t>220482</t>
  </si>
  <si>
    <t>429721</t>
  </si>
  <si>
    <t>220477</t>
  </si>
  <si>
    <t>367183</t>
  </si>
  <si>
    <t>367182</t>
  </si>
  <si>
    <t>185828</t>
  </si>
  <si>
    <t>443517</t>
  </si>
  <si>
    <t>233428</t>
  </si>
  <si>
    <t>410332</t>
  </si>
  <si>
    <t>Grand Total</t>
  </si>
  <si>
    <t>RRP ex GST</t>
  </si>
  <si>
    <t>26.08</t>
  </si>
  <si>
    <t>34.77</t>
  </si>
  <si>
    <t>147.82</t>
  </si>
  <si>
    <t>52.17</t>
  </si>
  <si>
    <t>60.86</t>
  </si>
  <si>
    <t>299.00</t>
  </si>
  <si>
    <t>499.00</t>
  </si>
  <si>
    <t>799.00</t>
  </si>
  <si>
    <t>219.00</t>
  </si>
  <si>
    <t>229.00</t>
  </si>
  <si>
    <t>669.00</t>
  </si>
  <si>
    <t>6978913850095</t>
  </si>
  <si>
    <t>2694.78</t>
  </si>
  <si>
    <t>2869.56</t>
  </si>
  <si>
    <t>2260.00</t>
  </si>
  <si>
    <t>.00</t>
  </si>
  <si>
    <t>6978913850033</t>
  </si>
  <si>
    <t>86.95</t>
  </si>
  <si>
    <t>6978913850057</t>
  </si>
  <si>
    <t>104.34</t>
  </si>
  <si>
    <t>6978913850064</t>
  </si>
  <si>
    <t>6978913850149</t>
  </si>
  <si>
    <t>50.43</t>
  </si>
  <si>
    <t>6978913850132</t>
  </si>
  <si>
    <t>6978913850101</t>
  </si>
  <si>
    <t>6978913850118</t>
  </si>
  <si>
    <t>54.77</t>
  </si>
  <si>
    <t>6978913850316</t>
  </si>
  <si>
    <t>78.25</t>
  </si>
  <si>
    <t>6978913850125</t>
  </si>
  <si>
    <t>173.90</t>
  </si>
  <si>
    <t>6978913850200</t>
  </si>
  <si>
    <t>260.86</t>
  </si>
  <si>
    <t>501010100014</t>
  </si>
  <si>
    <t>6978913850293</t>
  </si>
  <si>
    <t>434.77</t>
  </si>
  <si>
    <t>502010100001</t>
  </si>
  <si>
    <t>6978913850040</t>
  </si>
  <si>
    <t>92.17</t>
  </si>
  <si>
    <t>6978913850187</t>
  </si>
  <si>
    <t>39.12</t>
  </si>
  <si>
    <t>6978913850156</t>
  </si>
  <si>
    <t>82.60</t>
  </si>
  <si>
    <t>6978913850163</t>
  </si>
  <si>
    <t>6978913850170</t>
  </si>
  <si>
    <t>17.38</t>
  </si>
  <si>
    <t>6978913850224</t>
  </si>
  <si>
    <t>21.73</t>
  </si>
  <si>
    <t>69.56</t>
  </si>
  <si>
    <t>251.30</t>
  </si>
  <si>
    <t>77.39</t>
  </si>
  <si>
    <t>146.96</t>
  </si>
  <si>
    <t>538.26</t>
  </si>
  <si>
    <t>129.57</t>
  </si>
  <si>
    <t>277.39</t>
  </si>
  <si>
    <t>520.87</t>
  </si>
  <si>
    <t>86.09</t>
  </si>
  <si>
    <t>181.74</t>
  </si>
  <si>
    <t>503.48</t>
  </si>
  <si>
    <t>425.22</t>
  </si>
  <si>
    <t>260.00</t>
  </si>
  <si>
    <t>199.13</t>
  </si>
  <si>
    <t>346.96</t>
  </si>
  <si>
    <t>651.30</t>
  </si>
  <si>
    <t>103.48</t>
  </si>
  <si>
    <t>607.83</t>
  </si>
  <si>
    <t>868.70</t>
  </si>
  <si>
    <t>1042.61</t>
  </si>
  <si>
    <t>173.04</t>
  </si>
  <si>
    <t>84.30</t>
  </si>
  <si>
    <t>68.65</t>
  </si>
  <si>
    <t>36.48</t>
  </si>
  <si>
    <t>48.65</t>
  </si>
  <si>
    <t>66.91</t>
  </si>
  <si>
    <t>58.22</t>
  </si>
  <si>
    <t>47.78</t>
  </si>
  <si>
    <t>63.43</t>
  </si>
  <si>
    <t>44.30</t>
  </si>
  <si>
    <t>86.91</t>
  </si>
  <si>
    <t>86955.65</t>
  </si>
  <si>
    <t>1565.21</t>
  </si>
  <si>
    <t>2608.69</t>
  </si>
  <si>
    <t>1391.30</t>
  </si>
  <si>
    <t>43.47</t>
  </si>
  <si>
    <t>139.12</t>
  </si>
  <si>
    <t>91.22</t>
  </si>
  <si>
    <t>56.43</t>
  </si>
  <si>
    <t>130.35</t>
  </si>
  <si>
    <t>60.78</t>
  </si>
  <si>
    <t>47.74</t>
  </si>
  <si>
    <t>165.21</t>
  </si>
  <si>
    <t>69.48</t>
  </si>
  <si>
    <t>147.74</t>
  </si>
  <si>
    <t>169.90</t>
  </si>
  <si>
    <t>43.39</t>
  </si>
  <si>
    <t>39.04</t>
  </si>
  <si>
    <t>104.26</t>
  </si>
  <si>
    <t>95.57</t>
  </si>
  <si>
    <t>82.52</t>
  </si>
  <si>
    <t>121.65</t>
  </si>
  <si>
    <t>1844-829-DSN</t>
  </si>
  <si>
    <t>BODUM DISNEY Assam Tea Press 1L (Mickey - Red/Black)</t>
  </si>
  <si>
    <t>1844-831-DSN</t>
  </si>
  <si>
    <t>BODUM DISNEY Assam Tea Press 1L (Minnie - Pale Blue/Red)</t>
  </si>
  <si>
    <t>11093-810-DSN</t>
  </si>
  <si>
    <t>BODUM DISNEY Fantasia Travel Mug 350ml (Black/Gold)</t>
  </si>
  <si>
    <t>12080-823-DSN</t>
  </si>
  <si>
    <t>BODUM DISNEY Melior Water Bottle (Daisy - Lilac/Pink)</t>
  </si>
  <si>
    <t>12080-800-DSN</t>
  </si>
  <si>
    <t>BODUM DISNEY Melior Water Bottle (Donald - Pale Blue/Yellow)</t>
  </si>
  <si>
    <t>12080-796-DSN</t>
  </si>
  <si>
    <t>BODUM DISNEY Melior Water Bottle (Mickey - Red/Black)</t>
  </si>
  <si>
    <t>12080-799-DSN</t>
  </si>
  <si>
    <t>BODUM DISNEY Melior Water Bottle (Minnie - Pale Blue/Red)</t>
  </si>
  <si>
    <t>4559-674-10-DSN</t>
  </si>
  <si>
    <t>BODUM DISNEY Pavina Double Wall 350ml 2 Piece Set (Pale Pink)</t>
  </si>
  <si>
    <t>4559-570-10-DSN</t>
  </si>
  <si>
    <t>BODUM DISNEY Pavina Double Wall 350ml 2 Piece Set (Royal Blue)</t>
  </si>
  <si>
    <t>4559-10-DSN</t>
  </si>
  <si>
    <t>BODUM DISNEY Pavina Double Wall 350ml 2 Piece Set (Transparent)</t>
  </si>
  <si>
    <t>K12613-833-DSN-10</t>
  </si>
  <si>
    <t>BODUM DISNEY Presso 4 Piece Storage Jar Set</t>
  </si>
  <si>
    <t>3040-830-DSN</t>
  </si>
  <si>
    <t>BODUM DISNEY Schiuma Battery Operated Milk Frother (Mickey - Pale Blue/Yellow)</t>
  </si>
  <si>
    <t>26.00</t>
  </si>
  <si>
    <t>30.35</t>
  </si>
  <si>
    <t>117.30</t>
  </si>
  <si>
    <t>126.00</t>
  </si>
  <si>
    <t>73.83</t>
  </si>
  <si>
    <t>52.09</t>
  </si>
  <si>
    <t>139.04</t>
  </si>
  <si>
    <t>152.09</t>
  </si>
  <si>
    <t>34.70</t>
  </si>
  <si>
    <t>86.87</t>
  </si>
  <si>
    <t>65.13</t>
  </si>
  <si>
    <t>30.43</t>
  </si>
  <si>
    <t>130.43</t>
  </si>
  <si>
    <t>113.03</t>
  </si>
  <si>
    <t>156.51</t>
  </si>
  <si>
    <t>95.64</t>
  </si>
  <si>
    <t>19.99</t>
  </si>
  <si>
    <t>47.82</t>
  </si>
  <si>
    <t>56.51</t>
  </si>
  <si>
    <t>ELK-05232-R</t>
  </si>
  <si>
    <t>BONELK Pro-X Long-Life Display Port to Display Port Cable 1.5m (Black)</t>
  </si>
  <si>
    <t>ELK-05233-R</t>
  </si>
  <si>
    <t>BONELK Pro-X Long-Life Display Port to Display Port Cable 2.5m (Black)</t>
  </si>
  <si>
    <t>ELK-05237-R</t>
  </si>
  <si>
    <t>BONELK Pro-X Long-Life HDMI to HDMI Cable 2.5m (Black)</t>
  </si>
  <si>
    <t>ELK-05234-R</t>
  </si>
  <si>
    <t>BONELK Pro-X Long-Life USB-C to DisplayPort Cable 1.5m (Black)</t>
  </si>
  <si>
    <t>ELK-80156-R</t>
  </si>
  <si>
    <t>BONELK Pro-X Long-Life USB-C to HDMI Adapter 15cm (Black)</t>
  </si>
  <si>
    <t>ELK-05231-R</t>
  </si>
  <si>
    <t>BONELK Pro-X Long-Life USB-C to HDMI Cable 2.5m (Black)</t>
  </si>
  <si>
    <t>ELK-80155-R</t>
  </si>
  <si>
    <t>BONELK Pro-X USB-C to HDMI Adapter (Black)</t>
  </si>
  <si>
    <t>BONELK Vision Hardshell for MacBook Air 13” M2/M3/M4/M5 (Frost)</t>
  </si>
  <si>
    <t>BONELK Vision Hardshell for MacBook Pro 14” M1/M2/M3/M4/M5 (Frost)</t>
  </si>
  <si>
    <t>112.17</t>
  </si>
  <si>
    <t>781.74</t>
  </si>
  <si>
    <t>694.78</t>
  </si>
  <si>
    <t>68.70</t>
  </si>
  <si>
    <t>1129.57</t>
  </si>
  <si>
    <t>1216.52</t>
  </si>
  <si>
    <t>191.30</t>
  </si>
  <si>
    <t>73.90</t>
  </si>
  <si>
    <t>60.861</t>
  </si>
  <si>
    <t>104.339</t>
  </si>
  <si>
    <t>191.296</t>
  </si>
  <si>
    <t>207.83</t>
  </si>
  <si>
    <t>164.35</t>
  </si>
  <si>
    <t>190.43</t>
  </si>
  <si>
    <t>73.87</t>
  </si>
  <si>
    <t>477.39</t>
  </si>
  <si>
    <t>564.35</t>
  </si>
  <si>
    <t>433.91</t>
  </si>
  <si>
    <t>286.09</t>
  </si>
  <si>
    <t>242.61</t>
  </si>
  <si>
    <t>677.39</t>
  </si>
  <si>
    <t>225.22</t>
  </si>
  <si>
    <t>216.52</t>
  </si>
  <si>
    <t>120.87</t>
  </si>
  <si>
    <t>460.00</t>
  </si>
  <si>
    <t>546.96</t>
  </si>
  <si>
    <t>182.61</t>
  </si>
  <si>
    <t>155.65</t>
  </si>
  <si>
    <t>556.51</t>
  </si>
  <si>
    <t>4911563</t>
  </si>
  <si>
    <t>FURI Chevron Board 36 x 24 x 2.5cm</t>
  </si>
  <si>
    <t>170.39</t>
  </si>
  <si>
    <t>4145563</t>
  </si>
  <si>
    <t>FURI Magnetic Hexagonal Knife Block Set 7 Piece</t>
  </si>
  <si>
    <t>130.39</t>
  </si>
  <si>
    <t>565.21</t>
  </si>
  <si>
    <t>391.30</t>
  </si>
  <si>
    <t>555.65</t>
  </si>
  <si>
    <t>4161263</t>
  </si>
  <si>
    <t>FURI Pro Stone Magnetic Wall Rack 36cm (Black)</t>
  </si>
  <si>
    <t>121.73</t>
  </si>
  <si>
    <t>4161363</t>
  </si>
  <si>
    <t>FURI Pro Stone Magnetic Wall Rack 36cm (White)</t>
  </si>
  <si>
    <t>486.09</t>
  </si>
  <si>
    <t>478.25</t>
  </si>
  <si>
    <t>4150963</t>
  </si>
  <si>
    <t>FURI Stone Knife Block Set 6 Piece (Snow Terrazzo)</t>
  </si>
  <si>
    <t>521.73</t>
  </si>
  <si>
    <t>738.26</t>
  </si>
  <si>
    <t>1086.09</t>
  </si>
  <si>
    <t>1738.26</t>
  </si>
  <si>
    <t>912.17</t>
  </si>
  <si>
    <t>1938.26</t>
  </si>
  <si>
    <t>1607.83</t>
  </si>
  <si>
    <t>1564.35</t>
  </si>
  <si>
    <t>2086.09</t>
  </si>
  <si>
    <t>1912.17</t>
  </si>
  <si>
    <t>451.30</t>
  </si>
  <si>
    <t>1581.74</t>
  </si>
  <si>
    <t>1781.74</t>
  </si>
  <si>
    <t>1407.83</t>
  </si>
  <si>
    <t>1755.65</t>
  </si>
  <si>
    <t>2129.57</t>
  </si>
  <si>
    <t>1416.52</t>
  </si>
  <si>
    <t>720.87</t>
  </si>
  <si>
    <t>999.13</t>
  </si>
  <si>
    <t>1651.30</t>
  </si>
  <si>
    <t>303.48</t>
  </si>
  <si>
    <t>746.96</t>
  </si>
  <si>
    <t>825.22</t>
  </si>
  <si>
    <t>494.78</t>
  </si>
  <si>
    <t>1390.43</t>
  </si>
  <si>
    <t>2173.04</t>
  </si>
  <si>
    <t>2346.96</t>
  </si>
  <si>
    <t>955.65</t>
  </si>
  <si>
    <t>2303.48</t>
  </si>
  <si>
    <t>1955.65</t>
  </si>
  <si>
    <t>2433.91</t>
  </si>
  <si>
    <t>2781.74</t>
  </si>
  <si>
    <t>1233.91</t>
  </si>
  <si>
    <t>1477.39</t>
  </si>
  <si>
    <t>320.87</t>
  </si>
  <si>
    <t>01371CI</t>
  </si>
  <si>
    <t>CUISINART Cordless Personal Blender</t>
  </si>
  <si>
    <t>199.99</t>
  </si>
  <si>
    <t>07109GR</t>
  </si>
  <si>
    <t>GREENPAN 12 Cup Muffin Pan (Cream)</t>
  </si>
  <si>
    <t>07108GR</t>
  </si>
  <si>
    <t>GREENPAN 12 Cup Muffin Pan (Sage Green)</t>
  </si>
  <si>
    <t>217.38</t>
  </si>
  <si>
    <t>373.90</t>
  </si>
  <si>
    <t>07113GR</t>
  </si>
  <si>
    <t>GREENPAN Cookie Sheet with Handles 30.2cm x 25.2cm (Cream)</t>
  </si>
  <si>
    <t>07112GR</t>
  </si>
  <si>
    <t>GREENPAN Cookie Sheet with Handles 30.2cm x 25.2cm (Sage Green)</t>
  </si>
  <si>
    <t>07111GR</t>
  </si>
  <si>
    <t>GREENPAN Loaf Pan with Handles 22.8cm x 12.5cm (Cream)</t>
  </si>
  <si>
    <t>07110GR</t>
  </si>
  <si>
    <t>GREENPAN Loaf Pan with Handles 22.8cm x 12.5cm (Sage Green)</t>
  </si>
  <si>
    <t>04163GR</t>
  </si>
  <si>
    <t>GREENPAN Padova 10 Piece Cookset Cream</t>
  </si>
  <si>
    <t>826.08</t>
  </si>
  <si>
    <t>05217GR</t>
  </si>
  <si>
    <t>GREENPAN Padova 10 Piece Cookset Mint</t>
  </si>
  <si>
    <t>02399GR</t>
  </si>
  <si>
    <t>GREENPAN Padova 10 Piece Cookset Smokey Blue</t>
  </si>
  <si>
    <t>05806GR</t>
  </si>
  <si>
    <t>GREENPAN Padova 2 Piece Frypan Set Cream 26/30cm</t>
  </si>
  <si>
    <t>347.82</t>
  </si>
  <si>
    <t>05193GR</t>
  </si>
  <si>
    <t>GREENPAN Padova 2 Piece Frypan Set Mint 26/30cm</t>
  </si>
  <si>
    <t>07855GR</t>
  </si>
  <si>
    <t>GREENPAN Padova 2 Piece Frypan Set Smokey Blue 26/30cm</t>
  </si>
  <si>
    <t>07777GR</t>
  </si>
  <si>
    <t>GREENPAN Padova Cream Covered Casserole 24cm/4.7L</t>
  </si>
  <si>
    <t>252.17</t>
  </si>
  <si>
    <t>07778GR</t>
  </si>
  <si>
    <t>GREENPAN Padova Cream Covered Saucepan 18cm/2.01L</t>
  </si>
  <si>
    <t>195.64</t>
  </si>
  <si>
    <t>07779GR</t>
  </si>
  <si>
    <t>GREENPAN Padova Cream Covered Saute Pan 28cm/3.6L</t>
  </si>
  <si>
    <t>05805GR</t>
  </si>
  <si>
    <t>GREENPAN Padova Cream Covered Wok 32cm/5.42L</t>
  </si>
  <si>
    <t>278.25</t>
  </si>
  <si>
    <t>07846GR</t>
  </si>
  <si>
    <t>GREENPAN Padova Cream Frypan 20cm</t>
  </si>
  <si>
    <t>07780GR</t>
  </si>
  <si>
    <t>GREENPAN Padova Cream Frypan 24cm</t>
  </si>
  <si>
    <t>160.86</t>
  </si>
  <si>
    <t>05197GR</t>
  </si>
  <si>
    <t>GREENPAN Padova Cream Frypan 28cm</t>
  </si>
  <si>
    <t>169.56</t>
  </si>
  <si>
    <t>07856GR</t>
  </si>
  <si>
    <t>GREENPAN Padova Cream Frypan with Helper Handle 32cm</t>
  </si>
  <si>
    <t>273.90</t>
  </si>
  <si>
    <t>07969GR</t>
  </si>
  <si>
    <t>GREENPAN Padova Stainless Steel Frypan 20cm</t>
  </si>
  <si>
    <t>07971GR</t>
  </si>
  <si>
    <t>GREENPAN Padova Stainless Steel Frypan 28cm</t>
  </si>
  <si>
    <t>07972GR</t>
  </si>
  <si>
    <t>GREENPAN Padova Stainless Steel Saute Pan 24cm/2.8L</t>
  </si>
  <si>
    <t>226.08</t>
  </si>
  <si>
    <t>07115GR</t>
  </si>
  <si>
    <t>GREENPAN Rectangular Cake/Roast Pan with Handles 30.2cm x 25.2cm (Cream)</t>
  </si>
  <si>
    <t>07114GR</t>
  </si>
  <si>
    <t>GREENPAN Rectangular Cake/Roast Pan with Handles 30.2cm x 25.2cm (Sage Green)</t>
  </si>
  <si>
    <t>07107GR</t>
  </si>
  <si>
    <t>GREENPAN Round Cake Pan 23.4cm x 5.5cm (Cream)</t>
  </si>
  <si>
    <t>07106GR</t>
  </si>
  <si>
    <t>GREENPAN Round Cake Pan 23.4cm x 5.5cm (Sage Green)</t>
  </si>
  <si>
    <t>2520.87</t>
  </si>
  <si>
    <t>713.03</t>
  </si>
  <si>
    <t>678.25</t>
  </si>
  <si>
    <t>152.17</t>
  </si>
  <si>
    <t>6970357859139</t>
  </si>
  <si>
    <t>6977644760109</t>
  </si>
  <si>
    <t>26.09</t>
  </si>
  <si>
    <t>469.56</t>
  </si>
  <si>
    <t>43.67</t>
  </si>
  <si>
    <t>98.25</t>
  </si>
  <si>
    <t>33.90</t>
  </si>
  <si>
    <t>3477.39</t>
  </si>
  <si>
    <t>6972436383849</t>
  </si>
  <si>
    <t>83.47</t>
  </si>
  <si>
    <t>6970357856336</t>
  </si>
  <si>
    <t>6977644765418</t>
  </si>
  <si>
    <t>6970357857852</t>
  </si>
  <si>
    <t>286.95</t>
  </si>
  <si>
    <t>243.47</t>
  </si>
  <si>
    <t>6970357859566</t>
  </si>
  <si>
    <t>35.64</t>
  </si>
  <si>
    <t>6970357854455</t>
  </si>
  <si>
    <t>6977644761366</t>
  </si>
  <si>
    <t>16.51</t>
  </si>
  <si>
    <t>25.21</t>
  </si>
  <si>
    <t>12.17</t>
  </si>
  <si>
    <t>6970357857630</t>
  </si>
  <si>
    <t>74.77</t>
  </si>
  <si>
    <t>368.69</t>
  </si>
  <si>
    <t>326.08</t>
  </si>
  <si>
    <t>591.30</t>
  </si>
  <si>
    <t>547.82</t>
  </si>
  <si>
    <t>6977644764169</t>
  </si>
  <si>
    <t>22.60</t>
  </si>
  <si>
    <t>6977644765517</t>
  </si>
  <si>
    <t>6977644764145</t>
  </si>
  <si>
    <t>739.12</t>
  </si>
  <si>
    <t>6977644764190</t>
  </si>
  <si>
    <t>103.47</t>
  </si>
  <si>
    <t>6977644764107</t>
  </si>
  <si>
    <t>6977644765401</t>
  </si>
  <si>
    <t>51.30</t>
  </si>
  <si>
    <t>6977644764138</t>
  </si>
  <si>
    <t>6977644764046</t>
  </si>
  <si>
    <t>29.56</t>
  </si>
  <si>
    <t>6977644764053</t>
  </si>
  <si>
    <t>6977644764114</t>
  </si>
  <si>
    <t>6977644764060</t>
  </si>
  <si>
    <t>6977644764206</t>
  </si>
  <si>
    <t>6977644764183</t>
  </si>
  <si>
    <t>6977644764121</t>
  </si>
  <si>
    <t>669.56</t>
  </si>
  <si>
    <t>6977644765463</t>
  </si>
  <si>
    <t>6977644768242</t>
  </si>
  <si>
    <t>6977644764213</t>
  </si>
  <si>
    <t>6970357858958</t>
  </si>
  <si>
    <t>49.56</t>
  </si>
  <si>
    <t>321.73</t>
  </si>
  <si>
    <t>81.73</t>
  </si>
  <si>
    <t>6970357857821</t>
  </si>
  <si>
    <t>124.34</t>
  </si>
  <si>
    <t>6970357857647</t>
  </si>
  <si>
    <t>6970357857654</t>
  </si>
  <si>
    <t>6977644762042</t>
  </si>
  <si>
    <t>6977644763148</t>
  </si>
  <si>
    <t>513.03</t>
  </si>
  <si>
    <t>6977644763155</t>
  </si>
  <si>
    <t>6970357853113</t>
  </si>
  <si>
    <t>57.38</t>
  </si>
  <si>
    <t>721.73</t>
  </si>
  <si>
    <t>608.69</t>
  </si>
  <si>
    <t>SA-6977644761922</t>
  </si>
  <si>
    <t>Insta360 X4 Air 360 Camera - SAMPLE</t>
  </si>
  <si>
    <t>6977644761762</t>
  </si>
  <si>
    <t>6977644764763</t>
  </si>
  <si>
    <t>6977644767399</t>
  </si>
  <si>
    <t>75.64</t>
  </si>
  <si>
    <t>166.95</t>
  </si>
  <si>
    <t>80.86</t>
  </si>
  <si>
    <t>44.34</t>
  </si>
  <si>
    <t>816.34</t>
  </si>
  <si>
    <t>1078.25</t>
  </si>
  <si>
    <t>182.60</t>
  </si>
  <si>
    <t>6977644765760</t>
  </si>
  <si>
    <t>208.69</t>
  </si>
  <si>
    <t>62.60</t>
  </si>
  <si>
    <t>6977644762035</t>
  </si>
  <si>
    <t>913.03</t>
  </si>
  <si>
    <t>1008.69</t>
  </si>
  <si>
    <t>6977644763797</t>
  </si>
  <si>
    <t>106.95</t>
  </si>
  <si>
    <t>108.69</t>
  </si>
  <si>
    <t>234.77</t>
  </si>
  <si>
    <t>304.34</t>
  </si>
  <si>
    <t>408.69</t>
  </si>
  <si>
    <t>399.99</t>
  </si>
  <si>
    <t>321.70</t>
  </si>
  <si>
    <t>191.26</t>
  </si>
  <si>
    <t>134.74</t>
  </si>
  <si>
    <t>260.83</t>
  </si>
  <si>
    <t>156.48</t>
  </si>
  <si>
    <t>113.00</t>
  </si>
  <si>
    <t>226.04</t>
  </si>
  <si>
    <t>173.87</t>
  </si>
  <si>
    <t>782.57</t>
  </si>
  <si>
    <t>304.30</t>
  </si>
  <si>
    <t>139.09</t>
  </si>
  <si>
    <t>608.61</t>
  </si>
  <si>
    <t>391.26</t>
  </si>
  <si>
    <t>DOA-20010100001983</t>
  </si>
  <si>
    <t>DOA-MOVA Main Mop Pad x2 for Z50 Ultra</t>
  </si>
  <si>
    <t>94.78</t>
  </si>
  <si>
    <t>DOA-010901AA000024</t>
  </si>
  <si>
    <t>DOA-MOVA Robotic Lawn Mower 1000</t>
  </si>
  <si>
    <t>390.43</t>
  </si>
  <si>
    <t>37.30</t>
  </si>
  <si>
    <t>20010100001785</t>
  </si>
  <si>
    <t>010902AA000016</t>
  </si>
  <si>
    <t>MOVA Diver A10 Robotic Pool Cleaner</t>
  </si>
  <si>
    <t>1271.82</t>
  </si>
  <si>
    <t>28.61</t>
  </si>
  <si>
    <t>20010100001243</t>
  </si>
  <si>
    <t>27.74</t>
  </si>
  <si>
    <t>1303.48</t>
  </si>
  <si>
    <t>1825.22</t>
  </si>
  <si>
    <t>153.64</t>
  </si>
  <si>
    <t>20010100001461</t>
  </si>
  <si>
    <t>010201AA000984</t>
  </si>
  <si>
    <t>MOVA S70 Roller Wet and Dry Vacuum</t>
  </si>
  <si>
    <t>2607.83</t>
  </si>
  <si>
    <t>NLLTWDK0001A223</t>
  </si>
  <si>
    <t>NANOLEAF 6-in-1 Light Therapy Wand</t>
  </si>
  <si>
    <t>269.56</t>
  </si>
  <si>
    <t>356.51</t>
  </si>
  <si>
    <t>295.64</t>
  </si>
  <si>
    <t>34.774</t>
  </si>
  <si>
    <t>86.948</t>
  </si>
  <si>
    <t>313.03</t>
  </si>
  <si>
    <t>460.86</t>
  </si>
  <si>
    <t>NL7001K0002A122</t>
  </si>
  <si>
    <t>Nanoleaf | Solar Garden Lights V1.5 | SMK | 2 Sets | Global</t>
  </si>
  <si>
    <t>33.91</t>
  </si>
  <si>
    <t>OT-SCL-01</t>
  </si>
  <si>
    <t>Outin Claro Coffee Scale</t>
  </si>
  <si>
    <t>OT-SCL-01-SA</t>
  </si>
  <si>
    <t>Outin Claro Coffee Scale Sample</t>
  </si>
  <si>
    <t>OT-EVA-02-MB</t>
  </si>
  <si>
    <t>Outin EVA Protective Case Maple Brown</t>
  </si>
  <si>
    <t>OT-EVA-02-MB-SA</t>
  </si>
  <si>
    <t>Outin EVA Protective Case Maple Brown Sample</t>
  </si>
  <si>
    <t>OT-EVA-02-SB-SA</t>
  </si>
  <si>
    <t>Outin EVA Protective Case Sand Beige Sample</t>
  </si>
  <si>
    <t>OTCG-01-SW-SA</t>
  </si>
  <si>
    <t>Outin Fino Portable Electric Coffee Grinder Sand Stone White Sample</t>
  </si>
  <si>
    <t>329.57</t>
  </si>
  <si>
    <t>OTCG-01-TB</t>
  </si>
  <si>
    <t>Outin Fino Portable Electric Coffee Grinder Tundra Brown</t>
  </si>
  <si>
    <t>OTCG-01-TB-SA</t>
  </si>
  <si>
    <t>Outin Fino Portable Electric Coffee Grinder Tundra Brown Sample</t>
  </si>
  <si>
    <t>OT-FCS-01-SA</t>
  </si>
  <si>
    <t>Outin Foldable Stand Sample</t>
  </si>
  <si>
    <t>OTEM-01-Accessory-Kit</t>
  </si>
  <si>
    <t>Outin Nano Basket Plus</t>
  </si>
  <si>
    <t>OTEM-01-Accessory-Kit-SA</t>
  </si>
  <si>
    <t>Outin Nano Basket Plus Sample</t>
  </si>
  <si>
    <t>NANO-A-02</t>
  </si>
  <si>
    <t>Outin Nano Filter Basket Kit</t>
  </si>
  <si>
    <t>OTEM-01-SG-SA</t>
  </si>
  <si>
    <t>Outin Nano Portable Electric Espresso Machine - Space Grey Sample</t>
  </si>
  <si>
    <t>OTEM-01-Teal</t>
  </si>
  <si>
    <t>Outin Nano Portable Electric Espresso Machine - Teal</t>
  </si>
  <si>
    <t>OUTIN-DU</t>
  </si>
  <si>
    <t>Outin Nano Portable Electric Espresso Machine Dummy Unit - SG</t>
  </si>
  <si>
    <t>OT-STD-02</t>
  </si>
  <si>
    <t>Outin Universal Coffee Stand</t>
  </si>
  <si>
    <t>OT-STD-02-SA</t>
  </si>
  <si>
    <t>Outin Universal Coffee Stand Sample</t>
  </si>
  <si>
    <t>OUTIN-POS-POSTER</t>
  </si>
  <si>
    <t>Outlin Display Stand - Poster Version</t>
  </si>
  <si>
    <t>10001969</t>
  </si>
  <si>
    <t>256.51</t>
  </si>
  <si>
    <t>10001970</t>
  </si>
  <si>
    <t>65.21</t>
  </si>
  <si>
    <t>360.86</t>
  </si>
  <si>
    <t>491.30</t>
  </si>
  <si>
    <t>486.95</t>
  </si>
  <si>
    <t>282.60</t>
  </si>
  <si>
    <t>239.12</t>
  </si>
  <si>
    <t>452.17</t>
  </si>
  <si>
    <t>473.90</t>
  </si>
  <si>
    <t>1652.17</t>
  </si>
  <si>
    <t>1739.12</t>
  </si>
  <si>
    <t>869.56</t>
  </si>
  <si>
    <t>204.34</t>
  </si>
  <si>
    <t>365.21</t>
  </si>
  <si>
    <t>178.25</t>
  </si>
  <si>
    <t>330.43</t>
  </si>
  <si>
    <t>65.209</t>
  </si>
  <si>
    <t>Paperlike 3 for iPad Air 11" (M2, M3, M4)</t>
  </si>
  <si>
    <t>Paperlike 3 for iPad Pro 11" (M4 &amp; M5)</t>
  </si>
  <si>
    <t>Paperlike 3 for iPad Pro 12.9" (2018 - 2023)</t>
  </si>
  <si>
    <t>Paperlike 3 for iPad Pro 13” (M4, M5) &amp; iPad Air 13” (M2, M3, M4)</t>
  </si>
  <si>
    <t>30.42</t>
  </si>
  <si>
    <t>ST-ZULX3SS-EN</t>
  </si>
  <si>
    <t>SATECHI Slim CLX3 Wired Combo (Silver)</t>
  </si>
  <si>
    <t>ST-MEXS</t>
  </si>
  <si>
    <t>SATECHI Slim EX Wireless Mouse (Silver)</t>
  </si>
  <si>
    <t>ST-KEX1S-EN</t>
  </si>
  <si>
    <t>SATECHI Slim EX1 Wireless Keyboard (Silver)</t>
  </si>
  <si>
    <t>104.33</t>
  </si>
  <si>
    <t>ST-KEX3S-EN</t>
  </si>
  <si>
    <t>SATECHI Slim EX3 Wireless Keyboard (Silver)</t>
  </si>
  <si>
    <t>SATECHI Slim Wireless USB-C Keypad  (Silver)</t>
  </si>
  <si>
    <t>ST-ZEX3SS-EN</t>
  </si>
  <si>
    <t>SATECHI Slim ZEX3 Wireless Keyboard and Mouse Combo (Silver)</t>
  </si>
  <si>
    <t>399.13</t>
  </si>
  <si>
    <t>416.52</t>
  </si>
  <si>
    <t>138.26</t>
  </si>
  <si>
    <t>312.17</t>
  </si>
  <si>
    <t>338.26</t>
  </si>
  <si>
    <t>773.04</t>
  </si>
  <si>
    <t>13.00</t>
  </si>
  <si>
    <t>26.04</t>
  </si>
  <si>
    <t>60.83</t>
  </si>
  <si>
    <t>3913.03</t>
  </si>
  <si>
    <t>SPHERO Blueprint Snap (Single Kit)</t>
  </si>
  <si>
    <t>SPHERO Blueprint Snap Class Pack (8 Kits)</t>
  </si>
  <si>
    <t>2521.73</t>
  </si>
  <si>
    <t>920-0903-UGBOLTSPRK+</t>
  </si>
  <si>
    <t>SPHERO BOLT+ Edu Power Pack (15 robots) Upgrade from BOLT or SPRK+ Power Pack</t>
  </si>
  <si>
    <t>4173.90</t>
  </si>
  <si>
    <t>5652.17</t>
  </si>
  <si>
    <t>920-0700-UGBOLTSPRK+</t>
  </si>
  <si>
    <t>SPHERO BOLT+ Upgrade from BOLT or SPRK+</t>
  </si>
  <si>
    <t>940-0601-UGBOLTSPRK+</t>
  </si>
  <si>
    <t>SPHERO RVR+ Single Upgrade from BOLT or SPRK+</t>
  </si>
  <si>
    <t>233.91</t>
  </si>
  <si>
    <t>5804263</t>
  </si>
  <si>
    <t>STANLEY ROGERS Birdlington 24 Piece Cutlery Set</t>
  </si>
  <si>
    <t>5079963</t>
  </si>
  <si>
    <t>STANLEY ROGERS Bolero 16 Piece Cutlery Set</t>
  </si>
  <si>
    <t>5079463</t>
  </si>
  <si>
    <t>STANLEY ROGERS Bolero 30 Piece Cutlery Set</t>
  </si>
  <si>
    <t>5804363</t>
  </si>
  <si>
    <t>STANLEY ROGERS Edenbridge 24 Piece Cutlery Set</t>
  </si>
  <si>
    <t>5804063</t>
  </si>
  <si>
    <t>STANLEY ROGERS Salford 16 Piece Cutlery Set</t>
  </si>
  <si>
    <t>230.43</t>
  </si>
  <si>
    <t>143.47</t>
  </si>
  <si>
    <t>72.17</t>
  </si>
  <si>
    <t>117.38</t>
  </si>
  <si>
    <t>TS-2610</t>
  </si>
  <si>
    <t>TWELVE SOUTH AirFly Pro 2 (Gold)</t>
  </si>
  <si>
    <t>243.43</t>
  </si>
  <si>
    <t>521.65</t>
  </si>
  <si>
    <t>373.87</t>
  </si>
  <si>
    <t>330.35</t>
  </si>
  <si>
    <t>156.43</t>
  </si>
  <si>
    <t>760.87</t>
  </si>
  <si>
    <t>630.43</t>
  </si>
  <si>
    <t>143.48</t>
  </si>
  <si>
    <t>117.39</t>
  </si>
  <si>
    <t>95.65</t>
  </si>
  <si>
    <t>104.35</t>
  </si>
  <si>
    <t>126.09</t>
  </si>
  <si>
    <t>239.13</t>
  </si>
  <si>
    <t>221.74</t>
  </si>
  <si>
    <t>404.35</t>
  </si>
  <si>
    <t>247.83</t>
  </si>
  <si>
    <t>169.57</t>
  </si>
  <si>
    <t>213.04</t>
  </si>
  <si>
    <t>1456.52</t>
  </si>
  <si>
    <t>913.04</t>
  </si>
  <si>
    <t>1182.61</t>
  </si>
  <si>
    <t>590.43</t>
  </si>
  <si>
    <t>VITAMIX Explorian Low Profile 2L Container (Lid/Cap/Blade)</t>
  </si>
  <si>
    <t>426.08</t>
  </si>
  <si>
    <t>581.74</t>
  </si>
  <si>
    <t>471965</t>
  </si>
  <si>
    <t>249258</t>
  </si>
  <si>
    <t>010201AA001014</t>
  </si>
  <si>
    <t>MOVA S70 Pro Roller Wet and Dry Vacuum</t>
  </si>
  <si>
    <t>249260</t>
  </si>
  <si>
    <t>471964</t>
  </si>
  <si>
    <t>249259</t>
  </si>
  <si>
    <t>249649</t>
  </si>
  <si>
    <t>471966</t>
  </si>
  <si>
    <t>248663</t>
  </si>
  <si>
    <t>MOVA Dust Bag for E40 E50 P50 P70 S70 V50 Z60 and Mobius Series</t>
  </si>
  <si>
    <t>476152</t>
  </si>
  <si>
    <t>MOVA Dust Box Filter x2 for E40 E50 P50 P70 Series</t>
  </si>
  <si>
    <t>MOVA Mop Pad x4 for E40 E50 P V Series</t>
  </si>
  <si>
    <t>MOVA Multi-Surface Floor Cleaner 1L for E40 E50 P S V Z60 Z70 and Mobius Series</t>
  </si>
  <si>
    <t>251841</t>
  </si>
  <si>
    <t>MOVA Side Brush x2 for P S V Z and Mobius Series</t>
  </si>
  <si>
    <t>MOVA Main Brush for V50 V70 Z60 Z70 and Mobius 60</t>
  </si>
  <si>
    <t>MOVA Filter x1 for K30 and X4 Pro</t>
  </si>
  <si>
    <t>MOVA Multi-Surface Floor Cleaner 500ml for K30 M10 and X4 Pro</t>
  </si>
  <si>
    <t>MOVA Brush Roller x1 for X4 Pro &amp; M Series</t>
  </si>
  <si>
    <t>MOVA Automatic Cleaning Solution Dispenser Module for E40 P50 P70 Series</t>
  </si>
  <si>
    <t>MOVA Main CleanChop Brush for P50 P70 S70 Z50 Series</t>
  </si>
  <si>
    <t>MOVA Auxiliary Cleaning Kit for P50 P70 Series</t>
  </si>
  <si>
    <t>MOVA Pet Odor Solution 1000mL for P70 V50 V70 Z60 Z70 and Mobius Series</t>
  </si>
  <si>
    <t>MOVA Dust Box Filter x2 for V50 V70 and Mobius 60</t>
  </si>
  <si>
    <t>MOVA Roller Mop for S70 Z60 Series</t>
  </si>
  <si>
    <t>MOVA Dust Box Filter for S70 Z60 Z70 Series</t>
  </si>
  <si>
    <t>5109BYPH</t>
  </si>
  <si>
    <t>HONOR X9d Midnight Black</t>
  </si>
  <si>
    <t>476082</t>
  </si>
  <si>
    <t>251814</t>
  </si>
  <si>
    <t>5109BYPH-DEMO</t>
  </si>
  <si>
    <t>HONOR X9D MIDNIGHT BLACK DEMO</t>
  </si>
  <si>
    <t>476073</t>
  </si>
  <si>
    <t>5109BYPK</t>
  </si>
  <si>
    <t>HONOR X9d Sunrise Gold</t>
  </si>
  <si>
    <t>476083</t>
  </si>
  <si>
    <t>251813</t>
  </si>
  <si>
    <t>5109BYWA</t>
  </si>
  <si>
    <t>HONOR X9d Reddish Brown</t>
  </si>
  <si>
    <t>251818</t>
  </si>
  <si>
    <t>5109CCNU</t>
  </si>
  <si>
    <t>HONOR Magic8 Pro Black</t>
  </si>
  <si>
    <t>476084</t>
  </si>
  <si>
    <t>251811</t>
  </si>
  <si>
    <t>5109CCNU-DEMO</t>
  </si>
  <si>
    <t>HONOR MAGIC8 PRO BLACK DEMO</t>
  </si>
  <si>
    <t>476074</t>
  </si>
  <si>
    <t>5109CCNV</t>
  </si>
  <si>
    <t>HONOR Magic8 Pro Sunrise Gold</t>
  </si>
  <si>
    <t>251806</t>
  </si>
  <si>
    <t>5109CCNW</t>
  </si>
  <si>
    <t>HONOR Magic8 Pro Sky Cyan</t>
  </si>
  <si>
    <t>476085</t>
  </si>
  <si>
    <t>251807</t>
  </si>
  <si>
    <t>5502ABLB</t>
  </si>
  <si>
    <t>HONOR WATCH 4 PRO</t>
  </si>
  <si>
    <t>251798</t>
  </si>
  <si>
    <t>249323</t>
  </si>
  <si>
    <t>473106</t>
  </si>
  <si>
    <t>249651</t>
  </si>
  <si>
    <t>462975</t>
  </si>
  <si>
    <t>249650</t>
  </si>
  <si>
    <t>249322</t>
  </si>
  <si>
    <t>474168</t>
  </si>
  <si>
    <t>459692</t>
  </si>
  <si>
    <t>250186</t>
  </si>
  <si>
    <t>250189</t>
  </si>
  <si>
    <t>250185</t>
  </si>
  <si>
    <t>250188</t>
  </si>
  <si>
    <t>250187</t>
  </si>
  <si>
    <t>250195</t>
  </si>
  <si>
    <t>250194</t>
  </si>
  <si>
    <t>459690</t>
  </si>
  <si>
    <t>459691</t>
  </si>
  <si>
    <t>250183</t>
  </si>
  <si>
    <t>250184</t>
  </si>
  <si>
    <t>471424</t>
  </si>
  <si>
    <t>250182</t>
  </si>
  <si>
    <t>250191</t>
  </si>
  <si>
    <t>250190</t>
  </si>
  <si>
    <t>ELK-80190-R</t>
  </si>
  <si>
    <t>BONELK USB-C to USB-A Dual Adapter (Black)</t>
  </si>
  <si>
    <t>ELK-80192-R</t>
  </si>
  <si>
    <t>BONELK USB-C to USB-C/USB-A Dual Adapter (Black)</t>
  </si>
  <si>
    <t>249961</t>
  </si>
  <si>
    <t>239061</t>
  </si>
  <si>
    <t>239062</t>
  </si>
  <si>
    <t>239063</t>
  </si>
  <si>
    <t>239064</t>
  </si>
  <si>
    <t>249720</t>
  </si>
  <si>
    <t>249719</t>
  </si>
  <si>
    <t>249387</t>
  </si>
  <si>
    <t>475436</t>
  </si>
  <si>
    <t>475437</t>
  </si>
  <si>
    <t>249379</t>
  </si>
  <si>
    <t>249384</t>
  </si>
  <si>
    <t>472673</t>
  </si>
  <si>
    <t>249388</t>
  </si>
  <si>
    <t>249381</t>
  </si>
  <si>
    <t>249385</t>
  </si>
  <si>
    <t>249378</t>
  </si>
  <si>
    <t>249919</t>
  </si>
  <si>
    <t>460662</t>
  </si>
  <si>
    <t>249017</t>
  </si>
  <si>
    <t>473772</t>
  </si>
  <si>
    <t>473775</t>
  </si>
  <si>
    <t>473776</t>
  </si>
  <si>
    <t>473777</t>
  </si>
  <si>
    <t>249542</t>
  </si>
  <si>
    <t>249018</t>
  </si>
  <si>
    <t>VMC3250-100AUS</t>
  </si>
  <si>
    <t>ARLO Essential 2K Outdoor Security Camera (2nd Generation) - 2 Pack</t>
  </si>
  <si>
    <t>12596-674</t>
  </si>
  <si>
    <t>BODUM Pavina Paris Double Wall 270ml 2 Piece Set (Rose)</t>
  </si>
  <si>
    <t>12596-10</t>
  </si>
  <si>
    <t>BODUM Pavina Paris Double Wall 270ml 2 Piece Set (Transparent)</t>
  </si>
  <si>
    <t>12248-10</t>
  </si>
  <si>
    <t>BODUM Pavina Ribbed Double Wall 200ml 2 Piece Set</t>
  </si>
  <si>
    <t>12249-10</t>
  </si>
  <si>
    <t>BODUM Pavina Ribbed Double Wall 320ml 2 Piece Set</t>
  </si>
  <si>
    <t>12250-10</t>
  </si>
  <si>
    <t>BODUM Pavina Ribbed Double Wall 450ml 2 Piece Set</t>
  </si>
  <si>
    <t>3040-01RC</t>
  </si>
  <si>
    <t>BODUM Schiuma Rechargable Milk Frother (Black)</t>
  </si>
  <si>
    <t>23.47</t>
  </si>
  <si>
    <t>27.82</t>
  </si>
  <si>
    <t>ELK-80204-R</t>
  </si>
  <si>
    <t>BONELK Long-Life USB-C 5in1 Multiport Hub (Black)</t>
  </si>
  <si>
    <t>ELK-80200-R</t>
  </si>
  <si>
    <t>BONELK Long-Life USB-C 5in1 Multiport Hub (Blush)</t>
  </si>
  <si>
    <t>ELK-80201-R</t>
  </si>
  <si>
    <t>BONELK Long-Life USB-C 5in1 Multiport Hub (Citrus)</t>
  </si>
  <si>
    <t>ELK-80203-R</t>
  </si>
  <si>
    <t>BONELK Long-Life USB-C 5in1 Multiport Hub (indigo)</t>
  </si>
  <si>
    <t>ELK-80202-R</t>
  </si>
  <si>
    <t>BONELK Long-Life USB-C 5in1 Multiport Hub (Sliver)</t>
  </si>
  <si>
    <t>ELK-80180-R</t>
  </si>
  <si>
    <t>BONELK Long-Life USB-C to 4 Port USB 3.0 Slim Hub (Blush)</t>
  </si>
  <si>
    <t>ELK-80181-R</t>
  </si>
  <si>
    <t>BONELK Long-Life USB-C to 4 Port USB 3.0 Slim Hub (Citrus)</t>
  </si>
  <si>
    <t>ELK-80183-R</t>
  </si>
  <si>
    <t>BONELK Long-Life USB-C to 4 Port USB 3.0 Slim Hub (Indigo)</t>
  </si>
  <si>
    <t>ELK-80198-R</t>
  </si>
  <si>
    <t>BONELK Pro-X Long-Life USB-C to 5in1 Multiport Hub (Black)</t>
  </si>
  <si>
    <t>ELK-80199-R</t>
  </si>
  <si>
    <t>BONELK Pro-X Long-Life USB-C to 8in1 Multiport Hub (Black)</t>
  </si>
  <si>
    <t>ELK-80191-R</t>
  </si>
  <si>
    <t>BONELK USB-A to USB-C Dual Adapter (Black)</t>
  </si>
  <si>
    <t>ELK-80193-R</t>
  </si>
  <si>
    <t>BONELK USB-A to USB-C/USB-A Dual Adapter (Black)</t>
  </si>
  <si>
    <t>ELK-80195-R</t>
  </si>
  <si>
    <t>BONELK Vision Long-Life USB-A to 4in1 Multi Card Adapter (SG/Clear)</t>
  </si>
  <si>
    <t>ELK-80197-R</t>
  </si>
  <si>
    <t>BONELK Vision Long-Life USB-A to MicroSD/SD Adapter (SG/Clear)</t>
  </si>
  <si>
    <t>ELK-80194-R</t>
  </si>
  <si>
    <t>BONELK Vision Long-Life USB-C to 4in1 Multi Card Adapter (SG/Clear)</t>
  </si>
  <si>
    <t>ELK-80196-R</t>
  </si>
  <si>
    <t>BONELK Vision Long-Life USB-C to MicroSD/SD Adapter (SG/Clear)</t>
  </si>
  <si>
    <t>CUISINART Air Fryer 5.6L</t>
  </si>
  <si>
    <t>02104CI</t>
  </si>
  <si>
    <t>CUISINART Blast and Go Portable Blender</t>
  </si>
  <si>
    <t>02101CI</t>
  </si>
  <si>
    <t>CUISINART Compact Food Processor - 5 Cup</t>
  </si>
  <si>
    <t>02047CI</t>
  </si>
  <si>
    <t>CUISINART Compact Max PFAS Free Air Fryer 7.6L</t>
  </si>
  <si>
    <t>01933CI</t>
  </si>
  <si>
    <t>CUISINART Custom Scoops Personal Ice-Cream Maker</t>
  </si>
  <si>
    <t>02089CI</t>
  </si>
  <si>
    <t>CUISINART Elite Ice-Cream &amp; Gelato Maker</t>
  </si>
  <si>
    <t>01433CI</t>
  </si>
  <si>
    <t>CUISINART Flavours Ice-Cream Maker 1.5L</t>
  </si>
  <si>
    <t>02090CI</t>
  </si>
  <si>
    <t>CUISINART Freeze Ease Ice-Cream &amp; Gelato Maker</t>
  </si>
  <si>
    <t>02034CI</t>
  </si>
  <si>
    <t>CUISINART Frost Fusion 6-in-1 Slushy &amp; Soft Serve Maker</t>
  </si>
  <si>
    <t>02145CI</t>
  </si>
  <si>
    <t>CUISINART Pixie 3 Cup Chopper</t>
  </si>
  <si>
    <t>01435CI</t>
  </si>
  <si>
    <t>CUISINART Power Advantage 7 Speed Hand Mixer</t>
  </si>
  <si>
    <t>02102CI</t>
  </si>
  <si>
    <t>CUISINART Spice and Nut Grinder</t>
  </si>
  <si>
    <t>02091CI</t>
  </si>
  <si>
    <t>CUISINART Tri-Zone PFAS Free Air Fryer 13.2L</t>
  </si>
  <si>
    <t>02103CI</t>
  </si>
  <si>
    <t>CUISINART Waffle Maker (Black)</t>
  </si>
  <si>
    <t>02046CI</t>
  </si>
  <si>
    <t>CUISINART XXL Dual Zone PFAS Free Air Fryer 10.4L</t>
  </si>
  <si>
    <t>EMILE HENRY</t>
  </si>
  <si>
    <t>EH345501</t>
  </si>
  <si>
    <t>EMILE HENRY Artisan Bread Baker (Burgundy)</t>
  </si>
  <si>
    <t>EH795501</t>
  </si>
  <si>
    <t>EMILE HENRY Artisan Bread Baker (Charcoal)</t>
  </si>
  <si>
    <t>EH076024</t>
  </si>
  <si>
    <t>EMILE HENRY Deep Flan Dish 24cm (Cedar)</t>
  </si>
  <si>
    <t>EH026024</t>
  </si>
  <si>
    <t>EMILE HENRY Deep Flan Dish 24cm (Clay)</t>
  </si>
  <si>
    <t>EH116024</t>
  </si>
  <si>
    <t>EMILE HENRY Deep Flan Dish 24cm (Flour)</t>
  </si>
  <si>
    <t>EH766024</t>
  </si>
  <si>
    <t>EMILE HENRY Deep Flan Dish 24cm (Toscane)</t>
  </si>
  <si>
    <t>EH076038</t>
  </si>
  <si>
    <t>EMILE HENRY Deep Rectangular Tart Dish (Cedar)</t>
  </si>
  <si>
    <t>EH026038</t>
  </si>
  <si>
    <t>EMILE HENRY Deep Rectangular Tart Dish (Clay)</t>
  </si>
  <si>
    <t>EH116038</t>
  </si>
  <si>
    <t>EMILE HENRY Deep Rectangular Tart Dish (Flour)</t>
  </si>
  <si>
    <t>EH766038</t>
  </si>
  <si>
    <t>EMILE HENRY Deep Rectangular Tart Dish (Toscane)</t>
  </si>
  <si>
    <t>EH079649</t>
  </si>
  <si>
    <t>EMILE HENRY Individual Oven Dish (Cedar)</t>
  </si>
  <si>
    <t>EH119649</t>
  </si>
  <si>
    <t>EMILE HENRY Individual Oven Dish (Flour)</t>
  </si>
  <si>
    <t>EH769649</t>
  </si>
  <si>
    <t>EMILE HENRY Individual Oven Dish (Toscane)</t>
  </si>
  <si>
    <t>EH345503</t>
  </si>
  <si>
    <t>EMILE HENRY Large Bread Loaf Baker (Burgundy)</t>
  </si>
  <si>
    <t>EH795503</t>
  </si>
  <si>
    <t>EMILE HENRY Large Bread Loaf Baker (Charcoal)</t>
  </si>
  <si>
    <t>EH079654</t>
  </si>
  <si>
    <t>EMILE HENRY Large Rectangular Oven Dish (Cedar)</t>
  </si>
  <si>
    <t>EH119654</t>
  </si>
  <si>
    <t>EMILE HENRY Large Rectangular Oven Dish (Flour)</t>
  </si>
  <si>
    <t>EH769654</t>
  </si>
  <si>
    <t>EMILE HENRY Large Rectangular Oven Dish (Toscane)</t>
  </si>
  <si>
    <t>EH026153</t>
  </si>
  <si>
    <t>EMILE HENRY Madeleine Heart Dish (Clay)</t>
  </si>
  <si>
    <t>EH476153</t>
  </si>
  <si>
    <t>EMILE HENRY Madeleine Heart Dish (Rose Candy)</t>
  </si>
  <si>
    <t>EH026353</t>
  </si>
  <si>
    <t>EMILE HENRY Madeleine Loaf Dish (Clay)</t>
  </si>
  <si>
    <t>EH476353</t>
  </si>
  <si>
    <t>EMILE HENRY Madeleine Loaf Dish (Rose Candy)</t>
  </si>
  <si>
    <t>96353EM</t>
  </si>
  <si>
    <t>EMILE HENRY Madeleine Loaf Dish (Vanilla)</t>
  </si>
  <si>
    <t>EH026253</t>
  </si>
  <si>
    <t>EMILE HENRY Madeleine Round Dish (Clay)</t>
  </si>
  <si>
    <t>EH476253</t>
  </si>
  <si>
    <t>EMILE HENRY Madeleine Round Dish (Rose Candy)</t>
  </si>
  <si>
    <t>96253EM</t>
  </si>
  <si>
    <t>EMILE HENRY Madeleine Round Dish (Vanilla)</t>
  </si>
  <si>
    <t>28953EM</t>
  </si>
  <si>
    <t>EMILE HENRY Madeleine Round Serving Platter (Clay)</t>
  </si>
  <si>
    <t>78953EM</t>
  </si>
  <si>
    <t>EMILE HENRY Madeleine Round Serving Platter (Rose Candy)</t>
  </si>
  <si>
    <t>98953EM</t>
  </si>
  <si>
    <t>EMILE HENRY Madeleine Round Serving Platter (Vanilla)</t>
  </si>
  <si>
    <t>26053EM</t>
  </si>
  <si>
    <t>EMILE HENRY Madeleine Tart Dish (Clay)</t>
  </si>
  <si>
    <t>76053EM</t>
  </si>
  <si>
    <t>EMILE HENRY Madeleine Tart Dish (Rose Candy)</t>
  </si>
  <si>
    <t>96053EM</t>
  </si>
  <si>
    <t>EMILE HENRY Madeleine Tart Dish (Vanilla)</t>
  </si>
  <si>
    <t>EH079652</t>
  </si>
  <si>
    <t>EMILE HENRY Medium Rectangular Oven Dish (Cedar)</t>
  </si>
  <si>
    <t>EH119652</t>
  </si>
  <si>
    <t>EMILE HENRY Medium Rectangular Oven Dish (Flour)</t>
  </si>
  <si>
    <t>EH769652</t>
  </si>
  <si>
    <t>EMILE HENRY Medium Rectangular Oven Dish (Toscane)</t>
  </si>
  <si>
    <t>EH026131</t>
  </si>
  <si>
    <t>EMILE HENRY Pie Dish (Clay)</t>
  </si>
  <si>
    <t>EH116131</t>
  </si>
  <si>
    <t>EMILE HENRY Pie Dish (Flour)</t>
  </si>
  <si>
    <t>EH345507</t>
  </si>
  <si>
    <t>EMILE HENRY Round Bread Baker (Burgundy)</t>
  </si>
  <si>
    <t>EH795507</t>
  </si>
  <si>
    <t>EMILE HENRY Round Bread Baker (Charcoal)</t>
  </si>
  <si>
    <t>EH076034</t>
  </si>
  <si>
    <t>EMILE HENRY Slim Rectangular Tart Dish (Cedar)</t>
  </si>
  <si>
    <t>EH026034</t>
  </si>
  <si>
    <t>EMILE HENRY Slim Rectangular Tart Dish (Clay)</t>
  </si>
  <si>
    <t>EH116034</t>
  </si>
  <si>
    <t>EMILE HENRY Slim Rectangular Tart Dish (Flour)</t>
  </si>
  <si>
    <t>EH766034</t>
  </si>
  <si>
    <t>EMILE HENRY Slim Rectangular Tart Dish (Toscane)</t>
  </si>
  <si>
    <t>EH079650</t>
  </si>
  <si>
    <t>EMILE HENRY Small Rectangular Oven Dish (Cedar)</t>
  </si>
  <si>
    <t>EH769650</t>
  </si>
  <si>
    <t>EMILE HENRY Small Rectangular Oven Dish (Toscane)</t>
  </si>
  <si>
    <t>010-02927-20</t>
  </si>
  <si>
    <t>GARMIN Dezl Cam LGV725 7" GPS Truck Sat Nav (with built-in Dash Cam)</t>
  </si>
  <si>
    <t>010-02926-20</t>
  </si>
  <si>
    <t>GARMIN Dezl LGV1020 10" GPS Truck Sat Nav</t>
  </si>
  <si>
    <t>010-02923-20</t>
  </si>
  <si>
    <t>GARMIN Dezl LGV620 6" GPS Truck Sat Nav</t>
  </si>
  <si>
    <t>010-02924-20</t>
  </si>
  <si>
    <t>GARMIN Dezl LGV720 7" GPS Truck Sat Nav</t>
  </si>
  <si>
    <t>010-02925-20</t>
  </si>
  <si>
    <t>GARMIN Dezl LGV820 8" GPS Truck Sat Nav</t>
  </si>
  <si>
    <t>010-02184-01</t>
  </si>
  <si>
    <t>GARMIN Glo 2</t>
  </si>
  <si>
    <t>010-02627-10_OLD</t>
  </si>
  <si>
    <t>010-02935-00_OLD</t>
  </si>
  <si>
    <t>010-02936-02</t>
  </si>
  <si>
    <t>GARMIN LIMITED EDITION Instinct 3 45 mm AMOLED (Citrine with Citrine Silicone Band)</t>
  </si>
  <si>
    <t>010-02934-02</t>
  </si>
  <si>
    <t>GARMIN LIMITED EDITION Instinct 3 45 mm Solar (Sunburst with Sunburst/Grey Silicone Band)</t>
  </si>
  <si>
    <t>010-03020-02</t>
  </si>
  <si>
    <t>GARMIN LIMITED EDITION Instinct 3 50 mm AMOLED (Fern Green with Fern Green Silicone Band)</t>
  </si>
  <si>
    <t>010-02935-02</t>
  </si>
  <si>
    <t>GARMIN LIMITED EDITION Instinct 3 50 mm Solar (Sunburst with Sunburst/Grey Silicone Band)</t>
  </si>
  <si>
    <t>010-02803-82</t>
  </si>
  <si>
    <t>GARMIN Quatix 7 Pro 47 mm AMOLED Sapphire (Titanium bezel with captain blue silicone band)</t>
  </si>
  <si>
    <t>010-02541-62</t>
  </si>
  <si>
    <t>GARMIN Quatix 7X 51 mm Solar Edition (Titanium)</t>
  </si>
  <si>
    <t>1868.70</t>
  </si>
  <si>
    <t>010-02904-52_OLD</t>
  </si>
  <si>
    <t>010-02247-00_OLD</t>
  </si>
  <si>
    <t>010-03021-20</t>
  </si>
  <si>
    <t>GARMIN Tread 2 Overland Edition</t>
  </si>
  <si>
    <t>5502ABLB-AISIDI-3PL</t>
  </si>
  <si>
    <t>HONOR 3PL-HONOR WATCH 4PRO MAGIC 8PRO GWP</t>
  </si>
  <si>
    <t>5502AARN-GWP</t>
  </si>
  <si>
    <t>HONOR WATCH 4 BLACK X9D GWP</t>
  </si>
  <si>
    <t>6977644768198</t>
  </si>
  <si>
    <t>Insta360  Ace Pro 2 Pocket Printer Photo Paper Cartridge</t>
  </si>
  <si>
    <t>18.25</t>
  </si>
  <si>
    <t>6977644768938</t>
  </si>
  <si>
    <t>Insta360 Ace Pro 2 Flash Print Bundle</t>
  </si>
  <si>
    <t>1025.22</t>
  </si>
  <si>
    <t>6977644766934</t>
  </si>
  <si>
    <t>Insta360 Ace Pro 2 Pocket Printer</t>
  </si>
  <si>
    <t>6977644768945</t>
  </si>
  <si>
    <t>Insta360 Ace Pro 2 Ultimate Videography Bundle</t>
  </si>
  <si>
    <t>1329.57</t>
  </si>
  <si>
    <t>6977644768860</t>
  </si>
  <si>
    <t>Insta360 Ace Pro 2 Videography Bundle Limited Edition</t>
  </si>
  <si>
    <t>6942590201792</t>
  </si>
  <si>
    <t>Insta360 Luna Ultra Creator Bundle Cosmic Black</t>
  </si>
  <si>
    <t>6942590201808</t>
  </si>
  <si>
    <t>Insta360 Luna Ultra Creator Bundle Stellar White</t>
  </si>
  <si>
    <t>6942590201778</t>
  </si>
  <si>
    <t>Insta360 Luna Ultra Standard Bundle Cosmic Black</t>
  </si>
  <si>
    <t>6942590201785</t>
  </si>
  <si>
    <t>Insta360 Luna Ultra Standard Bundle Stellar White</t>
  </si>
  <si>
    <t>6977644765227</t>
  </si>
  <si>
    <t>Insta360 Snap Selfie Screen with Light</t>
  </si>
  <si>
    <t>20010100002627</t>
  </si>
  <si>
    <t>MOVA Auxlilary Cleaning Kit for S Series</t>
  </si>
  <si>
    <t>MOVA Main Brush for E40 E50 P50 P70 S70 Series</t>
  </si>
  <si>
    <t>010903AA000044</t>
  </si>
  <si>
    <t>MOVA N1 Window Cleaning Robot</t>
  </si>
  <si>
    <t>010903AA000060</t>
  </si>
  <si>
    <t>MOVA T1 Station Window Cleaning Robot</t>
  </si>
  <si>
    <t>NEBO</t>
  </si>
  <si>
    <t>89625</t>
  </si>
  <si>
    <t>NEBO Transcend 500 Rechargeable Head Lamp, 500 Lumens</t>
  </si>
  <si>
    <t>252306</t>
  </si>
  <si>
    <t>252305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</si>
</sst>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]#,##0.00"/>
    <numFmt numFmtId="165" formatCode="0.0000"/>
    <numFmt numFmtId="166" formatCode="[$$]#,##0.00" x16r2:formatCode16="[$$-uz-Arab-AF]#,##0.00"/>
    <numFmt numFmtId="167" formatCode="_([$$-409]* #,##0.00_);_([$$-409]* \(#,##0.00\);_([$$-409]* &quot;-&quot;??_);_(@_)"/>
    <numFmt numFmtId="168" formatCode="_([$$-C09]* #,##0.00_);_([$$-C09]* \(#,##0.00\);_([$$-C09]* &quot;-&quot;??_);_(@_)"/>
  </numFmts>
  <fonts count="24" x14ac:knownFonts="1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242729"/>
      <name val="Arial"/>
      <family val="2"/>
    </font>
    <font>
      <sz val="10"/>
      <color rgb="FF000000"/>
      <name val="Arial"/>
      <family val="2"/>
    </font>
    <font>
      <sz val="14"/>
      <color rgb="FF333333"/>
      <name val="Arial"/>
      <family val="2"/>
    </font>
    <font>
      <b/>
      <sz val="9"/>
      <color rgb="FF000000"/>
      <name val="Arial"/>
      <family val="2"/>
    </font>
    <font>
      <i/>
      <sz val="10"/>
      <color rgb="FF000000"/>
      <name val="Arial"/>
      <family val="2"/>
    </font>
    <font>
      <sz val="11"/>
      <color rgb="FF000000"/>
      <name val="Arial"/>
      <family val="2"/>
    </font>
    <font>
      <sz val="14"/>
      <color rgb="FFFF0000"/>
      <name val="Arial"/>
      <family val="2"/>
    </font>
    <font>
      <b/>
      <sz val="14"/>
      <color rgb="FF000000"/>
      <name val="Arial"/>
      <family val="2"/>
    </font>
    <font>
      <sz val="10"/>
      <color rgb="FFFFF2CC"/>
      <name val="Arial"/>
      <family val="2"/>
    </font>
    <font>
      <sz val="12"/>
      <color rgb="FF000000"/>
      <name val="Arial"/>
      <family val="2"/>
    </font>
    <font>
      <sz val="10"/>
      <color rgb="FF000000"/>
      <name val="Aptos Narrow"/>
      <family val="2"/>
      <scheme val="minor"/>
    </font>
    <font>
      <sz val="16"/>
      <name val="Wingdings 3"/>
      <family val="1"/>
      <charset val="2"/>
    </font>
    <font>
      <sz val="10"/>
      <color theme="0" tint="-0.14999847407452621"/>
      <name val="Arial"/>
      <family val="2"/>
    </font>
    <font>
      <b/>
      <sz val="10"/>
      <name val="Arial"/>
      <family val="2"/>
    </font>
    <font>
      <b/>
      <i/>
      <sz val="10"/>
      <color rgb="FF000000"/>
      <name val="Arial"/>
      <family val="2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242729"/>
      <name val="Arial"/>
      <family val="2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theme="7" tint="0.79998168889431442"/>
        <bgColor rgb="FFB6D7A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FF00"/>
      </patternFill>
    </fill>
    <fill>
      <patternFill patternType="solid">
        <fgColor theme="7" tint="0.79998168889431442"/>
        <bgColor rgb="FFCFE2F3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rgb="FFF9CB9C"/>
      </patternFill>
    </fill>
    <fill>
      <patternFill patternType="solid">
        <fgColor theme="9" tint="0.79998168889431442"/>
        <bgColor theme="9" tint="0.79998168889431442"/>
      </patternFill>
    </fill>
  </fills>
  <borders count="5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ck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0" xfId="0" applyFont="1"/>
    <xf numFmtId="0" fontId="1" fillId="4" borderId="8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4" fontId="4" fillId="2" borderId="11" xfId="0" applyNumberFormat="1" applyFont="1" applyFill="1" applyBorder="1" applyAlignment="1">
      <alignment horizontal="center"/>
    </xf>
    <xf numFmtId="0" fontId="4" fillId="2" borderId="11" xfId="0" applyFont="1" applyFill="1" applyBorder="1"/>
    <xf numFmtId="0" fontId="4" fillId="0" borderId="11" xfId="0" applyFont="1" applyBorder="1"/>
    <xf numFmtId="0" fontId="4" fillId="3" borderId="12" xfId="0" applyFont="1" applyFill="1" applyBorder="1" applyAlignment="1">
      <alignment horizontal="center"/>
    </xf>
    <xf numFmtId="164" fontId="4" fillId="0" borderId="14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0" fontId="4" fillId="0" borderId="11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164" fontId="4" fillId="0" borderId="16" xfId="0" applyNumberFormat="1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164" fontId="1" fillId="6" borderId="3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right"/>
    </xf>
    <xf numFmtId="0" fontId="4" fillId="2" borderId="3" xfId="0" applyFont="1" applyFill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right"/>
    </xf>
    <xf numFmtId="4" fontId="4" fillId="2" borderId="4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4" fontId="12" fillId="0" borderId="0" xfId="0" applyNumberFormat="1" applyFont="1" applyAlignment="1">
      <alignment horizontal="center"/>
    </xf>
    <xf numFmtId="0" fontId="4" fillId="0" borderId="22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7" borderId="20" xfId="0" applyFont="1" applyFill="1" applyBorder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4" fillId="7" borderId="21" xfId="0" applyFont="1" applyFill="1" applyBorder="1" applyAlignment="1">
      <alignment vertical="top" wrapText="1"/>
    </xf>
    <xf numFmtId="0" fontId="4" fillId="0" borderId="25" xfId="0" applyFont="1" applyBorder="1" applyAlignment="1">
      <alignment horizontal="right"/>
    </xf>
    <xf numFmtId="4" fontId="4" fillId="0" borderId="4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1" xfId="0" applyFont="1" applyBorder="1"/>
    <xf numFmtId="0" fontId="4" fillId="0" borderId="3" xfId="0" applyFont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4" fillId="0" borderId="27" xfId="0" applyFont="1" applyBorder="1" applyAlignment="1">
      <alignment horizontal="right"/>
    </xf>
    <xf numFmtId="14" fontId="4" fillId="2" borderId="28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164" fontId="4" fillId="2" borderId="28" xfId="0" applyNumberFormat="1" applyFont="1" applyFill="1" applyBorder="1" applyAlignment="1">
      <alignment horizontal="center"/>
    </xf>
    <xf numFmtId="164" fontId="4" fillId="6" borderId="28" xfId="0" applyNumberFormat="1" applyFont="1" applyFill="1" applyBorder="1" applyAlignment="1">
      <alignment horizontal="center"/>
    </xf>
    <xf numFmtId="0" fontId="4" fillId="0" borderId="29" xfId="0" applyFont="1" applyBorder="1" applyAlignment="1">
      <alignment horizontal="right"/>
    </xf>
    <xf numFmtId="0" fontId="4" fillId="2" borderId="30" xfId="0" applyFont="1" applyFill="1" applyBorder="1" applyAlignment="1">
      <alignment horizontal="center"/>
    </xf>
    <xf numFmtId="0" fontId="4" fillId="0" borderId="31" xfId="0" applyFont="1" applyBorder="1" applyAlignment="1">
      <alignment horizontal="left"/>
    </xf>
    <xf numFmtId="0" fontId="2" fillId="0" borderId="33" xfId="0" applyFont="1" applyBorder="1"/>
    <xf numFmtId="0" fontId="4" fillId="0" borderId="33" xfId="0" applyFont="1" applyBorder="1"/>
    <xf numFmtId="0" fontId="4" fillId="0" borderId="33" xfId="0" applyFont="1" applyBorder="1" applyAlignment="1">
      <alignment horizontal="center"/>
    </xf>
    <xf numFmtId="10" fontId="0" fillId="0" borderId="0" xfId="0" applyNumberFormat="1"/>
    <xf numFmtId="0" fontId="4" fillId="3" borderId="4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" fillId="0" borderId="0" xfId="0" applyFont="1"/>
    <xf numFmtId="9" fontId="4" fillId="0" borderId="0" xfId="0" applyNumberFormat="1" applyFont="1" applyAlignment="1">
      <alignment horizontal="center"/>
    </xf>
    <xf numFmtId="2" fontId="4" fillId="0" borderId="1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166" fontId="4" fillId="0" borderId="14" xfId="0" applyNumberFormat="1" applyFont="1" applyBorder="1" applyAlignment="1">
      <alignment horizontal="center"/>
    </xf>
    <xf numFmtId="0" fontId="1" fillId="8" borderId="37" xfId="0" applyFont="1" applyFill="1" applyBorder="1" applyAlignment="1">
      <alignment vertical="center"/>
    </xf>
    <xf numFmtId="0" fontId="14" fillId="9" borderId="9" xfId="0" applyFont="1" applyFill="1" applyBorder="1"/>
    <xf numFmtId="0" fontId="2" fillId="9" borderId="9" xfId="0" applyFont="1" applyFill="1" applyBorder="1"/>
    <xf numFmtId="10" fontId="4" fillId="0" borderId="15" xfId="0" applyNumberFormat="1" applyFont="1" applyBorder="1" applyAlignment="1">
      <alignment horizontal="center"/>
    </xf>
    <xf numFmtId="164" fontId="1" fillId="6" borderId="7" xfId="0" applyNumberFormat="1" applyFont="1" applyFill="1" applyBorder="1" applyAlignment="1">
      <alignment horizontal="center"/>
    </xf>
    <xf numFmtId="0" fontId="4" fillId="9" borderId="35" xfId="0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2" fillId="10" borderId="0" xfId="0" applyFont="1" applyFill="1"/>
    <xf numFmtId="0" fontId="1" fillId="10" borderId="0" xfId="0" applyFont="1" applyFill="1" applyAlignment="1">
      <alignment horizontal="center" vertical="center" wrapText="1"/>
    </xf>
    <xf numFmtId="166" fontId="4" fillId="10" borderId="0" xfId="0" applyNumberFormat="1" applyFont="1" applyFill="1" applyAlignment="1">
      <alignment horizontal="center"/>
    </xf>
    <xf numFmtId="164" fontId="1" fillId="11" borderId="0" xfId="0" applyNumberFormat="1" applyFont="1" applyFill="1" applyAlignment="1">
      <alignment horizontal="center"/>
    </xf>
    <xf numFmtId="0" fontId="0" fillId="10" borderId="0" xfId="0" applyFill="1"/>
    <xf numFmtId="166" fontId="4" fillId="0" borderId="38" xfId="0" applyNumberFormat="1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9" borderId="36" xfId="0" applyFont="1" applyFill="1" applyBorder="1" applyAlignment="1">
      <alignment horizontal="center"/>
    </xf>
    <xf numFmtId="164" fontId="1" fillId="6" borderId="6" xfId="0" applyNumberFormat="1" applyFont="1" applyFill="1" applyBorder="1" applyAlignment="1">
      <alignment horizontal="center"/>
    </xf>
    <xf numFmtId="10" fontId="1" fillId="9" borderId="0" xfId="0" applyNumberFormat="1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1" fillId="12" borderId="4" xfId="0" applyFont="1" applyFill="1" applyBorder="1" applyAlignment="1">
      <alignment horizontal="center"/>
    </xf>
    <xf numFmtId="14" fontId="10" fillId="12" borderId="3" xfId="0" applyNumberFormat="1" applyFont="1" applyFill="1" applyBorder="1" applyAlignment="1">
      <alignment horizontal="center" vertical="center"/>
    </xf>
    <xf numFmtId="165" fontId="4" fillId="12" borderId="3" xfId="0" applyNumberFormat="1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right"/>
    </xf>
    <xf numFmtId="168" fontId="4" fillId="0" borderId="17" xfId="0" applyNumberFormat="1" applyFont="1" applyBorder="1" applyAlignment="1">
      <alignment horizontal="center"/>
    </xf>
    <xf numFmtId="167" fontId="1" fillId="0" borderId="4" xfId="0" applyNumberFormat="1" applyFont="1" applyBorder="1" applyAlignment="1">
      <alignment horizontal="center"/>
    </xf>
    <xf numFmtId="10" fontId="4" fillId="3" borderId="12" xfId="0" applyNumberFormat="1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9" fontId="0" fillId="0" borderId="0" xfId="0" applyNumberFormat="1"/>
    <xf numFmtId="0" fontId="4" fillId="0" borderId="11" xfId="0" applyFont="1" applyBorder="1" applyAlignment="1">
      <alignment horizontal="center"/>
    </xf>
    <xf numFmtId="10" fontId="17" fillId="2" borderId="14" xfId="0" applyNumberFormat="1" applyFont="1" applyFill="1" applyBorder="1" applyAlignment="1">
      <alignment horizontal="center"/>
    </xf>
    <xf numFmtId="0" fontId="18" fillId="13" borderId="35" xfId="0" applyFont="1" applyFill="1" applyBorder="1" applyAlignment="1">
      <alignment horizontal="center" vertical="center" wrapText="1"/>
    </xf>
    <xf numFmtId="1" fontId="4" fillId="2" borderId="11" xfId="0" applyNumberFormat="1" applyFont="1" applyFill="1" applyBorder="1" applyAlignment="1">
      <alignment horizontal="center"/>
    </xf>
    <xf numFmtId="1" fontId="17" fillId="14" borderId="14" xfId="0" applyNumberFormat="1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9" borderId="35" xfId="0" applyFont="1" applyFill="1" applyBorder="1" applyAlignment="1">
      <alignment vertical="center"/>
    </xf>
    <xf numFmtId="14" fontId="4" fillId="0" borderId="11" xfId="0" applyNumberFormat="1" applyFont="1" applyBorder="1" applyAlignment="1">
      <alignment horizontal="center"/>
    </xf>
    <xf numFmtId="10" fontId="17" fillId="0" borderId="14" xfId="0" applyNumberFormat="1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164" fontId="4" fillId="0" borderId="13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64" fontId="8" fillId="0" borderId="14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10" fontId="4" fillId="0" borderId="14" xfId="0" applyNumberFormat="1" applyFont="1" applyBorder="1" applyAlignment="1">
      <alignment horizontal="center"/>
    </xf>
    <xf numFmtId="10" fontId="4" fillId="0" borderId="44" xfId="0" applyNumberFormat="1" applyFont="1" applyBorder="1" applyAlignment="1">
      <alignment horizontal="center"/>
    </xf>
    <xf numFmtId="164" fontId="4" fillId="0" borderId="45" xfId="0" applyNumberFormat="1" applyFont="1" applyBorder="1" applyAlignment="1">
      <alignment horizontal="center"/>
    </xf>
    <xf numFmtId="164" fontId="8" fillId="0" borderId="15" xfId="0" applyNumberFormat="1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4" borderId="6" xfId="0" applyFont="1" applyFill="1" applyBorder="1"/>
    <xf numFmtId="2" fontId="1" fillId="4" borderId="6" xfId="0" applyNumberFormat="1" applyFont="1" applyFill="1" applyBorder="1"/>
    <xf numFmtId="0" fontId="22" fillId="2" borderId="3" xfId="0" applyFont="1" applyFill="1" applyBorder="1" applyAlignment="1">
      <alignment horizontal="center" vertical="center"/>
    </xf>
    <xf numFmtId="0" fontId="16" fillId="9" borderId="40" xfId="0" applyFont="1" applyFill="1" applyBorder="1" applyAlignment="1">
      <alignment vertical="center"/>
    </xf>
    <xf numFmtId="0" fontId="16" fillId="9" borderId="57" xfId="0" applyFont="1" applyFill="1" applyBorder="1" applyAlignment="1">
      <alignment vertical="center"/>
    </xf>
    <xf numFmtId="0" fontId="0" fillId="15" borderId="58" xfId="0" applyFill="1" applyBorder="1" applyAlignment="1">
      <alignment vertical="top"/>
    </xf>
    <xf numFmtId="0" fontId="0" fillId="0" borderId="0" xfId="0" applyAlignment="1">
      <alignment vertical="top"/>
    </xf>
    <xf numFmtId="0" fontId="16" fillId="9" borderId="9" xfId="0" applyFont="1" applyFill="1" applyBorder="1" applyAlignment="1">
      <alignment horizontal="center" vertical="center"/>
    </xf>
    <xf numFmtId="0" fontId="1" fillId="9" borderId="41" xfId="0" applyFont="1" applyFill="1" applyBorder="1" applyAlignment="1">
      <alignment horizontal="center" vertical="center"/>
    </xf>
    <xf numFmtId="0" fontId="1" fillId="9" borderId="4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right"/>
    </xf>
    <xf numFmtId="0" fontId="2" fillId="0" borderId="9" xfId="0" applyFont="1" applyBorder="1"/>
    <xf numFmtId="0" fontId="2" fillId="0" borderId="5" xfId="0" applyFont="1" applyBorder="1"/>
    <xf numFmtId="0" fontId="1" fillId="0" borderId="4" xfId="0" applyFont="1" applyBorder="1" applyAlignment="1">
      <alignment horizontal="center"/>
    </xf>
    <xf numFmtId="0" fontId="11" fillId="7" borderId="1" xfId="0" applyFont="1" applyFill="1" applyBorder="1" applyAlignment="1">
      <alignment vertical="center" wrapText="1"/>
    </xf>
    <xf numFmtId="0" fontId="2" fillId="0" borderId="18" xfId="0" applyFont="1" applyBorder="1"/>
    <xf numFmtId="0" fontId="2" fillId="0" borderId="2" xfId="0" applyFont="1" applyBorder="1"/>
    <xf numFmtId="0" fontId="2" fillId="0" borderId="20" xfId="0" applyFont="1" applyBorder="1"/>
    <xf numFmtId="0" fontId="4" fillId="0" borderId="0" xfId="0" applyFont="1"/>
    <xf numFmtId="0" fontId="2" fillId="0" borderId="21" xfId="0" applyFont="1" applyBorder="1"/>
    <xf numFmtId="0" fontId="2" fillId="0" borderId="6" xfId="0" applyFont="1" applyBorder="1"/>
    <xf numFmtId="0" fontId="2" fillId="0" borderId="23" xfId="0" applyFont="1" applyBorder="1"/>
    <xf numFmtId="0" fontId="2" fillId="0" borderId="7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11" fillId="7" borderId="1" xfId="0" applyFont="1" applyFill="1" applyBorder="1" applyAlignment="1">
      <alignment horizontal="right" vertical="top" wrapText="1"/>
    </xf>
    <xf numFmtId="0" fontId="11" fillId="7" borderId="0" xfId="0" applyFont="1" applyFill="1" applyAlignment="1">
      <alignment horizontal="right"/>
    </xf>
    <xf numFmtId="0" fontId="11" fillId="7" borderId="23" xfId="0" applyFont="1" applyFill="1" applyBorder="1" applyAlignment="1">
      <alignment horizontal="right"/>
    </xf>
    <xf numFmtId="0" fontId="1" fillId="9" borderId="35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right"/>
    </xf>
    <xf numFmtId="0" fontId="2" fillId="9" borderId="2" xfId="0" applyFont="1" applyFill="1" applyBorder="1"/>
    <xf numFmtId="0" fontId="1" fillId="12" borderId="4" xfId="0" applyFont="1" applyFill="1" applyBorder="1" applyAlignment="1">
      <alignment horizontal="right"/>
    </xf>
    <xf numFmtId="0" fontId="2" fillId="9" borderId="5" xfId="0" applyFont="1" applyFill="1" applyBorder="1"/>
    <xf numFmtId="0" fontId="1" fillId="4" borderId="8" xfId="0" applyFont="1" applyFill="1" applyBorder="1" applyAlignment="1">
      <alignment horizontal="center" vertical="center"/>
    </xf>
    <xf numFmtId="0" fontId="2" fillId="0" borderId="10" xfId="0" applyFont="1" applyBorder="1"/>
    <xf numFmtId="0" fontId="1" fillId="4" borderId="1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right" vertical="center"/>
    </xf>
    <xf numFmtId="0" fontId="0" fillId="0" borderId="4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0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16" fillId="9" borderId="2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2" fillId="0" borderId="9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" fillId="4" borderId="6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/>
    </xf>
  </cellXfs>
  <cellStyles count="1">
    <cellStyle name="Normal" xfId="0" builtinId="0"/>
  </cellStyles>
  <dxfs count="58"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numFmt numFmtId="0" formatCode="General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SupportingPropertyBagStructure" Target="richData/rdsupportingpropertybagstructure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microsoft.com/office/2017/06/relationships/richStyles" Target="richData/richStyles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23" Type="http://schemas.openxmlformats.org/officeDocument/2006/relationships/customXml" Target="../customXml/item2.xml"/><Relationship Id="rId10" Type="http://schemas.openxmlformats.org/officeDocument/2006/relationships/connections" Target="connections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Relationship Id="rId22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0EECB83-8FD3-2C44-A10C-5B0C787D8710}" autoFormatId="16" applyNumberFormats="0" applyBorderFormats="0" applyFontFormats="0" applyPatternFormats="0" applyAlignmentFormats="0" applyWidthHeightFormats="0">
  <queryTableRefresh nextId="35">
    <queryTableFields count="26">
      <queryTableField id="1" name="Brand" tableColumnId="1"/>
      <queryTableField id="2" name="Code" tableColumnId="2"/>
      <queryTableField id="3" name="Description" tableColumnId="3"/>
      <queryTableField id="4" name="NZ Status" tableColumnId="4"/>
      <queryTableField id="5" name="Base (RRP Inc)" tableColumnId="5"/>
      <queryTableField id="33" name="RRP ex GST" tableColumnId="27"/>
      <queryTableField id="6" name="Clearance - MacGear + Brand Sites" tableColumnId="6"/>
      <queryTableField id="7" name="Dealer 1" tableColumnId="7"/>
      <queryTableField id="8" name="Dealer 2" tableColumnId="8"/>
      <queryTableField id="9" name="Dealer 3" tableColumnId="9"/>
      <queryTableField id="10" name="Education" tableColumnId="10"/>
      <queryTableField id="31" name="Costco" tableColumnId="26"/>
      <queryTableField id="11" name="JB HIfi" tableColumnId="11"/>
      <queryTableField id="12" name="Harvey Norman" tableColumnId="12"/>
      <queryTableField id="13" name="LS travel" tableColumnId="13"/>
      <queryTableField id="27" name="PB Tech" tableColumnId="14"/>
      <queryTableField id="15" name="NZ - HN Commercial" tableColumnId="15"/>
      <queryTableField id="16" name="NZ - NL Commercial" tableColumnId="16"/>
      <queryTableField id="29" name="Noel Leeming" tableColumnId="17"/>
      <queryTableField id="18" name="NZ - Spark" tableColumnId="18"/>
      <queryTableField id="19" name="NZ AU - AirPoints / Aciem / Collinson" tableColumnId="19"/>
      <queryTableField id="20" name="NZ AU - Smart Loyalty" tableColumnId="20"/>
      <queryTableField id="21" name="NZ AU - Fly Buys" tableColumnId="21"/>
      <queryTableField id="22" name="NZ AU - Qantas" tableColumnId="22"/>
      <queryTableField id="23" name="NZ AU - RRP - Home Of Brands" tableColumnId="23"/>
      <queryTableField id="24" name="NZ AU - RRP - List Price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A661F96-5142-4912-913F-5442FF30D91B}" autoFormatId="16" applyNumberFormats="0" applyBorderFormats="0" applyFontFormats="0" applyPatternFormats="0" applyAlignmentFormats="0" applyWidthHeightFormats="0">
  <queryTableRefresh nextId="12">
    <queryTableFields count="11">
      <queryTableField id="1" name="Name" tableColumnId="1"/>
      <queryTableField id="2" name="Display Name" tableColumnId="2"/>
      <queryTableField id="3" name="Brand" tableColumnId="3"/>
      <queryTableField id="4" name="NZ Status" tableColumnId="4"/>
      <queryTableField id="5" name="Base Price" tableColumnId="5"/>
      <queryTableField id="6" name="Retail Value" tableColumnId="6"/>
      <queryTableField id="7" name="Location On Hand" tableColumnId="7"/>
      <queryTableField id="8" name="Customer Name" tableColumnId="8"/>
      <queryTableField id="9" name="6wk avg" tableColumnId="9"/>
      <queryTableField id="10" name="WOS (6wk)" tableColumnId="10"/>
      <queryTableField id="11" name="SOH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147C01B-66BC-44CF-B36B-06E8C7E911C3}" autoFormatId="16" applyNumberFormats="0" applyBorderFormats="0" applyFontFormats="0" applyPatternFormats="0" applyAlignmentFormats="0" applyWidthHeightFormats="0">
  <queryTableRefresh nextId="403">
    <queryTableFields count="8">
      <queryTableField id="390" name="Code" tableColumnId="390"/>
      <queryTableField id="391" name="Description" tableColumnId="391"/>
      <queryTableField id="392" name="Brand" tableColumnId="392"/>
      <queryTableField id="393" name="Customer Name" tableColumnId="393"/>
      <queryTableField id="399" name="Customer Code" tableColumnId="1"/>
      <queryTableField id="400" name="Retail Value" tableColumnId="2"/>
      <queryTableField id="401" name="6wk avg" tableColumnId="3"/>
      <queryTableField id="402" name="WOS" tableColumnId="4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4">
  <rv s="0">
    <v>0</v>
    <v>NZD/USD</v>
    <v>2</v>
    <v>3</v>
    <v>Finance</v>
    <v>4</v>
    <v>en-GB</v>
    <v>avmpm7</v>
    <v>268435456</v>
    <v>1</v>
    <v>Powered by Refinitiv</v>
    <v>0.61199999999999999</v>
    <v>0.55779999999999996</v>
    <v>-1E-3</v>
    <v>-1.7419999999999998E-3</v>
    <v>USD</v>
    <v>NZD</v>
    <v>0.57399999999999995</v>
    <v>Currency Pair</v>
    <v>46195.093090277776</v>
    <v>0.57299999999999995</v>
    <v>New Zealand Dollar/US Dollar FX Spot Rate</v>
    <v>0.57310000000000005</v>
    <v>0.57399999999999995</v>
    <v>0.57299999999999995</v>
    <v>NZDUSD</v>
    <v>NZD/USD</v>
  </rv>
  <rv s="1">
    <v>0</v>
  </rv>
  <rv s="2">
    <v>12</v>
    <v>Exchange</v>
    <v>0</v>
  </rv>
  <rv s="2">
    <v>12</v>
    <v>Change (%)</v>
    <v>0</v>
  </rv>
</rvData>
</file>

<file path=xl/richData/rdrichvaluestructure.xml><?xml version="1.0" encoding="utf-8"?>
<rvStructures xmlns="http://schemas.microsoft.com/office/spreadsheetml/2017/richdata" count="3">
  <s t="_linkedentitycore">
    <k n="_Display" t="spb"/>
    <k n="_DisplayString" t="s"/>
    <k n="_Flags" t="spb"/>
    <k n="_Format" t="spb"/>
    <k n="_Icon" t="s"/>
    <k n="_SubLabel" t="spb"/>
    <k n="%EntityCulture" t="s"/>
    <k n="%EntityId" t="s"/>
    <k n="%EntityServiceId"/>
    <k n="%IsRefreshable" t="b"/>
    <k n="%ProviderInfo" t="s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  <s t="_error">
    <k n="errorType" t="i"/>
    <k n="field" t="s"/>
    <k n="subType" t="i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dd/mm/yyyy\ h:mm"/>
    </x:dxf>
    <x:dxf>
      <x:numFmt numFmtId="14" formatCode="0.00%"/>
    </x:dxf>
  </dxfs>
  <richProperties>
    <rPr n="NumberFormat" t="s"/>
    <rPr n="IsTitleField" t="b"/>
  </richProperties>
  <richStyles>
    <rSty dxfid="1">
      <rpv i="0">_([$$-en-US]* #,##0.00_);_([$$-en-US]* (#,##0.00);_([$$-en-US]* "-"??_);_(@_)</rpv>
    </rSty>
    <rSty>
      <rpv i="1">1</rpv>
    </rSty>
    <rSty dxfid="3"/>
    <rSty dxfid="2"/>
    <rSty dxfid="0">
      <rpv i="0">0.00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AC529D-6F12-EA4A-ACE0-6E89BE12264C}" name="Master_Price_Level_NZ" displayName="Master_Price_Level_NZ" ref="A1:Z2671" tableType="queryTable" totalsRowShown="0">
  <autoFilter ref="A1:Z2671" xr:uid="{6FAC529D-6F12-EA4A-ACE0-6E89BE12264C}"/>
  <tableColumns count="26">
    <tableColumn id="1" xr3:uid="{191B1399-A2BC-C444-A780-AFB8CFC7DA58}" uniqueName="1" name="Brand" queryTableFieldId="1" dataDxfId="57"/>
    <tableColumn id="2" xr3:uid="{824D9296-C8BF-AC41-8404-C13F400F6481}" uniqueName="2" name="Code" queryTableFieldId="2" dataDxfId="56"/>
    <tableColumn id="3" xr3:uid="{4B041211-BB55-1B4C-837A-7005AF1463A5}" uniqueName="3" name="Description" queryTableFieldId="3" dataDxfId="55"/>
    <tableColumn id="4" xr3:uid="{7EDA8497-82B5-CB42-A4FF-1DE4F546CF8E}" uniqueName="4" name="NZ Status" queryTableFieldId="4" dataDxfId="54"/>
    <tableColumn id="5" xr3:uid="{D54D2154-E61F-B748-AB1C-1E5C9A019F7A}" uniqueName="5" name="Base (RRP Inc)" queryTableFieldId="5"/>
    <tableColumn id="27" xr3:uid="{0E2B9F57-4924-4387-B53D-04EA5BBE4780}" uniqueName="27" name="RRP ex GST" queryTableFieldId="33" dataDxfId="53"/>
    <tableColumn id="6" xr3:uid="{525C02F1-024A-8040-B084-7CC0384224B8}" uniqueName="6" name="Clearance - MacGear + Brand Sites" queryTableFieldId="6"/>
    <tableColumn id="7" xr3:uid="{1410B1F3-4B84-B448-B440-A96CEAF6C797}" uniqueName="7" name="Dealer 1" queryTableFieldId="7"/>
    <tableColumn id="8" xr3:uid="{48E2E054-70C5-A046-A858-34DBD42765ED}" uniqueName="8" name="Dealer 2" queryTableFieldId="8"/>
    <tableColumn id="9" xr3:uid="{E53D28FB-F1DE-934A-B773-AB36CCE64493}" uniqueName="9" name="Dealer 3" queryTableFieldId="9"/>
    <tableColumn id="10" xr3:uid="{1CF074D9-4C2F-344C-A77D-C082B94A6E5B}" uniqueName="10" name="Education" queryTableFieldId="10"/>
    <tableColumn id="26" xr3:uid="{62200DF8-2B17-4E4D-8980-15A7541F7457}" uniqueName="26" name="Costco" queryTableFieldId="31" dataDxfId="52"/>
    <tableColumn id="11" xr3:uid="{DC8E8FE3-CCBD-5142-A216-BD48549BD772}" uniqueName="11" name="JB HIfi" queryTableFieldId="11"/>
    <tableColumn id="12" xr3:uid="{AFF297B8-06A4-8F4D-B3BC-5663988C6C57}" uniqueName="12" name="Harvey Norman" queryTableFieldId="12"/>
    <tableColumn id="13" xr3:uid="{B45AA083-292C-034B-BDCD-3849B7C43156}" uniqueName="13" name="LS travel" queryTableFieldId="13"/>
    <tableColumn id="14" xr3:uid="{78DD91B9-C007-4CAC-AA24-89EE27BF0123}" uniqueName="14" name="PB Tech" queryTableFieldId="27"/>
    <tableColumn id="15" xr3:uid="{E619C5B1-2411-7240-9E38-B551D46BE05D}" uniqueName="15" name="NZ - HN Commercial" queryTableFieldId="15"/>
    <tableColumn id="16" xr3:uid="{B996662E-8833-384C-810E-0DD60A0AB151}" uniqueName="16" name="NZ - NL Commercial" queryTableFieldId="16"/>
    <tableColumn id="17" xr3:uid="{525032B0-E4BF-4151-A472-DF31255B492B}" uniqueName="17" name="Noel Leeming" queryTableFieldId="29"/>
    <tableColumn id="18" xr3:uid="{97FDC91C-10D1-5F47-AE2D-22C90889A10B}" uniqueName="18" name="NZ - Spark" queryTableFieldId="18"/>
    <tableColumn id="19" xr3:uid="{6C3269A6-3C13-9E43-A060-4BFF75A96B8F}" uniqueName="19" name="NZ AU - AirPoints / Aciem / Collinson" queryTableFieldId="19"/>
    <tableColumn id="20" xr3:uid="{7A206CD6-993A-4348-9275-086EFA06E58B}" uniqueName="20" name="NZ AU - Smart Loyalty" queryTableFieldId="20"/>
    <tableColumn id="21" xr3:uid="{2A311ED5-C216-2D42-A328-6C81315634E8}" uniqueName="21" name="NZ AU - Fly Buys" queryTableFieldId="21"/>
    <tableColumn id="22" xr3:uid="{B473BBE8-49C5-3E4F-800B-B50A2F463191}" uniqueName="22" name="NZ AU - Qantas" queryTableFieldId="22"/>
    <tableColumn id="23" xr3:uid="{9C5E38BB-28C1-9841-8778-DE8CB41C253E}" uniqueName="23" name="NZ AU - RRP - Home Of Brands" queryTableFieldId="23"/>
    <tableColumn id="24" xr3:uid="{93B2BA3B-6B48-D845-9F12-CF36F1686F2C}" uniqueName="24" name="NZ AU - RRP - List Price" queryTableFieldId="24" dataDxfId="5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5128C0-9BA6-4C8B-A511-0F81C957AE4B}" name="Merge" displayName="Merge" ref="A1:K3305" tableType="queryTable" totalsRowShown="0">
  <autoFilter ref="A1:K3305" xr:uid="{955128C0-9BA6-4C8B-A511-0F81C957AE4B}"/>
  <tableColumns count="11">
    <tableColumn id="1" xr3:uid="{192D37DD-B8FF-4E10-9D2B-1E694AD7BF1C}" uniqueName="1" name="Name" queryTableFieldId="1" dataDxfId="50"/>
    <tableColumn id="2" xr3:uid="{915DB07C-51E8-49EC-A8D6-213AF2EA3783}" uniqueName="2" name="Display Name" queryTableFieldId="2" dataDxfId="49"/>
    <tableColumn id="3" xr3:uid="{BB38EDD6-C805-44E7-998C-9880CDAD37BF}" uniqueName="3" name="Brand" queryTableFieldId="3" dataDxfId="48"/>
    <tableColumn id="4" xr3:uid="{F6C81D4C-C4DA-4FC5-9A4D-D37E059B88BD}" uniqueName="4" name="NZ Status" queryTableFieldId="4" dataDxfId="47"/>
    <tableColumn id="5" xr3:uid="{BBDFC54C-BFE7-49C3-A0D2-0734D260216B}" uniqueName="5" name="Base Price" queryTableFieldId="5"/>
    <tableColumn id="6" xr3:uid="{D0941FC5-C802-4BAE-BFFF-DBBD237B4614}" uniqueName="6" name="Retail Value" queryTableFieldId="6"/>
    <tableColumn id="7" xr3:uid="{61A6BDC1-99B6-4C33-A21A-A22C5D3D6A0E}" uniqueName="7" name="Location On Hand" queryTableFieldId="7"/>
    <tableColumn id="8" xr3:uid="{253A2115-9BDB-43F2-B65C-56B8B154F32D}" uniqueName="8" name="Customer Name" queryTableFieldId="8" dataDxfId="46"/>
    <tableColumn id="9" xr3:uid="{E3FE24CC-4AED-4A04-A830-5793E3B08A65}" uniqueName="9" name="6wk avg" queryTableFieldId="9"/>
    <tableColumn id="10" xr3:uid="{803CB851-E87A-4660-BA3D-CEB9D5F22773}" uniqueName="10" name="WOS (6wk)" queryTableFieldId="10"/>
    <tableColumn id="11" xr3:uid="{16E46B46-4C5A-4068-9480-84906282CA6D}" uniqueName="11" name="SOH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716F74-42C7-4B61-A82B-3B117F1A9A45}" name="ST" displayName="ST" ref="A1:H1501" tableType="queryTable" totalsRowShown="0">
  <autoFilter ref="A1:H1501" xr:uid="{D0716F74-42C7-4B61-A82B-3B117F1A9A45}"/>
  <tableColumns count="8">
    <tableColumn id="390" xr3:uid="{069974A2-A096-456E-844D-36385E4696EB}" uniqueName="390" name="Code" queryTableFieldId="390" dataDxfId="45"/>
    <tableColumn id="391" xr3:uid="{9F518FE8-063F-47C2-AD9A-F72407F062DF}" uniqueName="391" name="Description" queryTableFieldId="391" dataDxfId="44"/>
    <tableColumn id="392" xr3:uid="{75A3C4B4-E7F0-4F47-8E83-7CEB2247D226}" uniqueName="392" name="Brand" queryTableFieldId="392" dataDxfId="43"/>
    <tableColumn id="393" xr3:uid="{581A34E6-7D73-4B8B-9EEB-E96F1371E80E}" uniqueName="393" name="Customer Name" queryTableFieldId="393" dataDxfId="42"/>
    <tableColumn id="1" xr3:uid="{1E0CF93F-202A-4B72-882A-1B26F02E05E8}" uniqueName="1" name="Customer Code" queryTableFieldId="399" dataDxfId="41"/>
    <tableColumn id="2" xr3:uid="{04B4F680-184C-4AF5-99C2-B1244F484DF8}" uniqueName="2" name="Retail Value" queryTableFieldId="400"/>
    <tableColumn id="3" xr3:uid="{FD6E945B-0269-4420-BD93-54E502D552B0}" uniqueName="3" name="6wk avg" queryTableFieldId="401"/>
    <tableColumn id="4" xr3:uid="{5EE007DE-1BFC-4C06-8807-24A633376CB4}" uniqueName="4" name="WOS" queryTableFieldId="40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B2F692-E385-3B4C-92D7-778BA0AFA0E7}" name="Table1" displayName="Table1" ref="A1:P3078" totalsRowShown="0">
  <autoFilter ref="A1:P3078" xr:uid="{07B2F692-E385-3B4C-92D7-778BA0AFA0E7}"/>
  <tableColumns count="16">
    <tableColumn id="1" xr3:uid="{CB70AB9A-5537-3647-95A5-02A6630460D6}" name="Name"/>
    <tableColumn id="2" xr3:uid="{E95B7971-0A71-524B-AF3D-6F5D2C96691B}" name="Display Name"/>
    <tableColumn id="3" xr3:uid="{ACB64A92-1EBE-474C-AA9C-0BC12F22E0E2}" name="Brand"/>
    <tableColumn id="4" xr3:uid="{CDFA6BA7-A8CE-A948-A8C8-383383A23C13}" name="NZ Status"/>
    <tableColumn id="5" xr3:uid="{62C363A3-0E63-BB47-8972-B342749115D9}" name="Base Price"/>
    <tableColumn id="6" xr3:uid="{5BAF2599-5A3B-164E-9331-8FF20CAE4D80}" name="Inventory Location"/>
    <tableColumn id="7" xr3:uid="{15B435A9-EF36-B24F-B75A-D9F64E9778A5}" name="Location On Hand"/>
    <tableColumn id="8" xr3:uid="{9EDAF92A-44AB-8248-9C81-652B5DEC7B1D}" name="Location Committed"/>
    <tableColumn id="9" xr3:uid="{3518D39D-9CE7-F945-B676-621A05939F7F}" name="Location Available"/>
    <tableColumn id="10" xr3:uid="{D125C6CF-2613-304F-9B0E-744BA04007C3}" name="Location Back Ordered"/>
    <tableColumn id="11" xr3:uid="{67010EDC-69E6-074C-A663-7F582DC90B4B}" name="Location On Order"/>
    <tableColumn id="12" xr3:uid="{625BD0C4-39C7-7741-A546-1122286D9DD4}" name="Customer Name"/>
    <tableColumn id="13" xr3:uid="{BE38DE08-6FAF-964B-875D-E22965F9AFD5}" name="6wk avg"/>
    <tableColumn id="14" xr3:uid="{E8CDB8B9-402D-4449-BC63-1545429C57DA}" name="WOS (6wk)"/>
    <tableColumn id="15" xr3:uid="{BCAB3838-2167-5B47-AABC-984C9185B4E7}" name="Avg 12 Weeks"/>
    <tableColumn id="16" xr3:uid="{3299A7C9-28B5-6945-8D83-5F0CB29968B6}" name="SO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A682B7A-AEFD-447A-A3E7-69833886F43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fdf3e1c-4a3f-47be-97a6-9e9b8fea8a2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A482-2331-5D49-8856-8FD7985C8BDB}">
  <dimension ref="A1:CP47"/>
  <sheetViews>
    <sheetView tabSelected="1" zoomScale="85" zoomScaleNormal="85" workbookViewId="0">
      <selection activeCell="D3" sqref="D3:D4"/>
    </sheetView>
  </sheetViews>
  <sheetFormatPr baseColWidth="10" defaultColWidth="11" defaultRowHeight="16" outlineLevelCol="1" x14ac:dyDescent="0.2"/>
  <cols>
    <col min="1" max="1" width="13" bestFit="1" customWidth="1"/>
    <col min="2" max="2" width="20.6640625" customWidth="1"/>
    <col min="3" max="3" width="14.83203125" bestFit="1" customWidth="1"/>
    <col min="4" max="4" width="68.6640625" bestFit="1" customWidth="1"/>
    <col min="5" max="5" width="1" customWidth="1"/>
    <col min="6" max="6" width="14.6640625" customWidth="1"/>
    <col min="7" max="16" width="9.6640625" customWidth="1" outlineLevel="1"/>
    <col min="17" max="17" width="1.33203125" customWidth="1"/>
    <col min="18" max="18" width="14.33203125" customWidth="1"/>
    <col min="19" max="28" width="9.6640625" customWidth="1" outlineLevel="1"/>
    <col min="29" max="29" width="1.33203125" customWidth="1"/>
    <col min="30" max="30" width="14.33203125" customWidth="1"/>
    <col min="31" max="40" width="9.6640625" customWidth="1" outlineLevel="1"/>
    <col min="41" max="41" width="1.33203125" customWidth="1"/>
    <col min="42" max="42" width="14.33203125" customWidth="1"/>
    <col min="43" max="52" width="9.6640625" customWidth="1" outlineLevel="1"/>
    <col min="53" max="53" width="1.33203125" customWidth="1"/>
    <col min="54" max="54" width="14.33203125" customWidth="1"/>
    <col min="55" max="55" width="14.6640625" customWidth="1" outlineLevel="1"/>
    <col min="56" max="56" width="7.5" customWidth="1" outlineLevel="1"/>
    <col min="57" max="64" width="10.83203125" customWidth="1" outlineLevel="1"/>
    <col min="65" max="65" width="1.33203125" customWidth="1"/>
    <col min="66" max="66" width="14.33203125" customWidth="1"/>
    <col min="67" max="67" width="14.6640625" customWidth="1" outlineLevel="1"/>
    <col min="68" max="68" width="7.5" customWidth="1" outlineLevel="1"/>
    <col min="69" max="76" width="10.83203125" customWidth="1" outlineLevel="1"/>
    <col min="77" max="77" width="1.33203125" customWidth="1"/>
    <col min="78" max="78" width="14.33203125" customWidth="1"/>
    <col min="79" max="79" width="14.6640625" customWidth="1" outlineLevel="1"/>
    <col min="80" max="80" width="7.5" customWidth="1" outlineLevel="1"/>
    <col min="81" max="88" width="10.83203125" customWidth="1" outlineLevel="1"/>
    <col min="89" max="89" width="1.33203125" customWidth="1"/>
    <col min="90" max="93" width="15.83203125" customWidth="1"/>
    <col min="94" max="94" width="58.5" customWidth="1"/>
  </cols>
  <sheetData>
    <row r="1" spans="1:94" x14ac:dyDescent="0.2">
      <c r="A1" s="160" t="s">
        <v>0</v>
      </c>
      <c r="B1" s="161"/>
      <c r="C1" s="1"/>
      <c r="D1" s="89" t="s">
        <v>1</v>
      </c>
      <c r="E1" s="2"/>
      <c r="F1" s="88" t="s">
        <v>2</v>
      </c>
      <c r="G1" s="65">
        <v>6</v>
      </c>
      <c r="H1" s="3"/>
      <c r="J1" s="3"/>
      <c r="K1" s="3"/>
      <c r="L1" s="3"/>
      <c r="M1" s="3"/>
      <c r="N1" s="3"/>
      <c r="O1" s="3"/>
      <c r="P1" s="3"/>
      <c r="Q1" s="77"/>
      <c r="R1" s="88" t="s">
        <v>2</v>
      </c>
      <c r="S1" s="65">
        <v>6</v>
      </c>
      <c r="T1" s="3"/>
      <c r="V1" s="3"/>
      <c r="W1" s="3"/>
      <c r="X1" s="3"/>
      <c r="Y1" s="3"/>
      <c r="Z1" s="3"/>
      <c r="AA1" s="3"/>
      <c r="AB1" s="3"/>
      <c r="AC1" s="77"/>
      <c r="AD1" s="88" t="s">
        <v>2</v>
      </c>
      <c r="AE1" s="65">
        <v>6</v>
      </c>
      <c r="AF1" s="3"/>
      <c r="AH1" s="3"/>
      <c r="AI1" s="3"/>
      <c r="AJ1" s="3"/>
      <c r="AK1" s="3"/>
      <c r="AL1" s="3"/>
      <c r="AM1" s="3"/>
      <c r="AN1" s="3"/>
      <c r="AO1" s="77"/>
      <c r="AP1" s="88" t="s">
        <v>2</v>
      </c>
      <c r="AQ1" s="65">
        <v>6</v>
      </c>
      <c r="AR1" s="3"/>
      <c r="AT1" s="3"/>
      <c r="AU1" s="3"/>
      <c r="AV1" s="3"/>
      <c r="AW1" s="3"/>
      <c r="AX1" s="3"/>
      <c r="AY1" s="3"/>
      <c r="AZ1" s="3"/>
      <c r="BA1" s="77"/>
      <c r="BB1" s="88" t="s">
        <v>2</v>
      </c>
      <c r="BC1" s="65">
        <v>6</v>
      </c>
      <c r="BD1" s="3"/>
      <c r="BF1" s="3"/>
      <c r="BG1" s="3"/>
      <c r="BH1" s="3"/>
      <c r="BI1" s="3"/>
      <c r="BJ1" s="3"/>
      <c r="BK1" s="3"/>
      <c r="BL1" s="3"/>
      <c r="BM1" s="77"/>
      <c r="BN1" s="88" t="s">
        <v>2</v>
      </c>
      <c r="BO1" s="65">
        <v>6</v>
      </c>
      <c r="BP1" s="3"/>
      <c r="BR1" s="3"/>
      <c r="BS1" s="3"/>
      <c r="BT1" s="3"/>
      <c r="BU1" s="3"/>
      <c r="BV1" s="3"/>
      <c r="BW1" s="3"/>
      <c r="BX1" s="3"/>
      <c r="BY1" s="77"/>
      <c r="BZ1" s="88" t="s">
        <v>2</v>
      </c>
      <c r="CA1" s="65">
        <v>6</v>
      </c>
      <c r="CB1" s="3"/>
      <c r="CD1" s="3"/>
      <c r="CE1" s="3"/>
      <c r="CF1" s="3"/>
      <c r="CG1" s="3"/>
      <c r="CH1" s="3"/>
      <c r="CI1" s="3"/>
      <c r="CJ1" s="3"/>
      <c r="CK1" s="77"/>
    </row>
    <row r="2" spans="1:94" ht="25" customHeight="1" x14ac:dyDescent="0.2">
      <c r="A2" s="162" t="s">
        <v>3</v>
      </c>
      <c r="B2" s="163"/>
      <c r="C2" s="1"/>
      <c r="D2" s="1"/>
      <c r="E2" s="2"/>
      <c r="F2" s="87">
        <v>0.24</v>
      </c>
      <c r="G2" s="6"/>
      <c r="I2" s="3"/>
      <c r="J2" s="3"/>
      <c r="K2" s="3"/>
      <c r="L2" s="3"/>
      <c r="M2" s="3" t="s">
        <v>4</v>
      </c>
      <c r="N2" s="67">
        <v>0.2</v>
      </c>
      <c r="O2" s="3"/>
      <c r="P2" s="3"/>
      <c r="Q2" s="77"/>
      <c r="R2" s="87">
        <f>_xlfn.XLOOKUP(R$3,'Data Validation'!$A:$A,'Data Validation'!$B:$B)</f>
        <v>0.20300000000000001</v>
      </c>
      <c r="S2" s="6"/>
      <c r="T2" s="126" t="s">
        <v>70</v>
      </c>
      <c r="U2" s="3"/>
      <c r="V2" s="3"/>
      <c r="W2" s="3"/>
      <c r="X2" s="3"/>
      <c r="Y2" s="3" t="s">
        <v>4</v>
      </c>
      <c r="Z2" s="67">
        <v>0.2</v>
      </c>
      <c r="AA2" s="3"/>
      <c r="AB2" s="3"/>
      <c r="AC2" s="77"/>
      <c r="AD2" s="87">
        <f>_xlfn.XLOOKUP(AD$3,'Data Validation'!$A:$A,'Data Validation'!$B:$B)</f>
        <v>0.17</v>
      </c>
      <c r="AE2" s="6"/>
      <c r="AF2" s="6"/>
      <c r="AG2" s="3"/>
      <c r="AH2" s="3"/>
      <c r="AI2" s="3"/>
      <c r="AJ2" s="3"/>
      <c r="AK2" s="3" t="s">
        <v>4</v>
      </c>
      <c r="AL2" s="67">
        <v>0.2</v>
      </c>
      <c r="AM2" s="3"/>
      <c r="AN2" s="3"/>
      <c r="AO2" s="77"/>
      <c r="AP2" s="87">
        <f>_xlfn.XLOOKUP(AP$3,'Data Validation'!$A:$A,'Data Validation'!$B:$B)</f>
        <v>0.05</v>
      </c>
      <c r="AQ2" s="6"/>
      <c r="AR2" s="6"/>
      <c r="AS2" s="3"/>
      <c r="AT2" s="3"/>
      <c r="AU2" s="3"/>
      <c r="AV2" s="3"/>
      <c r="AW2" s="3" t="s">
        <v>4</v>
      </c>
      <c r="AX2" s="67">
        <v>0.2</v>
      </c>
      <c r="AY2" s="3"/>
      <c r="AZ2" s="3"/>
      <c r="BA2" s="77"/>
      <c r="BB2" s="87">
        <f>_xlfn.XLOOKUP(BB$3,'Data Validation'!$A:$A,'Data Validation'!$B:$B)</f>
        <v>0</v>
      </c>
      <c r="BC2" s="6"/>
      <c r="BD2" s="6"/>
      <c r="BE2" s="3"/>
      <c r="BF2" s="3"/>
      <c r="BG2" s="3"/>
      <c r="BH2" s="3"/>
      <c r="BI2" s="3" t="s">
        <v>4</v>
      </c>
      <c r="BJ2" s="67">
        <v>0.2</v>
      </c>
      <c r="BK2" s="3"/>
      <c r="BL2" s="3"/>
      <c r="BM2" s="77"/>
      <c r="BN2" s="87">
        <f>_xlfn.XLOOKUP(BN$3,'Data Validation'!$A:$A,'Data Validation'!$B:$B)</f>
        <v>0</v>
      </c>
      <c r="BO2" s="6"/>
      <c r="BP2" s="6"/>
      <c r="BQ2" s="3"/>
      <c r="BR2" s="3"/>
      <c r="BS2" s="3"/>
      <c r="BT2" s="3"/>
      <c r="BU2" s="3" t="s">
        <v>4</v>
      </c>
      <c r="BV2" s="67">
        <v>0.2</v>
      </c>
      <c r="BW2" s="3"/>
      <c r="BX2" s="3"/>
      <c r="BY2" s="77"/>
      <c r="BZ2" s="87">
        <f>_xlfn.XLOOKUP(BZ$3,'Data Validation'!$A:$A,'Data Validation'!$B:$B)</f>
        <v>0</v>
      </c>
      <c r="CA2" s="6"/>
      <c r="CB2" s="6"/>
      <c r="CC2" s="3"/>
      <c r="CD2" s="3"/>
      <c r="CE2" s="3"/>
      <c r="CF2" s="3"/>
      <c r="CG2" s="3" t="s">
        <v>4</v>
      </c>
      <c r="CH2" s="67">
        <v>0.2</v>
      </c>
      <c r="CI2" s="3"/>
      <c r="CJ2" s="3"/>
      <c r="CK2" s="77"/>
    </row>
    <row r="3" spans="1:94" ht="20" x14ac:dyDescent="0.2">
      <c r="A3" s="121" t="s">
        <v>5</v>
      </c>
      <c r="B3" s="122">
        <f>(B5-A5)/7</f>
        <v>2</v>
      </c>
      <c r="C3" s="164" t="s">
        <v>6</v>
      </c>
      <c r="D3" s="166" t="s">
        <v>7</v>
      </c>
      <c r="E3" s="63"/>
      <c r="F3" s="123" t="s">
        <v>8</v>
      </c>
      <c r="G3" s="71" t="s">
        <v>9</v>
      </c>
      <c r="H3" s="72"/>
      <c r="I3" s="73"/>
      <c r="J3" s="128" t="str">
        <f>F3</f>
        <v>Harvey Norman</v>
      </c>
      <c r="K3" s="128"/>
      <c r="L3" s="128"/>
      <c r="M3" s="128"/>
      <c r="N3" s="73"/>
      <c r="O3" s="73"/>
      <c r="P3" s="73"/>
      <c r="Q3" s="78"/>
      <c r="R3" s="123" t="s">
        <v>70</v>
      </c>
      <c r="S3" s="71" t="s">
        <v>9</v>
      </c>
      <c r="T3" s="72"/>
      <c r="U3" s="73"/>
      <c r="V3" s="128" t="str">
        <f>R3</f>
        <v>JB HIFI</v>
      </c>
      <c r="W3" s="128"/>
      <c r="X3" s="128"/>
      <c r="Y3" s="128"/>
      <c r="Z3" s="73"/>
      <c r="AA3" s="73"/>
      <c r="AB3" s="73"/>
      <c r="AC3" s="78"/>
      <c r="AD3" s="123" t="s">
        <v>8</v>
      </c>
      <c r="AE3" s="71" t="s">
        <v>9</v>
      </c>
      <c r="AF3" s="72"/>
      <c r="AG3" s="73"/>
      <c r="AH3" s="128" t="str">
        <f>AD3</f>
        <v>Harvey Norman</v>
      </c>
      <c r="AI3" s="128"/>
      <c r="AJ3" s="128"/>
      <c r="AK3" s="128"/>
      <c r="AL3" s="73"/>
      <c r="AM3" s="73"/>
      <c r="AN3" s="73"/>
      <c r="AO3" s="78"/>
      <c r="AP3" s="123" t="s">
        <v>73</v>
      </c>
      <c r="AQ3" s="71" t="s">
        <v>9</v>
      </c>
      <c r="AR3" s="72"/>
      <c r="AS3" s="73"/>
      <c r="AT3" s="128" t="str">
        <f>AP3</f>
        <v>PB Tech</v>
      </c>
      <c r="AU3" s="128"/>
      <c r="AV3" s="128"/>
      <c r="AW3" s="128"/>
      <c r="AX3" s="73"/>
      <c r="AY3" s="73"/>
      <c r="AZ3" s="73"/>
      <c r="BA3" s="78"/>
      <c r="BB3" s="123" t="s">
        <v>81</v>
      </c>
      <c r="BC3" s="71" t="s">
        <v>9</v>
      </c>
      <c r="BD3" s="72"/>
      <c r="BE3" s="73"/>
      <c r="BF3" s="128" t="str">
        <f>BB3</f>
        <v>Spare</v>
      </c>
      <c r="BG3" s="128"/>
      <c r="BH3" s="128"/>
      <c r="BI3" s="128"/>
      <c r="BJ3" s="73"/>
      <c r="BK3" s="73"/>
      <c r="BL3" s="73"/>
      <c r="BM3" s="78"/>
      <c r="BN3" s="123" t="s">
        <v>81</v>
      </c>
      <c r="BO3" s="71" t="s">
        <v>9</v>
      </c>
      <c r="BP3" s="72"/>
      <c r="BQ3" s="73"/>
      <c r="BR3" s="128" t="str">
        <f>BN3</f>
        <v>Spare</v>
      </c>
      <c r="BS3" s="128"/>
      <c r="BT3" s="128"/>
      <c r="BU3" s="128"/>
      <c r="BV3" s="73"/>
      <c r="BW3" s="73"/>
      <c r="BX3" s="73"/>
      <c r="BY3" s="78"/>
      <c r="BZ3" s="123" t="s">
        <v>81</v>
      </c>
      <c r="CA3" s="71" t="s">
        <v>9</v>
      </c>
      <c r="CB3" s="72"/>
      <c r="CC3" s="73"/>
      <c r="CD3" s="128" t="str">
        <f>BZ3</f>
        <v>Spare</v>
      </c>
      <c r="CE3" s="128"/>
      <c r="CF3" s="128"/>
      <c r="CG3" s="128"/>
      <c r="CH3" s="73"/>
      <c r="CI3" s="73"/>
      <c r="CJ3" s="73"/>
      <c r="CK3" s="78"/>
      <c r="CN3" s="97"/>
    </row>
    <row r="4" spans="1:94" ht="56" x14ac:dyDescent="0.2">
      <c r="A4" s="7" t="s">
        <v>11</v>
      </c>
      <c r="B4" s="7" t="s">
        <v>12</v>
      </c>
      <c r="C4" s="165"/>
      <c r="D4" s="150"/>
      <c r="E4" s="8"/>
      <c r="F4" s="103" t="s">
        <v>13</v>
      </c>
      <c r="G4" s="103" t="s">
        <v>14</v>
      </c>
      <c r="H4" s="10" t="s">
        <v>15</v>
      </c>
      <c r="I4" s="10" t="s">
        <v>16</v>
      </c>
      <c r="J4" s="10" t="s">
        <v>17</v>
      </c>
      <c r="K4" s="11" t="s">
        <v>18</v>
      </c>
      <c r="L4" s="11" t="s">
        <v>19</v>
      </c>
      <c r="M4" s="11" t="s">
        <v>20</v>
      </c>
      <c r="N4" s="10" t="s">
        <v>21</v>
      </c>
      <c r="O4" s="10" t="s">
        <v>22</v>
      </c>
      <c r="P4" s="69" t="s">
        <v>23</v>
      </c>
      <c r="Q4" s="79"/>
      <c r="R4" s="103" t="s">
        <v>13</v>
      </c>
      <c r="S4" s="103" t="s">
        <v>14</v>
      </c>
      <c r="T4" s="10" t="s">
        <v>15</v>
      </c>
      <c r="U4" s="10" t="s">
        <v>16</v>
      </c>
      <c r="V4" s="10" t="s">
        <v>17</v>
      </c>
      <c r="W4" s="11" t="s">
        <v>18</v>
      </c>
      <c r="X4" s="11" t="s">
        <v>19</v>
      </c>
      <c r="Y4" s="11" t="s">
        <v>20</v>
      </c>
      <c r="Z4" s="10" t="s">
        <v>21</v>
      </c>
      <c r="AA4" s="10" t="s">
        <v>22</v>
      </c>
      <c r="AB4" s="69" t="s">
        <v>23</v>
      </c>
      <c r="AC4" s="79"/>
      <c r="AD4" s="103" t="s">
        <v>13</v>
      </c>
      <c r="AE4" s="103" t="s">
        <v>14</v>
      </c>
      <c r="AF4" s="10" t="s">
        <v>15</v>
      </c>
      <c r="AG4" s="10" t="s">
        <v>16</v>
      </c>
      <c r="AH4" s="10" t="s">
        <v>17</v>
      </c>
      <c r="AI4" s="11" t="s">
        <v>18</v>
      </c>
      <c r="AJ4" s="11" t="s">
        <v>19</v>
      </c>
      <c r="AK4" s="11" t="s">
        <v>20</v>
      </c>
      <c r="AL4" s="10" t="s">
        <v>21</v>
      </c>
      <c r="AM4" s="10" t="s">
        <v>22</v>
      </c>
      <c r="AN4" s="69" t="s">
        <v>23</v>
      </c>
      <c r="AO4" s="79"/>
      <c r="AP4" s="103" t="s">
        <v>13</v>
      </c>
      <c r="AQ4" s="103" t="s">
        <v>14</v>
      </c>
      <c r="AR4" s="10" t="s">
        <v>15</v>
      </c>
      <c r="AS4" s="10" t="s">
        <v>16</v>
      </c>
      <c r="AT4" s="10" t="s">
        <v>17</v>
      </c>
      <c r="AU4" s="11" t="s">
        <v>18</v>
      </c>
      <c r="AV4" s="11" t="s">
        <v>19</v>
      </c>
      <c r="AW4" s="11" t="s">
        <v>20</v>
      </c>
      <c r="AX4" s="10" t="s">
        <v>21</v>
      </c>
      <c r="AY4" s="10" t="s">
        <v>22</v>
      </c>
      <c r="AZ4" s="69" t="s">
        <v>23</v>
      </c>
      <c r="BA4" s="79"/>
      <c r="BB4" s="103" t="s">
        <v>13</v>
      </c>
      <c r="BC4" s="64" t="s">
        <v>14</v>
      </c>
      <c r="BD4" s="10" t="s">
        <v>15</v>
      </c>
      <c r="BE4" s="9" t="s">
        <v>16</v>
      </c>
      <c r="BF4" s="10" t="s">
        <v>17</v>
      </c>
      <c r="BG4" s="11" t="s">
        <v>18</v>
      </c>
      <c r="BH4" s="11" t="s">
        <v>19</v>
      </c>
      <c r="BI4" s="11" t="s">
        <v>20</v>
      </c>
      <c r="BJ4" s="10" t="s">
        <v>21</v>
      </c>
      <c r="BK4" s="10" t="s">
        <v>22</v>
      </c>
      <c r="BL4" s="69" t="s">
        <v>23</v>
      </c>
      <c r="BM4" s="79"/>
      <c r="BN4" s="103" t="s">
        <v>13</v>
      </c>
      <c r="BO4" s="64" t="s">
        <v>14</v>
      </c>
      <c r="BP4" s="10" t="s">
        <v>15</v>
      </c>
      <c r="BQ4" s="9" t="s">
        <v>16</v>
      </c>
      <c r="BR4" s="10" t="s">
        <v>17</v>
      </c>
      <c r="BS4" s="11" t="s">
        <v>18</v>
      </c>
      <c r="BT4" s="11" t="s">
        <v>19</v>
      </c>
      <c r="BU4" s="11" t="s">
        <v>20</v>
      </c>
      <c r="BV4" s="10" t="s">
        <v>21</v>
      </c>
      <c r="BW4" s="10" t="s">
        <v>22</v>
      </c>
      <c r="BX4" s="69" t="s">
        <v>23</v>
      </c>
      <c r="BY4" s="79"/>
      <c r="BZ4" s="103" t="s">
        <v>13</v>
      </c>
      <c r="CA4" s="64" t="s">
        <v>14</v>
      </c>
      <c r="CB4" s="10" t="s">
        <v>15</v>
      </c>
      <c r="CC4" s="9" t="s">
        <v>16</v>
      </c>
      <c r="CD4" s="10" t="s">
        <v>17</v>
      </c>
      <c r="CE4" s="11" t="s">
        <v>18</v>
      </c>
      <c r="CF4" s="11" t="s">
        <v>19</v>
      </c>
      <c r="CG4" s="11" t="s">
        <v>20</v>
      </c>
      <c r="CH4" s="10" t="s">
        <v>21</v>
      </c>
      <c r="CI4" s="10" t="s">
        <v>22</v>
      </c>
      <c r="CJ4" s="69" t="s">
        <v>23</v>
      </c>
      <c r="CK4" s="79"/>
      <c r="CL4" s="100" t="s">
        <v>25</v>
      </c>
      <c r="CM4" s="100" t="s">
        <v>26</v>
      </c>
      <c r="CN4" s="100" t="s">
        <v>27</v>
      </c>
      <c r="CO4" s="100" t="s">
        <v>28</v>
      </c>
      <c r="CP4" s="100" t="s">
        <v>29</v>
      </c>
    </row>
    <row r="5" spans="1:94" x14ac:dyDescent="0.2">
      <c r="A5" s="12">
        <v>45658</v>
      </c>
      <c r="B5" s="12">
        <v>45672</v>
      </c>
      <c r="C5" s="13" t="s">
        <v>110</v>
      </c>
      <c r="D5" s="14" t="str">
        <f>IF(C5="", "",_xlfn.XLOOKUP(C5,'Master Price Level NZ'!B:B,'Master Price Level NZ'!C:C))</f>
        <v>ADONIT Mini 4 (Grey)</v>
      </c>
      <c r="E5" s="15"/>
      <c r="F5" s="108"/>
      <c r="G5" s="68" cm="1">
        <f t="array" ref="G5">IFERROR(_xlfn.XLOOKUP($C5,Master_Price_Level_NZ[Code],INDEX(Master_Price_Level_NZ[], , MATCH('Promo Form'!F$3, Master_Price_Level_NZ[#Headers], 0))),"")</f>
        <v>24.34</v>
      </c>
      <c r="H5" s="16">
        <f>IFERROR(((G5)*$CN5)*F$39,"")</f>
        <v>1.2170000000000001</v>
      </c>
      <c r="I5" s="16">
        <f>IFERROR(((G5)*$CN5)*F$38,"")</f>
        <v>1.2170000000000001</v>
      </c>
      <c r="J5" s="17">
        <f>IFERROR(IF(H5+I5=0,"",H5+I5),"")</f>
        <v>2.4340000000000002</v>
      </c>
      <c r="K5" s="18">
        <f>IFERROR((($CL5/1.15)-(G5-(G5*F$2)))/($CL5/1.15),"")</f>
        <v>0.46803800950237567</v>
      </c>
      <c r="L5" s="18">
        <f>IFERROR((($CM5/1.15)+(H5+I5)-(G5-(G5*F$2)))/($CM5/1.15),"")</f>
        <v>0.42254126031507883</v>
      </c>
      <c r="M5" s="109" cm="1">
        <f t="array" ref="M5">IFERROR(
    _xlfn.LET(
        _xlpm.result, INDEX(_xlfn._xlws.FILTER(ST[6wk avg], (ST[Code]=$C5)*(ST[Customer Name]=F$3), ""), 1),
        IF(_xlpm.result=0, "", _xlpm.result)
    ),
"")</f>
        <v>7.5</v>
      </c>
      <c r="N5" s="102">
        <f>IFERROR(IF(CEILING(M5 + (M5 * $N$2), 1) = 0, "", CEILING(M5 + (M5 * $N$2), 1))*$B$3, "")</f>
        <v>18</v>
      </c>
      <c r="O5" s="70">
        <f t="shared" ref="O5" si="0">IFERROR((N5*H5),"")</f>
        <v>21.906000000000002</v>
      </c>
      <c r="P5" s="83">
        <f t="shared" ref="P5" si="1">IFERROR((N5*I5),"")</f>
        <v>21.906000000000002</v>
      </c>
      <c r="Q5" s="80"/>
      <c r="R5" s="108" t="str" cm="1">
        <f t="array" ref="R5">IFERROR(_xlfn._xlws.FILTER(#REF!,(#REF!=$C5) * (#REF!=R$3),"" ),"")</f>
        <v/>
      </c>
      <c r="S5" s="68" cm="1">
        <f t="array" ref="S5">IFERROR(_xlfn.XLOOKUP($C5,Master_Price_Level_NZ[Code],INDEX(Master_Price_Level_NZ[], , MATCH('Promo Form'!R$3, Master_Price_Level_NZ[#Headers], 0))),"")</f>
        <v>24.34</v>
      </c>
      <c r="T5" s="16">
        <f>IFERROR(((S5)*$CN5)*R$39,"")</f>
        <v>1.2170000000000001</v>
      </c>
      <c r="U5" s="16">
        <f>IFERROR(((S5)*$CN5)*R$38,"")</f>
        <v>1.2170000000000001</v>
      </c>
      <c r="V5" s="17">
        <f>IFERROR(IF(T5+U5=0,"",T5+U5),"")</f>
        <v>2.4340000000000002</v>
      </c>
      <c r="W5" s="18">
        <f>IFERROR((($CL5/1.15)-(S5-(S5*R$2)))/($CL5/1.15),"")</f>
        <v>0.44213985996499128</v>
      </c>
      <c r="X5" s="18">
        <f>IFERROR((($CM5/1.15)+(T5+U5)-(S5-(S5*R$2)))/($CM5/1.15),"")</f>
        <v>0.39016857339334837</v>
      </c>
      <c r="Y5" s="109" t="str" cm="1">
        <f t="array" ref="Y5">IFERROR(
    _xlfn.LET(
        _xlpm.result, INDEX(_xlfn._xlws.FILTER(ST[6wk avg], (ST[Code]=$C5)*(ST[Customer Name]=R$3), ""), 1),
        IF(_xlpm.result=0, "", _xlpm.result)
    ),
"")</f>
        <v/>
      </c>
      <c r="Z5" s="102" t="str">
        <f>IFERROR(IF(CEILING(Y5 + (Y5 * $Z$2), 1) = 0, "", CEILING(Y5 + (Y5 * $Z$2), 1))*$B$3, "")</f>
        <v/>
      </c>
      <c r="AA5" s="70" t="str">
        <f t="shared" ref="AA5" si="2">IFERROR((Z5*T5),"")</f>
        <v/>
      </c>
      <c r="AB5" s="83" t="str">
        <f t="shared" ref="AB5" si="3">IFERROR((Z5*U5),"")</f>
        <v/>
      </c>
      <c r="AC5" s="80"/>
      <c r="AD5" s="108" t="str" cm="1">
        <f t="array" ref="AD5">IFERROR(_xlfn._xlws.FILTER(#REF!,(#REF!=$C5) * (#REF!=AD$3),"" ),"")</f>
        <v/>
      </c>
      <c r="AE5" s="68" cm="1">
        <f t="array" ref="AE5">IFERROR(_xlfn.XLOOKUP($C5,Master_Price_Level_NZ[Code],INDEX(Master_Price_Level_NZ[], , MATCH('Promo Form'!AD$3, Master_Price_Level_NZ[#Headers], 0))),"")</f>
        <v>24.34</v>
      </c>
      <c r="AF5" s="16">
        <f>IFERROR(((AE5)*$CN5)*AD$39,"")</f>
        <v>1.2170000000000001</v>
      </c>
      <c r="AG5" s="16">
        <f>IFERROR(((AE5)*$CN5)*AD$38,"")</f>
        <v>1.2170000000000001</v>
      </c>
      <c r="AH5" s="17">
        <f>IFERROR(IF(AF5+AG5=0,"",AF5+AG5),"")</f>
        <v>2.4340000000000002</v>
      </c>
      <c r="AI5" s="18">
        <f>IFERROR((($CL5/1.15)-(AE5-(AE5*AD$2)))/($CL5/1.15),"")</f>
        <v>0.41904151037759457</v>
      </c>
      <c r="AJ5" s="18">
        <f>IFERROR((($CM5/1.15)+(AF5+AG5)-(AE5-(AE5*AD$2)))/($CM5/1.15),"")</f>
        <v>0.36129563640910245</v>
      </c>
      <c r="AK5" s="109" cm="1">
        <f t="array" ref="AK5">IFERROR(
    _xlfn.LET(
        _xlpm.result, INDEX(_xlfn._xlws.FILTER(ST[6wk avg], (ST[Code]=$C5)*(ST[Customer Name]=AD$3), ""), 1),
        IF(_xlpm.result=0, "", _xlpm.result)
    ),
"")</f>
        <v>7.5</v>
      </c>
      <c r="AL5" s="102">
        <f>IFERROR(IF(CEILING(AK5 + (AK5 * $AL$2), 1) = 0, "", CEILING(AK5 + (AK5 * $AL$2), 1))*$B$3, "")</f>
        <v>18</v>
      </c>
      <c r="AM5" s="70">
        <f t="shared" ref="AM5" si="4">IFERROR((AL5*AF5),"")</f>
        <v>21.906000000000002</v>
      </c>
      <c r="AN5" s="83">
        <f t="shared" ref="AN5" si="5">IFERROR((AL5*AG5),"")</f>
        <v>21.906000000000002</v>
      </c>
      <c r="AO5" s="80"/>
      <c r="AP5" s="108" t="str" cm="1">
        <f t="array" ref="AP5">IFERROR(_xlfn._xlws.FILTER(#REF!,(#REF!=$C5) * (#REF!=AP$3),"" ),"")</f>
        <v/>
      </c>
      <c r="AQ5" s="68" cm="1">
        <f t="array" ref="AQ5">IFERROR(_xlfn.XLOOKUP($C5,Master_Price_Level_NZ[Code],INDEX(Master_Price_Level_NZ[], , MATCH('Promo Form'!AP$3, Master_Price_Level_NZ[#Headers], 0))),"")</f>
        <v>20.86</v>
      </c>
      <c r="AR5" s="16">
        <f>IFERROR(((AQ5)*$CN5)*AP$39,"")</f>
        <v>1.0429999999999999</v>
      </c>
      <c r="AS5" s="16">
        <f>IFERROR(((AQ5)*$CN5)*AP$38,"")</f>
        <v>1.0429999999999999</v>
      </c>
      <c r="AT5" s="17">
        <f>IFERROR(IF(AR5+AS5=0,"",AR5+AS5),"")</f>
        <v>2.0859999999999999</v>
      </c>
      <c r="AU5" s="18">
        <f>IFERROR((($CL5/1.15)-(AQ5-(AQ5*AP$2)))/($CL5/1.15),"")</f>
        <v>0.43011877969492385</v>
      </c>
      <c r="AV5" s="18">
        <f>IFERROR((($CM5/1.15)+(AR5+AS5)-(AQ5-(AQ5*AP$2)))/($CM5/1.15),"")</f>
        <v>0.36263284571142784</v>
      </c>
      <c r="AW5" s="109" cm="1">
        <f t="array" ref="AW5">IFERROR(
    _xlfn.LET(
        _xlpm.result, INDEX(_xlfn._xlws.FILTER(ST[6wk avg], (ST[Code]=$C5)*(ST[Customer Name]=AP$3), ""), 1),
        IF(_xlpm.result=0, "", _xlpm.result)
    ),
"")</f>
        <v>18.5</v>
      </c>
      <c r="AX5" s="102">
        <f>IFERROR(IF(CEILING(AW5 + (AW5 * $AX$2), 1) = 0, "", CEILING(AW5 + (AW5 * $AX$2), 1))*$B$3, "")</f>
        <v>46</v>
      </c>
      <c r="AY5" s="70">
        <f t="shared" ref="AY5" si="6">IFERROR((AX5*AR5),"")</f>
        <v>47.977999999999994</v>
      </c>
      <c r="AZ5" s="83">
        <f t="shared" ref="AZ5" si="7">IFERROR((AX5*AS5),"")</f>
        <v>47.977999999999994</v>
      </c>
      <c r="BA5" s="80"/>
      <c r="BB5" s="108" t="str" cm="1">
        <f t="array" ref="BB5">IFERROR(_xlfn._xlws.FILTER(#REF!,(#REF!=$C5) * (#REF!=BB$3),"" ),"")</f>
        <v/>
      </c>
      <c r="BC5" s="68" t="str" cm="1">
        <f t="array" ref="BC5">IFERROR(_xlfn.XLOOKUP($C5,Master_Price_Level_NZ[Code],INDEX(Master_Price_Level_NZ[], , MATCH('Promo Form'!BB$3, Master_Price_Level_NZ[#Headers], 0))),"")</f>
        <v/>
      </c>
      <c r="BD5" s="16" t="str">
        <f>IFERROR(((BC5)*$CN5)*BB$39,"")</f>
        <v/>
      </c>
      <c r="BE5" s="16" t="str">
        <f>IFERROR(((BC5)*$CN5)*BB$38,"")</f>
        <v/>
      </c>
      <c r="BF5" s="17" t="str">
        <f>IFERROR(IF(BD5+BE5=0,"",BD5+BE5),"")</f>
        <v/>
      </c>
      <c r="BG5" s="18" t="str">
        <f>IFERROR((($CL5/1.15)-(BC5-(BC5*BB$2)))/($CL5/1.15),"")</f>
        <v/>
      </c>
      <c r="BH5" s="18" t="str">
        <f>IFERROR((($CM5/1.15)+(BD5+BE5)-(BC5-(BC5*BB$2)))/($CM5/1.15),"")</f>
        <v/>
      </c>
      <c r="BI5" s="109" t="str" cm="1">
        <f t="array" ref="BI5">IFERROR(
    _xlfn.LET(
        _xlpm.result, INDEX(_xlfn._xlws.FILTER(ST[6wk avg], (ST[Code]=$C5)*(ST[Customer Name]=BB$3), ""), 1),
        IF(_xlpm.result=0, "", _xlpm.result)
    ),
"")</f>
        <v/>
      </c>
      <c r="BJ5" s="102" t="str">
        <f>IFERROR(IF(CEILING(BI5 + (BI5 * $BJ$2), 1) = 0, "", CEILING(BI5 + (BI5 * $BJ$2), 1))*$B$3, "")</f>
        <v/>
      </c>
      <c r="BK5" s="70" t="str">
        <f t="shared" ref="BK5" si="8">IFERROR((BJ5*BD5),"")</f>
        <v/>
      </c>
      <c r="BL5" s="83" t="str">
        <f t="shared" ref="BL5" si="9">IFERROR((BJ5*BE5),"")</f>
        <v/>
      </c>
      <c r="BM5" s="80"/>
      <c r="BN5" s="108" t="str" cm="1">
        <f t="array" ref="BN5">IFERROR(_xlfn._xlws.FILTER(#REF!,(#REF!=$C5) * (#REF!=BN$3),"" ),"")</f>
        <v/>
      </c>
      <c r="BO5" s="68" t="str" cm="1">
        <f t="array" ref="BO5">IFERROR(_xlfn.XLOOKUP($C5,Master_Price_Level_NZ[Code],INDEX(Master_Price_Level_NZ[], , MATCH('Promo Form'!BN$3, Master_Price_Level_NZ[#Headers], 0))),"")</f>
        <v/>
      </c>
      <c r="BP5" s="16" t="str">
        <f>IFERROR(((BO5)*$CN5)*BN$39,"")</f>
        <v/>
      </c>
      <c r="BQ5" s="16" t="str">
        <f>IFERROR(((BO5)*$CN5)*BN$38,"")</f>
        <v/>
      </c>
      <c r="BR5" s="17" t="str">
        <f>IFERROR(IF(BP5+BQ5=0,"",BP5+BQ5),"")</f>
        <v/>
      </c>
      <c r="BS5" s="18" t="str">
        <f>IFERROR((($CL5/1.15)-(BO5-(BO5*BN$2)))/($CL5/1.15),"")</f>
        <v/>
      </c>
      <c r="BT5" s="18" t="str">
        <f>IFERROR((($CM5/1.15)+(BP5+BQ5)-(BO5-(BO5*BN$2)))/($CM5/1.15),"")</f>
        <v/>
      </c>
      <c r="BU5" s="109" t="str" cm="1">
        <f t="array" ref="BU5">IFERROR(
    _xlfn.LET(
        _xlpm.result, INDEX(_xlfn._xlws.FILTER(ST[6wk avg], (ST[Code]=$C5)*(ST[Customer Name]=BN$3), ""), 1),
        IF(_xlpm.result=0, "", _xlpm.result)
    ),
"")</f>
        <v/>
      </c>
      <c r="BV5" s="102" t="str">
        <f>IFERROR(IF(CEILING(BU5 + (BU5 * $BV$2), 1) = 0, "", CEILING(BU5 + (BU5 * $BV$2), 1))*$B$3, "")</f>
        <v/>
      </c>
      <c r="BW5" s="70" t="str">
        <f t="shared" ref="BW5" si="10">IFERROR((BV5*BP5),"")</f>
        <v/>
      </c>
      <c r="BX5" s="83" t="str">
        <f t="shared" ref="BX5" si="11">IFERROR((BV5*BQ5),"")</f>
        <v/>
      </c>
      <c r="BY5" s="80"/>
      <c r="BZ5" s="108" t="str" cm="1">
        <f t="array" ref="BZ5">IFERROR(_xlfn._xlws.FILTER(#REF!,(#REF!=$C5) * (#REF!=BZ$3),"" ),"")</f>
        <v/>
      </c>
      <c r="CA5" s="68" t="str" cm="1">
        <f t="array" ref="CA5">IFERROR(_xlfn.XLOOKUP($C5,Master_Price_Level_NZ[Code],INDEX(Master_Price_Level_NZ[], , MATCH('Promo Form'!BZ$3, Master_Price_Level_NZ[#Headers], 0))),"")</f>
        <v/>
      </c>
      <c r="CB5" s="16" t="str">
        <f>IFERROR(((CA5)*$CN5)*BZ$39,"")</f>
        <v/>
      </c>
      <c r="CC5" s="16" t="str">
        <f>IFERROR(((CA5)*$CN5)*BZ$38,"")</f>
        <v/>
      </c>
      <c r="CD5" s="17" t="str">
        <f>IFERROR(IF(CB5+CC5=0,"",CB5+CC5),"")</f>
        <v/>
      </c>
      <c r="CE5" s="18" t="str">
        <f>IFERROR((($CL5/1.15)-(CA5-(CA5*BZ$2)))/($CL5/1.15),"")</f>
        <v/>
      </c>
      <c r="CF5" s="18" t="str">
        <f t="shared" ref="CF5" si="12">IFERROR((($CM5/1.1)+(CB5+CC5)-(CA5-(CA5*BZ$2)))/($CM5/1.1),"")</f>
        <v/>
      </c>
      <c r="CG5" s="109" t="str" cm="1">
        <f t="array" ref="CG5">IFERROR(
    _xlfn.LET(
        _xlpm.result, INDEX(_xlfn._xlws.FILTER(ST[6wk avg], (ST[Code]=$C5)*(ST[Customer Name]=BZ$3), ""), 1),
        IF(_xlpm.result=0, "", _xlpm.result)
    ),
"")</f>
        <v/>
      </c>
      <c r="CH5" s="102" t="str">
        <f>IFERROR(IF(CEILING(CG5 + (CG5 * $CH$2), 1) = 0, "", CEILING(CG5 + (CG5 * $CH$2), 1))*$B$3, "")</f>
        <v/>
      </c>
      <c r="CI5" s="70" t="str">
        <f t="shared" ref="CI5" si="13">IFERROR((CH5*CB5),"")</f>
        <v/>
      </c>
      <c r="CJ5" s="83" t="str">
        <f t="shared" ref="CJ5" si="14">IFERROR((CH5*CC5),"")</f>
        <v/>
      </c>
      <c r="CK5" s="80"/>
      <c r="CL5" s="17">
        <f>IFERROR(_xlfn.XLOOKUP(C5,Master_Price_Level_NZ[Code],Master_Price_Level_NZ[Base (RRP Inc)]),"")</f>
        <v>39.99</v>
      </c>
      <c r="CM5" s="17">
        <f>IFERROR(CL5-(CL5*CN5),"")</f>
        <v>31.992000000000001</v>
      </c>
      <c r="CN5" s="99">
        <v>0.2</v>
      </c>
      <c r="CO5" s="17">
        <f>IFERROR((CL5-CM5),"")</f>
        <v>7.9980000000000011</v>
      </c>
      <c r="CP5" s="98"/>
    </row>
    <row r="6" spans="1:94" x14ac:dyDescent="0.2">
      <c r="A6" s="106" t="str">
        <f t="shared" ref="A6" si="15">IF(C6="","",A5)</f>
        <v/>
      </c>
      <c r="B6" s="106" t="str">
        <f t="shared" ref="B6" si="16">IF(C6="","",B5)</f>
        <v/>
      </c>
      <c r="C6" s="13"/>
      <c r="D6" s="14" t="str">
        <f>IF(C6="", "",_xlfn.XLOOKUP(C6,'Master Price Level NZ'!B:B,'Master Price Level NZ'!C:C))</f>
        <v/>
      </c>
      <c r="E6" s="15"/>
      <c r="F6" s="108"/>
      <c r="G6" s="68" t="str" cm="1">
        <f t="array" ref="G6">IFERROR(_xlfn.XLOOKUP($C6,Master_Price_Level_NZ[Code],INDEX(Master_Price_Level_NZ[], , MATCH('Promo Form'!F$3, Master_Price_Level_NZ[#Headers], 0))),"")</f>
        <v/>
      </c>
      <c r="H6" s="16" t="str">
        <f>IFERROR(((G6)*$CN6)*F$39,"")</f>
        <v/>
      </c>
      <c r="I6" s="16" t="str">
        <f>IFERROR(((G6)*$CN6)*F$38,"")</f>
        <v/>
      </c>
      <c r="J6" s="17" t="str">
        <f>IFERROR(IF(H6+I6=0,"",H6+I6),"")</f>
        <v/>
      </c>
      <c r="K6" s="18" t="str">
        <f>IFERROR((($CL6/1.15)-(G6-(G6*F$2)))/($CL6/1.15),"")</f>
        <v/>
      </c>
      <c r="L6" s="18" t="str">
        <f>IFERROR((($CM6/1.15)+(H6+I6)-(G6-(G6*F$2)))/($CM6/1.15),"")</f>
        <v/>
      </c>
      <c r="M6" s="109" t="str" cm="1">
        <f t="array" ref="M6">IFERROR(
    _xlfn.LET(
        _xlpm.result, INDEX(_xlfn._xlws.FILTER(ST[6wk avg], (ST[Code]=$C6)*(ST[Customer Name]=F$3), ""), 1),
        IF(_xlpm.result=0, "", _xlpm.result)
    ),
"")</f>
        <v/>
      </c>
      <c r="N6" s="102" t="str">
        <f>IFERROR(IF(CEILING(M6 + (M6 * $N$2), 1) = 0, "", CEILING(M6 + (M6 * $N$2), 1))*$B$3, "")</f>
        <v/>
      </c>
      <c r="O6" s="70" t="str">
        <f t="shared" ref="O6" si="17">IFERROR((N6*H6),"")</f>
        <v/>
      </c>
      <c r="P6" s="83" t="str">
        <f t="shared" ref="P6" si="18">IFERROR((N6*I6),"")</f>
        <v/>
      </c>
      <c r="Q6" s="80"/>
      <c r="R6" s="108" t="str" cm="1">
        <f t="array" ref="R6">IFERROR(_xlfn._xlws.FILTER(#REF!,(#REF!=$C6) * (#REF!=R$3),"" ),"")</f>
        <v/>
      </c>
      <c r="S6" s="68" t="str" cm="1">
        <f t="array" ref="S6">IFERROR(_xlfn.XLOOKUP($C6,Master_Price_Level_NZ[Code],INDEX(Master_Price_Level_NZ[], , MATCH('Promo Form'!R$3, Master_Price_Level_NZ[#Headers], 0))),"")</f>
        <v/>
      </c>
      <c r="T6" s="16" t="str">
        <f>IFERROR(((S6)*$CN6)*R$39,"")</f>
        <v/>
      </c>
      <c r="U6" s="16" t="str">
        <f>IFERROR(((S6)*$CN6)*R$38,"")</f>
        <v/>
      </c>
      <c r="V6" s="17" t="str">
        <f>IFERROR(IF(T6+U6=0,"",T6+U6),"")</f>
        <v/>
      </c>
      <c r="W6" s="18" t="str">
        <f>IFERROR((($CL6/1.15)-(S6-(S6*R$2)))/($CL6/1.15),"")</f>
        <v/>
      </c>
      <c r="X6" s="18" t="str">
        <f>IFERROR((($CM6/1.15)+(T6+U6)-(S6-(S6*R$2)))/($CM6/1.15),"")</f>
        <v/>
      </c>
      <c r="Y6" s="109" t="str" cm="1">
        <f t="array" ref="Y6">IFERROR(
    _xlfn.LET(
        _xlpm.result, INDEX(_xlfn._xlws.FILTER(ST[6wk avg], (ST[Code]=$C6)*(ST[Customer Name]=R$3), ""), 1),
        IF(_xlpm.result=0, "", _xlpm.result)
    ),
"")</f>
        <v/>
      </c>
      <c r="Z6" s="102" t="str">
        <f>IFERROR(IF(CEILING(Y6 + (Y6 * $Z$2), 1) = 0, "", CEILING(Y6 + (Y6 * $Z$2), 1))*$B$3, "")</f>
        <v/>
      </c>
      <c r="AA6" s="70" t="str">
        <f t="shared" ref="AA6" si="19">IFERROR((Z6*T6),"")</f>
        <v/>
      </c>
      <c r="AB6" s="83" t="str">
        <f t="shared" ref="AB6" si="20">IFERROR((Z6*U6),"")</f>
        <v/>
      </c>
      <c r="AC6" s="80"/>
      <c r="AD6" s="108" t="str" cm="1">
        <f t="array" ref="AD6">IFERROR(_xlfn._xlws.FILTER(#REF!,(#REF!=$C6) * (#REF!=AD$3),"" ),"")</f>
        <v/>
      </c>
      <c r="AE6" s="68" t="str" cm="1">
        <f t="array" ref="AE6">IFERROR(_xlfn.XLOOKUP($C6,Master_Price_Level_NZ[Code],INDEX(Master_Price_Level_NZ[], , MATCH('Promo Form'!AD$3, Master_Price_Level_NZ[#Headers], 0))),"")</f>
        <v/>
      </c>
      <c r="AF6" s="16" t="str">
        <f>IFERROR(((AE6)*$CN6)*AD$39,"")</f>
        <v/>
      </c>
      <c r="AG6" s="16" t="str">
        <f>IFERROR(((AE6)*$CN6)*AD$38,"")</f>
        <v/>
      </c>
      <c r="AH6" s="17" t="str">
        <f>IFERROR(IF(AF6+AG6=0,"",AF6+AG6),"")</f>
        <v/>
      </c>
      <c r="AI6" s="18" t="str">
        <f>IFERROR((($CL6/1.15)-(AE6-(AE6*AD$2)))/($CL6/1.15),"")</f>
        <v/>
      </c>
      <c r="AJ6" s="18" t="str">
        <f>IFERROR((($CM6/1.15)+(AF6+AG6)-(AE6-(AE6*AD$2)))/($CM6/1.15),"")</f>
        <v/>
      </c>
      <c r="AK6" s="109" t="str" cm="1">
        <f t="array" ref="AK6">IFERROR(
    _xlfn.LET(
        _xlpm.result, INDEX(_xlfn._xlws.FILTER(ST[6wk avg], (ST[Code]=$C6)*(ST[Customer Name]=AD$3), ""), 1),
        IF(_xlpm.result=0, "", _xlpm.result)
    ),
"")</f>
        <v/>
      </c>
      <c r="AL6" s="102" t="str">
        <f>IFERROR(IF(CEILING(AK6 + (AK6 * $AL$2), 1) = 0, "", CEILING(AK6 + (AK6 * $AL$2), 1))*$B$3, "")</f>
        <v/>
      </c>
      <c r="AM6" s="70" t="str">
        <f t="shared" ref="AM6" si="21">IFERROR((AL6*AF6),"")</f>
        <v/>
      </c>
      <c r="AN6" s="83" t="str">
        <f t="shared" ref="AN6" si="22">IFERROR((AL6*AG6),"")</f>
        <v/>
      </c>
      <c r="AO6" s="80"/>
      <c r="AP6" s="108" t="str" cm="1">
        <f t="array" ref="AP6">IFERROR(_xlfn._xlws.FILTER(#REF!,(#REF!=$C6) * (#REF!=AP$3),"" ),"")</f>
        <v/>
      </c>
      <c r="AQ6" s="68" t="str" cm="1">
        <f t="array" ref="AQ6">IFERROR(_xlfn.XLOOKUP($C6,Master_Price_Level_NZ[Code],INDEX(Master_Price_Level_NZ[], , MATCH('Promo Form'!AP$3, Master_Price_Level_NZ[#Headers], 0))),"")</f>
        <v/>
      </c>
      <c r="AR6" s="16" t="str">
        <f>IFERROR(((AQ6)*$CN6)*AP$39,"")</f>
        <v/>
      </c>
      <c r="AS6" s="16" t="str">
        <f>IFERROR(((AQ6)*$CN6)*AP$38,"")</f>
        <v/>
      </c>
      <c r="AT6" s="17" t="str">
        <f>IFERROR(IF(AR6+AS6=0,"",AR6+AS6),"")</f>
        <v/>
      </c>
      <c r="AU6" s="18" t="str">
        <f>IFERROR((($CL6/1.15)-(AQ6-(AQ6*AP$2)))/($CL6/1.15),"")</f>
        <v/>
      </c>
      <c r="AV6" s="18" t="str">
        <f>IFERROR((($CM6/1.15)+(AR6+AS6)-(AQ6-(AQ6*AP$2)))/($CM6/1.15),"")</f>
        <v/>
      </c>
      <c r="AW6" s="109" t="str" cm="1">
        <f t="array" ref="AW6">IFERROR(
    _xlfn.LET(
        _xlpm.result, INDEX(_xlfn._xlws.FILTER(ST[6wk avg], (ST[Code]=$C6)*(ST[Customer Name]=AP$3), ""), 1),
        IF(_xlpm.result=0, "", _xlpm.result)
    ),
"")</f>
        <v/>
      </c>
      <c r="AX6" s="102" t="str">
        <f>IFERROR(IF(CEILING(AW6 + (AW6 * $AX$2), 1) = 0, "", CEILING(AW6 + (AW6 * $AX$2), 1))*$B$3, "")</f>
        <v/>
      </c>
      <c r="AY6" s="70" t="str">
        <f t="shared" ref="AY6" si="23">IFERROR((AX6*AR6),"")</f>
        <v/>
      </c>
      <c r="AZ6" s="83" t="str">
        <f t="shared" ref="AZ6" si="24">IFERROR((AX6*AS6),"")</f>
        <v/>
      </c>
      <c r="BA6" s="80"/>
      <c r="BB6" s="108" t="str" cm="1">
        <f t="array" ref="BB6">IFERROR(_xlfn._xlws.FILTER(#REF!,(#REF!=$C6) * (#REF!=BB$3),"" ),"")</f>
        <v/>
      </c>
      <c r="BC6" s="68" t="str" cm="1">
        <f t="array" ref="BC6">IFERROR(_xlfn.XLOOKUP($C6,Master_Price_Level_NZ[Code],INDEX(Master_Price_Level_NZ[], , MATCH('Promo Form'!BB$3, Master_Price_Level_NZ[#Headers], 0))),"")</f>
        <v/>
      </c>
      <c r="BD6" s="16" t="str">
        <f>IFERROR(((BC6)*$CN6)*BB$39,"")</f>
        <v/>
      </c>
      <c r="BE6" s="16" t="str">
        <f>IFERROR(((BC6)*$CN6)*BB$38,"")</f>
        <v/>
      </c>
      <c r="BF6" s="17" t="str">
        <f>IFERROR(IF(BD6+BE6=0,"",BD6+BE6),"")</f>
        <v/>
      </c>
      <c r="BG6" s="18" t="str">
        <f>IFERROR((($CL6/1.15)-(BC6-(BC6*BB$2)))/($CL6/1.15),"")</f>
        <v/>
      </c>
      <c r="BH6" s="18" t="str">
        <f>IFERROR((($CM6/1.15)+(BD6+BE6)-(BC6-(BC6*BB$2)))/($CM6/1.15),"")</f>
        <v/>
      </c>
      <c r="BI6" s="109" t="str" cm="1">
        <f t="array" ref="BI6">IFERROR(
    _xlfn.LET(
        _xlpm.result, INDEX(_xlfn._xlws.FILTER(ST[6wk avg], (ST[Code]=$C6)*(ST[Customer Name]=BB$3), ""), 1),
        IF(_xlpm.result=0, "", _xlpm.result)
    ),
"")</f>
        <v/>
      </c>
      <c r="BJ6" s="102" t="str">
        <f>IFERROR(IF(CEILING(BI6 + (BI6 * $BJ$2), 1) = 0, "", CEILING(BI6 + (BI6 * $BJ$2), 1))*$B$3, "")</f>
        <v/>
      </c>
      <c r="BK6" s="70" t="str">
        <f t="shared" ref="BK6" si="25">IFERROR((BJ6*BD6),"")</f>
        <v/>
      </c>
      <c r="BL6" s="83" t="str">
        <f t="shared" ref="BL6" si="26">IFERROR((BJ6*BE6),"")</f>
        <v/>
      </c>
      <c r="BM6" s="80"/>
      <c r="BN6" s="108" t="str" cm="1">
        <f t="array" ref="BN6">IFERROR(_xlfn._xlws.FILTER(#REF!,(#REF!=$C6) * (#REF!=BN$3),"" ),"")</f>
        <v/>
      </c>
      <c r="BO6" s="68" t="str" cm="1">
        <f t="array" ref="BO6">IFERROR(_xlfn.XLOOKUP($C6,Master_Price_Level_NZ[Code],INDEX(Master_Price_Level_NZ[], , MATCH('Promo Form'!BN$3, Master_Price_Level_NZ[#Headers], 0))),"")</f>
        <v/>
      </c>
      <c r="BP6" s="16" t="str">
        <f>IFERROR(((BO6)*$CN6)*BN$39,"")</f>
        <v/>
      </c>
      <c r="BQ6" s="16" t="str">
        <f>IFERROR(((BO6)*$CN6)*BN$38,"")</f>
        <v/>
      </c>
      <c r="BR6" s="17" t="str">
        <f>IFERROR(IF(BP6+BQ6=0,"",BP6+BQ6),"")</f>
        <v/>
      </c>
      <c r="BS6" s="18" t="str">
        <f>IFERROR((($CL6/1.15)-(BO6-(BO6*BN$2)))/($CL6/1.15),"")</f>
        <v/>
      </c>
      <c r="BT6" s="18" t="str">
        <f>IFERROR((($CM6/1.15)+(BP6+BQ6)-(BO6-(BO6*BN$2)))/($CM6/1.15),"")</f>
        <v/>
      </c>
      <c r="BU6" s="109" t="str" cm="1">
        <f t="array" ref="BU6">IFERROR(
    _xlfn.LET(
        _xlpm.result, INDEX(_xlfn._xlws.FILTER(ST[6wk avg], (ST[Code]=$C6)*(ST[Customer Name]=BN$3), ""), 1),
        IF(_xlpm.result=0, "", _xlpm.result)
    ),
"")</f>
        <v/>
      </c>
      <c r="BV6" s="102" t="str">
        <f>IFERROR(IF(CEILING(BU6 + (BU6 * $BV$2), 1) = 0, "", CEILING(BU6 + (BU6 * $BV$2), 1))*$B$3, "")</f>
        <v/>
      </c>
      <c r="BW6" s="70" t="str">
        <f t="shared" ref="BW6" si="27">IFERROR((BV6*BP6),"")</f>
        <v/>
      </c>
      <c r="BX6" s="83" t="str">
        <f t="shared" ref="BX6" si="28">IFERROR((BV6*BQ6),"")</f>
        <v/>
      </c>
      <c r="BY6" s="80"/>
      <c r="BZ6" s="108" t="str" cm="1">
        <f t="array" ref="BZ6">IFERROR(_xlfn._xlws.FILTER(#REF!,(#REF!=$C6) * (#REF!=BZ$3),"" ),"")</f>
        <v/>
      </c>
      <c r="CA6" s="68" t="str" cm="1">
        <f t="array" ref="CA6">IFERROR(_xlfn.XLOOKUP($C6,Master_Price_Level_NZ[Code],INDEX(Master_Price_Level_NZ[], , MATCH('Promo Form'!BZ$3, Master_Price_Level_NZ[#Headers], 0))),"")</f>
        <v/>
      </c>
      <c r="CB6" s="16" t="str">
        <f>IFERROR(((CA6)*$CN6)*BZ$39,"")</f>
        <v/>
      </c>
      <c r="CC6" s="16" t="str">
        <f>IFERROR(((CA6)*$CN6)*BZ$38,"")</f>
        <v/>
      </c>
      <c r="CD6" s="17" t="str">
        <f>IFERROR(IF(CB6+CC6=0,"",CB6+CC6),"")</f>
        <v/>
      </c>
      <c r="CE6" s="18" t="str">
        <f>IFERROR((($CL6/1.15)-(CA6-(CA6*BZ$2)))/($CL6/1.15),"")</f>
        <v/>
      </c>
      <c r="CF6" s="18" t="str">
        <f t="shared" ref="CF6" si="29">IFERROR((($CM6/1.1)+(CB6+CC6)-(CA6-(CA6*BZ$2)))/($CM6/1.1),"")</f>
        <v/>
      </c>
      <c r="CG6" s="109" t="str" cm="1">
        <f t="array" ref="CG6">IFERROR(
    _xlfn.LET(
        _xlpm.result, INDEX(_xlfn._xlws.FILTER(ST[6wk avg], (ST[Code]=$C6)*(ST[Customer Name]=BZ$3), ""), 1),
        IF(_xlpm.result=0, "", _xlpm.result)
    ),
"")</f>
        <v/>
      </c>
      <c r="CH6" s="102" t="str">
        <f>IFERROR(IF(CEILING(CG6 + (CG6 * $CH$2), 1) = 0, "", CEILING(CG6 + (CG6 * $CH$2), 1))*$B$3, "")</f>
        <v/>
      </c>
      <c r="CI6" s="70" t="str">
        <f t="shared" ref="CI6" si="30">IFERROR((CH6*CB6),"")</f>
        <v/>
      </c>
      <c r="CJ6" s="83" t="str">
        <f t="shared" ref="CJ6" si="31">IFERROR((CH6*CC6),"")</f>
        <v/>
      </c>
      <c r="CK6" s="80"/>
      <c r="CL6" s="17" t="str">
        <f>IFERROR(_xlfn.XLOOKUP(C6,Master_Price_Level_NZ[Code],Master_Price_Level_NZ[Base (RRP Inc)]),"")</f>
        <v/>
      </c>
      <c r="CM6" s="17" t="str">
        <f>IFERROR(CL6-(CL6*CN6),"")</f>
        <v/>
      </c>
      <c r="CN6" s="107" t="str">
        <f t="shared" ref="CN6:CN19" si="32">IF(C6="", "",CN5)</f>
        <v/>
      </c>
      <c r="CO6" s="17" t="str">
        <f t="shared" ref="CO6:CO19" si="33">IFERROR((CL6-CM6),"")</f>
        <v/>
      </c>
      <c r="CP6" s="98"/>
    </row>
    <row r="7" spans="1:94" x14ac:dyDescent="0.2">
      <c r="A7" s="106" t="str">
        <f t="shared" ref="A7:A19" si="34">IF(C7="","",A6)</f>
        <v/>
      </c>
      <c r="B7" s="106" t="str">
        <f t="shared" ref="B7:B19" si="35">IF(C7="","",B6)</f>
        <v/>
      </c>
      <c r="C7" s="13"/>
      <c r="D7" s="14" t="str">
        <f>IF(C7="", "",_xlfn.XLOOKUP(C7,'Master Price Level NZ'!B:B,'Master Price Level NZ'!C:C))</f>
        <v/>
      </c>
      <c r="E7" s="15"/>
      <c r="F7" s="108"/>
      <c r="G7" s="68" t="str" cm="1">
        <f t="array" ref="G7">IFERROR(_xlfn.XLOOKUP($C7,Master_Price_Level_NZ[Code],INDEX(Master_Price_Level_NZ[], , MATCH('Promo Form'!F$3, Master_Price_Level_NZ[#Headers], 0))),"")</f>
        <v/>
      </c>
      <c r="H7" s="16" t="str">
        <f t="shared" ref="H7:H27" si="36">IFERROR(((G7*(1-F$2))*$CN7)*F$39,"")</f>
        <v/>
      </c>
      <c r="I7" s="16" t="str">
        <f t="shared" ref="I7:I27" si="37">IFERROR(((G7*(1-F$2))*$CN7)*F$38,"")</f>
        <v/>
      </c>
      <c r="J7" s="17" t="str">
        <f t="shared" ref="J7:J27" si="38">IFERROR(IF(H7+I7=0,"",H7+I7),"")</f>
        <v/>
      </c>
      <c r="K7" s="18" t="str">
        <f t="shared" ref="K7:K27" si="39">IFERROR((($CL7/1.15)-(G7-(G7*F$2)))/($CL7/1.15),"")</f>
        <v/>
      </c>
      <c r="L7" s="18" t="str">
        <f t="shared" ref="L7:L27" si="40">IFERROR((($CM7/1.15)+(H7+I7)-(G7-(G7*F$2)))/($CM7/1.15),"")</f>
        <v/>
      </c>
      <c r="M7" s="109" t="str" cm="1">
        <f t="array" ref="M7">IF($C7="","",IFERROR(_xlfn._xlws.FILTER(ST[6wk avg],(ST[Code]=$C7)*(ST[Customer Name]=F$3),""),""))</f>
        <v/>
      </c>
      <c r="N7" s="102" t="str">
        <f t="shared" ref="N7:N27" si="41">IFERROR(IF(CEILING(M7 + (M7 * $N$2), 1) = 0, "", CEILING(M7 + (M7 * $N$2), 1))*$B$3, "")</f>
        <v/>
      </c>
      <c r="O7" s="70" t="str">
        <f t="shared" ref="O7:O27" si="42">IFERROR((N7*H7),"")</f>
        <v/>
      </c>
      <c r="P7" s="83" t="str">
        <f t="shared" ref="P7:P27" si="43">IFERROR((N7*I7),"")</f>
        <v/>
      </c>
      <c r="Q7" s="77"/>
      <c r="R7" s="108" t="str" cm="1">
        <f t="array" ref="R7">IFERROR(_xlfn._xlws.FILTER(#REF!,(#REF!=$C7) * (#REF!=R$3),"" ),"")</f>
        <v/>
      </c>
      <c r="S7" s="68" t="str" cm="1">
        <f t="array" ref="S7">IFERROR(_xlfn.XLOOKUP($C7,Master_Price_Level_NZ[Code],INDEX(Master_Price_Level_NZ[], , MATCH('Promo Form'!R$3, Master_Price_Level_NZ[#Headers], 0))),"")</f>
        <v/>
      </c>
      <c r="T7" s="16" t="str">
        <f t="shared" ref="T7:T27" si="44">IFERROR(((S7*(1-R$2))*$CN7)*R$39,"")</f>
        <v/>
      </c>
      <c r="U7" s="16" t="str">
        <f t="shared" ref="U7:U27" si="45">IFERROR(((S7*(1-R$2))*$CN7)*R$38,"")</f>
        <v/>
      </c>
      <c r="V7" s="17" t="str">
        <f t="shared" ref="V7:V27" si="46">IFERROR(IF(T7+U7=0,"",T7+U7),"")</f>
        <v/>
      </c>
      <c r="W7" s="18" t="str">
        <f t="shared" ref="W7:W27" si="47">IFERROR((($CL7/1.15)-(S7-(S7*R$2)))/($CL7/1.15),"")</f>
        <v/>
      </c>
      <c r="X7" s="18" t="str">
        <f t="shared" ref="X7:X27" si="48">IFERROR((($CM7/1.15)+(T7+U7)-(S7-(S7*R$2)))/($CM7/1.15),"")</f>
        <v/>
      </c>
      <c r="Y7" s="109" t="str" cm="1">
        <f t="array" ref="Y7">IFERROR(
    _xlfn.LET(
        _xlpm.result, INDEX(_xlfn._xlws.FILTER(ST[6wk avg], (ST[Code]=$C7)*(ST[Customer Name]=R$3), ""), 1),
        IF(_xlpm.result=0, "", _xlpm.result)
    ),
"")</f>
        <v/>
      </c>
      <c r="Z7" s="102" t="str">
        <f t="shared" ref="Z7:Z27" si="49">IFERROR(IF(CEILING(Y7 + (Y7 * $N$2), 1) = 0, "", CEILING(Y7 + (Y7 * $N$2), 1))*$B$3, "")</f>
        <v/>
      </c>
      <c r="AA7" s="70" t="str">
        <f t="shared" ref="AA7:AA27" si="50">IFERROR((Z7*T7),"")</f>
        <v/>
      </c>
      <c r="AB7" s="83" t="str">
        <f t="shared" ref="AB7:AB27" si="51">IFERROR((Z7*U7),"")</f>
        <v/>
      </c>
      <c r="AC7" s="77"/>
      <c r="AD7" s="108" t="str" cm="1">
        <f t="array" ref="AD7">IFERROR(_xlfn._xlws.FILTER(#REF!,(#REF!=$C7) * (#REF!=AD$3),"" ),"")</f>
        <v/>
      </c>
      <c r="AE7" s="68" t="str" cm="1">
        <f t="array" ref="AE7">IFERROR(_xlfn.XLOOKUP($C7,Master_Price_Level_NZ[Code],INDEX(Master_Price_Level_NZ[], , MATCH('Promo Form'!AD$3, Master_Price_Level_NZ[#Headers], 0))),"")</f>
        <v/>
      </c>
      <c r="AF7" s="16" t="str">
        <f t="shared" ref="AF7:AF27" si="52">IFERROR(((AE7*(1-AD$2))*$CN7)*AD$39,"")</f>
        <v/>
      </c>
      <c r="AG7" s="16" t="str">
        <f t="shared" ref="AG7:AG27" si="53">IFERROR(((AE7*(1-AD$2))*$CN7)*AD$38,"")</f>
        <v/>
      </c>
      <c r="AH7" s="17" t="str">
        <f t="shared" ref="AH7:AH27" si="54">IFERROR(IF(AF7+AG7=0,"",AF7+AG7),"")</f>
        <v/>
      </c>
      <c r="AI7" s="18" t="str">
        <f t="shared" ref="AI7:AI27" si="55">IFERROR((($CL7/1.15)-(AE7-(AE7*AD$2)))/($CL7/1.15),"")</f>
        <v/>
      </c>
      <c r="AJ7" s="18" t="str">
        <f t="shared" ref="AJ7:AJ27" si="56">IFERROR((($CM7/1.15)+(AF7+AG7)-(AE7-(AE7*AD$2)))/($CM7/1.15),"")</f>
        <v/>
      </c>
      <c r="AK7" s="109" t="str" cm="1">
        <f t="array" ref="AK7">IFERROR(
    _xlfn.LET(
        _xlpm.result, INDEX(_xlfn._xlws.FILTER(ST[6wk avg], (ST[Code]=$C7)*(ST[Customer Name]=AD$3), ""), 1),
        IF(_xlpm.result=0, "", _xlpm.result)
    ),
"")</f>
        <v/>
      </c>
      <c r="AL7" s="102" t="str">
        <f t="shared" ref="AL7:AL27" si="57">IFERROR(IF(CEILING(AK7 + (AK7 * $N$2), 1) = 0, "", CEILING(AK7 + (AK7 * $N$2), 1))*$B$3, "")</f>
        <v/>
      </c>
      <c r="AM7" s="70" t="str">
        <f t="shared" ref="AM7:AM27" si="58">IFERROR((AL7*AF7),"")</f>
        <v/>
      </c>
      <c r="AN7" s="83" t="str">
        <f t="shared" ref="AN7:AN27" si="59">IFERROR((AL7*AG7),"")</f>
        <v/>
      </c>
      <c r="AO7" s="77"/>
      <c r="AP7" s="108" t="str" cm="1">
        <f t="array" ref="AP7">IFERROR(_xlfn._xlws.FILTER(#REF!,(#REF!=$C7) * (#REF!=AP$3),"" ),"")</f>
        <v/>
      </c>
      <c r="AQ7" s="68" t="str" cm="1">
        <f t="array" ref="AQ7">IFERROR(_xlfn.XLOOKUP($C7,Master_Price_Level_NZ[Code],INDEX(Master_Price_Level_NZ[], , MATCH('Promo Form'!AP$3, Master_Price_Level_NZ[#Headers], 0))),"")</f>
        <v/>
      </c>
      <c r="AR7" s="16" t="str">
        <f t="shared" ref="AR7:AR27" si="60">IFERROR(((AQ7*(1-AP$2))*$CN7)*AP$39,"")</f>
        <v/>
      </c>
      <c r="AS7" s="16" t="str">
        <f t="shared" ref="AS7:AS27" si="61">IFERROR(((AQ7*(1-AP$2))*$CN7)*AP$38,"")</f>
        <v/>
      </c>
      <c r="AT7" s="17" t="str">
        <f t="shared" ref="AT7:AT27" si="62">IFERROR(IF(AR7+AS7=0,"",AR7+AS7),"")</f>
        <v/>
      </c>
      <c r="AU7" s="18" t="str">
        <f t="shared" ref="AU7:AU27" si="63">IFERROR((($CL7/1.15)-(AQ7-(AQ7*AP$2)))/($CL7/1.15),"")</f>
        <v/>
      </c>
      <c r="AV7" s="18" t="str">
        <f t="shared" ref="AV7:AV27" si="64">IFERROR((($CM7/1.15)+(AR7+AS7)-(AQ7-(AQ7*AP$2)))/($CM7/1.15),"")</f>
        <v/>
      </c>
      <c r="AW7" s="109" t="str" cm="1">
        <f t="array" ref="AW7">IFERROR(
    _xlfn.LET(
        _xlpm.result, INDEX(_xlfn._xlws.FILTER(ST[6wk avg], (ST[Code]=$C7)*(ST[Customer Name]=AP$3), ""), 1),
        IF(_xlpm.result=0, "", _xlpm.result)
    ),
"")</f>
        <v/>
      </c>
      <c r="AX7" s="102" t="str">
        <f t="shared" ref="AX7:AX27" si="65">IFERROR(IF(CEILING(AW7 + (AW7 * $N$2), 1) = 0, "", CEILING(AW7 + (AW7 * $N$2), 1))*$B$3, "")</f>
        <v/>
      </c>
      <c r="AY7" s="70" t="str">
        <f t="shared" ref="AY7:AY27" si="66">IFERROR((AX7*AR7),"")</f>
        <v/>
      </c>
      <c r="AZ7" s="83" t="str">
        <f t="shared" ref="AZ7:AZ27" si="67">IFERROR((AX7*AS7),"")</f>
        <v/>
      </c>
      <c r="BA7" s="77"/>
      <c r="BB7" s="108" t="str" cm="1">
        <f t="array" ref="BB7">IFERROR(_xlfn._xlws.FILTER(#REF!,(#REF!=$C7) * (#REF!=BB$3),"" ),"")</f>
        <v/>
      </c>
      <c r="BC7" s="68" t="str" cm="1">
        <f t="array" ref="BC7">IFERROR(_xlfn.XLOOKUP($C7,Master_Price_Level_NZ[Code],INDEX(Master_Price_Level_NZ[], , MATCH('Promo Form'!BB$3, Master_Price_Level_NZ[#Headers], 0))),"")</f>
        <v/>
      </c>
      <c r="BD7" s="16" t="str">
        <f t="shared" ref="BD7:BD27" si="68">IFERROR(((BC7*(1-BB$2))*$CN7)*BB$39,"")</f>
        <v/>
      </c>
      <c r="BE7" s="16" t="str">
        <f t="shared" ref="BE7:BE27" si="69">IFERROR(((BC7*(1-BB$2))*$CN7)*BB$38,"")</f>
        <v/>
      </c>
      <c r="BF7" s="17" t="str">
        <f t="shared" ref="BF7:BF27" si="70">IFERROR(IF(BD7+BE7=0,"",BD7+BE7),"")</f>
        <v/>
      </c>
      <c r="BG7" s="18" t="str">
        <f t="shared" ref="BG7:BG27" si="71">IFERROR((($CL7/1.15)-(BC7-(BC7*BB$2)))/($CL7/1.15),"")</f>
        <v/>
      </c>
      <c r="BH7" s="18" t="str">
        <f t="shared" ref="BH7:BH27" si="72">IFERROR((($CM7/1.15)+(BD7+BE7)-(BC7-(BC7*BB$2)))/($CM7/1.15),"")</f>
        <v/>
      </c>
      <c r="BI7" s="109" t="str" cm="1">
        <f t="array" ref="BI7">IFERROR(
    _xlfn.LET(
        _xlpm.result, INDEX(_xlfn._xlws.FILTER(ST[6wk avg], (ST[Code]=$C7)*(ST[Customer Name]=BB$3), ""), 1),
        IF(_xlpm.result=0, "", _xlpm.result)
    ),
"")</f>
        <v/>
      </c>
      <c r="BJ7" s="102" t="str">
        <f t="shared" ref="BJ7:BJ27" si="73">IFERROR(IF(CEILING(BI7 + (BI7 * $N$2), 1) = 0, "", CEILING(BI7 + (BI7 * $N$2), 1))*$B$3, "")</f>
        <v/>
      </c>
      <c r="BK7" s="70" t="str">
        <f t="shared" ref="BK7:BK27" si="74">IFERROR((BJ7*BD7),"")</f>
        <v/>
      </c>
      <c r="BL7" s="83" t="str">
        <f t="shared" ref="BL7:BL27" si="75">IFERROR((BJ7*BE7),"")</f>
        <v/>
      </c>
      <c r="BM7" s="77"/>
      <c r="BN7" s="108" t="str" cm="1">
        <f t="array" ref="BN7">IFERROR(_xlfn._xlws.FILTER(#REF!,(#REF!=$C7) * (#REF!=BN$3),"" ),"")</f>
        <v/>
      </c>
      <c r="BO7" s="68" t="str" cm="1">
        <f t="array" ref="BO7">IFERROR(_xlfn.XLOOKUP($C7,Master_Price_Level_NZ[Code],INDEX(Master_Price_Level_NZ[], , MATCH('Promo Form'!BN$3, Master_Price_Level_NZ[#Headers], 0))),"")</f>
        <v/>
      </c>
      <c r="BP7" s="16" t="str">
        <f t="shared" ref="BP7:BP27" si="76">IFERROR(((BO7*(1-BN$2))*$CN7)*BN$39,"")</f>
        <v/>
      </c>
      <c r="BQ7" s="16" t="str">
        <f t="shared" ref="BQ7:BQ27" si="77">IFERROR(((BO7*(1-BN$2))*$CN7)*BN$38,"")</f>
        <v/>
      </c>
      <c r="BR7" s="17" t="str">
        <f t="shared" ref="BR7:BR27" si="78">IFERROR(IF(BP7+BQ7=0,"",BP7+BQ7),"")</f>
        <v/>
      </c>
      <c r="BS7" s="18" t="str">
        <f t="shared" ref="BS7:BS27" si="79">IFERROR((($CL7/1.15)-(BO7-(BO7*BN$2)))/($CL7/1.15),"")</f>
        <v/>
      </c>
      <c r="BT7" s="18" t="str">
        <f t="shared" ref="BT7:BT27" si="80">IFERROR((($CM7/1.15)+(BP7+BQ7)-(BO7-(BO7*BN$2)))/($CM7/1.15),"")</f>
        <v/>
      </c>
      <c r="BU7" s="109" t="str" cm="1">
        <f t="array" ref="BU7">IFERROR(
    _xlfn.LET(
        _xlpm.result, INDEX(_xlfn._xlws.FILTER(ST[6wk avg], (ST[Code]=$C7)*(ST[Customer Name]=BN$3), ""), 1),
        IF(_xlpm.result=0, "", _xlpm.result)
    ),
"")</f>
        <v/>
      </c>
      <c r="BV7" s="102" t="str">
        <f t="shared" ref="BV7:BV27" si="81">IFERROR(IF(CEILING(BU7 + (BU7 * $N$2), 1) = 0, "", CEILING(BU7 + (BU7 * $N$2), 1))*$B$3, "")</f>
        <v/>
      </c>
      <c r="BW7" s="70" t="str">
        <f t="shared" ref="BW7:BW27" si="82">IFERROR((BV7*BP7),"")</f>
        <v/>
      </c>
      <c r="BX7" s="83" t="str">
        <f t="shared" ref="BX7:BX27" si="83">IFERROR((BV7*BQ7),"")</f>
        <v/>
      </c>
      <c r="BY7" s="77"/>
      <c r="BZ7" s="108" t="str" cm="1">
        <f t="array" ref="BZ7">IFERROR(_xlfn._xlws.FILTER(#REF!,(#REF!=$C7) * (#REF!=BZ$3),"" ),"")</f>
        <v/>
      </c>
      <c r="CA7" s="68" t="str" cm="1">
        <f t="array" ref="CA7">IFERROR(_xlfn.XLOOKUP($C7,Master_Price_Level_NZ[Code],INDEX(Master_Price_Level_NZ[], , MATCH('Promo Form'!BZ$3, Master_Price_Level_NZ[#Headers], 0))),"")</f>
        <v/>
      </c>
      <c r="CB7" s="16" t="str">
        <f t="shared" ref="CB7:CB27" si="84">IFERROR(((CA7*(1-BZ$2))*$CN7)*BZ$39,"")</f>
        <v/>
      </c>
      <c r="CC7" s="16" t="str">
        <f t="shared" ref="CC7:CC27" si="85">IFERROR(((CA7*(1-BZ$2))*$CN7)*BZ$38,"")</f>
        <v/>
      </c>
      <c r="CD7" s="17" t="str">
        <f t="shared" ref="CD7:CD27" si="86">IFERROR(IF(CB7+CC7=0,"",CB7+CC7),"")</f>
        <v/>
      </c>
      <c r="CE7" s="18" t="str">
        <f t="shared" ref="CE7:CE27" si="87">IFERROR((($CL7/1.15)-(CA7-(CA7*BZ$2)))/($CL7/1.15),"")</f>
        <v/>
      </c>
      <c r="CF7" s="18" t="str">
        <f t="shared" ref="CF7:CF27" si="88">IFERROR((($CM7/1.15)+(CB7+CC7)-(CA7-(CA7*BZ$2)))/($CM7/1.15),"")</f>
        <v/>
      </c>
      <c r="CG7" s="109" t="str" cm="1">
        <f t="array" ref="CG7">IFERROR(
    _xlfn.LET(
        _xlpm.result, INDEX(_xlfn._xlws.FILTER(ST[6wk avg], (ST[Code]=$C7)*(ST[Customer Name]=BZ$3), ""), 1),
        IF(_xlpm.result=0, "", _xlpm.result)
    ),
"")</f>
        <v/>
      </c>
      <c r="CH7" s="102" t="str">
        <f t="shared" ref="CH7:CH27" si="89">IFERROR(IF(CEILING(CG7 + (CG7 * $N$2), 1) = 0, "", CEILING(CG7 + (CG7 * $N$2), 1))*$B$3, "")</f>
        <v/>
      </c>
      <c r="CI7" s="70" t="str">
        <f t="shared" ref="CI7:CI27" si="90">IFERROR((CH7*CB7),"")</f>
        <v/>
      </c>
      <c r="CJ7" s="83" t="str">
        <f t="shared" ref="CJ7:CJ27" si="91">IFERROR((CH7*CC7),"")</f>
        <v/>
      </c>
      <c r="CK7" s="77"/>
      <c r="CL7" s="17" t="str">
        <f>IFERROR(_xlfn.XLOOKUP(C7,Master_Price_Level_NZ[Code],Master_Price_Level_NZ[Base (RRP Inc)]),"")</f>
        <v/>
      </c>
      <c r="CM7" s="17" t="str">
        <f t="shared" ref="CM7:CM27" si="92">IFERROR(CL7-(CL7*CN7),"")</f>
        <v/>
      </c>
      <c r="CN7" s="107" t="str">
        <f t="shared" si="32"/>
        <v/>
      </c>
      <c r="CO7" s="17" t="str">
        <f t="shared" si="33"/>
        <v/>
      </c>
      <c r="CP7" s="98"/>
    </row>
    <row r="8" spans="1:94" x14ac:dyDescent="0.2">
      <c r="A8" s="106" t="str">
        <f t="shared" si="34"/>
        <v/>
      </c>
      <c r="B8" s="106" t="str">
        <f t="shared" si="35"/>
        <v/>
      </c>
      <c r="C8" s="13"/>
      <c r="D8" s="14" t="str">
        <f>IF(C8="", "",_xlfn.XLOOKUP(C8,'Master Price Level NZ'!B:B,'Master Price Level NZ'!C:C))</f>
        <v/>
      </c>
      <c r="E8" s="15"/>
      <c r="F8" s="108"/>
      <c r="G8" s="68" t="str" cm="1">
        <f t="array" ref="G8">IFERROR(_xlfn.XLOOKUP($C8,Master_Price_Level_NZ[Code],INDEX(Master_Price_Level_NZ[], , MATCH('Promo Form'!F$3, Master_Price_Level_NZ[#Headers], 0))),"")</f>
        <v/>
      </c>
      <c r="H8" s="16" t="str">
        <f t="shared" si="36"/>
        <v/>
      </c>
      <c r="I8" s="16" t="str">
        <f t="shared" si="37"/>
        <v/>
      </c>
      <c r="J8" s="17" t="str">
        <f t="shared" si="38"/>
        <v/>
      </c>
      <c r="K8" s="18" t="str">
        <f t="shared" si="39"/>
        <v/>
      </c>
      <c r="L8" s="18" t="str">
        <f t="shared" si="40"/>
        <v/>
      </c>
      <c r="M8" s="109" t="str" cm="1">
        <f t="array" ref="M8">IF($C8="","",IFERROR(_xlfn._xlws.FILTER(ST[6wk avg],(ST[Code]=$C8)*(ST[Customer Name]=F$3),""),""))</f>
        <v/>
      </c>
      <c r="N8" s="102" t="str">
        <f t="shared" si="41"/>
        <v/>
      </c>
      <c r="O8" s="70" t="str">
        <f t="shared" si="42"/>
        <v/>
      </c>
      <c r="P8" s="83" t="str">
        <f t="shared" si="43"/>
        <v/>
      </c>
      <c r="Q8" s="77"/>
      <c r="R8" s="108" t="str" cm="1">
        <f t="array" ref="R8">IFERROR(_xlfn._xlws.FILTER(#REF!,(#REF!=$C8) * (#REF!=R$3),"" ),"")</f>
        <v/>
      </c>
      <c r="S8" s="68" t="str" cm="1">
        <f t="array" ref="S8">IFERROR(_xlfn.XLOOKUP($C8,Master_Price_Level_NZ[Code],INDEX(Master_Price_Level_NZ[], , MATCH('Promo Form'!R$3, Master_Price_Level_NZ[#Headers], 0))),"")</f>
        <v/>
      </c>
      <c r="T8" s="16" t="str">
        <f t="shared" si="44"/>
        <v/>
      </c>
      <c r="U8" s="16" t="str">
        <f t="shared" si="45"/>
        <v/>
      </c>
      <c r="V8" s="17" t="str">
        <f t="shared" si="46"/>
        <v/>
      </c>
      <c r="W8" s="18" t="str">
        <f t="shared" si="47"/>
        <v/>
      </c>
      <c r="X8" s="18" t="str">
        <f t="shared" si="48"/>
        <v/>
      </c>
      <c r="Y8" s="109" t="str" cm="1">
        <f t="array" ref="Y8">IFERROR(
    _xlfn.LET(
        _xlpm.result, INDEX(_xlfn._xlws.FILTER(ST[6wk avg], (ST[Code]=$C8)*(ST[Customer Name]=R$3), ""), 1),
        IF(_xlpm.result=0, "", _xlpm.result)
    ),
"")</f>
        <v/>
      </c>
      <c r="Z8" s="102" t="str">
        <f t="shared" si="49"/>
        <v/>
      </c>
      <c r="AA8" s="70" t="str">
        <f t="shared" si="50"/>
        <v/>
      </c>
      <c r="AB8" s="83" t="str">
        <f t="shared" si="51"/>
        <v/>
      </c>
      <c r="AC8" s="77"/>
      <c r="AD8" s="108" t="str" cm="1">
        <f t="array" ref="AD8">IFERROR(_xlfn._xlws.FILTER(#REF!,(#REF!=$C8) * (#REF!=AD$3),"" ),"")</f>
        <v/>
      </c>
      <c r="AE8" s="68" t="str" cm="1">
        <f t="array" ref="AE8">IFERROR(_xlfn.XLOOKUP($C8,Master_Price_Level_NZ[Code],INDEX(Master_Price_Level_NZ[], , MATCH('Promo Form'!AD$3, Master_Price_Level_NZ[#Headers], 0))),"")</f>
        <v/>
      </c>
      <c r="AF8" s="16" t="str">
        <f t="shared" si="52"/>
        <v/>
      </c>
      <c r="AG8" s="16" t="str">
        <f t="shared" si="53"/>
        <v/>
      </c>
      <c r="AH8" s="17" t="str">
        <f t="shared" si="54"/>
        <v/>
      </c>
      <c r="AI8" s="18" t="str">
        <f t="shared" si="55"/>
        <v/>
      </c>
      <c r="AJ8" s="18" t="str">
        <f t="shared" si="56"/>
        <v/>
      </c>
      <c r="AK8" s="109" t="str" cm="1">
        <f t="array" ref="AK8">IFERROR(
    _xlfn.LET(
        _xlpm.result, INDEX(_xlfn._xlws.FILTER(ST[6wk avg], (ST[Code]=$C8)*(ST[Customer Name]=AD$3), ""), 1),
        IF(_xlpm.result=0, "", _xlpm.result)
    ),
"")</f>
        <v/>
      </c>
      <c r="AL8" s="102" t="str">
        <f t="shared" si="57"/>
        <v/>
      </c>
      <c r="AM8" s="70" t="str">
        <f t="shared" si="58"/>
        <v/>
      </c>
      <c r="AN8" s="83" t="str">
        <f t="shared" si="59"/>
        <v/>
      </c>
      <c r="AO8" s="77"/>
      <c r="AP8" s="108" t="str" cm="1">
        <f t="array" ref="AP8">IFERROR(_xlfn._xlws.FILTER(#REF!,(#REF!=$C8) * (#REF!=AP$3),"" ),"")</f>
        <v/>
      </c>
      <c r="AQ8" s="68" t="str" cm="1">
        <f t="array" ref="AQ8">IFERROR(_xlfn.XLOOKUP($C8,Master_Price_Level_NZ[Code],INDEX(Master_Price_Level_NZ[], , MATCH('Promo Form'!AP$3, Master_Price_Level_NZ[#Headers], 0))),"")</f>
        <v/>
      </c>
      <c r="AR8" s="16" t="str">
        <f t="shared" si="60"/>
        <v/>
      </c>
      <c r="AS8" s="16" t="str">
        <f t="shared" si="61"/>
        <v/>
      </c>
      <c r="AT8" s="17" t="str">
        <f t="shared" si="62"/>
        <v/>
      </c>
      <c r="AU8" s="18" t="str">
        <f t="shared" si="63"/>
        <v/>
      </c>
      <c r="AV8" s="18" t="str">
        <f t="shared" si="64"/>
        <v/>
      </c>
      <c r="AW8" s="109" t="str" cm="1">
        <f t="array" ref="AW8">IFERROR(
    _xlfn.LET(
        _xlpm.result, INDEX(_xlfn._xlws.FILTER(ST[6wk avg], (ST[Code]=$C8)*(ST[Customer Name]=AP$3), ""), 1),
        IF(_xlpm.result=0, "", _xlpm.result)
    ),
"")</f>
        <v/>
      </c>
      <c r="AX8" s="102" t="str">
        <f t="shared" si="65"/>
        <v/>
      </c>
      <c r="AY8" s="70" t="str">
        <f t="shared" si="66"/>
        <v/>
      </c>
      <c r="AZ8" s="83" t="str">
        <f t="shared" si="67"/>
        <v/>
      </c>
      <c r="BA8" s="77"/>
      <c r="BB8" s="108" t="str" cm="1">
        <f t="array" ref="BB8">IFERROR(_xlfn._xlws.FILTER(#REF!,(#REF!=$C8) * (#REF!=BB$3),"" ),"")</f>
        <v/>
      </c>
      <c r="BC8" s="68" t="str" cm="1">
        <f t="array" ref="BC8">IFERROR(_xlfn.XLOOKUP($C8,Master_Price_Level_NZ[Code],INDEX(Master_Price_Level_NZ[], , MATCH('Promo Form'!BB$3, Master_Price_Level_NZ[#Headers], 0))),"")</f>
        <v/>
      </c>
      <c r="BD8" s="16" t="str">
        <f t="shared" si="68"/>
        <v/>
      </c>
      <c r="BE8" s="16" t="str">
        <f t="shared" si="69"/>
        <v/>
      </c>
      <c r="BF8" s="17" t="str">
        <f t="shared" si="70"/>
        <v/>
      </c>
      <c r="BG8" s="18" t="str">
        <f t="shared" si="71"/>
        <v/>
      </c>
      <c r="BH8" s="18" t="str">
        <f t="shared" si="72"/>
        <v/>
      </c>
      <c r="BI8" s="109" t="str" cm="1">
        <f t="array" ref="BI8">IFERROR(
    _xlfn.LET(
        _xlpm.result, INDEX(_xlfn._xlws.FILTER(ST[6wk avg], (ST[Code]=$C8)*(ST[Customer Name]=BB$3), ""), 1),
        IF(_xlpm.result=0, "", _xlpm.result)
    ),
"")</f>
        <v/>
      </c>
      <c r="BJ8" s="102" t="str">
        <f t="shared" si="73"/>
        <v/>
      </c>
      <c r="BK8" s="70" t="str">
        <f t="shared" si="74"/>
        <v/>
      </c>
      <c r="BL8" s="83" t="str">
        <f t="shared" si="75"/>
        <v/>
      </c>
      <c r="BM8" s="77"/>
      <c r="BN8" s="108" t="str" cm="1">
        <f t="array" ref="BN8">IFERROR(_xlfn._xlws.FILTER(#REF!,(#REF!=$C8) * (#REF!=BN$3),"" ),"")</f>
        <v/>
      </c>
      <c r="BO8" s="68" t="str" cm="1">
        <f t="array" ref="BO8">IFERROR(_xlfn.XLOOKUP($C8,Master_Price_Level_NZ[Code],INDEX(Master_Price_Level_NZ[], , MATCH('Promo Form'!BN$3, Master_Price_Level_NZ[#Headers], 0))),"")</f>
        <v/>
      </c>
      <c r="BP8" s="16" t="str">
        <f t="shared" si="76"/>
        <v/>
      </c>
      <c r="BQ8" s="16" t="str">
        <f t="shared" si="77"/>
        <v/>
      </c>
      <c r="BR8" s="17" t="str">
        <f t="shared" si="78"/>
        <v/>
      </c>
      <c r="BS8" s="18" t="str">
        <f t="shared" si="79"/>
        <v/>
      </c>
      <c r="BT8" s="18" t="str">
        <f t="shared" si="80"/>
        <v/>
      </c>
      <c r="BU8" s="109" t="str" cm="1">
        <f t="array" ref="BU8">IFERROR(
    _xlfn.LET(
        _xlpm.result, INDEX(_xlfn._xlws.FILTER(ST[6wk avg], (ST[Code]=$C8)*(ST[Customer Name]=BN$3), ""), 1),
        IF(_xlpm.result=0, "", _xlpm.result)
    ),
"")</f>
        <v/>
      </c>
      <c r="BV8" s="102" t="str">
        <f t="shared" si="81"/>
        <v/>
      </c>
      <c r="BW8" s="70" t="str">
        <f t="shared" si="82"/>
        <v/>
      </c>
      <c r="BX8" s="83" t="str">
        <f t="shared" si="83"/>
        <v/>
      </c>
      <c r="BY8" s="77"/>
      <c r="BZ8" s="108" t="str" cm="1">
        <f t="array" ref="BZ8">IFERROR(_xlfn._xlws.FILTER(#REF!,(#REF!=$C8) * (#REF!=BZ$3),"" ),"")</f>
        <v/>
      </c>
      <c r="CA8" s="68" t="str" cm="1">
        <f t="array" ref="CA8">IFERROR(_xlfn.XLOOKUP($C8,Master_Price_Level_NZ[Code],INDEX(Master_Price_Level_NZ[], , MATCH('Promo Form'!BZ$3, Master_Price_Level_NZ[#Headers], 0))),"")</f>
        <v/>
      </c>
      <c r="CB8" s="16" t="str">
        <f t="shared" si="84"/>
        <v/>
      </c>
      <c r="CC8" s="16" t="str">
        <f t="shared" si="85"/>
        <v/>
      </c>
      <c r="CD8" s="17" t="str">
        <f t="shared" si="86"/>
        <v/>
      </c>
      <c r="CE8" s="18" t="str">
        <f t="shared" si="87"/>
        <v/>
      </c>
      <c r="CF8" s="18" t="str">
        <f t="shared" si="88"/>
        <v/>
      </c>
      <c r="CG8" s="109" t="str" cm="1">
        <f t="array" ref="CG8">IFERROR(
    _xlfn.LET(
        _xlpm.result, INDEX(_xlfn._xlws.FILTER(ST[6wk avg], (ST[Code]=$C8)*(ST[Customer Name]=BZ$3), ""), 1),
        IF(_xlpm.result=0, "", _xlpm.result)
    ),
"")</f>
        <v/>
      </c>
      <c r="CH8" s="102" t="str">
        <f t="shared" si="89"/>
        <v/>
      </c>
      <c r="CI8" s="70" t="str">
        <f t="shared" si="90"/>
        <v/>
      </c>
      <c r="CJ8" s="83" t="str">
        <f t="shared" si="91"/>
        <v/>
      </c>
      <c r="CK8" s="77"/>
      <c r="CL8" s="17" t="str">
        <f>IFERROR(_xlfn.XLOOKUP(C8,Master_Price_Level_NZ[Code],Master_Price_Level_NZ[Base (RRP Inc)]),"")</f>
        <v/>
      </c>
      <c r="CM8" s="17" t="str">
        <f t="shared" si="92"/>
        <v/>
      </c>
      <c r="CN8" s="107" t="str">
        <f t="shared" si="32"/>
        <v/>
      </c>
      <c r="CO8" s="17" t="str">
        <f t="shared" si="33"/>
        <v/>
      </c>
      <c r="CP8" s="98"/>
    </row>
    <row r="9" spans="1:94" x14ac:dyDescent="0.2">
      <c r="A9" s="106" t="str">
        <f t="shared" si="34"/>
        <v/>
      </c>
      <c r="B9" s="106" t="str">
        <f t="shared" si="35"/>
        <v/>
      </c>
      <c r="C9" s="13"/>
      <c r="D9" s="14" t="str">
        <f>IF(C9="", "",_xlfn.XLOOKUP(C9,'Master Price Level NZ'!B:B,'Master Price Level NZ'!C:C))</f>
        <v/>
      </c>
      <c r="E9" s="15"/>
      <c r="F9" s="108"/>
      <c r="G9" s="68" t="str" cm="1">
        <f t="array" ref="G9">IFERROR(_xlfn.XLOOKUP($C9,Master_Price_Level_NZ[Code],INDEX(Master_Price_Level_NZ[], , MATCH('Promo Form'!F$3, Master_Price_Level_NZ[#Headers], 0))),"")</f>
        <v/>
      </c>
      <c r="H9" s="16" t="str">
        <f t="shared" si="36"/>
        <v/>
      </c>
      <c r="I9" s="16" t="str">
        <f t="shared" si="37"/>
        <v/>
      </c>
      <c r="J9" s="17" t="str">
        <f t="shared" si="38"/>
        <v/>
      </c>
      <c r="K9" s="18" t="str">
        <f t="shared" si="39"/>
        <v/>
      </c>
      <c r="L9" s="18" t="str">
        <f t="shared" si="40"/>
        <v/>
      </c>
      <c r="M9" s="109" t="str" cm="1">
        <f t="array" ref="M9">IF($C9="","",IFERROR(_xlfn._xlws.FILTER(ST[6wk avg],(ST[Code]=$C9)*(ST[Customer Name]=F$3),""),""))</f>
        <v/>
      </c>
      <c r="N9" s="102" t="str">
        <f t="shared" si="41"/>
        <v/>
      </c>
      <c r="O9" s="70" t="str">
        <f t="shared" si="42"/>
        <v/>
      </c>
      <c r="P9" s="83" t="str">
        <f t="shared" si="43"/>
        <v/>
      </c>
      <c r="Q9" s="77"/>
      <c r="R9" s="108" t="str" cm="1">
        <f t="array" ref="R9">IFERROR(_xlfn._xlws.FILTER(#REF!,(#REF!=$C9) * (#REF!=R$3),"" ),"")</f>
        <v/>
      </c>
      <c r="S9" s="68" t="str" cm="1">
        <f t="array" ref="S9">IFERROR(_xlfn.XLOOKUP($C9,Master_Price_Level_NZ[Code],INDEX(Master_Price_Level_NZ[], , MATCH('Promo Form'!R$3, Master_Price_Level_NZ[#Headers], 0))),"")</f>
        <v/>
      </c>
      <c r="T9" s="16" t="str">
        <f t="shared" si="44"/>
        <v/>
      </c>
      <c r="U9" s="16" t="str">
        <f t="shared" si="45"/>
        <v/>
      </c>
      <c r="V9" s="17" t="str">
        <f t="shared" si="46"/>
        <v/>
      </c>
      <c r="W9" s="18" t="str">
        <f t="shared" si="47"/>
        <v/>
      </c>
      <c r="X9" s="18" t="str">
        <f t="shared" si="48"/>
        <v/>
      </c>
      <c r="Y9" s="109" t="str" cm="1">
        <f t="array" ref="Y9">IFERROR(
    _xlfn.LET(
        _xlpm.result, INDEX(_xlfn._xlws.FILTER(ST[6wk avg], (ST[Code]=$C9)*(ST[Customer Name]=R$3), ""), 1),
        IF(_xlpm.result=0, "", _xlpm.result)
    ),
"")</f>
        <v/>
      </c>
      <c r="Z9" s="102" t="str">
        <f t="shared" si="49"/>
        <v/>
      </c>
      <c r="AA9" s="70" t="str">
        <f t="shared" si="50"/>
        <v/>
      </c>
      <c r="AB9" s="83" t="str">
        <f t="shared" si="51"/>
        <v/>
      </c>
      <c r="AC9" s="77"/>
      <c r="AD9" s="108" t="str" cm="1">
        <f t="array" ref="AD9">IFERROR(_xlfn._xlws.FILTER(#REF!,(#REF!=$C9) * (#REF!=AD$3),"" ),"")</f>
        <v/>
      </c>
      <c r="AE9" s="68" t="str" cm="1">
        <f t="array" ref="AE9">IFERROR(_xlfn.XLOOKUP($C9,Master_Price_Level_NZ[Code],INDEX(Master_Price_Level_NZ[], , MATCH('Promo Form'!AD$3, Master_Price_Level_NZ[#Headers], 0))),"")</f>
        <v/>
      </c>
      <c r="AF9" s="16" t="str">
        <f t="shared" si="52"/>
        <v/>
      </c>
      <c r="AG9" s="16" t="str">
        <f t="shared" si="53"/>
        <v/>
      </c>
      <c r="AH9" s="17" t="str">
        <f t="shared" si="54"/>
        <v/>
      </c>
      <c r="AI9" s="18" t="str">
        <f t="shared" si="55"/>
        <v/>
      </c>
      <c r="AJ9" s="18" t="str">
        <f t="shared" si="56"/>
        <v/>
      </c>
      <c r="AK9" s="109" t="str" cm="1">
        <f t="array" ref="AK9">IFERROR(
    _xlfn.LET(
        _xlpm.result, INDEX(_xlfn._xlws.FILTER(ST[6wk avg], (ST[Code]=$C9)*(ST[Customer Name]=AD$3), ""), 1),
        IF(_xlpm.result=0, "", _xlpm.result)
    ),
"")</f>
        <v/>
      </c>
      <c r="AL9" s="102" t="str">
        <f t="shared" si="57"/>
        <v/>
      </c>
      <c r="AM9" s="70" t="str">
        <f t="shared" si="58"/>
        <v/>
      </c>
      <c r="AN9" s="83" t="str">
        <f t="shared" si="59"/>
        <v/>
      </c>
      <c r="AO9" s="77"/>
      <c r="AP9" s="108" t="str" cm="1">
        <f t="array" ref="AP9">IFERROR(_xlfn._xlws.FILTER(#REF!,(#REF!=$C9) * (#REF!=AP$3),"" ),"")</f>
        <v/>
      </c>
      <c r="AQ9" s="68" t="str" cm="1">
        <f t="array" ref="AQ9">IFERROR(_xlfn.XLOOKUP($C9,Master_Price_Level_NZ[Code],INDEX(Master_Price_Level_NZ[], , MATCH('Promo Form'!AP$3, Master_Price_Level_NZ[#Headers], 0))),"")</f>
        <v/>
      </c>
      <c r="AR9" s="16" t="str">
        <f t="shared" si="60"/>
        <v/>
      </c>
      <c r="AS9" s="16" t="str">
        <f t="shared" si="61"/>
        <v/>
      </c>
      <c r="AT9" s="17" t="str">
        <f t="shared" si="62"/>
        <v/>
      </c>
      <c r="AU9" s="18" t="str">
        <f t="shared" si="63"/>
        <v/>
      </c>
      <c r="AV9" s="18" t="str">
        <f t="shared" si="64"/>
        <v/>
      </c>
      <c r="AW9" s="109" t="str" cm="1">
        <f t="array" ref="AW9">IFERROR(
    _xlfn.LET(
        _xlpm.result, INDEX(_xlfn._xlws.FILTER(ST[6wk avg], (ST[Code]=$C9)*(ST[Customer Name]=AP$3), ""), 1),
        IF(_xlpm.result=0, "", _xlpm.result)
    ),
"")</f>
        <v/>
      </c>
      <c r="AX9" s="102" t="str">
        <f t="shared" si="65"/>
        <v/>
      </c>
      <c r="AY9" s="70" t="str">
        <f t="shared" si="66"/>
        <v/>
      </c>
      <c r="AZ9" s="83" t="str">
        <f t="shared" si="67"/>
        <v/>
      </c>
      <c r="BA9" s="77"/>
      <c r="BB9" s="108" t="str" cm="1">
        <f t="array" ref="BB9">IFERROR(_xlfn._xlws.FILTER(#REF!,(#REF!=$C9) * (#REF!=BB$3),"" ),"")</f>
        <v/>
      </c>
      <c r="BC9" s="68" t="str" cm="1">
        <f t="array" ref="BC9">IFERROR(_xlfn.XLOOKUP($C9,Master_Price_Level_NZ[Code],INDEX(Master_Price_Level_NZ[], , MATCH('Promo Form'!BB$3, Master_Price_Level_NZ[#Headers], 0))),"")</f>
        <v/>
      </c>
      <c r="BD9" s="16" t="str">
        <f t="shared" si="68"/>
        <v/>
      </c>
      <c r="BE9" s="16" t="str">
        <f t="shared" si="69"/>
        <v/>
      </c>
      <c r="BF9" s="17" t="str">
        <f t="shared" si="70"/>
        <v/>
      </c>
      <c r="BG9" s="18" t="str">
        <f t="shared" si="71"/>
        <v/>
      </c>
      <c r="BH9" s="18" t="str">
        <f t="shared" si="72"/>
        <v/>
      </c>
      <c r="BI9" s="109" t="str" cm="1">
        <f t="array" ref="BI9">IFERROR(
    _xlfn.LET(
        _xlpm.result, INDEX(_xlfn._xlws.FILTER(ST[6wk avg], (ST[Code]=$C9)*(ST[Customer Name]=BB$3), ""), 1),
        IF(_xlpm.result=0, "", _xlpm.result)
    ),
"")</f>
        <v/>
      </c>
      <c r="BJ9" s="102" t="str">
        <f t="shared" si="73"/>
        <v/>
      </c>
      <c r="BK9" s="70" t="str">
        <f t="shared" si="74"/>
        <v/>
      </c>
      <c r="BL9" s="83" t="str">
        <f t="shared" si="75"/>
        <v/>
      </c>
      <c r="BM9" s="77"/>
      <c r="BN9" s="108" t="str" cm="1">
        <f t="array" ref="BN9">IFERROR(_xlfn._xlws.FILTER(#REF!,(#REF!=$C9) * (#REF!=BN$3),"" ),"")</f>
        <v/>
      </c>
      <c r="BO9" s="68" t="str" cm="1">
        <f t="array" ref="BO9">IFERROR(_xlfn.XLOOKUP($C9,Master_Price_Level_NZ[Code],INDEX(Master_Price_Level_NZ[], , MATCH('Promo Form'!BN$3, Master_Price_Level_NZ[#Headers], 0))),"")</f>
        <v/>
      </c>
      <c r="BP9" s="16" t="str">
        <f t="shared" si="76"/>
        <v/>
      </c>
      <c r="BQ9" s="16" t="str">
        <f t="shared" si="77"/>
        <v/>
      </c>
      <c r="BR9" s="17" t="str">
        <f t="shared" si="78"/>
        <v/>
      </c>
      <c r="BS9" s="18" t="str">
        <f t="shared" si="79"/>
        <v/>
      </c>
      <c r="BT9" s="18" t="str">
        <f t="shared" si="80"/>
        <v/>
      </c>
      <c r="BU9" s="109" t="str" cm="1">
        <f t="array" ref="BU9">IFERROR(
    _xlfn.LET(
        _xlpm.result, INDEX(_xlfn._xlws.FILTER(ST[6wk avg], (ST[Code]=$C9)*(ST[Customer Name]=BN$3), ""), 1),
        IF(_xlpm.result=0, "", _xlpm.result)
    ),
"")</f>
        <v/>
      </c>
      <c r="BV9" s="102" t="str">
        <f t="shared" si="81"/>
        <v/>
      </c>
      <c r="BW9" s="70" t="str">
        <f t="shared" si="82"/>
        <v/>
      </c>
      <c r="BX9" s="83" t="str">
        <f t="shared" si="83"/>
        <v/>
      </c>
      <c r="BY9" s="77"/>
      <c r="BZ9" s="108" t="str" cm="1">
        <f t="array" ref="BZ9">IFERROR(_xlfn._xlws.FILTER(#REF!,(#REF!=$C9) * (#REF!=BZ$3),"" ),"")</f>
        <v/>
      </c>
      <c r="CA9" s="68" t="str" cm="1">
        <f t="array" ref="CA9">IFERROR(_xlfn.XLOOKUP($C9,Master_Price_Level_NZ[Code],INDEX(Master_Price_Level_NZ[], , MATCH('Promo Form'!BZ$3, Master_Price_Level_NZ[#Headers], 0))),"")</f>
        <v/>
      </c>
      <c r="CB9" s="16" t="str">
        <f t="shared" si="84"/>
        <v/>
      </c>
      <c r="CC9" s="16" t="str">
        <f t="shared" si="85"/>
        <v/>
      </c>
      <c r="CD9" s="17" t="str">
        <f t="shared" si="86"/>
        <v/>
      </c>
      <c r="CE9" s="18" t="str">
        <f t="shared" si="87"/>
        <v/>
      </c>
      <c r="CF9" s="18" t="str">
        <f t="shared" si="88"/>
        <v/>
      </c>
      <c r="CG9" s="109" t="str" cm="1">
        <f t="array" ref="CG9">IFERROR(
    _xlfn.LET(
        _xlpm.result, INDEX(_xlfn._xlws.FILTER(ST[6wk avg], (ST[Code]=$C9)*(ST[Customer Name]=BZ$3), ""), 1),
        IF(_xlpm.result=0, "", _xlpm.result)
    ),
"")</f>
        <v/>
      </c>
      <c r="CH9" s="102" t="str">
        <f t="shared" si="89"/>
        <v/>
      </c>
      <c r="CI9" s="70" t="str">
        <f t="shared" si="90"/>
        <v/>
      </c>
      <c r="CJ9" s="83" t="str">
        <f t="shared" si="91"/>
        <v/>
      </c>
      <c r="CK9" s="77"/>
      <c r="CL9" s="17" t="str">
        <f>IFERROR(_xlfn.XLOOKUP(C9,Master_Price_Level_NZ[Code],Master_Price_Level_NZ[Base (RRP Inc)]),"")</f>
        <v/>
      </c>
      <c r="CM9" s="17" t="str">
        <f t="shared" si="92"/>
        <v/>
      </c>
      <c r="CN9" s="107" t="str">
        <f t="shared" si="32"/>
        <v/>
      </c>
      <c r="CO9" s="17" t="str">
        <f t="shared" si="33"/>
        <v/>
      </c>
      <c r="CP9" s="17"/>
    </row>
    <row r="10" spans="1:94" x14ac:dyDescent="0.2">
      <c r="A10" s="106" t="str">
        <f t="shared" si="34"/>
        <v/>
      </c>
      <c r="B10" s="106" t="str">
        <f t="shared" si="35"/>
        <v/>
      </c>
      <c r="C10" s="13"/>
      <c r="D10" s="14" t="str">
        <f>IF(C10="", "",_xlfn.XLOOKUP(C10,'Master Price Level NZ'!B:B,'Master Price Level NZ'!C:C))</f>
        <v/>
      </c>
      <c r="E10" s="15"/>
      <c r="F10" s="108"/>
      <c r="G10" s="68" t="str" cm="1">
        <f t="array" ref="G10">IFERROR(_xlfn.XLOOKUP($C10,Master_Price_Level_NZ[Code],INDEX(Master_Price_Level_NZ[], , MATCH('Promo Form'!F$3, Master_Price_Level_NZ[#Headers], 0))),"")</f>
        <v/>
      </c>
      <c r="H10" s="16" t="str">
        <f t="shared" si="36"/>
        <v/>
      </c>
      <c r="I10" s="16" t="str">
        <f t="shared" si="37"/>
        <v/>
      </c>
      <c r="J10" s="17" t="str">
        <f t="shared" si="38"/>
        <v/>
      </c>
      <c r="K10" s="18" t="str">
        <f t="shared" si="39"/>
        <v/>
      </c>
      <c r="L10" s="18" t="str">
        <f t="shared" si="40"/>
        <v/>
      </c>
      <c r="M10" s="109" t="str" cm="1">
        <f t="array" ref="M10">IF($C10="","",IFERROR(_xlfn._xlws.FILTER(ST[6wk avg],(ST[Code]=$C10)*(ST[Customer Name]=F$3),""),""))</f>
        <v/>
      </c>
      <c r="N10" s="102" t="str">
        <f t="shared" si="41"/>
        <v/>
      </c>
      <c r="O10" s="70" t="str">
        <f t="shared" si="42"/>
        <v/>
      </c>
      <c r="P10" s="83" t="str">
        <f t="shared" si="43"/>
        <v/>
      </c>
      <c r="Q10" s="77"/>
      <c r="R10" s="108" t="str" cm="1">
        <f t="array" ref="R10">IFERROR(_xlfn._xlws.FILTER(#REF!,(#REF!=$C10) * (#REF!=R$3),"" ),"")</f>
        <v/>
      </c>
      <c r="S10" s="68" t="str" cm="1">
        <f t="array" ref="S10">IFERROR(_xlfn.XLOOKUP($C10,Master_Price_Level_NZ[Code],INDEX(Master_Price_Level_NZ[], , MATCH('Promo Form'!R$3, Master_Price_Level_NZ[#Headers], 0))),"")</f>
        <v/>
      </c>
      <c r="T10" s="16" t="str">
        <f t="shared" si="44"/>
        <v/>
      </c>
      <c r="U10" s="16" t="str">
        <f t="shared" si="45"/>
        <v/>
      </c>
      <c r="V10" s="17" t="str">
        <f t="shared" si="46"/>
        <v/>
      </c>
      <c r="W10" s="18" t="str">
        <f t="shared" si="47"/>
        <v/>
      </c>
      <c r="X10" s="18" t="str">
        <f t="shared" si="48"/>
        <v/>
      </c>
      <c r="Y10" s="109" t="str" cm="1">
        <f t="array" ref="Y10">IFERROR(
    _xlfn.LET(
        _xlpm.result, INDEX(_xlfn._xlws.FILTER(ST[6wk avg], (ST[Code]=$C10)*(ST[Customer Name]=R$3), ""), 1),
        IF(_xlpm.result=0, "", _xlpm.result)
    ),
"")</f>
        <v/>
      </c>
      <c r="Z10" s="102" t="str">
        <f t="shared" si="49"/>
        <v/>
      </c>
      <c r="AA10" s="70" t="str">
        <f t="shared" si="50"/>
        <v/>
      </c>
      <c r="AB10" s="83" t="str">
        <f t="shared" si="51"/>
        <v/>
      </c>
      <c r="AC10" s="77"/>
      <c r="AD10" s="108" t="str" cm="1">
        <f t="array" ref="AD10">IFERROR(_xlfn._xlws.FILTER(#REF!,(#REF!=$C10) * (#REF!=AD$3),"" ),"")</f>
        <v/>
      </c>
      <c r="AE10" s="68" t="str" cm="1">
        <f t="array" ref="AE10">IFERROR(_xlfn.XLOOKUP($C10,Master_Price_Level_NZ[Code],INDEX(Master_Price_Level_NZ[], , MATCH('Promo Form'!AD$3, Master_Price_Level_NZ[#Headers], 0))),"")</f>
        <v/>
      </c>
      <c r="AF10" s="16" t="str">
        <f t="shared" si="52"/>
        <v/>
      </c>
      <c r="AG10" s="16" t="str">
        <f t="shared" si="53"/>
        <v/>
      </c>
      <c r="AH10" s="17" t="str">
        <f t="shared" si="54"/>
        <v/>
      </c>
      <c r="AI10" s="18" t="str">
        <f t="shared" si="55"/>
        <v/>
      </c>
      <c r="AJ10" s="18" t="str">
        <f t="shared" si="56"/>
        <v/>
      </c>
      <c r="AK10" s="109" t="str" cm="1">
        <f t="array" ref="AK10">IFERROR(
    _xlfn.LET(
        _xlpm.result, INDEX(_xlfn._xlws.FILTER(ST[6wk avg], (ST[Code]=$C10)*(ST[Customer Name]=AD$3), ""), 1),
        IF(_xlpm.result=0, "", _xlpm.result)
    ),
"")</f>
        <v/>
      </c>
      <c r="AL10" s="102" t="str">
        <f t="shared" si="57"/>
        <v/>
      </c>
      <c r="AM10" s="70" t="str">
        <f t="shared" si="58"/>
        <v/>
      </c>
      <c r="AN10" s="83" t="str">
        <f t="shared" si="59"/>
        <v/>
      </c>
      <c r="AO10" s="77"/>
      <c r="AP10" s="108" t="str" cm="1">
        <f t="array" ref="AP10">IFERROR(_xlfn._xlws.FILTER(#REF!,(#REF!=$C10) * (#REF!=AP$3),"" ),"")</f>
        <v/>
      </c>
      <c r="AQ10" s="68" t="str" cm="1">
        <f t="array" ref="AQ10">IFERROR(_xlfn.XLOOKUP($C10,Master_Price_Level_NZ[Code],INDEX(Master_Price_Level_NZ[], , MATCH('Promo Form'!AP$3, Master_Price_Level_NZ[#Headers], 0))),"")</f>
        <v/>
      </c>
      <c r="AR10" s="16" t="str">
        <f t="shared" si="60"/>
        <v/>
      </c>
      <c r="AS10" s="16" t="str">
        <f t="shared" si="61"/>
        <v/>
      </c>
      <c r="AT10" s="17" t="str">
        <f t="shared" si="62"/>
        <v/>
      </c>
      <c r="AU10" s="18" t="str">
        <f t="shared" si="63"/>
        <v/>
      </c>
      <c r="AV10" s="18" t="str">
        <f t="shared" si="64"/>
        <v/>
      </c>
      <c r="AW10" s="109" t="str" cm="1">
        <f t="array" ref="AW10">IFERROR(
    _xlfn.LET(
        _xlpm.result, INDEX(_xlfn._xlws.FILTER(ST[6wk avg], (ST[Code]=$C10)*(ST[Customer Name]=AP$3), ""), 1),
        IF(_xlpm.result=0, "", _xlpm.result)
    ),
"")</f>
        <v/>
      </c>
      <c r="AX10" s="102" t="str">
        <f t="shared" si="65"/>
        <v/>
      </c>
      <c r="AY10" s="70" t="str">
        <f t="shared" si="66"/>
        <v/>
      </c>
      <c r="AZ10" s="83" t="str">
        <f t="shared" si="67"/>
        <v/>
      </c>
      <c r="BA10" s="77"/>
      <c r="BB10" s="108" t="str" cm="1">
        <f t="array" ref="BB10">IFERROR(_xlfn._xlws.FILTER(#REF!,(#REF!=$C10) * (#REF!=BB$3),"" ),"")</f>
        <v/>
      </c>
      <c r="BC10" s="68" t="str" cm="1">
        <f t="array" ref="BC10">IFERROR(_xlfn.XLOOKUP($C10,Master_Price_Level_NZ[Code],INDEX(Master_Price_Level_NZ[], , MATCH('Promo Form'!BB$3, Master_Price_Level_NZ[#Headers], 0))),"")</f>
        <v/>
      </c>
      <c r="BD10" s="16" t="str">
        <f t="shared" si="68"/>
        <v/>
      </c>
      <c r="BE10" s="16" t="str">
        <f t="shared" si="69"/>
        <v/>
      </c>
      <c r="BF10" s="17" t="str">
        <f t="shared" si="70"/>
        <v/>
      </c>
      <c r="BG10" s="18" t="str">
        <f t="shared" si="71"/>
        <v/>
      </c>
      <c r="BH10" s="18" t="str">
        <f t="shared" si="72"/>
        <v/>
      </c>
      <c r="BI10" s="109" t="str" cm="1">
        <f t="array" ref="BI10">IFERROR(
    _xlfn.LET(
        _xlpm.result, INDEX(_xlfn._xlws.FILTER(ST[6wk avg], (ST[Code]=$C10)*(ST[Customer Name]=BB$3), ""), 1),
        IF(_xlpm.result=0, "", _xlpm.result)
    ),
"")</f>
        <v/>
      </c>
      <c r="BJ10" s="102" t="str">
        <f t="shared" si="73"/>
        <v/>
      </c>
      <c r="BK10" s="70" t="str">
        <f t="shared" si="74"/>
        <v/>
      </c>
      <c r="BL10" s="83" t="str">
        <f t="shared" si="75"/>
        <v/>
      </c>
      <c r="BM10" s="77"/>
      <c r="BN10" s="108" t="str" cm="1">
        <f t="array" ref="BN10">IFERROR(_xlfn._xlws.FILTER(#REF!,(#REF!=$C10) * (#REF!=BN$3),"" ),"")</f>
        <v/>
      </c>
      <c r="BO10" s="68" t="str" cm="1">
        <f t="array" ref="BO10">IFERROR(_xlfn.XLOOKUP($C10,Master_Price_Level_NZ[Code],INDEX(Master_Price_Level_NZ[], , MATCH('Promo Form'!BN$3, Master_Price_Level_NZ[#Headers], 0))),"")</f>
        <v/>
      </c>
      <c r="BP10" s="16" t="str">
        <f t="shared" si="76"/>
        <v/>
      </c>
      <c r="BQ10" s="16" t="str">
        <f t="shared" si="77"/>
        <v/>
      </c>
      <c r="BR10" s="17" t="str">
        <f t="shared" si="78"/>
        <v/>
      </c>
      <c r="BS10" s="18" t="str">
        <f t="shared" si="79"/>
        <v/>
      </c>
      <c r="BT10" s="18" t="str">
        <f t="shared" si="80"/>
        <v/>
      </c>
      <c r="BU10" s="109" t="str" cm="1">
        <f t="array" ref="BU10">IFERROR(
    _xlfn.LET(
        _xlpm.result, INDEX(_xlfn._xlws.FILTER(ST[6wk avg], (ST[Code]=$C10)*(ST[Customer Name]=BN$3), ""), 1),
        IF(_xlpm.result=0, "", _xlpm.result)
    ),
"")</f>
        <v/>
      </c>
      <c r="BV10" s="102" t="str">
        <f t="shared" si="81"/>
        <v/>
      </c>
      <c r="BW10" s="70" t="str">
        <f t="shared" si="82"/>
        <v/>
      </c>
      <c r="BX10" s="83" t="str">
        <f t="shared" si="83"/>
        <v/>
      </c>
      <c r="BY10" s="77"/>
      <c r="BZ10" s="108" t="str" cm="1">
        <f t="array" ref="BZ10">IFERROR(_xlfn._xlws.FILTER(#REF!,(#REF!=$C10) * (#REF!=BZ$3),"" ),"")</f>
        <v/>
      </c>
      <c r="CA10" s="68" t="str" cm="1">
        <f t="array" ref="CA10">IFERROR(_xlfn.XLOOKUP($C10,Master_Price_Level_NZ[Code],INDEX(Master_Price_Level_NZ[], , MATCH('Promo Form'!BZ$3, Master_Price_Level_NZ[#Headers], 0))),"")</f>
        <v/>
      </c>
      <c r="CB10" s="16" t="str">
        <f t="shared" si="84"/>
        <v/>
      </c>
      <c r="CC10" s="16" t="str">
        <f t="shared" si="85"/>
        <v/>
      </c>
      <c r="CD10" s="17" t="str">
        <f t="shared" si="86"/>
        <v/>
      </c>
      <c r="CE10" s="18" t="str">
        <f t="shared" si="87"/>
        <v/>
      </c>
      <c r="CF10" s="18" t="str">
        <f t="shared" si="88"/>
        <v/>
      </c>
      <c r="CG10" s="109" t="str" cm="1">
        <f t="array" ref="CG10">IFERROR(
    _xlfn.LET(
        _xlpm.result, INDEX(_xlfn._xlws.FILTER(ST[6wk avg], (ST[Code]=$C10)*(ST[Customer Name]=BZ$3), ""), 1),
        IF(_xlpm.result=0, "", _xlpm.result)
    ),
"")</f>
        <v/>
      </c>
      <c r="CH10" s="102" t="str">
        <f t="shared" si="89"/>
        <v/>
      </c>
      <c r="CI10" s="70" t="str">
        <f t="shared" si="90"/>
        <v/>
      </c>
      <c r="CJ10" s="83" t="str">
        <f t="shared" si="91"/>
        <v/>
      </c>
      <c r="CK10" s="77"/>
      <c r="CL10" s="17" t="str">
        <f>IFERROR(_xlfn.XLOOKUP(C10,Master_Price_Level_NZ[Code],Master_Price_Level_NZ[Base (RRP Inc)]),"")</f>
        <v/>
      </c>
      <c r="CM10" s="17" t="str">
        <f t="shared" si="92"/>
        <v/>
      </c>
      <c r="CN10" s="107" t="str">
        <f t="shared" si="32"/>
        <v/>
      </c>
      <c r="CO10" s="17" t="str">
        <f t="shared" si="33"/>
        <v/>
      </c>
      <c r="CP10" s="17"/>
    </row>
    <row r="11" spans="1:94" x14ac:dyDescent="0.2">
      <c r="A11" s="106" t="str">
        <f t="shared" si="34"/>
        <v/>
      </c>
      <c r="B11" s="106" t="str">
        <f t="shared" si="35"/>
        <v/>
      </c>
      <c r="C11" s="13"/>
      <c r="D11" s="14" t="str">
        <f>IF(C11="", "",_xlfn.XLOOKUP(C11,'Master Price Level NZ'!B:B,'Master Price Level NZ'!C:C))</f>
        <v/>
      </c>
      <c r="E11" s="15"/>
      <c r="F11" s="108"/>
      <c r="G11" s="68" t="str" cm="1">
        <f t="array" ref="G11">IFERROR(_xlfn.XLOOKUP($C11,Master_Price_Level_NZ[Code],INDEX(Master_Price_Level_NZ[], , MATCH('Promo Form'!F$3, Master_Price_Level_NZ[#Headers], 0))),"")</f>
        <v/>
      </c>
      <c r="H11" s="16" t="str">
        <f t="shared" si="36"/>
        <v/>
      </c>
      <c r="I11" s="16" t="str">
        <f t="shared" si="37"/>
        <v/>
      </c>
      <c r="J11" s="17" t="str">
        <f t="shared" si="38"/>
        <v/>
      </c>
      <c r="K11" s="18" t="str">
        <f t="shared" si="39"/>
        <v/>
      </c>
      <c r="L11" s="18" t="str">
        <f t="shared" si="40"/>
        <v/>
      </c>
      <c r="M11" s="109" t="str" cm="1">
        <f t="array" ref="M11">IF($C11="","",IFERROR(_xlfn._xlws.FILTER(ST[6wk avg],(ST[Code]=$C11)*(ST[Customer Name]=F$3),""),""))</f>
        <v/>
      </c>
      <c r="N11" s="102" t="str">
        <f t="shared" si="41"/>
        <v/>
      </c>
      <c r="O11" s="70" t="str">
        <f t="shared" si="42"/>
        <v/>
      </c>
      <c r="P11" s="83" t="str">
        <f t="shared" si="43"/>
        <v/>
      </c>
      <c r="Q11" s="77"/>
      <c r="R11" s="108" t="str" cm="1">
        <f t="array" ref="R11">IFERROR(_xlfn._xlws.FILTER(#REF!,(#REF!=$C11) * (#REF!=R$3),"" ),"")</f>
        <v/>
      </c>
      <c r="S11" s="68" t="str" cm="1">
        <f t="array" ref="S11">IFERROR(_xlfn.XLOOKUP($C11,Master_Price_Level_NZ[Code],INDEX(Master_Price_Level_NZ[], , MATCH('Promo Form'!R$3, Master_Price_Level_NZ[#Headers], 0))),"")</f>
        <v/>
      </c>
      <c r="T11" s="16" t="str">
        <f t="shared" si="44"/>
        <v/>
      </c>
      <c r="U11" s="16" t="str">
        <f t="shared" si="45"/>
        <v/>
      </c>
      <c r="V11" s="17" t="str">
        <f t="shared" si="46"/>
        <v/>
      </c>
      <c r="W11" s="18" t="str">
        <f t="shared" si="47"/>
        <v/>
      </c>
      <c r="X11" s="18" t="str">
        <f t="shared" si="48"/>
        <v/>
      </c>
      <c r="Y11" s="109" t="str" cm="1">
        <f t="array" ref="Y11">IFERROR(
    _xlfn.LET(
        _xlpm.result, INDEX(_xlfn._xlws.FILTER(ST[6wk avg], (ST[Code]=$C11)*(ST[Customer Name]=R$3), ""), 1),
        IF(_xlpm.result=0, "", _xlpm.result)
    ),
"")</f>
        <v/>
      </c>
      <c r="Z11" s="102" t="str">
        <f t="shared" si="49"/>
        <v/>
      </c>
      <c r="AA11" s="70" t="str">
        <f t="shared" si="50"/>
        <v/>
      </c>
      <c r="AB11" s="83" t="str">
        <f t="shared" si="51"/>
        <v/>
      </c>
      <c r="AC11" s="77"/>
      <c r="AD11" s="108" t="str" cm="1">
        <f t="array" ref="AD11">IFERROR(_xlfn._xlws.FILTER(#REF!,(#REF!=$C11) * (#REF!=AD$3),"" ),"")</f>
        <v/>
      </c>
      <c r="AE11" s="68" t="str" cm="1">
        <f t="array" ref="AE11">IFERROR(_xlfn.XLOOKUP($C11,Master_Price_Level_NZ[Code],INDEX(Master_Price_Level_NZ[], , MATCH('Promo Form'!AD$3, Master_Price_Level_NZ[#Headers], 0))),"")</f>
        <v/>
      </c>
      <c r="AF11" s="16" t="str">
        <f t="shared" si="52"/>
        <v/>
      </c>
      <c r="AG11" s="16" t="str">
        <f t="shared" si="53"/>
        <v/>
      </c>
      <c r="AH11" s="17" t="str">
        <f t="shared" si="54"/>
        <v/>
      </c>
      <c r="AI11" s="18" t="str">
        <f t="shared" si="55"/>
        <v/>
      </c>
      <c r="AJ11" s="18" t="str">
        <f t="shared" si="56"/>
        <v/>
      </c>
      <c r="AK11" s="109" t="str" cm="1">
        <f t="array" ref="AK11">IFERROR(
    _xlfn.LET(
        _xlpm.result, INDEX(_xlfn._xlws.FILTER(ST[6wk avg], (ST[Code]=$C11)*(ST[Customer Name]=AD$3), ""), 1),
        IF(_xlpm.result=0, "", _xlpm.result)
    ),
"")</f>
        <v/>
      </c>
      <c r="AL11" s="102" t="str">
        <f t="shared" si="57"/>
        <v/>
      </c>
      <c r="AM11" s="70" t="str">
        <f t="shared" si="58"/>
        <v/>
      </c>
      <c r="AN11" s="83" t="str">
        <f t="shared" si="59"/>
        <v/>
      </c>
      <c r="AO11" s="77"/>
      <c r="AP11" s="108" t="str" cm="1">
        <f t="array" ref="AP11">IFERROR(_xlfn._xlws.FILTER(#REF!,(#REF!=$C11) * (#REF!=AP$3),"" ),"")</f>
        <v/>
      </c>
      <c r="AQ11" s="68" t="str" cm="1">
        <f t="array" ref="AQ11">IFERROR(_xlfn.XLOOKUP($C11,Master_Price_Level_NZ[Code],INDEX(Master_Price_Level_NZ[], , MATCH('Promo Form'!AP$3, Master_Price_Level_NZ[#Headers], 0))),"")</f>
        <v/>
      </c>
      <c r="AR11" s="16" t="str">
        <f t="shared" si="60"/>
        <v/>
      </c>
      <c r="AS11" s="16" t="str">
        <f t="shared" si="61"/>
        <v/>
      </c>
      <c r="AT11" s="17" t="str">
        <f t="shared" si="62"/>
        <v/>
      </c>
      <c r="AU11" s="18" t="str">
        <f t="shared" si="63"/>
        <v/>
      </c>
      <c r="AV11" s="18" t="str">
        <f t="shared" si="64"/>
        <v/>
      </c>
      <c r="AW11" s="109" t="str" cm="1">
        <f t="array" ref="AW11">IFERROR(
    _xlfn.LET(
        _xlpm.result, INDEX(_xlfn._xlws.FILTER(ST[6wk avg], (ST[Code]=$C11)*(ST[Customer Name]=AP$3), ""), 1),
        IF(_xlpm.result=0, "", _xlpm.result)
    ),
"")</f>
        <v/>
      </c>
      <c r="AX11" s="102" t="str">
        <f t="shared" si="65"/>
        <v/>
      </c>
      <c r="AY11" s="70" t="str">
        <f t="shared" si="66"/>
        <v/>
      </c>
      <c r="AZ11" s="83" t="str">
        <f t="shared" si="67"/>
        <v/>
      </c>
      <c r="BA11" s="77"/>
      <c r="BB11" s="108" t="str" cm="1">
        <f t="array" ref="BB11">IFERROR(_xlfn._xlws.FILTER(#REF!,(#REF!=$C11) * (#REF!=BB$3),"" ),"")</f>
        <v/>
      </c>
      <c r="BC11" s="68" t="str" cm="1">
        <f t="array" ref="BC11">IFERROR(_xlfn.XLOOKUP($C11,Master_Price_Level_NZ[Code],INDEX(Master_Price_Level_NZ[], , MATCH('Promo Form'!BB$3, Master_Price_Level_NZ[#Headers], 0))),"")</f>
        <v/>
      </c>
      <c r="BD11" s="16" t="str">
        <f t="shared" si="68"/>
        <v/>
      </c>
      <c r="BE11" s="16" t="str">
        <f t="shared" si="69"/>
        <v/>
      </c>
      <c r="BF11" s="17" t="str">
        <f t="shared" si="70"/>
        <v/>
      </c>
      <c r="BG11" s="18" t="str">
        <f t="shared" si="71"/>
        <v/>
      </c>
      <c r="BH11" s="18" t="str">
        <f t="shared" si="72"/>
        <v/>
      </c>
      <c r="BI11" s="109" t="str" cm="1">
        <f t="array" ref="BI11">IFERROR(
    _xlfn.LET(
        _xlpm.result, INDEX(_xlfn._xlws.FILTER(ST[6wk avg], (ST[Code]=$C11)*(ST[Customer Name]=BB$3), ""), 1),
        IF(_xlpm.result=0, "", _xlpm.result)
    ),
"")</f>
        <v/>
      </c>
      <c r="BJ11" s="102" t="str">
        <f t="shared" si="73"/>
        <v/>
      </c>
      <c r="BK11" s="70" t="str">
        <f t="shared" si="74"/>
        <v/>
      </c>
      <c r="BL11" s="83" t="str">
        <f t="shared" si="75"/>
        <v/>
      </c>
      <c r="BM11" s="77"/>
      <c r="BN11" s="108" t="str" cm="1">
        <f t="array" ref="BN11">IFERROR(_xlfn._xlws.FILTER(#REF!,(#REF!=$C11) * (#REF!=BN$3),"" ),"")</f>
        <v/>
      </c>
      <c r="BO11" s="68" t="str" cm="1">
        <f t="array" ref="BO11">IFERROR(_xlfn.XLOOKUP($C11,Master_Price_Level_NZ[Code],INDEX(Master_Price_Level_NZ[], , MATCH('Promo Form'!BN$3, Master_Price_Level_NZ[#Headers], 0))),"")</f>
        <v/>
      </c>
      <c r="BP11" s="16" t="str">
        <f t="shared" si="76"/>
        <v/>
      </c>
      <c r="BQ11" s="16" t="str">
        <f t="shared" si="77"/>
        <v/>
      </c>
      <c r="BR11" s="17" t="str">
        <f t="shared" si="78"/>
        <v/>
      </c>
      <c r="BS11" s="18" t="str">
        <f t="shared" si="79"/>
        <v/>
      </c>
      <c r="BT11" s="18" t="str">
        <f t="shared" si="80"/>
        <v/>
      </c>
      <c r="BU11" s="109" t="str" cm="1">
        <f t="array" ref="BU11">IFERROR(
    _xlfn.LET(
        _xlpm.result, INDEX(_xlfn._xlws.FILTER(ST[6wk avg], (ST[Code]=$C11)*(ST[Customer Name]=BN$3), ""), 1),
        IF(_xlpm.result=0, "", _xlpm.result)
    ),
"")</f>
        <v/>
      </c>
      <c r="BV11" s="102" t="str">
        <f t="shared" si="81"/>
        <v/>
      </c>
      <c r="BW11" s="70" t="str">
        <f t="shared" si="82"/>
        <v/>
      </c>
      <c r="BX11" s="83" t="str">
        <f t="shared" si="83"/>
        <v/>
      </c>
      <c r="BY11" s="77"/>
      <c r="BZ11" s="108" t="str" cm="1">
        <f t="array" ref="BZ11">IFERROR(_xlfn._xlws.FILTER(#REF!,(#REF!=$C11) * (#REF!=BZ$3),"" ),"")</f>
        <v/>
      </c>
      <c r="CA11" s="68" t="str" cm="1">
        <f t="array" ref="CA11">IFERROR(_xlfn.XLOOKUP($C11,Master_Price_Level_NZ[Code],INDEX(Master_Price_Level_NZ[], , MATCH('Promo Form'!BZ$3, Master_Price_Level_NZ[#Headers], 0))),"")</f>
        <v/>
      </c>
      <c r="CB11" s="16" t="str">
        <f t="shared" si="84"/>
        <v/>
      </c>
      <c r="CC11" s="16" t="str">
        <f t="shared" si="85"/>
        <v/>
      </c>
      <c r="CD11" s="17" t="str">
        <f t="shared" si="86"/>
        <v/>
      </c>
      <c r="CE11" s="18" t="str">
        <f t="shared" si="87"/>
        <v/>
      </c>
      <c r="CF11" s="18" t="str">
        <f t="shared" si="88"/>
        <v/>
      </c>
      <c r="CG11" s="109" t="str" cm="1">
        <f t="array" ref="CG11">IFERROR(
    _xlfn.LET(
        _xlpm.result, INDEX(_xlfn._xlws.FILTER(ST[6wk avg], (ST[Code]=$C11)*(ST[Customer Name]=BZ$3), ""), 1),
        IF(_xlpm.result=0, "", _xlpm.result)
    ),
"")</f>
        <v/>
      </c>
      <c r="CH11" s="102" t="str">
        <f t="shared" si="89"/>
        <v/>
      </c>
      <c r="CI11" s="70" t="str">
        <f t="shared" si="90"/>
        <v/>
      </c>
      <c r="CJ11" s="83" t="str">
        <f t="shared" si="91"/>
        <v/>
      </c>
      <c r="CK11" s="77"/>
      <c r="CL11" s="17" t="str">
        <f>IFERROR(_xlfn.XLOOKUP(C11,Master_Price_Level_NZ[Code],Master_Price_Level_NZ[Base (RRP Inc)]),"")</f>
        <v/>
      </c>
      <c r="CM11" s="17" t="str">
        <f t="shared" si="92"/>
        <v/>
      </c>
      <c r="CN11" s="107" t="str">
        <f t="shared" si="32"/>
        <v/>
      </c>
      <c r="CO11" s="17" t="str">
        <f t="shared" si="33"/>
        <v/>
      </c>
      <c r="CP11" s="17"/>
    </row>
    <row r="12" spans="1:94" x14ac:dyDescent="0.2">
      <c r="A12" s="106" t="str">
        <f t="shared" si="34"/>
        <v/>
      </c>
      <c r="B12" s="106" t="str">
        <f t="shared" si="35"/>
        <v/>
      </c>
      <c r="C12" s="13"/>
      <c r="D12" s="14" t="str">
        <f>IF(C12="", "",_xlfn.XLOOKUP(C12,'Master Price Level NZ'!B:B,'Master Price Level NZ'!C:C))</f>
        <v/>
      </c>
      <c r="E12" s="15"/>
      <c r="F12" s="108"/>
      <c r="G12" s="68" t="str" cm="1">
        <f t="array" ref="G12">IFERROR(_xlfn.XLOOKUP($C12,Master_Price_Level_NZ[Code],INDEX(Master_Price_Level_NZ[], , MATCH('Promo Form'!F$3, Master_Price_Level_NZ[#Headers], 0))),"")</f>
        <v/>
      </c>
      <c r="H12" s="16" t="str">
        <f t="shared" si="36"/>
        <v/>
      </c>
      <c r="I12" s="16" t="str">
        <f t="shared" si="37"/>
        <v/>
      </c>
      <c r="J12" s="17" t="str">
        <f t="shared" si="38"/>
        <v/>
      </c>
      <c r="K12" s="18" t="str">
        <f t="shared" si="39"/>
        <v/>
      </c>
      <c r="L12" s="18" t="str">
        <f t="shared" si="40"/>
        <v/>
      </c>
      <c r="M12" s="109" t="str" cm="1">
        <f t="array" ref="M12">IF($C12="","",IFERROR(_xlfn._xlws.FILTER(ST[6wk avg],(ST[Code]=$C12)*(ST[Customer Name]=F$3),""),""))</f>
        <v/>
      </c>
      <c r="N12" s="102" t="str">
        <f t="shared" si="41"/>
        <v/>
      </c>
      <c r="O12" s="70" t="str">
        <f t="shared" si="42"/>
        <v/>
      </c>
      <c r="P12" s="83" t="str">
        <f t="shared" si="43"/>
        <v/>
      </c>
      <c r="Q12" s="77"/>
      <c r="R12" s="108" t="str" cm="1">
        <f t="array" ref="R12">IFERROR(_xlfn._xlws.FILTER(#REF!,(#REF!=$C12) * (#REF!=R$3),"" ),"")</f>
        <v/>
      </c>
      <c r="S12" s="68" t="str" cm="1">
        <f t="array" ref="S12">IFERROR(_xlfn.XLOOKUP($C12,Master_Price_Level_NZ[Code],INDEX(Master_Price_Level_NZ[], , MATCH('Promo Form'!R$3, Master_Price_Level_NZ[#Headers], 0))),"")</f>
        <v/>
      </c>
      <c r="T12" s="16" t="str">
        <f t="shared" si="44"/>
        <v/>
      </c>
      <c r="U12" s="16" t="str">
        <f t="shared" si="45"/>
        <v/>
      </c>
      <c r="V12" s="17" t="str">
        <f t="shared" si="46"/>
        <v/>
      </c>
      <c r="W12" s="18" t="str">
        <f t="shared" si="47"/>
        <v/>
      </c>
      <c r="X12" s="18" t="str">
        <f t="shared" si="48"/>
        <v/>
      </c>
      <c r="Y12" s="109" t="str" cm="1">
        <f t="array" ref="Y12">IFERROR(
    _xlfn.LET(
        _xlpm.result, INDEX(_xlfn._xlws.FILTER(ST[6wk avg], (ST[Code]=$C12)*(ST[Customer Name]=R$3), ""), 1),
        IF(_xlpm.result=0, "", _xlpm.result)
    ),
"")</f>
        <v/>
      </c>
      <c r="Z12" s="102" t="str">
        <f t="shared" si="49"/>
        <v/>
      </c>
      <c r="AA12" s="70" t="str">
        <f t="shared" si="50"/>
        <v/>
      </c>
      <c r="AB12" s="83" t="str">
        <f t="shared" si="51"/>
        <v/>
      </c>
      <c r="AC12" s="77"/>
      <c r="AD12" s="108" t="str" cm="1">
        <f t="array" ref="AD12">IFERROR(_xlfn._xlws.FILTER(#REF!,(#REF!=$C12) * (#REF!=AD$3),"" ),"")</f>
        <v/>
      </c>
      <c r="AE12" s="68" t="str" cm="1">
        <f t="array" ref="AE12">IFERROR(_xlfn.XLOOKUP($C12,Master_Price_Level_NZ[Code],INDEX(Master_Price_Level_NZ[], , MATCH('Promo Form'!AD$3, Master_Price_Level_NZ[#Headers], 0))),"")</f>
        <v/>
      </c>
      <c r="AF12" s="16" t="str">
        <f t="shared" si="52"/>
        <v/>
      </c>
      <c r="AG12" s="16" t="str">
        <f t="shared" si="53"/>
        <v/>
      </c>
      <c r="AH12" s="17" t="str">
        <f t="shared" si="54"/>
        <v/>
      </c>
      <c r="AI12" s="18" t="str">
        <f t="shared" si="55"/>
        <v/>
      </c>
      <c r="AJ12" s="18" t="str">
        <f t="shared" si="56"/>
        <v/>
      </c>
      <c r="AK12" s="109" t="str" cm="1">
        <f t="array" ref="AK12">IFERROR(
    _xlfn.LET(
        _xlpm.result, INDEX(_xlfn._xlws.FILTER(ST[6wk avg], (ST[Code]=$C12)*(ST[Customer Name]=AD$3), ""), 1),
        IF(_xlpm.result=0, "", _xlpm.result)
    ),
"")</f>
        <v/>
      </c>
      <c r="AL12" s="102" t="str">
        <f t="shared" si="57"/>
        <v/>
      </c>
      <c r="AM12" s="70" t="str">
        <f t="shared" si="58"/>
        <v/>
      </c>
      <c r="AN12" s="83" t="str">
        <f t="shared" si="59"/>
        <v/>
      </c>
      <c r="AO12" s="77"/>
      <c r="AP12" s="108" t="str" cm="1">
        <f t="array" ref="AP12">IFERROR(_xlfn._xlws.FILTER(#REF!,(#REF!=$C12) * (#REF!=AP$3),"" ),"")</f>
        <v/>
      </c>
      <c r="AQ12" s="68" t="str" cm="1">
        <f t="array" ref="AQ12">IFERROR(_xlfn.XLOOKUP($C12,Master_Price_Level_NZ[Code],INDEX(Master_Price_Level_NZ[], , MATCH('Promo Form'!AP$3, Master_Price_Level_NZ[#Headers], 0))),"")</f>
        <v/>
      </c>
      <c r="AR12" s="16" t="str">
        <f t="shared" si="60"/>
        <v/>
      </c>
      <c r="AS12" s="16" t="str">
        <f t="shared" si="61"/>
        <v/>
      </c>
      <c r="AT12" s="17" t="str">
        <f t="shared" si="62"/>
        <v/>
      </c>
      <c r="AU12" s="18" t="str">
        <f t="shared" si="63"/>
        <v/>
      </c>
      <c r="AV12" s="18" t="str">
        <f t="shared" si="64"/>
        <v/>
      </c>
      <c r="AW12" s="109" t="str" cm="1">
        <f t="array" ref="AW12">IFERROR(
    _xlfn.LET(
        _xlpm.result, INDEX(_xlfn._xlws.FILTER(ST[6wk avg], (ST[Code]=$C12)*(ST[Customer Name]=AP$3), ""), 1),
        IF(_xlpm.result=0, "", _xlpm.result)
    ),
"")</f>
        <v/>
      </c>
      <c r="AX12" s="102" t="str">
        <f t="shared" si="65"/>
        <v/>
      </c>
      <c r="AY12" s="70" t="str">
        <f t="shared" si="66"/>
        <v/>
      </c>
      <c r="AZ12" s="83" t="str">
        <f t="shared" si="67"/>
        <v/>
      </c>
      <c r="BA12" s="77"/>
      <c r="BB12" s="108" t="str" cm="1">
        <f t="array" ref="BB12">IFERROR(_xlfn._xlws.FILTER(#REF!,(#REF!=$C12) * (#REF!=BB$3),"" ),"")</f>
        <v/>
      </c>
      <c r="BC12" s="68" t="str" cm="1">
        <f t="array" ref="BC12">IFERROR(_xlfn.XLOOKUP($C12,Master_Price_Level_NZ[Code],INDEX(Master_Price_Level_NZ[], , MATCH('Promo Form'!BB$3, Master_Price_Level_NZ[#Headers], 0))),"")</f>
        <v/>
      </c>
      <c r="BD12" s="16" t="str">
        <f t="shared" si="68"/>
        <v/>
      </c>
      <c r="BE12" s="16" t="str">
        <f t="shared" si="69"/>
        <v/>
      </c>
      <c r="BF12" s="17" t="str">
        <f t="shared" si="70"/>
        <v/>
      </c>
      <c r="BG12" s="18" t="str">
        <f t="shared" si="71"/>
        <v/>
      </c>
      <c r="BH12" s="18" t="str">
        <f t="shared" si="72"/>
        <v/>
      </c>
      <c r="BI12" s="109" t="str" cm="1">
        <f t="array" ref="BI12">IFERROR(
    _xlfn.LET(
        _xlpm.result, INDEX(_xlfn._xlws.FILTER(ST[6wk avg], (ST[Code]=$C12)*(ST[Customer Name]=BB$3), ""), 1),
        IF(_xlpm.result=0, "", _xlpm.result)
    ),
"")</f>
        <v/>
      </c>
      <c r="BJ12" s="102" t="str">
        <f t="shared" si="73"/>
        <v/>
      </c>
      <c r="BK12" s="70" t="str">
        <f t="shared" si="74"/>
        <v/>
      </c>
      <c r="BL12" s="83" t="str">
        <f t="shared" si="75"/>
        <v/>
      </c>
      <c r="BM12" s="77"/>
      <c r="BN12" s="108" t="str" cm="1">
        <f t="array" ref="BN12">IFERROR(_xlfn._xlws.FILTER(#REF!,(#REF!=$C12) * (#REF!=BN$3),"" ),"")</f>
        <v/>
      </c>
      <c r="BO12" s="68" t="str" cm="1">
        <f t="array" ref="BO12">IFERROR(_xlfn.XLOOKUP($C12,Master_Price_Level_NZ[Code],INDEX(Master_Price_Level_NZ[], , MATCH('Promo Form'!BN$3, Master_Price_Level_NZ[#Headers], 0))),"")</f>
        <v/>
      </c>
      <c r="BP12" s="16" t="str">
        <f t="shared" si="76"/>
        <v/>
      </c>
      <c r="BQ12" s="16" t="str">
        <f t="shared" si="77"/>
        <v/>
      </c>
      <c r="BR12" s="17" t="str">
        <f t="shared" si="78"/>
        <v/>
      </c>
      <c r="BS12" s="18" t="str">
        <f t="shared" si="79"/>
        <v/>
      </c>
      <c r="BT12" s="18" t="str">
        <f t="shared" si="80"/>
        <v/>
      </c>
      <c r="BU12" s="109" t="str" cm="1">
        <f t="array" ref="BU12">IFERROR(
    _xlfn.LET(
        _xlpm.result, INDEX(_xlfn._xlws.FILTER(ST[6wk avg], (ST[Code]=$C12)*(ST[Customer Name]=BN$3), ""), 1),
        IF(_xlpm.result=0, "", _xlpm.result)
    ),
"")</f>
        <v/>
      </c>
      <c r="BV12" s="102" t="str">
        <f t="shared" si="81"/>
        <v/>
      </c>
      <c r="BW12" s="70" t="str">
        <f t="shared" si="82"/>
        <v/>
      </c>
      <c r="BX12" s="83" t="str">
        <f t="shared" si="83"/>
        <v/>
      </c>
      <c r="BY12" s="77"/>
      <c r="BZ12" s="108" t="str" cm="1">
        <f t="array" ref="BZ12">IFERROR(_xlfn._xlws.FILTER(#REF!,(#REF!=$C12) * (#REF!=BZ$3),"" ),"")</f>
        <v/>
      </c>
      <c r="CA12" s="68" t="str" cm="1">
        <f t="array" ref="CA12">IFERROR(_xlfn.XLOOKUP($C12,Master_Price_Level_NZ[Code],INDEX(Master_Price_Level_NZ[], , MATCH('Promo Form'!BZ$3, Master_Price_Level_NZ[#Headers], 0))),"")</f>
        <v/>
      </c>
      <c r="CB12" s="16" t="str">
        <f t="shared" si="84"/>
        <v/>
      </c>
      <c r="CC12" s="16" t="str">
        <f t="shared" si="85"/>
        <v/>
      </c>
      <c r="CD12" s="17" t="str">
        <f t="shared" si="86"/>
        <v/>
      </c>
      <c r="CE12" s="18" t="str">
        <f t="shared" si="87"/>
        <v/>
      </c>
      <c r="CF12" s="18" t="str">
        <f t="shared" si="88"/>
        <v/>
      </c>
      <c r="CG12" s="109" t="str" cm="1">
        <f t="array" ref="CG12">IFERROR(
    _xlfn.LET(
        _xlpm.result, INDEX(_xlfn._xlws.FILTER(ST[6wk avg], (ST[Code]=$C12)*(ST[Customer Name]=BZ$3), ""), 1),
        IF(_xlpm.result=0, "", _xlpm.result)
    ),
"")</f>
        <v/>
      </c>
      <c r="CH12" s="102" t="str">
        <f t="shared" si="89"/>
        <v/>
      </c>
      <c r="CI12" s="70" t="str">
        <f t="shared" si="90"/>
        <v/>
      </c>
      <c r="CJ12" s="83" t="str">
        <f t="shared" si="91"/>
        <v/>
      </c>
      <c r="CK12" s="77"/>
      <c r="CL12" s="17" t="str">
        <f>IFERROR(_xlfn.XLOOKUP(C12,Master_Price_Level_NZ[Code],Master_Price_Level_NZ[Base (RRP Inc)]),"")</f>
        <v/>
      </c>
      <c r="CM12" s="17" t="str">
        <f t="shared" si="92"/>
        <v/>
      </c>
      <c r="CN12" s="107" t="str">
        <f t="shared" si="32"/>
        <v/>
      </c>
      <c r="CO12" s="17" t="str">
        <f t="shared" si="33"/>
        <v/>
      </c>
      <c r="CP12" s="17"/>
    </row>
    <row r="13" spans="1:94" x14ac:dyDescent="0.2">
      <c r="A13" s="106" t="str">
        <f t="shared" si="34"/>
        <v/>
      </c>
      <c r="B13" s="106" t="str">
        <f t="shared" si="35"/>
        <v/>
      </c>
      <c r="C13" s="13"/>
      <c r="D13" s="14" t="str">
        <f>IF(C13="", "",_xlfn.XLOOKUP(C13,'Master Price Level NZ'!B:B,'Master Price Level NZ'!C:C))</f>
        <v/>
      </c>
      <c r="E13" s="15"/>
      <c r="F13" s="108"/>
      <c r="G13" s="68" t="str" cm="1">
        <f t="array" ref="G13">IFERROR(_xlfn.XLOOKUP($C13,Master_Price_Level_NZ[Code],INDEX(Master_Price_Level_NZ[], , MATCH('Promo Form'!F$3, Master_Price_Level_NZ[#Headers], 0))),"")</f>
        <v/>
      </c>
      <c r="H13" s="16" t="str">
        <f t="shared" si="36"/>
        <v/>
      </c>
      <c r="I13" s="16" t="str">
        <f t="shared" si="37"/>
        <v/>
      </c>
      <c r="J13" s="17" t="str">
        <f t="shared" si="38"/>
        <v/>
      </c>
      <c r="K13" s="18" t="str">
        <f t="shared" si="39"/>
        <v/>
      </c>
      <c r="L13" s="18" t="str">
        <f t="shared" si="40"/>
        <v/>
      </c>
      <c r="M13" s="109" t="str" cm="1">
        <f t="array" ref="M13">IF($C13="","",IFERROR(_xlfn._xlws.FILTER(ST[6wk avg],(ST[Code]=$C13)*(ST[Customer Name]=F$3),""),""))</f>
        <v/>
      </c>
      <c r="N13" s="102" t="str">
        <f t="shared" si="41"/>
        <v/>
      </c>
      <c r="O13" s="70" t="str">
        <f t="shared" si="42"/>
        <v/>
      </c>
      <c r="P13" s="83" t="str">
        <f t="shared" si="43"/>
        <v/>
      </c>
      <c r="Q13" s="77"/>
      <c r="R13" s="108" t="str" cm="1">
        <f t="array" ref="R13">IFERROR(_xlfn._xlws.FILTER(#REF!,(#REF!=$C13) * (#REF!=R$3),"" ),"")</f>
        <v/>
      </c>
      <c r="S13" s="68" t="str" cm="1">
        <f t="array" ref="S13">IFERROR(_xlfn.XLOOKUP($C13,Master_Price_Level_NZ[Code],INDEX(Master_Price_Level_NZ[], , MATCH('Promo Form'!R$3, Master_Price_Level_NZ[#Headers], 0))),"")</f>
        <v/>
      </c>
      <c r="T13" s="16" t="str">
        <f t="shared" si="44"/>
        <v/>
      </c>
      <c r="U13" s="16" t="str">
        <f t="shared" si="45"/>
        <v/>
      </c>
      <c r="V13" s="17" t="str">
        <f t="shared" si="46"/>
        <v/>
      </c>
      <c r="W13" s="18" t="str">
        <f t="shared" si="47"/>
        <v/>
      </c>
      <c r="X13" s="18" t="str">
        <f t="shared" si="48"/>
        <v/>
      </c>
      <c r="Y13" s="109" t="str" cm="1">
        <f t="array" ref="Y13">IFERROR(
    _xlfn.LET(
        _xlpm.result, INDEX(_xlfn._xlws.FILTER(ST[6wk avg], (ST[Code]=$C13)*(ST[Customer Name]=R$3), ""), 1),
        IF(_xlpm.result=0, "", _xlpm.result)
    ),
"")</f>
        <v/>
      </c>
      <c r="Z13" s="102" t="str">
        <f t="shared" si="49"/>
        <v/>
      </c>
      <c r="AA13" s="70" t="str">
        <f t="shared" si="50"/>
        <v/>
      </c>
      <c r="AB13" s="83" t="str">
        <f t="shared" si="51"/>
        <v/>
      </c>
      <c r="AC13" s="77"/>
      <c r="AD13" s="108" t="str" cm="1">
        <f t="array" ref="AD13">IFERROR(_xlfn._xlws.FILTER(#REF!,(#REF!=$C13) * (#REF!=AD$3),"" ),"")</f>
        <v/>
      </c>
      <c r="AE13" s="68" t="str" cm="1">
        <f t="array" ref="AE13">IFERROR(_xlfn.XLOOKUP($C13,Master_Price_Level_NZ[Code],INDEX(Master_Price_Level_NZ[], , MATCH('Promo Form'!AD$3, Master_Price_Level_NZ[#Headers], 0))),"")</f>
        <v/>
      </c>
      <c r="AF13" s="16" t="str">
        <f t="shared" si="52"/>
        <v/>
      </c>
      <c r="AG13" s="16" t="str">
        <f t="shared" si="53"/>
        <v/>
      </c>
      <c r="AH13" s="17" t="str">
        <f t="shared" si="54"/>
        <v/>
      </c>
      <c r="AI13" s="18" t="str">
        <f t="shared" si="55"/>
        <v/>
      </c>
      <c r="AJ13" s="18" t="str">
        <f t="shared" si="56"/>
        <v/>
      </c>
      <c r="AK13" s="109" t="str" cm="1">
        <f t="array" ref="AK13">IFERROR(
    _xlfn.LET(
        _xlpm.result, INDEX(_xlfn._xlws.FILTER(ST[6wk avg], (ST[Code]=$C13)*(ST[Customer Name]=AD$3), ""), 1),
        IF(_xlpm.result=0, "", _xlpm.result)
    ),
"")</f>
        <v/>
      </c>
      <c r="AL13" s="102" t="str">
        <f t="shared" si="57"/>
        <v/>
      </c>
      <c r="AM13" s="70" t="str">
        <f t="shared" si="58"/>
        <v/>
      </c>
      <c r="AN13" s="83" t="str">
        <f t="shared" si="59"/>
        <v/>
      </c>
      <c r="AO13" s="77"/>
      <c r="AP13" s="108" t="str" cm="1">
        <f t="array" ref="AP13">IFERROR(_xlfn._xlws.FILTER(#REF!,(#REF!=$C13) * (#REF!=AP$3),"" ),"")</f>
        <v/>
      </c>
      <c r="AQ13" s="68" t="str" cm="1">
        <f t="array" ref="AQ13">IFERROR(_xlfn.XLOOKUP($C13,Master_Price_Level_NZ[Code],INDEX(Master_Price_Level_NZ[], , MATCH('Promo Form'!AP$3, Master_Price_Level_NZ[#Headers], 0))),"")</f>
        <v/>
      </c>
      <c r="AR13" s="16" t="str">
        <f t="shared" si="60"/>
        <v/>
      </c>
      <c r="AS13" s="16" t="str">
        <f t="shared" si="61"/>
        <v/>
      </c>
      <c r="AT13" s="17" t="str">
        <f t="shared" si="62"/>
        <v/>
      </c>
      <c r="AU13" s="18" t="str">
        <f t="shared" si="63"/>
        <v/>
      </c>
      <c r="AV13" s="18" t="str">
        <f t="shared" si="64"/>
        <v/>
      </c>
      <c r="AW13" s="109" t="str" cm="1">
        <f t="array" ref="AW13">IFERROR(
    _xlfn.LET(
        _xlpm.result, INDEX(_xlfn._xlws.FILTER(ST[6wk avg], (ST[Code]=$C13)*(ST[Customer Name]=AP$3), ""), 1),
        IF(_xlpm.result=0, "", _xlpm.result)
    ),
"")</f>
        <v/>
      </c>
      <c r="AX13" s="102" t="str">
        <f t="shared" si="65"/>
        <v/>
      </c>
      <c r="AY13" s="70" t="str">
        <f t="shared" si="66"/>
        <v/>
      </c>
      <c r="AZ13" s="83" t="str">
        <f t="shared" si="67"/>
        <v/>
      </c>
      <c r="BA13" s="77"/>
      <c r="BB13" s="108" t="str" cm="1">
        <f t="array" ref="BB13">IFERROR(_xlfn._xlws.FILTER(#REF!,(#REF!=$C13) * (#REF!=BB$3),"" ),"")</f>
        <v/>
      </c>
      <c r="BC13" s="68" t="str" cm="1">
        <f t="array" ref="BC13">IFERROR(_xlfn.XLOOKUP($C13,Master_Price_Level_NZ[Code],INDEX(Master_Price_Level_NZ[], , MATCH('Promo Form'!BB$3, Master_Price_Level_NZ[#Headers], 0))),"")</f>
        <v/>
      </c>
      <c r="BD13" s="16" t="str">
        <f t="shared" si="68"/>
        <v/>
      </c>
      <c r="BE13" s="16" t="str">
        <f t="shared" si="69"/>
        <v/>
      </c>
      <c r="BF13" s="17" t="str">
        <f t="shared" si="70"/>
        <v/>
      </c>
      <c r="BG13" s="18" t="str">
        <f t="shared" si="71"/>
        <v/>
      </c>
      <c r="BH13" s="18" t="str">
        <f t="shared" si="72"/>
        <v/>
      </c>
      <c r="BI13" s="109" t="str" cm="1">
        <f t="array" ref="BI13">IFERROR(
    _xlfn.LET(
        _xlpm.result, INDEX(_xlfn._xlws.FILTER(ST[6wk avg], (ST[Code]=$C13)*(ST[Customer Name]=BB$3), ""), 1),
        IF(_xlpm.result=0, "", _xlpm.result)
    ),
"")</f>
        <v/>
      </c>
      <c r="BJ13" s="102" t="str">
        <f t="shared" si="73"/>
        <v/>
      </c>
      <c r="BK13" s="70" t="str">
        <f t="shared" si="74"/>
        <v/>
      </c>
      <c r="BL13" s="83" t="str">
        <f t="shared" si="75"/>
        <v/>
      </c>
      <c r="BM13" s="77"/>
      <c r="BN13" s="108" t="str" cm="1">
        <f t="array" ref="BN13">IFERROR(_xlfn._xlws.FILTER(#REF!,(#REF!=$C13) * (#REF!=BN$3),"" ),"")</f>
        <v/>
      </c>
      <c r="BO13" s="68" t="str" cm="1">
        <f t="array" ref="BO13">IFERROR(_xlfn.XLOOKUP($C13,Master_Price_Level_NZ[Code],INDEX(Master_Price_Level_NZ[], , MATCH('Promo Form'!BN$3, Master_Price_Level_NZ[#Headers], 0))),"")</f>
        <v/>
      </c>
      <c r="BP13" s="16" t="str">
        <f t="shared" si="76"/>
        <v/>
      </c>
      <c r="BQ13" s="16" t="str">
        <f t="shared" si="77"/>
        <v/>
      </c>
      <c r="BR13" s="17" t="str">
        <f t="shared" si="78"/>
        <v/>
      </c>
      <c r="BS13" s="18" t="str">
        <f t="shared" si="79"/>
        <v/>
      </c>
      <c r="BT13" s="18" t="str">
        <f t="shared" si="80"/>
        <v/>
      </c>
      <c r="BU13" s="109" t="str" cm="1">
        <f t="array" ref="BU13">IFERROR(
    _xlfn.LET(
        _xlpm.result, INDEX(_xlfn._xlws.FILTER(ST[6wk avg], (ST[Code]=$C13)*(ST[Customer Name]=BN$3), ""), 1),
        IF(_xlpm.result=0, "", _xlpm.result)
    ),
"")</f>
        <v/>
      </c>
      <c r="BV13" s="102" t="str">
        <f t="shared" si="81"/>
        <v/>
      </c>
      <c r="BW13" s="70" t="str">
        <f t="shared" si="82"/>
        <v/>
      </c>
      <c r="BX13" s="83" t="str">
        <f t="shared" si="83"/>
        <v/>
      </c>
      <c r="BY13" s="77"/>
      <c r="BZ13" s="108" t="str" cm="1">
        <f t="array" ref="BZ13">IFERROR(_xlfn._xlws.FILTER(#REF!,(#REF!=$C13) * (#REF!=BZ$3),"" ),"")</f>
        <v/>
      </c>
      <c r="CA13" s="68" t="str" cm="1">
        <f t="array" ref="CA13">IFERROR(_xlfn.XLOOKUP($C13,Master_Price_Level_NZ[Code],INDEX(Master_Price_Level_NZ[], , MATCH('Promo Form'!BZ$3, Master_Price_Level_NZ[#Headers], 0))),"")</f>
        <v/>
      </c>
      <c r="CB13" s="16" t="str">
        <f t="shared" si="84"/>
        <v/>
      </c>
      <c r="CC13" s="16" t="str">
        <f t="shared" si="85"/>
        <v/>
      </c>
      <c r="CD13" s="17" t="str">
        <f t="shared" si="86"/>
        <v/>
      </c>
      <c r="CE13" s="18" t="str">
        <f t="shared" si="87"/>
        <v/>
      </c>
      <c r="CF13" s="18" t="str">
        <f t="shared" si="88"/>
        <v/>
      </c>
      <c r="CG13" s="109" t="str" cm="1">
        <f t="array" ref="CG13">IFERROR(
    _xlfn.LET(
        _xlpm.result, INDEX(_xlfn._xlws.FILTER(ST[6wk avg], (ST[Code]=$C13)*(ST[Customer Name]=BZ$3), ""), 1),
        IF(_xlpm.result=0, "", _xlpm.result)
    ),
"")</f>
        <v/>
      </c>
      <c r="CH13" s="102" t="str">
        <f t="shared" si="89"/>
        <v/>
      </c>
      <c r="CI13" s="70" t="str">
        <f t="shared" si="90"/>
        <v/>
      </c>
      <c r="CJ13" s="83" t="str">
        <f t="shared" si="91"/>
        <v/>
      </c>
      <c r="CK13" s="77"/>
      <c r="CL13" s="17" t="str">
        <f>IFERROR(_xlfn.XLOOKUP(C13,Master_Price_Level_NZ[Code],Master_Price_Level_NZ[Base (RRP Inc)]),"")</f>
        <v/>
      </c>
      <c r="CM13" s="17" t="str">
        <f t="shared" si="92"/>
        <v/>
      </c>
      <c r="CN13" s="107" t="str">
        <f t="shared" si="32"/>
        <v/>
      </c>
      <c r="CO13" s="17" t="str">
        <f t="shared" si="33"/>
        <v/>
      </c>
      <c r="CP13" s="17"/>
    </row>
    <row r="14" spans="1:94" x14ac:dyDescent="0.2">
      <c r="A14" s="106" t="str">
        <f t="shared" si="34"/>
        <v/>
      </c>
      <c r="B14" s="106" t="str">
        <f t="shared" si="35"/>
        <v/>
      </c>
      <c r="C14" s="13"/>
      <c r="D14" s="14" t="str">
        <f>IF(C14="", "",_xlfn.XLOOKUP(C14,'Master Price Level NZ'!B:B,'Master Price Level NZ'!C:C))</f>
        <v/>
      </c>
      <c r="E14" s="15"/>
      <c r="F14" s="108"/>
      <c r="G14" s="68" t="str" cm="1">
        <f t="array" ref="G14">IFERROR(_xlfn.XLOOKUP($C14,Master_Price_Level_NZ[Code],INDEX(Master_Price_Level_NZ[], , MATCH('Promo Form'!F$3, Master_Price_Level_NZ[#Headers], 0))),"")</f>
        <v/>
      </c>
      <c r="H14" s="16" t="str">
        <f t="shared" si="36"/>
        <v/>
      </c>
      <c r="I14" s="16" t="str">
        <f t="shared" si="37"/>
        <v/>
      </c>
      <c r="J14" s="17" t="str">
        <f t="shared" si="38"/>
        <v/>
      </c>
      <c r="K14" s="18" t="str">
        <f t="shared" si="39"/>
        <v/>
      </c>
      <c r="L14" s="18" t="str">
        <f t="shared" si="40"/>
        <v/>
      </c>
      <c r="M14" s="109" t="str" cm="1">
        <f t="array" ref="M14">IF($C14="","",IFERROR(_xlfn._xlws.FILTER(ST[6wk avg],(ST[Code]=$C14)*(ST[Customer Name]=F$3),""),""))</f>
        <v/>
      </c>
      <c r="N14" s="102" t="str">
        <f t="shared" si="41"/>
        <v/>
      </c>
      <c r="O14" s="70" t="str">
        <f t="shared" si="42"/>
        <v/>
      </c>
      <c r="P14" s="83" t="str">
        <f t="shared" si="43"/>
        <v/>
      </c>
      <c r="Q14" s="77"/>
      <c r="R14" s="108" t="str" cm="1">
        <f t="array" ref="R14">IFERROR(_xlfn._xlws.FILTER(#REF!,(#REF!=$C14) * (#REF!=R$3),"" ),"")</f>
        <v/>
      </c>
      <c r="S14" s="68" t="str" cm="1">
        <f t="array" ref="S14">IFERROR(_xlfn.XLOOKUP($C14,Master_Price_Level_NZ[Code],INDEX(Master_Price_Level_NZ[], , MATCH('Promo Form'!R$3, Master_Price_Level_NZ[#Headers], 0))),"")</f>
        <v/>
      </c>
      <c r="T14" s="16" t="str">
        <f t="shared" si="44"/>
        <v/>
      </c>
      <c r="U14" s="16" t="str">
        <f t="shared" si="45"/>
        <v/>
      </c>
      <c r="V14" s="17" t="str">
        <f t="shared" si="46"/>
        <v/>
      </c>
      <c r="W14" s="18" t="str">
        <f t="shared" si="47"/>
        <v/>
      </c>
      <c r="X14" s="18" t="str">
        <f t="shared" si="48"/>
        <v/>
      </c>
      <c r="Y14" s="109" t="str" cm="1">
        <f t="array" ref="Y14">IFERROR(
    _xlfn.LET(
        _xlpm.result, INDEX(_xlfn._xlws.FILTER(ST[6wk avg], (ST[Code]=$C14)*(ST[Customer Name]=R$3), ""), 1),
        IF(_xlpm.result=0, "", _xlpm.result)
    ),
"")</f>
        <v/>
      </c>
      <c r="Z14" s="102" t="str">
        <f t="shared" si="49"/>
        <v/>
      </c>
      <c r="AA14" s="70" t="str">
        <f t="shared" si="50"/>
        <v/>
      </c>
      <c r="AB14" s="83" t="str">
        <f t="shared" si="51"/>
        <v/>
      </c>
      <c r="AC14" s="77"/>
      <c r="AD14" s="108" t="str" cm="1">
        <f t="array" ref="AD14">IFERROR(_xlfn._xlws.FILTER(#REF!,(#REF!=$C14) * (#REF!=AD$3),"" ),"")</f>
        <v/>
      </c>
      <c r="AE14" s="68" t="str" cm="1">
        <f t="array" ref="AE14">IFERROR(_xlfn.XLOOKUP($C14,Master_Price_Level_NZ[Code],INDEX(Master_Price_Level_NZ[], , MATCH('Promo Form'!AD$3, Master_Price_Level_NZ[#Headers], 0))),"")</f>
        <v/>
      </c>
      <c r="AF14" s="16" t="str">
        <f t="shared" si="52"/>
        <v/>
      </c>
      <c r="AG14" s="16" t="str">
        <f t="shared" si="53"/>
        <v/>
      </c>
      <c r="AH14" s="17" t="str">
        <f t="shared" si="54"/>
        <v/>
      </c>
      <c r="AI14" s="18" t="str">
        <f t="shared" si="55"/>
        <v/>
      </c>
      <c r="AJ14" s="18" t="str">
        <f t="shared" si="56"/>
        <v/>
      </c>
      <c r="AK14" s="109" t="str" cm="1">
        <f t="array" ref="AK14">IFERROR(
    _xlfn.LET(
        _xlpm.result, INDEX(_xlfn._xlws.FILTER(ST[6wk avg], (ST[Code]=$C14)*(ST[Customer Name]=AD$3), ""), 1),
        IF(_xlpm.result=0, "", _xlpm.result)
    ),
"")</f>
        <v/>
      </c>
      <c r="AL14" s="102" t="str">
        <f t="shared" si="57"/>
        <v/>
      </c>
      <c r="AM14" s="70" t="str">
        <f t="shared" si="58"/>
        <v/>
      </c>
      <c r="AN14" s="83" t="str">
        <f t="shared" si="59"/>
        <v/>
      </c>
      <c r="AO14" s="77"/>
      <c r="AP14" s="108" t="str" cm="1">
        <f t="array" ref="AP14">IFERROR(_xlfn._xlws.FILTER(#REF!,(#REF!=$C14) * (#REF!=AP$3),"" ),"")</f>
        <v/>
      </c>
      <c r="AQ14" s="68" t="str" cm="1">
        <f t="array" ref="AQ14">IFERROR(_xlfn.XLOOKUP($C14,Master_Price_Level_NZ[Code],INDEX(Master_Price_Level_NZ[], , MATCH('Promo Form'!AP$3, Master_Price_Level_NZ[#Headers], 0))),"")</f>
        <v/>
      </c>
      <c r="AR14" s="16" t="str">
        <f t="shared" si="60"/>
        <v/>
      </c>
      <c r="AS14" s="16" t="str">
        <f t="shared" si="61"/>
        <v/>
      </c>
      <c r="AT14" s="17" t="str">
        <f t="shared" si="62"/>
        <v/>
      </c>
      <c r="AU14" s="18" t="str">
        <f t="shared" si="63"/>
        <v/>
      </c>
      <c r="AV14" s="18" t="str">
        <f t="shared" si="64"/>
        <v/>
      </c>
      <c r="AW14" s="109" t="str" cm="1">
        <f t="array" ref="AW14">IFERROR(
    _xlfn.LET(
        _xlpm.result, INDEX(_xlfn._xlws.FILTER(ST[6wk avg], (ST[Code]=$C14)*(ST[Customer Name]=AP$3), ""), 1),
        IF(_xlpm.result=0, "", _xlpm.result)
    ),
"")</f>
        <v/>
      </c>
      <c r="AX14" s="102" t="str">
        <f t="shared" si="65"/>
        <v/>
      </c>
      <c r="AY14" s="70" t="str">
        <f t="shared" si="66"/>
        <v/>
      </c>
      <c r="AZ14" s="83" t="str">
        <f t="shared" si="67"/>
        <v/>
      </c>
      <c r="BA14" s="77"/>
      <c r="BB14" s="108" t="str" cm="1">
        <f t="array" ref="BB14">IFERROR(_xlfn._xlws.FILTER(#REF!,(#REF!=$C14) * (#REF!=BB$3),"" ),"")</f>
        <v/>
      </c>
      <c r="BC14" s="68" t="str" cm="1">
        <f t="array" ref="BC14">IFERROR(_xlfn.XLOOKUP($C14,Master_Price_Level_NZ[Code],INDEX(Master_Price_Level_NZ[], , MATCH('Promo Form'!BB$3, Master_Price_Level_NZ[#Headers], 0))),"")</f>
        <v/>
      </c>
      <c r="BD14" s="16" t="str">
        <f t="shared" si="68"/>
        <v/>
      </c>
      <c r="BE14" s="16" t="str">
        <f t="shared" si="69"/>
        <v/>
      </c>
      <c r="BF14" s="17" t="str">
        <f t="shared" si="70"/>
        <v/>
      </c>
      <c r="BG14" s="18" t="str">
        <f t="shared" si="71"/>
        <v/>
      </c>
      <c r="BH14" s="18" t="str">
        <f t="shared" si="72"/>
        <v/>
      </c>
      <c r="BI14" s="109" t="str" cm="1">
        <f t="array" ref="BI14">IFERROR(
    _xlfn.LET(
        _xlpm.result, INDEX(_xlfn._xlws.FILTER(ST[6wk avg], (ST[Code]=$C14)*(ST[Customer Name]=BB$3), ""), 1),
        IF(_xlpm.result=0, "", _xlpm.result)
    ),
"")</f>
        <v/>
      </c>
      <c r="BJ14" s="102" t="str">
        <f t="shared" si="73"/>
        <v/>
      </c>
      <c r="BK14" s="70" t="str">
        <f t="shared" si="74"/>
        <v/>
      </c>
      <c r="BL14" s="83" t="str">
        <f t="shared" si="75"/>
        <v/>
      </c>
      <c r="BM14" s="77"/>
      <c r="BN14" s="108" t="str" cm="1">
        <f t="array" ref="BN14">IFERROR(_xlfn._xlws.FILTER(#REF!,(#REF!=$C14) * (#REF!=BN$3),"" ),"")</f>
        <v/>
      </c>
      <c r="BO14" s="68" t="str" cm="1">
        <f t="array" ref="BO14">IFERROR(_xlfn.XLOOKUP($C14,Master_Price_Level_NZ[Code],INDEX(Master_Price_Level_NZ[], , MATCH('Promo Form'!BN$3, Master_Price_Level_NZ[#Headers], 0))),"")</f>
        <v/>
      </c>
      <c r="BP14" s="16" t="str">
        <f t="shared" si="76"/>
        <v/>
      </c>
      <c r="BQ14" s="16" t="str">
        <f t="shared" si="77"/>
        <v/>
      </c>
      <c r="BR14" s="17" t="str">
        <f t="shared" si="78"/>
        <v/>
      </c>
      <c r="BS14" s="18" t="str">
        <f t="shared" si="79"/>
        <v/>
      </c>
      <c r="BT14" s="18" t="str">
        <f t="shared" si="80"/>
        <v/>
      </c>
      <c r="BU14" s="109" t="str" cm="1">
        <f t="array" ref="BU14">IFERROR(
    _xlfn.LET(
        _xlpm.result, INDEX(_xlfn._xlws.FILTER(ST[6wk avg], (ST[Code]=$C14)*(ST[Customer Name]=BN$3), ""), 1),
        IF(_xlpm.result=0, "", _xlpm.result)
    ),
"")</f>
        <v/>
      </c>
      <c r="BV14" s="102" t="str">
        <f t="shared" si="81"/>
        <v/>
      </c>
      <c r="BW14" s="70" t="str">
        <f t="shared" si="82"/>
        <v/>
      </c>
      <c r="BX14" s="83" t="str">
        <f t="shared" si="83"/>
        <v/>
      </c>
      <c r="BY14" s="77"/>
      <c r="BZ14" s="108" t="str" cm="1">
        <f t="array" ref="BZ14">IFERROR(_xlfn._xlws.FILTER(#REF!,(#REF!=$C14) * (#REF!=BZ$3),"" ),"")</f>
        <v/>
      </c>
      <c r="CA14" s="68" t="str" cm="1">
        <f t="array" ref="CA14">IFERROR(_xlfn.XLOOKUP($C14,Master_Price_Level_NZ[Code],INDEX(Master_Price_Level_NZ[], , MATCH('Promo Form'!BZ$3, Master_Price_Level_NZ[#Headers], 0))),"")</f>
        <v/>
      </c>
      <c r="CB14" s="16" t="str">
        <f t="shared" si="84"/>
        <v/>
      </c>
      <c r="CC14" s="16" t="str">
        <f t="shared" si="85"/>
        <v/>
      </c>
      <c r="CD14" s="17" t="str">
        <f t="shared" si="86"/>
        <v/>
      </c>
      <c r="CE14" s="18" t="str">
        <f t="shared" si="87"/>
        <v/>
      </c>
      <c r="CF14" s="18" t="str">
        <f t="shared" si="88"/>
        <v/>
      </c>
      <c r="CG14" s="109" t="str" cm="1">
        <f t="array" ref="CG14">IFERROR(
    _xlfn.LET(
        _xlpm.result, INDEX(_xlfn._xlws.FILTER(ST[6wk avg], (ST[Code]=$C14)*(ST[Customer Name]=BZ$3), ""), 1),
        IF(_xlpm.result=0, "", _xlpm.result)
    ),
"")</f>
        <v/>
      </c>
      <c r="CH14" s="102" t="str">
        <f t="shared" si="89"/>
        <v/>
      </c>
      <c r="CI14" s="70" t="str">
        <f t="shared" si="90"/>
        <v/>
      </c>
      <c r="CJ14" s="83" t="str">
        <f t="shared" si="91"/>
        <v/>
      </c>
      <c r="CK14" s="77"/>
      <c r="CL14" s="17" t="str">
        <f>IFERROR(_xlfn.XLOOKUP(C14,Master_Price_Level_NZ[Code],Master_Price_Level_NZ[Base (RRP Inc)]),"")</f>
        <v/>
      </c>
      <c r="CM14" s="17" t="str">
        <f t="shared" si="92"/>
        <v/>
      </c>
      <c r="CN14" s="107" t="str">
        <f t="shared" si="32"/>
        <v/>
      </c>
      <c r="CO14" s="17" t="str">
        <f t="shared" si="33"/>
        <v/>
      </c>
      <c r="CP14" s="17"/>
    </row>
    <row r="15" spans="1:94" x14ac:dyDescent="0.2">
      <c r="A15" s="106" t="str">
        <f t="shared" si="34"/>
        <v/>
      </c>
      <c r="B15" s="106" t="str">
        <f t="shared" si="35"/>
        <v/>
      </c>
      <c r="C15" s="13"/>
      <c r="D15" s="14" t="str">
        <f>IF(C15="", "",_xlfn.XLOOKUP(C15,'Master Price Level NZ'!B:B,'Master Price Level NZ'!C:C))</f>
        <v/>
      </c>
      <c r="E15" s="15"/>
      <c r="F15" s="108"/>
      <c r="G15" s="68" t="str" cm="1">
        <f t="array" ref="G15">IFERROR(_xlfn.XLOOKUP($C15,Master_Price_Level_NZ[Code],INDEX(Master_Price_Level_NZ[], , MATCH('Promo Form'!F$3, Master_Price_Level_NZ[#Headers], 0))),"")</f>
        <v/>
      </c>
      <c r="H15" s="16" t="str">
        <f t="shared" si="36"/>
        <v/>
      </c>
      <c r="I15" s="16" t="str">
        <f t="shared" si="37"/>
        <v/>
      </c>
      <c r="J15" s="17" t="str">
        <f t="shared" si="38"/>
        <v/>
      </c>
      <c r="K15" s="18" t="str">
        <f t="shared" si="39"/>
        <v/>
      </c>
      <c r="L15" s="18" t="str">
        <f t="shared" si="40"/>
        <v/>
      </c>
      <c r="M15" s="109" t="str" cm="1">
        <f t="array" ref="M15">IF($C15="","",IFERROR(_xlfn._xlws.FILTER(ST[6wk avg],(ST[Code]=$C15)*(ST[Customer Name]=F$3),""),""))</f>
        <v/>
      </c>
      <c r="N15" s="102" t="str">
        <f t="shared" si="41"/>
        <v/>
      </c>
      <c r="O15" s="70" t="str">
        <f t="shared" si="42"/>
        <v/>
      </c>
      <c r="P15" s="83" t="str">
        <f t="shared" si="43"/>
        <v/>
      </c>
      <c r="Q15" s="77"/>
      <c r="R15" s="108" t="str" cm="1">
        <f t="array" ref="R15">IFERROR(_xlfn._xlws.FILTER(#REF!,(#REF!=$C15) * (#REF!=R$3),"" ),"")</f>
        <v/>
      </c>
      <c r="S15" s="68" t="str" cm="1">
        <f t="array" ref="S15">IFERROR(_xlfn.XLOOKUP($C15,Master_Price_Level_NZ[Code],INDEX(Master_Price_Level_NZ[], , MATCH('Promo Form'!R$3, Master_Price_Level_NZ[#Headers], 0))),"")</f>
        <v/>
      </c>
      <c r="T15" s="16" t="str">
        <f t="shared" si="44"/>
        <v/>
      </c>
      <c r="U15" s="16" t="str">
        <f t="shared" si="45"/>
        <v/>
      </c>
      <c r="V15" s="17" t="str">
        <f t="shared" si="46"/>
        <v/>
      </c>
      <c r="W15" s="18" t="str">
        <f t="shared" si="47"/>
        <v/>
      </c>
      <c r="X15" s="18" t="str">
        <f t="shared" si="48"/>
        <v/>
      </c>
      <c r="Y15" s="109" t="str" cm="1">
        <f t="array" ref="Y15">IFERROR(
    _xlfn.LET(
        _xlpm.result, INDEX(_xlfn._xlws.FILTER(ST[6wk avg], (ST[Code]=$C15)*(ST[Customer Name]=R$3), ""), 1),
        IF(_xlpm.result=0, "", _xlpm.result)
    ),
"")</f>
        <v/>
      </c>
      <c r="Z15" s="102" t="str">
        <f t="shared" si="49"/>
        <v/>
      </c>
      <c r="AA15" s="70" t="str">
        <f t="shared" si="50"/>
        <v/>
      </c>
      <c r="AB15" s="83" t="str">
        <f t="shared" si="51"/>
        <v/>
      </c>
      <c r="AC15" s="77"/>
      <c r="AD15" s="108" t="str" cm="1">
        <f t="array" ref="AD15">IFERROR(_xlfn._xlws.FILTER(#REF!,(#REF!=$C15) * (#REF!=AD$3),"" ),"")</f>
        <v/>
      </c>
      <c r="AE15" s="68" t="str" cm="1">
        <f t="array" ref="AE15">IFERROR(_xlfn.XLOOKUP($C15,Master_Price_Level_NZ[Code],INDEX(Master_Price_Level_NZ[], , MATCH('Promo Form'!AD$3, Master_Price_Level_NZ[#Headers], 0))),"")</f>
        <v/>
      </c>
      <c r="AF15" s="16" t="str">
        <f t="shared" si="52"/>
        <v/>
      </c>
      <c r="AG15" s="16" t="str">
        <f t="shared" si="53"/>
        <v/>
      </c>
      <c r="AH15" s="17" t="str">
        <f t="shared" si="54"/>
        <v/>
      </c>
      <c r="AI15" s="18" t="str">
        <f t="shared" si="55"/>
        <v/>
      </c>
      <c r="AJ15" s="18" t="str">
        <f t="shared" si="56"/>
        <v/>
      </c>
      <c r="AK15" s="109" t="str" cm="1">
        <f t="array" ref="AK15">IFERROR(
    _xlfn.LET(
        _xlpm.result, INDEX(_xlfn._xlws.FILTER(ST[6wk avg], (ST[Code]=$C15)*(ST[Customer Name]=AD$3), ""), 1),
        IF(_xlpm.result=0, "", _xlpm.result)
    ),
"")</f>
        <v/>
      </c>
      <c r="AL15" s="102" t="str">
        <f t="shared" si="57"/>
        <v/>
      </c>
      <c r="AM15" s="70" t="str">
        <f t="shared" si="58"/>
        <v/>
      </c>
      <c r="AN15" s="83" t="str">
        <f t="shared" si="59"/>
        <v/>
      </c>
      <c r="AO15" s="77"/>
      <c r="AP15" s="108" t="str" cm="1">
        <f t="array" ref="AP15">IFERROR(_xlfn._xlws.FILTER(#REF!,(#REF!=$C15) * (#REF!=AP$3),"" ),"")</f>
        <v/>
      </c>
      <c r="AQ15" s="68" t="str" cm="1">
        <f t="array" ref="AQ15">IFERROR(_xlfn.XLOOKUP($C15,Master_Price_Level_NZ[Code],INDEX(Master_Price_Level_NZ[], , MATCH('Promo Form'!AP$3, Master_Price_Level_NZ[#Headers], 0))),"")</f>
        <v/>
      </c>
      <c r="AR15" s="16" t="str">
        <f t="shared" si="60"/>
        <v/>
      </c>
      <c r="AS15" s="16" t="str">
        <f t="shared" si="61"/>
        <v/>
      </c>
      <c r="AT15" s="17" t="str">
        <f t="shared" si="62"/>
        <v/>
      </c>
      <c r="AU15" s="18" t="str">
        <f t="shared" si="63"/>
        <v/>
      </c>
      <c r="AV15" s="18" t="str">
        <f t="shared" si="64"/>
        <v/>
      </c>
      <c r="AW15" s="109" t="str" cm="1">
        <f t="array" ref="AW15">IFERROR(
    _xlfn.LET(
        _xlpm.result, INDEX(_xlfn._xlws.FILTER(ST[6wk avg], (ST[Code]=$C15)*(ST[Customer Name]=AP$3), ""), 1),
        IF(_xlpm.result=0, "", _xlpm.result)
    ),
"")</f>
        <v/>
      </c>
      <c r="AX15" s="102" t="str">
        <f t="shared" si="65"/>
        <v/>
      </c>
      <c r="AY15" s="70" t="str">
        <f t="shared" si="66"/>
        <v/>
      </c>
      <c r="AZ15" s="83" t="str">
        <f t="shared" si="67"/>
        <v/>
      </c>
      <c r="BA15" s="77"/>
      <c r="BB15" s="108" t="str" cm="1">
        <f t="array" ref="BB15">IFERROR(_xlfn._xlws.FILTER(#REF!,(#REF!=$C15) * (#REF!=BB$3),"" ),"")</f>
        <v/>
      </c>
      <c r="BC15" s="68" t="str" cm="1">
        <f t="array" ref="BC15">IFERROR(_xlfn.XLOOKUP($C15,Master_Price_Level_NZ[Code],INDEX(Master_Price_Level_NZ[], , MATCH('Promo Form'!BB$3, Master_Price_Level_NZ[#Headers], 0))),"")</f>
        <v/>
      </c>
      <c r="BD15" s="16" t="str">
        <f t="shared" si="68"/>
        <v/>
      </c>
      <c r="BE15" s="16" t="str">
        <f t="shared" si="69"/>
        <v/>
      </c>
      <c r="BF15" s="17" t="str">
        <f t="shared" si="70"/>
        <v/>
      </c>
      <c r="BG15" s="18" t="str">
        <f t="shared" si="71"/>
        <v/>
      </c>
      <c r="BH15" s="18" t="str">
        <f t="shared" si="72"/>
        <v/>
      </c>
      <c r="BI15" s="109" t="str" cm="1">
        <f t="array" ref="BI15">IFERROR(
    _xlfn.LET(
        _xlpm.result, INDEX(_xlfn._xlws.FILTER(ST[6wk avg], (ST[Code]=$C15)*(ST[Customer Name]=BB$3), ""), 1),
        IF(_xlpm.result=0, "", _xlpm.result)
    ),
"")</f>
        <v/>
      </c>
      <c r="BJ15" s="102" t="str">
        <f t="shared" si="73"/>
        <v/>
      </c>
      <c r="BK15" s="70" t="str">
        <f t="shared" si="74"/>
        <v/>
      </c>
      <c r="BL15" s="83" t="str">
        <f t="shared" si="75"/>
        <v/>
      </c>
      <c r="BM15" s="77"/>
      <c r="BN15" s="108" t="str" cm="1">
        <f t="array" ref="BN15">IFERROR(_xlfn._xlws.FILTER(#REF!,(#REF!=$C15) * (#REF!=BN$3),"" ),"")</f>
        <v/>
      </c>
      <c r="BO15" s="68" t="str" cm="1">
        <f t="array" ref="BO15">IFERROR(_xlfn.XLOOKUP($C15,Master_Price_Level_NZ[Code],INDEX(Master_Price_Level_NZ[], , MATCH('Promo Form'!BN$3, Master_Price_Level_NZ[#Headers], 0))),"")</f>
        <v/>
      </c>
      <c r="BP15" s="16" t="str">
        <f t="shared" si="76"/>
        <v/>
      </c>
      <c r="BQ15" s="16" t="str">
        <f t="shared" si="77"/>
        <v/>
      </c>
      <c r="BR15" s="17" t="str">
        <f t="shared" si="78"/>
        <v/>
      </c>
      <c r="BS15" s="18" t="str">
        <f t="shared" si="79"/>
        <v/>
      </c>
      <c r="BT15" s="18" t="str">
        <f t="shared" si="80"/>
        <v/>
      </c>
      <c r="BU15" s="109" t="str" cm="1">
        <f t="array" ref="BU15">IFERROR(
    _xlfn.LET(
        _xlpm.result, INDEX(_xlfn._xlws.FILTER(ST[6wk avg], (ST[Code]=$C15)*(ST[Customer Name]=BN$3), ""), 1),
        IF(_xlpm.result=0, "", _xlpm.result)
    ),
"")</f>
        <v/>
      </c>
      <c r="BV15" s="102" t="str">
        <f t="shared" si="81"/>
        <v/>
      </c>
      <c r="BW15" s="70" t="str">
        <f t="shared" si="82"/>
        <v/>
      </c>
      <c r="BX15" s="83" t="str">
        <f t="shared" si="83"/>
        <v/>
      </c>
      <c r="BY15" s="77"/>
      <c r="BZ15" s="108" t="str" cm="1">
        <f t="array" ref="BZ15">IFERROR(_xlfn._xlws.FILTER(#REF!,(#REF!=$C15) * (#REF!=BZ$3),"" ),"")</f>
        <v/>
      </c>
      <c r="CA15" s="68" t="str" cm="1">
        <f t="array" ref="CA15">IFERROR(_xlfn.XLOOKUP($C15,Master_Price_Level_NZ[Code],INDEX(Master_Price_Level_NZ[], , MATCH('Promo Form'!BZ$3, Master_Price_Level_NZ[#Headers], 0))),"")</f>
        <v/>
      </c>
      <c r="CB15" s="16" t="str">
        <f t="shared" si="84"/>
        <v/>
      </c>
      <c r="CC15" s="16" t="str">
        <f t="shared" si="85"/>
        <v/>
      </c>
      <c r="CD15" s="17" t="str">
        <f t="shared" si="86"/>
        <v/>
      </c>
      <c r="CE15" s="18" t="str">
        <f t="shared" si="87"/>
        <v/>
      </c>
      <c r="CF15" s="18" t="str">
        <f t="shared" si="88"/>
        <v/>
      </c>
      <c r="CG15" s="109" t="str" cm="1">
        <f t="array" ref="CG15">IFERROR(
    _xlfn.LET(
        _xlpm.result, INDEX(_xlfn._xlws.FILTER(ST[6wk avg], (ST[Code]=$C15)*(ST[Customer Name]=BZ$3), ""), 1),
        IF(_xlpm.result=0, "", _xlpm.result)
    ),
"")</f>
        <v/>
      </c>
      <c r="CH15" s="102" t="str">
        <f t="shared" si="89"/>
        <v/>
      </c>
      <c r="CI15" s="70" t="str">
        <f t="shared" si="90"/>
        <v/>
      </c>
      <c r="CJ15" s="83" t="str">
        <f t="shared" si="91"/>
        <v/>
      </c>
      <c r="CK15" s="77"/>
      <c r="CL15" s="17" t="str">
        <f>IFERROR(_xlfn.XLOOKUP(C15,Master_Price_Level_NZ[Code],Master_Price_Level_NZ[Base (RRP Inc)]),"")</f>
        <v/>
      </c>
      <c r="CM15" s="17" t="str">
        <f t="shared" si="92"/>
        <v/>
      </c>
      <c r="CN15" s="107" t="str">
        <f t="shared" si="32"/>
        <v/>
      </c>
      <c r="CO15" s="17" t="str">
        <f t="shared" si="33"/>
        <v/>
      </c>
      <c r="CP15" s="17"/>
    </row>
    <row r="16" spans="1:94" x14ac:dyDescent="0.2">
      <c r="A16" s="106" t="str">
        <f t="shared" si="34"/>
        <v/>
      </c>
      <c r="B16" s="106" t="str">
        <f t="shared" si="35"/>
        <v/>
      </c>
      <c r="C16" s="13"/>
      <c r="D16" s="14" t="str">
        <f>IF(C16="", "",_xlfn.XLOOKUP(C16,'Master Price Level NZ'!B:B,'Master Price Level NZ'!C:C))</f>
        <v/>
      </c>
      <c r="E16" s="15"/>
      <c r="F16" s="108"/>
      <c r="G16" s="68" t="str" cm="1">
        <f t="array" ref="G16">IFERROR(_xlfn.XLOOKUP($C16,Master_Price_Level_NZ[Code],INDEX(Master_Price_Level_NZ[], , MATCH('Promo Form'!F$3, Master_Price_Level_NZ[#Headers], 0))),"")</f>
        <v/>
      </c>
      <c r="H16" s="16" t="str">
        <f t="shared" si="36"/>
        <v/>
      </c>
      <c r="I16" s="16" t="str">
        <f t="shared" si="37"/>
        <v/>
      </c>
      <c r="J16" s="17" t="str">
        <f t="shared" si="38"/>
        <v/>
      </c>
      <c r="K16" s="18" t="str">
        <f t="shared" si="39"/>
        <v/>
      </c>
      <c r="L16" s="18" t="str">
        <f t="shared" si="40"/>
        <v/>
      </c>
      <c r="M16" s="109" t="str" cm="1">
        <f t="array" ref="M16">IF($C16="","",IFERROR(_xlfn._xlws.FILTER(ST[6wk avg],(ST[Code]=$C16)*(ST[Customer Name]=F$3),""),""))</f>
        <v/>
      </c>
      <c r="N16" s="102" t="str">
        <f t="shared" si="41"/>
        <v/>
      </c>
      <c r="O16" s="70" t="str">
        <f t="shared" si="42"/>
        <v/>
      </c>
      <c r="P16" s="83" t="str">
        <f t="shared" si="43"/>
        <v/>
      </c>
      <c r="Q16" s="77"/>
      <c r="R16" s="108" t="str" cm="1">
        <f t="array" ref="R16">IFERROR(_xlfn._xlws.FILTER(#REF!,(#REF!=$C16) * (#REF!=R$3),"" ),"")</f>
        <v/>
      </c>
      <c r="S16" s="68" t="str" cm="1">
        <f t="array" ref="S16">IFERROR(_xlfn.XLOOKUP($C16,Master_Price_Level_NZ[Code],INDEX(Master_Price_Level_NZ[], , MATCH('Promo Form'!R$3, Master_Price_Level_NZ[#Headers], 0))),"")</f>
        <v/>
      </c>
      <c r="T16" s="16" t="str">
        <f t="shared" si="44"/>
        <v/>
      </c>
      <c r="U16" s="16" t="str">
        <f t="shared" si="45"/>
        <v/>
      </c>
      <c r="V16" s="17" t="str">
        <f t="shared" si="46"/>
        <v/>
      </c>
      <c r="W16" s="18" t="str">
        <f t="shared" si="47"/>
        <v/>
      </c>
      <c r="X16" s="18" t="str">
        <f t="shared" si="48"/>
        <v/>
      </c>
      <c r="Y16" s="109" t="str" cm="1">
        <f t="array" ref="Y16">IFERROR(
    _xlfn.LET(
        _xlpm.result, INDEX(_xlfn._xlws.FILTER(ST[6wk avg], (ST[Code]=$C16)*(ST[Customer Name]=R$3), ""), 1),
        IF(_xlpm.result=0, "", _xlpm.result)
    ),
"")</f>
        <v/>
      </c>
      <c r="Z16" s="102" t="str">
        <f t="shared" si="49"/>
        <v/>
      </c>
      <c r="AA16" s="70" t="str">
        <f t="shared" si="50"/>
        <v/>
      </c>
      <c r="AB16" s="83" t="str">
        <f t="shared" si="51"/>
        <v/>
      </c>
      <c r="AC16" s="77"/>
      <c r="AD16" s="108" t="str" cm="1">
        <f t="array" ref="AD16">IFERROR(_xlfn._xlws.FILTER(#REF!,(#REF!=$C16) * (#REF!=AD$3),"" ),"")</f>
        <v/>
      </c>
      <c r="AE16" s="68" t="str" cm="1">
        <f t="array" ref="AE16">IFERROR(_xlfn.XLOOKUP($C16,Master_Price_Level_NZ[Code],INDEX(Master_Price_Level_NZ[], , MATCH('Promo Form'!AD$3, Master_Price_Level_NZ[#Headers], 0))),"")</f>
        <v/>
      </c>
      <c r="AF16" s="16" t="str">
        <f t="shared" si="52"/>
        <v/>
      </c>
      <c r="AG16" s="16" t="str">
        <f t="shared" si="53"/>
        <v/>
      </c>
      <c r="AH16" s="17" t="str">
        <f t="shared" si="54"/>
        <v/>
      </c>
      <c r="AI16" s="18" t="str">
        <f t="shared" si="55"/>
        <v/>
      </c>
      <c r="AJ16" s="18" t="str">
        <f t="shared" si="56"/>
        <v/>
      </c>
      <c r="AK16" s="109" t="str" cm="1">
        <f t="array" ref="AK16">IFERROR(
    _xlfn.LET(
        _xlpm.result, INDEX(_xlfn._xlws.FILTER(ST[6wk avg], (ST[Code]=$C16)*(ST[Customer Name]=AD$3), ""), 1),
        IF(_xlpm.result=0, "", _xlpm.result)
    ),
"")</f>
        <v/>
      </c>
      <c r="AL16" s="102" t="str">
        <f t="shared" si="57"/>
        <v/>
      </c>
      <c r="AM16" s="70" t="str">
        <f t="shared" si="58"/>
        <v/>
      </c>
      <c r="AN16" s="83" t="str">
        <f t="shared" si="59"/>
        <v/>
      </c>
      <c r="AO16" s="77"/>
      <c r="AP16" s="108" t="str" cm="1">
        <f t="array" ref="AP16">IFERROR(_xlfn._xlws.FILTER(#REF!,(#REF!=$C16) * (#REF!=AP$3),"" ),"")</f>
        <v/>
      </c>
      <c r="AQ16" s="68" t="str" cm="1">
        <f t="array" ref="AQ16">IFERROR(_xlfn.XLOOKUP($C16,Master_Price_Level_NZ[Code],INDEX(Master_Price_Level_NZ[], , MATCH('Promo Form'!AP$3, Master_Price_Level_NZ[#Headers], 0))),"")</f>
        <v/>
      </c>
      <c r="AR16" s="16" t="str">
        <f t="shared" si="60"/>
        <v/>
      </c>
      <c r="AS16" s="16" t="str">
        <f t="shared" si="61"/>
        <v/>
      </c>
      <c r="AT16" s="17" t="str">
        <f t="shared" si="62"/>
        <v/>
      </c>
      <c r="AU16" s="18" t="str">
        <f t="shared" si="63"/>
        <v/>
      </c>
      <c r="AV16" s="18" t="str">
        <f t="shared" si="64"/>
        <v/>
      </c>
      <c r="AW16" s="109" t="str" cm="1">
        <f t="array" ref="AW16">IFERROR(
    _xlfn.LET(
        _xlpm.result, INDEX(_xlfn._xlws.FILTER(ST[6wk avg], (ST[Code]=$C16)*(ST[Customer Name]=AP$3), ""), 1),
        IF(_xlpm.result=0, "", _xlpm.result)
    ),
"")</f>
        <v/>
      </c>
      <c r="AX16" s="102" t="str">
        <f t="shared" si="65"/>
        <v/>
      </c>
      <c r="AY16" s="70" t="str">
        <f t="shared" si="66"/>
        <v/>
      </c>
      <c r="AZ16" s="83" t="str">
        <f t="shared" si="67"/>
        <v/>
      </c>
      <c r="BA16" s="77"/>
      <c r="BB16" s="108" t="str" cm="1">
        <f t="array" ref="BB16">IFERROR(_xlfn._xlws.FILTER(#REF!,(#REF!=$C16) * (#REF!=BB$3),"" ),"")</f>
        <v/>
      </c>
      <c r="BC16" s="68" t="str" cm="1">
        <f t="array" ref="BC16">IFERROR(_xlfn.XLOOKUP($C16,Master_Price_Level_NZ[Code],INDEX(Master_Price_Level_NZ[], , MATCH('Promo Form'!BB$3, Master_Price_Level_NZ[#Headers], 0))),"")</f>
        <v/>
      </c>
      <c r="BD16" s="16" t="str">
        <f t="shared" si="68"/>
        <v/>
      </c>
      <c r="BE16" s="16" t="str">
        <f t="shared" si="69"/>
        <v/>
      </c>
      <c r="BF16" s="17" t="str">
        <f t="shared" si="70"/>
        <v/>
      </c>
      <c r="BG16" s="18" t="str">
        <f t="shared" si="71"/>
        <v/>
      </c>
      <c r="BH16" s="18" t="str">
        <f t="shared" si="72"/>
        <v/>
      </c>
      <c r="BI16" s="109" t="str" cm="1">
        <f t="array" ref="BI16">IFERROR(
    _xlfn.LET(
        _xlpm.result, INDEX(_xlfn._xlws.FILTER(ST[6wk avg], (ST[Code]=$C16)*(ST[Customer Name]=BB$3), ""), 1),
        IF(_xlpm.result=0, "", _xlpm.result)
    ),
"")</f>
        <v/>
      </c>
      <c r="BJ16" s="102" t="str">
        <f t="shared" si="73"/>
        <v/>
      </c>
      <c r="BK16" s="70" t="str">
        <f t="shared" si="74"/>
        <v/>
      </c>
      <c r="BL16" s="83" t="str">
        <f t="shared" si="75"/>
        <v/>
      </c>
      <c r="BM16" s="77"/>
      <c r="BN16" s="108" t="str" cm="1">
        <f t="array" ref="BN16">IFERROR(_xlfn._xlws.FILTER(#REF!,(#REF!=$C16) * (#REF!=BN$3),"" ),"")</f>
        <v/>
      </c>
      <c r="BO16" s="68" t="str" cm="1">
        <f t="array" ref="BO16">IFERROR(_xlfn.XLOOKUP($C16,Master_Price_Level_NZ[Code],INDEX(Master_Price_Level_NZ[], , MATCH('Promo Form'!BN$3, Master_Price_Level_NZ[#Headers], 0))),"")</f>
        <v/>
      </c>
      <c r="BP16" s="16" t="str">
        <f t="shared" si="76"/>
        <v/>
      </c>
      <c r="BQ16" s="16" t="str">
        <f t="shared" si="77"/>
        <v/>
      </c>
      <c r="BR16" s="17" t="str">
        <f t="shared" si="78"/>
        <v/>
      </c>
      <c r="BS16" s="18" t="str">
        <f t="shared" si="79"/>
        <v/>
      </c>
      <c r="BT16" s="18" t="str">
        <f t="shared" si="80"/>
        <v/>
      </c>
      <c r="BU16" s="109" t="str" cm="1">
        <f t="array" ref="BU16">IFERROR(
    _xlfn.LET(
        _xlpm.result, INDEX(_xlfn._xlws.FILTER(ST[6wk avg], (ST[Code]=$C16)*(ST[Customer Name]=BN$3), ""), 1),
        IF(_xlpm.result=0, "", _xlpm.result)
    ),
"")</f>
        <v/>
      </c>
      <c r="BV16" s="102" t="str">
        <f t="shared" si="81"/>
        <v/>
      </c>
      <c r="BW16" s="70" t="str">
        <f t="shared" si="82"/>
        <v/>
      </c>
      <c r="BX16" s="83" t="str">
        <f t="shared" si="83"/>
        <v/>
      </c>
      <c r="BY16" s="77"/>
      <c r="BZ16" s="108" t="str" cm="1">
        <f t="array" ref="BZ16">IFERROR(_xlfn._xlws.FILTER(#REF!,(#REF!=$C16) * (#REF!=BZ$3),"" ),"")</f>
        <v/>
      </c>
      <c r="CA16" s="68" t="str" cm="1">
        <f t="array" ref="CA16">IFERROR(_xlfn.XLOOKUP($C16,Master_Price_Level_NZ[Code],INDEX(Master_Price_Level_NZ[], , MATCH('Promo Form'!BZ$3, Master_Price_Level_NZ[#Headers], 0))),"")</f>
        <v/>
      </c>
      <c r="CB16" s="16" t="str">
        <f t="shared" si="84"/>
        <v/>
      </c>
      <c r="CC16" s="16" t="str">
        <f t="shared" si="85"/>
        <v/>
      </c>
      <c r="CD16" s="17" t="str">
        <f t="shared" si="86"/>
        <v/>
      </c>
      <c r="CE16" s="18" t="str">
        <f t="shared" si="87"/>
        <v/>
      </c>
      <c r="CF16" s="18" t="str">
        <f t="shared" si="88"/>
        <v/>
      </c>
      <c r="CG16" s="109" t="str" cm="1">
        <f t="array" ref="CG16">IFERROR(
    _xlfn.LET(
        _xlpm.result, INDEX(_xlfn._xlws.FILTER(ST[6wk avg], (ST[Code]=$C16)*(ST[Customer Name]=BZ$3), ""), 1),
        IF(_xlpm.result=0, "", _xlpm.result)
    ),
"")</f>
        <v/>
      </c>
      <c r="CH16" s="102" t="str">
        <f t="shared" si="89"/>
        <v/>
      </c>
      <c r="CI16" s="70" t="str">
        <f t="shared" si="90"/>
        <v/>
      </c>
      <c r="CJ16" s="83" t="str">
        <f t="shared" si="91"/>
        <v/>
      </c>
      <c r="CK16" s="77"/>
      <c r="CL16" s="17" t="str">
        <f>IFERROR(_xlfn.XLOOKUP(C16,Master_Price_Level_NZ[Code],Master_Price_Level_NZ[Base (RRP Inc)]),"")</f>
        <v/>
      </c>
      <c r="CM16" s="17" t="str">
        <f t="shared" si="92"/>
        <v/>
      </c>
      <c r="CN16" s="107" t="str">
        <f t="shared" si="32"/>
        <v/>
      </c>
      <c r="CO16" s="17" t="str">
        <f t="shared" si="33"/>
        <v/>
      </c>
      <c r="CP16" s="17"/>
    </row>
    <row r="17" spans="1:94" x14ac:dyDescent="0.2">
      <c r="A17" s="106" t="str">
        <f t="shared" si="34"/>
        <v/>
      </c>
      <c r="B17" s="106" t="str">
        <f t="shared" si="35"/>
        <v/>
      </c>
      <c r="C17" s="13"/>
      <c r="D17" s="14" t="str">
        <f>IF(C17="", "",_xlfn.XLOOKUP(C17,'Master Price Level NZ'!B:B,'Master Price Level NZ'!C:C))</f>
        <v/>
      </c>
      <c r="E17" s="15"/>
      <c r="F17" s="108"/>
      <c r="G17" s="68" t="str" cm="1">
        <f t="array" ref="G17">IFERROR(_xlfn.XLOOKUP($C17,Master_Price_Level_NZ[Code],INDEX(Master_Price_Level_NZ[], , MATCH('Promo Form'!F$3, Master_Price_Level_NZ[#Headers], 0))),"")</f>
        <v/>
      </c>
      <c r="H17" s="16" t="str">
        <f t="shared" si="36"/>
        <v/>
      </c>
      <c r="I17" s="16" t="str">
        <f t="shared" si="37"/>
        <v/>
      </c>
      <c r="J17" s="17" t="str">
        <f t="shared" si="38"/>
        <v/>
      </c>
      <c r="K17" s="18" t="str">
        <f t="shared" si="39"/>
        <v/>
      </c>
      <c r="L17" s="18" t="str">
        <f t="shared" si="40"/>
        <v/>
      </c>
      <c r="M17" s="109" t="str" cm="1">
        <f t="array" ref="M17">IF($C17="","",IFERROR(_xlfn._xlws.FILTER(ST[6wk avg],(ST[Code]=$C17)*(ST[Customer Name]=F$3),""),""))</f>
        <v/>
      </c>
      <c r="N17" s="102" t="str">
        <f t="shared" si="41"/>
        <v/>
      </c>
      <c r="O17" s="70" t="str">
        <f t="shared" si="42"/>
        <v/>
      </c>
      <c r="P17" s="83" t="str">
        <f t="shared" si="43"/>
        <v/>
      </c>
      <c r="Q17" s="77"/>
      <c r="R17" s="108" t="str" cm="1">
        <f t="array" ref="R17">IFERROR(_xlfn._xlws.FILTER(#REF!,(#REF!=$C17) * (#REF!=R$3),"" ),"")</f>
        <v/>
      </c>
      <c r="S17" s="68" t="str" cm="1">
        <f t="array" ref="S17">IFERROR(_xlfn.XLOOKUP($C17,Master_Price_Level_NZ[Code],INDEX(Master_Price_Level_NZ[], , MATCH('Promo Form'!R$3, Master_Price_Level_NZ[#Headers], 0))),"")</f>
        <v/>
      </c>
      <c r="T17" s="16" t="str">
        <f t="shared" si="44"/>
        <v/>
      </c>
      <c r="U17" s="16" t="str">
        <f t="shared" si="45"/>
        <v/>
      </c>
      <c r="V17" s="17" t="str">
        <f t="shared" si="46"/>
        <v/>
      </c>
      <c r="W17" s="18" t="str">
        <f t="shared" si="47"/>
        <v/>
      </c>
      <c r="X17" s="18" t="str">
        <f t="shared" si="48"/>
        <v/>
      </c>
      <c r="Y17" s="109" t="str" cm="1">
        <f t="array" ref="Y17">IFERROR(
    _xlfn.LET(
        _xlpm.result, INDEX(_xlfn._xlws.FILTER(ST[6wk avg], (ST[Code]=$C17)*(ST[Customer Name]=R$3), ""), 1),
        IF(_xlpm.result=0, "", _xlpm.result)
    ),
"")</f>
        <v/>
      </c>
      <c r="Z17" s="102" t="str">
        <f t="shared" si="49"/>
        <v/>
      </c>
      <c r="AA17" s="70" t="str">
        <f t="shared" si="50"/>
        <v/>
      </c>
      <c r="AB17" s="83" t="str">
        <f t="shared" si="51"/>
        <v/>
      </c>
      <c r="AC17" s="77"/>
      <c r="AD17" s="108" t="str" cm="1">
        <f t="array" ref="AD17">IFERROR(_xlfn._xlws.FILTER(#REF!,(#REF!=$C17) * (#REF!=AD$3),"" ),"")</f>
        <v/>
      </c>
      <c r="AE17" s="68" t="str" cm="1">
        <f t="array" ref="AE17">IFERROR(_xlfn.XLOOKUP($C17,Master_Price_Level_NZ[Code],INDEX(Master_Price_Level_NZ[], , MATCH('Promo Form'!AD$3, Master_Price_Level_NZ[#Headers], 0))),"")</f>
        <v/>
      </c>
      <c r="AF17" s="16" t="str">
        <f t="shared" si="52"/>
        <v/>
      </c>
      <c r="AG17" s="16" t="str">
        <f t="shared" si="53"/>
        <v/>
      </c>
      <c r="AH17" s="17" t="str">
        <f t="shared" si="54"/>
        <v/>
      </c>
      <c r="AI17" s="18" t="str">
        <f t="shared" si="55"/>
        <v/>
      </c>
      <c r="AJ17" s="18" t="str">
        <f t="shared" si="56"/>
        <v/>
      </c>
      <c r="AK17" s="109" t="str" cm="1">
        <f t="array" ref="AK17">IFERROR(
    _xlfn.LET(
        _xlpm.result, INDEX(_xlfn._xlws.FILTER(ST[6wk avg], (ST[Code]=$C17)*(ST[Customer Name]=AD$3), ""), 1),
        IF(_xlpm.result=0, "", _xlpm.result)
    ),
"")</f>
        <v/>
      </c>
      <c r="AL17" s="102" t="str">
        <f t="shared" si="57"/>
        <v/>
      </c>
      <c r="AM17" s="70" t="str">
        <f t="shared" si="58"/>
        <v/>
      </c>
      <c r="AN17" s="83" t="str">
        <f t="shared" si="59"/>
        <v/>
      </c>
      <c r="AO17" s="77"/>
      <c r="AP17" s="108" t="str" cm="1">
        <f t="array" ref="AP17">IFERROR(_xlfn._xlws.FILTER(#REF!,(#REF!=$C17) * (#REF!=AP$3),"" ),"")</f>
        <v/>
      </c>
      <c r="AQ17" s="68" t="str" cm="1">
        <f t="array" ref="AQ17">IFERROR(_xlfn.XLOOKUP($C17,Master_Price_Level_NZ[Code],INDEX(Master_Price_Level_NZ[], , MATCH('Promo Form'!AP$3, Master_Price_Level_NZ[#Headers], 0))),"")</f>
        <v/>
      </c>
      <c r="AR17" s="16" t="str">
        <f t="shared" si="60"/>
        <v/>
      </c>
      <c r="AS17" s="16" t="str">
        <f t="shared" si="61"/>
        <v/>
      </c>
      <c r="AT17" s="17" t="str">
        <f t="shared" si="62"/>
        <v/>
      </c>
      <c r="AU17" s="18" t="str">
        <f t="shared" si="63"/>
        <v/>
      </c>
      <c r="AV17" s="18" t="str">
        <f t="shared" si="64"/>
        <v/>
      </c>
      <c r="AW17" s="109" t="str" cm="1">
        <f t="array" ref="AW17">IFERROR(
    _xlfn.LET(
        _xlpm.result, INDEX(_xlfn._xlws.FILTER(ST[6wk avg], (ST[Code]=$C17)*(ST[Customer Name]=AP$3), ""), 1),
        IF(_xlpm.result=0, "", _xlpm.result)
    ),
"")</f>
        <v/>
      </c>
      <c r="AX17" s="102" t="str">
        <f t="shared" si="65"/>
        <v/>
      </c>
      <c r="AY17" s="70" t="str">
        <f t="shared" si="66"/>
        <v/>
      </c>
      <c r="AZ17" s="83" t="str">
        <f t="shared" si="67"/>
        <v/>
      </c>
      <c r="BA17" s="77"/>
      <c r="BB17" s="108" t="str" cm="1">
        <f t="array" ref="BB17">IFERROR(_xlfn._xlws.FILTER(#REF!,(#REF!=$C17) * (#REF!=BB$3),"" ),"")</f>
        <v/>
      </c>
      <c r="BC17" s="68" t="str" cm="1">
        <f t="array" ref="BC17">IFERROR(_xlfn.XLOOKUP($C17,Master_Price_Level_NZ[Code],INDEX(Master_Price_Level_NZ[], , MATCH('Promo Form'!BB$3, Master_Price_Level_NZ[#Headers], 0))),"")</f>
        <v/>
      </c>
      <c r="BD17" s="16" t="str">
        <f t="shared" si="68"/>
        <v/>
      </c>
      <c r="BE17" s="16" t="str">
        <f t="shared" si="69"/>
        <v/>
      </c>
      <c r="BF17" s="17" t="str">
        <f t="shared" si="70"/>
        <v/>
      </c>
      <c r="BG17" s="18" t="str">
        <f t="shared" si="71"/>
        <v/>
      </c>
      <c r="BH17" s="18" t="str">
        <f t="shared" si="72"/>
        <v/>
      </c>
      <c r="BI17" s="109" t="str" cm="1">
        <f t="array" ref="BI17">IFERROR(
    _xlfn.LET(
        _xlpm.result, INDEX(_xlfn._xlws.FILTER(ST[6wk avg], (ST[Code]=$C17)*(ST[Customer Name]=BB$3), ""), 1),
        IF(_xlpm.result=0, "", _xlpm.result)
    ),
"")</f>
        <v/>
      </c>
      <c r="BJ17" s="102" t="str">
        <f t="shared" si="73"/>
        <v/>
      </c>
      <c r="BK17" s="70" t="str">
        <f t="shared" si="74"/>
        <v/>
      </c>
      <c r="BL17" s="83" t="str">
        <f t="shared" si="75"/>
        <v/>
      </c>
      <c r="BM17" s="77"/>
      <c r="BN17" s="108" t="str" cm="1">
        <f t="array" ref="BN17">IFERROR(_xlfn._xlws.FILTER(#REF!,(#REF!=$C17) * (#REF!=BN$3),"" ),"")</f>
        <v/>
      </c>
      <c r="BO17" s="68" t="str" cm="1">
        <f t="array" ref="BO17">IFERROR(_xlfn.XLOOKUP($C17,Master_Price_Level_NZ[Code],INDEX(Master_Price_Level_NZ[], , MATCH('Promo Form'!BN$3, Master_Price_Level_NZ[#Headers], 0))),"")</f>
        <v/>
      </c>
      <c r="BP17" s="16" t="str">
        <f t="shared" si="76"/>
        <v/>
      </c>
      <c r="BQ17" s="16" t="str">
        <f t="shared" si="77"/>
        <v/>
      </c>
      <c r="BR17" s="17" t="str">
        <f t="shared" si="78"/>
        <v/>
      </c>
      <c r="BS17" s="18" t="str">
        <f t="shared" si="79"/>
        <v/>
      </c>
      <c r="BT17" s="18" t="str">
        <f t="shared" si="80"/>
        <v/>
      </c>
      <c r="BU17" s="109" t="str" cm="1">
        <f t="array" ref="BU17">IFERROR(
    _xlfn.LET(
        _xlpm.result, INDEX(_xlfn._xlws.FILTER(ST[6wk avg], (ST[Code]=$C17)*(ST[Customer Name]=BN$3), ""), 1),
        IF(_xlpm.result=0, "", _xlpm.result)
    ),
"")</f>
        <v/>
      </c>
      <c r="BV17" s="102" t="str">
        <f t="shared" si="81"/>
        <v/>
      </c>
      <c r="BW17" s="70" t="str">
        <f t="shared" si="82"/>
        <v/>
      </c>
      <c r="BX17" s="83" t="str">
        <f t="shared" si="83"/>
        <v/>
      </c>
      <c r="BY17" s="77"/>
      <c r="BZ17" s="108" t="str" cm="1">
        <f t="array" ref="BZ17">IFERROR(_xlfn._xlws.FILTER(#REF!,(#REF!=$C17) * (#REF!=BZ$3),"" ),"")</f>
        <v/>
      </c>
      <c r="CA17" s="68" t="str" cm="1">
        <f t="array" ref="CA17">IFERROR(_xlfn.XLOOKUP($C17,Master_Price_Level_NZ[Code],INDEX(Master_Price_Level_NZ[], , MATCH('Promo Form'!BZ$3, Master_Price_Level_NZ[#Headers], 0))),"")</f>
        <v/>
      </c>
      <c r="CB17" s="16" t="str">
        <f t="shared" si="84"/>
        <v/>
      </c>
      <c r="CC17" s="16" t="str">
        <f t="shared" si="85"/>
        <v/>
      </c>
      <c r="CD17" s="17" t="str">
        <f t="shared" si="86"/>
        <v/>
      </c>
      <c r="CE17" s="18" t="str">
        <f t="shared" si="87"/>
        <v/>
      </c>
      <c r="CF17" s="18" t="str">
        <f t="shared" si="88"/>
        <v/>
      </c>
      <c r="CG17" s="109" t="str" cm="1">
        <f t="array" ref="CG17">IFERROR(
    _xlfn.LET(
        _xlpm.result, INDEX(_xlfn._xlws.FILTER(ST[6wk avg], (ST[Code]=$C17)*(ST[Customer Name]=BZ$3), ""), 1),
        IF(_xlpm.result=0, "", _xlpm.result)
    ),
"")</f>
        <v/>
      </c>
      <c r="CH17" s="102" t="str">
        <f t="shared" si="89"/>
        <v/>
      </c>
      <c r="CI17" s="70" t="str">
        <f t="shared" si="90"/>
        <v/>
      </c>
      <c r="CJ17" s="83" t="str">
        <f t="shared" si="91"/>
        <v/>
      </c>
      <c r="CK17" s="77"/>
      <c r="CL17" s="17" t="str">
        <f>IFERROR(_xlfn.XLOOKUP(C17,Master_Price_Level_NZ[Code],Master_Price_Level_NZ[Base (RRP Inc)]),"")</f>
        <v/>
      </c>
      <c r="CM17" s="17" t="str">
        <f t="shared" si="92"/>
        <v/>
      </c>
      <c r="CN17" s="107" t="str">
        <f t="shared" si="32"/>
        <v/>
      </c>
      <c r="CO17" s="17" t="str">
        <f t="shared" si="33"/>
        <v/>
      </c>
      <c r="CP17" s="17"/>
    </row>
    <row r="18" spans="1:94" x14ac:dyDescent="0.2">
      <c r="A18" s="106" t="str">
        <f t="shared" si="34"/>
        <v/>
      </c>
      <c r="B18" s="106" t="str">
        <f t="shared" si="35"/>
        <v/>
      </c>
      <c r="C18" s="13"/>
      <c r="D18" s="14" t="str">
        <f>IF(C18="", "",_xlfn.XLOOKUP(C18,'Master Price Level NZ'!B:B,'Master Price Level NZ'!C:C))</f>
        <v/>
      </c>
      <c r="E18" s="15"/>
      <c r="F18" s="108"/>
      <c r="G18" s="68" t="str" cm="1">
        <f t="array" ref="G18">IFERROR(_xlfn.XLOOKUP($C18,Master_Price_Level_NZ[Code],INDEX(Master_Price_Level_NZ[], , MATCH('Promo Form'!F$3, Master_Price_Level_NZ[#Headers], 0))),"")</f>
        <v/>
      </c>
      <c r="H18" s="16" t="str">
        <f t="shared" si="36"/>
        <v/>
      </c>
      <c r="I18" s="16" t="str">
        <f t="shared" si="37"/>
        <v/>
      </c>
      <c r="J18" s="17" t="str">
        <f t="shared" si="38"/>
        <v/>
      </c>
      <c r="K18" s="18" t="str">
        <f t="shared" si="39"/>
        <v/>
      </c>
      <c r="L18" s="18" t="str">
        <f t="shared" si="40"/>
        <v/>
      </c>
      <c r="M18" s="109" t="str" cm="1">
        <f t="array" ref="M18">IF($C18="","",IFERROR(_xlfn._xlws.FILTER(ST[6wk avg],(ST[Code]=$C18)*(ST[Customer Name]=F$3),""),""))</f>
        <v/>
      </c>
      <c r="N18" s="102" t="str">
        <f t="shared" si="41"/>
        <v/>
      </c>
      <c r="O18" s="70" t="str">
        <f t="shared" si="42"/>
        <v/>
      </c>
      <c r="P18" s="83" t="str">
        <f t="shared" si="43"/>
        <v/>
      </c>
      <c r="Q18" s="77"/>
      <c r="R18" s="108" t="str" cm="1">
        <f t="array" ref="R18">IFERROR(_xlfn._xlws.FILTER(#REF!,(#REF!=$C18) * (#REF!=R$3),"" ),"")</f>
        <v/>
      </c>
      <c r="S18" s="68" t="str" cm="1">
        <f t="array" ref="S18">IFERROR(_xlfn.XLOOKUP($C18,Master_Price_Level_NZ[Code],INDEX(Master_Price_Level_NZ[], , MATCH('Promo Form'!R$3, Master_Price_Level_NZ[#Headers], 0))),"")</f>
        <v/>
      </c>
      <c r="T18" s="16" t="str">
        <f t="shared" si="44"/>
        <v/>
      </c>
      <c r="U18" s="16" t="str">
        <f t="shared" si="45"/>
        <v/>
      </c>
      <c r="V18" s="17" t="str">
        <f t="shared" si="46"/>
        <v/>
      </c>
      <c r="W18" s="18" t="str">
        <f t="shared" si="47"/>
        <v/>
      </c>
      <c r="X18" s="18" t="str">
        <f t="shared" si="48"/>
        <v/>
      </c>
      <c r="Y18" s="109" t="str" cm="1">
        <f t="array" ref="Y18">IFERROR(
    _xlfn.LET(
        _xlpm.result, INDEX(_xlfn._xlws.FILTER(ST[6wk avg], (ST[Code]=$C18)*(ST[Customer Name]=R$3), ""), 1),
        IF(_xlpm.result=0, "", _xlpm.result)
    ),
"")</f>
        <v/>
      </c>
      <c r="Z18" s="102" t="str">
        <f t="shared" si="49"/>
        <v/>
      </c>
      <c r="AA18" s="70" t="str">
        <f t="shared" si="50"/>
        <v/>
      </c>
      <c r="AB18" s="83" t="str">
        <f t="shared" si="51"/>
        <v/>
      </c>
      <c r="AC18" s="77"/>
      <c r="AD18" s="108" t="str" cm="1">
        <f t="array" ref="AD18">IFERROR(_xlfn._xlws.FILTER(#REF!,(#REF!=$C18) * (#REF!=AD$3),"" ),"")</f>
        <v/>
      </c>
      <c r="AE18" s="68" t="str" cm="1">
        <f t="array" ref="AE18">IFERROR(_xlfn.XLOOKUP($C18,Master_Price_Level_NZ[Code],INDEX(Master_Price_Level_NZ[], , MATCH('Promo Form'!AD$3, Master_Price_Level_NZ[#Headers], 0))),"")</f>
        <v/>
      </c>
      <c r="AF18" s="16" t="str">
        <f t="shared" si="52"/>
        <v/>
      </c>
      <c r="AG18" s="16" t="str">
        <f t="shared" si="53"/>
        <v/>
      </c>
      <c r="AH18" s="17" t="str">
        <f t="shared" si="54"/>
        <v/>
      </c>
      <c r="AI18" s="18" t="str">
        <f t="shared" si="55"/>
        <v/>
      </c>
      <c r="AJ18" s="18" t="str">
        <f t="shared" si="56"/>
        <v/>
      </c>
      <c r="AK18" s="109" t="str" cm="1">
        <f t="array" ref="AK18">IFERROR(
    _xlfn.LET(
        _xlpm.result, INDEX(_xlfn._xlws.FILTER(ST[6wk avg], (ST[Code]=$C18)*(ST[Customer Name]=AD$3), ""), 1),
        IF(_xlpm.result=0, "", _xlpm.result)
    ),
"")</f>
        <v/>
      </c>
      <c r="AL18" s="102" t="str">
        <f t="shared" si="57"/>
        <v/>
      </c>
      <c r="AM18" s="70" t="str">
        <f t="shared" si="58"/>
        <v/>
      </c>
      <c r="AN18" s="83" t="str">
        <f t="shared" si="59"/>
        <v/>
      </c>
      <c r="AO18" s="77"/>
      <c r="AP18" s="108" t="str" cm="1">
        <f t="array" ref="AP18">IFERROR(_xlfn._xlws.FILTER(#REF!,(#REF!=$C18) * (#REF!=AP$3),"" ),"")</f>
        <v/>
      </c>
      <c r="AQ18" s="68" t="str" cm="1">
        <f t="array" ref="AQ18">IFERROR(_xlfn.XLOOKUP($C18,Master_Price_Level_NZ[Code],INDEX(Master_Price_Level_NZ[], , MATCH('Promo Form'!AP$3, Master_Price_Level_NZ[#Headers], 0))),"")</f>
        <v/>
      </c>
      <c r="AR18" s="16" t="str">
        <f t="shared" si="60"/>
        <v/>
      </c>
      <c r="AS18" s="16" t="str">
        <f t="shared" si="61"/>
        <v/>
      </c>
      <c r="AT18" s="17" t="str">
        <f t="shared" si="62"/>
        <v/>
      </c>
      <c r="AU18" s="18" t="str">
        <f t="shared" si="63"/>
        <v/>
      </c>
      <c r="AV18" s="18" t="str">
        <f t="shared" si="64"/>
        <v/>
      </c>
      <c r="AW18" s="109" t="str" cm="1">
        <f t="array" ref="AW18">IFERROR(
    _xlfn.LET(
        _xlpm.result, INDEX(_xlfn._xlws.FILTER(ST[6wk avg], (ST[Code]=$C18)*(ST[Customer Name]=AP$3), ""), 1),
        IF(_xlpm.result=0, "", _xlpm.result)
    ),
"")</f>
        <v/>
      </c>
      <c r="AX18" s="102" t="str">
        <f t="shared" si="65"/>
        <v/>
      </c>
      <c r="AY18" s="70" t="str">
        <f t="shared" si="66"/>
        <v/>
      </c>
      <c r="AZ18" s="83" t="str">
        <f t="shared" si="67"/>
        <v/>
      </c>
      <c r="BA18" s="77"/>
      <c r="BB18" s="108" t="str" cm="1">
        <f t="array" ref="BB18">IFERROR(_xlfn._xlws.FILTER(#REF!,(#REF!=$C18) * (#REF!=BB$3),"" ),"")</f>
        <v/>
      </c>
      <c r="BC18" s="68" t="str" cm="1">
        <f t="array" ref="BC18">IFERROR(_xlfn.XLOOKUP($C18,Master_Price_Level_NZ[Code],INDEX(Master_Price_Level_NZ[], , MATCH('Promo Form'!BB$3, Master_Price_Level_NZ[#Headers], 0))),"")</f>
        <v/>
      </c>
      <c r="BD18" s="16" t="str">
        <f t="shared" si="68"/>
        <v/>
      </c>
      <c r="BE18" s="16" t="str">
        <f t="shared" si="69"/>
        <v/>
      </c>
      <c r="BF18" s="17" t="str">
        <f t="shared" si="70"/>
        <v/>
      </c>
      <c r="BG18" s="18" t="str">
        <f t="shared" si="71"/>
        <v/>
      </c>
      <c r="BH18" s="18" t="str">
        <f t="shared" si="72"/>
        <v/>
      </c>
      <c r="BI18" s="109" t="str" cm="1">
        <f t="array" ref="BI18">IFERROR(
    _xlfn.LET(
        _xlpm.result, INDEX(_xlfn._xlws.FILTER(ST[6wk avg], (ST[Code]=$C18)*(ST[Customer Name]=BB$3), ""), 1),
        IF(_xlpm.result=0, "", _xlpm.result)
    ),
"")</f>
        <v/>
      </c>
      <c r="BJ18" s="102" t="str">
        <f t="shared" si="73"/>
        <v/>
      </c>
      <c r="BK18" s="70" t="str">
        <f t="shared" si="74"/>
        <v/>
      </c>
      <c r="BL18" s="83" t="str">
        <f t="shared" si="75"/>
        <v/>
      </c>
      <c r="BM18" s="77"/>
      <c r="BN18" s="108" t="str" cm="1">
        <f t="array" ref="BN18">IFERROR(_xlfn._xlws.FILTER(#REF!,(#REF!=$C18) * (#REF!=BN$3),"" ),"")</f>
        <v/>
      </c>
      <c r="BO18" s="68" t="str" cm="1">
        <f t="array" ref="BO18">IFERROR(_xlfn.XLOOKUP($C18,Master_Price_Level_NZ[Code],INDEX(Master_Price_Level_NZ[], , MATCH('Promo Form'!BN$3, Master_Price_Level_NZ[#Headers], 0))),"")</f>
        <v/>
      </c>
      <c r="BP18" s="16" t="str">
        <f t="shared" si="76"/>
        <v/>
      </c>
      <c r="BQ18" s="16" t="str">
        <f t="shared" si="77"/>
        <v/>
      </c>
      <c r="BR18" s="17" t="str">
        <f t="shared" si="78"/>
        <v/>
      </c>
      <c r="BS18" s="18" t="str">
        <f t="shared" si="79"/>
        <v/>
      </c>
      <c r="BT18" s="18" t="str">
        <f t="shared" si="80"/>
        <v/>
      </c>
      <c r="BU18" s="109" t="str" cm="1">
        <f t="array" ref="BU18">IFERROR(
    _xlfn.LET(
        _xlpm.result, INDEX(_xlfn._xlws.FILTER(ST[6wk avg], (ST[Code]=$C18)*(ST[Customer Name]=BN$3), ""), 1),
        IF(_xlpm.result=0, "", _xlpm.result)
    ),
"")</f>
        <v/>
      </c>
      <c r="BV18" s="102" t="str">
        <f t="shared" si="81"/>
        <v/>
      </c>
      <c r="BW18" s="70" t="str">
        <f t="shared" si="82"/>
        <v/>
      </c>
      <c r="BX18" s="83" t="str">
        <f t="shared" si="83"/>
        <v/>
      </c>
      <c r="BY18" s="77"/>
      <c r="BZ18" s="108" t="str" cm="1">
        <f t="array" ref="BZ18">IFERROR(_xlfn._xlws.FILTER(#REF!,(#REF!=$C18) * (#REF!=BZ$3),"" ),"")</f>
        <v/>
      </c>
      <c r="CA18" s="68" t="str" cm="1">
        <f t="array" ref="CA18">IFERROR(_xlfn.XLOOKUP($C18,Master_Price_Level_NZ[Code],INDEX(Master_Price_Level_NZ[], , MATCH('Promo Form'!BZ$3, Master_Price_Level_NZ[#Headers], 0))),"")</f>
        <v/>
      </c>
      <c r="CB18" s="16" t="str">
        <f t="shared" si="84"/>
        <v/>
      </c>
      <c r="CC18" s="16" t="str">
        <f t="shared" si="85"/>
        <v/>
      </c>
      <c r="CD18" s="17" t="str">
        <f t="shared" si="86"/>
        <v/>
      </c>
      <c r="CE18" s="18" t="str">
        <f t="shared" si="87"/>
        <v/>
      </c>
      <c r="CF18" s="18" t="str">
        <f t="shared" si="88"/>
        <v/>
      </c>
      <c r="CG18" s="109" t="str" cm="1">
        <f t="array" ref="CG18">IFERROR(
    _xlfn.LET(
        _xlpm.result, INDEX(_xlfn._xlws.FILTER(ST[6wk avg], (ST[Code]=$C18)*(ST[Customer Name]=BZ$3), ""), 1),
        IF(_xlpm.result=0, "", _xlpm.result)
    ),
"")</f>
        <v/>
      </c>
      <c r="CH18" s="102" t="str">
        <f t="shared" si="89"/>
        <v/>
      </c>
      <c r="CI18" s="70" t="str">
        <f t="shared" si="90"/>
        <v/>
      </c>
      <c r="CJ18" s="83" t="str">
        <f t="shared" si="91"/>
        <v/>
      </c>
      <c r="CK18" s="77"/>
      <c r="CL18" s="17" t="str">
        <f>IFERROR(_xlfn.XLOOKUP(C18,Master_Price_Level_NZ[Code],Master_Price_Level_NZ[Base (RRP Inc)]),"")</f>
        <v/>
      </c>
      <c r="CM18" s="17" t="str">
        <f t="shared" si="92"/>
        <v/>
      </c>
      <c r="CN18" s="107" t="str">
        <f t="shared" si="32"/>
        <v/>
      </c>
      <c r="CO18" s="17" t="str">
        <f t="shared" si="33"/>
        <v/>
      </c>
      <c r="CP18" s="17"/>
    </row>
    <row r="19" spans="1:94" x14ac:dyDescent="0.2">
      <c r="A19" s="106" t="str">
        <f t="shared" si="34"/>
        <v/>
      </c>
      <c r="B19" s="106" t="str">
        <f t="shared" si="35"/>
        <v/>
      </c>
      <c r="C19" s="13"/>
      <c r="D19" s="14" t="str">
        <f>IF(C19="", "",_xlfn.XLOOKUP(C19,'Master Price Level NZ'!B:B,'Master Price Level NZ'!C:C))</f>
        <v/>
      </c>
      <c r="E19" s="15"/>
      <c r="F19" s="108"/>
      <c r="G19" s="68" t="str" cm="1">
        <f t="array" ref="G19">IFERROR(_xlfn.XLOOKUP($C19,Master_Price_Level_NZ[Code],INDEX(Master_Price_Level_NZ[], , MATCH('Promo Form'!F$3, Master_Price_Level_NZ[#Headers], 0))),"")</f>
        <v/>
      </c>
      <c r="H19" s="16" t="str">
        <f t="shared" si="36"/>
        <v/>
      </c>
      <c r="I19" s="16" t="str">
        <f t="shared" si="37"/>
        <v/>
      </c>
      <c r="J19" s="17" t="str">
        <f t="shared" si="38"/>
        <v/>
      </c>
      <c r="K19" s="18" t="str">
        <f t="shared" si="39"/>
        <v/>
      </c>
      <c r="L19" s="18" t="str">
        <f t="shared" si="40"/>
        <v/>
      </c>
      <c r="M19" s="109" t="str" cm="1">
        <f t="array" ref="M19">IF($C19="","",IFERROR(_xlfn._xlws.FILTER(ST[6wk avg],(ST[Code]=$C19)*(ST[Customer Name]=F$3),""),""))</f>
        <v/>
      </c>
      <c r="N19" s="102" t="str">
        <f t="shared" si="41"/>
        <v/>
      </c>
      <c r="O19" s="70" t="str">
        <f t="shared" si="42"/>
        <v/>
      </c>
      <c r="P19" s="83" t="str">
        <f t="shared" si="43"/>
        <v/>
      </c>
      <c r="Q19" s="77"/>
      <c r="R19" s="108" t="str" cm="1">
        <f t="array" ref="R19">IFERROR(_xlfn._xlws.FILTER(#REF!,(#REF!=$C19) * (#REF!=R$3),"" ),"")</f>
        <v/>
      </c>
      <c r="S19" s="68" t="str" cm="1">
        <f t="array" ref="S19">IFERROR(_xlfn.XLOOKUP($C19,Master_Price_Level_NZ[Code],INDEX(Master_Price_Level_NZ[], , MATCH('Promo Form'!R$3, Master_Price_Level_NZ[#Headers], 0))),"")</f>
        <v/>
      </c>
      <c r="T19" s="16" t="str">
        <f t="shared" si="44"/>
        <v/>
      </c>
      <c r="U19" s="16" t="str">
        <f t="shared" si="45"/>
        <v/>
      </c>
      <c r="V19" s="17" t="str">
        <f t="shared" si="46"/>
        <v/>
      </c>
      <c r="W19" s="18" t="str">
        <f t="shared" si="47"/>
        <v/>
      </c>
      <c r="X19" s="18" t="str">
        <f t="shared" si="48"/>
        <v/>
      </c>
      <c r="Y19" s="109" t="str" cm="1">
        <f t="array" ref="Y19">IFERROR(
    _xlfn.LET(
        _xlpm.result, INDEX(_xlfn._xlws.FILTER(ST[6wk avg], (ST[Code]=$C19)*(ST[Customer Name]=R$3), ""), 1),
        IF(_xlpm.result=0, "", _xlpm.result)
    ),
"")</f>
        <v/>
      </c>
      <c r="Z19" s="102" t="str">
        <f t="shared" si="49"/>
        <v/>
      </c>
      <c r="AA19" s="70" t="str">
        <f t="shared" si="50"/>
        <v/>
      </c>
      <c r="AB19" s="83" t="str">
        <f t="shared" si="51"/>
        <v/>
      </c>
      <c r="AC19" s="77"/>
      <c r="AD19" s="108" t="str" cm="1">
        <f t="array" ref="AD19">IFERROR(_xlfn._xlws.FILTER(#REF!,(#REF!=$C19) * (#REF!=AD$3),"" ),"")</f>
        <v/>
      </c>
      <c r="AE19" s="68" t="str" cm="1">
        <f t="array" ref="AE19">IFERROR(_xlfn.XLOOKUP($C19,Master_Price_Level_NZ[Code],INDEX(Master_Price_Level_NZ[], , MATCH('Promo Form'!AD$3, Master_Price_Level_NZ[#Headers], 0))),"")</f>
        <v/>
      </c>
      <c r="AF19" s="16" t="str">
        <f t="shared" si="52"/>
        <v/>
      </c>
      <c r="AG19" s="16" t="str">
        <f t="shared" si="53"/>
        <v/>
      </c>
      <c r="AH19" s="17" t="str">
        <f t="shared" si="54"/>
        <v/>
      </c>
      <c r="AI19" s="18" t="str">
        <f t="shared" si="55"/>
        <v/>
      </c>
      <c r="AJ19" s="18" t="str">
        <f t="shared" si="56"/>
        <v/>
      </c>
      <c r="AK19" s="109" t="str" cm="1">
        <f t="array" ref="AK19">IFERROR(
    _xlfn.LET(
        _xlpm.result, INDEX(_xlfn._xlws.FILTER(ST[6wk avg], (ST[Code]=$C19)*(ST[Customer Name]=AD$3), ""), 1),
        IF(_xlpm.result=0, "", _xlpm.result)
    ),
"")</f>
        <v/>
      </c>
      <c r="AL19" s="102" t="str">
        <f t="shared" si="57"/>
        <v/>
      </c>
      <c r="AM19" s="70" t="str">
        <f t="shared" si="58"/>
        <v/>
      </c>
      <c r="AN19" s="83" t="str">
        <f t="shared" si="59"/>
        <v/>
      </c>
      <c r="AO19" s="77"/>
      <c r="AP19" s="108" t="str" cm="1">
        <f t="array" ref="AP19">IFERROR(_xlfn._xlws.FILTER(#REF!,(#REF!=$C19) * (#REF!=AP$3),"" ),"")</f>
        <v/>
      </c>
      <c r="AQ19" s="68" t="str" cm="1">
        <f t="array" ref="AQ19">IFERROR(_xlfn.XLOOKUP($C19,Master_Price_Level_NZ[Code],INDEX(Master_Price_Level_NZ[], , MATCH('Promo Form'!AP$3, Master_Price_Level_NZ[#Headers], 0))),"")</f>
        <v/>
      </c>
      <c r="AR19" s="16" t="str">
        <f t="shared" si="60"/>
        <v/>
      </c>
      <c r="AS19" s="16" t="str">
        <f t="shared" si="61"/>
        <v/>
      </c>
      <c r="AT19" s="17" t="str">
        <f t="shared" si="62"/>
        <v/>
      </c>
      <c r="AU19" s="18" t="str">
        <f t="shared" si="63"/>
        <v/>
      </c>
      <c r="AV19" s="18" t="str">
        <f t="shared" si="64"/>
        <v/>
      </c>
      <c r="AW19" s="109" t="str" cm="1">
        <f t="array" ref="AW19">IFERROR(
    _xlfn.LET(
        _xlpm.result, INDEX(_xlfn._xlws.FILTER(ST[6wk avg], (ST[Code]=$C19)*(ST[Customer Name]=AP$3), ""), 1),
        IF(_xlpm.result=0, "", _xlpm.result)
    ),
"")</f>
        <v/>
      </c>
      <c r="AX19" s="102" t="str">
        <f t="shared" si="65"/>
        <v/>
      </c>
      <c r="AY19" s="70" t="str">
        <f t="shared" si="66"/>
        <v/>
      </c>
      <c r="AZ19" s="83" t="str">
        <f t="shared" si="67"/>
        <v/>
      </c>
      <c r="BA19" s="77"/>
      <c r="BB19" s="108" t="str" cm="1">
        <f t="array" ref="BB19">IFERROR(_xlfn._xlws.FILTER(#REF!,(#REF!=$C19) * (#REF!=BB$3),"" ),"")</f>
        <v/>
      </c>
      <c r="BC19" s="68" t="str" cm="1">
        <f t="array" ref="BC19">IFERROR(_xlfn.XLOOKUP($C19,Master_Price_Level_NZ[Code],INDEX(Master_Price_Level_NZ[], , MATCH('Promo Form'!BB$3, Master_Price_Level_NZ[#Headers], 0))),"")</f>
        <v/>
      </c>
      <c r="BD19" s="16" t="str">
        <f t="shared" si="68"/>
        <v/>
      </c>
      <c r="BE19" s="16" t="str">
        <f t="shared" si="69"/>
        <v/>
      </c>
      <c r="BF19" s="17" t="str">
        <f t="shared" si="70"/>
        <v/>
      </c>
      <c r="BG19" s="18" t="str">
        <f t="shared" si="71"/>
        <v/>
      </c>
      <c r="BH19" s="18" t="str">
        <f t="shared" si="72"/>
        <v/>
      </c>
      <c r="BI19" s="109" t="str" cm="1">
        <f t="array" ref="BI19">IFERROR(
    _xlfn.LET(
        _xlpm.result, INDEX(_xlfn._xlws.FILTER(ST[6wk avg], (ST[Code]=$C19)*(ST[Customer Name]=BB$3), ""), 1),
        IF(_xlpm.result=0, "", _xlpm.result)
    ),
"")</f>
        <v/>
      </c>
      <c r="BJ19" s="102" t="str">
        <f t="shared" si="73"/>
        <v/>
      </c>
      <c r="BK19" s="70" t="str">
        <f t="shared" si="74"/>
        <v/>
      </c>
      <c r="BL19" s="83" t="str">
        <f t="shared" si="75"/>
        <v/>
      </c>
      <c r="BM19" s="77"/>
      <c r="BN19" s="108" t="str" cm="1">
        <f t="array" ref="BN19">IFERROR(_xlfn._xlws.FILTER(#REF!,(#REF!=$C19) * (#REF!=BN$3),"" ),"")</f>
        <v/>
      </c>
      <c r="BO19" s="68" t="str" cm="1">
        <f t="array" ref="BO19">IFERROR(_xlfn.XLOOKUP($C19,Master_Price_Level_NZ[Code],INDEX(Master_Price_Level_NZ[], , MATCH('Promo Form'!BN$3, Master_Price_Level_NZ[#Headers], 0))),"")</f>
        <v/>
      </c>
      <c r="BP19" s="16" t="str">
        <f t="shared" si="76"/>
        <v/>
      </c>
      <c r="BQ19" s="16" t="str">
        <f t="shared" si="77"/>
        <v/>
      </c>
      <c r="BR19" s="17" t="str">
        <f t="shared" si="78"/>
        <v/>
      </c>
      <c r="BS19" s="18" t="str">
        <f t="shared" si="79"/>
        <v/>
      </c>
      <c r="BT19" s="18" t="str">
        <f t="shared" si="80"/>
        <v/>
      </c>
      <c r="BU19" s="109" t="str" cm="1">
        <f t="array" ref="BU19">IFERROR(
    _xlfn.LET(
        _xlpm.result, INDEX(_xlfn._xlws.FILTER(ST[6wk avg], (ST[Code]=$C19)*(ST[Customer Name]=BN$3), ""), 1),
        IF(_xlpm.result=0, "", _xlpm.result)
    ),
"")</f>
        <v/>
      </c>
      <c r="BV19" s="102" t="str">
        <f t="shared" si="81"/>
        <v/>
      </c>
      <c r="BW19" s="70" t="str">
        <f t="shared" si="82"/>
        <v/>
      </c>
      <c r="BX19" s="83" t="str">
        <f t="shared" si="83"/>
        <v/>
      </c>
      <c r="BY19" s="77"/>
      <c r="BZ19" s="108" t="str" cm="1">
        <f t="array" ref="BZ19">IFERROR(_xlfn._xlws.FILTER(#REF!,(#REF!=$C19) * (#REF!=BZ$3),"" ),"")</f>
        <v/>
      </c>
      <c r="CA19" s="68" t="str" cm="1">
        <f t="array" ref="CA19">IFERROR(_xlfn.XLOOKUP($C19,Master_Price_Level_NZ[Code],INDEX(Master_Price_Level_NZ[], , MATCH('Promo Form'!BZ$3, Master_Price_Level_NZ[#Headers], 0))),"")</f>
        <v/>
      </c>
      <c r="CB19" s="16" t="str">
        <f t="shared" si="84"/>
        <v/>
      </c>
      <c r="CC19" s="16" t="str">
        <f t="shared" si="85"/>
        <v/>
      </c>
      <c r="CD19" s="17" t="str">
        <f t="shared" si="86"/>
        <v/>
      </c>
      <c r="CE19" s="18" t="str">
        <f t="shared" si="87"/>
        <v/>
      </c>
      <c r="CF19" s="18" t="str">
        <f t="shared" si="88"/>
        <v/>
      </c>
      <c r="CG19" s="109" t="str" cm="1">
        <f t="array" ref="CG19">IFERROR(
    _xlfn.LET(
        _xlpm.result, INDEX(_xlfn._xlws.FILTER(ST[6wk avg], (ST[Code]=$C19)*(ST[Customer Name]=BZ$3), ""), 1),
        IF(_xlpm.result=0, "", _xlpm.result)
    ),
"")</f>
        <v/>
      </c>
      <c r="CH19" s="102" t="str">
        <f t="shared" si="89"/>
        <v/>
      </c>
      <c r="CI19" s="70" t="str">
        <f t="shared" si="90"/>
        <v/>
      </c>
      <c r="CJ19" s="83" t="str">
        <f t="shared" si="91"/>
        <v/>
      </c>
      <c r="CK19" s="77"/>
      <c r="CL19" s="17" t="str">
        <f>IFERROR(_xlfn.XLOOKUP(C19,Master_Price_Level_NZ[Code],Master_Price_Level_NZ[Base (RRP Inc)]),"")</f>
        <v/>
      </c>
      <c r="CM19" s="17" t="str">
        <f t="shared" si="92"/>
        <v/>
      </c>
      <c r="CN19" s="107" t="str">
        <f t="shared" si="32"/>
        <v/>
      </c>
      <c r="CO19" s="17" t="str">
        <f t="shared" si="33"/>
        <v/>
      </c>
      <c r="CP19" s="17"/>
    </row>
    <row r="20" spans="1:94" x14ac:dyDescent="0.2">
      <c r="A20" s="106" t="str">
        <f t="shared" ref="A20:A27" si="93">IF(C20="","",A19)</f>
        <v/>
      </c>
      <c r="B20" s="106" t="str">
        <f t="shared" ref="B20:B27" si="94">IF(C20="","",B19)</f>
        <v/>
      </c>
      <c r="C20" s="13"/>
      <c r="D20" s="14" t="str">
        <f>IF(C20="", "",_xlfn.XLOOKUP(C20,'Master Price Level NZ'!B:B,'Master Price Level NZ'!C:C))</f>
        <v/>
      </c>
      <c r="E20" s="15"/>
      <c r="F20" s="108"/>
      <c r="G20" s="68" t="str" cm="1">
        <f t="array" ref="G20">IFERROR(_xlfn.XLOOKUP($C20,Master_Price_Level_NZ[Code],INDEX(Master_Price_Level_NZ[], , MATCH('Promo Form'!F$3, Master_Price_Level_NZ[#Headers], 0))),"")</f>
        <v/>
      </c>
      <c r="H20" s="16" t="str">
        <f t="shared" si="36"/>
        <v/>
      </c>
      <c r="I20" s="16" t="str">
        <f t="shared" si="37"/>
        <v/>
      </c>
      <c r="J20" s="17" t="str">
        <f t="shared" si="38"/>
        <v/>
      </c>
      <c r="K20" s="18" t="str">
        <f t="shared" si="39"/>
        <v/>
      </c>
      <c r="L20" s="18" t="str">
        <f t="shared" si="40"/>
        <v/>
      </c>
      <c r="M20" s="109" t="str" cm="1">
        <f t="array" ref="M20">IF($C20="","",IFERROR(_xlfn._xlws.FILTER(ST[6wk avg],(ST[Code]=$C20)*(ST[Customer Name]=F$3),""),""))</f>
        <v/>
      </c>
      <c r="N20" s="102" t="str">
        <f t="shared" si="41"/>
        <v/>
      </c>
      <c r="O20" s="70" t="str">
        <f t="shared" si="42"/>
        <v/>
      </c>
      <c r="P20" s="83" t="str">
        <f t="shared" si="43"/>
        <v/>
      </c>
      <c r="Q20" s="77"/>
      <c r="R20" s="108" t="str" cm="1">
        <f t="array" ref="R20">IFERROR(_xlfn._xlws.FILTER(#REF!,(#REF!=$C20) * (#REF!=R$3),"" ),"")</f>
        <v/>
      </c>
      <c r="S20" s="68" t="str" cm="1">
        <f t="array" ref="S20">IFERROR(_xlfn.XLOOKUP($C20,Master_Price_Level_NZ[Code],INDEX(Master_Price_Level_NZ[], , MATCH('Promo Form'!R$3, Master_Price_Level_NZ[#Headers], 0))),"")</f>
        <v/>
      </c>
      <c r="T20" s="16" t="str">
        <f t="shared" si="44"/>
        <v/>
      </c>
      <c r="U20" s="16" t="str">
        <f t="shared" si="45"/>
        <v/>
      </c>
      <c r="V20" s="17" t="str">
        <f t="shared" si="46"/>
        <v/>
      </c>
      <c r="W20" s="18" t="str">
        <f t="shared" si="47"/>
        <v/>
      </c>
      <c r="X20" s="18" t="str">
        <f t="shared" si="48"/>
        <v/>
      </c>
      <c r="Y20" s="109" t="str" cm="1">
        <f t="array" ref="Y20">IFERROR(
    _xlfn.LET(
        _xlpm.result, INDEX(_xlfn._xlws.FILTER(ST[6wk avg], (ST[Code]=$C20)*(ST[Customer Name]=R$3), ""), 1),
        IF(_xlpm.result=0, "", _xlpm.result)
    ),
"")</f>
        <v/>
      </c>
      <c r="Z20" s="102" t="str">
        <f t="shared" si="49"/>
        <v/>
      </c>
      <c r="AA20" s="70" t="str">
        <f t="shared" si="50"/>
        <v/>
      </c>
      <c r="AB20" s="83" t="str">
        <f t="shared" si="51"/>
        <v/>
      </c>
      <c r="AC20" s="77"/>
      <c r="AD20" s="108" t="str" cm="1">
        <f t="array" ref="AD20">IFERROR(_xlfn._xlws.FILTER(#REF!,(#REF!=$C20) * (#REF!=AD$3),"" ),"")</f>
        <v/>
      </c>
      <c r="AE20" s="68" t="str" cm="1">
        <f t="array" ref="AE20">IFERROR(_xlfn.XLOOKUP($C20,Master_Price_Level_NZ[Code],INDEX(Master_Price_Level_NZ[], , MATCH('Promo Form'!AD$3, Master_Price_Level_NZ[#Headers], 0))),"")</f>
        <v/>
      </c>
      <c r="AF20" s="16" t="str">
        <f t="shared" si="52"/>
        <v/>
      </c>
      <c r="AG20" s="16" t="str">
        <f t="shared" si="53"/>
        <v/>
      </c>
      <c r="AH20" s="17" t="str">
        <f t="shared" si="54"/>
        <v/>
      </c>
      <c r="AI20" s="18" t="str">
        <f t="shared" si="55"/>
        <v/>
      </c>
      <c r="AJ20" s="18" t="str">
        <f t="shared" si="56"/>
        <v/>
      </c>
      <c r="AK20" s="109" t="str" cm="1">
        <f t="array" ref="AK20">IFERROR(
    _xlfn.LET(
        _xlpm.result, INDEX(_xlfn._xlws.FILTER(ST[6wk avg], (ST[Code]=$C20)*(ST[Customer Name]=AD$3), ""), 1),
        IF(_xlpm.result=0, "", _xlpm.result)
    ),
"")</f>
        <v/>
      </c>
      <c r="AL20" s="102" t="str">
        <f t="shared" si="57"/>
        <v/>
      </c>
      <c r="AM20" s="70" t="str">
        <f t="shared" si="58"/>
        <v/>
      </c>
      <c r="AN20" s="83" t="str">
        <f t="shared" si="59"/>
        <v/>
      </c>
      <c r="AO20" s="77"/>
      <c r="AP20" s="108" t="str" cm="1">
        <f t="array" ref="AP20">IFERROR(_xlfn._xlws.FILTER(#REF!,(#REF!=$C20) * (#REF!=AP$3),"" ),"")</f>
        <v/>
      </c>
      <c r="AQ20" s="68" t="str" cm="1">
        <f t="array" ref="AQ20">IFERROR(_xlfn.XLOOKUP($C20,Master_Price_Level_NZ[Code],INDEX(Master_Price_Level_NZ[], , MATCH('Promo Form'!AP$3, Master_Price_Level_NZ[#Headers], 0))),"")</f>
        <v/>
      </c>
      <c r="AR20" s="16" t="str">
        <f t="shared" si="60"/>
        <v/>
      </c>
      <c r="AS20" s="16" t="str">
        <f t="shared" si="61"/>
        <v/>
      </c>
      <c r="AT20" s="17" t="str">
        <f t="shared" si="62"/>
        <v/>
      </c>
      <c r="AU20" s="18" t="str">
        <f t="shared" si="63"/>
        <v/>
      </c>
      <c r="AV20" s="18" t="str">
        <f t="shared" si="64"/>
        <v/>
      </c>
      <c r="AW20" s="109" t="str" cm="1">
        <f t="array" ref="AW20">IFERROR(
    _xlfn.LET(
        _xlpm.result, INDEX(_xlfn._xlws.FILTER(ST[6wk avg], (ST[Code]=$C20)*(ST[Customer Name]=AP$3), ""), 1),
        IF(_xlpm.result=0, "", _xlpm.result)
    ),
"")</f>
        <v/>
      </c>
      <c r="AX20" s="102" t="str">
        <f t="shared" si="65"/>
        <v/>
      </c>
      <c r="AY20" s="70" t="str">
        <f t="shared" si="66"/>
        <v/>
      </c>
      <c r="AZ20" s="83" t="str">
        <f t="shared" si="67"/>
        <v/>
      </c>
      <c r="BA20" s="77"/>
      <c r="BB20" s="108" t="str" cm="1">
        <f t="array" ref="BB20">IFERROR(_xlfn._xlws.FILTER(#REF!,(#REF!=$C20) * (#REF!=BB$3),"" ),"")</f>
        <v/>
      </c>
      <c r="BC20" s="68" t="str" cm="1">
        <f t="array" ref="BC20">IFERROR(_xlfn.XLOOKUP($C20,Master_Price_Level_NZ[Code],INDEX(Master_Price_Level_NZ[], , MATCH('Promo Form'!BB$3, Master_Price_Level_NZ[#Headers], 0))),"")</f>
        <v/>
      </c>
      <c r="BD20" s="16" t="str">
        <f t="shared" si="68"/>
        <v/>
      </c>
      <c r="BE20" s="16" t="str">
        <f t="shared" si="69"/>
        <v/>
      </c>
      <c r="BF20" s="17" t="str">
        <f t="shared" si="70"/>
        <v/>
      </c>
      <c r="BG20" s="18" t="str">
        <f t="shared" si="71"/>
        <v/>
      </c>
      <c r="BH20" s="18" t="str">
        <f t="shared" si="72"/>
        <v/>
      </c>
      <c r="BI20" s="109" t="str" cm="1">
        <f t="array" ref="BI20">IFERROR(
    _xlfn.LET(
        _xlpm.result, INDEX(_xlfn._xlws.FILTER(ST[6wk avg], (ST[Code]=$C20)*(ST[Customer Name]=BB$3), ""), 1),
        IF(_xlpm.result=0, "", _xlpm.result)
    ),
"")</f>
        <v/>
      </c>
      <c r="BJ20" s="102" t="str">
        <f t="shared" si="73"/>
        <v/>
      </c>
      <c r="BK20" s="70" t="str">
        <f t="shared" si="74"/>
        <v/>
      </c>
      <c r="BL20" s="83" t="str">
        <f t="shared" si="75"/>
        <v/>
      </c>
      <c r="BM20" s="77"/>
      <c r="BN20" s="108" t="str" cm="1">
        <f t="array" ref="BN20">IFERROR(_xlfn._xlws.FILTER(#REF!,(#REF!=$C20) * (#REF!=BN$3),"" ),"")</f>
        <v/>
      </c>
      <c r="BO20" s="68" t="str" cm="1">
        <f t="array" ref="BO20">IFERROR(_xlfn.XLOOKUP($C20,Master_Price_Level_NZ[Code],INDEX(Master_Price_Level_NZ[], , MATCH('Promo Form'!BN$3, Master_Price_Level_NZ[#Headers], 0))),"")</f>
        <v/>
      </c>
      <c r="BP20" s="16" t="str">
        <f t="shared" si="76"/>
        <v/>
      </c>
      <c r="BQ20" s="16" t="str">
        <f t="shared" si="77"/>
        <v/>
      </c>
      <c r="BR20" s="17" t="str">
        <f t="shared" si="78"/>
        <v/>
      </c>
      <c r="BS20" s="18" t="str">
        <f t="shared" si="79"/>
        <v/>
      </c>
      <c r="BT20" s="18" t="str">
        <f t="shared" si="80"/>
        <v/>
      </c>
      <c r="BU20" s="109" t="str" cm="1">
        <f t="array" ref="BU20">IFERROR(
    _xlfn.LET(
        _xlpm.result, INDEX(_xlfn._xlws.FILTER(ST[6wk avg], (ST[Code]=$C20)*(ST[Customer Name]=BN$3), ""), 1),
        IF(_xlpm.result=0, "", _xlpm.result)
    ),
"")</f>
        <v/>
      </c>
      <c r="BV20" s="102" t="str">
        <f t="shared" si="81"/>
        <v/>
      </c>
      <c r="BW20" s="70" t="str">
        <f t="shared" si="82"/>
        <v/>
      </c>
      <c r="BX20" s="83" t="str">
        <f t="shared" si="83"/>
        <v/>
      </c>
      <c r="BY20" s="77"/>
      <c r="BZ20" s="108" t="str" cm="1">
        <f t="array" ref="BZ20">IFERROR(_xlfn._xlws.FILTER(#REF!,(#REF!=$C20) * (#REF!=BZ$3),"" ),"")</f>
        <v/>
      </c>
      <c r="CA20" s="68" t="str" cm="1">
        <f t="array" ref="CA20">IFERROR(_xlfn.XLOOKUP($C20,Master_Price_Level_NZ[Code],INDEX(Master_Price_Level_NZ[], , MATCH('Promo Form'!BZ$3, Master_Price_Level_NZ[#Headers], 0))),"")</f>
        <v/>
      </c>
      <c r="CB20" s="16" t="str">
        <f t="shared" si="84"/>
        <v/>
      </c>
      <c r="CC20" s="16" t="str">
        <f t="shared" si="85"/>
        <v/>
      </c>
      <c r="CD20" s="17" t="str">
        <f t="shared" si="86"/>
        <v/>
      </c>
      <c r="CE20" s="18" t="str">
        <f t="shared" si="87"/>
        <v/>
      </c>
      <c r="CF20" s="18" t="str">
        <f t="shared" si="88"/>
        <v/>
      </c>
      <c r="CG20" s="109" t="str" cm="1">
        <f t="array" ref="CG20">IFERROR(
    _xlfn.LET(
        _xlpm.result, INDEX(_xlfn._xlws.FILTER(ST[6wk avg], (ST[Code]=$C20)*(ST[Customer Name]=BZ$3), ""), 1),
        IF(_xlpm.result=0, "", _xlpm.result)
    ),
"")</f>
        <v/>
      </c>
      <c r="CH20" s="102" t="str">
        <f t="shared" si="89"/>
        <v/>
      </c>
      <c r="CI20" s="70" t="str">
        <f t="shared" si="90"/>
        <v/>
      </c>
      <c r="CJ20" s="83" t="str">
        <f t="shared" si="91"/>
        <v/>
      </c>
      <c r="CK20" s="77"/>
      <c r="CL20" s="17" t="str">
        <f>IFERROR(_xlfn.XLOOKUP(C20,Master_Price_Level_NZ[Code],Master_Price_Level_NZ[Base (RRP Inc)]),"")</f>
        <v/>
      </c>
      <c r="CM20" s="17" t="str">
        <f t="shared" si="92"/>
        <v/>
      </c>
      <c r="CN20" s="107" t="str">
        <f t="shared" ref="CN20:CN27" si="95">IF(C20="", "",CN19)</f>
        <v/>
      </c>
      <c r="CO20" s="17" t="str">
        <f t="shared" ref="CO20:CO27" si="96">IFERROR((CL20-CM20),"")</f>
        <v/>
      </c>
      <c r="CP20" s="17"/>
    </row>
    <row r="21" spans="1:94" x14ac:dyDescent="0.2">
      <c r="A21" s="106" t="str">
        <f t="shared" si="93"/>
        <v/>
      </c>
      <c r="B21" s="106" t="str">
        <f t="shared" si="94"/>
        <v/>
      </c>
      <c r="C21" s="13"/>
      <c r="D21" s="14" t="str">
        <f>IF(C21="", "",_xlfn.XLOOKUP(C21,'Master Price Level NZ'!B:B,'Master Price Level NZ'!C:C))</f>
        <v/>
      </c>
      <c r="E21" s="15"/>
      <c r="F21" s="108"/>
      <c r="G21" s="68" t="str" cm="1">
        <f t="array" ref="G21">IFERROR(_xlfn.XLOOKUP($C21,Master_Price_Level_NZ[Code],INDEX(Master_Price_Level_NZ[], , MATCH('Promo Form'!F$3, Master_Price_Level_NZ[#Headers], 0))),"")</f>
        <v/>
      </c>
      <c r="H21" s="16" t="str">
        <f t="shared" si="36"/>
        <v/>
      </c>
      <c r="I21" s="16" t="str">
        <f t="shared" si="37"/>
        <v/>
      </c>
      <c r="J21" s="17" t="str">
        <f t="shared" si="38"/>
        <v/>
      </c>
      <c r="K21" s="18" t="str">
        <f t="shared" si="39"/>
        <v/>
      </c>
      <c r="L21" s="18" t="str">
        <f t="shared" si="40"/>
        <v/>
      </c>
      <c r="M21" s="109" t="str" cm="1">
        <f t="array" ref="M21">IF($C21="","",IFERROR(_xlfn._xlws.FILTER(ST[6wk avg],(ST[Code]=$C21)*(ST[Customer Name]=F$3),""),""))</f>
        <v/>
      </c>
      <c r="N21" s="102" t="str">
        <f t="shared" si="41"/>
        <v/>
      </c>
      <c r="O21" s="70" t="str">
        <f t="shared" si="42"/>
        <v/>
      </c>
      <c r="P21" s="83" t="str">
        <f t="shared" si="43"/>
        <v/>
      </c>
      <c r="Q21" s="77"/>
      <c r="R21" s="108" t="str" cm="1">
        <f t="array" ref="R21">IFERROR(_xlfn._xlws.FILTER(#REF!,(#REF!=$C21) * (#REF!=R$3),"" ),"")</f>
        <v/>
      </c>
      <c r="S21" s="68" t="str" cm="1">
        <f t="array" ref="S21">IFERROR(_xlfn.XLOOKUP($C21,Master_Price_Level_NZ[Code],INDEX(Master_Price_Level_NZ[], , MATCH('Promo Form'!R$3, Master_Price_Level_NZ[#Headers], 0))),"")</f>
        <v/>
      </c>
      <c r="T21" s="16" t="str">
        <f t="shared" si="44"/>
        <v/>
      </c>
      <c r="U21" s="16" t="str">
        <f t="shared" si="45"/>
        <v/>
      </c>
      <c r="V21" s="17" t="str">
        <f t="shared" si="46"/>
        <v/>
      </c>
      <c r="W21" s="18" t="str">
        <f t="shared" si="47"/>
        <v/>
      </c>
      <c r="X21" s="18" t="str">
        <f t="shared" si="48"/>
        <v/>
      </c>
      <c r="Y21" s="109" t="str" cm="1">
        <f t="array" ref="Y21">IFERROR(
    _xlfn.LET(
        _xlpm.result, INDEX(_xlfn._xlws.FILTER(ST[6wk avg], (ST[Code]=$C21)*(ST[Customer Name]=R$3), ""), 1),
        IF(_xlpm.result=0, "", _xlpm.result)
    ),
"")</f>
        <v/>
      </c>
      <c r="Z21" s="102" t="str">
        <f t="shared" si="49"/>
        <v/>
      </c>
      <c r="AA21" s="70" t="str">
        <f t="shared" si="50"/>
        <v/>
      </c>
      <c r="AB21" s="83" t="str">
        <f t="shared" si="51"/>
        <v/>
      </c>
      <c r="AC21" s="77"/>
      <c r="AD21" s="108" t="str" cm="1">
        <f t="array" ref="AD21">IFERROR(_xlfn._xlws.FILTER(#REF!,(#REF!=$C21) * (#REF!=AD$3),"" ),"")</f>
        <v/>
      </c>
      <c r="AE21" s="68" t="str" cm="1">
        <f t="array" ref="AE21">IFERROR(_xlfn.XLOOKUP($C21,Master_Price_Level_NZ[Code],INDEX(Master_Price_Level_NZ[], , MATCH('Promo Form'!AD$3, Master_Price_Level_NZ[#Headers], 0))),"")</f>
        <v/>
      </c>
      <c r="AF21" s="16" t="str">
        <f t="shared" si="52"/>
        <v/>
      </c>
      <c r="AG21" s="16" t="str">
        <f t="shared" si="53"/>
        <v/>
      </c>
      <c r="AH21" s="17" t="str">
        <f t="shared" si="54"/>
        <v/>
      </c>
      <c r="AI21" s="18" t="str">
        <f t="shared" si="55"/>
        <v/>
      </c>
      <c r="AJ21" s="18" t="str">
        <f t="shared" si="56"/>
        <v/>
      </c>
      <c r="AK21" s="109" t="str" cm="1">
        <f t="array" ref="AK21">IFERROR(
    _xlfn.LET(
        _xlpm.result, INDEX(_xlfn._xlws.FILTER(ST[6wk avg], (ST[Code]=$C21)*(ST[Customer Name]=AD$3), ""), 1),
        IF(_xlpm.result=0, "", _xlpm.result)
    ),
"")</f>
        <v/>
      </c>
      <c r="AL21" s="102" t="str">
        <f t="shared" si="57"/>
        <v/>
      </c>
      <c r="AM21" s="70" t="str">
        <f t="shared" si="58"/>
        <v/>
      </c>
      <c r="AN21" s="83" t="str">
        <f t="shared" si="59"/>
        <v/>
      </c>
      <c r="AO21" s="77"/>
      <c r="AP21" s="108" t="str" cm="1">
        <f t="array" ref="AP21">IFERROR(_xlfn._xlws.FILTER(#REF!,(#REF!=$C21) * (#REF!=AP$3),"" ),"")</f>
        <v/>
      </c>
      <c r="AQ21" s="68" t="str" cm="1">
        <f t="array" ref="AQ21">IFERROR(_xlfn.XLOOKUP($C21,Master_Price_Level_NZ[Code],INDEX(Master_Price_Level_NZ[], , MATCH('Promo Form'!AP$3, Master_Price_Level_NZ[#Headers], 0))),"")</f>
        <v/>
      </c>
      <c r="AR21" s="16" t="str">
        <f t="shared" si="60"/>
        <v/>
      </c>
      <c r="AS21" s="16" t="str">
        <f t="shared" si="61"/>
        <v/>
      </c>
      <c r="AT21" s="17" t="str">
        <f t="shared" si="62"/>
        <v/>
      </c>
      <c r="AU21" s="18" t="str">
        <f t="shared" si="63"/>
        <v/>
      </c>
      <c r="AV21" s="18" t="str">
        <f t="shared" si="64"/>
        <v/>
      </c>
      <c r="AW21" s="109" t="str" cm="1">
        <f t="array" ref="AW21">IFERROR(
    _xlfn.LET(
        _xlpm.result, INDEX(_xlfn._xlws.FILTER(ST[6wk avg], (ST[Code]=$C21)*(ST[Customer Name]=AP$3), ""), 1),
        IF(_xlpm.result=0, "", _xlpm.result)
    ),
"")</f>
        <v/>
      </c>
      <c r="AX21" s="102" t="str">
        <f t="shared" si="65"/>
        <v/>
      </c>
      <c r="AY21" s="70" t="str">
        <f t="shared" si="66"/>
        <v/>
      </c>
      <c r="AZ21" s="83" t="str">
        <f t="shared" si="67"/>
        <v/>
      </c>
      <c r="BA21" s="77"/>
      <c r="BB21" s="108" t="str" cm="1">
        <f t="array" ref="BB21">IFERROR(_xlfn._xlws.FILTER(#REF!,(#REF!=$C21) * (#REF!=BB$3),"" ),"")</f>
        <v/>
      </c>
      <c r="BC21" s="68" t="str" cm="1">
        <f t="array" ref="BC21">IFERROR(_xlfn.XLOOKUP($C21,Master_Price_Level_NZ[Code],INDEX(Master_Price_Level_NZ[], , MATCH('Promo Form'!BB$3, Master_Price_Level_NZ[#Headers], 0))),"")</f>
        <v/>
      </c>
      <c r="BD21" s="16" t="str">
        <f t="shared" si="68"/>
        <v/>
      </c>
      <c r="BE21" s="16" t="str">
        <f t="shared" si="69"/>
        <v/>
      </c>
      <c r="BF21" s="17" t="str">
        <f t="shared" si="70"/>
        <v/>
      </c>
      <c r="BG21" s="18" t="str">
        <f t="shared" si="71"/>
        <v/>
      </c>
      <c r="BH21" s="18" t="str">
        <f t="shared" si="72"/>
        <v/>
      </c>
      <c r="BI21" s="109" t="str" cm="1">
        <f t="array" ref="BI21">IFERROR(
    _xlfn.LET(
        _xlpm.result, INDEX(_xlfn._xlws.FILTER(ST[6wk avg], (ST[Code]=$C21)*(ST[Customer Name]=BB$3), ""), 1),
        IF(_xlpm.result=0, "", _xlpm.result)
    ),
"")</f>
        <v/>
      </c>
      <c r="BJ21" s="102" t="str">
        <f t="shared" si="73"/>
        <v/>
      </c>
      <c r="BK21" s="70" t="str">
        <f t="shared" si="74"/>
        <v/>
      </c>
      <c r="BL21" s="83" t="str">
        <f t="shared" si="75"/>
        <v/>
      </c>
      <c r="BM21" s="77"/>
      <c r="BN21" s="108" t="str" cm="1">
        <f t="array" ref="BN21">IFERROR(_xlfn._xlws.FILTER(#REF!,(#REF!=$C21) * (#REF!=BN$3),"" ),"")</f>
        <v/>
      </c>
      <c r="BO21" s="68" t="str" cm="1">
        <f t="array" ref="BO21">IFERROR(_xlfn.XLOOKUP($C21,Master_Price_Level_NZ[Code],INDEX(Master_Price_Level_NZ[], , MATCH('Promo Form'!BN$3, Master_Price_Level_NZ[#Headers], 0))),"")</f>
        <v/>
      </c>
      <c r="BP21" s="16" t="str">
        <f t="shared" si="76"/>
        <v/>
      </c>
      <c r="BQ21" s="16" t="str">
        <f t="shared" si="77"/>
        <v/>
      </c>
      <c r="BR21" s="17" t="str">
        <f t="shared" si="78"/>
        <v/>
      </c>
      <c r="BS21" s="18" t="str">
        <f t="shared" si="79"/>
        <v/>
      </c>
      <c r="BT21" s="18" t="str">
        <f t="shared" si="80"/>
        <v/>
      </c>
      <c r="BU21" s="109" t="str" cm="1">
        <f t="array" ref="BU21">IFERROR(
    _xlfn.LET(
        _xlpm.result, INDEX(_xlfn._xlws.FILTER(ST[6wk avg], (ST[Code]=$C21)*(ST[Customer Name]=BN$3), ""), 1),
        IF(_xlpm.result=0, "", _xlpm.result)
    ),
"")</f>
        <v/>
      </c>
      <c r="BV21" s="102" t="str">
        <f t="shared" si="81"/>
        <v/>
      </c>
      <c r="BW21" s="70" t="str">
        <f t="shared" si="82"/>
        <v/>
      </c>
      <c r="BX21" s="83" t="str">
        <f t="shared" si="83"/>
        <v/>
      </c>
      <c r="BY21" s="77"/>
      <c r="BZ21" s="108" t="str" cm="1">
        <f t="array" ref="BZ21">IFERROR(_xlfn._xlws.FILTER(#REF!,(#REF!=$C21) * (#REF!=BZ$3),"" ),"")</f>
        <v/>
      </c>
      <c r="CA21" s="68" t="str" cm="1">
        <f t="array" ref="CA21">IFERROR(_xlfn.XLOOKUP($C21,Master_Price_Level_NZ[Code],INDEX(Master_Price_Level_NZ[], , MATCH('Promo Form'!BZ$3, Master_Price_Level_NZ[#Headers], 0))),"")</f>
        <v/>
      </c>
      <c r="CB21" s="16" t="str">
        <f t="shared" si="84"/>
        <v/>
      </c>
      <c r="CC21" s="16" t="str">
        <f t="shared" si="85"/>
        <v/>
      </c>
      <c r="CD21" s="17" t="str">
        <f t="shared" si="86"/>
        <v/>
      </c>
      <c r="CE21" s="18" t="str">
        <f t="shared" si="87"/>
        <v/>
      </c>
      <c r="CF21" s="18" t="str">
        <f t="shared" si="88"/>
        <v/>
      </c>
      <c r="CG21" s="109" t="str" cm="1">
        <f t="array" ref="CG21">IFERROR(
    _xlfn.LET(
        _xlpm.result, INDEX(_xlfn._xlws.FILTER(ST[6wk avg], (ST[Code]=$C21)*(ST[Customer Name]=BZ$3), ""), 1),
        IF(_xlpm.result=0, "", _xlpm.result)
    ),
"")</f>
        <v/>
      </c>
      <c r="CH21" s="102" t="str">
        <f t="shared" si="89"/>
        <v/>
      </c>
      <c r="CI21" s="70" t="str">
        <f t="shared" si="90"/>
        <v/>
      </c>
      <c r="CJ21" s="83" t="str">
        <f t="shared" si="91"/>
        <v/>
      </c>
      <c r="CK21" s="77"/>
      <c r="CL21" s="17" t="str">
        <f>IFERROR(_xlfn.XLOOKUP(C21,Master_Price_Level_NZ[Code],Master_Price_Level_NZ[Base (RRP Inc)]),"")</f>
        <v/>
      </c>
      <c r="CM21" s="17" t="str">
        <f t="shared" si="92"/>
        <v/>
      </c>
      <c r="CN21" s="107" t="str">
        <f t="shared" si="95"/>
        <v/>
      </c>
      <c r="CO21" s="17" t="str">
        <f t="shared" si="96"/>
        <v/>
      </c>
      <c r="CP21" s="17"/>
    </row>
    <row r="22" spans="1:94" x14ac:dyDescent="0.2">
      <c r="A22" s="106" t="str">
        <f t="shared" si="93"/>
        <v/>
      </c>
      <c r="B22" s="106" t="str">
        <f t="shared" si="94"/>
        <v/>
      </c>
      <c r="C22" s="13"/>
      <c r="D22" s="14" t="str">
        <f>IF(C22="", "",_xlfn.XLOOKUP(C22,'Master Price Level NZ'!B:B,'Master Price Level NZ'!C:C))</f>
        <v/>
      </c>
      <c r="E22" s="15"/>
      <c r="F22" s="108"/>
      <c r="G22" s="68" t="str" cm="1">
        <f t="array" ref="G22">IFERROR(_xlfn.XLOOKUP($C22,Master_Price_Level_NZ[Code],INDEX(Master_Price_Level_NZ[], , MATCH('Promo Form'!F$3, Master_Price_Level_NZ[#Headers], 0))),"")</f>
        <v/>
      </c>
      <c r="H22" s="16" t="str">
        <f t="shared" si="36"/>
        <v/>
      </c>
      <c r="I22" s="16" t="str">
        <f t="shared" si="37"/>
        <v/>
      </c>
      <c r="J22" s="17" t="str">
        <f t="shared" si="38"/>
        <v/>
      </c>
      <c r="K22" s="18" t="str">
        <f t="shared" si="39"/>
        <v/>
      </c>
      <c r="L22" s="18" t="str">
        <f t="shared" si="40"/>
        <v/>
      </c>
      <c r="M22" s="109" t="str" cm="1">
        <f t="array" ref="M22">IF($C22="","",IFERROR(_xlfn._xlws.FILTER(ST[6wk avg],(ST[Code]=$C22)*(ST[Customer Name]=F$3),""),""))</f>
        <v/>
      </c>
      <c r="N22" s="102" t="str">
        <f t="shared" si="41"/>
        <v/>
      </c>
      <c r="O22" s="70" t="str">
        <f t="shared" si="42"/>
        <v/>
      </c>
      <c r="P22" s="83" t="str">
        <f t="shared" si="43"/>
        <v/>
      </c>
      <c r="Q22" s="77"/>
      <c r="R22" s="108" t="str" cm="1">
        <f t="array" ref="R22">IFERROR(_xlfn._xlws.FILTER(#REF!,(#REF!=$C22) * (#REF!=R$3),"" ),"")</f>
        <v/>
      </c>
      <c r="S22" s="68" t="str" cm="1">
        <f t="array" ref="S22">IFERROR(_xlfn.XLOOKUP($C22,Master_Price_Level_NZ[Code],INDEX(Master_Price_Level_NZ[], , MATCH('Promo Form'!R$3, Master_Price_Level_NZ[#Headers], 0))),"")</f>
        <v/>
      </c>
      <c r="T22" s="16" t="str">
        <f t="shared" si="44"/>
        <v/>
      </c>
      <c r="U22" s="16" t="str">
        <f t="shared" si="45"/>
        <v/>
      </c>
      <c r="V22" s="17" t="str">
        <f t="shared" si="46"/>
        <v/>
      </c>
      <c r="W22" s="18" t="str">
        <f t="shared" si="47"/>
        <v/>
      </c>
      <c r="X22" s="18" t="str">
        <f t="shared" si="48"/>
        <v/>
      </c>
      <c r="Y22" s="109" t="str" cm="1">
        <f t="array" ref="Y22">IFERROR(
    _xlfn.LET(
        _xlpm.result, INDEX(_xlfn._xlws.FILTER(ST[6wk avg], (ST[Code]=$C22)*(ST[Customer Name]=R$3), ""), 1),
        IF(_xlpm.result=0, "", _xlpm.result)
    ),
"")</f>
        <v/>
      </c>
      <c r="Z22" s="102" t="str">
        <f t="shared" si="49"/>
        <v/>
      </c>
      <c r="AA22" s="70" t="str">
        <f t="shared" si="50"/>
        <v/>
      </c>
      <c r="AB22" s="83" t="str">
        <f t="shared" si="51"/>
        <v/>
      </c>
      <c r="AC22" s="77"/>
      <c r="AD22" s="108" t="str" cm="1">
        <f t="array" ref="AD22">IFERROR(_xlfn._xlws.FILTER(#REF!,(#REF!=$C22) * (#REF!=AD$3),"" ),"")</f>
        <v/>
      </c>
      <c r="AE22" s="68" t="str" cm="1">
        <f t="array" ref="AE22">IFERROR(_xlfn.XLOOKUP($C22,Master_Price_Level_NZ[Code],INDEX(Master_Price_Level_NZ[], , MATCH('Promo Form'!AD$3, Master_Price_Level_NZ[#Headers], 0))),"")</f>
        <v/>
      </c>
      <c r="AF22" s="16" t="str">
        <f t="shared" si="52"/>
        <v/>
      </c>
      <c r="AG22" s="16" t="str">
        <f t="shared" si="53"/>
        <v/>
      </c>
      <c r="AH22" s="17" t="str">
        <f t="shared" si="54"/>
        <v/>
      </c>
      <c r="AI22" s="18" t="str">
        <f t="shared" si="55"/>
        <v/>
      </c>
      <c r="AJ22" s="18" t="str">
        <f t="shared" si="56"/>
        <v/>
      </c>
      <c r="AK22" s="109" t="str" cm="1">
        <f t="array" ref="AK22">IFERROR(
    _xlfn.LET(
        _xlpm.result, INDEX(_xlfn._xlws.FILTER(ST[6wk avg], (ST[Code]=$C22)*(ST[Customer Name]=AD$3), ""), 1),
        IF(_xlpm.result=0, "", _xlpm.result)
    ),
"")</f>
        <v/>
      </c>
      <c r="AL22" s="102" t="str">
        <f t="shared" si="57"/>
        <v/>
      </c>
      <c r="AM22" s="70" t="str">
        <f t="shared" si="58"/>
        <v/>
      </c>
      <c r="AN22" s="83" t="str">
        <f t="shared" si="59"/>
        <v/>
      </c>
      <c r="AO22" s="77"/>
      <c r="AP22" s="108" t="str" cm="1">
        <f t="array" ref="AP22">IFERROR(_xlfn._xlws.FILTER(#REF!,(#REF!=$C22) * (#REF!=AP$3),"" ),"")</f>
        <v/>
      </c>
      <c r="AQ22" s="68" t="str" cm="1">
        <f t="array" ref="AQ22">IFERROR(_xlfn.XLOOKUP($C22,Master_Price_Level_NZ[Code],INDEX(Master_Price_Level_NZ[], , MATCH('Promo Form'!AP$3, Master_Price_Level_NZ[#Headers], 0))),"")</f>
        <v/>
      </c>
      <c r="AR22" s="16" t="str">
        <f t="shared" si="60"/>
        <v/>
      </c>
      <c r="AS22" s="16" t="str">
        <f t="shared" si="61"/>
        <v/>
      </c>
      <c r="AT22" s="17" t="str">
        <f t="shared" si="62"/>
        <v/>
      </c>
      <c r="AU22" s="18" t="str">
        <f t="shared" si="63"/>
        <v/>
      </c>
      <c r="AV22" s="18" t="str">
        <f t="shared" si="64"/>
        <v/>
      </c>
      <c r="AW22" s="109" t="str" cm="1">
        <f t="array" ref="AW22">IFERROR(
    _xlfn.LET(
        _xlpm.result, INDEX(_xlfn._xlws.FILTER(ST[6wk avg], (ST[Code]=$C22)*(ST[Customer Name]=AP$3), ""), 1),
        IF(_xlpm.result=0, "", _xlpm.result)
    ),
"")</f>
        <v/>
      </c>
      <c r="AX22" s="102" t="str">
        <f t="shared" si="65"/>
        <v/>
      </c>
      <c r="AY22" s="70" t="str">
        <f t="shared" si="66"/>
        <v/>
      </c>
      <c r="AZ22" s="83" t="str">
        <f t="shared" si="67"/>
        <v/>
      </c>
      <c r="BA22" s="77"/>
      <c r="BB22" s="108" t="str" cm="1">
        <f t="array" ref="BB22">IFERROR(_xlfn._xlws.FILTER(#REF!,(#REF!=$C22) * (#REF!=BB$3),"" ),"")</f>
        <v/>
      </c>
      <c r="BC22" s="68" t="str" cm="1">
        <f t="array" ref="BC22">IFERROR(_xlfn.XLOOKUP($C22,Master_Price_Level_NZ[Code],INDEX(Master_Price_Level_NZ[], , MATCH('Promo Form'!BB$3, Master_Price_Level_NZ[#Headers], 0))),"")</f>
        <v/>
      </c>
      <c r="BD22" s="16" t="str">
        <f t="shared" si="68"/>
        <v/>
      </c>
      <c r="BE22" s="16" t="str">
        <f t="shared" si="69"/>
        <v/>
      </c>
      <c r="BF22" s="17" t="str">
        <f t="shared" si="70"/>
        <v/>
      </c>
      <c r="BG22" s="18" t="str">
        <f t="shared" si="71"/>
        <v/>
      </c>
      <c r="BH22" s="18" t="str">
        <f t="shared" si="72"/>
        <v/>
      </c>
      <c r="BI22" s="109" t="str" cm="1">
        <f t="array" ref="BI22">IFERROR(
    _xlfn.LET(
        _xlpm.result, INDEX(_xlfn._xlws.FILTER(ST[6wk avg], (ST[Code]=$C22)*(ST[Customer Name]=BB$3), ""), 1),
        IF(_xlpm.result=0, "", _xlpm.result)
    ),
"")</f>
        <v/>
      </c>
      <c r="BJ22" s="102" t="str">
        <f t="shared" si="73"/>
        <v/>
      </c>
      <c r="BK22" s="70" t="str">
        <f t="shared" si="74"/>
        <v/>
      </c>
      <c r="BL22" s="83" t="str">
        <f t="shared" si="75"/>
        <v/>
      </c>
      <c r="BM22" s="77"/>
      <c r="BN22" s="108" t="str" cm="1">
        <f t="array" ref="BN22">IFERROR(_xlfn._xlws.FILTER(#REF!,(#REF!=$C22) * (#REF!=BN$3),"" ),"")</f>
        <v/>
      </c>
      <c r="BO22" s="68" t="str" cm="1">
        <f t="array" ref="BO22">IFERROR(_xlfn.XLOOKUP($C22,Master_Price_Level_NZ[Code],INDEX(Master_Price_Level_NZ[], , MATCH('Promo Form'!BN$3, Master_Price_Level_NZ[#Headers], 0))),"")</f>
        <v/>
      </c>
      <c r="BP22" s="16" t="str">
        <f t="shared" si="76"/>
        <v/>
      </c>
      <c r="BQ22" s="16" t="str">
        <f t="shared" si="77"/>
        <v/>
      </c>
      <c r="BR22" s="17" t="str">
        <f t="shared" si="78"/>
        <v/>
      </c>
      <c r="BS22" s="18" t="str">
        <f t="shared" si="79"/>
        <v/>
      </c>
      <c r="BT22" s="18" t="str">
        <f t="shared" si="80"/>
        <v/>
      </c>
      <c r="BU22" s="109" t="str" cm="1">
        <f t="array" ref="BU22">IFERROR(
    _xlfn.LET(
        _xlpm.result, INDEX(_xlfn._xlws.FILTER(ST[6wk avg], (ST[Code]=$C22)*(ST[Customer Name]=BN$3), ""), 1),
        IF(_xlpm.result=0, "", _xlpm.result)
    ),
"")</f>
        <v/>
      </c>
      <c r="BV22" s="102" t="str">
        <f t="shared" si="81"/>
        <v/>
      </c>
      <c r="BW22" s="70" t="str">
        <f t="shared" si="82"/>
        <v/>
      </c>
      <c r="BX22" s="83" t="str">
        <f t="shared" si="83"/>
        <v/>
      </c>
      <c r="BY22" s="77"/>
      <c r="BZ22" s="108" t="str" cm="1">
        <f t="array" ref="BZ22">IFERROR(_xlfn._xlws.FILTER(#REF!,(#REF!=$C22) * (#REF!=BZ$3),"" ),"")</f>
        <v/>
      </c>
      <c r="CA22" s="68" t="str" cm="1">
        <f t="array" ref="CA22">IFERROR(_xlfn.XLOOKUP($C22,Master_Price_Level_NZ[Code],INDEX(Master_Price_Level_NZ[], , MATCH('Promo Form'!BZ$3, Master_Price_Level_NZ[#Headers], 0))),"")</f>
        <v/>
      </c>
      <c r="CB22" s="16" t="str">
        <f t="shared" si="84"/>
        <v/>
      </c>
      <c r="CC22" s="16" t="str">
        <f t="shared" si="85"/>
        <v/>
      </c>
      <c r="CD22" s="17" t="str">
        <f t="shared" si="86"/>
        <v/>
      </c>
      <c r="CE22" s="18" t="str">
        <f t="shared" si="87"/>
        <v/>
      </c>
      <c r="CF22" s="18" t="str">
        <f t="shared" si="88"/>
        <v/>
      </c>
      <c r="CG22" s="109" t="str" cm="1">
        <f t="array" ref="CG22">IFERROR(
    _xlfn.LET(
        _xlpm.result, INDEX(_xlfn._xlws.FILTER(ST[6wk avg], (ST[Code]=$C22)*(ST[Customer Name]=BZ$3), ""), 1),
        IF(_xlpm.result=0, "", _xlpm.result)
    ),
"")</f>
        <v/>
      </c>
      <c r="CH22" s="102" t="str">
        <f t="shared" si="89"/>
        <v/>
      </c>
      <c r="CI22" s="70" t="str">
        <f t="shared" si="90"/>
        <v/>
      </c>
      <c r="CJ22" s="83" t="str">
        <f t="shared" si="91"/>
        <v/>
      </c>
      <c r="CK22" s="77"/>
      <c r="CL22" s="17" t="str">
        <f>IFERROR(_xlfn.XLOOKUP(C22,Master_Price_Level_NZ[Code],Master_Price_Level_NZ[Base (RRP Inc)]),"")</f>
        <v/>
      </c>
      <c r="CM22" s="17" t="str">
        <f t="shared" si="92"/>
        <v/>
      </c>
      <c r="CN22" s="107" t="str">
        <f t="shared" si="95"/>
        <v/>
      </c>
      <c r="CO22" s="17" t="str">
        <f t="shared" si="96"/>
        <v/>
      </c>
      <c r="CP22" s="17"/>
    </row>
    <row r="23" spans="1:94" x14ac:dyDescent="0.2">
      <c r="A23" s="106" t="str">
        <f t="shared" si="93"/>
        <v/>
      </c>
      <c r="B23" s="106" t="str">
        <f t="shared" si="94"/>
        <v/>
      </c>
      <c r="C23" s="13"/>
      <c r="D23" s="14" t="str">
        <f>IF(C23="", "",_xlfn.XLOOKUP(C23,'Master Price Level NZ'!B:B,'Master Price Level NZ'!C:C))</f>
        <v/>
      </c>
      <c r="E23" s="15"/>
      <c r="F23" s="108"/>
      <c r="G23" s="68" t="str" cm="1">
        <f t="array" ref="G23">IFERROR(_xlfn.XLOOKUP($C23,Master_Price_Level_NZ[Code],INDEX(Master_Price_Level_NZ[], , MATCH('Promo Form'!F$3, Master_Price_Level_NZ[#Headers], 0))),"")</f>
        <v/>
      </c>
      <c r="H23" s="16" t="str">
        <f t="shared" si="36"/>
        <v/>
      </c>
      <c r="I23" s="16" t="str">
        <f t="shared" si="37"/>
        <v/>
      </c>
      <c r="J23" s="17" t="str">
        <f t="shared" si="38"/>
        <v/>
      </c>
      <c r="K23" s="18" t="str">
        <f t="shared" si="39"/>
        <v/>
      </c>
      <c r="L23" s="18" t="str">
        <f t="shared" si="40"/>
        <v/>
      </c>
      <c r="M23" s="109" t="str" cm="1">
        <f t="array" ref="M23">IF($C23="","",IFERROR(_xlfn._xlws.FILTER(ST[6wk avg],(ST[Code]=$C23)*(ST[Customer Name]=F$3),""),""))</f>
        <v/>
      </c>
      <c r="N23" s="102" t="str">
        <f t="shared" si="41"/>
        <v/>
      </c>
      <c r="O23" s="70" t="str">
        <f t="shared" si="42"/>
        <v/>
      </c>
      <c r="P23" s="83" t="str">
        <f t="shared" si="43"/>
        <v/>
      </c>
      <c r="Q23" s="77"/>
      <c r="R23" s="108" t="str" cm="1">
        <f t="array" ref="R23">IFERROR(_xlfn._xlws.FILTER(#REF!,(#REF!=$C23) * (#REF!=R$3),"" ),"")</f>
        <v/>
      </c>
      <c r="S23" s="68" t="str" cm="1">
        <f t="array" ref="S23">IFERROR(_xlfn.XLOOKUP($C23,Master_Price_Level_NZ[Code],INDEX(Master_Price_Level_NZ[], , MATCH('Promo Form'!R$3, Master_Price_Level_NZ[#Headers], 0))),"")</f>
        <v/>
      </c>
      <c r="T23" s="16" t="str">
        <f t="shared" si="44"/>
        <v/>
      </c>
      <c r="U23" s="16" t="str">
        <f t="shared" si="45"/>
        <v/>
      </c>
      <c r="V23" s="17" t="str">
        <f t="shared" si="46"/>
        <v/>
      </c>
      <c r="W23" s="18" t="str">
        <f t="shared" si="47"/>
        <v/>
      </c>
      <c r="X23" s="18" t="str">
        <f t="shared" si="48"/>
        <v/>
      </c>
      <c r="Y23" s="109" t="str" cm="1">
        <f t="array" ref="Y23">IFERROR(
    _xlfn.LET(
        _xlpm.result, INDEX(_xlfn._xlws.FILTER(ST[6wk avg], (ST[Code]=$C23)*(ST[Customer Name]=R$3), ""), 1),
        IF(_xlpm.result=0, "", _xlpm.result)
    ),
"")</f>
        <v/>
      </c>
      <c r="Z23" s="102" t="str">
        <f t="shared" si="49"/>
        <v/>
      </c>
      <c r="AA23" s="70" t="str">
        <f t="shared" si="50"/>
        <v/>
      </c>
      <c r="AB23" s="83" t="str">
        <f t="shared" si="51"/>
        <v/>
      </c>
      <c r="AC23" s="77"/>
      <c r="AD23" s="108" t="str" cm="1">
        <f t="array" ref="AD23">IFERROR(_xlfn._xlws.FILTER(#REF!,(#REF!=$C23) * (#REF!=AD$3),"" ),"")</f>
        <v/>
      </c>
      <c r="AE23" s="68" t="str" cm="1">
        <f t="array" ref="AE23">IFERROR(_xlfn.XLOOKUP($C23,Master_Price_Level_NZ[Code],INDEX(Master_Price_Level_NZ[], , MATCH('Promo Form'!AD$3, Master_Price_Level_NZ[#Headers], 0))),"")</f>
        <v/>
      </c>
      <c r="AF23" s="16" t="str">
        <f t="shared" si="52"/>
        <v/>
      </c>
      <c r="AG23" s="16" t="str">
        <f t="shared" si="53"/>
        <v/>
      </c>
      <c r="AH23" s="17" t="str">
        <f t="shared" si="54"/>
        <v/>
      </c>
      <c r="AI23" s="18" t="str">
        <f t="shared" si="55"/>
        <v/>
      </c>
      <c r="AJ23" s="18" t="str">
        <f t="shared" si="56"/>
        <v/>
      </c>
      <c r="AK23" s="109" t="str" cm="1">
        <f t="array" ref="AK23">IFERROR(
    _xlfn.LET(
        _xlpm.result, INDEX(_xlfn._xlws.FILTER(ST[6wk avg], (ST[Code]=$C23)*(ST[Customer Name]=AD$3), ""), 1),
        IF(_xlpm.result=0, "", _xlpm.result)
    ),
"")</f>
        <v/>
      </c>
      <c r="AL23" s="102" t="str">
        <f t="shared" si="57"/>
        <v/>
      </c>
      <c r="AM23" s="70" t="str">
        <f t="shared" si="58"/>
        <v/>
      </c>
      <c r="AN23" s="83" t="str">
        <f t="shared" si="59"/>
        <v/>
      </c>
      <c r="AO23" s="77"/>
      <c r="AP23" s="108" t="str" cm="1">
        <f t="array" ref="AP23">IFERROR(_xlfn._xlws.FILTER(#REF!,(#REF!=$C23) * (#REF!=AP$3),"" ),"")</f>
        <v/>
      </c>
      <c r="AQ23" s="68" t="str" cm="1">
        <f t="array" ref="AQ23">IFERROR(_xlfn.XLOOKUP($C23,Master_Price_Level_NZ[Code],INDEX(Master_Price_Level_NZ[], , MATCH('Promo Form'!AP$3, Master_Price_Level_NZ[#Headers], 0))),"")</f>
        <v/>
      </c>
      <c r="AR23" s="16" t="str">
        <f t="shared" si="60"/>
        <v/>
      </c>
      <c r="AS23" s="16" t="str">
        <f t="shared" si="61"/>
        <v/>
      </c>
      <c r="AT23" s="17" t="str">
        <f t="shared" si="62"/>
        <v/>
      </c>
      <c r="AU23" s="18" t="str">
        <f t="shared" si="63"/>
        <v/>
      </c>
      <c r="AV23" s="18" t="str">
        <f t="shared" si="64"/>
        <v/>
      </c>
      <c r="AW23" s="109" t="str" cm="1">
        <f t="array" ref="AW23">IFERROR(
    _xlfn.LET(
        _xlpm.result, INDEX(_xlfn._xlws.FILTER(ST[6wk avg], (ST[Code]=$C23)*(ST[Customer Name]=AP$3), ""), 1),
        IF(_xlpm.result=0, "", _xlpm.result)
    ),
"")</f>
        <v/>
      </c>
      <c r="AX23" s="102" t="str">
        <f t="shared" si="65"/>
        <v/>
      </c>
      <c r="AY23" s="70" t="str">
        <f t="shared" si="66"/>
        <v/>
      </c>
      <c r="AZ23" s="83" t="str">
        <f t="shared" si="67"/>
        <v/>
      </c>
      <c r="BA23" s="77"/>
      <c r="BB23" s="108" t="str" cm="1">
        <f t="array" ref="BB23">IFERROR(_xlfn._xlws.FILTER(#REF!,(#REF!=$C23) * (#REF!=BB$3),"" ),"")</f>
        <v/>
      </c>
      <c r="BC23" s="68" t="str" cm="1">
        <f t="array" ref="BC23">IFERROR(_xlfn.XLOOKUP($C23,Master_Price_Level_NZ[Code],INDEX(Master_Price_Level_NZ[], , MATCH('Promo Form'!BB$3, Master_Price_Level_NZ[#Headers], 0))),"")</f>
        <v/>
      </c>
      <c r="BD23" s="16" t="str">
        <f t="shared" si="68"/>
        <v/>
      </c>
      <c r="BE23" s="16" t="str">
        <f t="shared" si="69"/>
        <v/>
      </c>
      <c r="BF23" s="17" t="str">
        <f t="shared" si="70"/>
        <v/>
      </c>
      <c r="BG23" s="18" t="str">
        <f t="shared" si="71"/>
        <v/>
      </c>
      <c r="BH23" s="18" t="str">
        <f t="shared" si="72"/>
        <v/>
      </c>
      <c r="BI23" s="109" t="str" cm="1">
        <f t="array" ref="BI23">IFERROR(
    _xlfn.LET(
        _xlpm.result, INDEX(_xlfn._xlws.FILTER(ST[6wk avg], (ST[Code]=$C23)*(ST[Customer Name]=BB$3), ""), 1),
        IF(_xlpm.result=0, "", _xlpm.result)
    ),
"")</f>
        <v/>
      </c>
      <c r="BJ23" s="102" t="str">
        <f t="shared" si="73"/>
        <v/>
      </c>
      <c r="BK23" s="70" t="str">
        <f t="shared" si="74"/>
        <v/>
      </c>
      <c r="BL23" s="83" t="str">
        <f t="shared" si="75"/>
        <v/>
      </c>
      <c r="BM23" s="77"/>
      <c r="BN23" s="108" t="str" cm="1">
        <f t="array" ref="BN23">IFERROR(_xlfn._xlws.FILTER(#REF!,(#REF!=$C23) * (#REF!=BN$3),"" ),"")</f>
        <v/>
      </c>
      <c r="BO23" s="68" t="str" cm="1">
        <f t="array" ref="BO23">IFERROR(_xlfn.XLOOKUP($C23,Master_Price_Level_NZ[Code],INDEX(Master_Price_Level_NZ[], , MATCH('Promo Form'!BN$3, Master_Price_Level_NZ[#Headers], 0))),"")</f>
        <v/>
      </c>
      <c r="BP23" s="16" t="str">
        <f t="shared" si="76"/>
        <v/>
      </c>
      <c r="BQ23" s="16" t="str">
        <f t="shared" si="77"/>
        <v/>
      </c>
      <c r="BR23" s="17" t="str">
        <f t="shared" si="78"/>
        <v/>
      </c>
      <c r="BS23" s="18" t="str">
        <f t="shared" si="79"/>
        <v/>
      </c>
      <c r="BT23" s="18" t="str">
        <f t="shared" si="80"/>
        <v/>
      </c>
      <c r="BU23" s="109" t="str" cm="1">
        <f t="array" ref="BU23">IFERROR(
    _xlfn.LET(
        _xlpm.result, INDEX(_xlfn._xlws.FILTER(ST[6wk avg], (ST[Code]=$C23)*(ST[Customer Name]=BN$3), ""), 1),
        IF(_xlpm.result=0, "", _xlpm.result)
    ),
"")</f>
        <v/>
      </c>
      <c r="BV23" s="102" t="str">
        <f t="shared" si="81"/>
        <v/>
      </c>
      <c r="BW23" s="70" t="str">
        <f t="shared" si="82"/>
        <v/>
      </c>
      <c r="BX23" s="83" t="str">
        <f t="shared" si="83"/>
        <v/>
      </c>
      <c r="BY23" s="77"/>
      <c r="BZ23" s="108" t="str" cm="1">
        <f t="array" ref="BZ23">IFERROR(_xlfn._xlws.FILTER(#REF!,(#REF!=$C23) * (#REF!=BZ$3),"" ),"")</f>
        <v/>
      </c>
      <c r="CA23" s="68" t="str" cm="1">
        <f t="array" ref="CA23">IFERROR(_xlfn.XLOOKUP($C23,Master_Price_Level_NZ[Code],INDEX(Master_Price_Level_NZ[], , MATCH('Promo Form'!BZ$3, Master_Price_Level_NZ[#Headers], 0))),"")</f>
        <v/>
      </c>
      <c r="CB23" s="16" t="str">
        <f t="shared" si="84"/>
        <v/>
      </c>
      <c r="CC23" s="16" t="str">
        <f t="shared" si="85"/>
        <v/>
      </c>
      <c r="CD23" s="17" t="str">
        <f t="shared" si="86"/>
        <v/>
      </c>
      <c r="CE23" s="18" t="str">
        <f t="shared" si="87"/>
        <v/>
      </c>
      <c r="CF23" s="18" t="str">
        <f t="shared" si="88"/>
        <v/>
      </c>
      <c r="CG23" s="109" t="str" cm="1">
        <f t="array" ref="CG23">IFERROR(
    _xlfn.LET(
        _xlpm.result, INDEX(_xlfn._xlws.FILTER(ST[6wk avg], (ST[Code]=$C23)*(ST[Customer Name]=BZ$3), ""), 1),
        IF(_xlpm.result=0, "", _xlpm.result)
    ),
"")</f>
        <v/>
      </c>
      <c r="CH23" s="102" t="str">
        <f t="shared" si="89"/>
        <v/>
      </c>
      <c r="CI23" s="70" t="str">
        <f t="shared" si="90"/>
        <v/>
      </c>
      <c r="CJ23" s="83" t="str">
        <f t="shared" si="91"/>
        <v/>
      </c>
      <c r="CK23" s="77"/>
      <c r="CL23" s="17" t="str">
        <f>IFERROR(_xlfn.XLOOKUP(C23,Master_Price_Level_NZ[Code],Master_Price_Level_NZ[Base (RRP Inc)]),"")</f>
        <v/>
      </c>
      <c r="CM23" s="17" t="str">
        <f t="shared" si="92"/>
        <v/>
      </c>
      <c r="CN23" s="107" t="str">
        <f t="shared" si="95"/>
        <v/>
      </c>
      <c r="CO23" s="17" t="str">
        <f t="shared" si="96"/>
        <v/>
      </c>
      <c r="CP23" s="17"/>
    </row>
    <row r="24" spans="1:94" x14ac:dyDescent="0.2">
      <c r="A24" s="106" t="str">
        <f t="shared" si="93"/>
        <v/>
      </c>
      <c r="B24" s="106" t="str">
        <f t="shared" si="94"/>
        <v/>
      </c>
      <c r="C24" s="13"/>
      <c r="D24" s="14" t="str">
        <f>IF(C24="", "",_xlfn.XLOOKUP(C24,'Master Price Level NZ'!B:B,'Master Price Level NZ'!C:C))</f>
        <v/>
      </c>
      <c r="E24" s="15"/>
      <c r="F24" s="108"/>
      <c r="G24" s="68" t="str" cm="1">
        <f t="array" ref="G24">IFERROR(_xlfn.XLOOKUP($C24,Master_Price_Level_NZ[Code],INDEX(Master_Price_Level_NZ[], , MATCH('Promo Form'!F$3, Master_Price_Level_NZ[#Headers], 0))),"")</f>
        <v/>
      </c>
      <c r="H24" s="16" t="str">
        <f t="shared" si="36"/>
        <v/>
      </c>
      <c r="I24" s="16" t="str">
        <f t="shared" si="37"/>
        <v/>
      </c>
      <c r="J24" s="17" t="str">
        <f t="shared" si="38"/>
        <v/>
      </c>
      <c r="K24" s="18" t="str">
        <f t="shared" si="39"/>
        <v/>
      </c>
      <c r="L24" s="18" t="str">
        <f t="shared" si="40"/>
        <v/>
      </c>
      <c r="M24" s="109" t="str" cm="1">
        <f t="array" ref="M24">IF($C24="","",IFERROR(_xlfn._xlws.FILTER(ST[6wk avg],(ST[Code]=$C24)*(ST[Customer Name]=F$3),""),""))</f>
        <v/>
      </c>
      <c r="N24" s="102" t="str">
        <f t="shared" si="41"/>
        <v/>
      </c>
      <c r="O24" s="70" t="str">
        <f t="shared" si="42"/>
        <v/>
      </c>
      <c r="P24" s="83" t="str">
        <f t="shared" si="43"/>
        <v/>
      </c>
      <c r="Q24" s="77"/>
      <c r="R24" s="108" t="str" cm="1">
        <f t="array" ref="R24">IFERROR(_xlfn._xlws.FILTER(#REF!,(#REF!=$C24) * (#REF!=R$3),"" ),"")</f>
        <v/>
      </c>
      <c r="S24" s="68" t="str" cm="1">
        <f t="array" ref="S24">IFERROR(_xlfn.XLOOKUP($C24,Master_Price_Level_NZ[Code],INDEX(Master_Price_Level_NZ[], , MATCH('Promo Form'!R$3, Master_Price_Level_NZ[#Headers], 0))),"")</f>
        <v/>
      </c>
      <c r="T24" s="16" t="str">
        <f t="shared" si="44"/>
        <v/>
      </c>
      <c r="U24" s="16" t="str">
        <f t="shared" si="45"/>
        <v/>
      </c>
      <c r="V24" s="17" t="str">
        <f t="shared" si="46"/>
        <v/>
      </c>
      <c r="W24" s="18" t="str">
        <f t="shared" si="47"/>
        <v/>
      </c>
      <c r="X24" s="18" t="str">
        <f t="shared" si="48"/>
        <v/>
      </c>
      <c r="Y24" s="109" t="str" cm="1">
        <f t="array" ref="Y24">IFERROR(
    _xlfn.LET(
        _xlpm.result, INDEX(_xlfn._xlws.FILTER(ST[6wk avg], (ST[Code]=$C24)*(ST[Customer Name]=R$3), ""), 1),
        IF(_xlpm.result=0, "", _xlpm.result)
    ),
"")</f>
        <v/>
      </c>
      <c r="Z24" s="102" t="str">
        <f t="shared" si="49"/>
        <v/>
      </c>
      <c r="AA24" s="70" t="str">
        <f t="shared" si="50"/>
        <v/>
      </c>
      <c r="AB24" s="83" t="str">
        <f t="shared" si="51"/>
        <v/>
      </c>
      <c r="AC24" s="77"/>
      <c r="AD24" s="108" t="str" cm="1">
        <f t="array" ref="AD24">IFERROR(_xlfn._xlws.FILTER(#REF!,(#REF!=$C24) * (#REF!=AD$3),"" ),"")</f>
        <v/>
      </c>
      <c r="AE24" s="68" t="str" cm="1">
        <f t="array" ref="AE24">IFERROR(_xlfn.XLOOKUP($C24,Master_Price_Level_NZ[Code],INDEX(Master_Price_Level_NZ[], , MATCH('Promo Form'!AD$3, Master_Price_Level_NZ[#Headers], 0))),"")</f>
        <v/>
      </c>
      <c r="AF24" s="16" t="str">
        <f t="shared" si="52"/>
        <v/>
      </c>
      <c r="AG24" s="16" t="str">
        <f t="shared" si="53"/>
        <v/>
      </c>
      <c r="AH24" s="17" t="str">
        <f t="shared" si="54"/>
        <v/>
      </c>
      <c r="AI24" s="18" t="str">
        <f t="shared" si="55"/>
        <v/>
      </c>
      <c r="AJ24" s="18" t="str">
        <f t="shared" si="56"/>
        <v/>
      </c>
      <c r="AK24" s="109" t="str" cm="1">
        <f t="array" ref="AK24">IFERROR(
    _xlfn.LET(
        _xlpm.result, INDEX(_xlfn._xlws.FILTER(ST[6wk avg], (ST[Code]=$C24)*(ST[Customer Name]=AD$3), ""), 1),
        IF(_xlpm.result=0, "", _xlpm.result)
    ),
"")</f>
        <v/>
      </c>
      <c r="AL24" s="102" t="str">
        <f t="shared" si="57"/>
        <v/>
      </c>
      <c r="AM24" s="70" t="str">
        <f t="shared" si="58"/>
        <v/>
      </c>
      <c r="AN24" s="83" t="str">
        <f t="shared" si="59"/>
        <v/>
      </c>
      <c r="AO24" s="77"/>
      <c r="AP24" s="108" t="str" cm="1">
        <f t="array" ref="AP24">IFERROR(_xlfn._xlws.FILTER(#REF!,(#REF!=$C24) * (#REF!=AP$3),"" ),"")</f>
        <v/>
      </c>
      <c r="AQ24" s="68" t="str" cm="1">
        <f t="array" ref="AQ24">IFERROR(_xlfn.XLOOKUP($C24,Master_Price_Level_NZ[Code],INDEX(Master_Price_Level_NZ[], , MATCH('Promo Form'!AP$3, Master_Price_Level_NZ[#Headers], 0))),"")</f>
        <v/>
      </c>
      <c r="AR24" s="16" t="str">
        <f t="shared" si="60"/>
        <v/>
      </c>
      <c r="AS24" s="16" t="str">
        <f t="shared" si="61"/>
        <v/>
      </c>
      <c r="AT24" s="17" t="str">
        <f t="shared" si="62"/>
        <v/>
      </c>
      <c r="AU24" s="18" t="str">
        <f t="shared" si="63"/>
        <v/>
      </c>
      <c r="AV24" s="18" t="str">
        <f t="shared" si="64"/>
        <v/>
      </c>
      <c r="AW24" s="109" t="str" cm="1">
        <f t="array" ref="AW24">IFERROR(
    _xlfn.LET(
        _xlpm.result, INDEX(_xlfn._xlws.FILTER(ST[6wk avg], (ST[Code]=$C24)*(ST[Customer Name]=AP$3), ""), 1),
        IF(_xlpm.result=0, "", _xlpm.result)
    ),
"")</f>
        <v/>
      </c>
      <c r="AX24" s="102" t="str">
        <f t="shared" si="65"/>
        <v/>
      </c>
      <c r="AY24" s="70" t="str">
        <f t="shared" si="66"/>
        <v/>
      </c>
      <c r="AZ24" s="83" t="str">
        <f t="shared" si="67"/>
        <v/>
      </c>
      <c r="BA24" s="77"/>
      <c r="BB24" s="108" t="str" cm="1">
        <f t="array" ref="BB24">IFERROR(_xlfn._xlws.FILTER(#REF!,(#REF!=$C24) * (#REF!=BB$3),"" ),"")</f>
        <v/>
      </c>
      <c r="BC24" s="68" t="str" cm="1">
        <f t="array" ref="BC24">IFERROR(_xlfn.XLOOKUP($C24,Master_Price_Level_NZ[Code],INDEX(Master_Price_Level_NZ[], , MATCH('Promo Form'!BB$3, Master_Price_Level_NZ[#Headers], 0))),"")</f>
        <v/>
      </c>
      <c r="BD24" s="16" t="str">
        <f t="shared" si="68"/>
        <v/>
      </c>
      <c r="BE24" s="16" t="str">
        <f t="shared" si="69"/>
        <v/>
      </c>
      <c r="BF24" s="17" t="str">
        <f t="shared" si="70"/>
        <v/>
      </c>
      <c r="BG24" s="18" t="str">
        <f t="shared" si="71"/>
        <v/>
      </c>
      <c r="BH24" s="18" t="str">
        <f t="shared" si="72"/>
        <v/>
      </c>
      <c r="BI24" s="109" t="str" cm="1">
        <f t="array" ref="BI24">IFERROR(
    _xlfn.LET(
        _xlpm.result, INDEX(_xlfn._xlws.FILTER(ST[6wk avg], (ST[Code]=$C24)*(ST[Customer Name]=BB$3), ""), 1),
        IF(_xlpm.result=0, "", _xlpm.result)
    ),
"")</f>
        <v/>
      </c>
      <c r="BJ24" s="102" t="str">
        <f t="shared" si="73"/>
        <v/>
      </c>
      <c r="BK24" s="70" t="str">
        <f t="shared" si="74"/>
        <v/>
      </c>
      <c r="BL24" s="83" t="str">
        <f t="shared" si="75"/>
        <v/>
      </c>
      <c r="BM24" s="77"/>
      <c r="BN24" s="108" t="str" cm="1">
        <f t="array" ref="BN24">IFERROR(_xlfn._xlws.FILTER(#REF!,(#REF!=$C24) * (#REF!=BN$3),"" ),"")</f>
        <v/>
      </c>
      <c r="BO24" s="68" t="str" cm="1">
        <f t="array" ref="BO24">IFERROR(_xlfn.XLOOKUP($C24,Master_Price_Level_NZ[Code],INDEX(Master_Price_Level_NZ[], , MATCH('Promo Form'!BN$3, Master_Price_Level_NZ[#Headers], 0))),"")</f>
        <v/>
      </c>
      <c r="BP24" s="16" t="str">
        <f t="shared" si="76"/>
        <v/>
      </c>
      <c r="BQ24" s="16" t="str">
        <f t="shared" si="77"/>
        <v/>
      </c>
      <c r="BR24" s="17" t="str">
        <f t="shared" si="78"/>
        <v/>
      </c>
      <c r="BS24" s="18" t="str">
        <f t="shared" si="79"/>
        <v/>
      </c>
      <c r="BT24" s="18" t="str">
        <f t="shared" si="80"/>
        <v/>
      </c>
      <c r="BU24" s="109" t="str" cm="1">
        <f t="array" ref="BU24">IFERROR(
    _xlfn.LET(
        _xlpm.result, INDEX(_xlfn._xlws.FILTER(ST[6wk avg], (ST[Code]=$C24)*(ST[Customer Name]=BN$3), ""), 1),
        IF(_xlpm.result=0, "", _xlpm.result)
    ),
"")</f>
        <v/>
      </c>
      <c r="BV24" s="102" t="str">
        <f t="shared" si="81"/>
        <v/>
      </c>
      <c r="BW24" s="70" t="str">
        <f t="shared" si="82"/>
        <v/>
      </c>
      <c r="BX24" s="83" t="str">
        <f t="shared" si="83"/>
        <v/>
      </c>
      <c r="BY24" s="77"/>
      <c r="BZ24" s="108" t="str" cm="1">
        <f t="array" ref="BZ24">IFERROR(_xlfn._xlws.FILTER(#REF!,(#REF!=$C24) * (#REF!=BZ$3),"" ),"")</f>
        <v/>
      </c>
      <c r="CA24" s="68" t="str" cm="1">
        <f t="array" ref="CA24">IFERROR(_xlfn.XLOOKUP($C24,Master_Price_Level_NZ[Code],INDEX(Master_Price_Level_NZ[], , MATCH('Promo Form'!BZ$3, Master_Price_Level_NZ[#Headers], 0))),"")</f>
        <v/>
      </c>
      <c r="CB24" s="16" t="str">
        <f t="shared" si="84"/>
        <v/>
      </c>
      <c r="CC24" s="16" t="str">
        <f t="shared" si="85"/>
        <v/>
      </c>
      <c r="CD24" s="17" t="str">
        <f t="shared" si="86"/>
        <v/>
      </c>
      <c r="CE24" s="18" t="str">
        <f t="shared" si="87"/>
        <v/>
      </c>
      <c r="CF24" s="18" t="str">
        <f t="shared" si="88"/>
        <v/>
      </c>
      <c r="CG24" s="109" t="str" cm="1">
        <f t="array" ref="CG24">IFERROR(
    _xlfn.LET(
        _xlpm.result, INDEX(_xlfn._xlws.FILTER(ST[6wk avg], (ST[Code]=$C24)*(ST[Customer Name]=BZ$3), ""), 1),
        IF(_xlpm.result=0, "", _xlpm.result)
    ),
"")</f>
        <v/>
      </c>
      <c r="CH24" s="102" t="str">
        <f t="shared" si="89"/>
        <v/>
      </c>
      <c r="CI24" s="70" t="str">
        <f t="shared" si="90"/>
        <v/>
      </c>
      <c r="CJ24" s="83" t="str">
        <f t="shared" si="91"/>
        <v/>
      </c>
      <c r="CK24" s="77"/>
      <c r="CL24" s="17" t="str">
        <f>IFERROR(_xlfn.XLOOKUP(C24,Master_Price_Level_NZ[Code],Master_Price_Level_NZ[Base (RRP Inc)]),"")</f>
        <v/>
      </c>
      <c r="CM24" s="17" t="str">
        <f t="shared" si="92"/>
        <v/>
      </c>
      <c r="CN24" s="107" t="str">
        <f t="shared" si="95"/>
        <v/>
      </c>
      <c r="CO24" s="17" t="str">
        <f t="shared" si="96"/>
        <v/>
      </c>
      <c r="CP24" s="17"/>
    </row>
    <row r="25" spans="1:94" x14ac:dyDescent="0.2">
      <c r="A25" s="106" t="str">
        <f t="shared" si="93"/>
        <v/>
      </c>
      <c r="B25" s="106" t="str">
        <f t="shared" si="94"/>
        <v/>
      </c>
      <c r="C25" s="13"/>
      <c r="D25" s="14" t="str">
        <f>IF(C25="", "",_xlfn.XLOOKUP(C25,'Master Price Level NZ'!B:B,'Master Price Level NZ'!C:C))</f>
        <v/>
      </c>
      <c r="E25" s="15"/>
      <c r="F25" s="108"/>
      <c r="G25" s="68" t="str" cm="1">
        <f t="array" ref="G25">IFERROR(_xlfn.XLOOKUP($C25,Master_Price_Level_NZ[Code],INDEX(Master_Price_Level_NZ[], , MATCH('Promo Form'!F$3, Master_Price_Level_NZ[#Headers], 0))),"")</f>
        <v/>
      </c>
      <c r="H25" s="16" t="str">
        <f t="shared" si="36"/>
        <v/>
      </c>
      <c r="I25" s="16" t="str">
        <f t="shared" si="37"/>
        <v/>
      </c>
      <c r="J25" s="17" t="str">
        <f t="shared" si="38"/>
        <v/>
      </c>
      <c r="K25" s="18" t="str">
        <f t="shared" si="39"/>
        <v/>
      </c>
      <c r="L25" s="18" t="str">
        <f t="shared" si="40"/>
        <v/>
      </c>
      <c r="M25" s="109" t="str" cm="1">
        <f t="array" ref="M25">IF($C25="","",IFERROR(_xlfn._xlws.FILTER(ST[6wk avg],(ST[Code]=$C25)*(ST[Customer Name]=F$3),""),""))</f>
        <v/>
      </c>
      <c r="N25" s="102" t="str">
        <f t="shared" si="41"/>
        <v/>
      </c>
      <c r="O25" s="70" t="str">
        <f t="shared" si="42"/>
        <v/>
      </c>
      <c r="P25" s="83" t="str">
        <f t="shared" si="43"/>
        <v/>
      </c>
      <c r="Q25" s="77"/>
      <c r="R25" s="108" t="str" cm="1">
        <f t="array" ref="R25">IFERROR(_xlfn._xlws.FILTER(#REF!,(#REF!=$C25) * (#REF!=R$3),"" ),"")</f>
        <v/>
      </c>
      <c r="S25" s="68" t="str" cm="1">
        <f t="array" ref="S25">IFERROR(_xlfn.XLOOKUP($C25,Master_Price_Level_NZ[Code],INDEX(Master_Price_Level_NZ[], , MATCH('Promo Form'!R$3, Master_Price_Level_NZ[#Headers], 0))),"")</f>
        <v/>
      </c>
      <c r="T25" s="16" t="str">
        <f t="shared" si="44"/>
        <v/>
      </c>
      <c r="U25" s="16" t="str">
        <f t="shared" si="45"/>
        <v/>
      </c>
      <c r="V25" s="17" t="str">
        <f t="shared" si="46"/>
        <v/>
      </c>
      <c r="W25" s="18" t="str">
        <f t="shared" si="47"/>
        <v/>
      </c>
      <c r="X25" s="18" t="str">
        <f t="shared" si="48"/>
        <v/>
      </c>
      <c r="Y25" s="109" t="str" cm="1">
        <f t="array" ref="Y25">IFERROR(
    _xlfn.LET(
        _xlpm.result, INDEX(_xlfn._xlws.FILTER(ST[6wk avg], (ST[Code]=$C25)*(ST[Customer Name]=R$3), ""), 1),
        IF(_xlpm.result=0, "", _xlpm.result)
    ),
"")</f>
        <v/>
      </c>
      <c r="Z25" s="102" t="str">
        <f t="shared" si="49"/>
        <v/>
      </c>
      <c r="AA25" s="70" t="str">
        <f t="shared" si="50"/>
        <v/>
      </c>
      <c r="AB25" s="83" t="str">
        <f t="shared" si="51"/>
        <v/>
      </c>
      <c r="AC25" s="77"/>
      <c r="AD25" s="108" t="str" cm="1">
        <f t="array" ref="AD25">IFERROR(_xlfn._xlws.FILTER(#REF!,(#REF!=$C25) * (#REF!=AD$3),"" ),"")</f>
        <v/>
      </c>
      <c r="AE25" s="68" t="str" cm="1">
        <f t="array" ref="AE25">IFERROR(_xlfn.XLOOKUP($C25,Master_Price_Level_NZ[Code],INDEX(Master_Price_Level_NZ[], , MATCH('Promo Form'!AD$3, Master_Price_Level_NZ[#Headers], 0))),"")</f>
        <v/>
      </c>
      <c r="AF25" s="16" t="str">
        <f t="shared" si="52"/>
        <v/>
      </c>
      <c r="AG25" s="16" t="str">
        <f t="shared" si="53"/>
        <v/>
      </c>
      <c r="AH25" s="17" t="str">
        <f t="shared" si="54"/>
        <v/>
      </c>
      <c r="AI25" s="18" t="str">
        <f t="shared" si="55"/>
        <v/>
      </c>
      <c r="AJ25" s="18" t="str">
        <f t="shared" si="56"/>
        <v/>
      </c>
      <c r="AK25" s="109" t="str" cm="1">
        <f t="array" ref="AK25">IFERROR(
    _xlfn.LET(
        _xlpm.result, INDEX(_xlfn._xlws.FILTER(ST[6wk avg], (ST[Code]=$C25)*(ST[Customer Name]=AD$3), ""), 1),
        IF(_xlpm.result=0, "", _xlpm.result)
    ),
"")</f>
        <v/>
      </c>
      <c r="AL25" s="102" t="str">
        <f t="shared" si="57"/>
        <v/>
      </c>
      <c r="AM25" s="70" t="str">
        <f t="shared" si="58"/>
        <v/>
      </c>
      <c r="AN25" s="83" t="str">
        <f t="shared" si="59"/>
        <v/>
      </c>
      <c r="AO25" s="77"/>
      <c r="AP25" s="108" t="str" cm="1">
        <f t="array" ref="AP25">IFERROR(_xlfn._xlws.FILTER(#REF!,(#REF!=$C25) * (#REF!=AP$3),"" ),"")</f>
        <v/>
      </c>
      <c r="AQ25" s="68" t="str" cm="1">
        <f t="array" ref="AQ25">IFERROR(_xlfn.XLOOKUP($C25,Master_Price_Level_NZ[Code],INDEX(Master_Price_Level_NZ[], , MATCH('Promo Form'!AP$3, Master_Price_Level_NZ[#Headers], 0))),"")</f>
        <v/>
      </c>
      <c r="AR25" s="16" t="str">
        <f t="shared" si="60"/>
        <v/>
      </c>
      <c r="AS25" s="16" t="str">
        <f t="shared" si="61"/>
        <v/>
      </c>
      <c r="AT25" s="17" t="str">
        <f t="shared" si="62"/>
        <v/>
      </c>
      <c r="AU25" s="18" t="str">
        <f t="shared" si="63"/>
        <v/>
      </c>
      <c r="AV25" s="18" t="str">
        <f t="shared" si="64"/>
        <v/>
      </c>
      <c r="AW25" s="109" t="str" cm="1">
        <f t="array" ref="AW25">IFERROR(
    _xlfn.LET(
        _xlpm.result, INDEX(_xlfn._xlws.FILTER(ST[6wk avg], (ST[Code]=$C25)*(ST[Customer Name]=AP$3), ""), 1),
        IF(_xlpm.result=0, "", _xlpm.result)
    ),
"")</f>
        <v/>
      </c>
      <c r="AX25" s="102" t="str">
        <f t="shared" si="65"/>
        <v/>
      </c>
      <c r="AY25" s="70" t="str">
        <f t="shared" si="66"/>
        <v/>
      </c>
      <c r="AZ25" s="83" t="str">
        <f t="shared" si="67"/>
        <v/>
      </c>
      <c r="BA25" s="77"/>
      <c r="BB25" s="108" t="str" cm="1">
        <f t="array" ref="BB25">IFERROR(_xlfn._xlws.FILTER(#REF!,(#REF!=$C25) * (#REF!=BB$3),"" ),"")</f>
        <v/>
      </c>
      <c r="BC25" s="68" t="str" cm="1">
        <f t="array" ref="BC25">IFERROR(_xlfn.XLOOKUP($C25,Master_Price_Level_NZ[Code],INDEX(Master_Price_Level_NZ[], , MATCH('Promo Form'!BB$3, Master_Price_Level_NZ[#Headers], 0))),"")</f>
        <v/>
      </c>
      <c r="BD25" s="16" t="str">
        <f t="shared" si="68"/>
        <v/>
      </c>
      <c r="BE25" s="16" t="str">
        <f t="shared" si="69"/>
        <v/>
      </c>
      <c r="BF25" s="17" t="str">
        <f t="shared" si="70"/>
        <v/>
      </c>
      <c r="BG25" s="18" t="str">
        <f t="shared" si="71"/>
        <v/>
      </c>
      <c r="BH25" s="18" t="str">
        <f t="shared" si="72"/>
        <v/>
      </c>
      <c r="BI25" s="109" t="str" cm="1">
        <f t="array" ref="BI25">IFERROR(
    _xlfn.LET(
        _xlpm.result, INDEX(_xlfn._xlws.FILTER(ST[6wk avg], (ST[Code]=$C25)*(ST[Customer Name]=BB$3), ""), 1),
        IF(_xlpm.result=0, "", _xlpm.result)
    ),
"")</f>
        <v/>
      </c>
      <c r="BJ25" s="102" t="str">
        <f t="shared" si="73"/>
        <v/>
      </c>
      <c r="BK25" s="70" t="str">
        <f t="shared" si="74"/>
        <v/>
      </c>
      <c r="BL25" s="83" t="str">
        <f t="shared" si="75"/>
        <v/>
      </c>
      <c r="BM25" s="77"/>
      <c r="BN25" s="108" t="str" cm="1">
        <f t="array" ref="BN25">IFERROR(_xlfn._xlws.FILTER(#REF!,(#REF!=$C25) * (#REF!=BN$3),"" ),"")</f>
        <v/>
      </c>
      <c r="BO25" s="68" t="str" cm="1">
        <f t="array" ref="BO25">IFERROR(_xlfn.XLOOKUP($C25,Master_Price_Level_NZ[Code],INDEX(Master_Price_Level_NZ[], , MATCH('Promo Form'!BN$3, Master_Price_Level_NZ[#Headers], 0))),"")</f>
        <v/>
      </c>
      <c r="BP25" s="16" t="str">
        <f t="shared" si="76"/>
        <v/>
      </c>
      <c r="BQ25" s="16" t="str">
        <f t="shared" si="77"/>
        <v/>
      </c>
      <c r="BR25" s="17" t="str">
        <f t="shared" si="78"/>
        <v/>
      </c>
      <c r="BS25" s="18" t="str">
        <f t="shared" si="79"/>
        <v/>
      </c>
      <c r="BT25" s="18" t="str">
        <f t="shared" si="80"/>
        <v/>
      </c>
      <c r="BU25" s="109" t="str" cm="1">
        <f t="array" ref="BU25">IFERROR(
    _xlfn.LET(
        _xlpm.result, INDEX(_xlfn._xlws.FILTER(ST[6wk avg], (ST[Code]=$C25)*(ST[Customer Name]=BN$3), ""), 1),
        IF(_xlpm.result=0, "", _xlpm.result)
    ),
"")</f>
        <v/>
      </c>
      <c r="BV25" s="102" t="str">
        <f t="shared" si="81"/>
        <v/>
      </c>
      <c r="BW25" s="70" t="str">
        <f t="shared" si="82"/>
        <v/>
      </c>
      <c r="BX25" s="83" t="str">
        <f t="shared" si="83"/>
        <v/>
      </c>
      <c r="BY25" s="77"/>
      <c r="BZ25" s="108" t="str" cm="1">
        <f t="array" ref="BZ25">IFERROR(_xlfn._xlws.FILTER(#REF!,(#REF!=$C25) * (#REF!=BZ$3),"" ),"")</f>
        <v/>
      </c>
      <c r="CA25" s="68" t="str" cm="1">
        <f t="array" ref="CA25">IFERROR(_xlfn.XLOOKUP($C25,Master_Price_Level_NZ[Code],INDEX(Master_Price_Level_NZ[], , MATCH('Promo Form'!BZ$3, Master_Price_Level_NZ[#Headers], 0))),"")</f>
        <v/>
      </c>
      <c r="CB25" s="16" t="str">
        <f t="shared" si="84"/>
        <v/>
      </c>
      <c r="CC25" s="16" t="str">
        <f t="shared" si="85"/>
        <v/>
      </c>
      <c r="CD25" s="17" t="str">
        <f t="shared" si="86"/>
        <v/>
      </c>
      <c r="CE25" s="18" t="str">
        <f t="shared" si="87"/>
        <v/>
      </c>
      <c r="CF25" s="18" t="str">
        <f t="shared" si="88"/>
        <v/>
      </c>
      <c r="CG25" s="109" t="str" cm="1">
        <f t="array" ref="CG25">IFERROR(
    _xlfn.LET(
        _xlpm.result, INDEX(_xlfn._xlws.FILTER(ST[6wk avg], (ST[Code]=$C25)*(ST[Customer Name]=BZ$3), ""), 1),
        IF(_xlpm.result=0, "", _xlpm.result)
    ),
"")</f>
        <v/>
      </c>
      <c r="CH25" s="102" t="str">
        <f t="shared" si="89"/>
        <v/>
      </c>
      <c r="CI25" s="70" t="str">
        <f t="shared" si="90"/>
        <v/>
      </c>
      <c r="CJ25" s="83" t="str">
        <f t="shared" si="91"/>
        <v/>
      </c>
      <c r="CK25" s="77"/>
      <c r="CL25" s="17" t="str">
        <f>IFERROR(_xlfn.XLOOKUP(C25,Master_Price_Level_NZ[Code],Master_Price_Level_NZ[Base (RRP Inc)]),"")</f>
        <v/>
      </c>
      <c r="CM25" s="17" t="str">
        <f t="shared" si="92"/>
        <v/>
      </c>
      <c r="CN25" s="107" t="str">
        <f t="shared" si="95"/>
        <v/>
      </c>
      <c r="CO25" s="17" t="str">
        <f t="shared" si="96"/>
        <v/>
      </c>
      <c r="CP25" s="17"/>
    </row>
    <row r="26" spans="1:94" x14ac:dyDescent="0.2">
      <c r="A26" s="106" t="str">
        <f t="shared" si="93"/>
        <v/>
      </c>
      <c r="B26" s="106" t="str">
        <f t="shared" si="94"/>
        <v/>
      </c>
      <c r="C26" s="13"/>
      <c r="D26" s="14" t="str">
        <f>IF(C26="", "",_xlfn.XLOOKUP(C26,'Master Price Level NZ'!B:B,'Master Price Level NZ'!C:C))</f>
        <v/>
      </c>
      <c r="E26" s="15"/>
      <c r="F26" s="108"/>
      <c r="G26" s="68" t="str" cm="1">
        <f t="array" ref="G26">IFERROR(_xlfn.XLOOKUP($C26,Master_Price_Level_NZ[Code],INDEX(Master_Price_Level_NZ[], , MATCH('Promo Form'!F$3, Master_Price_Level_NZ[#Headers], 0))),"")</f>
        <v/>
      </c>
      <c r="H26" s="16" t="str">
        <f t="shared" si="36"/>
        <v/>
      </c>
      <c r="I26" s="16" t="str">
        <f t="shared" si="37"/>
        <v/>
      </c>
      <c r="J26" s="17" t="str">
        <f t="shared" si="38"/>
        <v/>
      </c>
      <c r="K26" s="18" t="str">
        <f t="shared" si="39"/>
        <v/>
      </c>
      <c r="L26" s="18" t="str">
        <f t="shared" si="40"/>
        <v/>
      </c>
      <c r="M26" s="109" t="str" cm="1">
        <f t="array" ref="M26">IF($C26="","",IFERROR(_xlfn._xlws.FILTER(ST[6wk avg],(ST[Code]=$C26)*(ST[Customer Name]=F$3),""),""))</f>
        <v/>
      </c>
      <c r="N26" s="102" t="str">
        <f t="shared" si="41"/>
        <v/>
      </c>
      <c r="O26" s="70" t="str">
        <f t="shared" si="42"/>
        <v/>
      </c>
      <c r="P26" s="83" t="str">
        <f t="shared" si="43"/>
        <v/>
      </c>
      <c r="Q26" s="77"/>
      <c r="R26" s="108" t="str" cm="1">
        <f t="array" ref="R26">IFERROR(_xlfn._xlws.FILTER(#REF!,(#REF!=$C26) * (#REF!=R$3),"" ),"")</f>
        <v/>
      </c>
      <c r="S26" s="68" t="str" cm="1">
        <f t="array" ref="S26">IFERROR(_xlfn.XLOOKUP($C26,Master_Price_Level_NZ[Code],INDEX(Master_Price_Level_NZ[], , MATCH('Promo Form'!R$3, Master_Price_Level_NZ[#Headers], 0))),"")</f>
        <v/>
      </c>
      <c r="T26" s="16" t="str">
        <f t="shared" si="44"/>
        <v/>
      </c>
      <c r="U26" s="16" t="str">
        <f t="shared" si="45"/>
        <v/>
      </c>
      <c r="V26" s="17" t="str">
        <f t="shared" si="46"/>
        <v/>
      </c>
      <c r="W26" s="18" t="str">
        <f t="shared" si="47"/>
        <v/>
      </c>
      <c r="X26" s="18" t="str">
        <f t="shared" si="48"/>
        <v/>
      </c>
      <c r="Y26" s="109" t="str" cm="1">
        <f t="array" ref="Y26">IFERROR(
    _xlfn.LET(
        _xlpm.result, INDEX(_xlfn._xlws.FILTER(ST[6wk avg], (ST[Code]=$C26)*(ST[Customer Name]=R$3), ""), 1),
        IF(_xlpm.result=0, "", _xlpm.result)
    ),
"")</f>
        <v/>
      </c>
      <c r="Z26" s="102" t="str">
        <f t="shared" si="49"/>
        <v/>
      </c>
      <c r="AA26" s="70" t="str">
        <f t="shared" si="50"/>
        <v/>
      </c>
      <c r="AB26" s="83" t="str">
        <f t="shared" si="51"/>
        <v/>
      </c>
      <c r="AC26" s="77"/>
      <c r="AD26" s="108" t="str" cm="1">
        <f t="array" ref="AD26">IFERROR(_xlfn._xlws.FILTER(#REF!,(#REF!=$C26) * (#REF!=AD$3),"" ),"")</f>
        <v/>
      </c>
      <c r="AE26" s="68" t="str" cm="1">
        <f t="array" ref="AE26">IFERROR(_xlfn.XLOOKUP($C26,Master_Price_Level_NZ[Code],INDEX(Master_Price_Level_NZ[], , MATCH('Promo Form'!AD$3, Master_Price_Level_NZ[#Headers], 0))),"")</f>
        <v/>
      </c>
      <c r="AF26" s="16" t="str">
        <f t="shared" si="52"/>
        <v/>
      </c>
      <c r="AG26" s="16" t="str">
        <f t="shared" si="53"/>
        <v/>
      </c>
      <c r="AH26" s="17" t="str">
        <f t="shared" si="54"/>
        <v/>
      </c>
      <c r="AI26" s="18" t="str">
        <f t="shared" si="55"/>
        <v/>
      </c>
      <c r="AJ26" s="18" t="str">
        <f t="shared" si="56"/>
        <v/>
      </c>
      <c r="AK26" s="109" t="str" cm="1">
        <f t="array" ref="AK26">IFERROR(
    _xlfn.LET(
        _xlpm.result, INDEX(_xlfn._xlws.FILTER(ST[6wk avg], (ST[Code]=$C26)*(ST[Customer Name]=AD$3), ""), 1),
        IF(_xlpm.result=0, "", _xlpm.result)
    ),
"")</f>
        <v/>
      </c>
      <c r="AL26" s="102" t="str">
        <f t="shared" si="57"/>
        <v/>
      </c>
      <c r="AM26" s="70" t="str">
        <f t="shared" si="58"/>
        <v/>
      </c>
      <c r="AN26" s="83" t="str">
        <f t="shared" si="59"/>
        <v/>
      </c>
      <c r="AO26" s="77"/>
      <c r="AP26" s="108" t="str" cm="1">
        <f t="array" ref="AP26">IFERROR(_xlfn._xlws.FILTER(#REF!,(#REF!=$C26) * (#REF!=AP$3),"" ),"")</f>
        <v/>
      </c>
      <c r="AQ26" s="68" t="str" cm="1">
        <f t="array" ref="AQ26">IFERROR(_xlfn.XLOOKUP($C26,Master_Price_Level_NZ[Code],INDEX(Master_Price_Level_NZ[], , MATCH('Promo Form'!AP$3, Master_Price_Level_NZ[#Headers], 0))),"")</f>
        <v/>
      </c>
      <c r="AR26" s="16" t="str">
        <f t="shared" si="60"/>
        <v/>
      </c>
      <c r="AS26" s="16" t="str">
        <f t="shared" si="61"/>
        <v/>
      </c>
      <c r="AT26" s="17" t="str">
        <f t="shared" si="62"/>
        <v/>
      </c>
      <c r="AU26" s="18" t="str">
        <f t="shared" si="63"/>
        <v/>
      </c>
      <c r="AV26" s="18" t="str">
        <f t="shared" si="64"/>
        <v/>
      </c>
      <c r="AW26" s="109" t="str" cm="1">
        <f t="array" ref="AW26">IFERROR(
    _xlfn.LET(
        _xlpm.result, INDEX(_xlfn._xlws.FILTER(ST[6wk avg], (ST[Code]=$C26)*(ST[Customer Name]=AP$3), ""), 1),
        IF(_xlpm.result=0, "", _xlpm.result)
    ),
"")</f>
        <v/>
      </c>
      <c r="AX26" s="102" t="str">
        <f t="shared" si="65"/>
        <v/>
      </c>
      <c r="AY26" s="70" t="str">
        <f t="shared" si="66"/>
        <v/>
      </c>
      <c r="AZ26" s="83" t="str">
        <f t="shared" si="67"/>
        <v/>
      </c>
      <c r="BA26" s="77"/>
      <c r="BB26" s="108" t="str" cm="1">
        <f t="array" ref="BB26">IFERROR(_xlfn._xlws.FILTER(#REF!,(#REF!=$C26) * (#REF!=BB$3),"" ),"")</f>
        <v/>
      </c>
      <c r="BC26" s="68" t="str" cm="1">
        <f t="array" ref="BC26">IFERROR(_xlfn.XLOOKUP($C26,Master_Price_Level_NZ[Code],INDEX(Master_Price_Level_NZ[], , MATCH('Promo Form'!BB$3, Master_Price_Level_NZ[#Headers], 0))),"")</f>
        <v/>
      </c>
      <c r="BD26" s="16" t="str">
        <f t="shared" si="68"/>
        <v/>
      </c>
      <c r="BE26" s="16" t="str">
        <f t="shared" si="69"/>
        <v/>
      </c>
      <c r="BF26" s="17" t="str">
        <f t="shared" si="70"/>
        <v/>
      </c>
      <c r="BG26" s="18" t="str">
        <f t="shared" si="71"/>
        <v/>
      </c>
      <c r="BH26" s="18" t="str">
        <f t="shared" si="72"/>
        <v/>
      </c>
      <c r="BI26" s="109" t="str" cm="1">
        <f t="array" ref="BI26">IFERROR(
    _xlfn.LET(
        _xlpm.result, INDEX(_xlfn._xlws.FILTER(ST[6wk avg], (ST[Code]=$C26)*(ST[Customer Name]=BB$3), ""), 1),
        IF(_xlpm.result=0, "", _xlpm.result)
    ),
"")</f>
        <v/>
      </c>
      <c r="BJ26" s="102" t="str">
        <f t="shared" si="73"/>
        <v/>
      </c>
      <c r="BK26" s="70" t="str">
        <f t="shared" si="74"/>
        <v/>
      </c>
      <c r="BL26" s="83" t="str">
        <f t="shared" si="75"/>
        <v/>
      </c>
      <c r="BM26" s="77"/>
      <c r="BN26" s="108" t="str" cm="1">
        <f t="array" ref="BN26">IFERROR(_xlfn._xlws.FILTER(#REF!,(#REF!=$C26) * (#REF!=BN$3),"" ),"")</f>
        <v/>
      </c>
      <c r="BO26" s="68" t="str" cm="1">
        <f t="array" ref="BO26">IFERROR(_xlfn.XLOOKUP($C26,Master_Price_Level_NZ[Code],INDEX(Master_Price_Level_NZ[], , MATCH('Promo Form'!BN$3, Master_Price_Level_NZ[#Headers], 0))),"")</f>
        <v/>
      </c>
      <c r="BP26" s="16" t="str">
        <f t="shared" si="76"/>
        <v/>
      </c>
      <c r="BQ26" s="16" t="str">
        <f t="shared" si="77"/>
        <v/>
      </c>
      <c r="BR26" s="17" t="str">
        <f t="shared" si="78"/>
        <v/>
      </c>
      <c r="BS26" s="18" t="str">
        <f t="shared" si="79"/>
        <v/>
      </c>
      <c r="BT26" s="18" t="str">
        <f t="shared" si="80"/>
        <v/>
      </c>
      <c r="BU26" s="109" t="str" cm="1">
        <f t="array" ref="BU26">IFERROR(
    _xlfn.LET(
        _xlpm.result, INDEX(_xlfn._xlws.FILTER(ST[6wk avg], (ST[Code]=$C26)*(ST[Customer Name]=BN$3), ""), 1),
        IF(_xlpm.result=0, "", _xlpm.result)
    ),
"")</f>
        <v/>
      </c>
      <c r="BV26" s="102" t="str">
        <f t="shared" si="81"/>
        <v/>
      </c>
      <c r="BW26" s="70" t="str">
        <f t="shared" si="82"/>
        <v/>
      </c>
      <c r="BX26" s="83" t="str">
        <f t="shared" si="83"/>
        <v/>
      </c>
      <c r="BY26" s="77"/>
      <c r="BZ26" s="108" t="str" cm="1">
        <f t="array" ref="BZ26">IFERROR(_xlfn._xlws.FILTER(#REF!,(#REF!=$C26) * (#REF!=BZ$3),"" ),"")</f>
        <v/>
      </c>
      <c r="CA26" s="68" t="str" cm="1">
        <f t="array" ref="CA26">IFERROR(_xlfn.XLOOKUP($C26,Master_Price_Level_NZ[Code],INDEX(Master_Price_Level_NZ[], , MATCH('Promo Form'!BZ$3, Master_Price_Level_NZ[#Headers], 0))),"")</f>
        <v/>
      </c>
      <c r="CB26" s="16" t="str">
        <f t="shared" si="84"/>
        <v/>
      </c>
      <c r="CC26" s="16" t="str">
        <f t="shared" si="85"/>
        <v/>
      </c>
      <c r="CD26" s="17" t="str">
        <f t="shared" si="86"/>
        <v/>
      </c>
      <c r="CE26" s="18" t="str">
        <f t="shared" si="87"/>
        <v/>
      </c>
      <c r="CF26" s="18" t="str">
        <f t="shared" si="88"/>
        <v/>
      </c>
      <c r="CG26" s="109" t="str" cm="1">
        <f t="array" ref="CG26">IFERROR(
    _xlfn.LET(
        _xlpm.result, INDEX(_xlfn._xlws.FILTER(ST[6wk avg], (ST[Code]=$C26)*(ST[Customer Name]=BZ$3), ""), 1),
        IF(_xlpm.result=0, "", _xlpm.result)
    ),
"")</f>
        <v/>
      </c>
      <c r="CH26" s="102" t="str">
        <f t="shared" si="89"/>
        <v/>
      </c>
      <c r="CI26" s="70" t="str">
        <f t="shared" si="90"/>
        <v/>
      </c>
      <c r="CJ26" s="83" t="str">
        <f t="shared" si="91"/>
        <v/>
      </c>
      <c r="CK26" s="77"/>
      <c r="CL26" s="17" t="str">
        <f>IFERROR(_xlfn.XLOOKUP(C26,Master_Price_Level_NZ[Code],Master_Price_Level_NZ[Base (RRP Inc)]),"")</f>
        <v/>
      </c>
      <c r="CM26" s="17" t="str">
        <f t="shared" si="92"/>
        <v/>
      </c>
      <c r="CN26" s="107" t="str">
        <f t="shared" si="95"/>
        <v/>
      </c>
      <c r="CO26" s="17" t="str">
        <f t="shared" si="96"/>
        <v/>
      </c>
      <c r="CP26" s="17"/>
    </row>
    <row r="27" spans="1:94" x14ac:dyDescent="0.2">
      <c r="A27" s="106" t="str">
        <f t="shared" si="93"/>
        <v/>
      </c>
      <c r="B27" s="106" t="str">
        <f t="shared" si="94"/>
        <v/>
      </c>
      <c r="C27" s="13"/>
      <c r="D27" s="14" t="str">
        <f>IF(C27="", "",_xlfn.XLOOKUP(C27,'Master Price Level NZ'!B:B,'Master Price Level NZ'!C:C))</f>
        <v/>
      </c>
      <c r="E27" s="15"/>
      <c r="F27" s="108"/>
      <c r="G27" s="68" t="str" cm="1">
        <f t="array" ref="G27">IFERROR(_xlfn.XLOOKUP($C27,Master_Price_Level_NZ[Code],INDEX(Master_Price_Level_NZ[], , MATCH('Promo Form'!F$3, Master_Price_Level_NZ[#Headers], 0))),"")</f>
        <v/>
      </c>
      <c r="H27" s="16" t="str">
        <f t="shared" si="36"/>
        <v/>
      </c>
      <c r="I27" s="16" t="str">
        <f t="shared" si="37"/>
        <v/>
      </c>
      <c r="J27" s="17" t="str">
        <f t="shared" si="38"/>
        <v/>
      </c>
      <c r="K27" s="18" t="str">
        <f t="shared" si="39"/>
        <v/>
      </c>
      <c r="L27" s="18" t="str">
        <f t="shared" si="40"/>
        <v/>
      </c>
      <c r="M27" s="109" t="str" cm="1">
        <f t="array" ref="M27">IF($C27="","",IFERROR(_xlfn._xlws.FILTER(ST[6wk avg],(ST[Code]=$C27)*(ST[Customer Name]=F$3),""),""))</f>
        <v/>
      </c>
      <c r="N27" s="102" t="str">
        <f t="shared" si="41"/>
        <v/>
      </c>
      <c r="O27" s="70" t="str">
        <f t="shared" si="42"/>
        <v/>
      </c>
      <c r="P27" s="83" t="str">
        <f t="shared" si="43"/>
        <v/>
      </c>
      <c r="Q27" s="77"/>
      <c r="R27" s="108" t="str" cm="1">
        <f t="array" ref="R27">IFERROR(_xlfn._xlws.FILTER(#REF!,(#REF!=$C27) * (#REF!=R$3),"" ),"")</f>
        <v/>
      </c>
      <c r="S27" s="68" t="str" cm="1">
        <f t="array" ref="S27">IFERROR(_xlfn.XLOOKUP($C27,Master_Price_Level_NZ[Code],INDEX(Master_Price_Level_NZ[], , MATCH('Promo Form'!R$3, Master_Price_Level_NZ[#Headers], 0))),"")</f>
        <v/>
      </c>
      <c r="T27" s="16" t="str">
        <f t="shared" si="44"/>
        <v/>
      </c>
      <c r="U27" s="16" t="str">
        <f t="shared" si="45"/>
        <v/>
      </c>
      <c r="V27" s="17" t="str">
        <f t="shared" si="46"/>
        <v/>
      </c>
      <c r="W27" s="18" t="str">
        <f t="shared" si="47"/>
        <v/>
      </c>
      <c r="X27" s="18" t="str">
        <f t="shared" si="48"/>
        <v/>
      </c>
      <c r="Y27" s="109" t="str" cm="1">
        <f t="array" ref="Y27">IFERROR(
    _xlfn.LET(
        _xlpm.result, INDEX(_xlfn._xlws.FILTER(ST[6wk avg], (ST[Code]=$C27)*(ST[Customer Name]=R$3), ""), 1),
        IF(_xlpm.result=0, "", _xlpm.result)
    ),
"")</f>
        <v/>
      </c>
      <c r="Z27" s="102" t="str">
        <f t="shared" si="49"/>
        <v/>
      </c>
      <c r="AA27" s="70" t="str">
        <f t="shared" si="50"/>
        <v/>
      </c>
      <c r="AB27" s="83" t="str">
        <f t="shared" si="51"/>
        <v/>
      </c>
      <c r="AC27" s="77"/>
      <c r="AD27" s="108" t="str" cm="1">
        <f t="array" ref="AD27">IFERROR(_xlfn._xlws.FILTER(#REF!,(#REF!=$C27) * (#REF!=AD$3),"" ),"")</f>
        <v/>
      </c>
      <c r="AE27" s="68" t="str" cm="1">
        <f t="array" ref="AE27">IFERROR(_xlfn.XLOOKUP($C27,Master_Price_Level_NZ[Code],INDEX(Master_Price_Level_NZ[], , MATCH('Promo Form'!AD$3, Master_Price_Level_NZ[#Headers], 0))),"")</f>
        <v/>
      </c>
      <c r="AF27" s="16" t="str">
        <f t="shared" si="52"/>
        <v/>
      </c>
      <c r="AG27" s="16" t="str">
        <f t="shared" si="53"/>
        <v/>
      </c>
      <c r="AH27" s="17" t="str">
        <f t="shared" si="54"/>
        <v/>
      </c>
      <c r="AI27" s="18" t="str">
        <f t="shared" si="55"/>
        <v/>
      </c>
      <c r="AJ27" s="18" t="str">
        <f t="shared" si="56"/>
        <v/>
      </c>
      <c r="AK27" s="109" t="str" cm="1">
        <f t="array" ref="AK27">IFERROR(
    _xlfn.LET(
        _xlpm.result, INDEX(_xlfn._xlws.FILTER(ST[6wk avg], (ST[Code]=$C27)*(ST[Customer Name]=AD$3), ""), 1),
        IF(_xlpm.result=0, "", _xlpm.result)
    ),
"")</f>
        <v/>
      </c>
      <c r="AL27" s="102" t="str">
        <f t="shared" si="57"/>
        <v/>
      </c>
      <c r="AM27" s="70" t="str">
        <f t="shared" si="58"/>
        <v/>
      </c>
      <c r="AN27" s="83" t="str">
        <f t="shared" si="59"/>
        <v/>
      </c>
      <c r="AO27" s="77"/>
      <c r="AP27" s="108" t="str" cm="1">
        <f t="array" ref="AP27">IFERROR(_xlfn._xlws.FILTER(#REF!,(#REF!=$C27) * (#REF!=AP$3),"" ),"")</f>
        <v/>
      </c>
      <c r="AQ27" s="68" t="str" cm="1">
        <f t="array" ref="AQ27">IFERROR(_xlfn.XLOOKUP($C27,Master_Price_Level_NZ[Code],INDEX(Master_Price_Level_NZ[], , MATCH('Promo Form'!AP$3, Master_Price_Level_NZ[#Headers], 0))),"")</f>
        <v/>
      </c>
      <c r="AR27" s="16" t="str">
        <f t="shared" si="60"/>
        <v/>
      </c>
      <c r="AS27" s="16" t="str">
        <f t="shared" si="61"/>
        <v/>
      </c>
      <c r="AT27" s="17" t="str">
        <f t="shared" si="62"/>
        <v/>
      </c>
      <c r="AU27" s="18" t="str">
        <f t="shared" si="63"/>
        <v/>
      </c>
      <c r="AV27" s="18" t="str">
        <f t="shared" si="64"/>
        <v/>
      </c>
      <c r="AW27" s="109" t="str" cm="1">
        <f t="array" ref="AW27">IFERROR(
    _xlfn.LET(
        _xlpm.result, INDEX(_xlfn._xlws.FILTER(ST[6wk avg], (ST[Code]=$C27)*(ST[Customer Name]=AP$3), ""), 1),
        IF(_xlpm.result=0, "", _xlpm.result)
    ),
"")</f>
        <v/>
      </c>
      <c r="AX27" s="102" t="str">
        <f t="shared" si="65"/>
        <v/>
      </c>
      <c r="AY27" s="70" t="str">
        <f t="shared" si="66"/>
        <v/>
      </c>
      <c r="AZ27" s="83" t="str">
        <f t="shared" si="67"/>
        <v/>
      </c>
      <c r="BA27" s="77"/>
      <c r="BB27" s="108" t="str" cm="1">
        <f t="array" ref="BB27">IFERROR(_xlfn._xlws.FILTER(#REF!,(#REF!=$C27) * (#REF!=BB$3),"" ),"")</f>
        <v/>
      </c>
      <c r="BC27" s="68" t="str" cm="1">
        <f t="array" ref="BC27">IFERROR(_xlfn.XLOOKUP($C27,Master_Price_Level_NZ[Code],INDEX(Master_Price_Level_NZ[], , MATCH('Promo Form'!BB$3, Master_Price_Level_NZ[#Headers], 0))),"")</f>
        <v/>
      </c>
      <c r="BD27" s="16" t="str">
        <f t="shared" si="68"/>
        <v/>
      </c>
      <c r="BE27" s="16" t="str">
        <f t="shared" si="69"/>
        <v/>
      </c>
      <c r="BF27" s="17" t="str">
        <f t="shared" si="70"/>
        <v/>
      </c>
      <c r="BG27" s="18" t="str">
        <f t="shared" si="71"/>
        <v/>
      </c>
      <c r="BH27" s="18" t="str">
        <f t="shared" si="72"/>
        <v/>
      </c>
      <c r="BI27" s="109" t="str" cm="1">
        <f t="array" ref="BI27">IFERROR(
    _xlfn.LET(
        _xlpm.result, INDEX(_xlfn._xlws.FILTER(ST[6wk avg], (ST[Code]=$C27)*(ST[Customer Name]=BB$3), ""), 1),
        IF(_xlpm.result=0, "", _xlpm.result)
    ),
"")</f>
        <v/>
      </c>
      <c r="BJ27" s="102" t="str">
        <f t="shared" si="73"/>
        <v/>
      </c>
      <c r="BK27" s="70" t="str">
        <f t="shared" si="74"/>
        <v/>
      </c>
      <c r="BL27" s="83" t="str">
        <f t="shared" si="75"/>
        <v/>
      </c>
      <c r="BM27" s="77"/>
      <c r="BN27" s="108" t="str" cm="1">
        <f t="array" ref="BN27">IFERROR(_xlfn._xlws.FILTER(#REF!,(#REF!=$C27) * (#REF!=BN$3),"" ),"")</f>
        <v/>
      </c>
      <c r="BO27" s="68" t="str" cm="1">
        <f t="array" ref="BO27">IFERROR(_xlfn.XLOOKUP($C27,Master_Price_Level_NZ[Code],INDEX(Master_Price_Level_NZ[], , MATCH('Promo Form'!BN$3, Master_Price_Level_NZ[#Headers], 0))),"")</f>
        <v/>
      </c>
      <c r="BP27" s="16" t="str">
        <f t="shared" si="76"/>
        <v/>
      </c>
      <c r="BQ27" s="16" t="str">
        <f t="shared" si="77"/>
        <v/>
      </c>
      <c r="BR27" s="17" t="str">
        <f t="shared" si="78"/>
        <v/>
      </c>
      <c r="BS27" s="18" t="str">
        <f t="shared" si="79"/>
        <v/>
      </c>
      <c r="BT27" s="18" t="str">
        <f t="shared" si="80"/>
        <v/>
      </c>
      <c r="BU27" s="109" t="str" cm="1">
        <f t="array" ref="BU27">IFERROR(
    _xlfn.LET(
        _xlpm.result, INDEX(_xlfn._xlws.FILTER(ST[6wk avg], (ST[Code]=$C27)*(ST[Customer Name]=BN$3), ""), 1),
        IF(_xlpm.result=0, "", _xlpm.result)
    ),
"")</f>
        <v/>
      </c>
      <c r="BV27" s="102" t="str">
        <f t="shared" si="81"/>
        <v/>
      </c>
      <c r="BW27" s="70" t="str">
        <f t="shared" si="82"/>
        <v/>
      </c>
      <c r="BX27" s="83" t="str">
        <f t="shared" si="83"/>
        <v/>
      </c>
      <c r="BY27" s="77"/>
      <c r="BZ27" s="108" t="str" cm="1">
        <f t="array" ref="BZ27">IFERROR(_xlfn._xlws.FILTER(#REF!,(#REF!=$C27) * (#REF!=BZ$3),"" ),"")</f>
        <v/>
      </c>
      <c r="CA27" s="68" t="str" cm="1">
        <f t="array" ref="CA27">IFERROR(_xlfn.XLOOKUP($C27,Master_Price_Level_NZ[Code],INDEX(Master_Price_Level_NZ[], , MATCH('Promo Form'!BZ$3, Master_Price_Level_NZ[#Headers], 0))),"")</f>
        <v/>
      </c>
      <c r="CB27" s="16" t="str">
        <f t="shared" si="84"/>
        <v/>
      </c>
      <c r="CC27" s="16" t="str">
        <f t="shared" si="85"/>
        <v/>
      </c>
      <c r="CD27" s="17" t="str">
        <f t="shared" si="86"/>
        <v/>
      </c>
      <c r="CE27" s="18" t="str">
        <f t="shared" si="87"/>
        <v/>
      </c>
      <c r="CF27" s="18" t="str">
        <f t="shared" si="88"/>
        <v/>
      </c>
      <c r="CG27" s="109" t="str" cm="1">
        <f t="array" ref="CG27">IFERROR(
    _xlfn.LET(
        _xlpm.result, INDEX(_xlfn._xlws.FILTER(ST[6wk avg], (ST[Code]=$C27)*(ST[Customer Name]=BZ$3), ""), 1),
        IF(_xlpm.result=0, "", _xlpm.result)
    ),
"")</f>
        <v/>
      </c>
      <c r="CH27" s="102" t="str">
        <f t="shared" si="89"/>
        <v/>
      </c>
      <c r="CI27" s="70" t="str">
        <f t="shared" si="90"/>
        <v/>
      </c>
      <c r="CJ27" s="83" t="str">
        <f t="shared" si="91"/>
        <v/>
      </c>
      <c r="CK27" s="77"/>
      <c r="CL27" s="17" t="str">
        <f>IFERROR(_xlfn.XLOOKUP(C27,Master_Price_Level_NZ[Code],Master_Price_Level_NZ[Base (RRP Inc)]),"")</f>
        <v/>
      </c>
      <c r="CM27" s="17" t="str">
        <f t="shared" si="92"/>
        <v/>
      </c>
      <c r="CN27" s="107" t="str">
        <f t="shared" si="95"/>
        <v/>
      </c>
      <c r="CO27" s="17" t="str">
        <f t="shared" si="96"/>
        <v/>
      </c>
      <c r="CP27" s="17"/>
    </row>
    <row r="28" spans="1:94" ht="18" x14ac:dyDescent="0.2">
      <c r="A28" s="167" t="s">
        <v>31</v>
      </c>
      <c r="B28" s="141"/>
      <c r="C28" s="142"/>
      <c r="D28" s="90">
        <f>B5+14</f>
        <v>45686</v>
      </c>
      <c r="E28" s="15"/>
      <c r="F28" s="22"/>
      <c r="G28" s="20"/>
      <c r="H28" s="20"/>
      <c r="I28" s="20"/>
      <c r="J28" s="21"/>
      <c r="K28" s="21"/>
      <c r="L28" s="18" t="str">
        <f>IFERROR((($EX28/1.1)+(H28+I28)-(G28-(G28*F$2)))/($EX28/1.1),"")</f>
        <v/>
      </c>
      <c r="M28" s="18"/>
      <c r="N28" s="74" t="str">
        <f>IFERROR((($EX28/1.1)+(I28+J28)-(H28-(H28*G$2)))/($EX28/1.1),"")</f>
        <v/>
      </c>
      <c r="O28" s="19"/>
      <c r="P28" s="84"/>
      <c r="Q28" s="77"/>
      <c r="R28" s="22"/>
      <c r="S28" s="20"/>
      <c r="T28" s="20"/>
      <c r="U28" s="20"/>
      <c r="V28" s="21"/>
      <c r="W28" s="21"/>
      <c r="X28" s="18" t="str">
        <f>IFERROR((($EX28/1.1)+(T28+U28)-(S28-(S28*R$2)))/($EX28/1.1),"")</f>
        <v/>
      </c>
      <c r="Y28" s="18"/>
      <c r="Z28" s="74" t="str">
        <f>IFERROR((($EX28/1.1)+(U28+V28)-(T28-(T28*S$2)))/($EX28/1.1),"")</f>
        <v/>
      </c>
      <c r="AA28" s="19"/>
      <c r="AB28" s="84"/>
      <c r="AC28" s="77"/>
      <c r="AD28" s="22"/>
      <c r="AE28" s="20"/>
      <c r="AF28" s="20"/>
      <c r="AG28" s="20"/>
      <c r="AH28" s="21"/>
      <c r="AI28" s="21"/>
      <c r="AJ28" s="18" t="str">
        <f>IFERROR((($EX28/1.1)+(AF28+AG28)-(AE28-(AE28*AD$2)))/($EX28/1.1),"")</f>
        <v/>
      </c>
      <c r="AK28" s="18"/>
      <c r="AL28" s="74" t="str">
        <f>IFERROR((($EX28/1.1)+(AG28+AH28)-(AF28-(AF28*AE$2)))/($EX28/1.1),"")</f>
        <v/>
      </c>
      <c r="AM28" s="19"/>
      <c r="AN28" s="84"/>
      <c r="AO28" s="77"/>
      <c r="AP28" s="22"/>
      <c r="AQ28" s="20"/>
      <c r="AR28" s="20"/>
      <c r="AS28" s="20"/>
      <c r="AT28" s="21"/>
      <c r="AU28" s="21"/>
      <c r="AV28" s="18" t="str">
        <f>IFERROR((($EX28/1.1)+(AR28+AS28)-(AQ28-(AQ28*AP$2)))/($EX28/1.1),"")</f>
        <v/>
      </c>
      <c r="AW28" s="18"/>
      <c r="AX28" s="74" t="str">
        <f>IFERROR((($EX28/1.1)+(AS28+AT28)-(AR28-(AR28*AQ$2)))/($EX28/1.1),"")</f>
        <v/>
      </c>
      <c r="AY28" s="19"/>
      <c r="AZ28" s="84"/>
      <c r="BA28" s="77"/>
      <c r="BB28" s="22"/>
      <c r="BC28" s="20"/>
      <c r="BD28" s="20"/>
      <c r="BE28" s="20"/>
      <c r="BF28" s="21"/>
      <c r="BG28" s="21"/>
      <c r="BH28" s="18" t="str">
        <f>IFERROR((($EX28/1.1)+(BD28+BE28)-(BC28-(BC28*BB$2)))/($EX28/1.1),"")</f>
        <v/>
      </c>
      <c r="BI28" s="18"/>
      <c r="BJ28" s="74" t="str">
        <f>IFERROR((($EX28/1.1)+(BE28+BF28)-(BD28-(BD28*BC$2)))/($EX28/1.1),"")</f>
        <v/>
      </c>
      <c r="BK28" s="19"/>
      <c r="BL28" s="84"/>
      <c r="BM28" s="77"/>
      <c r="BN28" s="22"/>
      <c r="BO28" s="20"/>
      <c r="BP28" s="20"/>
      <c r="BQ28" s="20"/>
      <c r="BR28" s="21"/>
      <c r="BS28" s="21"/>
      <c r="BT28" s="18" t="str">
        <f>IFERROR((($EX28/1.1)+(BP28+BQ28)-(BO28-(BO28*BN$2)))/($EX28/1.1),"")</f>
        <v/>
      </c>
      <c r="BU28" s="18"/>
      <c r="BV28" s="74" t="str">
        <f>IFERROR((($EX28/1.1)+(BQ28+BR28)-(BP28-(BP28*BO$2)))/($EX28/1.1),"")</f>
        <v/>
      </c>
      <c r="BW28" s="19"/>
      <c r="BX28" s="84"/>
      <c r="BY28" s="77"/>
      <c r="BZ28" s="22"/>
      <c r="CA28" s="20"/>
      <c r="CB28" s="20"/>
      <c r="CC28" s="20"/>
      <c r="CD28" s="21"/>
      <c r="CE28" s="21"/>
      <c r="CF28" s="18" t="str">
        <f>IFERROR((($EX28/1.1)+(CB28+CC28)-(CA28-(CA28*BZ$2)))/($EX28/1.1),"")</f>
        <v/>
      </c>
      <c r="CG28" s="18"/>
      <c r="CH28" s="74" t="str">
        <f>IFERROR((($EX28/1.1)+(CC28+CD28)-(CB28-(CB28*CA$2)))/($EX28/1.1),"")</f>
        <v/>
      </c>
      <c r="CI28" s="19"/>
      <c r="CJ28" s="84"/>
      <c r="CK28" s="77"/>
    </row>
    <row r="29" spans="1:94" x14ac:dyDescent="0.2">
      <c r="A29" s="6"/>
      <c r="B29" s="6"/>
      <c r="C29" s="6"/>
      <c r="D29" s="6"/>
      <c r="E29" s="15"/>
      <c r="F29" s="104" t="b">
        <v>1</v>
      </c>
      <c r="G29" s="3"/>
      <c r="H29" s="3"/>
      <c r="I29" s="3"/>
      <c r="J29" s="3"/>
      <c r="K29" s="3"/>
      <c r="L29" s="3"/>
      <c r="M29" s="3"/>
      <c r="N29" s="159" t="s">
        <v>32</v>
      </c>
      <c r="O29" s="76" t="s">
        <v>33</v>
      </c>
      <c r="P29" s="85" t="s">
        <v>34</v>
      </c>
      <c r="Q29" s="77" t="s">
        <v>35</v>
      </c>
      <c r="R29" s="104" t="b">
        <v>1</v>
      </c>
      <c r="S29" s="3"/>
      <c r="T29" s="3"/>
      <c r="U29" s="3"/>
      <c r="V29" s="3"/>
      <c r="W29" s="3"/>
      <c r="X29" s="3"/>
      <c r="Y29" s="3"/>
      <c r="Z29" s="129" t="s">
        <v>32</v>
      </c>
      <c r="AA29" s="76" t="s">
        <v>33</v>
      </c>
      <c r="AB29" s="85" t="s">
        <v>34</v>
      </c>
      <c r="AC29" s="77" t="s">
        <v>35</v>
      </c>
      <c r="AD29" s="104" t="b">
        <v>1</v>
      </c>
      <c r="AE29" s="3"/>
      <c r="AF29" s="3"/>
      <c r="AG29" s="3"/>
      <c r="AH29" s="3"/>
      <c r="AI29" s="3"/>
      <c r="AJ29" s="3"/>
      <c r="AK29" s="3"/>
      <c r="AL29" s="129" t="s">
        <v>32</v>
      </c>
      <c r="AM29" s="76" t="s">
        <v>33</v>
      </c>
      <c r="AN29" s="85" t="s">
        <v>34</v>
      </c>
      <c r="AO29" s="77" t="s">
        <v>35</v>
      </c>
      <c r="AP29" s="104" t="b">
        <v>1</v>
      </c>
      <c r="AQ29" s="3"/>
      <c r="AR29" s="3"/>
      <c r="AS29" s="3"/>
      <c r="AT29" s="3"/>
      <c r="AU29" s="3"/>
      <c r="AV29" s="3"/>
      <c r="AW29" s="3"/>
      <c r="AX29" s="129" t="s">
        <v>32</v>
      </c>
      <c r="AY29" s="76" t="s">
        <v>33</v>
      </c>
      <c r="AZ29" s="85" t="s">
        <v>34</v>
      </c>
      <c r="BA29" s="77" t="s">
        <v>35</v>
      </c>
      <c r="BB29" s="104" t="b">
        <v>0</v>
      </c>
      <c r="BC29" s="3"/>
      <c r="BD29" s="3"/>
      <c r="BE29" s="3"/>
      <c r="BF29" s="3"/>
      <c r="BG29" s="3"/>
      <c r="BH29" s="3"/>
      <c r="BI29" s="3"/>
      <c r="BJ29" s="129" t="s">
        <v>32</v>
      </c>
      <c r="BK29" s="76" t="s">
        <v>33</v>
      </c>
      <c r="BL29" s="85" t="s">
        <v>34</v>
      </c>
      <c r="BM29" s="77" t="s">
        <v>35</v>
      </c>
      <c r="BN29" s="104" t="b">
        <v>0</v>
      </c>
      <c r="BO29" s="3"/>
      <c r="BP29" s="3"/>
      <c r="BQ29" s="3"/>
      <c r="BR29" s="3"/>
      <c r="BS29" s="3"/>
      <c r="BT29" s="3"/>
      <c r="BU29" s="3"/>
      <c r="BV29" s="129" t="s">
        <v>32</v>
      </c>
      <c r="BW29" s="76" t="s">
        <v>33</v>
      </c>
      <c r="BX29" s="85" t="s">
        <v>34</v>
      </c>
      <c r="BY29" s="77"/>
      <c r="BZ29" s="104" t="b">
        <v>0</v>
      </c>
      <c r="CA29" s="3"/>
      <c r="CB29" s="3"/>
      <c r="CC29" s="3"/>
      <c r="CD29" s="3"/>
      <c r="CE29" s="3"/>
      <c r="CF29" s="3"/>
      <c r="CG29" s="3"/>
      <c r="CH29" s="129" t="s">
        <v>32</v>
      </c>
      <c r="CI29" s="76" t="s">
        <v>33</v>
      </c>
      <c r="CJ29" s="85" t="s">
        <v>34</v>
      </c>
      <c r="CK29" s="77"/>
    </row>
    <row r="30" spans="1:94" x14ac:dyDescent="0.2">
      <c r="A30" s="140" t="s">
        <v>36</v>
      </c>
      <c r="B30" s="141"/>
      <c r="C30" s="142"/>
      <c r="D30" s="24">
        <f>SUM(P30,AB30,AN30,AZ30,BL30,BX30,CJ30)</f>
        <v>91.789999999999992</v>
      </c>
      <c r="E30" s="15"/>
      <c r="F30" s="23" t="str">
        <f>IF(F29,"ACTIVE","INACTIVE")</f>
        <v>ACTIVE</v>
      </c>
      <c r="G30" s="3"/>
      <c r="H30" s="3"/>
      <c r="I30" s="3"/>
      <c r="J30" s="3"/>
      <c r="K30" s="3"/>
      <c r="L30" s="3"/>
      <c r="M30" s="3"/>
      <c r="N30" s="159"/>
      <c r="O30" s="75">
        <f>SUM(O5:O27)</f>
        <v>21.906000000000002</v>
      </c>
      <c r="P30" s="86">
        <f>SUM(P5:P27)</f>
        <v>21.906000000000002</v>
      </c>
      <c r="Q30" s="81"/>
      <c r="R30" s="23" t="str">
        <f>IF(R29,"ACTIVE","INACTIVE")</f>
        <v>ACTIVE</v>
      </c>
      <c r="S30" s="3"/>
      <c r="T30" s="3"/>
      <c r="U30" s="3"/>
      <c r="V30" s="3"/>
      <c r="W30" s="3"/>
      <c r="X30" s="3"/>
      <c r="Y30" s="3"/>
      <c r="Z30" s="130"/>
      <c r="AA30" s="75">
        <f>SUM(AA5:AA27)</f>
        <v>0</v>
      </c>
      <c r="AB30" s="86">
        <f>SUM(AB5:AB27)</f>
        <v>0</v>
      </c>
      <c r="AC30" s="81"/>
      <c r="AD30" s="23" t="str">
        <f>IF(AD29,"ACTIVE","INACTIVE")</f>
        <v>ACTIVE</v>
      </c>
      <c r="AE30" s="3"/>
      <c r="AF30" s="3"/>
      <c r="AG30" s="3"/>
      <c r="AH30" s="3"/>
      <c r="AI30" s="3"/>
      <c r="AJ30" s="3"/>
      <c r="AK30" s="3"/>
      <c r="AL30" s="130"/>
      <c r="AM30" s="75">
        <f>SUM(AM5:AM27)</f>
        <v>21.906000000000002</v>
      </c>
      <c r="AN30" s="86">
        <f>SUM(AN5:AN27)</f>
        <v>21.906000000000002</v>
      </c>
      <c r="AO30" s="81"/>
      <c r="AP30" s="23" t="str">
        <f>IF(AP29,"ACTIVE","INACTIVE")</f>
        <v>ACTIVE</v>
      </c>
      <c r="AQ30" s="3"/>
      <c r="AR30" s="3"/>
      <c r="AS30" s="3"/>
      <c r="AT30" s="3"/>
      <c r="AU30" s="3"/>
      <c r="AV30" s="3"/>
      <c r="AW30" s="3"/>
      <c r="AX30" s="130"/>
      <c r="AY30" s="75">
        <f>SUM(AY5:AY27)</f>
        <v>47.977999999999994</v>
      </c>
      <c r="AZ30" s="86">
        <f>SUM(AZ5:AZ27)</f>
        <v>47.977999999999994</v>
      </c>
      <c r="BA30" s="81"/>
      <c r="BB30" s="23" t="str">
        <f>IF(BB29,"ACTIVE","INACTIVE")</f>
        <v>INACTIVE</v>
      </c>
      <c r="BC30" s="3"/>
      <c r="BD30" s="3"/>
      <c r="BE30" s="3"/>
      <c r="BF30" s="3"/>
      <c r="BG30" s="3"/>
      <c r="BH30" s="3"/>
      <c r="BI30" s="3"/>
      <c r="BJ30" s="130"/>
      <c r="BK30" s="75">
        <f>SUM(BK5:BK27)</f>
        <v>0</v>
      </c>
      <c r="BL30" s="86">
        <f>SUM(BL5:BL27)</f>
        <v>0</v>
      </c>
      <c r="BM30" s="81"/>
      <c r="BN30" s="23" t="str">
        <f>IF(BN29,"ACTIVE","INACTIVE")</f>
        <v>INACTIVE</v>
      </c>
      <c r="BO30" s="3"/>
      <c r="BP30" s="3"/>
      <c r="BQ30" s="3"/>
      <c r="BR30" s="3"/>
      <c r="BS30" s="3"/>
      <c r="BT30" s="3"/>
      <c r="BU30" s="3"/>
      <c r="BV30" s="130"/>
      <c r="BW30" s="75">
        <f>SUM(BW5:BW27)</f>
        <v>0</v>
      </c>
      <c r="BX30" s="86">
        <f>SUM(BX5:BX27)</f>
        <v>0</v>
      </c>
      <c r="BY30" s="81"/>
      <c r="BZ30" s="23" t="str">
        <f>IF(BZ29,"ACTIVE","INACTIVE")</f>
        <v>INACTIVE</v>
      </c>
      <c r="CA30" s="3"/>
      <c r="CB30" s="3"/>
      <c r="CC30" s="3"/>
      <c r="CD30" s="3"/>
      <c r="CE30" s="3"/>
      <c r="CF30" s="3"/>
      <c r="CG30" s="3"/>
      <c r="CH30" s="130"/>
      <c r="CI30" s="75">
        <f>SUM(CI5:CI27)</f>
        <v>0</v>
      </c>
      <c r="CJ30" s="86">
        <f>SUM(CJ5:CJ27)</f>
        <v>0</v>
      </c>
      <c r="CK30" s="81"/>
    </row>
    <row r="31" spans="1:94" x14ac:dyDescent="0.2">
      <c r="A31" s="140" t="s">
        <v>37</v>
      </c>
      <c r="B31" s="141"/>
      <c r="C31" s="142"/>
      <c r="D31" s="24">
        <f>SUM(O30,AA30,AM30,AY30,BK30,BW30,CI30)</f>
        <v>91.789999999999992</v>
      </c>
      <c r="E31" s="15"/>
      <c r="F31" s="23"/>
      <c r="G31" s="3"/>
      <c r="H31" s="3"/>
      <c r="I31" s="3"/>
      <c r="J31" s="25"/>
      <c r="K31" s="25"/>
      <c r="L31" s="25"/>
      <c r="M31" s="25"/>
      <c r="Q31" s="82"/>
      <c r="R31" s="23"/>
      <c r="S31" s="3"/>
      <c r="T31" s="3"/>
      <c r="U31" s="3"/>
      <c r="V31" s="25"/>
      <c r="W31" s="25"/>
      <c r="X31" s="25"/>
      <c r="Y31" s="25"/>
      <c r="AC31" s="82"/>
      <c r="AD31" s="23"/>
      <c r="AE31" s="3"/>
      <c r="AF31" s="3"/>
      <c r="AG31" s="3"/>
      <c r="AH31" s="25"/>
      <c r="AI31" s="25"/>
      <c r="AJ31" s="25"/>
      <c r="AK31" s="25"/>
      <c r="AO31" s="82"/>
      <c r="AP31" s="23"/>
      <c r="AQ31" s="3"/>
      <c r="AR31" s="3"/>
      <c r="AS31" s="3"/>
      <c r="AT31" s="25"/>
      <c r="AU31" s="25"/>
      <c r="AV31" s="25"/>
      <c r="AW31" s="25"/>
      <c r="BA31" s="82"/>
      <c r="BB31" s="23"/>
      <c r="BC31" s="3"/>
      <c r="BD31" s="3"/>
      <c r="BE31" s="3"/>
      <c r="BF31" s="25"/>
      <c r="BG31" s="25"/>
      <c r="BH31" s="25"/>
      <c r="BI31" s="25"/>
      <c r="BM31" s="82"/>
      <c r="BN31" s="23"/>
      <c r="BO31" s="3"/>
      <c r="BP31" s="3"/>
      <c r="BQ31" s="3"/>
      <c r="BR31" s="25"/>
      <c r="BS31" s="25"/>
      <c r="BT31" s="25"/>
      <c r="BU31" s="25"/>
      <c r="BY31" s="82"/>
      <c r="BZ31" s="23"/>
      <c r="CA31" s="3"/>
      <c r="CB31" s="3"/>
      <c r="CC31" s="3"/>
      <c r="CD31" s="25"/>
      <c r="CE31" s="25"/>
      <c r="CF31" s="25"/>
      <c r="CG31" s="25"/>
      <c r="CK31" s="82"/>
    </row>
    <row r="32" spans="1:94" x14ac:dyDescent="0.2">
      <c r="A32" s="140" t="s">
        <v>38</v>
      </c>
      <c r="B32" s="141"/>
      <c r="C32" s="142"/>
      <c r="D32" s="24">
        <f>D31*D33</f>
        <v>55.073999999999991</v>
      </c>
      <c r="E32" s="15"/>
      <c r="F32" s="23"/>
      <c r="G32" s="3"/>
      <c r="H32" s="3"/>
      <c r="I32" s="3"/>
      <c r="J32" s="3"/>
      <c r="K32" s="3"/>
      <c r="L32" s="3"/>
      <c r="M32" s="3"/>
      <c r="N32" s="3"/>
      <c r="O32" s="6"/>
      <c r="P32" s="3"/>
      <c r="Q32" s="77"/>
      <c r="R32" s="23"/>
      <c r="S32" s="3"/>
      <c r="T32" s="3"/>
      <c r="U32" s="3"/>
      <c r="V32" s="3"/>
      <c r="W32" s="3"/>
      <c r="X32" s="3"/>
      <c r="Y32" s="3"/>
      <c r="Z32" s="3"/>
      <c r="AA32" s="6"/>
      <c r="AB32" s="3"/>
      <c r="AC32" s="77"/>
      <c r="AD32" s="23"/>
      <c r="AE32" s="3"/>
      <c r="AF32" s="3"/>
      <c r="AG32" s="3"/>
      <c r="AH32" s="3"/>
      <c r="AI32" s="3"/>
      <c r="AJ32" s="3"/>
      <c r="AK32" s="3"/>
      <c r="AL32" s="3"/>
      <c r="AM32" s="6"/>
      <c r="AN32" s="3"/>
      <c r="AO32" s="77"/>
      <c r="AP32" s="23"/>
      <c r="AQ32" s="3"/>
      <c r="AR32" s="3"/>
      <c r="AS32" s="3"/>
      <c r="AT32" s="3"/>
      <c r="AU32" s="3"/>
      <c r="AV32" s="3"/>
      <c r="AW32" s="3"/>
      <c r="AX32" s="3"/>
      <c r="AY32" s="6"/>
      <c r="AZ32" s="3"/>
      <c r="BA32" s="77"/>
      <c r="BB32" s="23"/>
      <c r="BC32" s="3"/>
      <c r="BD32" s="3"/>
      <c r="BE32" s="3"/>
      <c r="BF32" s="3"/>
      <c r="BG32" s="3"/>
      <c r="BH32" s="3"/>
      <c r="BI32" s="3"/>
      <c r="BJ32" s="3"/>
      <c r="BK32" s="6"/>
      <c r="BL32" s="3"/>
      <c r="BM32" s="77"/>
      <c r="BN32" s="23"/>
      <c r="BO32" s="3"/>
      <c r="BP32" s="3"/>
      <c r="BQ32" s="3"/>
      <c r="BR32" s="3"/>
      <c r="BS32" s="3"/>
      <c r="BT32" s="3"/>
      <c r="BU32" s="3"/>
      <c r="BV32" s="3"/>
      <c r="BW32" s="6"/>
      <c r="BX32" s="3"/>
      <c r="BY32" s="77"/>
      <c r="BZ32" s="23"/>
      <c r="CA32" s="3"/>
      <c r="CB32" s="3"/>
      <c r="CC32" s="3"/>
      <c r="CD32" s="3"/>
      <c r="CE32" s="3"/>
      <c r="CF32" s="3"/>
      <c r="CG32" s="3"/>
      <c r="CH32" s="3"/>
      <c r="CI32" s="6"/>
      <c r="CJ32" s="3"/>
      <c r="CK32" s="77"/>
    </row>
    <row r="33" spans="1:89" x14ac:dyDescent="0.2">
      <c r="A33" s="26" t="s">
        <v>39</v>
      </c>
      <c r="B33" s="27" t="s">
        <v>40</v>
      </c>
      <c r="C33" s="28" t="s">
        <v>41</v>
      </c>
      <c r="D33" s="29">
        <v>0.6</v>
      </c>
      <c r="E33" s="15"/>
      <c r="F33" s="23"/>
      <c r="G33" s="3"/>
      <c r="H33" s="3"/>
      <c r="I33" s="6"/>
      <c r="J33" s="6"/>
      <c r="K33" s="6"/>
      <c r="L33" s="6"/>
      <c r="M33" s="6"/>
      <c r="N33" s="6"/>
      <c r="O33" s="3"/>
      <c r="P33" s="3"/>
      <c r="Q33" s="77"/>
      <c r="R33" s="23"/>
      <c r="S33" s="3"/>
      <c r="T33" s="3"/>
      <c r="U33" s="6"/>
      <c r="V33" s="6"/>
      <c r="W33" s="6"/>
      <c r="X33" s="6"/>
      <c r="Y33" s="6"/>
      <c r="Z33" s="6"/>
      <c r="AA33" s="3"/>
      <c r="AB33" s="3"/>
      <c r="AC33" s="77"/>
      <c r="AD33" s="23"/>
      <c r="AE33" s="3"/>
      <c r="AF33" s="3"/>
      <c r="AG33" s="6"/>
      <c r="AH33" s="6"/>
      <c r="AI33" s="6"/>
      <c r="AJ33" s="6"/>
      <c r="AK33" s="6"/>
      <c r="AL33" s="6"/>
      <c r="AM33" s="3"/>
      <c r="AN33" s="3"/>
      <c r="AO33" s="77"/>
      <c r="AP33" s="23"/>
      <c r="AQ33" s="3"/>
      <c r="AR33" s="3"/>
      <c r="AS33" s="6"/>
      <c r="AT33" s="6"/>
      <c r="AU33" s="6"/>
      <c r="AV33" s="6"/>
      <c r="AW33" s="6"/>
      <c r="AX33" s="6"/>
      <c r="AY33" s="3"/>
      <c r="AZ33" s="3"/>
      <c r="BA33" s="77"/>
      <c r="BB33" s="23"/>
      <c r="BC33" s="3"/>
      <c r="BD33" s="3"/>
      <c r="BE33" s="6"/>
      <c r="BF33" s="6"/>
      <c r="BG33" s="6"/>
      <c r="BH33" s="6"/>
      <c r="BI33" s="6"/>
      <c r="BJ33" s="6"/>
      <c r="BK33" s="3"/>
      <c r="BL33" s="3"/>
      <c r="BM33" s="77"/>
      <c r="BN33" s="23"/>
      <c r="BO33" s="3"/>
      <c r="BP33" s="3"/>
      <c r="BQ33" s="6"/>
      <c r="BR33" s="6"/>
      <c r="BS33" s="6"/>
      <c r="BT33" s="6"/>
      <c r="BU33" s="6"/>
      <c r="BV33" s="6"/>
      <c r="BW33" s="3"/>
      <c r="BX33" s="3"/>
      <c r="BY33" s="77"/>
      <c r="BZ33" s="23"/>
      <c r="CA33" s="3"/>
      <c r="CB33" s="3"/>
      <c r="CC33" s="6"/>
      <c r="CD33" s="6"/>
      <c r="CE33" s="6"/>
      <c r="CF33" s="6"/>
      <c r="CG33" s="6"/>
      <c r="CH33" s="6"/>
      <c r="CI33" s="3"/>
      <c r="CJ33" s="3"/>
      <c r="CK33" s="77"/>
    </row>
    <row r="34" spans="1:89" x14ac:dyDescent="0.2">
      <c r="A34" s="26" t="s">
        <v>42</v>
      </c>
      <c r="B34" s="27"/>
      <c r="C34" s="92" t="e" vm="1">
        <v>#VALUE!</v>
      </c>
      <c r="D34" s="91" cm="1">
        <f t="array" ref="D34">_FV(C34,"Price")</f>
        <v>0.57299999999999995</v>
      </c>
      <c r="E34" s="15" t="e" cm="1" vm="2">
        <f t="array" ref="E34">_FV(C34,"Exchange")</f>
        <v>#VALUE!</v>
      </c>
      <c r="F34" s="93"/>
      <c r="G34" s="30"/>
      <c r="H34" s="3"/>
      <c r="I34" s="6"/>
      <c r="J34" s="6"/>
      <c r="K34" s="6"/>
      <c r="L34" s="6"/>
      <c r="M34" s="6"/>
      <c r="N34" s="6"/>
      <c r="O34" s="3"/>
      <c r="P34" s="3"/>
      <c r="Q34" s="77"/>
      <c r="R34" s="93"/>
      <c r="S34" s="30"/>
      <c r="T34" s="3"/>
      <c r="U34" s="6"/>
      <c r="V34" s="6"/>
      <c r="W34" s="6"/>
      <c r="X34" s="6"/>
      <c r="Y34" s="6"/>
      <c r="Z34" s="6"/>
      <c r="AA34" s="3"/>
      <c r="AB34" s="3"/>
      <c r="AC34" s="77"/>
      <c r="AD34" s="93"/>
      <c r="AE34" s="30"/>
      <c r="AF34" s="3"/>
      <c r="AG34" s="6"/>
      <c r="AH34" s="6"/>
      <c r="AI34" s="6"/>
      <c r="AJ34" s="6"/>
      <c r="AK34" s="6"/>
      <c r="AL34" s="6"/>
      <c r="AM34" s="3"/>
      <c r="AN34" s="3"/>
      <c r="AO34" s="77"/>
      <c r="AP34" s="93"/>
      <c r="AQ34" s="30"/>
      <c r="AR34" s="3"/>
      <c r="AS34" s="6"/>
      <c r="AT34" s="6"/>
      <c r="AU34" s="6"/>
      <c r="AV34" s="6"/>
      <c r="AW34" s="6"/>
      <c r="AX34" s="6"/>
      <c r="AY34" s="3"/>
      <c r="AZ34" s="3"/>
      <c r="BA34" s="77"/>
      <c r="BB34" s="93"/>
      <c r="BC34" s="30"/>
      <c r="BD34" s="3"/>
      <c r="BE34" s="6"/>
      <c r="BF34" s="6"/>
      <c r="BG34" s="6"/>
      <c r="BH34" s="6"/>
      <c r="BI34" s="6"/>
      <c r="BJ34" s="6"/>
      <c r="BK34" s="3"/>
      <c r="BL34" s="3"/>
      <c r="BM34" s="77"/>
      <c r="BN34" s="93"/>
      <c r="BO34" s="30"/>
      <c r="BP34" s="3"/>
      <c r="BQ34" s="6"/>
      <c r="BR34" s="6"/>
      <c r="BS34" s="6"/>
      <c r="BT34" s="6"/>
      <c r="BU34" s="6"/>
      <c r="BV34" s="6"/>
      <c r="BW34" s="3"/>
      <c r="BX34" s="3"/>
      <c r="BY34" s="77"/>
      <c r="BZ34" s="93"/>
      <c r="CA34" s="30"/>
      <c r="CB34" s="3"/>
      <c r="CC34" s="6"/>
      <c r="CD34" s="6"/>
      <c r="CE34" s="6"/>
      <c r="CF34" s="6"/>
      <c r="CG34" s="6"/>
      <c r="CH34" s="6"/>
      <c r="CI34" s="3"/>
      <c r="CJ34" s="3"/>
      <c r="CK34" s="77"/>
    </row>
    <row r="35" spans="1:89" x14ac:dyDescent="0.2">
      <c r="A35" s="3" t="s">
        <v>43</v>
      </c>
      <c r="B35" s="27"/>
      <c r="C35" s="31"/>
      <c r="D35" s="94"/>
      <c r="E35" s="95" t="e" cm="1" vm="3">
        <f t="array" ref="E35">_FV(C35,"Change (%)",TRUE)</f>
        <v>#VALUE!</v>
      </c>
      <c r="F35" s="26"/>
      <c r="G35" s="32"/>
      <c r="H35" s="3"/>
      <c r="I35" s="3"/>
      <c r="J35" s="6"/>
      <c r="K35" s="6"/>
      <c r="L35" s="6"/>
      <c r="M35" s="6"/>
      <c r="N35" s="6"/>
      <c r="O35" s="3"/>
      <c r="P35" s="3"/>
      <c r="Q35" s="77"/>
      <c r="R35" s="26"/>
      <c r="S35" s="32"/>
      <c r="T35" s="3"/>
      <c r="U35" s="3"/>
      <c r="V35" s="6"/>
      <c r="W35" s="6"/>
      <c r="X35" s="6"/>
      <c r="Y35" s="6"/>
      <c r="Z35" s="6"/>
      <c r="AA35" s="3"/>
      <c r="AB35" s="3"/>
      <c r="AC35" s="77"/>
      <c r="AD35" s="26"/>
      <c r="AE35" s="32"/>
      <c r="AF35" s="3"/>
      <c r="AG35" s="3"/>
      <c r="AH35" s="6"/>
      <c r="AI35" s="6"/>
      <c r="AJ35" s="6"/>
      <c r="AK35" s="6"/>
      <c r="AL35" s="6"/>
      <c r="AM35" s="3"/>
      <c r="AN35" s="3"/>
      <c r="AO35" s="77"/>
      <c r="AP35" s="26"/>
      <c r="AQ35" s="32"/>
      <c r="AR35" s="3"/>
      <c r="AS35" s="3"/>
      <c r="AT35" s="6"/>
      <c r="AU35" s="6"/>
      <c r="AV35" s="6"/>
      <c r="AW35" s="6"/>
      <c r="AX35" s="6"/>
      <c r="AY35" s="3"/>
      <c r="AZ35" s="3"/>
      <c r="BA35" s="77"/>
      <c r="BB35" s="26"/>
      <c r="BC35" s="32"/>
      <c r="BD35" s="3"/>
      <c r="BE35" s="3"/>
      <c r="BF35" s="6"/>
      <c r="BG35" s="6"/>
      <c r="BH35" s="6"/>
      <c r="BI35" s="6"/>
      <c r="BJ35" s="6"/>
      <c r="BK35" s="3"/>
      <c r="BL35" s="3"/>
      <c r="BM35" s="77"/>
      <c r="BN35" s="26"/>
      <c r="BO35" s="32"/>
      <c r="BP35" s="3"/>
      <c r="BQ35" s="3"/>
      <c r="BR35" s="6"/>
      <c r="BS35" s="6"/>
      <c r="BT35" s="6"/>
      <c r="BU35" s="6"/>
      <c r="BV35" s="6"/>
      <c r="BW35" s="3"/>
      <c r="BX35" s="3"/>
      <c r="BY35" s="77"/>
      <c r="BZ35" s="26"/>
      <c r="CA35" s="32"/>
      <c r="CB35" s="3"/>
      <c r="CC35" s="3"/>
      <c r="CD35" s="6"/>
      <c r="CE35" s="6"/>
      <c r="CF35" s="6"/>
      <c r="CG35" s="6"/>
      <c r="CH35" s="6"/>
      <c r="CI35" s="3"/>
      <c r="CJ35" s="3"/>
      <c r="CK35" s="77"/>
    </row>
    <row r="36" spans="1:89" x14ac:dyDescent="0.2">
      <c r="A36" s="143" t="s">
        <v>44</v>
      </c>
      <c r="B36" s="141"/>
      <c r="C36" s="141"/>
      <c r="D36" s="141"/>
      <c r="E36" s="15"/>
      <c r="F36" s="33" t="s">
        <v>45</v>
      </c>
      <c r="G36" s="34" t="s">
        <v>46</v>
      </c>
      <c r="H36" s="3"/>
      <c r="I36" s="3"/>
      <c r="J36" s="6"/>
      <c r="K36" s="6"/>
      <c r="L36" s="6"/>
      <c r="M36" s="6"/>
      <c r="N36" s="6"/>
      <c r="O36" s="3"/>
      <c r="P36" s="3"/>
      <c r="Q36" s="77"/>
      <c r="R36" s="33" t="s">
        <v>45</v>
      </c>
      <c r="S36" s="34" t="s">
        <v>46</v>
      </c>
      <c r="T36" s="3"/>
      <c r="U36" s="3"/>
      <c r="V36" s="6"/>
      <c r="W36" s="6"/>
      <c r="X36" s="6"/>
      <c r="Y36" s="6"/>
      <c r="Z36" s="6"/>
      <c r="AA36" s="3"/>
      <c r="AB36" s="3"/>
      <c r="AC36" s="77"/>
      <c r="AD36" s="33" t="s">
        <v>45</v>
      </c>
      <c r="AE36" s="34" t="s">
        <v>46</v>
      </c>
      <c r="AF36" s="3"/>
      <c r="AG36" s="3"/>
      <c r="AH36" s="6"/>
      <c r="AI36" s="6"/>
      <c r="AJ36" s="6"/>
      <c r="AK36" s="6"/>
      <c r="AL36" s="6"/>
      <c r="AM36" s="3"/>
      <c r="AN36" s="3"/>
      <c r="AO36" s="77"/>
      <c r="AP36" s="33" t="s">
        <v>45</v>
      </c>
      <c r="AQ36" s="34" t="s">
        <v>46</v>
      </c>
      <c r="AR36" s="3"/>
      <c r="AS36" s="3"/>
      <c r="AT36" s="6"/>
      <c r="AU36" s="6"/>
      <c r="AV36" s="6"/>
      <c r="AW36" s="6"/>
      <c r="AX36" s="6"/>
      <c r="AY36" s="3"/>
      <c r="AZ36" s="3"/>
      <c r="BA36" s="77"/>
      <c r="BB36" s="33" t="s">
        <v>45</v>
      </c>
      <c r="BC36" s="34" t="s">
        <v>46</v>
      </c>
      <c r="BD36" s="3"/>
      <c r="BE36" s="3"/>
      <c r="BF36" s="6"/>
      <c r="BG36" s="6"/>
      <c r="BH36" s="6"/>
      <c r="BI36" s="6"/>
      <c r="BJ36" s="6"/>
      <c r="BK36" s="3"/>
      <c r="BL36" s="3"/>
      <c r="BM36" s="77"/>
      <c r="BN36" s="33" t="s">
        <v>45</v>
      </c>
      <c r="BO36" s="34" t="s">
        <v>46</v>
      </c>
      <c r="BP36" s="3"/>
      <c r="BQ36" s="3"/>
      <c r="BR36" s="6"/>
      <c r="BS36" s="6"/>
      <c r="BT36" s="6"/>
      <c r="BU36" s="6"/>
      <c r="BV36" s="6"/>
      <c r="BW36" s="3"/>
      <c r="BX36" s="3"/>
      <c r="BY36" s="77"/>
      <c r="BZ36" s="33" t="s">
        <v>45</v>
      </c>
      <c r="CA36" s="34" t="s">
        <v>46</v>
      </c>
      <c r="CB36" s="3"/>
      <c r="CC36" s="3"/>
      <c r="CD36" s="6"/>
      <c r="CE36" s="6"/>
      <c r="CF36" s="6"/>
      <c r="CG36" s="6"/>
      <c r="CH36" s="6"/>
      <c r="CI36" s="3"/>
      <c r="CJ36" s="3"/>
      <c r="CK36" s="77"/>
    </row>
    <row r="37" spans="1:89" x14ac:dyDescent="0.2">
      <c r="A37" s="144" t="s">
        <v>47</v>
      </c>
      <c r="B37" s="145"/>
      <c r="C37" s="146"/>
      <c r="D37" s="35" t="s">
        <v>48</v>
      </c>
      <c r="E37" s="15"/>
      <c r="F37" s="36">
        <v>0.5</v>
      </c>
      <c r="G37" s="37" t="s">
        <v>48</v>
      </c>
      <c r="H37" s="38"/>
      <c r="I37" s="38"/>
      <c r="J37" s="6"/>
      <c r="K37" s="6"/>
      <c r="L37" s="6"/>
      <c r="M37" s="6"/>
      <c r="N37" s="6"/>
      <c r="O37" s="3"/>
      <c r="P37" s="3"/>
      <c r="Q37" s="77"/>
      <c r="R37" s="36">
        <v>0.5</v>
      </c>
      <c r="S37" s="37" t="s">
        <v>48</v>
      </c>
      <c r="T37" s="38"/>
      <c r="U37" s="38"/>
      <c r="V37" s="6"/>
      <c r="W37" s="6"/>
      <c r="X37" s="6"/>
      <c r="Y37" s="6"/>
      <c r="Z37" s="6"/>
      <c r="AA37" s="3"/>
      <c r="AB37" s="3"/>
      <c r="AC37" s="77"/>
      <c r="AD37" s="36">
        <v>0.5</v>
      </c>
      <c r="AE37" s="37" t="s">
        <v>48</v>
      </c>
      <c r="AF37" s="38"/>
      <c r="AG37" s="38"/>
      <c r="AH37" s="6"/>
      <c r="AI37" s="6"/>
      <c r="AJ37" s="6"/>
      <c r="AK37" s="6"/>
      <c r="AL37" s="6"/>
      <c r="AM37" s="3"/>
      <c r="AN37" s="3"/>
      <c r="AO37" s="77"/>
      <c r="AP37" s="36">
        <v>0.5</v>
      </c>
      <c r="AQ37" s="37" t="s">
        <v>48</v>
      </c>
      <c r="AR37" s="38"/>
      <c r="AS37" s="38"/>
      <c r="AT37" s="6"/>
      <c r="AU37" s="6"/>
      <c r="AV37" s="6"/>
      <c r="AW37" s="6"/>
      <c r="AX37" s="6"/>
      <c r="AY37" s="3"/>
      <c r="AZ37" s="3"/>
      <c r="BA37" s="77"/>
      <c r="BB37" s="36">
        <v>0.5</v>
      </c>
      <c r="BC37" s="37" t="s">
        <v>48</v>
      </c>
      <c r="BD37" s="38"/>
      <c r="BE37" s="38"/>
      <c r="BF37" s="6"/>
      <c r="BG37" s="6"/>
      <c r="BH37" s="6"/>
      <c r="BI37" s="6"/>
      <c r="BJ37" s="6"/>
      <c r="BK37" s="3"/>
      <c r="BL37" s="3"/>
      <c r="BM37" s="77"/>
      <c r="BN37" s="36">
        <v>0.5</v>
      </c>
      <c r="BO37" s="37" t="s">
        <v>48</v>
      </c>
      <c r="BP37" s="38"/>
      <c r="BQ37" s="38"/>
      <c r="BR37" s="6"/>
      <c r="BS37" s="6"/>
      <c r="BT37" s="6"/>
      <c r="BU37" s="6"/>
      <c r="BV37" s="6"/>
      <c r="BW37" s="3"/>
      <c r="BX37" s="3"/>
      <c r="BY37" s="77"/>
      <c r="BZ37" s="36">
        <v>0.5</v>
      </c>
      <c r="CA37" s="37" t="s">
        <v>48</v>
      </c>
      <c r="CB37" s="38"/>
      <c r="CC37" s="38"/>
      <c r="CD37" s="6"/>
      <c r="CE37" s="6"/>
      <c r="CF37" s="6"/>
      <c r="CG37" s="6"/>
      <c r="CH37" s="6"/>
      <c r="CI37" s="3"/>
      <c r="CJ37" s="3"/>
      <c r="CK37" s="77"/>
    </row>
    <row r="38" spans="1:89" x14ac:dyDescent="0.2">
      <c r="A38" s="147"/>
      <c r="B38" s="148"/>
      <c r="C38" s="149"/>
      <c r="D38" s="39" t="s">
        <v>49</v>
      </c>
      <c r="E38" s="15"/>
      <c r="F38" s="36">
        <v>0.25</v>
      </c>
      <c r="G38" s="37" t="s">
        <v>49</v>
      </c>
      <c r="H38" s="38"/>
      <c r="I38" s="38"/>
      <c r="J38" s="6"/>
      <c r="K38" s="6"/>
      <c r="L38" s="6"/>
      <c r="M38" s="6"/>
      <c r="N38" s="6"/>
      <c r="O38" s="6"/>
      <c r="P38" s="3"/>
      <c r="Q38" s="77"/>
      <c r="R38" s="36">
        <v>0.25</v>
      </c>
      <c r="S38" s="37" t="s">
        <v>49</v>
      </c>
      <c r="T38" s="38"/>
      <c r="U38" s="38"/>
      <c r="V38" s="6"/>
      <c r="W38" s="6"/>
      <c r="X38" s="6"/>
      <c r="Y38" s="6"/>
      <c r="Z38" s="6"/>
      <c r="AA38" s="6"/>
      <c r="AB38" s="3"/>
      <c r="AC38" s="77"/>
      <c r="AD38" s="36">
        <v>0.25</v>
      </c>
      <c r="AE38" s="37" t="s">
        <v>49</v>
      </c>
      <c r="AF38" s="38"/>
      <c r="AG38" s="38"/>
      <c r="AH38" s="6"/>
      <c r="AI38" s="6"/>
      <c r="AJ38" s="6"/>
      <c r="AK38" s="6"/>
      <c r="AL38" s="6"/>
      <c r="AM38" s="6"/>
      <c r="AN38" s="3"/>
      <c r="AO38" s="77"/>
      <c r="AP38" s="36">
        <v>0.25</v>
      </c>
      <c r="AQ38" s="37" t="s">
        <v>49</v>
      </c>
      <c r="AR38" s="38"/>
      <c r="AS38" s="38"/>
      <c r="AT38" s="6"/>
      <c r="AU38" s="6"/>
      <c r="AV38" s="6"/>
      <c r="AW38" s="6"/>
      <c r="AX38" s="6"/>
      <c r="AY38" s="6"/>
      <c r="AZ38" s="3"/>
      <c r="BA38" s="77"/>
      <c r="BB38" s="36">
        <v>0.25</v>
      </c>
      <c r="BC38" s="37" t="s">
        <v>49</v>
      </c>
      <c r="BD38" s="38"/>
      <c r="BE38" s="38"/>
      <c r="BF38" s="6"/>
      <c r="BG38" s="6"/>
      <c r="BH38" s="6"/>
      <c r="BI38" s="6"/>
      <c r="BJ38" s="6"/>
      <c r="BK38" s="6"/>
      <c r="BL38" s="3"/>
      <c r="BM38" s="77"/>
      <c r="BN38" s="36">
        <v>0.25</v>
      </c>
      <c r="BO38" s="37" t="s">
        <v>49</v>
      </c>
      <c r="BP38" s="38"/>
      <c r="BQ38" s="38"/>
      <c r="BR38" s="6"/>
      <c r="BS38" s="6"/>
      <c r="BT38" s="6"/>
      <c r="BU38" s="6"/>
      <c r="BV38" s="6"/>
      <c r="BW38" s="6"/>
      <c r="BX38" s="3"/>
      <c r="BY38" s="77"/>
      <c r="BZ38" s="36">
        <v>0.25</v>
      </c>
      <c r="CA38" s="37" t="s">
        <v>49</v>
      </c>
      <c r="CB38" s="38"/>
      <c r="CC38" s="38"/>
      <c r="CD38" s="6"/>
      <c r="CE38" s="6"/>
      <c r="CF38" s="6"/>
      <c r="CG38" s="6"/>
      <c r="CH38" s="6"/>
      <c r="CI38" s="6"/>
      <c r="CJ38" s="3"/>
      <c r="CK38" s="77"/>
    </row>
    <row r="39" spans="1:89" ht="17" thickBot="1" x14ac:dyDescent="0.25">
      <c r="A39" s="150"/>
      <c r="B39" s="151"/>
      <c r="C39" s="152"/>
      <c r="D39" s="40" t="s">
        <v>3</v>
      </c>
      <c r="E39" s="15"/>
      <c r="F39" s="36">
        <v>0.25</v>
      </c>
      <c r="G39" s="37" t="s">
        <v>33</v>
      </c>
      <c r="H39" s="38"/>
      <c r="I39" s="38"/>
      <c r="J39" s="6"/>
      <c r="K39" s="6"/>
      <c r="L39" s="6"/>
      <c r="M39" s="6"/>
      <c r="N39" s="6"/>
      <c r="O39" s="3"/>
      <c r="P39" s="3"/>
      <c r="Q39" s="77"/>
      <c r="R39" s="36">
        <v>0.25</v>
      </c>
      <c r="S39" s="37" t="s">
        <v>33</v>
      </c>
      <c r="T39" s="38"/>
      <c r="U39" s="38"/>
      <c r="V39" s="6"/>
      <c r="W39" s="6"/>
      <c r="X39" s="6"/>
      <c r="Y39" s="6"/>
      <c r="Z39" s="6"/>
      <c r="AA39" s="3"/>
      <c r="AB39" s="3"/>
      <c r="AC39" s="77"/>
      <c r="AD39" s="36">
        <v>0.25</v>
      </c>
      <c r="AE39" s="37" t="s">
        <v>33</v>
      </c>
      <c r="AF39" s="38"/>
      <c r="AG39" s="38"/>
      <c r="AH39" s="6"/>
      <c r="AI39" s="6"/>
      <c r="AJ39" s="6"/>
      <c r="AK39" s="6"/>
      <c r="AL39" s="6"/>
      <c r="AM39" s="3"/>
      <c r="AN39" s="3"/>
      <c r="AO39" s="77"/>
      <c r="AP39" s="36">
        <v>0.25</v>
      </c>
      <c r="AQ39" s="37" t="s">
        <v>33</v>
      </c>
      <c r="AR39" s="38"/>
      <c r="AS39" s="38"/>
      <c r="AT39" s="6"/>
      <c r="AU39" s="6"/>
      <c r="AV39" s="6"/>
      <c r="AW39" s="6"/>
      <c r="AX39" s="6"/>
      <c r="AY39" s="3"/>
      <c r="AZ39" s="3"/>
      <c r="BA39" s="77"/>
      <c r="BB39" s="36">
        <v>0.25</v>
      </c>
      <c r="BC39" s="37" t="s">
        <v>33</v>
      </c>
      <c r="BD39" s="38"/>
      <c r="BE39" s="38"/>
      <c r="BF39" s="6"/>
      <c r="BG39" s="6"/>
      <c r="BH39" s="6"/>
      <c r="BI39" s="6"/>
      <c r="BJ39" s="6"/>
      <c r="BK39" s="3"/>
      <c r="BL39" s="3"/>
      <c r="BM39" s="77"/>
      <c r="BN39" s="36">
        <v>0.25</v>
      </c>
      <c r="BO39" s="37" t="s">
        <v>33</v>
      </c>
      <c r="BP39" s="38"/>
      <c r="BQ39" s="38"/>
      <c r="BR39" s="6"/>
      <c r="BS39" s="6"/>
      <c r="BT39" s="6"/>
      <c r="BU39" s="6"/>
      <c r="BV39" s="6"/>
      <c r="BW39" s="3"/>
      <c r="BX39" s="3"/>
      <c r="BY39" s="77"/>
      <c r="BZ39" s="36">
        <v>0.25</v>
      </c>
      <c r="CA39" s="37" t="s">
        <v>33</v>
      </c>
      <c r="CB39" s="38"/>
      <c r="CC39" s="38"/>
      <c r="CD39" s="6"/>
      <c r="CE39" s="6"/>
      <c r="CF39" s="6"/>
      <c r="CG39" s="6"/>
      <c r="CH39" s="6"/>
      <c r="CI39" s="3"/>
      <c r="CJ39" s="3"/>
      <c r="CK39" s="77"/>
    </row>
    <row r="40" spans="1:89" ht="17" thickTop="1" x14ac:dyDescent="0.2">
      <c r="A40" s="41"/>
      <c r="B40" s="42"/>
      <c r="C40" s="43"/>
      <c r="D40" s="44"/>
      <c r="E40" s="15"/>
      <c r="F40" s="45">
        <f>SUM(F37:F39)</f>
        <v>1</v>
      </c>
      <c r="G40" s="46" t="s">
        <v>50</v>
      </c>
      <c r="H40" s="3"/>
      <c r="I40" s="3"/>
      <c r="J40" s="3"/>
      <c r="K40" s="3"/>
      <c r="L40" s="3"/>
      <c r="M40" s="3"/>
      <c r="N40" s="3"/>
      <c r="O40" s="3"/>
      <c r="P40" s="3"/>
      <c r="Q40" s="77"/>
      <c r="R40" s="45">
        <f>SUM(R37:R39)</f>
        <v>1</v>
      </c>
      <c r="S40" s="46" t="s">
        <v>50</v>
      </c>
      <c r="T40" s="3"/>
      <c r="U40" s="3"/>
      <c r="V40" s="3"/>
      <c r="W40" s="3"/>
      <c r="X40" s="3"/>
      <c r="Y40" s="3"/>
      <c r="Z40" s="3"/>
      <c r="AA40" s="3"/>
      <c r="AB40" s="3"/>
      <c r="AC40" s="77"/>
      <c r="AD40" s="45">
        <f>SUM(AD37:AD39)</f>
        <v>1</v>
      </c>
      <c r="AE40" s="46" t="s">
        <v>50</v>
      </c>
      <c r="AF40" s="3"/>
      <c r="AG40" s="3"/>
      <c r="AH40" s="3"/>
      <c r="AI40" s="3"/>
      <c r="AJ40" s="3"/>
      <c r="AK40" s="3"/>
      <c r="AL40" s="3"/>
      <c r="AM40" s="3"/>
      <c r="AN40" s="3"/>
      <c r="AO40" s="77"/>
      <c r="AP40" s="45">
        <f>SUM(AP37:AP39)</f>
        <v>1</v>
      </c>
      <c r="AQ40" s="46" t="s">
        <v>50</v>
      </c>
      <c r="AR40" s="3"/>
      <c r="AS40" s="3"/>
      <c r="AT40" s="3"/>
      <c r="AU40" s="3"/>
      <c r="AV40" s="3"/>
      <c r="AW40" s="3"/>
      <c r="AX40" s="3"/>
      <c r="AY40" s="3"/>
      <c r="AZ40" s="3"/>
      <c r="BA40" s="77"/>
      <c r="BB40" s="45">
        <f>SUM(BB37:BB39)</f>
        <v>1</v>
      </c>
      <c r="BC40" s="46" t="s">
        <v>50</v>
      </c>
      <c r="BD40" s="3"/>
      <c r="BE40" s="3"/>
      <c r="BF40" s="3"/>
      <c r="BG40" s="3"/>
      <c r="BH40" s="3"/>
      <c r="BI40" s="3"/>
      <c r="BJ40" s="3"/>
      <c r="BK40" s="3"/>
      <c r="BL40" s="3"/>
      <c r="BM40" s="77"/>
      <c r="BN40" s="45">
        <f>SUM(BN37:BN39)</f>
        <v>1</v>
      </c>
      <c r="BO40" s="46" t="s">
        <v>50</v>
      </c>
      <c r="BP40" s="3"/>
      <c r="BQ40" s="3"/>
      <c r="BR40" s="3"/>
      <c r="BS40" s="3"/>
      <c r="BT40" s="3"/>
      <c r="BU40" s="3"/>
      <c r="BV40" s="3"/>
      <c r="BW40" s="3"/>
      <c r="BX40" s="3"/>
      <c r="BY40" s="77"/>
      <c r="BZ40" s="45">
        <f>SUM(BZ37:BZ39)</f>
        <v>1</v>
      </c>
      <c r="CA40" s="46" t="s">
        <v>50</v>
      </c>
      <c r="CB40" s="3"/>
      <c r="CC40" s="3"/>
      <c r="CD40" s="3"/>
      <c r="CE40" s="3"/>
      <c r="CF40" s="3"/>
      <c r="CG40" s="3"/>
      <c r="CH40" s="3"/>
      <c r="CI40" s="3"/>
      <c r="CJ40" s="3"/>
      <c r="CK40" s="77"/>
    </row>
    <row r="41" spans="1:89" x14ac:dyDescent="0.2">
      <c r="A41" s="41"/>
      <c r="B41" s="42"/>
      <c r="C41" s="43"/>
      <c r="D41" s="47"/>
      <c r="E41" s="15"/>
      <c r="F41" s="23"/>
      <c r="G41" s="3"/>
      <c r="H41" s="48" t="s">
        <v>51</v>
      </c>
      <c r="I41" s="3"/>
      <c r="J41" s="3"/>
      <c r="K41" s="3"/>
      <c r="L41" s="3"/>
      <c r="M41" s="3"/>
      <c r="N41" s="6"/>
      <c r="O41" s="3"/>
      <c r="P41" s="3"/>
      <c r="Q41" s="77"/>
      <c r="R41" s="23"/>
      <c r="S41" s="3"/>
      <c r="T41" s="48" t="s">
        <v>51</v>
      </c>
      <c r="U41" s="3"/>
      <c r="V41" s="3"/>
      <c r="W41" s="3"/>
      <c r="X41" s="3"/>
      <c r="Y41" s="3"/>
      <c r="Z41" s="6"/>
      <c r="AA41" s="3"/>
      <c r="AB41" s="3"/>
      <c r="AC41" s="77"/>
      <c r="AD41" s="23"/>
      <c r="AE41" s="3"/>
      <c r="AF41" s="48" t="s">
        <v>51</v>
      </c>
      <c r="AG41" s="3"/>
      <c r="AH41" s="3"/>
      <c r="AI41" s="3"/>
      <c r="AJ41" s="3"/>
      <c r="AK41" s="3"/>
      <c r="AL41" s="6"/>
      <c r="AM41" s="3"/>
      <c r="AN41" s="3"/>
      <c r="AO41" s="77"/>
      <c r="AP41" s="23"/>
      <c r="AQ41" s="3"/>
      <c r="AR41" s="48" t="s">
        <v>51</v>
      </c>
      <c r="AS41" s="3"/>
      <c r="AT41" s="3"/>
      <c r="AU41" s="3"/>
      <c r="AV41" s="3"/>
      <c r="AW41" s="3"/>
      <c r="AX41" s="6"/>
      <c r="AY41" s="3"/>
      <c r="AZ41" s="3"/>
      <c r="BA41" s="77"/>
      <c r="BB41" s="23"/>
      <c r="BC41" s="3"/>
      <c r="BD41" s="48" t="s">
        <v>51</v>
      </c>
      <c r="BE41" s="3"/>
      <c r="BF41" s="3"/>
      <c r="BG41" s="3"/>
      <c r="BH41" s="3"/>
      <c r="BI41" s="3"/>
      <c r="BJ41" s="6"/>
      <c r="BK41" s="3"/>
      <c r="BL41" s="3"/>
      <c r="BM41" s="77"/>
      <c r="BN41" s="23"/>
      <c r="BO41" s="3"/>
      <c r="BP41" s="48" t="s">
        <v>51</v>
      </c>
      <c r="BQ41" s="3"/>
      <c r="BR41" s="3"/>
      <c r="BS41" s="3"/>
      <c r="BT41" s="3"/>
      <c r="BU41" s="3"/>
      <c r="BV41" s="6"/>
      <c r="BW41" s="3"/>
      <c r="BX41" s="3"/>
      <c r="BY41" s="77"/>
      <c r="BZ41" s="23"/>
      <c r="CA41" s="3"/>
      <c r="CB41" s="48" t="s">
        <v>51</v>
      </c>
      <c r="CC41" s="3"/>
      <c r="CD41" s="3"/>
      <c r="CE41" s="3"/>
      <c r="CF41" s="3"/>
      <c r="CG41" s="3"/>
      <c r="CH41" s="6"/>
      <c r="CI41" s="3"/>
      <c r="CJ41" s="3"/>
      <c r="CK41" s="77"/>
    </row>
    <row r="42" spans="1:89" ht="17" thickBot="1" x14ac:dyDescent="0.25">
      <c r="A42" s="41"/>
      <c r="B42" s="42"/>
      <c r="C42" s="43"/>
      <c r="D42" s="47"/>
      <c r="E42" s="15"/>
      <c r="F42" s="49" t="s">
        <v>52</v>
      </c>
      <c r="G42" s="50"/>
      <c r="H42" s="131"/>
      <c r="I42" s="145"/>
      <c r="J42" s="145"/>
      <c r="K42" s="145"/>
      <c r="L42" s="146"/>
      <c r="M42" s="66"/>
      <c r="N42" s="6"/>
      <c r="O42" s="3"/>
      <c r="P42" s="3"/>
      <c r="Q42" s="77"/>
      <c r="R42" s="49" t="s">
        <v>52</v>
      </c>
      <c r="S42" s="50"/>
      <c r="T42" s="131"/>
      <c r="U42" s="132"/>
      <c r="V42" s="132"/>
      <c r="W42" s="132"/>
      <c r="X42" s="133"/>
      <c r="Y42" s="66"/>
      <c r="Z42" s="6"/>
      <c r="AA42" s="3"/>
      <c r="AB42" s="3"/>
      <c r="AC42" s="77"/>
      <c r="AD42" s="49" t="s">
        <v>52</v>
      </c>
      <c r="AE42" s="50"/>
      <c r="AF42" s="131"/>
      <c r="AG42" s="132"/>
      <c r="AH42" s="132"/>
      <c r="AI42" s="132"/>
      <c r="AJ42" s="133"/>
      <c r="AK42" s="66"/>
      <c r="AL42" s="6"/>
      <c r="AM42" s="3"/>
      <c r="AN42" s="3"/>
      <c r="AO42" s="77"/>
      <c r="AP42" s="49" t="s">
        <v>52</v>
      </c>
      <c r="AQ42" s="50"/>
      <c r="AR42" s="131"/>
      <c r="AS42" s="132"/>
      <c r="AT42" s="132"/>
      <c r="AU42" s="132"/>
      <c r="AV42" s="133"/>
      <c r="AW42" s="66"/>
      <c r="AX42" s="6"/>
      <c r="AY42" s="3"/>
      <c r="AZ42" s="3"/>
      <c r="BA42" s="77"/>
      <c r="BB42" s="49" t="s">
        <v>52</v>
      </c>
      <c r="BC42" s="50"/>
      <c r="BD42" s="131"/>
      <c r="BE42" s="132"/>
      <c r="BF42" s="132"/>
      <c r="BG42" s="132"/>
      <c r="BH42" s="133"/>
      <c r="BI42" s="66"/>
      <c r="BJ42" s="6"/>
      <c r="BK42" s="3"/>
      <c r="BL42" s="3"/>
      <c r="BM42" s="77"/>
      <c r="BN42" s="49" t="s">
        <v>52</v>
      </c>
      <c r="BO42" s="50"/>
      <c r="BP42" s="131"/>
      <c r="BQ42" s="132"/>
      <c r="BR42" s="132"/>
      <c r="BS42" s="132"/>
      <c r="BT42" s="133"/>
      <c r="BU42" s="66"/>
      <c r="BV42" s="6"/>
      <c r="BW42" s="3"/>
      <c r="BX42" s="3"/>
      <c r="BY42" s="77"/>
      <c r="BZ42" s="49" t="s">
        <v>52</v>
      </c>
      <c r="CA42" s="50"/>
      <c r="CB42" s="131"/>
      <c r="CC42" s="132"/>
      <c r="CD42" s="132"/>
      <c r="CE42" s="132"/>
      <c r="CF42" s="133"/>
      <c r="CG42" s="66"/>
      <c r="CH42" s="6"/>
      <c r="CI42" s="3"/>
      <c r="CJ42" s="3"/>
      <c r="CK42" s="77"/>
    </row>
    <row r="43" spans="1:89" ht="17" thickTop="1" x14ac:dyDescent="0.2">
      <c r="A43" s="156" t="s">
        <v>53</v>
      </c>
      <c r="B43" s="145"/>
      <c r="C43" s="146"/>
      <c r="D43" s="51" t="s">
        <v>54</v>
      </c>
      <c r="E43" s="15"/>
      <c r="F43" s="52"/>
      <c r="G43" s="53" t="s">
        <v>54</v>
      </c>
      <c r="H43" s="147"/>
      <c r="I43" s="148"/>
      <c r="J43" s="148"/>
      <c r="K43" s="148"/>
      <c r="L43" s="149"/>
      <c r="M43" s="66"/>
      <c r="N43" s="6"/>
      <c r="O43" s="3"/>
      <c r="P43" s="3"/>
      <c r="Q43" s="77"/>
      <c r="R43" s="52"/>
      <c r="S43" s="53" t="s">
        <v>54</v>
      </c>
      <c r="T43" s="134"/>
      <c r="U43" s="135"/>
      <c r="V43" s="135"/>
      <c r="W43" s="135"/>
      <c r="X43" s="136"/>
      <c r="Y43" s="66"/>
      <c r="Z43" s="6"/>
      <c r="AA43" s="3"/>
      <c r="AB43" s="3"/>
      <c r="AC43" s="77"/>
      <c r="AD43" s="52"/>
      <c r="AE43" s="53" t="s">
        <v>54</v>
      </c>
      <c r="AF43" s="134"/>
      <c r="AG43" s="135"/>
      <c r="AH43" s="135"/>
      <c r="AI43" s="135"/>
      <c r="AJ43" s="136"/>
      <c r="AK43" s="66"/>
      <c r="AL43" s="6"/>
      <c r="AM43" s="3"/>
      <c r="AN43" s="3"/>
      <c r="AO43" s="77"/>
      <c r="AP43" s="52"/>
      <c r="AQ43" s="53" t="s">
        <v>54</v>
      </c>
      <c r="AR43" s="134"/>
      <c r="AS43" s="135"/>
      <c r="AT43" s="135"/>
      <c r="AU43" s="135"/>
      <c r="AV43" s="136"/>
      <c r="AW43" s="66"/>
      <c r="AX43" s="6"/>
      <c r="AY43" s="3"/>
      <c r="AZ43" s="3"/>
      <c r="BA43" s="77"/>
      <c r="BB43" s="52"/>
      <c r="BC43" s="53" t="s">
        <v>54</v>
      </c>
      <c r="BD43" s="134"/>
      <c r="BE43" s="135"/>
      <c r="BF43" s="135"/>
      <c r="BG43" s="135"/>
      <c r="BH43" s="136"/>
      <c r="BI43" s="66"/>
      <c r="BJ43" s="6"/>
      <c r="BK43" s="3"/>
      <c r="BL43" s="3"/>
      <c r="BM43" s="77"/>
      <c r="BN43" s="52"/>
      <c r="BO43" s="53" t="s">
        <v>54</v>
      </c>
      <c r="BP43" s="134"/>
      <c r="BQ43" s="135"/>
      <c r="BR43" s="135"/>
      <c r="BS43" s="135"/>
      <c r="BT43" s="136"/>
      <c r="BU43" s="66"/>
      <c r="BV43" s="6"/>
      <c r="BW43" s="3"/>
      <c r="BX43" s="3"/>
      <c r="BY43" s="77"/>
      <c r="BZ43" s="52"/>
      <c r="CA43" s="53" t="s">
        <v>54</v>
      </c>
      <c r="CB43" s="134"/>
      <c r="CC43" s="135"/>
      <c r="CD43" s="135"/>
      <c r="CE43" s="135"/>
      <c r="CF43" s="136"/>
      <c r="CG43" s="66"/>
      <c r="CH43" s="6"/>
      <c r="CI43" s="3"/>
      <c r="CJ43" s="3"/>
      <c r="CK43" s="77"/>
    </row>
    <row r="44" spans="1:89" x14ac:dyDescent="0.2">
      <c r="A44" s="157" t="s">
        <v>55</v>
      </c>
      <c r="B44" s="148"/>
      <c r="C44" s="148"/>
      <c r="D44" s="39" t="s">
        <v>56</v>
      </c>
      <c r="E44" s="15"/>
      <c r="F44" s="54"/>
      <c r="G44" s="53" t="s">
        <v>57</v>
      </c>
      <c r="H44" s="147"/>
      <c r="I44" s="148"/>
      <c r="J44" s="148"/>
      <c r="K44" s="148"/>
      <c r="L44" s="149"/>
      <c r="M44" s="66"/>
      <c r="N44" s="6"/>
      <c r="O44" s="3"/>
      <c r="P44" s="3"/>
      <c r="Q44" s="77"/>
      <c r="R44" s="54"/>
      <c r="S44" s="53" t="s">
        <v>57</v>
      </c>
      <c r="T44" s="134"/>
      <c r="U44" s="135"/>
      <c r="V44" s="135"/>
      <c r="W44" s="135"/>
      <c r="X44" s="136"/>
      <c r="Y44" s="66"/>
      <c r="Z44" s="6"/>
      <c r="AA44" s="3"/>
      <c r="AB44" s="3"/>
      <c r="AC44" s="77"/>
      <c r="AD44" s="54"/>
      <c r="AE44" s="53" t="s">
        <v>57</v>
      </c>
      <c r="AF44" s="134"/>
      <c r="AG44" s="135"/>
      <c r="AH44" s="135"/>
      <c r="AI44" s="135"/>
      <c r="AJ44" s="136"/>
      <c r="AK44" s="66"/>
      <c r="AL44" s="6"/>
      <c r="AM44" s="3"/>
      <c r="AN44" s="3"/>
      <c r="AO44" s="77"/>
      <c r="AP44" s="54"/>
      <c r="AQ44" s="53" t="s">
        <v>57</v>
      </c>
      <c r="AR44" s="134"/>
      <c r="AS44" s="135"/>
      <c r="AT44" s="135"/>
      <c r="AU44" s="135"/>
      <c r="AV44" s="136"/>
      <c r="AW44" s="66"/>
      <c r="AX44" s="6"/>
      <c r="AY44" s="3"/>
      <c r="AZ44" s="3"/>
      <c r="BA44" s="77"/>
      <c r="BB44" s="54"/>
      <c r="BC44" s="53" t="s">
        <v>57</v>
      </c>
      <c r="BD44" s="134"/>
      <c r="BE44" s="135"/>
      <c r="BF44" s="135"/>
      <c r="BG44" s="135"/>
      <c r="BH44" s="136"/>
      <c r="BI44" s="66"/>
      <c r="BJ44" s="6"/>
      <c r="BK44" s="3"/>
      <c r="BL44" s="3"/>
      <c r="BM44" s="77"/>
      <c r="BN44" s="54"/>
      <c r="BO44" s="53" t="s">
        <v>57</v>
      </c>
      <c r="BP44" s="134"/>
      <c r="BQ44" s="135"/>
      <c r="BR44" s="135"/>
      <c r="BS44" s="135"/>
      <c r="BT44" s="136"/>
      <c r="BU44" s="66"/>
      <c r="BV44" s="6"/>
      <c r="BW44" s="3"/>
      <c r="BX44" s="3"/>
      <c r="BY44" s="77"/>
      <c r="BZ44" s="54"/>
      <c r="CA44" s="53" t="s">
        <v>57</v>
      </c>
      <c r="CB44" s="134"/>
      <c r="CC44" s="135"/>
      <c r="CD44" s="135"/>
      <c r="CE44" s="135"/>
      <c r="CF44" s="136"/>
      <c r="CG44" s="66"/>
      <c r="CH44" s="6"/>
      <c r="CI44" s="3"/>
      <c r="CJ44" s="3"/>
      <c r="CK44" s="77"/>
    </row>
    <row r="45" spans="1:89" x14ac:dyDescent="0.2">
      <c r="A45" s="157" t="s">
        <v>58</v>
      </c>
      <c r="B45" s="148"/>
      <c r="C45" s="149"/>
      <c r="D45" s="39" t="s">
        <v>58</v>
      </c>
      <c r="E45" s="15"/>
      <c r="F45" s="55">
        <f>O30+P30</f>
        <v>43.812000000000005</v>
      </c>
      <c r="G45" s="53" t="s">
        <v>58</v>
      </c>
      <c r="H45" s="147"/>
      <c r="I45" s="148"/>
      <c r="J45" s="148"/>
      <c r="K45" s="148"/>
      <c r="L45" s="149"/>
      <c r="M45" s="66"/>
      <c r="N45" s="6"/>
      <c r="O45" s="3"/>
      <c r="P45" s="3"/>
      <c r="Q45" s="77"/>
      <c r="R45" s="55">
        <f>AA30+AB30</f>
        <v>0</v>
      </c>
      <c r="S45" s="53" t="s">
        <v>58</v>
      </c>
      <c r="T45" s="134"/>
      <c r="U45" s="135"/>
      <c r="V45" s="135"/>
      <c r="W45" s="135"/>
      <c r="X45" s="136"/>
      <c r="Y45" s="66"/>
      <c r="Z45" s="6"/>
      <c r="AA45" s="3"/>
      <c r="AB45" s="3"/>
      <c r="AC45" s="77"/>
      <c r="AD45" s="55">
        <f>AM30+AN30</f>
        <v>43.812000000000005</v>
      </c>
      <c r="AE45" s="53" t="s">
        <v>58</v>
      </c>
      <c r="AF45" s="134"/>
      <c r="AG45" s="135"/>
      <c r="AH45" s="135"/>
      <c r="AI45" s="135"/>
      <c r="AJ45" s="136"/>
      <c r="AK45" s="66"/>
      <c r="AL45" s="6"/>
      <c r="AM45" s="3"/>
      <c r="AN45" s="3"/>
      <c r="AO45" s="77"/>
      <c r="AP45" s="55">
        <f>AY30+AZ30</f>
        <v>95.955999999999989</v>
      </c>
      <c r="AQ45" s="53" t="s">
        <v>58</v>
      </c>
      <c r="AR45" s="134"/>
      <c r="AS45" s="135"/>
      <c r="AT45" s="135"/>
      <c r="AU45" s="135"/>
      <c r="AV45" s="136"/>
      <c r="AW45" s="66"/>
      <c r="AX45" s="6"/>
      <c r="AY45" s="3"/>
      <c r="AZ45" s="3"/>
      <c r="BA45" s="77"/>
      <c r="BB45" s="55">
        <f>BK30+BL30</f>
        <v>0</v>
      </c>
      <c r="BC45" s="53" t="s">
        <v>58</v>
      </c>
      <c r="BD45" s="134"/>
      <c r="BE45" s="135"/>
      <c r="BF45" s="135"/>
      <c r="BG45" s="135"/>
      <c r="BH45" s="136"/>
      <c r="BI45" s="66"/>
      <c r="BJ45" s="6"/>
      <c r="BK45" s="3"/>
      <c r="BL45" s="3"/>
      <c r="BM45" s="77"/>
      <c r="BN45" s="55">
        <f>BW30+BX30</f>
        <v>0</v>
      </c>
      <c r="BO45" s="53" t="s">
        <v>58</v>
      </c>
      <c r="BP45" s="134"/>
      <c r="BQ45" s="135"/>
      <c r="BR45" s="135"/>
      <c r="BS45" s="135"/>
      <c r="BT45" s="136"/>
      <c r="BU45" s="66"/>
      <c r="BV45" s="6"/>
      <c r="BW45" s="3"/>
      <c r="BX45" s="3"/>
      <c r="BY45" s="77"/>
      <c r="BZ45" s="55">
        <f>CI30+CJ30</f>
        <v>0</v>
      </c>
      <c r="CA45" s="53" t="s">
        <v>58</v>
      </c>
      <c r="CB45" s="134"/>
      <c r="CC45" s="135"/>
      <c r="CD45" s="135"/>
      <c r="CE45" s="135"/>
      <c r="CF45" s="136"/>
      <c r="CG45" s="66"/>
      <c r="CH45" s="6"/>
      <c r="CI45" s="3"/>
      <c r="CJ45" s="3"/>
      <c r="CK45" s="77"/>
    </row>
    <row r="46" spans="1:89" ht="17" thickBot="1" x14ac:dyDescent="0.25">
      <c r="A46" s="158" t="s">
        <v>59</v>
      </c>
      <c r="B46" s="151"/>
      <c r="C46" s="152"/>
      <c r="D46" s="56" t="s">
        <v>60</v>
      </c>
      <c r="E46" s="15"/>
      <c r="F46" s="57" t="s">
        <v>61</v>
      </c>
      <c r="G46" s="58" t="s">
        <v>60</v>
      </c>
      <c r="H46" s="153"/>
      <c r="I46" s="154"/>
      <c r="J46" s="154"/>
      <c r="K46" s="154"/>
      <c r="L46" s="155"/>
      <c r="M46" s="59"/>
      <c r="N46" s="60"/>
      <c r="O46" s="61"/>
      <c r="P46" s="61"/>
      <c r="Q46" s="77"/>
      <c r="R46" s="57" t="s">
        <v>61</v>
      </c>
      <c r="S46" s="58" t="s">
        <v>60</v>
      </c>
      <c r="T46" s="137"/>
      <c r="U46" s="138"/>
      <c r="V46" s="138"/>
      <c r="W46" s="138"/>
      <c r="X46" s="139"/>
      <c r="Y46" s="59"/>
      <c r="Z46" s="60"/>
      <c r="AA46" s="61"/>
      <c r="AB46" s="61"/>
      <c r="AC46" s="77"/>
      <c r="AD46" s="57" t="s">
        <v>61</v>
      </c>
      <c r="AE46" s="58" t="s">
        <v>60</v>
      </c>
      <c r="AF46" s="137"/>
      <c r="AG46" s="138"/>
      <c r="AH46" s="138"/>
      <c r="AI46" s="138"/>
      <c r="AJ46" s="139"/>
      <c r="AK46" s="59"/>
      <c r="AL46" s="60"/>
      <c r="AM46" s="61"/>
      <c r="AN46" s="61"/>
      <c r="AO46" s="77"/>
      <c r="AP46" s="57" t="s">
        <v>61</v>
      </c>
      <c r="AQ46" s="58" t="s">
        <v>60</v>
      </c>
      <c r="AR46" s="137"/>
      <c r="AS46" s="138"/>
      <c r="AT46" s="138"/>
      <c r="AU46" s="138"/>
      <c r="AV46" s="139"/>
      <c r="AW46" s="59"/>
      <c r="AX46" s="60"/>
      <c r="AY46" s="61"/>
      <c r="AZ46" s="61"/>
      <c r="BA46" s="77"/>
      <c r="BB46" s="57" t="s">
        <v>61</v>
      </c>
      <c r="BC46" s="58" t="s">
        <v>60</v>
      </c>
      <c r="BD46" s="137"/>
      <c r="BE46" s="138"/>
      <c r="BF46" s="138"/>
      <c r="BG46" s="138"/>
      <c r="BH46" s="139"/>
      <c r="BI46" s="59"/>
      <c r="BJ46" s="60"/>
      <c r="BK46" s="61"/>
      <c r="BL46" s="61"/>
      <c r="BM46" s="77"/>
      <c r="BN46" s="57" t="s">
        <v>61</v>
      </c>
      <c r="BO46" s="58" t="s">
        <v>60</v>
      </c>
      <c r="BP46" s="137"/>
      <c r="BQ46" s="138"/>
      <c r="BR46" s="138"/>
      <c r="BS46" s="138"/>
      <c r="BT46" s="139"/>
      <c r="BU46" s="59"/>
      <c r="BV46" s="60"/>
      <c r="BW46" s="61"/>
      <c r="BX46" s="61"/>
      <c r="BY46" s="77"/>
      <c r="BZ46" s="57" t="s">
        <v>61</v>
      </c>
      <c r="CA46" s="58" t="s">
        <v>60</v>
      </c>
      <c r="CB46" s="137"/>
      <c r="CC46" s="138"/>
      <c r="CD46" s="138"/>
      <c r="CE46" s="138"/>
      <c r="CF46" s="139"/>
      <c r="CG46" s="59"/>
      <c r="CH46" s="60"/>
      <c r="CI46" s="61"/>
      <c r="CJ46" s="61"/>
      <c r="CK46" s="77"/>
    </row>
    <row r="47" spans="1:89" ht="17" thickTop="1" x14ac:dyDescent="0.2"/>
  </sheetData>
  <mergeCells count="35">
    <mergeCell ref="A1:B1"/>
    <mergeCell ref="A2:B2"/>
    <mergeCell ref="C3:C4"/>
    <mergeCell ref="D3:D4"/>
    <mergeCell ref="AF42:AJ46"/>
    <mergeCell ref="T42:X46"/>
    <mergeCell ref="V3:Y3"/>
    <mergeCell ref="Z29:Z30"/>
    <mergeCell ref="J3:M3"/>
    <mergeCell ref="A28:C28"/>
    <mergeCell ref="A30:C30"/>
    <mergeCell ref="AT3:AW3"/>
    <mergeCell ref="AX29:AX30"/>
    <mergeCell ref="AR42:AV46"/>
    <mergeCell ref="A31:C31"/>
    <mergeCell ref="A32:C32"/>
    <mergeCell ref="A36:D36"/>
    <mergeCell ref="A37:C39"/>
    <mergeCell ref="AL29:AL30"/>
    <mergeCell ref="H42:L46"/>
    <mergeCell ref="A43:C43"/>
    <mergeCell ref="A44:C44"/>
    <mergeCell ref="A45:C45"/>
    <mergeCell ref="A46:C46"/>
    <mergeCell ref="N29:N30"/>
    <mergeCell ref="AH3:AK3"/>
    <mergeCell ref="CD3:CG3"/>
    <mergeCell ref="CH29:CH30"/>
    <mergeCell ref="CB42:CF46"/>
    <mergeCell ref="BF3:BI3"/>
    <mergeCell ref="BJ29:BJ30"/>
    <mergeCell ref="BD42:BH46"/>
    <mergeCell ref="BR3:BU3"/>
    <mergeCell ref="BV29:BV30"/>
    <mergeCell ref="BP42:BT46"/>
  </mergeCells>
  <conditionalFormatting sqref="B33">
    <cfRule type="containsText" dxfId="40" priority="51" operator="containsText" text="Sent to Vendor">
      <formula>NOT(ISERROR(SEARCH(("Sent to Vendor"),(B33))))</formula>
    </cfRule>
  </conditionalFormatting>
  <conditionalFormatting sqref="B34:B35">
    <cfRule type="expression" dxfId="39" priority="53">
      <formula>B33="Sent to Vendor"</formula>
    </cfRule>
  </conditionalFormatting>
  <conditionalFormatting sqref="B35">
    <cfRule type="expression" dxfId="38" priority="55">
      <formula>B33="Sent to Vendor"</formula>
    </cfRule>
  </conditionalFormatting>
  <conditionalFormatting sqref="D32">
    <cfRule type="expression" dxfId="37" priority="52">
      <formula>B33="Sent to Vendor"</formula>
    </cfRule>
  </conditionalFormatting>
  <conditionalFormatting sqref="F30">
    <cfRule type="cellIs" dxfId="36" priority="23" operator="equal">
      <formula>"ACTIVE"</formula>
    </cfRule>
    <cfRule type="cellIs" dxfId="35" priority="22" operator="equal">
      <formula>"INACTIVE"</formula>
    </cfRule>
  </conditionalFormatting>
  <conditionalFormatting sqref="F44">
    <cfRule type="expression" dxfId="34" priority="54">
      <formula>F46="approved"</formula>
    </cfRule>
  </conditionalFormatting>
  <conditionalFormatting sqref="F46">
    <cfRule type="containsText" dxfId="33" priority="46" operator="containsText" text="Pending">
      <formula>NOT(ISERROR(SEARCH(("Pending"),(F46))))</formula>
    </cfRule>
    <cfRule type="containsText" dxfId="32" priority="45" operator="containsText" text="Approved">
      <formula>NOT(ISERROR(SEARCH(("Approved"),(F46))))</formula>
    </cfRule>
  </conditionalFormatting>
  <conditionalFormatting sqref="R30">
    <cfRule type="cellIs" dxfId="31" priority="20" operator="equal">
      <formula>"INACTIVE"</formula>
    </cfRule>
    <cfRule type="cellIs" dxfId="30" priority="21" operator="equal">
      <formula>"ACTIVE"</formula>
    </cfRule>
  </conditionalFormatting>
  <conditionalFormatting sqref="R44">
    <cfRule type="expression" dxfId="29" priority="32">
      <formula>R46="approved"</formula>
    </cfRule>
  </conditionalFormatting>
  <conditionalFormatting sqref="R46">
    <cfRule type="containsText" dxfId="28" priority="31" operator="containsText" text="Pending">
      <formula>NOT(ISERROR(SEARCH(("Pending"),(R46))))</formula>
    </cfRule>
    <cfRule type="containsText" dxfId="27" priority="30" operator="containsText" text="Approved">
      <formula>NOT(ISERROR(SEARCH(("Approved"),(R46))))</formula>
    </cfRule>
  </conditionalFormatting>
  <conditionalFormatting sqref="AD30">
    <cfRule type="cellIs" dxfId="26" priority="18" operator="equal">
      <formula>"INACTIVE"</formula>
    </cfRule>
    <cfRule type="cellIs" dxfId="25" priority="19" operator="equal">
      <formula>"ACTIVE"</formula>
    </cfRule>
  </conditionalFormatting>
  <conditionalFormatting sqref="AD44">
    <cfRule type="expression" dxfId="24" priority="29">
      <formula>AD46="approved"</formula>
    </cfRule>
  </conditionalFormatting>
  <conditionalFormatting sqref="AD46">
    <cfRule type="containsText" dxfId="23" priority="28" operator="containsText" text="Pending">
      <formula>NOT(ISERROR(SEARCH(("Pending"),(AD46))))</formula>
    </cfRule>
    <cfRule type="containsText" dxfId="22" priority="27" operator="containsText" text="Approved">
      <formula>NOT(ISERROR(SEARCH(("Approved"),(AD46))))</formula>
    </cfRule>
  </conditionalFormatting>
  <conditionalFormatting sqref="AP30">
    <cfRule type="cellIs" dxfId="21" priority="16" operator="equal">
      <formula>"INACTIVE"</formula>
    </cfRule>
    <cfRule type="cellIs" dxfId="20" priority="17" operator="equal">
      <formula>"ACTIVE"</formula>
    </cfRule>
  </conditionalFormatting>
  <conditionalFormatting sqref="AP44">
    <cfRule type="expression" dxfId="19" priority="26">
      <formula>AP46="approved"</formula>
    </cfRule>
  </conditionalFormatting>
  <conditionalFormatting sqref="AP46">
    <cfRule type="containsText" dxfId="18" priority="25" operator="containsText" text="Pending">
      <formula>NOT(ISERROR(SEARCH(("Pending"),(AP46))))</formula>
    </cfRule>
    <cfRule type="containsText" dxfId="17" priority="24" operator="containsText" text="Approved">
      <formula>NOT(ISERROR(SEARCH(("Approved"),(AP46))))</formula>
    </cfRule>
  </conditionalFormatting>
  <conditionalFormatting sqref="BB30">
    <cfRule type="cellIs" dxfId="16" priority="11" operator="equal">
      <formula>"INACTIVE"</formula>
    </cfRule>
    <cfRule type="cellIs" dxfId="15" priority="12" operator="equal">
      <formula>"ACTIVE"</formula>
    </cfRule>
  </conditionalFormatting>
  <conditionalFormatting sqref="BB44">
    <cfRule type="expression" dxfId="14" priority="15">
      <formula>BB46="approved"</formula>
    </cfRule>
  </conditionalFormatting>
  <conditionalFormatting sqref="BB46">
    <cfRule type="containsText" dxfId="13" priority="14" operator="containsText" text="Pending">
      <formula>NOT(ISERROR(SEARCH(("Pending"),(BB46))))</formula>
    </cfRule>
    <cfRule type="containsText" dxfId="12" priority="13" operator="containsText" text="Approved">
      <formula>NOT(ISERROR(SEARCH(("Approved"),(BB46))))</formula>
    </cfRule>
  </conditionalFormatting>
  <conditionalFormatting sqref="BN30">
    <cfRule type="cellIs" dxfId="11" priority="7" operator="equal">
      <formula>"ACTIVE"</formula>
    </cfRule>
    <cfRule type="cellIs" dxfId="10" priority="6" operator="equal">
      <formula>"INACTIVE"</formula>
    </cfRule>
  </conditionalFormatting>
  <conditionalFormatting sqref="BN44">
    <cfRule type="expression" dxfId="9" priority="10">
      <formula>BN46="approved"</formula>
    </cfRule>
  </conditionalFormatting>
  <conditionalFormatting sqref="BN46">
    <cfRule type="containsText" dxfId="8" priority="8" operator="containsText" text="Approved">
      <formula>NOT(ISERROR(SEARCH(("Approved"),(BN46))))</formula>
    </cfRule>
    <cfRule type="containsText" dxfId="7" priority="9" operator="containsText" text="Pending">
      <formula>NOT(ISERROR(SEARCH(("Pending"),(BN46))))</formula>
    </cfRule>
  </conditionalFormatting>
  <conditionalFormatting sqref="BZ30">
    <cfRule type="cellIs" dxfId="6" priority="2" operator="equal">
      <formula>"ACTIVE"</formula>
    </cfRule>
    <cfRule type="cellIs" dxfId="5" priority="1" operator="equal">
      <formula>"INACTIVE"</formula>
    </cfRule>
  </conditionalFormatting>
  <conditionalFormatting sqref="BZ44">
    <cfRule type="expression" dxfId="4" priority="5">
      <formula>BZ46="approved"</formula>
    </cfRule>
  </conditionalFormatting>
  <conditionalFormatting sqref="BZ46">
    <cfRule type="containsText" dxfId="3" priority="4" operator="containsText" text="Pending">
      <formula>NOT(ISERROR(SEARCH(("Pending"),(BZ46))))</formula>
    </cfRule>
    <cfRule type="containsText" dxfId="2" priority="3" operator="containsText" text="Approved">
      <formula>NOT(ISERROR(SEARCH(("Approved"),(BZ46))))</formula>
    </cfRule>
  </conditionalFormatting>
  <dataValidations count="2">
    <dataValidation type="list" allowBlank="1" showErrorMessage="1" sqref="B33" xr:uid="{B9F329EC-90DD-0347-A92B-B8865A276394}">
      <formula1>"Not Sent,Sent to Vendor"</formula1>
    </dataValidation>
    <dataValidation type="list" allowBlank="1" showErrorMessage="1" sqref="F46 R46 AD46 AP46 BB46 BN46 BZ46" xr:uid="{D1B00CC0-A2BF-CA4D-956B-919406BD0A63}">
      <formula1>"Not Received,Approved,Rejected"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F1A7AA-75B7-B342-913C-E76AE5C1A28D}">
          <x14:formula1>
            <xm:f>'Data Validation'!$A$3:$A$20</xm:f>
          </x14:formula1>
          <xm:sqref>BZ3 F3 R3 AD3 AP3 BB3 BN3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57778-EF74-1C4C-A3D9-AD8241D78CCD}">
  <dimension ref="A1:BN32"/>
  <sheetViews>
    <sheetView topLeftCell="AO1" workbookViewId="0">
      <selection activeCell="BD5" sqref="BD5:BD23"/>
    </sheetView>
  </sheetViews>
  <sheetFormatPr baseColWidth="10" defaultColWidth="11" defaultRowHeight="16" outlineLevelCol="1" x14ac:dyDescent="0.2"/>
  <cols>
    <col min="1" max="1" width="15.33203125" customWidth="1"/>
    <col min="2" max="2" width="15.1640625" customWidth="1"/>
    <col min="3" max="3" width="26" customWidth="1"/>
    <col min="4" max="4" width="68.6640625" bestFit="1" customWidth="1"/>
    <col min="5" max="5" width="1" customWidth="1"/>
    <col min="6" max="6" width="12.83203125" customWidth="1"/>
    <col min="7" max="7" width="14.6640625" customWidth="1" outlineLevel="1"/>
    <col min="8" max="12" width="10.83203125" customWidth="1" outlineLevel="1"/>
    <col min="13" max="13" width="1.33203125" customWidth="1"/>
    <col min="14" max="14" width="12.83203125" customWidth="1"/>
    <col min="15" max="15" width="14.6640625" customWidth="1" outlineLevel="1"/>
    <col min="16" max="20" width="10.83203125" customWidth="1" outlineLevel="1"/>
    <col min="21" max="21" width="1.33203125" customWidth="1"/>
    <col min="22" max="22" width="12.83203125" customWidth="1"/>
    <col min="23" max="23" width="14.6640625" customWidth="1" outlineLevel="1"/>
    <col min="24" max="28" width="10.83203125" customWidth="1" outlineLevel="1"/>
    <col min="29" max="29" width="1.33203125" customWidth="1"/>
    <col min="30" max="30" width="12.83203125" customWidth="1"/>
    <col min="31" max="31" width="14.6640625" customWidth="1" outlineLevel="1"/>
    <col min="32" max="36" width="10.83203125" customWidth="1" outlineLevel="1"/>
    <col min="37" max="37" width="1.33203125" customWidth="1"/>
    <col min="38" max="38" width="12.83203125" customWidth="1"/>
    <col min="39" max="39" width="14.6640625" customWidth="1" outlineLevel="1"/>
    <col min="40" max="44" width="10.83203125" customWidth="1" outlineLevel="1"/>
    <col min="45" max="45" width="1.33203125" customWidth="1"/>
    <col min="46" max="46" width="12.83203125" customWidth="1"/>
    <col min="47" max="47" width="14.6640625" customWidth="1" outlineLevel="1"/>
    <col min="48" max="52" width="10.83203125" customWidth="1" outlineLevel="1"/>
    <col min="53" max="53" width="1.33203125" customWidth="1"/>
    <col min="54" max="54" width="12.83203125" customWidth="1"/>
    <col min="55" max="55" width="14.6640625" customWidth="1" outlineLevel="1"/>
    <col min="56" max="60" width="10.83203125" customWidth="1" outlineLevel="1"/>
    <col min="61" max="61" width="1.33203125" customWidth="1"/>
    <col min="62" max="65" width="15.6640625" customWidth="1"/>
    <col min="66" max="66" width="29" customWidth="1"/>
  </cols>
  <sheetData>
    <row r="1" spans="1:66" x14ac:dyDescent="0.2">
      <c r="A1" s="160" t="s">
        <v>0</v>
      </c>
      <c r="B1" s="161"/>
      <c r="C1" s="1">
        <f>'Promo Form'!C1</f>
        <v>0</v>
      </c>
      <c r="D1" s="89" t="s">
        <v>62</v>
      </c>
      <c r="E1" s="2"/>
      <c r="F1" s="3"/>
      <c r="G1" s="65"/>
      <c r="H1" s="3"/>
      <c r="I1" s="3"/>
      <c r="J1" s="3"/>
      <c r="K1" s="3"/>
      <c r="L1" s="3"/>
      <c r="M1" s="77"/>
      <c r="N1" s="3"/>
      <c r="O1" s="65"/>
      <c r="P1" s="3"/>
      <c r="Q1" s="3"/>
      <c r="R1" s="3"/>
      <c r="S1" s="3"/>
      <c r="T1" s="3"/>
      <c r="U1" s="77"/>
      <c r="V1" s="3"/>
      <c r="W1" s="65"/>
      <c r="X1" s="3"/>
      <c r="Y1" s="3"/>
      <c r="Z1" s="3"/>
      <c r="AA1" s="3"/>
      <c r="AB1" s="3"/>
      <c r="AC1" s="77"/>
      <c r="AD1" s="3"/>
      <c r="AE1" s="65"/>
      <c r="AF1" s="3"/>
      <c r="AG1" s="3"/>
      <c r="AH1" s="3"/>
      <c r="AI1" s="3"/>
      <c r="AJ1" s="3"/>
      <c r="AK1" s="77"/>
      <c r="AL1" s="3"/>
      <c r="AM1" s="65"/>
      <c r="AN1" s="3"/>
      <c r="AO1" s="3"/>
      <c r="AP1" s="3"/>
      <c r="AQ1" s="3"/>
      <c r="AR1" s="3"/>
      <c r="AS1" s="77"/>
      <c r="AT1" s="3"/>
      <c r="AU1" s="65"/>
      <c r="AV1" s="3"/>
      <c r="AW1" s="3"/>
      <c r="AX1" s="3"/>
      <c r="AY1" s="3"/>
      <c r="AZ1" s="3"/>
      <c r="BA1" s="77"/>
      <c r="BB1" s="3"/>
      <c r="BC1" s="65"/>
      <c r="BD1" s="3"/>
      <c r="BE1" s="3"/>
      <c r="BF1" s="3"/>
      <c r="BG1" s="3"/>
      <c r="BH1" s="3"/>
      <c r="BI1" s="77"/>
    </row>
    <row r="2" spans="1:66" ht="18" x14ac:dyDescent="0.2">
      <c r="A2" s="162" t="s">
        <v>3</v>
      </c>
      <c r="B2" s="163"/>
      <c r="C2" s="4">
        <f>'Promo Form'!C2</f>
        <v>0</v>
      </c>
      <c r="D2" s="5">
        <f>'Promo Form'!D2</f>
        <v>0</v>
      </c>
      <c r="E2" s="2"/>
      <c r="F2" s="120"/>
      <c r="G2" s="6"/>
      <c r="H2" s="3"/>
      <c r="I2" s="3"/>
      <c r="J2" s="3"/>
      <c r="K2" s="3"/>
      <c r="L2" s="67"/>
      <c r="M2" s="77"/>
      <c r="N2" s="120"/>
      <c r="O2" s="6"/>
      <c r="P2" s="3"/>
      <c r="Q2" s="3"/>
      <c r="R2" s="3"/>
      <c r="S2" s="3"/>
      <c r="T2" s="67"/>
      <c r="U2" s="77"/>
      <c r="V2" s="120"/>
      <c r="W2" s="6"/>
      <c r="X2" s="3"/>
      <c r="Y2" s="3"/>
      <c r="Z2" s="3"/>
      <c r="AA2" s="3"/>
      <c r="AB2" s="67"/>
      <c r="AC2" s="77"/>
      <c r="AD2" s="120"/>
      <c r="AE2" s="6"/>
      <c r="AF2" s="3"/>
      <c r="AG2" s="3"/>
      <c r="AH2" s="3"/>
      <c r="AI2" s="3"/>
      <c r="AJ2" s="67"/>
      <c r="AK2" s="77"/>
      <c r="AL2" s="120"/>
      <c r="AM2" s="6"/>
      <c r="AN2" s="3"/>
      <c r="AO2" s="3"/>
      <c r="AP2" s="3"/>
      <c r="AQ2" s="3"/>
      <c r="AR2" s="67"/>
      <c r="AS2" s="77"/>
      <c r="AT2" s="120"/>
      <c r="AU2" s="6"/>
      <c r="AV2" s="3"/>
      <c r="AW2" s="3"/>
      <c r="AX2" s="3"/>
      <c r="AY2" s="3"/>
      <c r="AZ2" s="67"/>
      <c r="BA2" s="77"/>
      <c r="BB2" s="120"/>
      <c r="BC2" s="6"/>
      <c r="BD2" s="3"/>
      <c r="BE2" s="3"/>
      <c r="BF2" s="3"/>
      <c r="BG2" s="3"/>
      <c r="BH2" s="67"/>
      <c r="BI2" s="77"/>
    </row>
    <row r="3" spans="1:66" x14ac:dyDescent="0.2">
      <c r="A3" s="184" t="s">
        <v>5</v>
      </c>
      <c r="B3" s="152"/>
      <c r="C3" s="164" t="s">
        <v>6</v>
      </c>
      <c r="D3" s="166" t="s">
        <v>7</v>
      </c>
      <c r="E3" s="63"/>
      <c r="F3" s="125"/>
      <c r="G3" s="180" t="str">
        <f>'Promo Form'!F3</f>
        <v>Harvey Norman</v>
      </c>
      <c r="H3" s="180"/>
      <c r="I3" s="180"/>
      <c r="J3" s="180"/>
      <c r="K3" s="180"/>
      <c r="L3" s="180"/>
      <c r="M3" s="78"/>
      <c r="N3" s="124"/>
      <c r="O3" s="180" t="str">
        <f>'Promo Form'!R3</f>
        <v>JB HIFI</v>
      </c>
      <c r="P3" s="180"/>
      <c r="Q3" s="180"/>
      <c r="R3" s="180"/>
      <c r="S3" s="180"/>
      <c r="T3" s="180"/>
      <c r="U3" s="78"/>
      <c r="V3" s="124"/>
      <c r="W3" s="180" t="str">
        <f>'Promo Form'!AD3</f>
        <v>Harvey Norman</v>
      </c>
      <c r="X3" s="180"/>
      <c r="Y3" s="180"/>
      <c r="Z3" s="180"/>
      <c r="AA3" s="180"/>
      <c r="AB3" s="180"/>
      <c r="AC3" s="78"/>
      <c r="AD3" s="124"/>
      <c r="AE3" s="180" t="str">
        <f>'Promo Form'!AP3</f>
        <v>PB Tech</v>
      </c>
      <c r="AF3" s="180"/>
      <c r="AG3" s="180"/>
      <c r="AH3" s="180"/>
      <c r="AI3" s="180"/>
      <c r="AJ3" s="180"/>
      <c r="AK3" s="78"/>
      <c r="AL3" s="124"/>
      <c r="AM3" s="180" t="str">
        <f>'Promo Form'!BB3</f>
        <v>Spare</v>
      </c>
      <c r="AN3" s="180"/>
      <c r="AO3" s="180"/>
      <c r="AP3" s="180"/>
      <c r="AQ3" s="180"/>
      <c r="AR3" s="180"/>
      <c r="AS3" s="78"/>
      <c r="AT3" s="124"/>
      <c r="AU3" s="180" t="str">
        <f>'Promo Form'!BN3</f>
        <v>Spare</v>
      </c>
      <c r="AV3" s="180"/>
      <c r="AW3" s="180"/>
      <c r="AX3" s="180"/>
      <c r="AY3" s="180"/>
      <c r="AZ3" s="180"/>
      <c r="BA3" s="78"/>
      <c r="BB3" s="124"/>
      <c r="BC3" s="180" t="str">
        <f>'Promo Form'!BZ3</f>
        <v>Spare</v>
      </c>
      <c r="BD3" s="180"/>
      <c r="BE3" s="180"/>
      <c r="BF3" s="180"/>
      <c r="BG3" s="180"/>
      <c r="BH3" s="180"/>
      <c r="BI3" s="78"/>
      <c r="BL3" s="97"/>
    </row>
    <row r="4" spans="1:66" ht="56" x14ac:dyDescent="0.2">
      <c r="A4" s="7" t="s">
        <v>11</v>
      </c>
      <c r="B4" s="7" t="s">
        <v>12</v>
      </c>
      <c r="C4" s="165"/>
      <c r="D4" s="150"/>
      <c r="E4" s="8"/>
      <c r="F4" s="10" t="s">
        <v>13</v>
      </c>
      <c r="G4" s="10" t="s">
        <v>14</v>
      </c>
      <c r="H4" s="10" t="s">
        <v>17</v>
      </c>
      <c r="I4" s="11" t="s">
        <v>18</v>
      </c>
      <c r="J4" s="11" t="s">
        <v>19</v>
      </c>
      <c r="K4" s="11" t="s">
        <v>24</v>
      </c>
      <c r="L4" s="10" t="s">
        <v>21</v>
      </c>
      <c r="M4" s="79"/>
      <c r="N4" s="111" t="s">
        <v>13</v>
      </c>
      <c r="O4" s="111" t="s">
        <v>14</v>
      </c>
      <c r="P4" s="111" t="s">
        <v>17</v>
      </c>
      <c r="Q4" s="112" t="s">
        <v>18</v>
      </c>
      <c r="R4" s="112" t="s">
        <v>19</v>
      </c>
      <c r="S4" s="112" t="s">
        <v>24</v>
      </c>
      <c r="T4" s="111" t="s">
        <v>21</v>
      </c>
      <c r="U4" s="79"/>
      <c r="V4" s="10" t="s">
        <v>13</v>
      </c>
      <c r="W4" s="10" t="s">
        <v>14</v>
      </c>
      <c r="X4" s="10" t="s">
        <v>17</v>
      </c>
      <c r="Y4" s="11" t="s">
        <v>18</v>
      </c>
      <c r="Z4" s="11" t="s">
        <v>19</v>
      </c>
      <c r="AA4" s="11" t="s">
        <v>24</v>
      </c>
      <c r="AB4" s="10" t="s">
        <v>21</v>
      </c>
      <c r="AC4" s="79"/>
      <c r="AD4" s="10" t="s">
        <v>13</v>
      </c>
      <c r="AE4" s="10" t="s">
        <v>14</v>
      </c>
      <c r="AF4" s="10" t="s">
        <v>17</v>
      </c>
      <c r="AG4" s="11" t="s">
        <v>18</v>
      </c>
      <c r="AH4" s="11" t="s">
        <v>19</v>
      </c>
      <c r="AI4" s="11" t="s">
        <v>24</v>
      </c>
      <c r="AJ4" s="10" t="s">
        <v>21</v>
      </c>
      <c r="AK4" s="79"/>
      <c r="AL4" s="10" t="s">
        <v>13</v>
      </c>
      <c r="AM4" s="10" t="s">
        <v>14</v>
      </c>
      <c r="AN4" s="10" t="s">
        <v>17</v>
      </c>
      <c r="AO4" s="11" t="s">
        <v>18</v>
      </c>
      <c r="AP4" s="11" t="s">
        <v>19</v>
      </c>
      <c r="AQ4" s="11" t="s">
        <v>24</v>
      </c>
      <c r="AR4" s="10" t="s">
        <v>21</v>
      </c>
      <c r="AS4" s="79"/>
      <c r="AT4" s="10" t="s">
        <v>13</v>
      </c>
      <c r="AU4" s="10" t="s">
        <v>14</v>
      </c>
      <c r="AV4" s="10" t="s">
        <v>17</v>
      </c>
      <c r="AW4" s="11" t="s">
        <v>18</v>
      </c>
      <c r="AX4" s="11" t="s">
        <v>19</v>
      </c>
      <c r="AY4" s="11" t="s">
        <v>24</v>
      </c>
      <c r="AZ4" s="10" t="s">
        <v>21</v>
      </c>
      <c r="BA4" s="79"/>
      <c r="BB4" s="10" t="s">
        <v>13</v>
      </c>
      <c r="BC4" s="10" t="s">
        <v>14</v>
      </c>
      <c r="BD4" s="10" t="s">
        <v>17</v>
      </c>
      <c r="BE4" s="11" t="s">
        <v>18</v>
      </c>
      <c r="BF4" s="11" t="s">
        <v>19</v>
      </c>
      <c r="BG4" s="11" t="s">
        <v>24</v>
      </c>
      <c r="BH4" s="10" t="s">
        <v>21</v>
      </c>
      <c r="BI4" s="79"/>
      <c r="BJ4" s="100" t="s">
        <v>25</v>
      </c>
      <c r="BK4" s="100" t="s">
        <v>26</v>
      </c>
      <c r="BL4" s="100" t="s">
        <v>27</v>
      </c>
      <c r="BM4" s="100" t="s">
        <v>28</v>
      </c>
      <c r="BN4" s="100" t="s">
        <v>29</v>
      </c>
    </row>
    <row r="5" spans="1:66" x14ac:dyDescent="0.2">
      <c r="A5" s="12">
        <f>'Promo Form'!A5</f>
        <v>45658</v>
      </c>
      <c r="B5" s="12">
        <f>'Promo Form'!B5</f>
        <v>45672</v>
      </c>
      <c r="C5" s="13" t="str">
        <f>'Promo Form'!C5</f>
        <v>ADM4DG</v>
      </c>
      <c r="D5" s="14" t="str">
        <f>'Promo Form'!D5</f>
        <v>ADONIT Mini 4 (Grey)</v>
      </c>
      <c r="E5" s="15"/>
      <c r="F5" s="96">
        <f>'Promo Form'!F5</f>
        <v>0</v>
      </c>
      <c r="G5" s="68">
        <f>'Promo Form'!G5</f>
        <v>24.34</v>
      </c>
      <c r="H5" s="17">
        <f>'Promo Form'!J5</f>
        <v>2.4340000000000002</v>
      </c>
      <c r="I5" s="18">
        <f>'Promo Form'!K5</f>
        <v>0.46803800950237567</v>
      </c>
      <c r="J5" s="18">
        <f>'Promo Form'!L5</f>
        <v>0.42254126031507883</v>
      </c>
      <c r="K5" s="101">
        <f>'Promo Form'!M5</f>
        <v>7.5</v>
      </c>
      <c r="L5" s="102">
        <f>'Promo Form'!N5</f>
        <v>18</v>
      </c>
      <c r="M5" s="80"/>
      <c r="N5" s="96" t="str">
        <f>'Promo Form'!R5</f>
        <v/>
      </c>
      <c r="O5" s="68">
        <f>'Promo Form'!S5</f>
        <v>24.34</v>
      </c>
      <c r="P5" s="17">
        <f>'Promo Form'!V5</f>
        <v>2.4340000000000002</v>
      </c>
      <c r="Q5" s="18">
        <f>'Promo Form'!W5</f>
        <v>0.44213985996499128</v>
      </c>
      <c r="R5" s="18">
        <f>'Promo Form'!X5</f>
        <v>0.39016857339334837</v>
      </c>
      <c r="S5" s="101" t="str">
        <f>'Promo Form'!Y5</f>
        <v/>
      </c>
      <c r="T5" s="102" t="str">
        <f>'Promo Form'!Z5</f>
        <v/>
      </c>
      <c r="U5" s="80"/>
      <c r="V5" s="96" t="str">
        <f>'Promo Form'!AD5</f>
        <v/>
      </c>
      <c r="W5" s="68">
        <f>'Promo Form'!AE5</f>
        <v>24.34</v>
      </c>
      <c r="X5" s="17">
        <f>'Promo Form'!AH5</f>
        <v>2.4340000000000002</v>
      </c>
      <c r="Y5" s="18">
        <f>'Promo Form'!AI5</f>
        <v>0.41904151037759457</v>
      </c>
      <c r="Z5" s="18">
        <f>'Promo Form'!AJ5</f>
        <v>0.36129563640910245</v>
      </c>
      <c r="AA5" s="101">
        <f>'Promo Form'!AK5</f>
        <v>7.5</v>
      </c>
      <c r="AB5" s="102">
        <f>'Promo Form'!AL5</f>
        <v>18</v>
      </c>
      <c r="AC5" s="80"/>
      <c r="AD5" s="96" t="str">
        <f>'Promo Form'!AP5</f>
        <v/>
      </c>
      <c r="AE5" s="68">
        <f>'Promo Form'!AQ5</f>
        <v>20.86</v>
      </c>
      <c r="AF5" s="17">
        <f>'Promo Form'!AT5</f>
        <v>2.0859999999999999</v>
      </c>
      <c r="AG5" s="18">
        <f>'Promo Form'!AU5</f>
        <v>0.43011877969492385</v>
      </c>
      <c r="AH5" s="18">
        <f>'Promo Form'!AV5</f>
        <v>0.36263284571142784</v>
      </c>
      <c r="AI5" s="101">
        <f>'Promo Form'!AW5</f>
        <v>18.5</v>
      </c>
      <c r="AJ5" s="102">
        <f>'Promo Form'!AX5</f>
        <v>46</v>
      </c>
      <c r="AK5" s="80"/>
      <c r="AL5" s="96" t="str">
        <f>'Promo Form'!BB5</f>
        <v/>
      </c>
      <c r="AM5" s="68" t="str">
        <f>'Promo Form'!BC5</f>
        <v/>
      </c>
      <c r="AN5" s="17" t="str">
        <f>'Promo Form'!BF5</f>
        <v/>
      </c>
      <c r="AO5" s="18" t="str">
        <f>'Promo Form'!BG5</f>
        <v/>
      </c>
      <c r="AP5" s="18" t="str">
        <f>'Promo Form'!BH5</f>
        <v/>
      </c>
      <c r="AQ5" s="101" t="str">
        <f>'Promo Form'!BI5</f>
        <v/>
      </c>
      <c r="AR5" s="102" t="str">
        <f>'Promo Form'!BJ5</f>
        <v/>
      </c>
      <c r="AS5" s="80"/>
      <c r="AT5" s="96" t="str">
        <f>'Promo Form'!BN5</f>
        <v/>
      </c>
      <c r="AU5" s="68" t="str">
        <f>'Promo Form'!BO5</f>
        <v/>
      </c>
      <c r="AV5" s="17" t="str">
        <f>'Promo Form'!BR5</f>
        <v/>
      </c>
      <c r="AW5" s="18" t="str">
        <f>'Promo Form'!BS5</f>
        <v/>
      </c>
      <c r="AX5" s="18" t="str">
        <f>'Promo Form'!BT5</f>
        <v/>
      </c>
      <c r="AY5" s="101" t="str">
        <f>'Promo Form'!BU5</f>
        <v/>
      </c>
      <c r="AZ5" s="102" t="str">
        <f>'Promo Form'!BV5</f>
        <v/>
      </c>
      <c r="BA5" s="80"/>
      <c r="BB5" s="96" t="str">
        <f>'Promo Form'!BZ5</f>
        <v/>
      </c>
      <c r="BC5" s="68" t="str">
        <f>'Promo Form'!CA5</f>
        <v/>
      </c>
      <c r="BD5" s="17" t="str">
        <f>'Promo Form'!CD5</f>
        <v/>
      </c>
      <c r="BE5" s="18" t="str">
        <f>'Promo Form'!CE5</f>
        <v/>
      </c>
      <c r="BF5" s="18" t="str">
        <f>'Promo Form'!CF5</f>
        <v/>
      </c>
      <c r="BG5" s="101" t="str">
        <f>'Promo Form'!CG5</f>
        <v/>
      </c>
      <c r="BH5" s="102" t="str">
        <f>'Promo Form'!CH5</f>
        <v/>
      </c>
      <c r="BI5" s="80"/>
      <c r="BJ5" s="17">
        <f>'Promo Form'!CL5</f>
        <v>39.99</v>
      </c>
      <c r="BK5" s="17">
        <f>'Promo Form'!CM5</f>
        <v>31.992000000000001</v>
      </c>
      <c r="BL5" s="99">
        <f>'Promo Form'!CN5</f>
        <v>0.2</v>
      </c>
      <c r="BM5" s="17">
        <f>'Promo Form'!CO5</f>
        <v>7.9980000000000011</v>
      </c>
      <c r="BN5" s="98">
        <f>'Promo Form'!CP5</f>
        <v>0</v>
      </c>
    </row>
    <row r="6" spans="1:66" x14ac:dyDescent="0.2">
      <c r="A6" s="12" t="str">
        <f>'Promo Form'!A6</f>
        <v/>
      </c>
      <c r="B6" s="12" t="str">
        <f>'Promo Form'!B6</f>
        <v/>
      </c>
      <c r="C6" s="13">
        <f>'Promo Form'!C6</f>
        <v>0</v>
      </c>
      <c r="D6" s="14" t="str">
        <f>'Promo Form'!D6</f>
        <v/>
      </c>
      <c r="E6" s="15"/>
      <c r="F6" s="96">
        <f>'Promo Form'!F6</f>
        <v>0</v>
      </c>
      <c r="G6" s="68" t="str">
        <f>'Promo Form'!G6</f>
        <v/>
      </c>
      <c r="H6" s="17" t="str">
        <f>'Promo Form'!J6</f>
        <v/>
      </c>
      <c r="I6" s="18" t="str">
        <f>'Promo Form'!K6</f>
        <v/>
      </c>
      <c r="J6" s="18" t="str">
        <f>'Promo Form'!L6</f>
        <v/>
      </c>
      <c r="K6" s="101" t="str">
        <f>'Promo Form'!M6</f>
        <v/>
      </c>
      <c r="L6" s="102" t="str">
        <f>'Promo Form'!N6</f>
        <v/>
      </c>
      <c r="M6" s="80"/>
      <c r="N6" s="96" t="str">
        <f>'Promo Form'!R6</f>
        <v/>
      </c>
      <c r="O6" s="68" t="str">
        <f>'Promo Form'!S6</f>
        <v/>
      </c>
      <c r="P6" s="17" t="str">
        <f>'Promo Form'!V6</f>
        <v/>
      </c>
      <c r="Q6" s="18" t="str">
        <f>'Promo Form'!W6</f>
        <v/>
      </c>
      <c r="R6" s="18" t="str">
        <f>'Promo Form'!X6</f>
        <v/>
      </c>
      <c r="S6" s="101" t="str">
        <f>'Promo Form'!Y6</f>
        <v/>
      </c>
      <c r="T6" s="102" t="str">
        <f>'Promo Form'!Z6</f>
        <v/>
      </c>
      <c r="U6" s="80"/>
      <c r="V6" s="96" t="str">
        <f>'Promo Form'!AD6</f>
        <v/>
      </c>
      <c r="W6" s="68" t="str">
        <f>'Promo Form'!AE6</f>
        <v/>
      </c>
      <c r="X6" s="17" t="str">
        <f>'Promo Form'!AH6</f>
        <v/>
      </c>
      <c r="Y6" s="18" t="str">
        <f>'Promo Form'!AI6</f>
        <v/>
      </c>
      <c r="Z6" s="18" t="str">
        <f>'Promo Form'!AJ6</f>
        <v/>
      </c>
      <c r="AA6" s="101" t="str">
        <f>'Promo Form'!AK6</f>
        <v/>
      </c>
      <c r="AB6" s="102" t="str">
        <f>'Promo Form'!AL6</f>
        <v/>
      </c>
      <c r="AC6" s="80"/>
      <c r="AD6" s="96" t="str">
        <f>'Promo Form'!AD6</f>
        <v/>
      </c>
      <c r="AE6" s="68" t="str">
        <f>'Promo Form'!AE6</f>
        <v/>
      </c>
      <c r="AF6" s="17" t="str">
        <f>'Promo Form'!AT6</f>
        <v/>
      </c>
      <c r="AG6" s="18" t="str">
        <f>'Promo Form'!AI6</f>
        <v/>
      </c>
      <c r="AH6" s="18" t="str">
        <f>'Promo Form'!AJ6</f>
        <v/>
      </c>
      <c r="AI6" s="101" t="str">
        <f>'Promo Form'!AK6</f>
        <v/>
      </c>
      <c r="AJ6" s="102" t="str">
        <f>'Promo Form'!AL6</f>
        <v/>
      </c>
      <c r="AK6" s="77"/>
      <c r="AL6" s="96"/>
      <c r="AM6" s="68" t="str">
        <f>'Promo Form'!AM6</f>
        <v/>
      </c>
      <c r="AN6" s="17" t="str">
        <f>'Promo Form'!BF6</f>
        <v/>
      </c>
      <c r="AO6" s="18" t="str">
        <f>'Promo Form'!AQ6</f>
        <v/>
      </c>
      <c r="AP6" s="18" t="str">
        <f>'Promo Form'!AR6</f>
        <v/>
      </c>
      <c r="AQ6" s="101" t="str">
        <f>'Promo Form'!AS6</f>
        <v/>
      </c>
      <c r="AR6" s="102" t="str">
        <f>'Promo Form'!AT6</f>
        <v/>
      </c>
      <c r="AS6" s="77"/>
      <c r="AT6" s="96" t="str">
        <f>'Promo Form'!BN6</f>
        <v/>
      </c>
      <c r="AU6" s="68" t="str">
        <f>'Promo Form'!BO6</f>
        <v/>
      </c>
      <c r="AV6" s="17" t="str">
        <f>'Promo Form'!BR6</f>
        <v/>
      </c>
      <c r="AW6" s="18" t="str">
        <f>'Promo Form'!BS6</f>
        <v/>
      </c>
      <c r="AX6" s="18" t="str">
        <f>'Promo Form'!BT6</f>
        <v/>
      </c>
      <c r="AY6" s="101" t="str">
        <f>'Promo Form'!BU6</f>
        <v/>
      </c>
      <c r="AZ6" s="102" t="str">
        <f>'Promo Form'!BV6</f>
        <v/>
      </c>
      <c r="BA6" s="77"/>
      <c r="BB6" s="96" t="str">
        <f>'Promo Form'!BZ6</f>
        <v/>
      </c>
      <c r="BC6" s="68" t="str">
        <f>'Promo Form'!CA6</f>
        <v/>
      </c>
      <c r="BD6" s="17" t="str">
        <f>'Promo Form'!CD6</f>
        <v/>
      </c>
      <c r="BE6" s="18" t="str">
        <f>'Promo Form'!CE6</f>
        <v/>
      </c>
      <c r="BF6" s="18" t="str">
        <f>'Promo Form'!CF6</f>
        <v/>
      </c>
      <c r="BG6" s="101" t="str">
        <f>'Promo Form'!CG6</f>
        <v/>
      </c>
      <c r="BH6" s="102" t="str">
        <f>'Promo Form'!CH6</f>
        <v/>
      </c>
      <c r="BI6" s="77"/>
      <c r="BJ6" s="17" t="str">
        <f>'Promo Form'!CL6</f>
        <v/>
      </c>
      <c r="BK6" s="17" t="str">
        <f>'Promo Form'!CM6</f>
        <v/>
      </c>
      <c r="BL6" s="99" t="str">
        <f>'Promo Form'!CN6</f>
        <v/>
      </c>
      <c r="BM6" s="17" t="str">
        <f>'Promo Form'!CO6</f>
        <v/>
      </c>
      <c r="BN6" s="98">
        <f>'Promo Form'!CP6</f>
        <v>0</v>
      </c>
    </row>
    <row r="7" spans="1:66" x14ac:dyDescent="0.2">
      <c r="A7" s="12" t="str">
        <f>'Promo Form'!A7</f>
        <v/>
      </c>
      <c r="B7" s="12" t="str">
        <f>'Promo Form'!B7</f>
        <v/>
      </c>
      <c r="C7" s="13">
        <f>'Promo Form'!C7</f>
        <v>0</v>
      </c>
      <c r="D7" s="14" t="str">
        <f>'Promo Form'!D7</f>
        <v/>
      </c>
      <c r="E7" s="15"/>
      <c r="F7" s="96">
        <f>'Promo Form'!F7</f>
        <v>0</v>
      </c>
      <c r="G7" s="68" t="str">
        <f>'Promo Form'!G7</f>
        <v/>
      </c>
      <c r="H7" s="17" t="str">
        <f>'Promo Form'!J7</f>
        <v/>
      </c>
      <c r="I7" s="18" t="str">
        <f>'Promo Form'!K7</f>
        <v/>
      </c>
      <c r="J7" s="18" t="str">
        <f>'Promo Form'!L7</f>
        <v/>
      </c>
      <c r="K7" s="101" t="str">
        <f>'Promo Form'!M7</f>
        <v/>
      </c>
      <c r="L7" s="102" t="str">
        <f>'Promo Form'!N7</f>
        <v/>
      </c>
      <c r="M7" s="80"/>
      <c r="N7" s="96" t="str">
        <f>'Promo Form'!R7</f>
        <v/>
      </c>
      <c r="O7" s="68" t="str">
        <f>'Promo Form'!S7</f>
        <v/>
      </c>
      <c r="P7" s="17" t="str">
        <f>'Promo Form'!V7</f>
        <v/>
      </c>
      <c r="Q7" s="18" t="str">
        <f>'Promo Form'!W7</f>
        <v/>
      </c>
      <c r="R7" s="18" t="str">
        <f>'Promo Form'!X7</f>
        <v/>
      </c>
      <c r="S7" s="101" t="str">
        <f>'Promo Form'!Y7</f>
        <v/>
      </c>
      <c r="T7" s="102" t="str">
        <f>'Promo Form'!Z7</f>
        <v/>
      </c>
      <c r="U7" s="80"/>
      <c r="V7" s="96" t="str">
        <f>'Promo Form'!AD7</f>
        <v/>
      </c>
      <c r="W7" s="68" t="str">
        <f>'Promo Form'!AE7</f>
        <v/>
      </c>
      <c r="X7" s="17" t="str">
        <f>'Promo Form'!AH7</f>
        <v/>
      </c>
      <c r="Y7" s="18" t="str">
        <f>'Promo Form'!AI7</f>
        <v/>
      </c>
      <c r="Z7" s="18" t="str">
        <f>'Promo Form'!AJ7</f>
        <v/>
      </c>
      <c r="AA7" s="101" t="str">
        <f>'Promo Form'!AK7</f>
        <v/>
      </c>
      <c r="AB7" s="102" t="str">
        <f>'Promo Form'!AL7</f>
        <v/>
      </c>
      <c r="AC7" s="80"/>
      <c r="AD7" s="96" t="str">
        <f>'Promo Form'!AD7</f>
        <v/>
      </c>
      <c r="AE7" s="68" t="str">
        <f>'Promo Form'!AE7</f>
        <v/>
      </c>
      <c r="AF7" s="17" t="str">
        <f>'Promo Form'!AT7</f>
        <v/>
      </c>
      <c r="AG7" s="18" t="str">
        <f>'Promo Form'!AI7</f>
        <v/>
      </c>
      <c r="AH7" s="18" t="str">
        <f>'Promo Form'!AJ7</f>
        <v/>
      </c>
      <c r="AI7" s="101" t="str">
        <f>'Promo Form'!AK7</f>
        <v/>
      </c>
      <c r="AJ7" s="102" t="str">
        <f>'Promo Form'!AL7</f>
        <v/>
      </c>
      <c r="AK7" s="77"/>
      <c r="AL7" s="96" t="str">
        <f>'Promo Form'!AL7</f>
        <v/>
      </c>
      <c r="AM7" s="68" t="str">
        <f>'Promo Form'!AM7</f>
        <v/>
      </c>
      <c r="AN7" s="17" t="str">
        <f>'Promo Form'!BF7</f>
        <v/>
      </c>
      <c r="AO7" s="18" t="str">
        <f>'Promo Form'!AQ7</f>
        <v/>
      </c>
      <c r="AP7" s="18" t="str">
        <f>'Promo Form'!AR7</f>
        <v/>
      </c>
      <c r="AQ7" s="101" t="str">
        <f>'Promo Form'!AS7</f>
        <v/>
      </c>
      <c r="AR7" s="102" t="str">
        <f>'Promo Form'!AT7</f>
        <v/>
      </c>
      <c r="AS7" s="77"/>
      <c r="AT7" s="96" t="str">
        <f>'Promo Form'!BN7</f>
        <v/>
      </c>
      <c r="AU7" s="68" t="str">
        <f>'Promo Form'!BO7</f>
        <v/>
      </c>
      <c r="AV7" s="17" t="str">
        <f>'Promo Form'!BR7</f>
        <v/>
      </c>
      <c r="AW7" s="18" t="str">
        <f>'Promo Form'!BS7</f>
        <v/>
      </c>
      <c r="AX7" s="18" t="str">
        <f>'Promo Form'!BT7</f>
        <v/>
      </c>
      <c r="AY7" s="101" t="str">
        <f>'Promo Form'!BU7</f>
        <v/>
      </c>
      <c r="AZ7" s="102" t="str">
        <f>'Promo Form'!BV7</f>
        <v/>
      </c>
      <c r="BA7" s="77"/>
      <c r="BB7" s="96" t="str">
        <f>'Promo Form'!BZ7</f>
        <v/>
      </c>
      <c r="BC7" s="68" t="str">
        <f>'Promo Form'!CA7</f>
        <v/>
      </c>
      <c r="BD7" s="17" t="str">
        <f>'Promo Form'!CD7</f>
        <v/>
      </c>
      <c r="BE7" s="18" t="str">
        <f>'Promo Form'!CE7</f>
        <v/>
      </c>
      <c r="BF7" s="18" t="str">
        <f>'Promo Form'!CF7</f>
        <v/>
      </c>
      <c r="BG7" s="101" t="str">
        <f>'Promo Form'!CG7</f>
        <v/>
      </c>
      <c r="BH7" s="102" t="str">
        <f>'Promo Form'!CH7</f>
        <v/>
      </c>
      <c r="BI7" s="77"/>
      <c r="BJ7" s="17" t="str">
        <f>'Promo Form'!CL7</f>
        <v/>
      </c>
      <c r="BK7" s="17" t="str">
        <f>'Promo Form'!CM7</f>
        <v/>
      </c>
      <c r="BL7" s="99" t="str">
        <f>'Promo Form'!CN7</f>
        <v/>
      </c>
      <c r="BM7" s="17" t="str">
        <f>'Promo Form'!CO7</f>
        <v/>
      </c>
      <c r="BN7" s="98">
        <f>'Promo Form'!CP7</f>
        <v>0</v>
      </c>
    </row>
    <row r="8" spans="1:66" x14ac:dyDescent="0.2">
      <c r="A8" s="12" t="str">
        <f>'Promo Form'!A8</f>
        <v/>
      </c>
      <c r="B8" s="12" t="str">
        <f>'Promo Form'!B8</f>
        <v/>
      </c>
      <c r="C8" s="13">
        <f>'Promo Form'!C8</f>
        <v>0</v>
      </c>
      <c r="D8" s="14" t="str">
        <f>'Promo Form'!D8</f>
        <v/>
      </c>
      <c r="E8" s="15"/>
      <c r="F8" s="96">
        <f>'Promo Form'!F8</f>
        <v>0</v>
      </c>
      <c r="G8" s="68" t="str">
        <f>'Promo Form'!G8</f>
        <v/>
      </c>
      <c r="H8" s="17" t="str">
        <f>'Promo Form'!J8</f>
        <v/>
      </c>
      <c r="I8" s="18" t="str">
        <f>'Promo Form'!K8</f>
        <v/>
      </c>
      <c r="J8" s="18" t="str">
        <f>'Promo Form'!L8</f>
        <v/>
      </c>
      <c r="K8" s="101" t="str">
        <f>'Promo Form'!M8</f>
        <v/>
      </c>
      <c r="L8" s="102" t="str">
        <f>'Promo Form'!N8</f>
        <v/>
      </c>
      <c r="M8" s="80"/>
      <c r="N8" s="96" t="str">
        <f>'Promo Form'!R8</f>
        <v/>
      </c>
      <c r="O8" s="68" t="str">
        <f>'Promo Form'!S8</f>
        <v/>
      </c>
      <c r="P8" s="17" t="str">
        <f>'Promo Form'!V8</f>
        <v/>
      </c>
      <c r="Q8" s="18" t="str">
        <f>'Promo Form'!W8</f>
        <v/>
      </c>
      <c r="R8" s="18" t="str">
        <f>'Promo Form'!X8</f>
        <v/>
      </c>
      <c r="S8" s="101" t="str">
        <f>'Promo Form'!Y8</f>
        <v/>
      </c>
      <c r="T8" s="102" t="str">
        <f>'Promo Form'!Z8</f>
        <v/>
      </c>
      <c r="U8" s="80"/>
      <c r="V8" s="96" t="str">
        <f>'Promo Form'!AD8</f>
        <v/>
      </c>
      <c r="W8" s="68" t="str">
        <f>'Promo Form'!AE8</f>
        <v/>
      </c>
      <c r="X8" s="17" t="str">
        <f>'Promo Form'!AH8</f>
        <v/>
      </c>
      <c r="Y8" s="18" t="str">
        <f>'Promo Form'!AI8</f>
        <v/>
      </c>
      <c r="Z8" s="18" t="str">
        <f>'Promo Form'!AJ8</f>
        <v/>
      </c>
      <c r="AA8" s="101" t="str">
        <f>'Promo Form'!AK8</f>
        <v/>
      </c>
      <c r="AB8" s="102" t="str">
        <f>'Promo Form'!AL8</f>
        <v/>
      </c>
      <c r="AC8" s="80"/>
      <c r="AD8" s="96" t="str">
        <f>'Promo Form'!AD8</f>
        <v/>
      </c>
      <c r="AE8" s="68" t="str">
        <f>'Promo Form'!AE8</f>
        <v/>
      </c>
      <c r="AF8" s="17" t="str">
        <f>'Promo Form'!AT8</f>
        <v/>
      </c>
      <c r="AG8" s="18" t="str">
        <f>'Promo Form'!AI8</f>
        <v/>
      </c>
      <c r="AH8" s="18" t="str">
        <f>'Promo Form'!AJ8</f>
        <v/>
      </c>
      <c r="AI8" s="101" t="str">
        <f>'Promo Form'!AK8</f>
        <v/>
      </c>
      <c r="AJ8" s="102" t="str">
        <f>'Promo Form'!AL8</f>
        <v/>
      </c>
      <c r="AK8" s="77"/>
      <c r="AL8" s="96" t="str">
        <f>'Promo Form'!AL8</f>
        <v/>
      </c>
      <c r="AM8" s="68" t="str">
        <f>'Promo Form'!AM8</f>
        <v/>
      </c>
      <c r="AN8" s="17" t="str">
        <f>'Promo Form'!BF8</f>
        <v/>
      </c>
      <c r="AO8" s="18" t="str">
        <f>'Promo Form'!AQ8</f>
        <v/>
      </c>
      <c r="AP8" s="18" t="str">
        <f>'Promo Form'!AR8</f>
        <v/>
      </c>
      <c r="AQ8" s="101" t="str">
        <f>'Promo Form'!AS8</f>
        <v/>
      </c>
      <c r="AR8" s="102" t="str">
        <f>'Promo Form'!AT8</f>
        <v/>
      </c>
      <c r="AS8" s="77"/>
      <c r="AT8" s="96" t="str">
        <f>'Promo Form'!BN8</f>
        <v/>
      </c>
      <c r="AU8" s="68" t="str">
        <f>'Promo Form'!BO8</f>
        <v/>
      </c>
      <c r="AV8" s="17" t="str">
        <f>'Promo Form'!BR8</f>
        <v/>
      </c>
      <c r="AW8" s="18" t="str">
        <f>'Promo Form'!BS8</f>
        <v/>
      </c>
      <c r="AX8" s="18" t="str">
        <f>'Promo Form'!BT8</f>
        <v/>
      </c>
      <c r="AY8" s="101" t="str">
        <f>'Promo Form'!BU8</f>
        <v/>
      </c>
      <c r="AZ8" s="102" t="str">
        <f>'Promo Form'!BV8</f>
        <v/>
      </c>
      <c r="BA8" s="77"/>
      <c r="BB8" s="96" t="str">
        <f>'Promo Form'!BZ8</f>
        <v/>
      </c>
      <c r="BC8" s="68" t="str">
        <f>'Promo Form'!CA8</f>
        <v/>
      </c>
      <c r="BD8" s="17" t="str">
        <f>'Promo Form'!CD8</f>
        <v/>
      </c>
      <c r="BE8" s="18" t="str">
        <f>'Promo Form'!CE8</f>
        <v/>
      </c>
      <c r="BF8" s="18" t="str">
        <f>'Promo Form'!CF8</f>
        <v/>
      </c>
      <c r="BG8" s="101" t="str">
        <f>'Promo Form'!CG8</f>
        <v/>
      </c>
      <c r="BH8" s="102" t="str">
        <f>'Promo Form'!CH8</f>
        <v/>
      </c>
      <c r="BI8" s="77"/>
      <c r="BJ8" s="17" t="str">
        <f>'Promo Form'!CL8</f>
        <v/>
      </c>
      <c r="BK8" s="17" t="str">
        <f>'Promo Form'!CM8</f>
        <v/>
      </c>
      <c r="BL8" s="99" t="str">
        <f>'Promo Form'!CN8</f>
        <v/>
      </c>
      <c r="BM8" s="17" t="str">
        <f>'Promo Form'!CO8</f>
        <v/>
      </c>
      <c r="BN8" s="98">
        <f>'Promo Form'!CP8</f>
        <v>0</v>
      </c>
    </row>
    <row r="9" spans="1:66" x14ac:dyDescent="0.2">
      <c r="A9" s="12" t="str">
        <f>'Promo Form'!A9</f>
        <v/>
      </c>
      <c r="B9" s="12" t="str">
        <f>'Promo Form'!B9</f>
        <v/>
      </c>
      <c r="C9" s="13">
        <f>'Promo Form'!C9</f>
        <v>0</v>
      </c>
      <c r="D9" s="14" t="str">
        <f>'Promo Form'!D9</f>
        <v/>
      </c>
      <c r="E9" s="15"/>
      <c r="F9" s="96">
        <f>'Promo Form'!F9</f>
        <v>0</v>
      </c>
      <c r="G9" s="68" t="str">
        <f>'Promo Form'!G9</f>
        <v/>
      </c>
      <c r="H9" s="17" t="str">
        <f>'Promo Form'!J9</f>
        <v/>
      </c>
      <c r="I9" s="18" t="str">
        <f>'Promo Form'!K9</f>
        <v/>
      </c>
      <c r="J9" s="18" t="str">
        <f>'Promo Form'!L9</f>
        <v/>
      </c>
      <c r="K9" s="101" t="str">
        <f>'Promo Form'!M9</f>
        <v/>
      </c>
      <c r="L9" s="102" t="str">
        <f>'Promo Form'!N9</f>
        <v/>
      </c>
      <c r="M9" s="80"/>
      <c r="N9" s="96" t="str">
        <f>'Promo Form'!R9</f>
        <v/>
      </c>
      <c r="O9" s="68" t="str">
        <f>'Promo Form'!S9</f>
        <v/>
      </c>
      <c r="P9" s="17" t="str">
        <f>'Promo Form'!V9</f>
        <v/>
      </c>
      <c r="Q9" s="18" t="str">
        <f>'Promo Form'!W9</f>
        <v/>
      </c>
      <c r="R9" s="18" t="str">
        <f>'Promo Form'!X9</f>
        <v/>
      </c>
      <c r="S9" s="101" t="str">
        <f>'Promo Form'!Y9</f>
        <v/>
      </c>
      <c r="T9" s="102" t="str">
        <f>'Promo Form'!Z9</f>
        <v/>
      </c>
      <c r="U9" s="80"/>
      <c r="V9" s="96" t="str">
        <f>'Promo Form'!AD9</f>
        <v/>
      </c>
      <c r="W9" s="68" t="str">
        <f>'Promo Form'!AE9</f>
        <v/>
      </c>
      <c r="X9" s="17" t="str">
        <f>'Promo Form'!AH9</f>
        <v/>
      </c>
      <c r="Y9" s="18" t="str">
        <f>'Promo Form'!AI9</f>
        <v/>
      </c>
      <c r="Z9" s="18" t="str">
        <f>'Promo Form'!AJ9</f>
        <v/>
      </c>
      <c r="AA9" s="101" t="str">
        <f>'Promo Form'!AK9</f>
        <v/>
      </c>
      <c r="AB9" s="102" t="str">
        <f>'Promo Form'!AL9</f>
        <v/>
      </c>
      <c r="AC9" s="80"/>
      <c r="AD9" s="96" t="str">
        <f>'Promo Form'!AD9</f>
        <v/>
      </c>
      <c r="AE9" s="68" t="str">
        <f>'Promo Form'!AE9</f>
        <v/>
      </c>
      <c r="AF9" s="17" t="str">
        <f>'Promo Form'!AT9</f>
        <v/>
      </c>
      <c r="AG9" s="18" t="str">
        <f>'Promo Form'!AI9</f>
        <v/>
      </c>
      <c r="AH9" s="18" t="str">
        <f>'Promo Form'!AJ9</f>
        <v/>
      </c>
      <c r="AI9" s="101" t="str">
        <f>'Promo Form'!AK9</f>
        <v/>
      </c>
      <c r="AJ9" s="102" t="str">
        <f>'Promo Form'!AL9</f>
        <v/>
      </c>
      <c r="AK9" s="77"/>
      <c r="AL9" s="96" t="str">
        <f>'Promo Form'!AL9</f>
        <v/>
      </c>
      <c r="AM9" s="68" t="str">
        <f>'Promo Form'!AM9</f>
        <v/>
      </c>
      <c r="AN9" s="17" t="str">
        <f>'Promo Form'!BF9</f>
        <v/>
      </c>
      <c r="AO9" s="18" t="str">
        <f>'Promo Form'!AQ9</f>
        <v/>
      </c>
      <c r="AP9" s="18" t="str">
        <f>'Promo Form'!AR9</f>
        <v/>
      </c>
      <c r="AQ9" s="101" t="str">
        <f>'Promo Form'!AS9</f>
        <v/>
      </c>
      <c r="AR9" s="102" t="str">
        <f>'Promo Form'!AT9</f>
        <v/>
      </c>
      <c r="AS9" s="77"/>
      <c r="AT9" s="96" t="str">
        <f>'Promo Form'!BN9</f>
        <v/>
      </c>
      <c r="AU9" s="68" t="str">
        <f>'Promo Form'!BO9</f>
        <v/>
      </c>
      <c r="AV9" s="17" t="str">
        <f>'Promo Form'!BR9</f>
        <v/>
      </c>
      <c r="AW9" s="18" t="str">
        <f>'Promo Form'!BS9</f>
        <v/>
      </c>
      <c r="AX9" s="18" t="str">
        <f>'Promo Form'!BT9</f>
        <v/>
      </c>
      <c r="AY9" s="101" t="str">
        <f>'Promo Form'!BU9</f>
        <v/>
      </c>
      <c r="AZ9" s="102" t="str">
        <f>'Promo Form'!BV9</f>
        <v/>
      </c>
      <c r="BA9" s="77"/>
      <c r="BB9" s="96" t="str">
        <f>'Promo Form'!BZ9</f>
        <v/>
      </c>
      <c r="BC9" s="68" t="str">
        <f>'Promo Form'!CA9</f>
        <v/>
      </c>
      <c r="BD9" s="17" t="str">
        <f>'Promo Form'!CD9</f>
        <v/>
      </c>
      <c r="BE9" s="18" t="str">
        <f>'Promo Form'!CE9</f>
        <v/>
      </c>
      <c r="BF9" s="18" t="str">
        <f>'Promo Form'!CF9</f>
        <v/>
      </c>
      <c r="BG9" s="101" t="str">
        <f>'Promo Form'!CG9</f>
        <v/>
      </c>
      <c r="BH9" s="102" t="str">
        <f>'Promo Form'!CH9</f>
        <v/>
      </c>
      <c r="BI9" s="77"/>
      <c r="BJ9" s="17" t="str">
        <f>'Promo Form'!CL9</f>
        <v/>
      </c>
      <c r="BK9" s="17" t="str">
        <f>'Promo Form'!CM9</f>
        <v/>
      </c>
      <c r="BL9" s="99" t="str">
        <f>'Promo Form'!CN9</f>
        <v/>
      </c>
      <c r="BM9" s="17" t="str">
        <f>'Promo Form'!CO9</f>
        <v/>
      </c>
      <c r="BN9" s="98">
        <f>'Promo Form'!CP9</f>
        <v>0</v>
      </c>
    </row>
    <row r="10" spans="1:66" x14ac:dyDescent="0.2">
      <c r="A10" s="12" t="str">
        <f>'Promo Form'!A10</f>
        <v/>
      </c>
      <c r="B10" s="12" t="str">
        <f>'Promo Form'!B10</f>
        <v/>
      </c>
      <c r="C10" s="13">
        <f>'Promo Form'!C10</f>
        <v>0</v>
      </c>
      <c r="D10" s="14" t="str">
        <f>'Promo Form'!D10</f>
        <v/>
      </c>
      <c r="E10" s="15"/>
      <c r="F10" s="96">
        <f>'Promo Form'!F10</f>
        <v>0</v>
      </c>
      <c r="G10" s="68" t="str">
        <f>'Promo Form'!G10</f>
        <v/>
      </c>
      <c r="H10" s="17" t="str">
        <f>'Promo Form'!J10</f>
        <v/>
      </c>
      <c r="I10" s="18" t="str">
        <f>'Promo Form'!K10</f>
        <v/>
      </c>
      <c r="J10" s="18" t="str">
        <f>'Promo Form'!L10</f>
        <v/>
      </c>
      <c r="K10" s="101" t="str">
        <f>'Promo Form'!M10</f>
        <v/>
      </c>
      <c r="L10" s="102" t="str">
        <f>'Promo Form'!N10</f>
        <v/>
      </c>
      <c r="M10" s="80"/>
      <c r="N10" s="96" t="str">
        <f>'Promo Form'!R10</f>
        <v/>
      </c>
      <c r="O10" s="68" t="str">
        <f>'Promo Form'!S10</f>
        <v/>
      </c>
      <c r="P10" s="17" t="str">
        <f>'Promo Form'!V10</f>
        <v/>
      </c>
      <c r="Q10" s="18" t="str">
        <f>'Promo Form'!W10</f>
        <v/>
      </c>
      <c r="R10" s="18" t="str">
        <f>'Promo Form'!X10</f>
        <v/>
      </c>
      <c r="S10" s="101" t="str">
        <f>'Promo Form'!Y10</f>
        <v/>
      </c>
      <c r="T10" s="102" t="str">
        <f>'Promo Form'!Z10</f>
        <v/>
      </c>
      <c r="U10" s="80"/>
      <c r="V10" s="96" t="str">
        <f>'Promo Form'!AD10</f>
        <v/>
      </c>
      <c r="W10" s="68" t="str">
        <f>'Promo Form'!AE10</f>
        <v/>
      </c>
      <c r="X10" s="17" t="str">
        <f>'Promo Form'!AH10</f>
        <v/>
      </c>
      <c r="Y10" s="18" t="str">
        <f>'Promo Form'!AI10</f>
        <v/>
      </c>
      <c r="Z10" s="18" t="str">
        <f>'Promo Form'!AJ10</f>
        <v/>
      </c>
      <c r="AA10" s="101" t="str">
        <f>'Promo Form'!AK10</f>
        <v/>
      </c>
      <c r="AB10" s="102" t="str">
        <f>'Promo Form'!AL10</f>
        <v/>
      </c>
      <c r="AC10" s="80"/>
      <c r="AD10" s="96" t="str">
        <f>'Promo Form'!AD10</f>
        <v/>
      </c>
      <c r="AE10" s="68" t="str">
        <f>'Promo Form'!AE10</f>
        <v/>
      </c>
      <c r="AF10" s="17" t="str">
        <f>'Promo Form'!AT10</f>
        <v/>
      </c>
      <c r="AG10" s="18" t="str">
        <f>'Promo Form'!AI10</f>
        <v/>
      </c>
      <c r="AH10" s="18" t="str">
        <f>'Promo Form'!AJ10</f>
        <v/>
      </c>
      <c r="AI10" s="101" t="str">
        <f>'Promo Form'!AK10</f>
        <v/>
      </c>
      <c r="AJ10" s="102" t="str">
        <f>'Promo Form'!AL10</f>
        <v/>
      </c>
      <c r="AK10" s="77"/>
      <c r="AL10" s="96" t="str">
        <f>'Promo Form'!AL10</f>
        <v/>
      </c>
      <c r="AM10" s="68" t="str">
        <f>'Promo Form'!AM10</f>
        <v/>
      </c>
      <c r="AN10" s="17" t="str">
        <f>'Promo Form'!BF10</f>
        <v/>
      </c>
      <c r="AO10" s="18" t="str">
        <f>'Promo Form'!AQ10</f>
        <v/>
      </c>
      <c r="AP10" s="18" t="str">
        <f>'Promo Form'!AR10</f>
        <v/>
      </c>
      <c r="AQ10" s="101" t="str">
        <f>'Promo Form'!AS10</f>
        <v/>
      </c>
      <c r="AR10" s="102" t="str">
        <f>'Promo Form'!AT10</f>
        <v/>
      </c>
      <c r="AS10" s="77"/>
      <c r="AT10" s="96" t="str">
        <f>'Promo Form'!BN10</f>
        <v/>
      </c>
      <c r="AU10" s="68" t="str">
        <f>'Promo Form'!BO10</f>
        <v/>
      </c>
      <c r="AV10" s="17" t="str">
        <f>'Promo Form'!BR10</f>
        <v/>
      </c>
      <c r="AW10" s="18" t="str">
        <f>'Promo Form'!BS10</f>
        <v/>
      </c>
      <c r="AX10" s="18" t="str">
        <f>'Promo Form'!BT10</f>
        <v/>
      </c>
      <c r="AY10" s="101" t="str">
        <f>'Promo Form'!BU10</f>
        <v/>
      </c>
      <c r="AZ10" s="102" t="str">
        <f>'Promo Form'!BV10</f>
        <v/>
      </c>
      <c r="BA10" s="77"/>
      <c r="BB10" s="96" t="str">
        <f>'Promo Form'!BZ10</f>
        <v/>
      </c>
      <c r="BC10" s="68" t="str">
        <f>'Promo Form'!CA10</f>
        <v/>
      </c>
      <c r="BD10" s="17" t="str">
        <f>'Promo Form'!CD10</f>
        <v/>
      </c>
      <c r="BE10" s="18" t="str">
        <f>'Promo Form'!CE10</f>
        <v/>
      </c>
      <c r="BF10" s="18" t="str">
        <f>'Promo Form'!CF10</f>
        <v/>
      </c>
      <c r="BG10" s="101" t="str">
        <f>'Promo Form'!CG10</f>
        <v/>
      </c>
      <c r="BH10" s="102" t="str">
        <f>'Promo Form'!CH10</f>
        <v/>
      </c>
      <c r="BI10" s="77"/>
      <c r="BJ10" s="17" t="str">
        <f>'Promo Form'!CL10</f>
        <v/>
      </c>
      <c r="BK10" s="17" t="str">
        <f>'Promo Form'!CM10</f>
        <v/>
      </c>
      <c r="BL10" s="99" t="str">
        <f>'Promo Form'!CN10</f>
        <v/>
      </c>
      <c r="BM10" s="17" t="str">
        <f>'Promo Form'!CO10</f>
        <v/>
      </c>
      <c r="BN10" s="98">
        <f>'Promo Form'!CP10</f>
        <v>0</v>
      </c>
    </row>
    <row r="11" spans="1:66" x14ac:dyDescent="0.2">
      <c r="A11" s="12" t="str">
        <f>'Promo Form'!A11</f>
        <v/>
      </c>
      <c r="B11" s="12" t="str">
        <f>'Promo Form'!B11</f>
        <v/>
      </c>
      <c r="C11" s="13">
        <f>'Promo Form'!C11</f>
        <v>0</v>
      </c>
      <c r="D11" s="14" t="str">
        <f>'Promo Form'!D11</f>
        <v/>
      </c>
      <c r="E11" s="15"/>
      <c r="F11" s="96">
        <f>'Promo Form'!F11</f>
        <v>0</v>
      </c>
      <c r="G11" s="68" t="str">
        <f>'Promo Form'!G11</f>
        <v/>
      </c>
      <c r="H11" s="17" t="str">
        <f>'Promo Form'!J11</f>
        <v/>
      </c>
      <c r="I11" s="18" t="str">
        <f>'Promo Form'!K11</f>
        <v/>
      </c>
      <c r="J11" s="18" t="str">
        <f>'Promo Form'!L11</f>
        <v/>
      </c>
      <c r="K11" s="101" t="str">
        <f>'Promo Form'!M11</f>
        <v/>
      </c>
      <c r="L11" s="102" t="str">
        <f>'Promo Form'!N11</f>
        <v/>
      </c>
      <c r="M11" s="80"/>
      <c r="N11" s="96" t="str">
        <f>'Promo Form'!R11</f>
        <v/>
      </c>
      <c r="O11" s="68" t="str">
        <f>'Promo Form'!S11</f>
        <v/>
      </c>
      <c r="P11" s="17" t="str">
        <f>'Promo Form'!V11</f>
        <v/>
      </c>
      <c r="Q11" s="18" t="str">
        <f>'Promo Form'!W11</f>
        <v/>
      </c>
      <c r="R11" s="18" t="str">
        <f>'Promo Form'!X11</f>
        <v/>
      </c>
      <c r="S11" s="101" t="str">
        <f>'Promo Form'!Y11</f>
        <v/>
      </c>
      <c r="T11" s="102" t="str">
        <f>'Promo Form'!Z11</f>
        <v/>
      </c>
      <c r="U11" s="80"/>
      <c r="V11" s="96" t="str">
        <f>'Promo Form'!AD11</f>
        <v/>
      </c>
      <c r="W11" s="68" t="str">
        <f>'Promo Form'!AE11</f>
        <v/>
      </c>
      <c r="X11" s="17" t="str">
        <f>'Promo Form'!AH11</f>
        <v/>
      </c>
      <c r="Y11" s="18" t="str">
        <f>'Promo Form'!AI11</f>
        <v/>
      </c>
      <c r="Z11" s="18" t="str">
        <f>'Promo Form'!AJ11</f>
        <v/>
      </c>
      <c r="AA11" s="101" t="str">
        <f>'Promo Form'!AK11</f>
        <v/>
      </c>
      <c r="AB11" s="102" t="str">
        <f>'Promo Form'!AL11</f>
        <v/>
      </c>
      <c r="AC11" s="80"/>
      <c r="AD11" s="96" t="str">
        <f>'Promo Form'!AD11</f>
        <v/>
      </c>
      <c r="AE11" s="68" t="str">
        <f>'Promo Form'!AE11</f>
        <v/>
      </c>
      <c r="AF11" s="17" t="str">
        <f>'Promo Form'!AT11</f>
        <v/>
      </c>
      <c r="AG11" s="18" t="str">
        <f>'Promo Form'!AI11</f>
        <v/>
      </c>
      <c r="AH11" s="18" t="str">
        <f>'Promo Form'!AJ11</f>
        <v/>
      </c>
      <c r="AI11" s="101" t="str">
        <f>'Promo Form'!AK11</f>
        <v/>
      </c>
      <c r="AJ11" s="102" t="str">
        <f>'Promo Form'!AL11</f>
        <v/>
      </c>
      <c r="AK11" s="77"/>
      <c r="AL11" s="96" t="str">
        <f>'Promo Form'!AL11</f>
        <v/>
      </c>
      <c r="AM11" s="68" t="str">
        <f>'Promo Form'!AM11</f>
        <v/>
      </c>
      <c r="AN11" s="17" t="str">
        <f>'Promo Form'!BF11</f>
        <v/>
      </c>
      <c r="AO11" s="18" t="str">
        <f>'Promo Form'!AQ11</f>
        <v/>
      </c>
      <c r="AP11" s="18" t="str">
        <f>'Promo Form'!AR11</f>
        <v/>
      </c>
      <c r="AQ11" s="101" t="str">
        <f>'Promo Form'!AS11</f>
        <v/>
      </c>
      <c r="AR11" s="102" t="str">
        <f>'Promo Form'!AT11</f>
        <v/>
      </c>
      <c r="AS11" s="77"/>
      <c r="AT11" s="96" t="str">
        <f>'Promo Form'!BN11</f>
        <v/>
      </c>
      <c r="AU11" s="68" t="str">
        <f>'Promo Form'!BO11</f>
        <v/>
      </c>
      <c r="AV11" s="17" t="str">
        <f>'Promo Form'!BR11</f>
        <v/>
      </c>
      <c r="AW11" s="18" t="str">
        <f>'Promo Form'!BS11</f>
        <v/>
      </c>
      <c r="AX11" s="18" t="str">
        <f>'Promo Form'!BT11</f>
        <v/>
      </c>
      <c r="AY11" s="101" t="str">
        <f>'Promo Form'!BU11</f>
        <v/>
      </c>
      <c r="AZ11" s="102" t="str">
        <f>'Promo Form'!BV11</f>
        <v/>
      </c>
      <c r="BA11" s="77"/>
      <c r="BB11" s="96" t="str">
        <f>'Promo Form'!BZ11</f>
        <v/>
      </c>
      <c r="BC11" s="68" t="str">
        <f>'Promo Form'!CA11</f>
        <v/>
      </c>
      <c r="BD11" s="17" t="str">
        <f>'Promo Form'!CD11</f>
        <v/>
      </c>
      <c r="BE11" s="18" t="str">
        <f>'Promo Form'!CE11</f>
        <v/>
      </c>
      <c r="BF11" s="18" t="str">
        <f>'Promo Form'!CF11</f>
        <v/>
      </c>
      <c r="BG11" s="101" t="str">
        <f>'Promo Form'!CG11</f>
        <v/>
      </c>
      <c r="BH11" s="102" t="str">
        <f>'Promo Form'!CH11</f>
        <v/>
      </c>
      <c r="BI11" s="77"/>
      <c r="BJ11" s="17" t="str">
        <f>'Promo Form'!CL11</f>
        <v/>
      </c>
      <c r="BK11" s="17" t="str">
        <f>'Promo Form'!CM11</f>
        <v/>
      </c>
      <c r="BL11" s="99" t="str">
        <f>'Promo Form'!CN11</f>
        <v/>
      </c>
      <c r="BM11" s="17" t="str">
        <f>'Promo Form'!CO11</f>
        <v/>
      </c>
      <c r="BN11" s="98">
        <f>'Promo Form'!CP11</f>
        <v>0</v>
      </c>
    </row>
    <row r="12" spans="1:66" x14ac:dyDescent="0.2">
      <c r="A12" s="12" t="str">
        <f>'Promo Form'!A12</f>
        <v/>
      </c>
      <c r="B12" s="12" t="str">
        <f>'Promo Form'!B12</f>
        <v/>
      </c>
      <c r="C12" s="13">
        <f>'Promo Form'!C12</f>
        <v>0</v>
      </c>
      <c r="D12" s="14" t="str">
        <f>'Promo Form'!D12</f>
        <v/>
      </c>
      <c r="E12" s="15"/>
      <c r="F12" s="96">
        <f>'Promo Form'!F12</f>
        <v>0</v>
      </c>
      <c r="G12" s="68" t="str">
        <f>'Promo Form'!G12</f>
        <v/>
      </c>
      <c r="H12" s="17" t="str">
        <f>'Promo Form'!J12</f>
        <v/>
      </c>
      <c r="I12" s="18" t="str">
        <f>'Promo Form'!K12</f>
        <v/>
      </c>
      <c r="J12" s="18" t="str">
        <f>'Promo Form'!L12</f>
        <v/>
      </c>
      <c r="K12" s="101" t="str">
        <f>'Promo Form'!M12</f>
        <v/>
      </c>
      <c r="L12" s="102" t="str">
        <f>'Promo Form'!N12</f>
        <v/>
      </c>
      <c r="M12" s="80"/>
      <c r="N12" s="96" t="str">
        <f>'Promo Form'!R12</f>
        <v/>
      </c>
      <c r="O12" s="68" t="str">
        <f>'Promo Form'!S12</f>
        <v/>
      </c>
      <c r="P12" s="17" t="str">
        <f>'Promo Form'!V12</f>
        <v/>
      </c>
      <c r="Q12" s="18" t="str">
        <f>'Promo Form'!W12</f>
        <v/>
      </c>
      <c r="R12" s="18" t="str">
        <f>'Promo Form'!X12</f>
        <v/>
      </c>
      <c r="S12" s="101" t="str">
        <f>'Promo Form'!Y12</f>
        <v/>
      </c>
      <c r="T12" s="102" t="str">
        <f>'Promo Form'!Z12</f>
        <v/>
      </c>
      <c r="U12" s="80"/>
      <c r="V12" s="96" t="str">
        <f>'Promo Form'!AD12</f>
        <v/>
      </c>
      <c r="W12" s="68" t="str">
        <f>'Promo Form'!AE12</f>
        <v/>
      </c>
      <c r="X12" s="17" t="str">
        <f>'Promo Form'!AH12</f>
        <v/>
      </c>
      <c r="Y12" s="18" t="str">
        <f>'Promo Form'!AI12</f>
        <v/>
      </c>
      <c r="Z12" s="18" t="str">
        <f>'Promo Form'!AJ12</f>
        <v/>
      </c>
      <c r="AA12" s="101" t="str">
        <f>'Promo Form'!AK12</f>
        <v/>
      </c>
      <c r="AB12" s="102" t="str">
        <f>'Promo Form'!AL12</f>
        <v/>
      </c>
      <c r="AC12" s="80"/>
      <c r="AD12" s="96" t="str">
        <f>'Promo Form'!AD12</f>
        <v/>
      </c>
      <c r="AE12" s="68" t="str">
        <f>'Promo Form'!AE12</f>
        <v/>
      </c>
      <c r="AF12" s="17" t="str">
        <f>'Promo Form'!AT12</f>
        <v/>
      </c>
      <c r="AG12" s="18" t="str">
        <f>'Promo Form'!AI12</f>
        <v/>
      </c>
      <c r="AH12" s="18" t="str">
        <f>'Promo Form'!AJ12</f>
        <v/>
      </c>
      <c r="AI12" s="101" t="str">
        <f>'Promo Form'!AK12</f>
        <v/>
      </c>
      <c r="AJ12" s="102" t="str">
        <f>'Promo Form'!AL12</f>
        <v/>
      </c>
      <c r="AK12" s="77"/>
      <c r="AL12" s="96" t="str">
        <f>'Promo Form'!AL12</f>
        <v/>
      </c>
      <c r="AM12" s="68" t="str">
        <f>'Promo Form'!AM12</f>
        <v/>
      </c>
      <c r="AN12" s="17" t="str">
        <f>'Promo Form'!BF12</f>
        <v/>
      </c>
      <c r="AO12" s="18" t="str">
        <f>'Promo Form'!AQ12</f>
        <v/>
      </c>
      <c r="AP12" s="18" t="str">
        <f>'Promo Form'!AR12</f>
        <v/>
      </c>
      <c r="AQ12" s="101" t="str">
        <f>'Promo Form'!AS12</f>
        <v/>
      </c>
      <c r="AR12" s="102" t="str">
        <f>'Promo Form'!AT12</f>
        <v/>
      </c>
      <c r="AS12" s="77"/>
      <c r="AT12" s="96" t="str">
        <f>'Promo Form'!BN12</f>
        <v/>
      </c>
      <c r="AU12" s="68" t="str">
        <f>'Promo Form'!BO12</f>
        <v/>
      </c>
      <c r="AV12" s="17" t="str">
        <f>'Promo Form'!BR12</f>
        <v/>
      </c>
      <c r="AW12" s="18" t="str">
        <f>'Promo Form'!BS12</f>
        <v/>
      </c>
      <c r="AX12" s="18" t="str">
        <f>'Promo Form'!BT12</f>
        <v/>
      </c>
      <c r="AY12" s="101" t="str">
        <f>'Promo Form'!BU12</f>
        <v/>
      </c>
      <c r="AZ12" s="102" t="str">
        <f>'Promo Form'!BV12</f>
        <v/>
      </c>
      <c r="BA12" s="77"/>
      <c r="BB12" s="96" t="str">
        <f>'Promo Form'!BZ12</f>
        <v/>
      </c>
      <c r="BC12" s="68" t="str">
        <f>'Promo Form'!CA12</f>
        <v/>
      </c>
      <c r="BD12" s="17" t="str">
        <f>'Promo Form'!CD12</f>
        <v/>
      </c>
      <c r="BE12" s="18" t="str">
        <f>'Promo Form'!CE12</f>
        <v/>
      </c>
      <c r="BF12" s="18" t="str">
        <f>'Promo Form'!CF12</f>
        <v/>
      </c>
      <c r="BG12" s="101" t="str">
        <f>'Promo Form'!CG12</f>
        <v/>
      </c>
      <c r="BH12" s="102" t="str">
        <f>'Promo Form'!CH12</f>
        <v/>
      </c>
      <c r="BI12" s="77"/>
      <c r="BJ12" s="17" t="str">
        <f>'Promo Form'!CL12</f>
        <v/>
      </c>
      <c r="BK12" s="17" t="str">
        <f>'Promo Form'!CM12</f>
        <v/>
      </c>
      <c r="BL12" s="99" t="str">
        <f>'Promo Form'!CN12</f>
        <v/>
      </c>
      <c r="BM12" s="17" t="str">
        <f>'Promo Form'!CO12</f>
        <v/>
      </c>
      <c r="BN12" s="98">
        <f>'Promo Form'!CP12</f>
        <v>0</v>
      </c>
    </row>
    <row r="13" spans="1:66" x14ac:dyDescent="0.2">
      <c r="A13" s="12" t="str">
        <f>'Promo Form'!A13</f>
        <v/>
      </c>
      <c r="B13" s="12" t="str">
        <f>'Promo Form'!B13</f>
        <v/>
      </c>
      <c r="C13" s="13">
        <f>'Promo Form'!C13</f>
        <v>0</v>
      </c>
      <c r="D13" s="14" t="str">
        <f>'Promo Form'!D13</f>
        <v/>
      </c>
      <c r="E13" s="15"/>
      <c r="F13" s="96">
        <f>'Promo Form'!F13</f>
        <v>0</v>
      </c>
      <c r="G13" s="68" t="str">
        <f>'Promo Form'!G13</f>
        <v/>
      </c>
      <c r="H13" s="17" t="str">
        <f>'Promo Form'!J13</f>
        <v/>
      </c>
      <c r="I13" s="18" t="str">
        <f>'Promo Form'!K13</f>
        <v/>
      </c>
      <c r="J13" s="18" t="str">
        <f>'Promo Form'!L13</f>
        <v/>
      </c>
      <c r="K13" s="101" t="str">
        <f>'Promo Form'!M13</f>
        <v/>
      </c>
      <c r="L13" s="102" t="str">
        <f>'Promo Form'!N13</f>
        <v/>
      </c>
      <c r="M13" s="80"/>
      <c r="N13" s="96" t="str">
        <f>'Promo Form'!R13</f>
        <v/>
      </c>
      <c r="O13" s="68" t="str">
        <f>'Promo Form'!S13</f>
        <v/>
      </c>
      <c r="P13" s="17" t="str">
        <f>'Promo Form'!V13</f>
        <v/>
      </c>
      <c r="Q13" s="18" t="str">
        <f>'Promo Form'!W13</f>
        <v/>
      </c>
      <c r="R13" s="18" t="str">
        <f>'Promo Form'!X13</f>
        <v/>
      </c>
      <c r="S13" s="101" t="str">
        <f>'Promo Form'!Y13</f>
        <v/>
      </c>
      <c r="T13" s="102" t="str">
        <f>'Promo Form'!Z13</f>
        <v/>
      </c>
      <c r="U13" s="80"/>
      <c r="V13" s="96" t="str">
        <f>'Promo Form'!AD13</f>
        <v/>
      </c>
      <c r="W13" s="68" t="str">
        <f>'Promo Form'!AE13</f>
        <v/>
      </c>
      <c r="X13" s="17" t="str">
        <f>'Promo Form'!AH13</f>
        <v/>
      </c>
      <c r="Y13" s="18" t="str">
        <f>'Promo Form'!AI13</f>
        <v/>
      </c>
      <c r="Z13" s="18" t="str">
        <f>'Promo Form'!AJ13</f>
        <v/>
      </c>
      <c r="AA13" s="101" t="str">
        <f>'Promo Form'!AK13</f>
        <v/>
      </c>
      <c r="AB13" s="102" t="str">
        <f>'Promo Form'!AL13</f>
        <v/>
      </c>
      <c r="AC13" s="80"/>
      <c r="AD13" s="96" t="str">
        <f>'Promo Form'!AD13</f>
        <v/>
      </c>
      <c r="AE13" s="68" t="str">
        <f>'Promo Form'!AE13</f>
        <v/>
      </c>
      <c r="AF13" s="17" t="str">
        <f>'Promo Form'!AT13</f>
        <v/>
      </c>
      <c r="AG13" s="18" t="str">
        <f>'Promo Form'!AI13</f>
        <v/>
      </c>
      <c r="AH13" s="18" t="str">
        <f>'Promo Form'!AJ13</f>
        <v/>
      </c>
      <c r="AI13" s="101" t="str">
        <f>'Promo Form'!AK13</f>
        <v/>
      </c>
      <c r="AJ13" s="102" t="str">
        <f>'Promo Form'!AL13</f>
        <v/>
      </c>
      <c r="AK13" s="77"/>
      <c r="AL13" s="96" t="str">
        <f>'Promo Form'!AL13</f>
        <v/>
      </c>
      <c r="AM13" s="68" t="str">
        <f>'Promo Form'!AM13</f>
        <v/>
      </c>
      <c r="AN13" s="17" t="str">
        <f>'Promo Form'!BF13</f>
        <v/>
      </c>
      <c r="AO13" s="18" t="str">
        <f>'Promo Form'!AQ13</f>
        <v/>
      </c>
      <c r="AP13" s="18" t="str">
        <f>'Promo Form'!AR13</f>
        <v/>
      </c>
      <c r="AQ13" s="101" t="str">
        <f>'Promo Form'!AS13</f>
        <v/>
      </c>
      <c r="AR13" s="102" t="str">
        <f>'Promo Form'!AT13</f>
        <v/>
      </c>
      <c r="AS13" s="77"/>
      <c r="AT13" s="96" t="str">
        <f>'Promo Form'!BN13</f>
        <v/>
      </c>
      <c r="AU13" s="68" t="str">
        <f>'Promo Form'!BO13</f>
        <v/>
      </c>
      <c r="AV13" s="17" t="str">
        <f>'Promo Form'!BR13</f>
        <v/>
      </c>
      <c r="AW13" s="18" t="str">
        <f>'Promo Form'!BS13</f>
        <v/>
      </c>
      <c r="AX13" s="18" t="str">
        <f>'Promo Form'!BT13</f>
        <v/>
      </c>
      <c r="AY13" s="101" t="str">
        <f>'Promo Form'!BU13</f>
        <v/>
      </c>
      <c r="AZ13" s="102" t="str">
        <f>'Promo Form'!BV13</f>
        <v/>
      </c>
      <c r="BA13" s="77"/>
      <c r="BB13" s="96" t="str">
        <f>'Promo Form'!BZ13</f>
        <v/>
      </c>
      <c r="BC13" s="68" t="str">
        <f>'Promo Form'!CA13</f>
        <v/>
      </c>
      <c r="BD13" s="17" t="str">
        <f>'Promo Form'!CD13</f>
        <v/>
      </c>
      <c r="BE13" s="18" t="str">
        <f>'Promo Form'!CE13</f>
        <v/>
      </c>
      <c r="BF13" s="18" t="str">
        <f>'Promo Form'!CF13</f>
        <v/>
      </c>
      <c r="BG13" s="101" t="str">
        <f>'Promo Form'!CG13</f>
        <v/>
      </c>
      <c r="BH13" s="102" t="str">
        <f>'Promo Form'!CH13</f>
        <v/>
      </c>
      <c r="BI13" s="77"/>
      <c r="BJ13" s="17" t="str">
        <f>'Promo Form'!CL13</f>
        <v/>
      </c>
      <c r="BK13" s="17" t="str">
        <f>'Promo Form'!CM13</f>
        <v/>
      </c>
      <c r="BL13" s="99" t="str">
        <f>'Promo Form'!CN13</f>
        <v/>
      </c>
      <c r="BM13" s="17" t="str">
        <f>'Promo Form'!CO13</f>
        <v/>
      </c>
      <c r="BN13" s="98">
        <f>'Promo Form'!CP13</f>
        <v>0</v>
      </c>
    </row>
    <row r="14" spans="1:66" x14ac:dyDescent="0.2">
      <c r="A14" s="12" t="str">
        <f>'Promo Form'!A14</f>
        <v/>
      </c>
      <c r="B14" s="12" t="str">
        <f>'Promo Form'!B14</f>
        <v/>
      </c>
      <c r="C14" s="13">
        <f>'Promo Form'!C14</f>
        <v>0</v>
      </c>
      <c r="D14" s="14" t="str">
        <f>'Promo Form'!D14</f>
        <v/>
      </c>
      <c r="E14" s="15"/>
      <c r="F14" s="96">
        <f>'Promo Form'!F14</f>
        <v>0</v>
      </c>
      <c r="G14" s="68" t="str">
        <f>'Promo Form'!G14</f>
        <v/>
      </c>
      <c r="H14" s="17" t="str">
        <f>'Promo Form'!J14</f>
        <v/>
      </c>
      <c r="I14" s="18" t="str">
        <f>'Promo Form'!K14</f>
        <v/>
      </c>
      <c r="J14" s="18" t="str">
        <f>'Promo Form'!L14</f>
        <v/>
      </c>
      <c r="K14" s="101" t="str">
        <f>'Promo Form'!M14</f>
        <v/>
      </c>
      <c r="L14" s="102" t="str">
        <f>'Promo Form'!N14</f>
        <v/>
      </c>
      <c r="M14" s="80"/>
      <c r="N14" s="96" t="str">
        <f>'Promo Form'!R14</f>
        <v/>
      </c>
      <c r="O14" s="68" t="str">
        <f>'Promo Form'!S14</f>
        <v/>
      </c>
      <c r="P14" s="17" t="str">
        <f>'Promo Form'!V14</f>
        <v/>
      </c>
      <c r="Q14" s="18" t="str">
        <f>'Promo Form'!W14</f>
        <v/>
      </c>
      <c r="R14" s="18" t="str">
        <f>'Promo Form'!X14</f>
        <v/>
      </c>
      <c r="S14" s="101" t="str">
        <f>'Promo Form'!Y14</f>
        <v/>
      </c>
      <c r="T14" s="102" t="str">
        <f>'Promo Form'!Z14</f>
        <v/>
      </c>
      <c r="U14" s="80"/>
      <c r="V14" s="96" t="str">
        <f>'Promo Form'!AD14</f>
        <v/>
      </c>
      <c r="W14" s="68" t="str">
        <f>'Promo Form'!AE14</f>
        <v/>
      </c>
      <c r="X14" s="17" t="str">
        <f>'Promo Form'!AH14</f>
        <v/>
      </c>
      <c r="Y14" s="18" t="str">
        <f>'Promo Form'!AI14</f>
        <v/>
      </c>
      <c r="Z14" s="18" t="str">
        <f>'Promo Form'!AJ14</f>
        <v/>
      </c>
      <c r="AA14" s="101" t="str">
        <f>'Promo Form'!AK14</f>
        <v/>
      </c>
      <c r="AB14" s="102" t="str">
        <f>'Promo Form'!AL14</f>
        <v/>
      </c>
      <c r="AC14" s="80"/>
      <c r="AD14" s="96" t="str">
        <f>'Promo Form'!AD14</f>
        <v/>
      </c>
      <c r="AE14" s="68" t="str">
        <f>'Promo Form'!AE14</f>
        <v/>
      </c>
      <c r="AF14" s="17" t="str">
        <f>'Promo Form'!AT14</f>
        <v/>
      </c>
      <c r="AG14" s="18" t="str">
        <f>'Promo Form'!AI14</f>
        <v/>
      </c>
      <c r="AH14" s="18" t="str">
        <f>'Promo Form'!AJ14</f>
        <v/>
      </c>
      <c r="AI14" s="101" t="str">
        <f>'Promo Form'!AK14</f>
        <v/>
      </c>
      <c r="AJ14" s="102" t="str">
        <f>'Promo Form'!AL14</f>
        <v/>
      </c>
      <c r="AK14" s="77"/>
      <c r="AL14" s="96" t="str">
        <f>'Promo Form'!AL14</f>
        <v/>
      </c>
      <c r="AM14" s="68" t="str">
        <f>'Promo Form'!AM14</f>
        <v/>
      </c>
      <c r="AN14" s="17" t="str">
        <f>'Promo Form'!BF14</f>
        <v/>
      </c>
      <c r="AO14" s="18" t="str">
        <f>'Promo Form'!AQ14</f>
        <v/>
      </c>
      <c r="AP14" s="18" t="str">
        <f>'Promo Form'!AR14</f>
        <v/>
      </c>
      <c r="AQ14" s="101" t="str">
        <f>'Promo Form'!AS14</f>
        <v/>
      </c>
      <c r="AR14" s="102" t="str">
        <f>'Promo Form'!AT14</f>
        <v/>
      </c>
      <c r="AS14" s="77"/>
      <c r="AT14" s="96" t="str">
        <f>'Promo Form'!BN14</f>
        <v/>
      </c>
      <c r="AU14" s="68" t="str">
        <f>'Promo Form'!BO14</f>
        <v/>
      </c>
      <c r="AV14" s="17" t="str">
        <f>'Promo Form'!BR14</f>
        <v/>
      </c>
      <c r="AW14" s="18" t="str">
        <f>'Promo Form'!BS14</f>
        <v/>
      </c>
      <c r="AX14" s="18" t="str">
        <f>'Promo Form'!BT14</f>
        <v/>
      </c>
      <c r="AY14" s="101" t="str">
        <f>'Promo Form'!BU14</f>
        <v/>
      </c>
      <c r="AZ14" s="102" t="str">
        <f>'Promo Form'!BV14</f>
        <v/>
      </c>
      <c r="BA14" s="77"/>
      <c r="BB14" s="96" t="str">
        <f>'Promo Form'!BZ14</f>
        <v/>
      </c>
      <c r="BC14" s="68" t="str">
        <f>'Promo Form'!CA14</f>
        <v/>
      </c>
      <c r="BD14" s="17" t="str">
        <f>'Promo Form'!CD14</f>
        <v/>
      </c>
      <c r="BE14" s="18" t="str">
        <f>'Promo Form'!CE14</f>
        <v/>
      </c>
      <c r="BF14" s="18" t="str">
        <f>'Promo Form'!CF14</f>
        <v/>
      </c>
      <c r="BG14" s="101" t="str">
        <f>'Promo Form'!CG14</f>
        <v/>
      </c>
      <c r="BH14" s="102" t="str">
        <f>'Promo Form'!CH14</f>
        <v/>
      </c>
      <c r="BI14" s="77"/>
      <c r="BJ14" s="17" t="str">
        <f>'Promo Form'!CL14</f>
        <v/>
      </c>
      <c r="BK14" s="17" t="str">
        <f>'Promo Form'!CM14</f>
        <v/>
      </c>
      <c r="BL14" s="99" t="str">
        <f>'Promo Form'!CN14</f>
        <v/>
      </c>
      <c r="BM14" s="17" t="str">
        <f>'Promo Form'!CO14</f>
        <v/>
      </c>
      <c r="BN14" s="98">
        <f>'Promo Form'!CP14</f>
        <v>0</v>
      </c>
    </row>
    <row r="15" spans="1:66" x14ac:dyDescent="0.2">
      <c r="A15" s="12" t="str">
        <f>'Promo Form'!A15</f>
        <v/>
      </c>
      <c r="B15" s="12" t="str">
        <f>'Promo Form'!B15</f>
        <v/>
      </c>
      <c r="C15" s="13">
        <f>'Promo Form'!C15</f>
        <v>0</v>
      </c>
      <c r="D15" s="14" t="str">
        <f>'Promo Form'!D15</f>
        <v/>
      </c>
      <c r="E15" s="15"/>
      <c r="F15" s="96">
        <f>'Promo Form'!F15</f>
        <v>0</v>
      </c>
      <c r="G15" s="68" t="str">
        <f>'Promo Form'!G15</f>
        <v/>
      </c>
      <c r="H15" s="17" t="str">
        <f>'Promo Form'!J15</f>
        <v/>
      </c>
      <c r="I15" s="18" t="str">
        <f>'Promo Form'!K15</f>
        <v/>
      </c>
      <c r="J15" s="18" t="str">
        <f>'Promo Form'!L15</f>
        <v/>
      </c>
      <c r="K15" s="101" t="str">
        <f>'Promo Form'!M15</f>
        <v/>
      </c>
      <c r="L15" s="102" t="str">
        <f>'Promo Form'!N15</f>
        <v/>
      </c>
      <c r="M15" s="80"/>
      <c r="N15" s="96" t="str">
        <f>'Promo Form'!R15</f>
        <v/>
      </c>
      <c r="O15" s="68" t="str">
        <f>'Promo Form'!S15</f>
        <v/>
      </c>
      <c r="P15" s="17" t="str">
        <f>'Promo Form'!V15</f>
        <v/>
      </c>
      <c r="Q15" s="18" t="str">
        <f>'Promo Form'!W15</f>
        <v/>
      </c>
      <c r="R15" s="18" t="str">
        <f>'Promo Form'!X15</f>
        <v/>
      </c>
      <c r="S15" s="101" t="str">
        <f>'Promo Form'!Y15</f>
        <v/>
      </c>
      <c r="T15" s="102" t="str">
        <f>'Promo Form'!Z15</f>
        <v/>
      </c>
      <c r="U15" s="80"/>
      <c r="V15" s="96" t="str">
        <f>'Promo Form'!AD15</f>
        <v/>
      </c>
      <c r="W15" s="68" t="str">
        <f>'Promo Form'!AE15</f>
        <v/>
      </c>
      <c r="X15" s="17" t="str">
        <f>'Promo Form'!AH15</f>
        <v/>
      </c>
      <c r="Y15" s="18" t="str">
        <f>'Promo Form'!AI15</f>
        <v/>
      </c>
      <c r="Z15" s="18" t="str">
        <f>'Promo Form'!AJ15</f>
        <v/>
      </c>
      <c r="AA15" s="101" t="str">
        <f>'Promo Form'!AK15</f>
        <v/>
      </c>
      <c r="AB15" s="102" t="str">
        <f>'Promo Form'!AL15</f>
        <v/>
      </c>
      <c r="AC15" s="80"/>
      <c r="AD15" s="96" t="str">
        <f>'Promo Form'!AD15</f>
        <v/>
      </c>
      <c r="AE15" s="68" t="str">
        <f>'Promo Form'!AE15</f>
        <v/>
      </c>
      <c r="AF15" s="17" t="str">
        <f>'Promo Form'!AT15</f>
        <v/>
      </c>
      <c r="AG15" s="18" t="str">
        <f>'Promo Form'!AI15</f>
        <v/>
      </c>
      <c r="AH15" s="18" t="str">
        <f>'Promo Form'!AJ15</f>
        <v/>
      </c>
      <c r="AI15" s="101" t="str">
        <f>'Promo Form'!AK15</f>
        <v/>
      </c>
      <c r="AJ15" s="102" t="str">
        <f>'Promo Form'!AL15</f>
        <v/>
      </c>
      <c r="AK15" s="77"/>
      <c r="AL15" s="96" t="str">
        <f>'Promo Form'!AL15</f>
        <v/>
      </c>
      <c r="AM15" s="68" t="str">
        <f>'Promo Form'!AM15</f>
        <v/>
      </c>
      <c r="AN15" s="17" t="str">
        <f>'Promo Form'!BF15</f>
        <v/>
      </c>
      <c r="AO15" s="18" t="str">
        <f>'Promo Form'!AQ15</f>
        <v/>
      </c>
      <c r="AP15" s="18" t="str">
        <f>'Promo Form'!AR15</f>
        <v/>
      </c>
      <c r="AQ15" s="101" t="str">
        <f>'Promo Form'!AS15</f>
        <v/>
      </c>
      <c r="AR15" s="102" t="str">
        <f>'Promo Form'!AT15</f>
        <v/>
      </c>
      <c r="AS15" s="77"/>
      <c r="AT15" s="96" t="str">
        <f>'Promo Form'!BN15</f>
        <v/>
      </c>
      <c r="AU15" s="68" t="str">
        <f>'Promo Form'!BO15</f>
        <v/>
      </c>
      <c r="AV15" s="17" t="str">
        <f>'Promo Form'!BR15</f>
        <v/>
      </c>
      <c r="AW15" s="18" t="str">
        <f>'Promo Form'!BS15</f>
        <v/>
      </c>
      <c r="AX15" s="18" t="str">
        <f>'Promo Form'!BT15</f>
        <v/>
      </c>
      <c r="AY15" s="101" t="str">
        <f>'Promo Form'!BU15</f>
        <v/>
      </c>
      <c r="AZ15" s="102" t="str">
        <f>'Promo Form'!BV15</f>
        <v/>
      </c>
      <c r="BA15" s="77"/>
      <c r="BB15" s="96" t="str">
        <f>'Promo Form'!BZ15</f>
        <v/>
      </c>
      <c r="BC15" s="68" t="str">
        <f>'Promo Form'!CA15</f>
        <v/>
      </c>
      <c r="BD15" s="17" t="str">
        <f>'Promo Form'!CD15</f>
        <v/>
      </c>
      <c r="BE15" s="18" t="str">
        <f>'Promo Form'!CE15</f>
        <v/>
      </c>
      <c r="BF15" s="18" t="str">
        <f>'Promo Form'!CF15</f>
        <v/>
      </c>
      <c r="BG15" s="101" t="str">
        <f>'Promo Form'!CG15</f>
        <v/>
      </c>
      <c r="BH15" s="102" t="str">
        <f>'Promo Form'!CH15</f>
        <v/>
      </c>
      <c r="BI15" s="77"/>
      <c r="BJ15" s="17" t="str">
        <f>'Promo Form'!CL15</f>
        <v/>
      </c>
      <c r="BK15" s="17" t="str">
        <f>'Promo Form'!CM15</f>
        <v/>
      </c>
      <c r="BL15" s="99" t="str">
        <f>'Promo Form'!CN15</f>
        <v/>
      </c>
      <c r="BM15" s="17" t="str">
        <f>'Promo Form'!CO15</f>
        <v/>
      </c>
      <c r="BN15" s="98">
        <f>'Promo Form'!CP15</f>
        <v>0</v>
      </c>
    </row>
    <row r="16" spans="1:66" x14ac:dyDescent="0.2">
      <c r="A16" s="12" t="str">
        <f>'Promo Form'!A16</f>
        <v/>
      </c>
      <c r="B16" s="12" t="str">
        <f>'Promo Form'!B16</f>
        <v/>
      </c>
      <c r="C16" s="13">
        <f>'Promo Form'!C16</f>
        <v>0</v>
      </c>
      <c r="D16" s="14" t="str">
        <f>'Promo Form'!D16</f>
        <v/>
      </c>
      <c r="E16" s="15"/>
      <c r="F16" s="96">
        <f>'Promo Form'!F16</f>
        <v>0</v>
      </c>
      <c r="G16" s="68" t="str">
        <f>'Promo Form'!G16</f>
        <v/>
      </c>
      <c r="H16" s="17" t="str">
        <f>'Promo Form'!J16</f>
        <v/>
      </c>
      <c r="I16" s="18" t="str">
        <f>'Promo Form'!K16</f>
        <v/>
      </c>
      <c r="J16" s="18" t="str">
        <f>'Promo Form'!L16</f>
        <v/>
      </c>
      <c r="K16" s="101" t="str">
        <f>'Promo Form'!M16</f>
        <v/>
      </c>
      <c r="L16" s="102" t="str">
        <f>'Promo Form'!N16</f>
        <v/>
      </c>
      <c r="M16" s="80"/>
      <c r="N16" s="96" t="str">
        <f>'Promo Form'!R16</f>
        <v/>
      </c>
      <c r="O16" s="68" t="str">
        <f>'Promo Form'!S16</f>
        <v/>
      </c>
      <c r="P16" s="17" t="str">
        <f>'Promo Form'!V16</f>
        <v/>
      </c>
      <c r="Q16" s="18" t="str">
        <f>'Promo Form'!W16</f>
        <v/>
      </c>
      <c r="R16" s="18" t="str">
        <f>'Promo Form'!X16</f>
        <v/>
      </c>
      <c r="S16" s="101" t="str">
        <f>'Promo Form'!Y16</f>
        <v/>
      </c>
      <c r="T16" s="102" t="str">
        <f>'Promo Form'!Z16</f>
        <v/>
      </c>
      <c r="U16" s="80"/>
      <c r="V16" s="96" t="str">
        <f>'Promo Form'!AD16</f>
        <v/>
      </c>
      <c r="W16" s="68" t="str">
        <f>'Promo Form'!AE16</f>
        <v/>
      </c>
      <c r="X16" s="17" t="str">
        <f>'Promo Form'!AH16</f>
        <v/>
      </c>
      <c r="Y16" s="18" t="str">
        <f>'Promo Form'!AI16</f>
        <v/>
      </c>
      <c r="Z16" s="18" t="str">
        <f>'Promo Form'!AJ16</f>
        <v/>
      </c>
      <c r="AA16" s="101" t="str">
        <f>'Promo Form'!AK16</f>
        <v/>
      </c>
      <c r="AB16" s="102" t="str">
        <f>'Promo Form'!AL16</f>
        <v/>
      </c>
      <c r="AC16" s="80"/>
      <c r="AD16" s="96" t="str">
        <f>'Promo Form'!AD16</f>
        <v/>
      </c>
      <c r="AE16" s="68" t="str">
        <f>'Promo Form'!AE16</f>
        <v/>
      </c>
      <c r="AF16" s="17" t="str">
        <f>'Promo Form'!AT16</f>
        <v/>
      </c>
      <c r="AG16" s="18" t="str">
        <f>'Promo Form'!AI16</f>
        <v/>
      </c>
      <c r="AH16" s="18" t="str">
        <f>'Promo Form'!AJ16</f>
        <v/>
      </c>
      <c r="AI16" s="101" t="str">
        <f>'Promo Form'!AK16</f>
        <v/>
      </c>
      <c r="AJ16" s="102" t="str">
        <f>'Promo Form'!AL16</f>
        <v/>
      </c>
      <c r="AK16" s="77"/>
      <c r="AL16" s="96" t="str">
        <f>'Promo Form'!AL16</f>
        <v/>
      </c>
      <c r="AM16" s="68" t="str">
        <f>'Promo Form'!AM16</f>
        <v/>
      </c>
      <c r="AN16" s="17" t="str">
        <f>'Promo Form'!BF16</f>
        <v/>
      </c>
      <c r="AO16" s="18" t="str">
        <f>'Promo Form'!AQ16</f>
        <v/>
      </c>
      <c r="AP16" s="18" t="str">
        <f>'Promo Form'!AR16</f>
        <v/>
      </c>
      <c r="AQ16" s="101" t="str">
        <f>'Promo Form'!AS16</f>
        <v/>
      </c>
      <c r="AR16" s="102" t="str">
        <f>'Promo Form'!AT16</f>
        <v/>
      </c>
      <c r="AS16" s="77"/>
      <c r="AT16" s="96" t="str">
        <f>'Promo Form'!BN16</f>
        <v/>
      </c>
      <c r="AU16" s="68" t="str">
        <f>'Promo Form'!BO16</f>
        <v/>
      </c>
      <c r="AV16" s="17" t="str">
        <f>'Promo Form'!BR16</f>
        <v/>
      </c>
      <c r="AW16" s="18" t="str">
        <f>'Promo Form'!BS16</f>
        <v/>
      </c>
      <c r="AX16" s="18" t="str">
        <f>'Promo Form'!BT16</f>
        <v/>
      </c>
      <c r="AY16" s="101" t="str">
        <f>'Promo Form'!BU16</f>
        <v/>
      </c>
      <c r="AZ16" s="102" t="str">
        <f>'Promo Form'!BV16</f>
        <v/>
      </c>
      <c r="BA16" s="77"/>
      <c r="BB16" s="96" t="str">
        <f>'Promo Form'!BZ16</f>
        <v/>
      </c>
      <c r="BC16" s="68" t="str">
        <f>'Promo Form'!CA16</f>
        <v/>
      </c>
      <c r="BD16" s="17" t="str">
        <f>'Promo Form'!CD16</f>
        <v/>
      </c>
      <c r="BE16" s="18" t="str">
        <f>'Promo Form'!CE16</f>
        <v/>
      </c>
      <c r="BF16" s="18" t="str">
        <f>'Promo Form'!CF16</f>
        <v/>
      </c>
      <c r="BG16" s="101" t="str">
        <f>'Promo Form'!CG16</f>
        <v/>
      </c>
      <c r="BH16" s="102" t="str">
        <f>'Promo Form'!CH16</f>
        <v/>
      </c>
      <c r="BI16" s="77"/>
      <c r="BJ16" s="17" t="str">
        <f>'Promo Form'!CL16</f>
        <v/>
      </c>
      <c r="BK16" s="17" t="str">
        <f>'Promo Form'!CM16</f>
        <v/>
      </c>
      <c r="BL16" s="99" t="str">
        <f>'Promo Form'!CN16</f>
        <v/>
      </c>
      <c r="BM16" s="17" t="str">
        <f>'Promo Form'!CO16</f>
        <v/>
      </c>
      <c r="BN16" s="98">
        <f>'Promo Form'!CP16</f>
        <v>0</v>
      </c>
    </row>
    <row r="17" spans="1:66" x14ac:dyDescent="0.2">
      <c r="A17" s="12" t="str">
        <f>'Promo Form'!A17</f>
        <v/>
      </c>
      <c r="B17" s="12" t="str">
        <f>'Promo Form'!B17</f>
        <v/>
      </c>
      <c r="C17" s="13">
        <f>'Promo Form'!C17</f>
        <v>0</v>
      </c>
      <c r="D17" s="14" t="str">
        <f>'Promo Form'!D17</f>
        <v/>
      </c>
      <c r="E17" s="15"/>
      <c r="F17" s="96">
        <f>'Promo Form'!F17</f>
        <v>0</v>
      </c>
      <c r="G17" s="68" t="str">
        <f>'Promo Form'!G17</f>
        <v/>
      </c>
      <c r="H17" s="17" t="str">
        <f>'Promo Form'!J17</f>
        <v/>
      </c>
      <c r="I17" s="18" t="str">
        <f>'Promo Form'!K17</f>
        <v/>
      </c>
      <c r="J17" s="18" t="str">
        <f>'Promo Form'!L17</f>
        <v/>
      </c>
      <c r="K17" s="101" t="str">
        <f>'Promo Form'!M17</f>
        <v/>
      </c>
      <c r="L17" s="102" t="str">
        <f>'Promo Form'!N17</f>
        <v/>
      </c>
      <c r="M17" s="80"/>
      <c r="N17" s="96" t="str">
        <f>'Promo Form'!R17</f>
        <v/>
      </c>
      <c r="O17" s="68" t="str">
        <f>'Promo Form'!S17</f>
        <v/>
      </c>
      <c r="P17" s="17" t="str">
        <f>'Promo Form'!V17</f>
        <v/>
      </c>
      <c r="Q17" s="18" t="str">
        <f>'Promo Form'!W17</f>
        <v/>
      </c>
      <c r="R17" s="18" t="str">
        <f>'Promo Form'!X17</f>
        <v/>
      </c>
      <c r="S17" s="101" t="str">
        <f>'Promo Form'!Y17</f>
        <v/>
      </c>
      <c r="T17" s="102" t="str">
        <f>'Promo Form'!Z17</f>
        <v/>
      </c>
      <c r="U17" s="80"/>
      <c r="V17" s="96" t="str">
        <f>'Promo Form'!AD17</f>
        <v/>
      </c>
      <c r="W17" s="68" t="str">
        <f>'Promo Form'!AE17</f>
        <v/>
      </c>
      <c r="X17" s="17" t="str">
        <f>'Promo Form'!AH17</f>
        <v/>
      </c>
      <c r="Y17" s="18" t="str">
        <f>'Promo Form'!AI17</f>
        <v/>
      </c>
      <c r="Z17" s="18" t="str">
        <f>'Promo Form'!AJ17</f>
        <v/>
      </c>
      <c r="AA17" s="101" t="str">
        <f>'Promo Form'!AK17</f>
        <v/>
      </c>
      <c r="AB17" s="102" t="str">
        <f>'Promo Form'!AL17</f>
        <v/>
      </c>
      <c r="AC17" s="80"/>
      <c r="AD17" s="96" t="str">
        <f>'Promo Form'!AD17</f>
        <v/>
      </c>
      <c r="AE17" s="68" t="str">
        <f>'Promo Form'!AE17</f>
        <v/>
      </c>
      <c r="AF17" s="17" t="str">
        <f>'Promo Form'!AT17</f>
        <v/>
      </c>
      <c r="AG17" s="18" t="str">
        <f>'Promo Form'!AI17</f>
        <v/>
      </c>
      <c r="AH17" s="18" t="str">
        <f>'Promo Form'!AJ17</f>
        <v/>
      </c>
      <c r="AI17" s="101" t="str">
        <f>'Promo Form'!AK17</f>
        <v/>
      </c>
      <c r="AJ17" s="102" t="str">
        <f>'Promo Form'!AL17</f>
        <v/>
      </c>
      <c r="AK17" s="77"/>
      <c r="AL17" s="96" t="str">
        <f>'Promo Form'!AL17</f>
        <v/>
      </c>
      <c r="AM17" s="68" t="str">
        <f>'Promo Form'!AM17</f>
        <v/>
      </c>
      <c r="AN17" s="17" t="str">
        <f>'Promo Form'!BF17</f>
        <v/>
      </c>
      <c r="AO17" s="18" t="str">
        <f>'Promo Form'!AQ17</f>
        <v/>
      </c>
      <c r="AP17" s="18" t="str">
        <f>'Promo Form'!AR17</f>
        <v/>
      </c>
      <c r="AQ17" s="101" t="str">
        <f>'Promo Form'!AS17</f>
        <v/>
      </c>
      <c r="AR17" s="102" t="str">
        <f>'Promo Form'!AT17</f>
        <v/>
      </c>
      <c r="AS17" s="77"/>
      <c r="AT17" s="96" t="str">
        <f>'Promo Form'!BN17</f>
        <v/>
      </c>
      <c r="AU17" s="68" t="str">
        <f>'Promo Form'!BO17</f>
        <v/>
      </c>
      <c r="AV17" s="17" t="str">
        <f>'Promo Form'!BR17</f>
        <v/>
      </c>
      <c r="AW17" s="18" t="str">
        <f>'Promo Form'!BS17</f>
        <v/>
      </c>
      <c r="AX17" s="18" t="str">
        <f>'Promo Form'!BT17</f>
        <v/>
      </c>
      <c r="AY17" s="101" t="str">
        <f>'Promo Form'!BU17</f>
        <v/>
      </c>
      <c r="AZ17" s="102" t="str">
        <f>'Promo Form'!BV17</f>
        <v/>
      </c>
      <c r="BA17" s="77"/>
      <c r="BB17" s="96" t="str">
        <f>'Promo Form'!BZ17</f>
        <v/>
      </c>
      <c r="BC17" s="68" t="str">
        <f>'Promo Form'!CA17</f>
        <v/>
      </c>
      <c r="BD17" s="17" t="str">
        <f>'Promo Form'!CD17</f>
        <v/>
      </c>
      <c r="BE17" s="18" t="str">
        <f>'Promo Form'!CE17</f>
        <v/>
      </c>
      <c r="BF17" s="18" t="str">
        <f>'Promo Form'!CF17</f>
        <v/>
      </c>
      <c r="BG17" s="101" t="str">
        <f>'Promo Form'!CG17</f>
        <v/>
      </c>
      <c r="BH17" s="102" t="str">
        <f>'Promo Form'!CH17</f>
        <v/>
      </c>
      <c r="BI17" s="77"/>
      <c r="BJ17" s="17" t="str">
        <f>'Promo Form'!CL17</f>
        <v/>
      </c>
      <c r="BK17" s="17" t="str">
        <f>'Promo Form'!CM17</f>
        <v/>
      </c>
      <c r="BL17" s="99" t="str">
        <f>'Promo Form'!CN17</f>
        <v/>
      </c>
      <c r="BM17" s="17" t="str">
        <f>'Promo Form'!CO17</f>
        <v/>
      </c>
      <c r="BN17" s="98">
        <f>'Promo Form'!CP17</f>
        <v>0</v>
      </c>
    </row>
    <row r="18" spans="1:66" x14ac:dyDescent="0.2">
      <c r="A18" s="12" t="str">
        <f>'Promo Form'!A18</f>
        <v/>
      </c>
      <c r="B18" s="12" t="str">
        <f>'Promo Form'!B18</f>
        <v/>
      </c>
      <c r="C18" s="13">
        <f>'Promo Form'!C18</f>
        <v>0</v>
      </c>
      <c r="D18" s="14" t="str">
        <f>'Promo Form'!D18</f>
        <v/>
      </c>
      <c r="E18" s="15"/>
      <c r="F18" s="96">
        <f>'Promo Form'!F18</f>
        <v>0</v>
      </c>
      <c r="G18" s="68" t="str">
        <f>'Promo Form'!G18</f>
        <v/>
      </c>
      <c r="H18" s="17" t="str">
        <f>'Promo Form'!J18</f>
        <v/>
      </c>
      <c r="I18" s="18" t="str">
        <f>'Promo Form'!K18</f>
        <v/>
      </c>
      <c r="J18" s="18" t="str">
        <f>'Promo Form'!L18</f>
        <v/>
      </c>
      <c r="K18" s="101" t="str">
        <f>'Promo Form'!M18</f>
        <v/>
      </c>
      <c r="L18" s="102" t="str">
        <f>'Promo Form'!N18</f>
        <v/>
      </c>
      <c r="M18" s="80"/>
      <c r="N18" s="96" t="str">
        <f>'Promo Form'!R18</f>
        <v/>
      </c>
      <c r="O18" s="68" t="str">
        <f>'Promo Form'!S18</f>
        <v/>
      </c>
      <c r="P18" s="17" t="str">
        <f>'Promo Form'!V18</f>
        <v/>
      </c>
      <c r="Q18" s="18" t="str">
        <f>'Promo Form'!W18</f>
        <v/>
      </c>
      <c r="R18" s="18" t="str">
        <f>'Promo Form'!X18</f>
        <v/>
      </c>
      <c r="S18" s="101" t="str">
        <f>'Promo Form'!Y18</f>
        <v/>
      </c>
      <c r="T18" s="102" t="str">
        <f>'Promo Form'!Z18</f>
        <v/>
      </c>
      <c r="U18" s="80"/>
      <c r="V18" s="96" t="str">
        <f>'Promo Form'!AD18</f>
        <v/>
      </c>
      <c r="W18" s="68" t="str">
        <f>'Promo Form'!AE18</f>
        <v/>
      </c>
      <c r="X18" s="17" t="str">
        <f>'Promo Form'!AH18</f>
        <v/>
      </c>
      <c r="Y18" s="18" t="str">
        <f>'Promo Form'!AI18</f>
        <v/>
      </c>
      <c r="Z18" s="18" t="str">
        <f>'Promo Form'!AJ18</f>
        <v/>
      </c>
      <c r="AA18" s="101" t="str">
        <f>'Promo Form'!AK18</f>
        <v/>
      </c>
      <c r="AB18" s="102" t="str">
        <f>'Promo Form'!AL18</f>
        <v/>
      </c>
      <c r="AC18" s="80"/>
      <c r="AD18" s="96" t="str">
        <f>'Promo Form'!AD18</f>
        <v/>
      </c>
      <c r="AE18" s="68" t="str">
        <f>'Promo Form'!AE18</f>
        <v/>
      </c>
      <c r="AF18" s="17" t="str">
        <f>'Promo Form'!AT18</f>
        <v/>
      </c>
      <c r="AG18" s="18" t="str">
        <f>'Promo Form'!AI18</f>
        <v/>
      </c>
      <c r="AH18" s="18" t="str">
        <f>'Promo Form'!AJ18</f>
        <v/>
      </c>
      <c r="AI18" s="101" t="str">
        <f>'Promo Form'!AK18</f>
        <v/>
      </c>
      <c r="AJ18" s="102" t="str">
        <f>'Promo Form'!AL18</f>
        <v/>
      </c>
      <c r="AK18" s="77"/>
      <c r="AL18" s="96" t="str">
        <f>'Promo Form'!AL18</f>
        <v/>
      </c>
      <c r="AM18" s="68" t="str">
        <f>'Promo Form'!AM18</f>
        <v/>
      </c>
      <c r="AN18" s="17" t="str">
        <f>'Promo Form'!BF18</f>
        <v/>
      </c>
      <c r="AO18" s="18" t="str">
        <f>'Promo Form'!AQ18</f>
        <v/>
      </c>
      <c r="AP18" s="18" t="str">
        <f>'Promo Form'!AR18</f>
        <v/>
      </c>
      <c r="AQ18" s="101" t="str">
        <f>'Promo Form'!AS18</f>
        <v/>
      </c>
      <c r="AR18" s="102" t="str">
        <f>'Promo Form'!AT18</f>
        <v/>
      </c>
      <c r="AS18" s="77"/>
      <c r="AT18" s="96" t="str">
        <f>'Promo Form'!BN18</f>
        <v/>
      </c>
      <c r="AU18" s="68" t="str">
        <f>'Promo Form'!BO18</f>
        <v/>
      </c>
      <c r="AV18" s="17" t="str">
        <f>'Promo Form'!BR18</f>
        <v/>
      </c>
      <c r="AW18" s="18" t="str">
        <f>'Promo Form'!BS18</f>
        <v/>
      </c>
      <c r="AX18" s="18" t="str">
        <f>'Promo Form'!BT18</f>
        <v/>
      </c>
      <c r="AY18" s="101" t="str">
        <f>'Promo Form'!BU18</f>
        <v/>
      </c>
      <c r="AZ18" s="102" t="str">
        <f>'Promo Form'!BV18</f>
        <v/>
      </c>
      <c r="BA18" s="77"/>
      <c r="BB18" s="96" t="str">
        <f>'Promo Form'!BZ18</f>
        <v/>
      </c>
      <c r="BC18" s="68" t="str">
        <f>'Promo Form'!CA18</f>
        <v/>
      </c>
      <c r="BD18" s="17" t="str">
        <f>'Promo Form'!CD18</f>
        <v/>
      </c>
      <c r="BE18" s="18" t="str">
        <f>'Promo Form'!CE18</f>
        <v/>
      </c>
      <c r="BF18" s="18" t="str">
        <f>'Promo Form'!CF18</f>
        <v/>
      </c>
      <c r="BG18" s="101" t="str">
        <f>'Promo Form'!CG18</f>
        <v/>
      </c>
      <c r="BH18" s="102" t="str">
        <f>'Promo Form'!CH18</f>
        <v/>
      </c>
      <c r="BI18" s="77"/>
      <c r="BJ18" s="17" t="str">
        <f>'Promo Form'!CL18</f>
        <v/>
      </c>
      <c r="BK18" s="17" t="str">
        <f>'Promo Form'!CM18</f>
        <v/>
      </c>
      <c r="BL18" s="99" t="str">
        <f>'Promo Form'!CN18</f>
        <v/>
      </c>
      <c r="BM18" s="17" t="str">
        <f>'Promo Form'!CO18</f>
        <v/>
      </c>
      <c r="BN18" s="98">
        <f>'Promo Form'!CP18</f>
        <v>0</v>
      </c>
    </row>
    <row r="19" spans="1:66" x14ac:dyDescent="0.2">
      <c r="A19" s="12" t="str">
        <f>'Promo Form'!A19</f>
        <v/>
      </c>
      <c r="B19" s="12" t="str">
        <f>'Promo Form'!B19</f>
        <v/>
      </c>
      <c r="C19" s="13">
        <f>'Promo Form'!C19</f>
        <v>0</v>
      </c>
      <c r="D19" s="14" t="str">
        <f>'Promo Form'!D19</f>
        <v/>
      </c>
      <c r="E19" s="15"/>
      <c r="F19" s="96">
        <f>'Promo Form'!F19</f>
        <v>0</v>
      </c>
      <c r="G19" s="68" t="str">
        <f>'Promo Form'!G19</f>
        <v/>
      </c>
      <c r="H19" s="17" t="str">
        <f>'Promo Form'!J19</f>
        <v/>
      </c>
      <c r="I19" s="18" t="str">
        <f>'Promo Form'!K19</f>
        <v/>
      </c>
      <c r="J19" s="18" t="str">
        <f>'Promo Form'!L19</f>
        <v/>
      </c>
      <c r="K19" s="101" t="str">
        <f>'Promo Form'!M19</f>
        <v/>
      </c>
      <c r="L19" s="102" t="str">
        <f>'Promo Form'!N19</f>
        <v/>
      </c>
      <c r="M19" s="80"/>
      <c r="N19" s="96" t="str">
        <f>'Promo Form'!R19</f>
        <v/>
      </c>
      <c r="O19" s="68" t="str">
        <f>'Promo Form'!S19</f>
        <v/>
      </c>
      <c r="P19" s="17" t="str">
        <f>'Promo Form'!V19</f>
        <v/>
      </c>
      <c r="Q19" s="18" t="str">
        <f>'Promo Form'!W19</f>
        <v/>
      </c>
      <c r="R19" s="18" t="str">
        <f>'Promo Form'!X19</f>
        <v/>
      </c>
      <c r="S19" s="101" t="str">
        <f>'Promo Form'!Y19</f>
        <v/>
      </c>
      <c r="T19" s="102" t="str">
        <f>'Promo Form'!Z19</f>
        <v/>
      </c>
      <c r="U19" s="80"/>
      <c r="V19" s="96" t="str">
        <f>'Promo Form'!AD19</f>
        <v/>
      </c>
      <c r="W19" s="68" t="str">
        <f>'Promo Form'!AE19</f>
        <v/>
      </c>
      <c r="X19" s="17" t="str">
        <f>'Promo Form'!AH19</f>
        <v/>
      </c>
      <c r="Y19" s="18" t="str">
        <f>'Promo Form'!AI19</f>
        <v/>
      </c>
      <c r="Z19" s="18" t="str">
        <f>'Promo Form'!AJ19</f>
        <v/>
      </c>
      <c r="AA19" s="101" t="str">
        <f>'Promo Form'!AK19</f>
        <v/>
      </c>
      <c r="AB19" s="102" t="str">
        <f>'Promo Form'!AL19</f>
        <v/>
      </c>
      <c r="AC19" s="80"/>
      <c r="AD19" s="96" t="str">
        <f>'Promo Form'!AD19</f>
        <v/>
      </c>
      <c r="AE19" s="68" t="str">
        <f>'Promo Form'!AE19</f>
        <v/>
      </c>
      <c r="AF19" s="17" t="str">
        <f>'Promo Form'!AT19</f>
        <v/>
      </c>
      <c r="AG19" s="18" t="str">
        <f>'Promo Form'!AI19</f>
        <v/>
      </c>
      <c r="AH19" s="18" t="str">
        <f>'Promo Form'!AJ19</f>
        <v/>
      </c>
      <c r="AI19" s="101" t="str">
        <f>'Promo Form'!AK19</f>
        <v/>
      </c>
      <c r="AJ19" s="102" t="str">
        <f>'Promo Form'!AL19</f>
        <v/>
      </c>
      <c r="AK19" s="77"/>
      <c r="AL19" s="96" t="str">
        <f>'Promo Form'!AL19</f>
        <v/>
      </c>
      <c r="AM19" s="68" t="str">
        <f>'Promo Form'!AM19</f>
        <v/>
      </c>
      <c r="AN19" s="17" t="str">
        <f>'Promo Form'!BF19</f>
        <v/>
      </c>
      <c r="AO19" s="18" t="str">
        <f>'Promo Form'!AQ19</f>
        <v/>
      </c>
      <c r="AP19" s="18" t="str">
        <f>'Promo Form'!AR19</f>
        <v/>
      </c>
      <c r="AQ19" s="101" t="str">
        <f>'Promo Form'!AS19</f>
        <v/>
      </c>
      <c r="AR19" s="102" t="str">
        <f>'Promo Form'!AT19</f>
        <v/>
      </c>
      <c r="AS19" s="77"/>
      <c r="AT19" s="96" t="str">
        <f>'Promo Form'!BN19</f>
        <v/>
      </c>
      <c r="AU19" s="68" t="str">
        <f>'Promo Form'!BO19</f>
        <v/>
      </c>
      <c r="AV19" s="17" t="str">
        <f>'Promo Form'!BR19</f>
        <v/>
      </c>
      <c r="AW19" s="18" t="str">
        <f>'Promo Form'!BS19</f>
        <v/>
      </c>
      <c r="AX19" s="18" t="str">
        <f>'Promo Form'!BT19</f>
        <v/>
      </c>
      <c r="AY19" s="101" t="str">
        <f>'Promo Form'!BU19</f>
        <v/>
      </c>
      <c r="AZ19" s="102" t="str">
        <f>'Promo Form'!BV19</f>
        <v/>
      </c>
      <c r="BA19" s="77"/>
      <c r="BB19" s="96" t="str">
        <f>'Promo Form'!BZ19</f>
        <v/>
      </c>
      <c r="BC19" s="68" t="str">
        <f>'Promo Form'!CA19</f>
        <v/>
      </c>
      <c r="BD19" s="17" t="str">
        <f>'Promo Form'!CD19</f>
        <v/>
      </c>
      <c r="BE19" s="18" t="str">
        <f>'Promo Form'!CE19</f>
        <v/>
      </c>
      <c r="BF19" s="18" t="str">
        <f>'Promo Form'!CF19</f>
        <v/>
      </c>
      <c r="BG19" s="101" t="str">
        <f>'Promo Form'!CG19</f>
        <v/>
      </c>
      <c r="BH19" s="102" t="str">
        <f>'Promo Form'!CH19</f>
        <v/>
      </c>
      <c r="BI19" s="77"/>
      <c r="BJ19" s="17" t="str">
        <f>'Promo Form'!CL19</f>
        <v/>
      </c>
      <c r="BK19" s="17" t="str">
        <f>'Promo Form'!CM19</f>
        <v/>
      </c>
      <c r="BL19" s="99" t="str">
        <f>'Promo Form'!CN19</f>
        <v/>
      </c>
      <c r="BM19" s="17" t="str">
        <f>'Promo Form'!CO19</f>
        <v/>
      </c>
      <c r="BN19" s="98">
        <f>'Promo Form'!CP19</f>
        <v>0</v>
      </c>
    </row>
    <row r="20" spans="1:66" x14ac:dyDescent="0.2">
      <c r="A20" s="12" t="str">
        <f>'Promo Form'!A20</f>
        <v/>
      </c>
      <c r="B20" s="12" t="str">
        <f>'Promo Form'!B20</f>
        <v/>
      </c>
      <c r="C20" s="13">
        <f>'Promo Form'!C20</f>
        <v>0</v>
      </c>
      <c r="D20" s="14" t="str">
        <f>'Promo Form'!D20</f>
        <v/>
      </c>
      <c r="E20" s="15"/>
      <c r="F20" s="96">
        <f>'Promo Form'!F20</f>
        <v>0</v>
      </c>
      <c r="G20" s="68" t="str">
        <f>'Promo Form'!G20</f>
        <v/>
      </c>
      <c r="H20" s="17" t="str">
        <f>'Promo Form'!J20</f>
        <v/>
      </c>
      <c r="I20" s="18" t="str">
        <f>'Promo Form'!K20</f>
        <v/>
      </c>
      <c r="J20" s="18" t="str">
        <f>'Promo Form'!L20</f>
        <v/>
      </c>
      <c r="K20" s="101" t="str">
        <f>'Promo Form'!M20</f>
        <v/>
      </c>
      <c r="L20" s="102" t="str">
        <f>'Promo Form'!N20</f>
        <v/>
      </c>
      <c r="M20" s="80"/>
      <c r="N20" s="96" t="str">
        <f>'Promo Form'!R20</f>
        <v/>
      </c>
      <c r="O20" s="68" t="str">
        <f>'Promo Form'!S20</f>
        <v/>
      </c>
      <c r="P20" s="17" t="str">
        <f>'Promo Form'!V20</f>
        <v/>
      </c>
      <c r="Q20" s="18" t="str">
        <f>'Promo Form'!W20</f>
        <v/>
      </c>
      <c r="R20" s="18" t="str">
        <f>'Promo Form'!X20</f>
        <v/>
      </c>
      <c r="S20" s="101" t="str">
        <f>'Promo Form'!Y20</f>
        <v/>
      </c>
      <c r="T20" s="102" t="str">
        <f>'Promo Form'!Z20</f>
        <v/>
      </c>
      <c r="U20" s="80"/>
      <c r="V20" s="96" t="str">
        <f>'Promo Form'!AD20</f>
        <v/>
      </c>
      <c r="W20" s="68" t="str">
        <f>'Promo Form'!AE20</f>
        <v/>
      </c>
      <c r="X20" s="17" t="str">
        <f>'Promo Form'!AH20</f>
        <v/>
      </c>
      <c r="Y20" s="18" t="str">
        <f>'Promo Form'!AI20</f>
        <v/>
      </c>
      <c r="Z20" s="18" t="str">
        <f>'Promo Form'!AJ20</f>
        <v/>
      </c>
      <c r="AA20" s="101" t="str">
        <f>'Promo Form'!AK20</f>
        <v/>
      </c>
      <c r="AB20" s="102" t="str">
        <f>'Promo Form'!AL20</f>
        <v/>
      </c>
      <c r="AC20" s="80"/>
      <c r="AD20" s="96" t="str">
        <f>'Promo Form'!AD24</f>
        <v/>
      </c>
      <c r="AE20" s="68" t="str">
        <f>'Promo Form'!AE24</f>
        <v/>
      </c>
      <c r="AF20" s="17" t="str">
        <f>'Promo Form'!AT20</f>
        <v/>
      </c>
      <c r="AG20" s="18" t="str">
        <f>'Promo Form'!AI24</f>
        <v/>
      </c>
      <c r="AH20" s="18" t="str">
        <f>'Promo Form'!AJ24</f>
        <v/>
      </c>
      <c r="AI20" s="101" t="str">
        <f>'Promo Form'!AK24</f>
        <v/>
      </c>
      <c r="AJ20" s="102" t="str">
        <f>'Promo Form'!AL24</f>
        <v/>
      </c>
      <c r="AK20" s="77"/>
      <c r="AL20" s="96" t="str">
        <f>'Promo Form'!AL24</f>
        <v/>
      </c>
      <c r="AM20" s="68" t="str">
        <f>'Promo Form'!AM24</f>
        <v/>
      </c>
      <c r="AN20" s="17" t="str">
        <f>'Promo Form'!BF20</f>
        <v/>
      </c>
      <c r="AO20" s="18" t="str">
        <f>'Promo Form'!AQ24</f>
        <v/>
      </c>
      <c r="AP20" s="18" t="str">
        <f>'Promo Form'!AR24</f>
        <v/>
      </c>
      <c r="AQ20" s="101" t="str">
        <f>'Promo Form'!AS24</f>
        <v/>
      </c>
      <c r="AR20" s="102" t="str">
        <f>'Promo Form'!AT24</f>
        <v/>
      </c>
      <c r="AS20" s="77"/>
      <c r="AT20" s="96" t="str">
        <f>'Promo Form'!BN20</f>
        <v/>
      </c>
      <c r="AU20" s="68" t="str">
        <f>'Promo Form'!BO20</f>
        <v/>
      </c>
      <c r="AV20" s="17" t="str">
        <f>'Promo Form'!BR20</f>
        <v/>
      </c>
      <c r="AW20" s="18" t="str">
        <f>'Promo Form'!BS20</f>
        <v/>
      </c>
      <c r="AX20" s="18" t="str">
        <f>'Promo Form'!BT20</f>
        <v/>
      </c>
      <c r="AY20" s="101" t="str">
        <f>'Promo Form'!BU20</f>
        <v/>
      </c>
      <c r="AZ20" s="102" t="str">
        <f>'Promo Form'!BV20</f>
        <v/>
      </c>
      <c r="BA20" s="77"/>
      <c r="BB20" s="96" t="str">
        <f>'Promo Form'!BZ20</f>
        <v/>
      </c>
      <c r="BC20" s="68" t="str">
        <f>'Promo Form'!CA20</f>
        <v/>
      </c>
      <c r="BD20" s="17" t="str">
        <f>'Promo Form'!CD20</f>
        <v/>
      </c>
      <c r="BE20" s="18" t="str">
        <f>'Promo Form'!CE20</f>
        <v/>
      </c>
      <c r="BF20" s="18" t="str">
        <f>'Promo Form'!CF20</f>
        <v/>
      </c>
      <c r="BG20" s="101" t="str">
        <f>'Promo Form'!CG20</f>
        <v/>
      </c>
      <c r="BH20" s="102" t="str">
        <f>'Promo Form'!CH20</f>
        <v/>
      </c>
      <c r="BI20" s="77"/>
      <c r="BJ20" s="17" t="str">
        <f>'Promo Form'!CL20</f>
        <v/>
      </c>
      <c r="BK20" s="17" t="str">
        <f>'Promo Form'!CM20</f>
        <v/>
      </c>
      <c r="BL20" s="99" t="str">
        <f>'Promo Form'!CN20</f>
        <v/>
      </c>
      <c r="BM20" s="17" t="str">
        <f>'Promo Form'!CO20</f>
        <v/>
      </c>
      <c r="BN20" s="98">
        <f>'Promo Form'!CP20</f>
        <v>0</v>
      </c>
    </row>
    <row r="21" spans="1:66" x14ac:dyDescent="0.2">
      <c r="A21" s="12" t="str">
        <f>'Promo Form'!A21</f>
        <v/>
      </c>
      <c r="B21" s="12" t="str">
        <f>'Promo Form'!B21</f>
        <v/>
      </c>
      <c r="C21" s="13">
        <f>'Promo Form'!C21</f>
        <v>0</v>
      </c>
      <c r="D21" s="14" t="str">
        <f>'Promo Form'!D21</f>
        <v/>
      </c>
      <c r="E21" s="15"/>
      <c r="F21" s="96">
        <f>'Promo Form'!F21</f>
        <v>0</v>
      </c>
      <c r="G21" s="68" t="str">
        <f>'Promo Form'!G21</f>
        <v/>
      </c>
      <c r="H21" s="17" t="str">
        <f>'Promo Form'!J21</f>
        <v/>
      </c>
      <c r="I21" s="18" t="str">
        <f>'Promo Form'!K21</f>
        <v/>
      </c>
      <c r="J21" s="18" t="str">
        <f>'Promo Form'!L21</f>
        <v/>
      </c>
      <c r="K21" s="101" t="str">
        <f>'Promo Form'!M21</f>
        <v/>
      </c>
      <c r="L21" s="102" t="str">
        <f>'Promo Form'!N21</f>
        <v/>
      </c>
      <c r="M21" s="80"/>
      <c r="N21" s="96" t="str">
        <f>'Promo Form'!R21</f>
        <v/>
      </c>
      <c r="O21" s="68" t="str">
        <f>'Promo Form'!S21</f>
        <v/>
      </c>
      <c r="P21" s="17" t="str">
        <f>'Promo Form'!V21</f>
        <v/>
      </c>
      <c r="Q21" s="18" t="str">
        <f>'Promo Form'!W21</f>
        <v/>
      </c>
      <c r="R21" s="18" t="str">
        <f>'Promo Form'!X21</f>
        <v/>
      </c>
      <c r="S21" s="101" t="str">
        <f>'Promo Form'!Y21</f>
        <v/>
      </c>
      <c r="T21" s="102" t="str">
        <f>'Promo Form'!Z21</f>
        <v/>
      </c>
      <c r="U21" s="80"/>
      <c r="V21" s="96" t="str">
        <f>'Promo Form'!AD21</f>
        <v/>
      </c>
      <c r="W21" s="68" t="str">
        <f>'Promo Form'!AE21</f>
        <v/>
      </c>
      <c r="X21" s="17" t="str">
        <f>'Promo Form'!AH21</f>
        <v/>
      </c>
      <c r="Y21" s="18" t="str">
        <f>'Promo Form'!AI21</f>
        <v/>
      </c>
      <c r="Z21" s="18" t="str">
        <f>'Promo Form'!AJ21</f>
        <v/>
      </c>
      <c r="AA21" s="101" t="str">
        <f>'Promo Form'!AK21</f>
        <v/>
      </c>
      <c r="AB21" s="102" t="str">
        <f>'Promo Form'!AL21</f>
        <v/>
      </c>
      <c r="AC21" s="80"/>
      <c r="AD21" s="96" t="str">
        <f>'Promo Form'!AD25</f>
        <v/>
      </c>
      <c r="AE21" s="68" t="str">
        <f>'Promo Form'!AE25</f>
        <v/>
      </c>
      <c r="AF21" s="17" t="str">
        <f>'Promo Form'!AT21</f>
        <v/>
      </c>
      <c r="AG21" s="18" t="str">
        <f>'Promo Form'!AI25</f>
        <v/>
      </c>
      <c r="AH21" s="18" t="str">
        <f>'Promo Form'!AJ25</f>
        <v/>
      </c>
      <c r="AI21" s="101" t="str">
        <f>'Promo Form'!AK25</f>
        <v/>
      </c>
      <c r="AJ21" s="102" t="str">
        <f>'Promo Form'!AL25</f>
        <v/>
      </c>
      <c r="AK21" s="77"/>
      <c r="AL21" s="96" t="str">
        <f>'Promo Form'!AL25</f>
        <v/>
      </c>
      <c r="AM21" s="68" t="str">
        <f>'Promo Form'!AM25</f>
        <v/>
      </c>
      <c r="AN21" s="17" t="str">
        <f>'Promo Form'!BF21</f>
        <v/>
      </c>
      <c r="AO21" s="18" t="str">
        <f>'Promo Form'!AQ25</f>
        <v/>
      </c>
      <c r="AP21" s="18" t="str">
        <f>'Promo Form'!AR25</f>
        <v/>
      </c>
      <c r="AQ21" s="101" t="str">
        <f>'Promo Form'!AS25</f>
        <v/>
      </c>
      <c r="AR21" s="102" t="str">
        <f>'Promo Form'!AT25</f>
        <v/>
      </c>
      <c r="AS21" s="77"/>
      <c r="AT21" s="96" t="str">
        <f>'Promo Form'!BN21</f>
        <v/>
      </c>
      <c r="AU21" s="68" t="str">
        <f>'Promo Form'!BO21</f>
        <v/>
      </c>
      <c r="AV21" s="17" t="str">
        <f>'Promo Form'!BR21</f>
        <v/>
      </c>
      <c r="AW21" s="18" t="str">
        <f>'Promo Form'!BS21</f>
        <v/>
      </c>
      <c r="AX21" s="18" t="str">
        <f>'Promo Form'!BT21</f>
        <v/>
      </c>
      <c r="AY21" s="101" t="str">
        <f>'Promo Form'!BU21</f>
        <v/>
      </c>
      <c r="AZ21" s="102" t="str">
        <f>'Promo Form'!BV21</f>
        <v/>
      </c>
      <c r="BA21" s="77"/>
      <c r="BB21" s="96" t="str">
        <f>'Promo Form'!BZ21</f>
        <v/>
      </c>
      <c r="BC21" s="68" t="str">
        <f>'Promo Form'!CA21</f>
        <v/>
      </c>
      <c r="BD21" s="17" t="str">
        <f>'Promo Form'!CD21</f>
        <v/>
      </c>
      <c r="BE21" s="18" t="str">
        <f>'Promo Form'!CE21</f>
        <v/>
      </c>
      <c r="BF21" s="18" t="str">
        <f>'Promo Form'!CF21</f>
        <v/>
      </c>
      <c r="BG21" s="101" t="str">
        <f>'Promo Form'!CG21</f>
        <v/>
      </c>
      <c r="BH21" s="102" t="str">
        <f>'Promo Form'!CH21</f>
        <v/>
      </c>
      <c r="BI21" s="77"/>
      <c r="BJ21" s="17" t="str">
        <f>'Promo Form'!CL21</f>
        <v/>
      </c>
      <c r="BK21" s="17" t="str">
        <f>'Promo Form'!CM21</f>
        <v/>
      </c>
      <c r="BL21" s="99" t="str">
        <f>'Promo Form'!CN21</f>
        <v/>
      </c>
      <c r="BM21" s="17" t="str">
        <f>'Promo Form'!CO21</f>
        <v/>
      </c>
      <c r="BN21" s="98">
        <f>'Promo Form'!CP21</f>
        <v>0</v>
      </c>
    </row>
    <row r="22" spans="1:66" x14ac:dyDescent="0.2">
      <c r="A22" s="12" t="str">
        <f>'Promo Form'!A22</f>
        <v/>
      </c>
      <c r="B22" s="12" t="str">
        <f>'Promo Form'!B22</f>
        <v/>
      </c>
      <c r="C22" s="13">
        <f>'Promo Form'!C22</f>
        <v>0</v>
      </c>
      <c r="D22" s="14" t="str">
        <f>'Promo Form'!D22</f>
        <v/>
      </c>
      <c r="E22" s="15"/>
      <c r="F22" s="96">
        <f>'Promo Form'!F22</f>
        <v>0</v>
      </c>
      <c r="G22" s="68" t="str">
        <f>'Promo Form'!G22</f>
        <v/>
      </c>
      <c r="H22" s="17" t="str">
        <f>'Promo Form'!J22</f>
        <v/>
      </c>
      <c r="I22" s="18" t="str">
        <f>'Promo Form'!K22</f>
        <v/>
      </c>
      <c r="J22" s="18" t="str">
        <f>'Promo Form'!L22</f>
        <v/>
      </c>
      <c r="K22" s="101" t="str">
        <f>'Promo Form'!M22</f>
        <v/>
      </c>
      <c r="L22" s="102" t="str">
        <f>'Promo Form'!N22</f>
        <v/>
      </c>
      <c r="M22" s="80"/>
      <c r="N22" s="96" t="str">
        <f>'Promo Form'!R22</f>
        <v/>
      </c>
      <c r="O22" s="68" t="str">
        <f>'Promo Form'!S22</f>
        <v/>
      </c>
      <c r="P22" s="17" t="str">
        <f>'Promo Form'!V22</f>
        <v/>
      </c>
      <c r="Q22" s="18" t="str">
        <f>'Promo Form'!W22</f>
        <v/>
      </c>
      <c r="R22" s="18" t="str">
        <f>'Promo Form'!X22</f>
        <v/>
      </c>
      <c r="S22" s="101" t="str">
        <f>'Promo Form'!Y22</f>
        <v/>
      </c>
      <c r="T22" s="102" t="str">
        <f>'Promo Form'!Z22</f>
        <v/>
      </c>
      <c r="U22" s="80"/>
      <c r="V22" s="96" t="str">
        <f>'Promo Form'!AD22</f>
        <v/>
      </c>
      <c r="W22" s="68" t="str">
        <f>'Promo Form'!AE22</f>
        <v/>
      </c>
      <c r="X22" s="17" t="str">
        <f>'Promo Form'!AH22</f>
        <v/>
      </c>
      <c r="Y22" s="18" t="str">
        <f>'Promo Form'!AI22</f>
        <v/>
      </c>
      <c r="Z22" s="18" t="str">
        <f>'Promo Form'!AJ22</f>
        <v/>
      </c>
      <c r="AA22" s="101" t="str">
        <f>'Promo Form'!AK22</f>
        <v/>
      </c>
      <c r="AB22" s="102" t="str">
        <f>'Promo Form'!AL22</f>
        <v/>
      </c>
      <c r="AC22" s="80"/>
      <c r="AD22" s="96" t="str">
        <f>'Promo Form'!AD26</f>
        <v/>
      </c>
      <c r="AE22" s="68" t="str">
        <f>'Promo Form'!AE26</f>
        <v/>
      </c>
      <c r="AF22" s="17" t="str">
        <f>'Promo Form'!AT22</f>
        <v/>
      </c>
      <c r="AG22" s="18" t="str">
        <f>'Promo Form'!AI26</f>
        <v/>
      </c>
      <c r="AH22" s="18" t="str">
        <f>'Promo Form'!AJ26</f>
        <v/>
      </c>
      <c r="AI22" s="101" t="str">
        <f>'Promo Form'!AK26</f>
        <v/>
      </c>
      <c r="AJ22" s="102" t="str">
        <f>'Promo Form'!AL26</f>
        <v/>
      </c>
      <c r="AK22" s="77"/>
      <c r="AL22" s="96" t="str">
        <f>'Promo Form'!AL26</f>
        <v/>
      </c>
      <c r="AM22" s="68" t="str">
        <f>'Promo Form'!AM26</f>
        <v/>
      </c>
      <c r="AN22" s="17" t="str">
        <f>'Promo Form'!BF22</f>
        <v/>
      </c>
      <c r="AO22" s="18" t="str">
        <f>'Promo Form'!AQ26</f>
        <v/>
      </c>
      <c r="AP22" s="18" t="str">
        <f>'Promo Form'!AR26</f>
        <v/>
      </c>
      <c r="AQ22" s="101" t="str">
        <f>'Promo Form'!AS26</f>
        <v/>
      </c>
      <c r="AR22" s="102" t="str">
        <f>'Promo Form'!AT26</f>
        <v/>
      </c>
      <c r="AS22" s="77"/>
      <c r="AT22" s="96" t="str">
        <f>'Promo Form'!BN22</f>
        <v/>
      </c>
      <c r="AU22" s="68" t="str">
        <f>'Promo Form'!BO22</f>
        <v/>
      </c>
      <c r="AV22" s="17" t="str">
        <f>'Promo Form'!BR22</f>
        <v/>
      </c>
      <c r="AW22" s="18" t="str">
        <f>'Promo Form'!BS22</f>
        <v/>
      </c>
      <c r="AX22" s="18" t="str">
        <f>'Promo Form'!BT22</f>
        <v/>
      </c>
      <c r="AY22" s="101" t="str">
        <f>'Promo Form'!BU22</f>
        <v/>
      </c>
      <c r="AZ22" s="102" t="str">
        <f>'Promo Form'!BV22</f>
        <v/>
      </c>
      <c r="BA22" s="77"/>
      <c r="BB22" s="96" t="str">
        <f>'Promo Form'!BZ22</f>
        <v/>
      </c>
      <c r="BC22" s="68" t="str">
        <f>'Promo Form'!CA22</f>
        <v/>
      </c>
      <c r="BD22" s="17" t="str">
        <f>'Promo Form'!CD22</f>
        <v/>
      </c>
      <c r="BE22" s="18" t="str">
        <f>'Promo Form'!CE22</f>
        <v/>
      </c>
      <c r="BF22" s="18" t="str">
        <f>'Promo Form'!CF22</f>
        <v/>
      </c>
      <c r="BG22" s="101" t="str">
        <f>'Promo Form'!CG22</f>
        <v/>
      </c>
      <c r="BH22" s="102" t="str">
        <f>'Promo Form'!CH22</f>
        <v/>
      </c>
      <c r="BI22" s="77"/>
      <c r="BJ22" s="17" t="str">
        <f>'Promo Form'!CL22</f>
        <v/>
      </c>
      <c r="BK22" s="17" t="str">
        <f>'Promo Form'!CM22</f>
        <v/>
      </c>
      <c r="BL22" s="99" t="str">
        <f>'Promo Form'!CN22</f>
        <v/>
      </c>
      <c r="BM22" s="17" t="str">
        <f>'Promo Form'!CO22</f>
        <v/>
      </c>
      <c r="BN22" s="98">
        <f>'Promo Form'!CP22</f>
        <v>0</v>
      </c>
    </row>
    <row r="23" spans="1:66" x14ac:dyDescent="0.2">
      <c r="A23" s="12" t="str">
        <f>'Promo Form'!A23</f>
        <v/>
      </c>
      <c r="B23" s="12" t="str">
        <f>'Promo Form'!B23</f>
        <v/>
      </c>
      <c r="C23" s="13">
        <f>'Promo Form'!C23</f>
        <v>0</v>
      </c>
      <c r="D23" s="14" t="str">
        <f>'Promo Form'!D23</f>
        <v/>
      </c>
      <c r="E23" s="15"/>
      <c r="F23" s="96">
        <f>'Promo Form'!F23</f>
        <v>0</v>
      </c>
      <c r="G23" s="68" t="str">
        <f>'Promo Form'!G23</f>
        <v/>
      </c>
      <c r="H23" s="17" t="str">
        <f>'Promo Form'!J23</f>
        <v/>
      </c>
      <c r="I23" s="18" t="str">
        <f>'Promo Form'!K23</f>
        <v/>
      </c>
      <c r="J23" s="18" t="str">
        <f>'Promo Form'!L23</f>
        <v/>
      </c>
      <c r="K23" s="101" t="str">
        <f>'Promo Form'!M23</f>
        <v/>
      </c>
      <c r="L23" s="102" t="str">
        <f>'Promo Form'!N23</f>
        <v/>
      </c>
      <c r="M23" s="80"/>
      <c r="N23" s="96" t="str">
        <f>'Promo Form'!R23</f>
        <v/>
      </c>
      <c r="O23" s="68" t="str">
        <f>'Promo Form'!S23</f>
        <v/>
      </c>
      <c r="P23" s="17" t="str">
        <f>'Promo Form'!V23</f>
        <v/>
      </c>
      <c r="Q23" s="18" t="str">
        <f>'Promo Form'!W23</f>
        <v/>
      </c>
      <c r="R23" s="18" t="str">
        <f>'Promo Form'!X23</f>
        <v/>
      </c>
      <c r="S23" s="101" t="str">
        <f>'Promo Form'!Y23</f>
        <v/>
      </c>
      <c r="T23" s="102" t="str">
        <f>'Promo Form'!Z23</f>
        <v/>
      </c>
      <c r="U23" s="80"/>
      <c r="V23" s="96" t="str">
        <f>'Promo Form'!AD23</f>
        <v/>
      </c>
      <c r="W23" s="68" t="str">
        <f>'Promo Form'!AE23</f>
        <v/>
      </c>
      <c r="X23" s="17" t="str">
        <f>'Promo Form'!AH23</f>
        <v/>
      </c>
      <c r="Y23" s="18" t="str">
        <f>'Promo Form'!AI23</f>
        <v/>
      </c>
      <c r="Z23" s="18" t="str">
        <f>'Promo Form'!AJ23</f>
        <v/>
      </c>
      <c r="AA23" s="101" t="str">
        <f>'Promo Form'!AK23</f>
        <v/>
      </c>
      <c r="AB23" s="102" t="str">
        <f>'Promo Form'!AL23</f>
        <v/>
      </c>
      <c r="AC23" s="80"/>
      <c r="AD23" s="96" t="str">
        <f>'Promo Form'!AD27</f>
        <v/>
      </c>
      <c r="AE23" s="68" t="str">
        <f>'Promo Form'!AE27</f>
        <v/>
      </c>
      <c r="AF23" s="17" t="str">
        <f>'Promo Form'!AT23</f>
        <v/>
      </c>
      <c r="AG23" s="18" t="str">
        <f>'Promo Form'!AI27</f>
        <v/>
      </c>
      <c r="AH23" s="18" t="str">
        <f>'Promo Form'!AJ27</f>
        <v/>
      </c>
      <c r="AI23" s="101" t="str">
        <f>'Promo Form'!AK27</f>
        <v/>
      </c>
      <c r="AJ23" s="102" t="str">
        <f>'Promo Form'!AL27</f>
        <v/>
      </c>
      <c r="AK23" s="77"/>
      <c r="AL23" s="96" t="str">
        <f>'Promo Form'!AL27</f>
        <v/>
      </c>
      <c r="AM23" s="68" t="str">
        <f>'Promo Form'!AM27</f>
        <v/>
      </c>
      <c r="AN23" s="17" t="str">
        <f>'Promo Form'!BF23</f>
        <v/>
      </c>
      <c r="AO23" s="18" t="str">
        <f>'Promo Form'!AQ27</f>
        <v/>
      </c>
      <c r="AP23" s="18" t="str">
        <f>'Promo Form'!AR27</f>
        <v/>
      </c>
      <c r="AQ23" s="101" t="str">
        <f>'Promo Form'!AS27</f>
        <v/>
      </c>
      <c r="AR23" s="102" t="str">
        <f>'Promo Form'!AT27</f>
        <v/>
      </c>
      <c r="AS23" s="77"/>
      <c r="AT23" s="96" t="str">
        <f>'Promo Form'!BN23</f>
        <v/>
      </c>
      <c r="AU23" s="68" t="str">
        <f>'Promo Form'!BO23</f>
        <v/>
      </c>
      <c r="AV23" s="17" t="str">
        <f>'Promo Form'!BR23</f>
        <v/>
      </c>
      <c r="AW23" s="18" t="str">
        <f>'Promo Form'!BS23</f>
        <v/>
      </c>
      <c r="AX23" s="18" t="str">
        <f>'Promo Form'!BT23</f>
        <v/>
      </c>
      <c r="AY23" s="101" t="str">
        <f>'Promo Form'!BU23</f>
        <v/>
      </c>
      <c r="AZ23" s="102" t="str">
        <f>'Promo Form'!BV23</f>
        <v/>
      </c>
      <c r="BA23" s="77"/>
      <c r="BB23" s="96" t="str">
        <f>'Promo Form'!BZ23</f>
        <v/>
      </c>
      <c r="BC23" s="68" t="str">
        <f>'Promo Form'!CA23</f>
        <v/>
      </c>
      <c r="BD23" s="17" t="str">
        <f>'Promo Form'!CD23</f>
        <v/>
      </c>
      <c r="BE23" s="18" t="str">
        <f>'Promo Form'!CE23</f>
        <v/>
      </c>
      <c r="BF23" s="18" t="str">
        <f>'Promo Form'!CF23</f>
        <v/>
      </c>
      <c r="BG23" s="101" t="str">
        <f>'Promo Form'!CG23</f>
        <v/>
      </c>
      <c r="BH23" s="102" t="str">
        <f>'Promo Form'!CH23</f>
        <v/>
      </c>
      <c r="BI23" s="77"/>
      <c r="BJ23" s="17" t="str">
        <f>'Promo Form'!CL23</f>
        <v/>
      </c>
      <c r="BK23" s="17" t="str">
        <f>'Promo Form'!CM23</f>
        <v/>
      </c>
      <c r="BL23" s="99" t="str">
        <f>'Promo Form'!CN23</f>
        <v/>
      </c>
      <c r="BM23" s="17" t="str">
        <f>'Promo Form'!CO23</f>
        <v/>
      </c>
      <c r="BN23" s="98">
        <f>'Promo Form'!CP23</f>
        <v>0</v>
      </c>
    </row>
    <row r="24" spans="1:66" ht="18" x14ac:dyDescent="0.2">
      <c r="A24" s="181" t="s">
        <v>31</v>
      </c>
      <c r="B24" s="182"/>
      <c r="C24" s="183"/>
      <c r="D24" s="90">
        <f>'Promo Form'!D28</f>
        <v>45686</v>
      </c>
      <c r="E24" s="15"/>
      <c r="F24" s="117"/>
      <c r="G24" s="118"/>
      <c r="H24" s="119"/>
      <c r="I24" s="119"/>
      <c r="J24" s="74" t="str">
        <f>IFERROR((($FR24/1.1)+(#REF!+#REF!)-(G24-(G24*F$2)))/($FR24/1.1),"")</f>
        <v/>
      </c>
      <c r="K24" s="74"/>
      <c r="L24" s="74" t="str">
        <f>IFERROR((($FR24/1.1)+(#REF!+H24)-(#REF!-(#REF!*G$2)))/($FR24/1.1),"")</f>
        <v/>
      </c>
      <c r="M24" s="77"/>
      <c r="N24" s="110"/>
      <c r="O24" s="113"/>
      <c r="P24" s="114"/>
      <c r="Q24" s="114"/>
      <c r="R24" s="115" t="str">
        <f>IFERROR((($FR24/1.1)+(#REF!+#REF!)-(O24-(O24*N$2)))/($FR24/1.1),"")</f>
        <v/>
      </c>
      <c r="S24" s="115"/>
      <c r="T24" s="116" t="str">
        <f>IFERROR((($FR24/1.1)+(#REF!+P24)-(#REF!-(#REF!*O$2)))/($FR24/1.1),"")</f>
        <v/>
      </c>
      <c r="U24" s="77"/>
      <c r="V24" s="22"/>
      <c r="W24" s="20"/>
      <c r="X24" s="21"/>
      <c r="Y24" s="21"/>
      <c r="Z24" s="18" t="str">
        <f>IFERROR((($FR24/1.1)+(#REF!+#REF!)-(W24-(W24*V$2)))/($FR24/1.1),"")</f>
        <v/>
      </c>
      <c r="AA24" s="18"/>
      <c r="AB24" s="74" t="str">
        <f>IFERROR((($FR24/1.1)+(#REF!+X24)-(#REF!-(#REF!*W$2)))/($FR24/1.1),"")</f>
        <v/>
      </c>
      <c r="AC24" s="77"/>
      <c r="AD24" s="22"/>
      <c r="AE24" s="20"/>
      <c r="AF24" s="21"/>
      <c r="AG24" s="21"/>
      <c r="AH24" s="18" t="str">
        <f>IFERROR((($FR24/1.1)+(#REF!+#REF!)-(AE24-(AE24*AD$2)))/($FR24/1.1),"")</f>
        <v/>
      </c>
      <c r="AI24" s="18"/>
      <c r="AJ24" s="74" t="str">
        <f>IFERROR((($FR24/1.1)+(#REF!+AF24)-(#REF!-(#REF!*AE$2)))/($FR24/1.1),"")</f>
        <v/>
      </c>
      <c r="AK24" s="77"/>
      <c r="AL24" s="22"/>
      <c r="AM24" s="20"/>
      <c r="AN24" s="21"/>
      <c r="AO24" s="21"/>
      <c r="AP24" s="18" t="str">
        <f>IFERROR((($FR24/1.1)+(#REF!+#REF!)-(AM24-(AM24*AL$2)))/($FR24/1.1),"")</f>
        <v/>
      </c>
      <c r="AQ24" s="18"/>
      <c r="AR24" s="74" t="str">
        <f>IFERROR((($FR24/1.1)+(#REF!+AN24)-(#REF!-(#REF!*AM$2)))/($FR24/1.1),"")</f>
        <v/>
      </c>
      <c r="AS24" s="77"/>
      <c r="AT24" s="22"/>
      <c r="AU24" s="20"/>
      <c r="AV24" s="21"/>
      <c r="AW24" s="21"/>
      <c r="AX24" s="18" t="str">
        <f>IFERROR((($FR24/1.1)+(#REF!+#REF!)-(AU24-(AU24*AT$2)))/($FR24/1.1),"")</f>
        <v/>
      </c>
      <c r="AY24" s="18"/>
      <c r="AZ24" s="74" t="str">
        <f>IFERROR((($FR24/1.1)+(#REF!+AV24)-(#REF!-(#REF!*AU$2)))/($FR24/1.1),"")</f>
        <v/>
      </c>
      <c r="BA24" s="77"/>
      <c r="BB24" s="22"/>
      <c r="BC24" s="20"/>
      <c r="BD24" s="21"/>
      <c r="BE24" s="21"/>
      <c r="BF24" s="18" t="str">
        <f>IFERROR((($FR24/1.1)+(#REF!+#REF!)-(BC24-(BC24*BB$2)))/($FR24/1.1),"")</f>
        <v/>
      </c>
      <c r="BG24" s="18"/>
      <c r="BH24" s="74" t="str">
        <f>IFERROR((($FR24/1.1)+(#REF!+BD24)-(#REF!-(#REF!*BC$2)))/($FR24/1.1),"")</f>
        <v/>
      </c>
      <c r="BI24" s="77"/>
    </row>
    <row r="25" spans="1:66" x14ac:dyDescent="0.2">
      <c r="F25" s="168" t="s">
        <v>63</v>
      </c>
      <c r="G25" s="169"/>
      <c r="H25" s="169"/>
      <c r="I25" s="169"/>
      <c r="J25" s="169"/>
      <c r="K25" s="169"/>
      <c r="L25" s="170"/>
      <c r="N25" s="168" t="s">
        <v>63</v>
      </c>
      <c r="O25" s="169"/>
      <c r="P25" s="169"/>
      <c r="Q25" s="169"/>
      <c r="R25" s="169"/>
      <c r="S25" s="169"/>
      <c r="T25" s="170"/>
      <c r="V25" s="168" t="s">
        <v>63</v>
      </c>
      <c r="W25" s="169"/>
      <c r="X25" s="169"/>
      <c r="Y25" s="169"/>
      <c r="Z25" s="169"/>
      <c r="AA25" s="169"/>
      <c r="AB25" s="170"/>
      <c r="AD25" s="168" t="s">
        <v>63</v>
      </c>
      <c r="AE25" s="169"/>
      <c r="AF25" s="169"/>
      <c r="AG25" s="169"/>
      <c r="AH25" s="169"/>
      <c r="AI25" s="169"/>
      <c r="AJ25" s="170"/>
      <c r="AL25" s="168" t="s">
        <v>63</v>
      </c>
      <c r="AM25" s="169"/>
      <c r="AN25" s="169"/>
      <c r="AO25" s="169"/>
      <c r="AP25" s="169"/>
      <c r="AQ25" s="169"/>
      <c r="AR25" s="170"/>
      <c r="AT25" s="168" t="s">
        <v>63</v>
      </c>
      <c r="AU25" s="169"/>
      <c r="AV25" s="169"/>
      <c r="AW25" s="169"/>
      <c r="AX25" s="169"/>
      <c r="AY25" s="169"/>
      <c r="AZ25" s="170"/>
      <c r="BB25" s="168" t="s">
        <v>63</v>
      </c>
      <c r="BC25" s="169"/>
      <c r="BD25" s="169"/>
      <c r="BE25" s="169"/>
      <c r="BF25" s="169"/>
      <c r="BG25" s="169"/>
      <c r="BH25" s="170"/>
    </row>
    <row r="26" spans="1:66" x14ac:dyDescent="0.2">
      <c r="F26" s="171">
        <f>'Promo Form'!H42</f>
        <v>0</v>
      </c>
      <c r="G26" s="172"/>
      <c r="H26" s="172"/>
      <c r="I26" s="172"/>
      <c r="J26" s="172"/>
      <c r="K26" s="172"/>
      <c r="L26" s="173"/>
      <c r="N26" s="171">
        <f>'Promo Form'!T42</f>
        <v>0</v>
      </c>
      <c r="O26" s="172"/>
      <c r="P26" s="172"/>
      <c r="Q26" s="172"/>
      <c r="R26" s="172"/>
      <c r="S26" s="172"/>
      <c r="T26" s="173"/>
      <c r="V26" s="171">
        <f>'Promo Form'!AF42</f>
        <v>0</v>
      </c>
      <c r="W26" s="172"/>
      <c r="X26" s="172"/>
      <c r="Y26" s="172"/>
      <c r="Z26" s="172"/>
      <c r="AA26" s="172"/>
      <c r="AB26" s="173"/>
      <c r="AD26" s="171">
        <f>'Promo Form'!AR42</f>
        <v>0</v>
      </c>
      <c r="AE26" s="172"/>
      <c r="AF26" s="172"/>
      <c r="AG26" s="172"/>
      <c r="AH26" s="172"/>
      <c r="AI26" s="172"/>
      <c r="AJ26" s="173"/>
      <c r="AL26" s="171">
        <f>'Promo Form'!BD42</f>
        <v>0</v>
      </c>
      <c r="AM26" s="172"/>
      <c r="AN26" s="172"/>
      <c r="AO26" s="172"/>
      <c r="AP26" s="172"/>
      <c r="AQ26" s="172"/>
      <c r="AR26" s="173"/>
      <c r="AT26" s="171">
        <f>'Promo Form'!BP42</f>
        <v>0</v>
      </c>
      <c r="AU26" s="172"/>
      <c r="AV26" s="172"/>
      <c r="AW26" s="172"/>
      <c r="AX26" s="172"/>
      <c r="AY26" s="172"/>
      <c r="AZ26" s="173"/>
      <c r="BB26" s="171">
        <f>'Promo Form'!CB42</f>
        <v>0</v>
      </c>
      <c r="BC26" s="172"/>
      <c r="BD26" s="172"/>
      <c r="BE26" s="172"/>
      <c r="BF26" s="172"/>
      <c r="BG26" s="172"/>
      <c r="BH26" s="173"/>
    </row>
    <row r="27" spans="1:66" x14ac:dyDescent="0.2">
      <c r="F27" s="174"/>
      <c r="G27" s="175"/>
      <c r="H27" s="175"/>
      <c r="I27" s="175"/>
      <c r="J27" s="175"/>
      <c r="K27" s="175"/>
      <c r="L27" s="176"/>
      <c r="N27" s="174"/>
      <c r="O27" s="175"/>
      <c r="P27" s="175"/>
      <c r="Q27" s="175"/>
      <c r="R27" s="175"/>
      <c r="S27" s="175"/>
      <c r="T27" s="176"/>
      <c r="V27" s="174"/>
      <c r="W27" s="175"/>
      <c r="X27" s="175"/>
      <c r="Y27" s="175"/>
      <c r="Z27" s="175"/>
      <c r="AA27" s="175"/>
      <c r="AB27" s="176"/>
      <c r="AD27" s="174"/>
      <c r="AE27" s="175"/>
      <c r="AF27" s="175"/>
      <c r="AG27" s="175"/>
      <c r="AH27" s="175"/>
      <c r="AI27" s="175"/>
      <c r="AJ27" s="176"/>
      <c r="AL27" s="174"/>
      <c r="AM27" s="175"/>
      <c r="AN27" s="175"/>
      <c r="AO27" s="175"/>
      <c r="AP27" s="175"/>
      <c r="AQ27" s="175"/>
      <c r="AR27" s="176"/>
      <c r="AT27" s="174"/>
      <c r="AU27" s="175"/>
      <c r="AV27" s="175"/>
      <c r="AW27" s="175"/>
      <c r="AX27" s="175"/>
      <c r="AY27" s="175"/>
      <c r="AZ27" s="176"/>
      <c r="BB27" s="174"/>
      <c r="BC27" s="175"/>
      <c r="BD27" s="175"/>
      <c r="BE27" s="175"/>
      <c r="BF27" s="175"/>
      <c r="BG27" s="175"/>
      <c r="BH27" s="176"/>
    </row>
    <row r="28" spans="1:66" x14ac:dyDescent="0.2">
      <c r="F28" s="174"/>
      <c r="G28" s="175"/>
      <c r="H28" s="175"/>
      <c r="I28" s="175"/>
      <c r="J28" s="175"/>
      <c r="K28" s="175"/>
      <c r="L28" s="176"/>
      <c r="N28" s="174"/>
      <c r="O28" s="175"/>
      <c r="P28" s="175"/>
      <c r="Q28" s="175"/>
      <c r="R28" s="175"/>
      <c r="S28" s="175"/>
      <c r="T28" s="176"/>
      <c r="V28" s="174"/>
      <c r="W28" s="175"/>
      <c r="X28" s="175"/>
      <c r="Y28" s="175"/>
      <c r="Z28" s="175"/>
      <c r="AA28" s="175"/>
      <c r="AB28" s="176"/>
      <c r="AD28" s="174"/>
      <c r="AE28" s="175"/>
      <c r="AF28" s="175"/>
      <c r="AG28" s="175"/>
      <c r="AH28" s="175"/>
      <c r="AI28" s="175"/>
      <c r="AJ28" s="176"/>
      <c r="AL28" s="174"/>
      <c r="AM28" s="175"/>
      <c r="AN28" s="175"/>
      <c r="AO28" s="175"/>
      <c r="AP28" s="175"/>
      <c r="AQ28" s="175"/>
      <c r="AR28" s="176"/>
      <c r="AT28" s="174"/>
      <c r="AU28" s="175"/>
      <c r="AV28" s="175"/>
      <c r="AW28" s="175"/>
      <c r="AX28" s="175"/>
      <c r="AY28" s="175"/>
      <c r="AZ28" s="176"/>
      <c r="BB28" s="174"/>
      <c r="BC28" s="175"/>
      <c r="BD28" s="175"/>
      <c r="BE28" s="175"/>
      <c r="BF28" s="175"/>
      <c r="BG28" s="175"/>
      <c r="BH28" s="176"/>
    </row>
    <row r="29" spans="1:66" x14ac:dyDescent="0.2">
      <c r="F29" s="174"/>
      <c r="G29" s="175"/>
      <c r="H29" s="175"/>
      <c r="I29" s="175"/>
      <c r="J29" s="175"/>
      <c r="K29" s="175"/>
      <c r="L29" s="176"/>
      <c r="N29" s="174"/>
      <c r="O29" s="175"/>
      <c r="P29" s="175"/>
      <c r="Q29" s="175"/>
      <c r="R29" s="175"/>
      <c r="S29" s="175"/>
      <c r="T29" s="176"/>
      <c r="V29" s="174"/>
      <c r="W29" s="175"/>
      <c r="X29" s="175"/>
      <c r="Y29" s="175"/>
      <c r="Z29" s="175"/>
      <c r="AA29" s="175"/>
      <c r="AB29" s="176"/>
      <c r="AD29" s="174"/>
      <c r="AE29" s="175"/>
      <c r="AF29" s="175"/>
      <c r="AG29" s="175"/>
      <c r="AH29" s="175"/>
      <c r="AI29" s="175"/>
      <c r="AJ29" s="176"/>
      <c r="AL29" s="174"/>
      <c r="AM29" s="175"/>
      <c r="AN29" s="175"/>
      <c r="AO29" s="175"/>
      <c r="AP29" s="175"/>
      <c r="AQ29" s="175"/>
      <c r="AR29" s="176"/>
      <c r="AT29" s="174"/>
      <c r="AU29" s="175"/>
      <c r="AV29" s="175"/>
      <c r="AW29" s="175"/>
      <c r="AX29" s="175"/>
      <c r="AY29" s="175"/>
      <c r="AZ29" s="176"/>
      <c r="BB29" s="174"/>
      <c r="BC29" s="175"/>
      <c r="BD29" s="175"/>
      <c r="BE29" s="175"/>
      <c r="BF29" s="175"/>
      <c r="BG29" s="175"/>
      <c r="BH29" s="176"/>
    </row>
    <row r="30" spans="1:66" x14ac:dyDescent="0.2">
      <c r="F30" s="174"/>
      <c r="G30" s="175"/>
      <c r="H30" s="175"/>
      <c r="I30" s="175"/>
      <c r="J30" s="175"/>
      <c r="K30" s="175"/>
      <c r="L30" s="176"/>
      <c r="N30" s="174"/>
      <c r="O30" s="175"/>
      <c r="P30" s="175"/>
      <c r="Q30" s="175"/>
      <c r="R30" s="175"/>
      <c r="S30" s="175"/>
      <c r="T30" s="176"/>
      <c r="V30" s="174"/>
      <c r="W30" s="175"/>
      <c r="X30" s="175"/>
      <c r="Y30" s="175"/>
      <c r="Z30" s="175"/>
      <c r="AA30" s="175"/>
      <c r="AB30" s="176"/>
      <c r="AD30" s="174"/>
      <c r="AE30" s="175"/>
      <c r="AF30" s="175"/>
      <c r="AG30" s="175"/>
      <c r="AH30" s="175"/>
      <c r="AI30" s="175"/>
      <c r="AJ30" s="176"/>
      <c r="AL30" s="174"/>
      <c r="AM30" s="175"/>
      <c r="AN30" s="175"/>
      <c r="AO30" s="175"/>
      <c r="AP30" s="175"/>
      <c r="AQ30" s="175"/>
      <c r="AR30" s="176"/>
      <c r="AT30" s="174"/>
      <c r="AU30" s="175"/>
      <c r="AV30" s="175"/>
      <c r="AW30" s="175"/>
      <c r="AX30" s="175"/>
      <c r="AY30" s="175"/>
      <c r="AZ30" s="176"/>
      <c r="BB30" s="174"/>
      <c r="BC30" s="175"/>
      <c r="BD30" s="175"/>
      <c r="BE30" s="175"/>
      <c r="BF30" s="175"/>
      <c r="BG30" s="175"/>
      <c r="BH30" s="176"/>
    </row>
    <row r="31" spans="1:66" x14ac:dyDescent="0.2">
      <c r="F31" s="174"/>
      <c r="G31" s="175"/>
      <c r="H31" s="175"/>
      <c r="I31" s="175"/>
      <c r="J31" s="175"/>
      <c r="K31" s="175"/>
      <c r="L31" s="176"/>
      <c r="N31" s="174"/>
      <c r="O31" s="175"/>
      <c r="P31" s="175"/>
      <c r="Q31" s="175"/>
      <c r="R31" s="175"/>
      <c r="S31" s="175"/>
      <c r="T31" s="176"/>
      <c r="V31" s="174"/>
      <c r="W31" s="175"/>
      <c r="X31" s="175"/>
      <c r="Y31" s="175"/>
      <c r="Z31" s="175"/>
      <c r="AA31" s="175"/>
      <c r="AB31" s="176"/>
      <c r="AD31" s="174"/>
      <c r="AE31" s="175"/>
      <c r="AF31" s="175"/>
      <c r="AG31" s="175"/>
      <c r="AH31" s="175"/>
      <c r="AI31" s="175"/>
      <c r="AJ31" s="176"/>
      <c r="AL31" s="174"/>
      <c r="AM31" s="175"/>
      <c r="AN31" s="175"/>
      <c r="AO31" s="175"/>
      <c r="AP31" s="175"/>
      <c r="AQ31" s="175"/>
      <c r="AR31" s="176"/>
      <c r="AT31" s="174"/>
      <c r="AU31" s="175"/>
      <c r="AV31" s="175"/>
      <c r="AW31" s="175"/>
      <c r="AX31" s="175"/>
      <c r="AY31" s="175"/>
      <c r="AZ31" s="176"/>
      <c r="BB31" s="174"/>
      <c r="BC31" s="175"/>
      <c r="BD31" s="175"/>
      <c r="BE31" s="175"/>
      <c r="BF31" s="175"/>
      <c r="BG31" s="175"/>
      <c r="BH31" s="176"/>
    </row>
    <row r="32" spans="1:66" x14ac:dyDescent="0.2">
      <c r="F32" s="177"/>
      <c r="G32" s="178"/>
      <c r="H32" s="178"/>
      <c r="I32" s="178"/>
      <c r="J32" s="178"/>
      <c r="K32" s="178"/>
      <c r="L32" s="179"/>
      <c r="N32" s="177"/>
      <c r="O32" s="178"/>
      <c r="P32" s="178"/>
      <c r="Q32" s="178"/>
      <c r="R32" s="178"/>
      <c r="S32" s="178"/>
      <c r="T32" s="179"/>
      <c r="V32" s="177"/>
      <c r="W32" s="178"/>
      <c r="X32" s="178"/>
      <c r="Y32" s="178"/>
      <c r="Z32" s="178"/>
      <c r="AA32" s="178"/>
      <c r="AB32" s="179"/>
      <c r="AD32" s="177"/>
      <c r="AE32" s="178"/>
      <c r="AF32" s="178"/>
      <c r="AG32" s="178"/>
      <c r="AH32" s="178"/>
      <c r="AI32" s="178"/>
      <c r="AJ32" s="179"/>
      <c r="AL32" s="177"/>
      <c r="AM32" s="178"/>
      <c r="AN32" s="178"/>
      <c r="AO32" s="178"/>
      <c r="AP32" s="178"/>
      <c r="AQ32" s="178"/>
      <c r="AR32" s="179"/>
      <c r="AT32" s="177"/>
      <c r="AU32" s="178"/>
      <c r="AV32" s="178"/>
      <c r="AW32" s="178"/>
      <c r="AX32" s="178"/>
      <c r="AY32" s="178"/>
      <c r="AZ32" s="179"/>
      <c r="BB32" s="177"/>
      <c r="BC32" s="178"/>
      <c r="BD32" s="178"/>
      <c r="BE32" s="178"/>
      <c r="BF32" s="178"/>
      <c r="BG32" s="178"/>
      <c r="BH32" s="179"/>
    </row>
  </sheetData>
  <mergeCells count="27">
    <mergeCell ref="D3:D4"/>
    <mergeCell ref="A24:C24"/>
    <mergeCell ref="A1:B1"/>
    <mergeCell ref="A2:B2"/>
    <mergeCell ref="A3:B3"/>
    <mergeCell ref="C3:C4"/>
    <mergeCell ref="W3:AB3"/>
    <mergeCell ref="AE3:AJ3"/>
    <mergeCell ref="AM3:AR3"/>
    <mergeCell ref="AU3:AZ3"/>
    <mergeCell ref="BC3:BH3"/>
    <mergeCell ref="F25:L25"/>
    <mergeCell ref="F26:L32"/>
    <mergeCell ref="N25:T25"/>
    <mergeCell ref="N26:T32"/>
    <mergeCell ref="G3:L3"/>
    <mergeCell ref="O3:T3"/>
    <mergeCell ref="AT25:AZ25"/>
    <mergeCell ref="AT26:AZ32"/>
    <mergeCell ref="BB25:BH25"/>
    <mergeCell ref="BB26:BH32"/>
    <mergeCell ref="V25:AB25"/>
    <mergeCell ref="V26:AB32"/>
    <mergeCell ref="AD25:AJ25"/>
    <mergeCell ref="AD26:AJ32"/>
    <mergeCell ref="AL25:AR25"/>
    <mergeCell ref="AL26:AR3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4DA2C-8F27-3F48-8C9B-BCE778FD958B}">
  <dimension ref="A1:AL33"/>
  <sheetViews>
    <sheetView workbookViewId="0">
      <selection activeCell="D3" sqref="D3:D4"/>
    </sheetView>
  </sheetViews>
  <sheetFormatPr baseColWidth="10" defaultColWidth="11" defaultRowHeight="16" outlineLevelCol="1" x14ac:dyDescent="0.2"/>
  <cols>
    <col min="1" max="3" width="16.5" customWidth="1"/>
    <col min="4" max="4" width="68.6640625" bestFit="1" customWidth="1"/>
    <col min="5" max="5" width="1" customWidth="1"/>
    <col min="6" max="6" width="16.6640625" customWidth="1" outlineLevel="1"/>
    <col min="7" max="7" width="16.1640625" customWidth="1" outlineLevel="1"/>
    <col min="8" max="8" width="14.6640625" customWidth="1" outlineLevel="1"/>
    <col min="9" max="9" width="1.33203125" customWidth="1"/>
    <col min="10" max="10" width="16.6640625" customWidth="1"/>
    <col min="11" max="11" width="16.1640625" customWidth="1"/>
    <col min="12" max="12" width="14.6640625" customWidth="1"/>
    <col min="13" max="13" width="1.33203125" customWidth="1"/>
    <col min="14" max="14" width="16.6640625" customWidth="1"/>
    <col min="15" max="15" width="16.1640625" customWidth="1"/>
    <col min="16" max="16" width="14.6640625" customWidth="1"/>
    <col min="17" max="17" width="1.33203125" customWidth="1"/>
    <col min="18" max="18" width="16.6640625" customWidth="1"/>
    <col min="19" max="19" width="16.1640625" customWidth="1"/>
    <col min="20" max="20" width="14.6640625" customWidth="1"/>
    <col min="21" max="21" width="1.33203125" customWidth="1"/>
    <col min="22" max="22" width="16.6640625" customWidth="1"/>
    <col min="23" max="23" width="16.1640625" customWidth="1"/>
    <col min="24" max="24" width="14.6640625" customWidth="1"/>
    <col min="25" max="25" width="1.33203125" customWidth="1"/>
    <col min="26" max="26" width="16.6640625" customWidth="1"/>
    <col min="27" max="27" width="16.1640625" customWidth="1"/>
    <col min="28" max="28" width="14.6640625" customWidth="1"/>
    <col min="29" max="29" width="1.33203125" customWidth="1"/>
    <col min="30" max="30" width="16.6640625" customWidth="1"/>
    <col min="31" max="31" width="16.1640625" customWidth="1"/>
    <col min="32" max="32" width="14.6640625" customWidth="1"/>
    <col min="33" max="33" width="1.33203125" customWidth="1"/>
    <col min="34" max="37" width="17.1640625" customWidth="1"/>
    <col min="38" max="38" width="38.5" customWidth="1"/>
  </cols>
  <sheetData>
    <row r="1" spans="1:38" x14ac:dyDescent="0.2">
      <c r="A1" s="160" t="s">
        <v>0</v>
      </c>
      <c r="B1" s="161"/>
      <c r="C1" s="1">
        <f>'Promo Form'!C1</f>
        <v>0</v>
      </c>
      <c r="D1" s="89" t="s">
        <v>62</v>
      </c>
      <c r="E1" s="2"/>
      <c r="F1" s="3"/>
      <c r="G1" s="3"/>
      <c r="H1" s="3"/>
      <c r="I1" s="77"/>
      <c r="J1" s="3"/>
      <c r="K1" s="3"/>
      <c r="L1" s="3"/>
      <c r="M1" s="77"/>
      <c r="N1" s="3"/>
      <c r="O1" s="3"/>
      <c r="P1" s="3"/>
      <c r="Q1" s="77"/>
      <c r="R1" s="3"/>
      <c r="S1" s="3"/>
      <c r="T1" s="3"/>
      <c r="U1" s="77"/>
      <c r="V1" s="3"/>
      <c r="W1" s="3"/>
      <c r="X1" s="3"/>
      <c r="Y1" s="77"/>
      <c r="Z1" s="3"/>
      <c r="AA1" s="3"/>
      <c r="AB1" s="3"/>
      <c r="AC1" s="77"/>
      <c r="AD1" s="3"/>
      <c r="AE1" s="3"/>
      <c r="AF1" s="3"/>
      <c r="AG1" s="77"/>
    </row>
    <row r="2" spans="1:38" x14ac:dyDescent="0.2">
      <c r="A2" s="162" t="s">
        <v>3</v>
      </c>
      <c r="B2" s="163"/>
      <c r="C2" s="1">
        <f>'Promo Form'!C2</f>
        <v>0</v>
      </c>
      <c r="D2" s="1">
        <f>'Promo Form'!D2</f>
        <v>0</v>
      </c>
      <c r="E2" s="2"/>
      <c r="F2" s="6"/>
      <c r="G2" s="67"/>
      <c r="H2" s="3"/>
      <c r="I2" s="77"/>
      <c r="J2" s="6"/>
      <c r="K2" s="67"/>
      <c r="L2" s="3"/>
      <c r="M2" s="77"/>
      <c r="N2" s="6"/>
      <c r="O2" s="67"/>
      <c r="P2" s="3"/>
      <c r="Q2" s="77"/>
      <c r="R2" s="6"/>
      <c r="S2" s="67"/>
      <c r="T2" s="3"/>
      <c r="U2" s="77"/>
      <c r="V2" s="6"/>
      <c r="W2" s="67"/>
      <c r="X2" s="3"/>
      <c r="Y2" s="77"/>
      <c r="Z2" s="6"/>
      <c r="AA2" s="67"/>
      <c r="AB2" s="3"/>
      <c r="AC2" s="77"/>
      <c r="AD2" s="6"/>
      <c r="AE2" s="67"/>
      <c r="AF2" s="3"/>
      <c r="AG2" s="77"/>
    </row>
    <row r="3" spans="1:38" x14ac:dyDescent="0.2">
      <c r="A3" s="184" t="s">
        <v>5</v>
      </c>
      <c r="B3" s="152"/>
      <c r="C3" s="164" t="s">
        <v>6</v>
      </c>
      <c r="D3" s="166" t="s">
        <v>7</v>
      </c>
      <c r="E3" s="63"/>
      <c r="F3" s="185" t="str">
        <f>'Promo Form'!F3</f>
        <v>Harvey Norman</v>
      </c>
      <c r="G3" s="185"/>
      <c r="H3" s="185"/>
      <c r="I3" s="78"/>
      <c r="J3" s="185" t="str">
        <f>'Promo Form'!R3</f>
        <v>JB HIFI</v>
      </c>
      <c r="K3" s="185"/>
      <c r="L3" s="185"/>
      <c r="M3" s="78"/>
      <c r="N3" s="185" t="str">
        <f>'Promo Form'!AD3</f>
        <v>Harvey Norman</v>
      </c>
      <c r="O3" s="185"/>
      <c r="P3" s="185"/>
      <c r="Q3" s="78"/>
      <c r="R3" s="185" t="str">
        <f>'Promo Form'!AP3</f>
        <v>PB Tech</v>
      </c>
      <c r="S3" s="185"/>
      <c r="T3" s="185"/>
      <c r="U3" s="78"/>
      <c r="V3" s="185" t="str">
        <f>'Promo Form'!BB3</f>
        <v>Spare</v>
      </c>
      <c r="W3" s="185"/>
      <c r="X3" s="185"/>
      <c r="Y3" s="78"/>
      <c r="Z3" s="185" t="str">
        <f>'Promo Form'!BN3</f>
        <v>Spare</v>
      </c>
      <c r="AA3" s="185"/>
      <c r="AB3" s="185"/>
      <c r="AC3" s="78"/>
      <c r="AD3" s="185" t="str">
        <f>'Promo Form'!BZ3</f>
        <v>Spare</v>
      </c>
      <c r="AE3" s="185"/>
      <c r="AF3" s="185"/>
      <c r="AG3" s="78"/>
      <c r="AJ3" s="97"/>
    </row>
    <row r="4" spans="1:38" ht="34" x14ac:dyDescent="0.2">
      <c r="A4" s="7" t="s">
        <v>11</v>
      </c>
      <c r="B4" s="7" t="s">
        <v>12</v>
      </c>
      <c r="C4" s="165"/>
      <c r="D4" s="150"/>
      <c r="E4" s="8"/>
      <c r="F4" s="10" t="s">
        <v>15</v>
      </c>
      <c r="G4" s="10" t="s">
        <v>21</v>
      </c>
      <c r="H4" s="10" t="s">
        <v>22</v>
      </c>
      <c r="I4" s="79"/>
      <c r="J4" s="10" t="s">
        <v>15</v>
      </c>
      <c r="K4" s="10" t="s">
        <v>21</v>
      </c>
      <c r="L4" s="10" t="s">
        <v>22</v>
      </c>
      <c r="M4" s="79"/>
      <c r="N4" s="10" t="s">
        <v>15</v>
      </c>
      <c r="O4" s="10" t="s">
        <v>21</v>
      </c>
      <c r="P4" s="10" t="s">
        <v>22</v>
      </c>
      <c r="Q4" s="79"/>
      <c r="R4" s="10" t="s">
        <v>15</v>
      </c>
      <c r="S4" s="10" t="s">
        <v>21</v>
      </c>
      <c r="T4" s="10" t="s">
        <v>22</v>
      </c>
      <c r="U4" s="79"/>
      <c r="V4" s="10" t="s">
        <v>15</v>
      </c>
      <c r="W4" s="10" t="s">
        <v>21</v>
      </c>
      <c r="X4" s="10" t="s">
        <v>22</v>
      </c>
      <c r="Y4" s="79"/>
      <c r="Z4" s="10" t="s">
        <v>15</v>
      </c>
      <c r="AA4" s="10" t="s">
        <v>21</v>
      </c>
      <c r="AB4" s="10" t="s">
        <v>22</v>
      </c>
      <c r="AC4" s="79"/>
      <c r="AD4" s="10" t="s">
        <v>15</v>
      </c>
      <c r="AE4" s="10" t="s">
        <v>21</v>
      </c>
      <c r="AF4" s="10" t="s">
        <v>22</v>
      </c>
      <c r="AG4" s="79"/>
      <c r="AH4" s="100" t="s">
        <v>25</v>
      </c>
      <c r="AI4" s="100" t="s">
        <v>26</v>
      </c>
      <c r="AJ4" s="100" t="s">
        <v>27</v>
      </c>
      <c r="AK4" s="100" t="s">
        <v>28</v>
      </c>
      <c r="AL4" s="100" t="s">
        <v>29</v>
      </c>
    </row>
    <row r="5" spans="1:38" x14ac:dyDescent="0.2">
      <c r="A5" s="12">
        <f>'Promo Form'!A5</f>
        <v>45658</v>
      </c>
      <c r="B5" s="12">
        <f>'Promo Form'!B5</f>
        <v>45672</v>
      </c>
      <c r="C5" s="13" t="str">
        <f>'Promo Form'!C5</f>
        <v>ADM4DG</v>
      </c>
      <c r="D5" s="14" t="str">
        <f>'Promo Form'!D5</f>
        <v>ADONIT Mini 4 (Grey)</v>
      </c>
      <c r="E5" s="15"/>
      <c r="F5" s="16">
        <f>'Promo Form'!H5</f>
        <v>1.2170000000000001</v>
      </c>
      <c r="G5" s="102">
        <f>'Promo Form'!N5</f>
        <v>18</v>
      </c>
      <c r="H5" s="70">
        <f>'Promo Form'!O5</f>
        <v>21.906000000000002</v>
      </c>
      <c r="I5" s="80"/>
      <c r="J5" s="16">
        <f>'Promo Form'!T5</f>
        <v>1.2170000000000001</v>
      </c>
      <c r="K5" s="102" t="str">
        <f>'Promo Form'!Z5</f>
        <v/>
      </c>
      <c r="L5" s="70" t="str">
        <f>'Promo Form'!AA5</f>
        <v/>
      </c>
      <c r="M5" s="80"/>
      <c r="N5" s="16">
        <f>'Promo Form'!AF5</f>
        <v>1.2170000000000001</v>
      </c>
      <c r="O5" s="102">
        <f>'Promo Form'!AL5</f>
        <v>18</v>
      </c>
      <c r="P5" s="70">
        <f>'Promo Form'!AM5</f>
        <v>21.906000000000002</v>
      </c>
      <c r="Q5" s="80"/>
      <c r="R5" s="16">
        <f>'Promo Form'!AR5</f>
        <v>1.0429999999999999</v>
      </c>
      <c r="S5" s="102">
        <f>'Promo Form'!AX5</f>
        <v>46</v>
      </c>
      <c r="T5" s="70">
        <f>'Promo Form'!AY5</f>
        <v>47.977999999999994</v>
      </c>
      <c r="U5" s="80"/>
      <c r="V5" s="16" t="str">
        <f>'Promo Form'!BD5</f>
        <v/>
      </c>
      <c r="W5" s="102" t="str">
        <f>'Promo Form'!BJ5</f>
        <v/>
      </c>
      <c r="X5" s="70" t="str">
        <f>'Promo Form'!BK5</f>
        <v/>
      </c>
      <c r="Y5" s="80"/>
      <c r="Z5" s="16" t="str">
        <f>'Promo Form'!BP5</f>
        <v/>
      </c>
      <c r="AA5" s="102" t="str">
        <f>'Promo Form'!BV5</f>
        <v/>
      </c>
      <c r="AB5" s="70" t="str">
        <f>'Promo Form'!BW5</f>
        <v/>
      </c>
      <c r="AC5" s="80"/>
      <c r="AD5" s="16" t="str">
        <f>'Promo Form'!CB5</f>
        <v/>
      </c>
      <c r="AE5" s="102" t="str">
        <f>'Promo Form'!CH5</f>
        <v/>
      </c>
      <c r="AF5" s="70" t="str">
        <f>'Promo Form'!CI5</f>
        <v/>
      </c>
      <c r="AG5" s="80"/>
      <c r="AH5" s="17">
        <f>'Promo Form'!CL5</f>
        <v>39.99</v>
      </c>
      <c r="AI5" s="17">
        <f>'Promo Form'!CM5</f>
        <v>31.992000000000001</v>
      </c>
      <c r="AJ5" s="99">
        <f>'Promo Form'!CN5</f>
        <v>0.2</v>
      </c>
      <c r="AK5" s="17">
        <f>'Promo Form'!CO5</f>
        <v>7.9980000000000011</v>
      </c>
      <c r="AL5" s="98">
        <f>'Promo Form'!CP5</f>
        <v>0</v>
      </c>
    </row>
    <row r="6" spans="1:38" x14ac:dyDescent="0.2">
      <c r="A6" s="12" t="str">
        <f>'Promo Form'!A6</f>
        <v/>
      </c>
      <c r="B6" s="12" t="str">
        <f>'Promo Form'!B6</f>
        <v/>
      </c>
      <c r="C6" s="13">
        <f>'Promo Form'!C6</f>
        <v>0</v>
      </c>
      <c r="D6" s="14" t="str">
        <f>'Promo Form'!D6</f>
        <v/>
      </c>
      <c r="E6" s="15"/>
      <c r="F6" s="16" t="str">
        <f>'Promo Form'!H6</f>
        <v/>
      </c>
      <c r="G6" s="102" t="str">
        <f>'Promo Form'!N6</f>
        <v/>
      </c>
      <c r="H6" s="70" t="str">
        <f>'Promo Form'!O6</f>
        <v/>
      </c>
      <c r="I6" s="80"/>
      <c r="J6" s="16" t="str">
        <f>'Promo Form'!T6</f>
        <v/>
      </c>
      <c r="K6" s="102" t="str">
        <f>'Promo Form'!Z6</f>
        <v/>
      </c>
      <c r="L6" s="70" t="str">
        <f>'Promo Form'!AA6</f>
        <v/>
      </c>
      <c r="M6" s="80"/>
      <c r="N6" s="16" t="str">
        <f>'Promo Form'!AF6</f>
        <v/>
      </c>
      <c r="O6" s="102" t="str">
        <f>'Promo Form'!AL6</f>
        <v/>
      </c>
      <c r="P6" s="70" t="str">
        <f>'Promo Form'!AM6</f>
        <v/>
      </c>
      <c r="Q6" s="80"/>
      <c r="R6" s="16" t="str">
        <f>'Promo Form'!AR6</f>
        <v/>
      </c>
      <c r="S6" s="102" t="str">
        <f>'Promo Form'!AX6</f>
        <v/>
      </c>
      <c r="T6" s="70" t="str">
        <f>'Promo Form'!AY6</f>
        <v/>
      </c>
      <c r="U6" s="80"/>
      <c r="V6" s="16" t="str">
        <f>'Promo Form'!BD6</f>
        <v/>
      </c>
      <c r="W6" s="102" t="str">
        <f>'Promo Form'!BJ6</f>
        <v/>
      </c>
      <c r="X6" s="70" t="str">
        <f>'Promo Form'!BK6</f>
        <v/>
      </c>
      <c r="Y6" s="80"/>
      <c r="Z6" s="16" t="str">
        <f>'Promo Form'!BP6</f>
        <v/>
      </c>
      <c r="AA6" s="102" t="str">
        <f>'Promo Form'!BV6</f>
        <v/>
      </c>
      <c r="AB6" s="70" t="str">
        <f>'Promo Form'!BW6</f>
        <v/>
      </c>
      <c r="AC6" s="80"/>
      <c r="AD6" s="16" t="str">
        <f>'Promo Form'!CB6</f>
        <v/>
      </c>
      <c r="AE6" s="102" t="str">
        <f>'Promo Form'!CH6</f>
        <v/>
      </c>
      <c r="AF6" s="70" t="str">
        <f>'Promo Form'!CI6</f>
        <v/>
      </c>
      <c r="AG6" s="80"/>
      <c r="AH6" s="17" t="str">
        <f>'Promo Form'!CL6</f>
        <v/>
      </c>
      <c r="AI6" s="17" t="str">
        <f>'Promo Form'!CM6</f>
        <v/>
      </c>
      <c r="AJ6" s="99" t="str">
        <f>'Promo Form'!CN6</f>
        <v/>
      </c>
      <c r="AK6" s="17" t="str">
        <f>'Promo Form'!CO6</f>
        <v/>
      </c>
      <c r="AL6" s="98">
        <f>'Promo Form'!CP6</f>
        <v>0</v>
      </c>
    </row>
    <row r="7" spans="1:38" x14ac:dyDescent="0.2">
      <c r="A7" s="12" t="str">
        <f>'Promo Form'!A7</f>
        <v/>
      </c>
      <c r="B7" s="12" t="str">
        <f>'Promo Form'!B7</f>
        <v/>
      </c>
      <c r="C7" s="13">
        <f>'Promo Form'!C7</f>
        <v>0</v>
      </c>
      <c r="D7" s="14" t="str">
        <f>'Promo Form'!D7</f>
        <v/>
      </c>
      <c r="E7" s="15"/>
      <c r="F7" s="16" t="str">
        <f>'Promo Form'!H7</f>
        <v/>
      </c>
      <c r="G7" s="102" t="str">
        <f>'Promo Form'!N7</f>
        <v/>
      </c>
      <c r="H7" s="70" t="str">
        <f>'Promo Form'!O7</f>
        <v/>
      </c>
      <c r="I7" s="80"/>
      <c r="J7" s="16" t="str">
        <f>'Promo Form'!T7</f>
        <v/>
      </c>
      <c r="K7" s="102" t="str">
        <f>'Promo Form'!Z7</f>
        <v/>
      </c>
      <c r="L7" s="70" t="str">
        <f>'Promo Form'!AA7</f>
        <v/>
      </c>
      <c r="M7" s="80"/>
      <c r="N7" s="16" t="str">
        <f>'Promo Form'!AF7</f>
        <v/>
      </c>
      <c r="O7" s="102" t="str">
        <f>'Promo Form'!AL7</f>
        <v/>
      </c>
      <c r="P7" s="70" t="str">
        <f>'Promo Form'!AM7</f>
        <v/>
      </c>
      <c r="Q7" s="80"/>
      <c r="R7" s="16" t="str">
        <f>'Promo Form'!AR7</f>
        <v/>
      </c>
      <c r="S7" s="102" t="str">
        <f>'Promo Form'!AX7</f>
        <v/>
      </c>
      <c r="T7" s="70" t="str">
        <f>'Promo Form'!AY7</f>
        <v/>
      </c>
      <c r="U7" s="80"/>
      <c r="V7" s="16" t="str">
        <f>'Promo Form'!BD7</f>
        <v/>
      </c>
      <c r="W7" s="102" t="str">
        <f>'Promo Form'!BJ7</f>
        <v/>
      </c>
      <c r="X7" s="70" t="str">
        <f>'Promo Form'!BK7</f>
        <v/>
      </c>
      <c r="Y7" s="80"/>
      <c r="Z7" s="16" t="str">
        <f>'Promo Form'!BP7</f>
        <v/>
      </c>
      <c r="AA7" s="102" t="str">
        <f>'Promo Form'!BV7</f>
        <v/>
      </c>
      <c r="AB7" s="70" t="str">
        <f>'Promo Form'!BW7</f>
        <v/>
      </c>
      <c r="AC7" s="80"/>
      <c r="AD7" s="16" t="str">
        <f>'Promo Form'!CB7</f>
        <v/>
      </c>
      <c r="AE7" s="102" t="str">
        <f>'Promo Form'!CH7</f>
        <v/>
      </c>
      <c r="AF7" s="70" t="str">
        <f>'Promo Form'!CI7</f>
        <v/>
      </c>
      <c r="AG7" s="80"/>
      <c r="AH7" s="17" t="str">
        <f>'Promo Form'!CL7</f>
        <v/>
      </c>
      <c r="AI7" s="17" t="str">
        <f>'Promo Form'!CM7</f>
        <v/>
      </c>
      <c r="AJ7" s="99" t="str">
        <f>'Promo Form'!CN7</f>
        <v/>
      </c>
      <c r="AK7" s="17" t="str">
        <f>'Promo Form'!CO7</f>
        <v/>
      </c>
      <c r="AL7" s="98">
        <f>'Promo Form'!CP7</f>
        <v>0</v>
      </c>
    </row>
    <row r="8" spans="1:38" x14ac:dyDescent="0.2">
      <c r="A8" s="12" t="str">
        <f>'Promo Form'!A8</f>
        <v/>
      </c>
      <c r="B8" s="12" t="str">
        <f>'Promo Form'!B8</f>
        <v/>
      </c>
      <c r="C8" s="13">
        <f>'Promo Form'!C8</f>
        <v>0</v>
      </c>
      <c r="D8" s="14" t="str">
        <f>'Promo Form'!D8</f>
        <v/>
      </c>
      <c r="E8" s="15"/>
      <c r="F8" s="16" t="str">
        <f>'Promo Form'!H8</f>
        <v/>
      </c>
      <c r="G8" s="102" t="str">
        <f>'Promo Form'!N8</f>
        <v/>
      </c>
      <c r="H8" s="70" t="str">
        <f>'Promo Form'!O8</f>
        <v/>
      </c>
      <c r="I8" s="80"/>
      <c r="J8" s="16" t="str">
        <f>'Promo Form'!T8</f>
        <v/>
      </c>
      <c r="K8" s="102" t="str">
        <f>'Promo Form'!Z8</f>
        <v/>
      </c>
      <c r="L8" s="70" t="str">
        <f>'Promo Form'!AA8</f>
        <v/>
      </c>
      <c r="M8" s="80"/>
      <c r="N8" s="16" t="str">
        <f>'Promo Form'!AF8</f>
        <v/>
      </c>
      <c r="O8" s="102" t="str">
        <f>'Promo Form'!AL8</f>
        <v/>
      </c>
      <c r="P8" s="70" t="str">
        <f>'Promo Form'!AM8</f>
        <v/>
      </c>
      <c r="Q8" s="80"/>
      <c r="R8" s="16" t="str">
        <f>'Promo Form'!AR8</f>
        <v/>
      </c>
      <c r="S8" s="102" t="str">
        <f>'Promo Form'!AX8</f>
        <v/>
      </c>
      <c r="T8" s="70" t="str">
        <f>'Promo Form'!AY8</f>
        <v/>
      </c>
      <c r="U8" s="80"/>
      <c r="V8" s="16" t="str">
        <f>'Promo Form'!BD8</f>
        <v/>
      </c>
      <c r="W8" s="102" t="str">
        <f>'Promo Form'!BJ8</f>
        <v/>
      </c>
      <c r="X8" s="70" t="str">
        <f>'Promo Form'!BK8</f>
        <v/>
      </c>
      <c r="Y8" s="80"/>
      <c r="Z8" s="16" t="str">
        <f>'Promo Form'!BP8</f>
        <v/>
      </c>
      <c r="AA8" s="102" t="str">
        <f>'Promo Form'!BV8</f>
        <v/>
      </c>
      <c r="AB8" s="70" t="str">
        <f>'Promo Form'!BW8</f>
        <v/>
      </c>
      <c r="AC8" s="80"/>
      <c r="AD8" s="16" t="str">
        <f>'Promo Form'!CB8</f>
        <v/>
      </c>
      <c r="AE8" s="102" t="str">
        <f>'Promo Form'!CH8</f>
        <v/>
      </c>
      <c r="AF8" s="70" t="str">
        <f>'Promo Form'!CI8</f>
        <v/>
      </c>
      <c r="AG8" s="80"/>
      <c r="AH8" s="17" t="str">
        <f>'Promo Form'!CL8</f>
        <v/>
      </c>
      <c r="AI8" s="17" t="str">
        <f>'Promo Form'!CM8</f>
        <v/>
      </c>
      <c r="AJ8" s="99" t="str">
        <f>'Promo Form'!CN8</f>
        <v/>
      </c>
      <c r="AK8" s="17" t="str">
        <f>'Promo Form'!CO8</f>
        <v/>
      </c>
      <c r="AL8" s="98">
        <f>'Promo Form'!CP8</f>
        <v>0</v>
      </c>
    </row>
    <row r="9" spans="1:38" x14ac:dyDescent="0.2">
      <c r="A9" s="12" t="str">
        <f>'Promo Form'!A9</f>
        <v/>
      </c>
      <c r="B9" s="12" t="str">
        <f>'Promo Form'!B9</f>
        <v/>
      </c>
      <c r="C9" s="13">
        <f>'Promo Form'!C9</f>
        <v>0</v>
      </c>
      <c r="D9" s="14" t="str">
        <f>'Promo Form'!D9</f>
        <v/>
      </c>
      <c r="E9" s="15"/>
      <c r="F9" s="16" t="str">
        <f>'Promo Form'!H9</f>
        <v/>
      </c>
      <c r="G9" s="102" t="str">
        <f>'Promo Form'!N9</f>
        <v/>
      </c>
      <c r="H9" s="70" t="str">
        <f>'Promo Form'!O9</f>
        <v/>
      </c>
      <c r="I9" s="80"/>
      <c r="J9" s="16" t="str">
        <f>'Promo Form'!T9</f>
        <v/>
      </c>
      <c r="K9" s="102" t="str">
        <f>'Promo Form'!Z9</f>
        <v/>
      </c>
      <c r="L9" s="70" t="str">
        <f>'Promo Form'!AA9</f>
        <v/>
      </c>
      <c r="M9" s="80"/>
      <c r="N9" s="16" t="str">
        <f>'Promo Form'!AF9</f>
        <v/>
      </c>
      <c r="O9" s="102" t="str">
        <f>'Promo Form'!AL9</f>
        <v/>
      </c>
      <c r="P9" s="70" t="str">
        <f>'Promo Form'!AM9</f>
        <v/>
      </c>
      <c r="Q9" s="80"/>
      <c r="R9" s="16" t="str">
        <f>'Promo Form'!AR9</f>
        <v/>
      </c>
      <c r="S9" s="102" t="str">
        <f>'Promo Form'!AX9</f>
        <v/>
      </c>
      <c r="T9" s="70" t="str">
        <f>'Promo Form'!AY9</f>
        <v/>
      </c>
      <c r="U9" s="80"/>
      <c r="V9" s="16" t="str">
        <f>'Promo Form'!BD9</f>
        <v/>
      </c>
      <c r="W9" s="102" t="str">
        <f>'Promo Form'!BJ9</f>
        <v/>
      </c>
      <c r="X9" s="70" t="str">
        <f>'Promo Form'!BK9</f>
        <v/>
      </c>
      <c r="Y9" s="80"/>
      <c r="Z9" s="16" t="str">
        <f>'Promo Form'!BP9</f>
        <v/>
      </c>
      <c r="AA9" s="102" t="str">
        <f>'Promo Form'!BV9</f>
        <v/>
      </c>
      <c r="AB9" s="70" t="str">
        <f>'Promo Form'!BW9</f>
        <v/>
      </c>
      <c r="AC9" s="80"/>
      <c r="AD9" s="16" t="str">
        <f>'Promo Form'!CB9</f>
        <v/>
      </c>
      <c r="AE9" s="102" t="str">
        <f>'Promo Form'!CH9</f>
        <v/>
      </c>
      <c r="AF9" s="70" t="str">
        <f>'Promo Form'!CI9</f>
        <v/>
      </c>
      <c r="AG9" s="80"/>
      <c r="AH9" s="17" t="str">
        <f>'Promo Form'!CL9</f>
        <v/>
      </c>
      <c r="AI9" s="17" t="str">
        <f>'Promo Form'!CM9</f>
        <v/>
      </c>
      <c r="AJ9" s="99" t="str">
        <f>'Promo Form'!CN9</f>
        <v/>
      </c>
      <c r="AK9" s="17" t="str">
        <f>'Promo Form'!CO9</f>
        <v/>
      </c>
      <c r="AL9" s="98">
        <f>'Promo Form'!CP9</f>
        <v>0</v>
      </c>
    </row>
    <row r="10" spans="1:38" x14ac:dyDescent="0.2">
      <c r="A10" s="12" t="str">
        <f>'Promo Form'!A10</f>
        <v/>
      </c>
      <c r="B10" s="12" t="str">
        <f>'Promo Form'!B10</f>
        <v/>
      </c>
      <c r="C10" s="13">
        <f>'Promo Form'!C10</f>
        <v>0</v>
      </c>
      <c r="D10" s="14" t="str">
        <f>'Promo Form'!D10</f>
        <v/>
      </c>
      <c r="E10" s="15"/>
      <c r="F10" s="16" t="str">
        <f>'Promo Form'!H10</f>
        <v/>
      </c>
      <c r="G10" s="102" t="str">
        <f>'Promo Form'!N10</f>
        <v/>
      </c>
      <c r="H10" s="70" t="str">
        <f>'Promo Form'!O10</f>
        <v/>
      </c>
      <c r="I10" s="80"/>
      <c r="J10" s="16" t="str">
        <f>'Promo Form'!T10</f>
        <v/>
      </c>
      <c r="K10" s="102" t="str">
        <f>'Promo Form'!Z10</f>
        <v/>
      </c>
      <c r="L10" s="70" t="str">
        <f>'Promo Form'!AA10</f>
        <v/>
      </c>
      <c r="M10" s="80"/>
      <c r="N10" s="16" t="str">
        <f>'Promo Form'!AF10</f>
        <v/>
      </c>
      <c r="O10" s="102" t="str">
        <f>'Promo Form'!AL10</f>
        <v/>
      </c>
      <c r="P10" s="70" t="str">
        <f>'Promo Form'!AM10</f>
        <v/>
      </c>
      <c r="Q10" s="80"/>
      <c r="R10" s="16" t="str">
        <f>'Promo Form'!AR10</f>
        <v/>
      </c>
      <c r="S10" s="102" t="str">
        <f>'Promo Form'!AX10</f>
        <v/>
      </c>
      <c r="T10" s="70" t="str">
        <f>'Promo Form'!AY10</f>
        <v/>
      </c>
      <c r="U10" s="80"/>
      <c r="V10" s="16" t="str">
        <f>'Promo Form'!BD10</f>
        <v/>
      </c>
      <c r="W10" s="102" t="str">
        <f>'Promo Form'!BJ10</f>
        <v/>
      </c>
      <c r="X10" s="70" t="str">
        <f>'Promo Form'!BK10</f>
        <v/>
      </c>
      <c r="Y10" s="80"/>
      <c r="Z10" s="16" t="str">
        <f>'Promo Form'!BP10</f>
        <v/>
      </c>
      <c r="AA10" s="102" t="str">
        <f>'Promo Form'!BV10</f>
        <v/>
      </c>
      <c r="AB10" s="70" t="str">
        <f>'Promo Form'!BW10</f>
        <v/>
      </c>
      <c r="AC10" s="80"/>
      <c r="AD10" s="16" t="str">
        <f>'Promo Form'!CB10</f>
        <v/>
      </c>
      <c r="AE10" s="102" t="str">
        <f>'Promo Form'!CH10</f>
        <v/>
      </c>
      <c r="AF10" s="70" t="str">
        <f>'Promo Form'!CI10</f>
        <v/>
      </c>
      <c r="AG10" s="80"/>
      <c r="AH10" s="17" t="str">
        <f>'Promo Form'!CL10</f>
        <v/>
      </c>
      <c r="AI10" s="17" t="str">
        <f>'Promo Form'!CM10</f>
        <v/>
      </c>
      <c r="AJ10" s="99" t="str">
        <f>'Promo Form'!CN10</f>
        <v/>
      </c>
      <c r="AK10" s="17" t="str">
        <f>'Promo Form'!CO10</f>
        <v/>
      </c>
      <c r="AL10" s="98">
        <f>'Promo Form'!CP10</f>
        <v>0</v>
      </c>
    </row>
    <row r="11" spans="1:38" x14ac:dyDescent="0.2">
      <c r="A11" s="12" t="str">
        <f>'Promo Form'!A11</f>
        <v/>
      </c>
      <c r="B11" s="12" t="str">
        <f>'Promo Form'!B11</f>
        <v/>
      </c>
      <c r="C11" s="13">
        <f>'Promo Form'!C11</f>
        <v>0</v>
      </c>
      <c r="D11" s="14" t="str">
        <f>'Promo Form'!D11</f>
        <v/>
      </c>
      <c r="E11" s="15"/>
      <c r="F11" s="16" t="str">
        <f>'Promo Form'!H11</f>
        <v/>
      </c>
      <c r="G11" s="102" t="str">
        <f>'Promo Form'!N11</f>
        <v/>
      </c>
      <c r="H11" s="70" t="str">
        <f>'Promo Form'!O11</f>
        <v/>
      </c>
      <c r="I11" s="80"/>
      <c r="J11" s="16" t="str">
        <f>'Promo Form'!T11</f>
        <v/>
      </c>
      <c r="K11" s="102" t="str">
        <f>'Promo Form'!Z11</f>
        <v/>
      </c>
      <c r="L11" s="70" t="str">
        <f>'Promo Form'!AA11</f>
        <v/>
      </c>
      <c r="M11" s="80"/>
      <c r="N11" s="16" t="str">
        <f>'Promo Form'!AF11</f>
        <v/>
      </c>
      <c r="O11" s="102" t="str">
        <f>'Promo Form'!AL11</f>
        <v/>
      </c>
      <c r="P11" s="70" t="str">
        <f>'Promo Form'!AM11</f>
        <v/>
      </c>
      <c r="Q11" s="80"/>
      <c r="R11" s="16" t="str">
        <f>'Promo Form'!AR11</f>
        <v/>
      </c>
      <c r="S11" s="102" t="str">
        <f>'Promo Form'!AX11</f>
        <v/>
      </c>
      <c r="T11" s="70" t="str">
        <f>'Promo Form'!AY11</f>
        <v/>
      </c>
      <c r="U11" s="80"/>
      <c r="V11" s="16" t="str">
        <f>'Promo Form'!BD11</f>
        <v/>
      </c>
      <c r="W11" s="102" t="str">
        <f>'Promo Form'!BJ11</f>
        <v/>
      </c>
      <c r="X11" s="70" t="str">
        <f>'Promo Form'!BK11</f>
        <v/>
      </c>
      <c r="Y11" s="80"/>
      <c r="Z11" s="16" t="str">
        <f>'Promo Form'!BP11</f>
        <v/>
      </c>
      <c r="AA11" s="102" t="str">
        <f>'Promo Form'!BV11</f>
        <v/>
      </c>
      <c r="AB11" s="70" t="str">
        <f>'Promo Form'!BW11</f>
        <v/>
      </c>
      <c r="AC11" s="80"/>
      <c r="AD11" s="16" t="str">
        <f>'Promo Form'!CB11</f>
        <v/>
      </c>
      <c r="AE11" s="102" t="str">
        <f>'Promo Form'!CH11</f>
        <v/>
      </c>
      <c r="AF11" s="70" t="str">
        <f>'Promo Form'!CI11</f>
        <v/>
      </c>
      <c r="AG11" s="80"/>
      <c r="AH11" s="17" t="str">
        <f>'Promo Form'!CL11</f>
        <v/>
      </c>
      <c r="AI11" s="17" t="str">
        <f>'Promo Form'!CM11</f>
        <v/>
      </c>
      <c r="AJ11" s="99" t="str">
        <f>'Promo Form'!CN11</f>
        <v/>
      </c>
      <c r="AK11" s="17" t="str">
        <f>'Promo Form'!CO11</f>
        <v/>
      </c>
      <c r="AL11" s="98">
        <f>'Promo Form'!CP11</f>
        <v>0</v>
      </c>
    </row>
    <row r="12" spans="1:38" x14ac:dyDescent="0.2">
      <c r="A12" s="12" t="str">
        <f>'Promo Form'!A12</f>
        <v/>
      </c>
      <c r="B12" s="12" t="str">
        <f>'Promo Form'!B12</f>
        <v/>
      </c>
      <c r="C12" s="13">
        <f>'Promo Form'!C12</f>
        <v>0</v>
      </c>
      <c r="D12" s="14" t="str">
        <f>'Promo Form'!D12</f>
        <v/>
      </c>
      <c r="E12" s="15"/>
      <c r="F12" s="16" t="str">
        <f>'Promo Form'!H12</f>
        <v/>
      </c>
      <c r="G12" s="102" t="str">
        <f>'Promo Form'!N12</f>
        <v/>
      </c>
      <c r="H12" s="70" t="str">
        <f>'Promo Form'!O12</f>
        <v/>
      </c>
      <c r="I12" s="80"/>
      <c r="J12" s="16" t="str">
        <f>'Promo Form'!T12</f>
        <v/>
      </c>
      <c r="K12" s="102" t="str">
        <f>'Promo Form'!Z12</f>
        <v/>
      </c>
      <c r="L12" s="70" t="str">
        <f>'Promo Form'!AA12</f>
        <v/>
      </c>
      <c r="M12" s="80"/>
      <c r="N12" s="16" t="str">
        <f>'Promo Form'!AF12</f>
        <v/>
      </c>
      <c r="O12" s="102" t="str">
        <f>'Promo Form'!AL12</f>
        <v/>
      </c>
      <c r="P12" s="70" t="str">
        <f>'Promo Form'!AM12</f>
        <v/>
      </c>
      <c r="Q12" s="80"/>
      <c r="R12" s="16" t="str">
        <f>'Promo Form'!AR12</f>
        <v/>
      </c>
      <c r="S12" s="102" t="str">
        <f>'Promo Form'!AX12</f>
        <v/>
      </c>
      <c r="T12" s="70" t="str">
        <f>'Promo Form'!AY12</f>
        <v/>
      </c>
      <c r="U12" s="80"/>
      <c r="V12" s="16" t="str">
        <f>'Promo Form'!BD12</f>
        <v/>
      </c>
      <c r="W12" s="102" t="str">
        <f>'Promo Form'!BJ12</f>
        <v/>
      </c>
      <c r="X12" s="70" t="str">
        <f>'Promo Form'!BK12</f>
        <v/>
      </c>
      <c r="Y12" s="80"/>
      <c r="Z12" s="16" t="str">
        <f>'Promo Form'!BP12</f>
        <v/>
      </c>
      <c r="AA12" s="102" t="str">
        <f>'Promo Form'!BV12</f>
        <v/>
      </c>
      <c r="AB12" s="70" t="str">
        <f>'Promo Form'!BW12</f>
        <v/>
      </c>
      <c r="AC12" s="80"/>
      <c r="AD12" s="16" t="str">
        <f>'Promo Form'!CB12</f>
        <v/>
      </c>
      <c r="AE12" s="102" t="str">
        <f>'Promo Form'!CH12</f>
        <v/>
      </c>
      <c r="AF12" s="70" t="str">
        <f>'Promo Form'!CI12</f>
        <v/>
      </c>
      <c r="AG12" s="80"/>
      <c r="AH12" s="17" t="str">
        <f>'Promo Form'!CL12</f>
        <v/>
      </c>
      <c r="AI12" s="17" t="str">
        <f>'Promo Form'!CM12</f>
        <v/>
      </c>
      <c r="AJ12" s="99" t="str">
        <f>'Promo Form'!CN12</f>
        <v/>
      </c>
      <c r="AK12" s="17" t="str">
        <f>'Promo Form'!CO12</f>
        <v/>
      </c>
      <c r="AL12" s="98">
        <f>'Promo Form'!CP12</f>
        <v>0</v>
      </c>
    </row>
    <row r="13" spans="1:38" x14ac:dyDescent="0.2">
      <c r="A13" s="12" t="str">
        <f>'Promo Form'!A13</f>
        <v/>
      </c>
      <c r="B13" s="12" t="str">
        <f>'Promo Form'!B13</f>
        <v/>
      </c>
      <c r="C13" s="13">
        <f>'Promo Form'!C13</f>
        <v>0</v>
      </c>
      <c r="D13" s="14" t="str">
        <f>'Promo Form'!D13</f>
        <v/>
      </c>
      <c r="E13" s="15"/>
      <c r="F13" s="16" t="str">
        <f>'Promo Form'!H13</f>
        <v/>
      </c>
      <c r="G13" s="102" t="str">
        <f>'Promo Form'!N13</f>
        <v/>
      </c>
      <c r="H13" s="70" t="str">
        <f>'Promo Form'!O13</f>
        <v/>
      </c>
      <c r="I13" s="80"/>
      <c r="J13" s="16" t="str">
        <f>'Promo Form'!T13</f>
        <v/>
      </c>
      <c r="K13" s="102" t="str">
        <f>'Promo Form'!Z13</f>
        <v/>
      </c>
      <c r="L13" s="70" t="str">
        <f>'Promo Form'!AA13</f>
        <v/>
      </c>
      <c r="M13" s="80"/>
      <c r="N13" s="16" t="str">
        <f>'Promo Form'!AF13</f>
        <v/>
      </c>
      <c r="O13" s="102" t="str">
        <f>'Promo Form'!AL13</f>
        <v/>
      </c>
      <c r="P13" s="70" t="str">
        <f>'Promo Form'!AM13</f>
        <v/>
      </c>
      <c r="Q13" s="80"/>
      <c r="R13" s="16" t="str">
        <f>'Promo Form'!AR13</f>
        <v/>
      </c>
      <c r="S13" s="102" t="str">
        <f>'Promo Form'!AX13</f>
        <v/>
      </c>
      <c r="T13" s="70" t="str">
        <f>'Promo Form'!AY13</f>
        <v/>
      </c>
      <c r="U13" s="80"/>
      <c r="V13" s="16" t="str">
        <f>'Promo Form'!BD13</f>
        <v/>
      </c>
      <c r="W13" s="102" t="str">
        <f>'Promo Form'!BJ13</f>
        <v/>
      </c>
      <c r="X13" s="70" t="str">
        <f>'Promo Form'!BK13</f>
        <v/>
      </c>
      <c r="Y13" s="80"/>
      <c r="Z13" s="16" t="str">
        <f>'Promo Form'!BP13</f>
        <v/>
      </c>
      <c r="AA13" s="102" t="str">
        <f>'Promo Form'!BV13</f>
        <v/>
      </c>
      <c r="AB13" s="70" t="str">
        <f>'Promo Form'!BW13</f>
        <v/>
      </c>
      <c r="AC13" s="80"/>
      <c r="AD13" s="16" t="str">
        <f>'Promo Form'!CB13</f>
        <v/>
      </c>
      <c r="AE13" s="102" t="str">
        <f>'Promo Form'!CH13</f>
        <v/>
      </c>
      <c r="AF13" s="70" t="str">
        <f>'Promo Form'!CI13</f>
        <v/>
      </c>
      <c r="AG13" s="80"/>
      <c r="AH13" s="17" t="str">
        <f>'Promo Form'!CL13</f>
        <v/>
      </c>
      <c r="AI13" s="17" t="str">
        <f>'Promo Form'!CM13</f>
        <v/>
      </c>
      <c r="AJ13" s="99" t="str">
        <f>'Promo Form'!CN13</f>
        <v/>
      </c>
      <c r="AK13" s="17" t="str">
        <f>'Promo Form'!CO13</f>
        <v/>
      </c>
      <c r="AL13" s="98">
        <f>'Promo Form'!CP13</f>
        <v>0</v>
      </c>
    </row>
    <row r="14" spans="1:38" x14ac:dyDescent="0.2">
      <c r="A14" s="12" t="str">
        <f>'Promo Form'!A14</f>
        <v/>
      </c>
      <c r="B14" s="12" t="str">
        <f>'Promo Form'!B14</f>
        <v/>
      </c>
      <c r="C14" s="13">
        <f>'Promo Form'!C14</f>
        <v>0</v>
      </c>
      <c r="D14" s="14" t="str">
        <f>'Promo Form'!D14</f>
        <v/>
      </c>
      <c r="E14" s="15"/>
      <c r="F14" s="16" t="str">
        <f>'Promo Form'!H14</f>
        <v/>
      </c>
      <c r="G14" s="102" t="str">
        <f>'Promo Form'!N14</f>
        <v/>
      </c>
      <c r="H14" s="70" t="str">
        <f>'Promo Form'!O14</f>
        <v/>
      </c>
      <c r="I14" s="80"/>
      <c r="J14" s="16" t="str">
        <f>'Promo Form'!T14</f>
        <v/>
      </c>
      <c r="K14" s="102" t="str">
        <f>'Promo Form'!Z14</f>
        <v/>
      </c>
      <c r="L14" s="70" t="str">
        <f>'Promo Form'!AA14</f>
        <v/>
      </c>
      <c r="M14" s="80"/>
      <c r="N14" s="16" t="str">
        <f>'Promo Form'!AF14</f>
        <v/>
      </c>
      <c r="O14" s="102" t="str">
        <f>'Promo Form'!AL14</f>
        <v/>
      </c>
      <c r="P14" s="70" t="str">
        <f>'Promo Form'!AM14</f>
        <v/>
      </c>
      <c r="Q14" s="80"/>
      <c r="R14" s="16" t="str">
        <f>'Promo Form'!AR14</f>
        <v/>
      </c>
      <c r="S14" s="102" t="str">
        <f>'Promo Form'!AX14</f>
        <v/>
      </c>
      <c r="T14" s="70" t="str">
        <f>'Promo Form'!AY14</f>
        <v/>
      </c>
      <c r="U14" s="80"/>
      <c r="V14" s="16" t="str">
        <f>'Promo Form'!BD14</f>
        <v/>
      </c>
      <c r="W14" s="102" t="str">
        <f>'Promo Form'!BJ14</f>
        <v/>
      </c>
      <c r="X14" s="70" t="str">
        <f>'Promo Form'!BK14</f>
        <v/>
      </c>
      <c r="Y14" s="80"/>
      <c r="Z14" s="16" t="str">
        <f>'Promo Form'!BP14</f>
        <v/>
      </c>
      <c r="AA14" s="102" t="str">
        <f>'Promo Form'!BV14</f>
        <v/>
      </c>
      <c r="AB14" s="70" t="str">
        <f>'Promo Form'!BW14</f>
        <v/>
      </c>
      <c r="AC14" s="80"/>
      <c r="AD14" s="16" t="str">
        <f>'Promo Form'!CB14</f>
        <v/>
      </c>
      <c r="AE14" s="102" t="str">
        <f>'Promo Form'!CH14</f>
        <v/>
      </c>
      <c r="AF14" s="70" t="str">
        <f>'Promo Form'!CI14</f>
        <v/>
      </c>
      <c r="AG14" s="80"/>
      <c r="AH14" s="17" t="str">
        <f>'Promo Form'!CL14</f>
        <v/>
      </c>
      <c r="AI14" s="17" t="str">
        <f>'Promo Form'!CM14</f>
        <v/>
      </c>
      <c r="AJ14" s="99" t="str">
        <f>'Promo Form'!CN14</f>
        <v/>
      </c>
      <c r="AK14" s="17" t="str">
        <f>'Promo Form'!CO14</f>
        <v/>
      </c>
      <c r="AL14" s="98">
        <f>'Promo Form'!CP14</f>
        <v>0</v>
      </c>
    </row>
    <row r="15" spans="1:38" x14ac:dyDescent="0.2">
      <c r="A15" s="12" t="str">
        <f>'Promo Form'!A15</f>
        <v/>
      </c>
      <c r="B15" s="12" t="str">
        <f>'Promo Form'!B15</f>
        <v/>
      </c>
      <c r="C15" s="13">
        <f>'Promo Form'!C15</f>
        <v>0</v>
      </c>
      <c r="D15" s="14" t="str">
        <f>'Promo Form'!D15</f>
        <v/>
      </c>
      <c r="E15" s="15"/>
      <c r="F15" s="16" t="str">
        <f>'Promo Form'!H15</f>
        <v/>
      </c>
      <c r="G15" s="102" t="str">
        <f>'Promo Form'!N15</f>
        <v/>
      </c>
      <c r="H15" s="70" t="str">
        <f>'Promo Form'!O15</f>
        <v/>
      </c>
      <c r="I15" s="80"/>
      <c r="J15" s="16" t="str">
        <f>'Promo Form'!T15</f>
        <v/>
      </c>
      <c r="K15" s="102" t="str">
        <f>'Promo Form'!Z15</f>
        <v/>
      </c>
      <c r="L15" s="70" t="str">
        <f>'Promo Form'!AA15</f>
        <v/>
      </c>
      <c r="M15" s="80"/>
      <c r="N15" s="16" t="str">
        <f>'Promo Form'!AF15</f>
        <v/>
      </c>
      <c r="O15" s="102" t="str">
        <f>'Promo Form'!AL15</f>
        <v/>
      </c>
      <c r="P15" s="70" t="str">
        <f>'Promo Form'!AM15</f>
        <v/>
      </c>
      <c r="Q15" s="80"/>
      <c r="R15" s="16" t="str">
        <f>'Promo Form'!AR15</f>
        <v/>
      </c>
      <c r="S15" s="102" t="str">
        <f>'Promo Form'!AX15</f>
        <v/>
      </c>
      <c r="T15" s="70" t="str">
        <f>'Promo Form'!AY15</f>
        <v/>
      </c>
      <c r="U15" s="80"/>
      <c r="V15" s="16" t="str">
        <f>'Promo Form'!BD15</f>
        <v/>
      </c>
      <c r="W15" s="102" t="str">
        <f>'Promo Form'!BJ15</f>
        <v/>
      </c>
      <c r="X15" s="70" t="str">
        <f>'Promo Form'!BK15</f>
        <v/>
      </c>
      <c r="Y15" s="80"/>
      <c r="Z15" s="16" t="str">
        <f>'Promo Form'!BP15</f>
        <v/>
      </c>
      <c r="AA15" s="102" t="str">
        <f>'Promo Form'!BV15</f>
        <v/>
      </c>
      <c r="AB15" s="70" t="str">
        <f>'Promo Form'!BW15</f>
        <v/>
      </c>
      <c r="AC15" s="80"/>
      <c r="AD15" s="16" t="str">
        <f>'Promo Form'!CB15</f>
        <v/>
      </c>
      <c r="AE15" s="102" t="str">
        <f>'Promo Form'!CH15</f>
        <v/>
      </c>
      <c r="AF15" s="70" t="str">
        <f>'Promo Form'!CI15</f>
        <v/>
      </c>
      <c r="AG15" s="80"/>
      <c r="AH15" s="17" t="str">
        <f>'Promo Form'!CL15</f>
        <v/>
      </c>
      <c r="AI15" s="17" t="str">
        <f>'Promo Form'!CM15</f>
        <v/>
      </c>
      <c r="AJ15" s="99" t="str">
        <f>'Promo Form'!CN15</f>
        <v/>
      </c>
      <c r="AK15" s="17" t="str">
        <f>'Promo Form'!CO15</f>
        <v/>
      </c>
      <c r="AL15" s="98">
        <f>'Promo Form'!CP15</f>
        <v>0</v>
      </c>
    </row>
    <row r="16" spans="1:38" x14ac:dyDescent="0.2">
      <c r="A16" s="12" t="str">
        <f>'Promo Form'!A16</f>
        <v/>
      </c>
      <c r="B16" s="12" t="str">
        <f>'Promo Form'!B16</f>
        <v/>
      </c>
      <c r="C16" s="13">
        <f>'Promo Form'!C16</f>
        <v>0</v>
      </c>
      <c r="D16" s="14" t="str">
        <f>'Promo Form'!D16</f>
        <v/>
      </c>
      <c r="E16" s="15"/>
      <c r="F16" s="16" t="str">
        <f>'Promo Form'!H16</f>
        <v/>
      </c>
      <c r="G16" s="102" t="str">
        <f>'Promo Form'!N16</f>
        <v/>
      </c>
      <c r="H16" s="70" t="str">
        <f>'Promo Form'!O16</f>
        <v/>
      </c>
      <c r="I16" s="80"/>
      <c r="J16" s="16" t="str">
        <f>'Promo Form'!T16</f>
        <v/>
      </c>
      <c r="K16" s="102" t="str">
        <f>'Promo Form'!Z16</f>
        <v/>
      </c>
      <c r="L16" s="70" t="str">
        <f>'Promo Form'!AA16</f>
        <v/>
      </c>
      <c r="M16" s="80"/>
      <c r="N16" s="16" t="str">
        <f>'Promo Form'!AF16</f>
        <v/>
      </c>
      <c r="O16" s="102" t="str">
        <f>'Promo Form'!AL16</f>
        <v/>
      </c>
      <c r="P16" s="70" t="str">
        <f>'Promo Form'!AM16</f>
        <v/>
      </c>
      <c r="Q16" s="80"/>
      <c r="R16" s="16" t="str">
        <f>'Promo Form'!AR16</f>
        <v/>
      </c>
      <c r="S16" s="102" t="str">
        <f>'Promo Form'!AX16</f>
        <v/>
      </c>
      <c r="T16" s="70" t="str">
        <f>'Promo Form'!AY16</f>
        <v/>
      </c>
      <c r="U16" s="80"/>
      <c r="V16" s="16" t="str">
        <f>'Promo Form'!BD16</f>
        <v/>
      </c>
      <c r="W16" s="102" t="str">
        <f>'Promo Form'!BJ16</f>
        <v/>
      </c>
      <c r="X16" s="70" t="str">
        <f>'Promo Form'!BK16</f>
        <v/>
      </c>
      <c r="Y16" s="80"/>
      <c r="Z16" s="16" t="str">
        <f>'Promo Form'!BP16</f>
        <v/>
      </c>
      <c r="AA16" s="102" t="str">
        <f>'Promo Form'!BV16</f>
        <v/>
      </c>
      <c r="AB16" s="70" t="str">
        <f>'Promo Form'!BW16</f>
        <v/>
      </c>
      <c r="AC16" s="80"/>
      <c r="AD16" s="16" t="str">
        <f>'Promo Form'!CB16</f>
        <v/>
      </c>
      <c r="AE16" s="102" t="str">
        <f>'Promo Form'!CH16</f>
        <v/>
      </c>
      <c r="AF16" s="70" t="str">
        <f>'Promo Form'!CI16</f>
        <v/>
      </c>
      <c r="AG16" s="80"/>
      <c r="AH16" s="17" t="str">
        <f>'Promo Form'!CL16</f>
        <v/>
      </c>
      <c r="AI16" s="17" t="str">
        <f>'Promo Form'!CM16</f>
        <v/>
      </c>
      <c r="AJ16" s="99" t="str">
        <f>'Promo Form'!CN16</f>
        <v/>
      </c>
      <c r="AK16" s="17" t="str">
        <f>'Promo Form'!CO16</f>
        <v/>
      </c>
      <c r="AL16" s="98">
        <f>'Promo Form'!CP16</f>
        <v>0</v>
      </c>
    </row>
    <row r="17" spans="1:38" x14ac:dyDescent="0.2">
      <c r="A17" s="12" t="str">
        <f>'Promo Form'!A17</f>
        <v/>
      </c>
      <c r="B17" s="12" t="str">
        <f>'Promo Form'!B17</f>
        <v/>
      </c>
      <c r="C17" s="13">
        <f>'Promo Form'!C17</f>
        <v>0</v>
      </c>
      <c r="D17" s="14" t="str">
        <f>'Promo Form'!D17</f>
        <v/>
      </c>
      <c r="E17" s="15"/>
      <c r="F17" s="16" t="str">
        <f>'Promo Form'!H17</f>
        <v/>
      </c>
      <c r="G17" s="102" t="str">
        <f>'Promo Form'!N17</f>
        <v/>
      </c>
      <c r="H17" s="70" t="str">
        <f>'Promo Form'!O17</f>
        <v/>
      </c>
      <c r="I17" s="80"/>
      <c r="J17" s="16" t="str">
        <f>'Promo Form'!T17</f>
        <v/>
      </c>
      <c r="K17" s="102" t="str">
        <f>'Promo Form'!Z17</f>
        <v/>
      </c>
      <c r="L17" s="70" t="str">
        <f>'Promo Form'!AA17</f>
        <v/>
      </c>
      <c r="M17" s="80"/>
      <c r="N17" s="16" t="str">
        <f>'Promo Form'!AF17</f>
        <v/>
      </c>
      <c r="O17" s="102" t="str">
        <f>'Promo Form'!AL17</f>
        <v/>
      </c>
      <c r="P17" s="70" t="str">
        <f>'Promo Form'!AM17</f>
        <v/>
      </c>
      <c r="Q17" s="80"/>
      <c r="R17" s="16" t="str">
        <f>'Promo Form'!AR17</f>
        <v/>
      </c>
      <c r="S17" s="102" t="str">
        <f>'Promo Form'!AX17</f>
        <v/>
      </c>
      <c r="T17" s="70" t="str">
        <f>'Promo Form'!AY17</f>
        <v/>
      </c>
      <c r="U17" s="80"/>
      <c r="V17" s="16" t="str">
        <f>'Promo Form'!BD17</f>
        <v/>
      </c>
      <c r="W17" s="102" t="str">
        <f>'Promo Form'!BJ17</f>
        <v/>
      </c>
      <c r="X17" s="70" t="str">
        <f>'Promo Form'!BK17</f>
        <v/>
      </c>
      <c r="Y17" s="80"/>
      <c r="Z17" s="16" t="str">
        <f>'Promo Form'!BP17</f>
        <v/>
      </c>
      <c r="AA17" s="102" t="str">
        <f>'Promo Form'!BV17</f>
        <v/>
      </c>
      <c r="AB17" s="70" t="str">
        <f>'Promo Form'!BW17</f>
        <v/>
      </c>
      <c r="AC17" s="80"/>
      <c r="AD17" s="16" t="str">
        <f>'Promo Form'!CB17</f>
        <v/>
      </c>
      <c r="AE17" s="102" t="str">
        <f>'Promo Form'!CH17</f>
        <v/>
      </c>
      <c r="AF17" s="70" t="str">
        <f>'Promo Form'!CI17</f>
        <v/>
      </c>
      <c r="AG17" s="80"/>
      <c r="AH17" s="17" t="str">
        <f>'Promo Form'!CL17</f>
        <v/>
      </c>
      <c r="AI17" s="17" t="str">
        <f>'Promo Form'!CM17</f>
        <v/>
      </c>
      <c r="AJ17" s="99" t="str">
        <f>'Promo Form'!CN17</f>
        <v/>
      </c>
      <c r="AK17" s="17" t="str">
        <f>'Promo Form'!CO17</f>
        <v/>
      </c>
      <c r="AL17" s="98">
        <f>'Promo Form'!CP17</f>
        <v>0</v>
      </c>
    </row>
    <row r="18" spans="1:38" x14ac:dyDescent="0.2">
      <c r="A18" s="12" t="str">
        <f>'Promo Form'!A18</f>
        <v/>
      </c>
      <c r="B18" s="12" t="str">
        <f>'Promo Form'!B18</f>
        <v/>
      </c>
      <c r="C18" s="13">
        <f>'Promo Form'!C18</f>
        <v>0</v>
      </c>
      <c r="D18" s="14" t="str">
        <f>'Promo Form'!D18</f>
        <v/>
      </c>
      <c r="E18" s="15"/>
      <c r="F18" s="16" t="str">
        <f>'Promo Form'!H18</f>
        <v/>
      </c>
      <c r="G18" s="102" t="str">
        <f>'Promo Form'!N18</f>
        <v/>
      </c>
      <c r="H18" s="70" t="str">
        <f>'Promo Form'!O18</f>
        <v/>
      </c>
      <c r="I18" s="80"/>
      <c r="J18" s="16" t="str">
        <f>'Promo Form'!T18</f>
        <v/>
      </c>
      <c r="K18" s="102" t="str">
        <f>'Promo Form'!Z18</f>
        <v/>
      </c>
      <c r="L18" s="70" t="str">
        <f>'Promo Form'!AA18</f>
        <v/>
      </c>
      <c r="M18" s="80"/>
      <c r="N18" s="16" t="str">
        <f>'Promo Form'!AF18</f>
        <v/>
      </c>
      <c r="O18" s="102" t="str">
        <f>'Promo Form'!AL18</f>
        <v/>
      </c>
      <c r="P18" s="70" t="str">
        <f>'Promo Form'!AM18</f>
        <v/>
      </c>
      <c r="Q18" s="80"/>
      <c r="R18" s="16" t="str">
        <f>'Promo Form'!AR18</f>
        <v/>
      </c>
      <c r="S18" s="102" t="str">
        <f>'Promo Form'!AX18</f>
        <v/>
      </c>
      <c r="T18" s="70" t="str">
        <f>'Promo Form'!AY18</f>
        <v/>
      </c>
      <c r="U18" s="80"/>
      <c r="V18" s="16" t="str">
        <f>'Promo Form'!BD18</f>
        <v/>
      </c>
      <c r="W18" s="102" t="str">
        <f>'Promo Form'!BJ18</f>
        <v/>
      </c>
      <c r="X18" s="70" t="str">
        <f>'Promo Form'!BK18</f>
        <v/>
      </c>
      <c r="Y18" s="80"/>
      <c r="Z18" s="16" t="str">
        <f>'Promo Form'!BP18</f>
        <v/>
      </c>
      <c r="AA18" s="102" t="str">
        <f>'Promo Form'!BV18</f>
        <v/>
      </c>
      <c r="AB18" s="70" t="str">
        <f>'Promo Form'!BW18</f>
        <v/>
      </c>
      <c r="AC18" s="80"/>
      <c r="AD18" s="16" t="str">
        <f>'Promo Form'!CB18</f>
        <v/>
      </c>
      <c r="AE18" s="102" t="str">
        <f>'Promo Form'!CH18</f>
        <v/>
      </c>
      <c r="AF18" s="70" t="str">
        <f>'Promo Form'!CI18</f>
        <v/>
      </c>
      <c r="AG18" s="80"/>
      <c r="AH18" s="17" t="str">
        <f>'Promo Form'!CL18</f>
        <v/>
      </c>
      <c r="AI18" s="17" t="str">
        <f>'Promo Form'!CM18</f>
        <v/>
      </c>
      <c r="AJ18" s="99" t="str">
        <f>'Promo Form'!CN18</f>
        <v/>
      </c>
      <c r="AK18" s="17" t="str">
        <f>'Promo Form'!CO18</f>
        <v/>
      </c>
      <c r="AL18" s="98">
        <f>'Promo Form'!CP18</f>
        <v>0</v>
      </c>
    </row>
    <row r="19" spans="1:38" x14ac:dyDescent="0.2">
      <c r="A19" s="12" t="str">
        <f>'Promo Form'!A19</f>
        <v/>
      </c>
      <c r="B19" s="12" t="str">
        <f>'Promo Form'!B19</f>
        <v/>
      </c>
      <c r="C19" s="13">
        <f>'Promo Form'!C19</f>
        <v>0</v>
      </c>
      <c r="D19" s="14" t="str">
        <f>'Promo Form'!D19</f>
        <v/>
      </c>
      <c r="E19" s="15"/>
      <c r="F19" s="16" t="str">
        <f>'Promo Form'!H19</f>
        <v/>
      </c>
      <c r="G19" s="102" t="str">
        <f>'Promo Form'!N19</f>
        <v/>
      </c>
      <c r="H19" s="70" t="str">
        <f>'Promo Form'!O19</f>
        <v/>
      </c>
      <c r="I19" s="80"/>
      <c r="J19" s="16" t="str">
        <f>'Promo Form'!T19</f>
        <v/>
      </c>
      <c r="K19" s="102" t="str">
        <f>'Promo Form'!Z19</f>
        <v/>
      </c>
      <c r="L19" s="70" t="str">
        <f>'Promo Form'!AA19</f>
        <v/>
      </c>
      <c r="M19" s="80"/>
      <c r="N19" s="16" t="str">
        <f>'Promo Form'!AF19</f>
        <v/>
      </c>
      <c r="O19" s="102" t="str">
        <f>'Promo Form'!AL19</f>
        <v/>
      </c>
      <c r="P19" s="70" t="str">
        <f>'Promo Form'!AM19</f>
        <v/>
      </c>
      <c r="Q19" s="80"/>
      <c r="R19" s="16" t="str">
        <f>'Promo Form'!AR19</f>
        <v/>
      </c>
      <c r="S19" s="102" t="str">
        <f>'Promo Form'!AX19</f>
        <v/>
      </c>
      <c r="T19" s="70" t="str">
        <f>'Promo Form'!AY19</f>
        <v/>
      </c>
      <c r="U19" s="80"/>
      <c r="V19" s="16" t="str">
        <f>'Promo Form'!BD19</f>
        <v/>
      </c>
      <c r="W19" s="102" t="str">
        <f>'Promo Form'!BJ19</f>
        <v/>
      </c>
      <c r="X19" s="70" t="str">
        <f>'Promo Form'!BK19</f>
        <v/>
      </c>
      <c r="Y19" s="80"/>
      <c r="Z19" s="16" t="str">
        <f>'Promo Form'!BP19</f>
        <v/>
      </c>
      <c r="AA19" s="102" t="str">
        <f>'Promo Form'!BV19</f>
        <v/>
      </c>
      <c r="AB19" s="70" t="str">
        <f>'Promo Form'!BW19</f>
        <v/>
      </c>
      <c r="AC19" s="80"/>
      <c r="AD19" s="16" t="str">
        <f>'Promo Form'!CB19</f>
        <v/>
      </c>
      <c r="AE19" s="102" t="str">
        <f>'Promo Form'!CH19</f>
        <v/>
      </c>
      <c r="AF19" s="70" t="str">
        <f>'Promo Form'!CI19</f>
        <v/>
      </c>
      <c r="AG19" s="80"/>
      <c r="AH19" s="17" t="str">
        <f>'Promo Form'!CL19</f>
        <v/>
      </c>
      <c r="AI19" s="17" t="str">
        <f>'Promo Form'!CM19</f>
        <v/>
      </c>
      <c r="AJ19" s="99" t="str">
        <f>'Promo Form'!CN19</f>
        <v/>
      </c>
      <c r="AK19" s="17" t="str">
        <f>'Promo Form'!CO19</f>
        <v/>
      </c>
      <c r="AL19" s="98">
        <f>'Promo Form'!CP19</f>
        <v>0</v>
      </c>
    </row>
    <row r="20" spans="1:38" x14ac:dyDescent="0.2">
      <c r="A20" s="12" t="str">
        <f>'Promo Form'!A24</f>
        <v/>
      </c>
      <c r="B20" s="12" t="str">
        <f>'Promo Form'!B24</f>
        <v/>
      </c>
      <c r="C20" s="13">
        <f>'Promo Form'!C24</f>
        <v>0</v>
      </c>
      <c r="D20" s="14" t="str">
        <f>'Promo Form'!D24</f>
        <v/>
      </c>
      <c r="E20" s="15"/>
      <c r="F20" s="16" t="str">
        <f>'Promo Form'!H20</f>
        <v/>
      </c>
      <c r="G20" s="102" t="str">
        <f>'Promo Form'!N20</f>
        <v/>
      </c>
      <c r="H20" s="70" t="str">
        <f>'Promo Form'!O20</f>
        <v/>
      </c>
      <c r="I20" s="80"/>
      <c r="J20" s="16" t="str">
        <f>'Promo Form'!T20</f>
        <v/>
      </c>
      <c r="K20" s="102" t="str">
        <f>'Promo Form'!Z20</f>
        <v/>
      </c>
      <c r="L20" s="70" t="str">
        <f>'Promo Form'!AA20</f>
        <v/>
      </c>
      <c r="M20" s="80"/>
      <c r="N20" s="16" t="str">
        <f>'Promo Form'!AF20</f>
        <v/>
      </c>
      <c r="O20" s="102" t="str">
        <f>'Promo Form'!AL20</f>
        <v/>
      </c>
      <c r="P20" s="70" t="str">
        <f>'Promo Form'!AM20</f>
        <v/>
      </c>
      <c r="Q20" s="80"/>
      <c r="R20" s="16" t="str">
        <f>'Promo Form'!AR20</f>
        <v/>
      </c>
      <c r="S20" s="102" t="str">
        <f>'Promo Form'!AX20</f>
        <v/>
      </c>
      <c r="T20" s="70" t="str">
        <f>'Promo Form'!AY20</f>
        <v/>
      </c>
      <c r="U20" s="80"/>
      <c r="V20" s="16" t="str">
        <f>'Promo Form'!BD20</f>
        <v/>
      </c>
      <c r="W20" s="102" t="str">
        <f>'Promo Form'!BJ20</f>
        <v/>
      </c>
      <c r="X20" s="70" t="str">
        <f>'Promo Form'!BK20</f>
        <v/>
      </c>
      <c r="Y20" s="80"/>
      <c r="Z20" s="16" t="str">
        <f>'Promo Form'!BP20</f>
        <v/>
      </c>
      <c r="AA20" s="102" t="str">
        <f>'Promo Form'!BV20</f>
        <v/>
      </c>
      <c r="AB20" s="70" t="str">
        <f>'Promo Form'!BW20</f>
        <v/>
      </c>
      <c r="AC20" s="80"/>
      <c r="AD20" s="16" t="str">
        <f>'Promo Form'!CB20</f>
        <v/>
      </c>
      <c r="AE20" s="102" t="str">
        <f>'Promo Form'!CH20</f>
        <v/>
      </c>
      <c r="AF20" s="70" t="str">
        <f>'Promo Form'!CI20</f>
        <v/>
      </c>
      <c r="AG20" s="80"/>
      <c r="AH20" s="17" t="str">
        <f>'Promo Form'!CL20</f>
        <v/>
      </c>
      <c r="AI20" s="17" t="str">
        <f>'Promo Form'!CM20</f>
        <v/>
      </c>
      <c r="AJ20" s="99" t="str">
        <f>'Promo Form'!CN20</f>
        <v/>
      </c>
      <c r="AK20" s="17" t="str">
        <f>'Promo Form'!CO20</f>
        <v/>
      </c>
      <c r="AL20" s="98">
        <f>'Promo Form'!CP20</f>
        <v>0</v>
      </c>
    </row>
    <row r="21" spans="1:38" x14ac:dyDescent="0.2">
      <c r="A21" s="12" t="str">
        <f>'Promo Form'!A25</f>
        <v/>
      </c>
      <c r="B21" s="12" t="str">
        <f>'Promo Form'!B25</f>
        <v/>
      </c>
      <c r="C21" s="13">
        <f>'Promo Form'!C25</f>
        <v>0</v>
      </c>
      <c r="D21" s="14" t="str">
        <f>'Promo Form'!D25</f>
        <v/>
      </c>
      <c r="E21" s="15"/>
      <c r="F21" s="16" t="str">
        <f>'Promo Form'!H21</f>
        <v/>
      </c>
      <c r="G21" s="102" t="str">
        <f>'Promo Form'!N21</f>
        <v/>
      </c>
      <c r="H21" s="70" t="str">
        <f>'Promo Form'!O21</f>
        <v/>
      </c>
      <c r="I21" s="80"/>
      <c r="J21" s="16" t="str">
        <f>'Promo Form'!T21</f>
        <v/>
      </c>
      <c r="K21" s="102" t="str">
        <f>'Promo Form'!Z21</f>
        <v/>
      </c>
      <c r="L21" s="70" t="str">
        <f>'Promo Form'!AA21</f>
        <v/>
      </c>
      <c r="M21" s="80"/>
      <c r="N21" s="16" t="str">
        <f>'Promo Form'!AF21</f>
        <v/>
      </c>
      <c r="O21" s="102" t="str">
        <f>'Promo Form'!AL21</f>
        <v/>
      </c>
      <c r="P21" s="70" t="str">
        <f>'Promo Form'!AM21</f>
        <v/>
      </c>
      <c r="Q21" s="80"/>
      <c r="R21" s="16" t="str">
        <f>'Promo Form'!AR21</f>
        <v/>
      </c>
      <c r="S21" s="102" t="str">
        <f>'Promo Form'!AX21</f>
        <v/>
      </c>
      <c r="T21" s="70" t="str">
        <f>'Promo Form'!AY21</f>
        <v/>
      </c>
      <c r="U21" s="80"/>
      <c r="V21" s="16" t="str">
        <f>'Promo Form'!BD21</f>
        <v/>
      </c>
      <c r="W21" s="102" t="str">
        <f>'Promo Form'!BJ21</f>
        <v/>
      </c>
      <c r="X21" s="70" t="str">
        <f>'Promo Form'!BK21</f>
        <v/>
      </c>
      <c r="Y21" s="80"/>
      <c r="Z21" s="16" t="str">
        <f>'Promo Form'!BP21</f>
        <v/>
      </c>
      <c r="AA21" s="102" t="str">
        <f>'Promo Form'!BV21</f>
        <v/>
      </c>
      <c r="AB21" s="70" t="str">
        <f>'Promo Form'!BW21</f>
        <v/>
      </c>
      <c r="AC21" s="80"/>
      <c r="AD21" s="16" t="str">
        <f>'Promo Form'!CB21</f>
        <v/>
      </c>
      <c r="AE21" s="102" t="str">
        <f>'Promo Form'!CH21</f>
        <v/>
      </c>
      <c r="AF21" s="70" t="str">
        <f>'Promo Form'!CI21</f>
        <v/>
      </c>
      <c r="AG21" s="80"/>
      <c r="AH21" s="17" t="str">
        <f>'Promo Form'!CL21</f>
        <v/>
      </c>
      <c r="AI21" s="17" t="str">
        <f>'Promo Form'!CM21</f>
        <v/>
      </c>
      <c r="AJ21" s="99" t="str">
        <f>'Promo Form'!CN21</f>
        <v/>
      </c>
      <c r="AK21" s="17" t="str">
        <f>'Promo Form'!CO21</f>
        <v/>
      </c>
      <c r="AL21" s="98">
        <f>'Promo Form'!CP21</f>
        <v>0</v>
      </c>
    </row>
    <row r="22" spans="1:38" x14ac:dyDescent="0.2">
      <c r="A22" s="12" t="str">
        <f>'Promo Form'!A26</f>
        <v/>
      </c>
      <c r="B22" s="12" t="str">
        <f>'Promo Form'!B26</f>
        <v/>
      </c>
      <c r="C22" s="13">
        <f>'Promo Form'!C26</f>
        <v>0</v>
      </c>
      <c r="D22" s="14" t="str">
        <f>'Promo Form'!D26</f>
        <v/>
      </c>
      <c r="E22" s="15"/>
      <c r="F22" s="16" t="str">
        <f>'Promo Form'!H22</f>
        <v/>
      </c>
      <c r="G22" s="102" t="str">
        <f>'Promo Form'!N22</f>
        <v/>
      </c>
      <c r="H22" s="70" t="str">
        <f>'Promo Form'!O22</f>
        <v/>
      </c>
      <c r="I22" s="80"/>
      <c r="J22" s="16" t="str">
        <f>'Promo Form'!T22</f>
        <v/>
      </c>
      <c r="K22" s="102" t="str">
        <f>'Promo Form'!Z22</f>
        <v/>
      </c>
      <c r="L22" s="70" t="str">
        <f>'Promo Form'!AA22</f>
        <v/>
      </c>
      <c r="M22" s="80"/>
      <c r="N22" s="16" t="str">
        <f>'Promo Form'!AF22</f>
        <v/>
      </c>
      <c r="O22" s="102" t="str">
        <f>'Promo Form'!AL22</f>
        <v/>
      </c>
      <c r="P22" s="70" t="str">
        <f>'Promo Form'!AM22</f>
        <v/>
      </c>
      <c r="Q22" s="80"/>
      <c r="R22" s="16" t="str">
        <f>'Promo Form'!AR22</f>
        <v/>
      </c>
      <c r="S22" s="102" t="str">
        <f>'Promo Form'!AX22</f>
        <v/>
      </c>
      <c r="T22" s="70" t="str">
        <f>'Promo Form'!AY22</f>
        <v/>
      </c>
      <c r="U22" s="80"/>
      <c r="V22" s="16" t="str">
        <f>'Promo Form'!BD22</f>
        <v/>
      </c>
      <c r="W22" s="102" t="str">
        <f>'Promo Form'!BJ22</f>
        <v/>
      </c>
      <c r="X22" s="70" t="str">
        <f>'Promo Form'!BK22</f>
        <v/>
      </c>
      <c r="Y22" s="80"/>
      <c r="Z22" s="16" t="str">
        <f>'Promo Form'!BP22</f>
        <v/>
      </c>
      <c r="AA22" s="102" t="str">
        <f>'Promo Form'!BV22</f>
        <v/>
      </c>
      <c r="AB22" s="70" t="str">
        <f>'Promo Form'!BW22</f>
        <v/>
      </c>
      <c r="AC22" s="80"/>
      <c r="AD22" s="16" t="str">
        <f>'Promo Form'!CB22</f>
        <v/>
      </c>
      <c r="AE22" s="102" t="str">
        <f>'Promo Form'!CH22</f>
        <v/>
      </c>
      <c r="AF22" s="70" t="str">
        <f>'Promo Form'!CI22</f>
        <v/>
      </c>
      <c r="AG22" s="80"/>
      <c r="AH22" s="17" t="str">
        <f>'Promo Form'!CL22</f>
        <v/>
      </c>
      <c r="AI22" s="17" t="str">
        <f>'Promo Form'!CM22</f>
        <v/>
      </c>
      <c r="AJ22" s="99" t="str">
        <f>'Promo Form'!CN22</f>
        <v/>
      </c>
      <c r="AK22" s="17" t="str">
        <f>'Promo Form'!CO22</f>
        <v/>
      </c>
      <c r="AL22" s="98">
        <f>'Promo Form'!CP22</f>
        <v>0</v>
      </c>
    </row>
    <row r="23" spans="1:38" x14ac:dyDescent="0.2">
      <c r="A23" s="12" t="str">
        <f>'Promo Form'!A27</f>
        <v/>
      </c>
      <c r="B23" s="12" t="str">
        <f>'Promo Form'!B27</f>
        <v/>
      </c>
      <c r="C23" s="13">
        <f>'Promo Form'!C27</f>
        <v>0</v>
      </c>
      <c r="D23" s="14" t="str">
        <f>'Promo Form'!D27</f>
        <v/>
      </c>
      <c r="E23" s="15"/>
      <c r="F23" s="16" t="str">
        <f>'Promo Form'!H23</f>
        <v/>
      </c>
      <c r="G23" s="102" t="str">
        <f>'Promo Form'!N23</f>
        <v/>
      </c>
      <c r="H23" s="70" t="str">
        <f>'Promo Form'!O23</f>
        <v/>
      </c>
      <c r="I23" s="80"/>
      <c r="J23" s="16" t="str">
        <f>'Promo Form'!T23</f>
        <v/>
      </c>
      <c r="K23" s="102" t="str">
        <f>'Promo Form'!Z23</f>
        <v/>
      </c>
      <c r="L23" s="70" t="str">
        <f>'Promo Form'!AA23</f>
        <v/>
      </c>
      <c r="M23" s="80"/>
      <c r="N23" s="16" t="str">
        <f>'Promo Form'!AF23</f>
        <v/>
      </c>
      <c r="O23" s="102" t="str">
        <f>'Promo Form'!AL23</f>
        <v/>
      </c>
      <c r="P23" s="70" t="str">
        <f>'Promo Form'!AM23</f>
        <v/>
      </c>
      <c r="Q23" s="80"/>
      <c r="R23" s="16" t="str">
        <f>'Promo Form'!AR23</f>
        <v/>
      </c>
      <c r="S23" s="102" t="str">
        <f>'Promo Form'!AX23</f>
        <v/>
      </c>
      <c r="T23" s="70" t="str">
        <f>'Promo Form'!AY23</f>
        <v/>
      </c>
      <c r="U23" s="80"/>
      <c r="V23" s="16" t="str">
        <f>'Promo Form'!BD23</f>
        <v/>
      </c>
      <c r="W23" s="102" t="str">
        <f>'Promo Form'!BJ23</f>
        <v/>
      </c>
      <c r="X23" s="70" t="str">
        <f>'Promo Form'!BK23</f>
        <v/>
      </c>
      <c r="Y23" s="80"/>
      <c r="Z23" s="16" t="str">
        <f>'Promo Form'!BP23</f>
        <v/>
      </c>
      <c r="AA23" s="102" t="str">
        <f>'Promo Form'!BV23</f>
        <v/>
      </c>
      <c r="AB23" s="70" t="str">
        <f>'Promo Form'!BW23</f>
        <v/>
      </c>
      <c r="AC23" s="80"/>
      <c r="AD23" s="16" t="str">
        <f>'Promo Form'!CB23</f>
        <v/>
      </c>
      <c r="AE23" s="102" t="str">
        <f>'Promo Form'!CH23</f>
        <v/>
      </c>
      <c r="AF23" s="70" t="str">
        <f>'Promo Form'!CI23</f>
        <v/>
      </c>
      <c r="AG23" s="80"/>
      <c r="AH23" s="17" t="str">
        <f>'Promo Form'!CL23</f>
        <v/>
      </c>
      <c r="AI23" s="17" t="str">
        <f>'Promo Form'!CM23</f>
        <v/>
      </c>
      <c r="AJ23" s="99" t="str">
        <f>'Promo Form'!CN23</f>
        <v/>
      </c>
      <c r="AK23" s="17" t="str">
        <f>'Promo Form'!CO23</f>
        <v/>
      </c>
      <c r="AL23" s="98">
        <f>'Promo Form'!CP23</f>
        <v>0</v>
      </c>
    </row>
    <row r="24" spans="1:38" ht="18" x14ac:dyDescent="0.2">
      <c r="A24" s="181" t="s">
        <v>31</v>
      </c>
      <c r="B24" s="182"/>
      <c r="C24" s="183"/>
      <c r="D24" s="90"/>
      <c r="E24" s="15"/>
      <c r="F24" s="20"/>
      <c r="G24" s="105" t="s">
        <v>32</v>
      </c>
      <c r="H24" s="76" t="s">
        <v>33</v>
      </c>
      <c r="I24" s="77"/>
      <c r="J24" s="20"/>
      <c r="K24" s="105" t="s">
        <v>32</v>
      </c>
      <c r="L24" s="76" t="s">
        <v>33</v>
      </c>
      <c r="M24" s="77"/>
      <c r="N24" s="20"/>
      <c r="O24" s="105" t="s">
        <v>32</v>
      </c>
      <c r="P24" s="76" t="s">
        <v>33</v>
      </c>
      <c r="Q24" s="77"/>
      <c r="R24" s="20"/>
      <c r="S24" s="105" t="s">
        <v>32</v>
      </c>
      <c r="T24" s="76" t="s">
        <v>33</v>
      </c>
      <c r="U24" s="77"/>
      <c r="V24" s="20"/>
      <c r="W24" s="105" t="s">
        <v>32</v>
      </c>
      <c r="X24" s="76" t="s">
        <v>33</v>
      </c>
      <c r="Y24" s="77"/>
      <c r="Z24" s="20"/>
      <c r="AA24" s="105" t="s">
        <v>32</v>
      </c>
      <c r="AB24" s="76" t="s">
        <v>33</v>
      </c>
      <c r="AC24" s="77"/>
      <c r="AD24" s="20"/>
      <c r="AE24" s="105" t="s">
        <v>32</v>
      </c>
      <c r="AF24" s="76" t="s">
        <v>33</v>
      </c>
      <c r="AG24" s="77"/>
    </row>
    <row r="25" spans="1:38" x14ac:dyDescent="0.2">
      <c r="A25" s="6"/>
      <c r="B25" s="6"/>
      <c r="C25" s="6"/>
      <c r="D25" s="6"/>
      <c r="E25" s="15"/>
      <c r="F25" s="3"/>
      <c r="G25" s="105"/>
      <c r="H25" s="75">
        <f>'Promo Form'!O30</f>
        <v>21.906000000000002</v>
      </c>
      <c r="I25" s="77" t="s">
        <v>35</v>
      </c>
      <c r="J25" s="3"/>
      <c r="K25" s="105"/>
      <c r="L25" s="75">
        <f>'Promo Form'!AA30</f>
        <v>0</v>
      </c>
      <c r="M25" s="77" t="s">
        <v>35</v>
      </c>
      <c r="N25" s="3"/>
      <c r="O25" s="105"/>
      <c r="P25" s="75">
        <f>'Promo Form'!AM30</f>
        <v>21.906000000000002</v>
      </c>
      <c r="Q25" s="77" t="s">
        <v>35</v>
      </c>
      <c r="R25" s="3"/>
      <c r="S25" s="105"/>
      <c r="T25" s="75">
        <f>'Promo Form'!AY30</f>
        <v>47.977999999999994</v>
      </c>
      <c r="U25" s="77" t="s">
        <v>35</v>
      </c>
      <c r="V25" s="3"/>
      <c r="W25" s="105"/>
      <c r="X25" s="75">
        <f>'Promo Form'!BK30</f>
        <v>0</v>
      </c>
      <c r="Y25" s="77" t="s">
        <v>35</v>
      </c>
      <c r="Z25" s="3"/>
      <c r="AA25" s="105"/>
      <c r="AB25" s="75">
        <f>'Promo Form'!BW30</f>
        <v>0</v>
      </c>
      <c r="AC25" s="77" t="s">
        <v>35</v>
      </c>
      <c r="AD25" s="3"/>
      <c r="AE25" s="105"/>
      <c r="AF25" s="75">
        <f>'Promo Form'!CI30</f>
        <v>0</v>
      </c>
      <c r="AG25" s="77" t="s">
        <v>35</v>
      </c>
    </row>
    <row r="26" spans="1:38" x14ac:dyDescent="0.2">
      <c r="A26" s="140" t="s">
        <v>64</v>
      </c>
      <c r="B26" s="141"/>
      <c r="C26" s="142"/>
      <c r="D26" s="24">
        <f>'Promo Form'!D31</f>
        <v>91.789999999999992</v>
      </c>
      <c r="E26" s="15"/>
      <c r="F26" s="3"/>
      <c r="I26" s="82"/>
      <c r="J26" s="3"/>
      <c r="M26" s="82"/>
      <c r="N26" s="3"/>
      <c r="Q26" s="82"/>
      <c r="R26" s="3"/>
      <c r="U26" s="82"/>
      <c r="V26" s="3"/>
      <c r="Y26" s="82"/>
      <c r="Z26" s="3"/>
      <c r="AC26" s="82"/>
      <c r="AD26" s="3"/>
      <c r="AG26" s="82"/>
    </row>
    <row r="27" spans="1:38" x14ac:dyDescent="0.2">
      <c r="A27" s="140" t="s">
        <v>38</v>
      </c>
      <c r="B27" s="141"/>
      <c r="C27" s="142"/>
      <c r="D27" s="24">
        <f>'Promo Form'!D32</f>
        <v>55.073999999999991</v>
      </c>
      <c r="E27" s="15"/>
      <c r="F27" s="3"/>
      <c r="G27" s="3"/>
      <c r="H27" s="6"/>
      <c r="I27" s="77"/>
      <c r="J27" s="3"/>
      <c r="K27" s="3"/>
      <c r="L27" s="6"/>
      <c r="M27" s="77"/>
      <c r="N27" s="3"/>
      <c r="O27" s="3"/>
      <c r="P27" s="6"/>
      <c r="Q27" s="77"/>
      <c r="R27" s="3"/>
      <c r="S27" s="3"/>
      <c r="T27" s="6"/>
      <c r="U27" s="77"/>
      <c r="V27" s="3"/>
      <c r="W27" s="3"/>
      <c r="X27" s="6"/>
      <c r="Y27" s="77"/>
      <c r="Z27" s="3"/>
      <c r="AA27" s="3"/>
      <c r="AB27" s="6"/>
      <c r="AC27" s="77"/>
      <c r="AD27" s="3"/>
      <c r="AE27" s="3"/>
      <c r="AF27" s="6"/>
      <c r="AG27" s="77"/>
    </row>
    <row r="28" spans="1:38" x14ac:dyDescent="0.2">
      <c r="A28" s="26"/>
      <c r="B28" s="27"/>
      <c r="C28" s="28" t="s">
        <v>41</v>
      </c>
      <c r="D28" s="29">
        <f>'Promo Form'!D33</f>
        <v>0.6</v>
      </c>
      <c r="E28" s="15"/>
      <c r="F28" s="3"/>
      <c r="G28" s="6"/>
      <c r="H28" s="3"/>
      <c r="I28" s="77"/>
      <c r="J28" s="3"/>
      <c r="K28" s="6"/>
      <c r="L28" s="3"/>
      <c r="M28" s="77"/>
      <c r="N28" s="3"/>
      <c r="O28" s="6"/>
      <c r="P28" s="3"/>
      <c r="Q28" s="77"/>
      <c r="R28" s="3"/>
      <c r="S28" s="6"/>
      <c r="T28" s="3"/>
      <c r="U28" s="77"/>
      <c r="V28" s="3"/>
      <c r="W28" s="6"/>
      <c r="X28" s="3"/>
      <c r="Y28" s="77"/>
      <c r="Z28" s="3"/>
      <c r="AA28" s="6"/>
      <c r="AB28" s="3"/>
      <c r="AC28" s="77"/>
      <c r="AD28" s="3"/>
      <c r="AE28" s="6"/>
      <c r="AF28" s="3"/>
      <c r="AG28" s="77"/>
    </row>
    <row r="31" spans="1:38" x14ac:dyDescent="0.2">
      <c r="B31" s="187" t="s">
        <v>65</v>
      </c>
      <c r="C31" s="187"/>
      <c r="D31" s="186" t="s">
        <v>66</v>
      </c>
    </row>
    <row r="32" spans="1:38" x14ac:dyDescent="0.2">
      <c r="B32" s="187"/>
      <c r="C32" s="187"/>
      <c r="D32" s="186"/>
    </row>
    <row r="33" spans="2:4" x14ac:dyDescent="0.2">
      <c r="B33" s="187"/>
      <c r="C33" s="187"/>
      <c r="D33" s="186"/>
    </row>
  </sheetData>
  <mergeCells count="17">
    <mergeCell ref="A1:B1"/>
    <mergeCell ref="A2:B2"/>
    <mergeCell ref="A3:B3"/>
    <mergeCell ref="C3:C4"/>
    <mergeCell ref="D3:D4"/>
    <mergeCell ref="F3:H3"/>
    <mergeCell ref="D31:D33"/>
    <mergeCell ref="B31:C33"/>
    <mergeCell ref="A24:C24"/>
    <mergeCell ref="A26:C26"/>
    <mergeCell ref="A27:C27"/>
    <mergeCell ref="AD3:AF3"/>
    <mergeCell ref="J3:L3"/>
    <mergeCell ref="N3:P3"/>
    <mergeCell ref="R3:T3"/>
    <mergeCell ref="V3:X3"/>
    <mergeCell ref="Z3:AB3"/>
  </mergeCells>
  <conditionalFormatting sqref="B28">
    <cfRule type="containsText" dxfId="1" priority="5" operator="containsText" text="Sent to Vendor">
      <formula>NOT(ISERROR(SEARCH(("Sent to Vendor"),(B28))))</formula>
    </cfRule>
  </conditionalFormatting>
  <conditionalFormatting sqref="D27">
    <cfRule type="expression" dxfId="0" priority="6">
      <formula>B28="Sent to Vendor"</formula>
    </cfRule>
  </conditionalFormatting>
  <dataValidations count="1">
    <dataValidation type="list" allowBlank="1" showErrorMessage="1" sqref="B28" xr:uid="{3CA1120A-A830-CD4D-AD07-8FC9B2C07090}">
      <formula1>"Not Sent,Sent to Vendor"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DF7E-E91D-8348-80A8-AA4A2C3222EE}">
  <dimension ref="A2:B20"/>
  <sheetViews>
    <sheetView workbookViewId="0">
      <selection activeCell="C20" sqref="C20"/>
    </sheetView>
  </sheetViews>
  <sheetFormatPr baseColWidth="10" defaultColWidth="11" defaultRowHeight="16" x14ac:dyDescent="0.2"/>
  <cols>
    <col min="1" max="1" width="17.83203125" customWidth="1"/>
  </cols>
  <sheetData>
    <row r="2" spans="1:2" x14ac:dyDescent="0.2">
      <c r="B2" t="s">
        <v>2</v>
      </c>
    </row>
    <row r="3" spans="1:2" x14ac:dyDescent="0.2">
      <c r="A3" t="s">
        <v>67</v>
      </c>
      <c r="B3" s="62">
        <v>5.5E-2</v>
      </c>
    </row>
    <row r="4" spans="1:2" x14ac:dyDescent="0.2">
      <c r="A4" t="s">
        <v>68</v>
      </c>
      <c r="B4" s="62">
        <v>0.05</v>
      </c>
    </row>
    <row r="5" spans="1:2" x14ac:dyDescent="0.2">
      <c r="A5" t="s">
        <v>69</v>
      </c>
      <c r="B5" s="62">
        <v>0.05</v>
      </c>
    </row>
    <row r="6" spans="1:2" x14ac:dyDescent="0.2">
      <c r="A6" t="s">
        <v>8</v>
      </c>
      <c r="B6" s="62">
        <v>0.17</v>
      </c>
    </row>
    <row r="7" spans="1:2" x14ac:dyDescent="0.2">
      <c r="A7" t="s">
        <v>10</v>
      </c>
      <c r="B7" s="62">
        <v>0.15</v>
      </c>
    </row>
    <row r="8" spans="1:2" x14ac:dyDescent="0.2">
      <c r="A8" t="s">
        <v>70</v>
      </c>
      <c r="B8" s="62">
        <v>0.20300000000000001</v>
      </c>
    </row>
    <row r="9" spans="1:2" x14ac:dyDescent="0.2">
      <c r="A9" t="s">
        <v>70</v>
      </c>
      <c r="B9" s="62">
        <v>0.253</v>
      </c>
    </row>
    <row r="10" spans="1:2" x14ac:dyDescent="0.2">
      <c r="A10" t="s">
        <v>71</v>
      </c>
      <c r="B10" s="62">
        <v>0.05</v>
      </c>
    </row>
    <row r="11" spans="1:2" x14ac:dyDescent="0.2">
      <c r="A11" t="s">
        <v>72</v>
      </c>
      <c r="B11" s="62">
        <v>0.16</v>
      </c>
    </row>
    <row r="12" spans="1:2" x14ac:dyDescent="0.2">
      <c r="A12" t="s">
        <v>73</v>
      </c>
      <c r="B12" s="62">
        <v>0.05</v>
      </c>
    </row>
    <row r="13" spans="1:2" x14ac:dyDescent="0.2">
      <c r="A13" t="s">
        <v>74</v>
      </c>
      <c r="B13" s="62">
        <v>0.05</v>
      </c>
    </row>
    <row r="14" spans="1:2" x14ac:dyDescent="0.2">
      <c r="A14" t="s">
        <v>75</v>
      </c>
      <c r="B14" s="97">
        <v>0</v>
      </c>
    </row>
    <row r="15" spans="1:2" x14ac:dyDescent="0.2">
      <c r="A15" t="s">
        <v>76</v>
      </c>
      <c r="B15" s="97">
        <v>0</v>
      </c>
    </row>
    <row r="16" spans="1:2" x14ac:dyDescent="0.2">
      <c r="A16" t="s">
        <v>77</v>
      </c>
      <c r="B16" s="62">
        <v>0.08</v>
      </c>
    </row>
    <row r="17" spans="1:2" x14ac:dyDescent="0.2">
      <c r="A17" t="s">
        <v>78</v>
      </c>
      <c r="B17" s="97">
        <v>0</v>
      </c>
    </row>
    <row r="18" spans="1:2" x14ac:dyDescent="0.2">
      <c r="A18" t="s">
        <v>79</v>
      </c>
      <c r="B18" s="97">
        <v>0</v>
      </c>
    </row>
    <row r="19" spans="1:2" x14ac:dyDescent="0.2">
      <c r="A19" t="s">
        <v>80</v>
      </c>
      <c r="B19" s="97">
        <v>0</v>
      </c>
    </row>
    <row r="20" spans="1:2" x14ac:dyDescent="0.2">
      <c r="A20" t="s">
        <v>81</v>
      </c>
      <c r="B20" s="9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7705-8C71-2C4F-A572-CC02F10B0CFC}">
  <dimension ref="A1:Z2671"/>
  <sheetViews>
    <sheetView workbookViewId="0">
      <selection activeCell="C11" sqref="C11"/>
    </sheetView>
  </sheetViews>
  <sheetFormatPr baseColWidth="10" defaultColWidth="11" defaultRowHeight="16" x14ac:dyDescent="0.2"/>
  <cols>
    <col min="1" max="1" width="20" bestFit="1" customWidth="1"/>
    <col min="2" max="2" width="22.83203125" bestFit="1" customWidth="1"/>
    <col min="3" max="3" width="80.6640625" bestFit="1" customWidth="1"/>
    <col min="4" max="4" width="10.83203125" bestFit="1" customWidth="1"/>
    <col min="5" max="5" width="14.6640625" bestFit="1" customWidth="1"/>
    <col min="6" max="6" width="12" bestFit="1" customWidth="1"/>
    <col min="7" max="7" width="31.5" bestFit="1" customWidth="1"/>
    <col min="8" max="10" width="9.6640625" bestFit="1" customWidth="1"/>
    <col min="11" max="11" width="11.1640625" bestFit="1" customWidth="1"/>
    <col min="12" max="13" width="8.6640625" bestFit="1" customWidth="1"/>
    <col min="14" max="14" width="15.6640625" bestFit="1" customWidth="1"/>
    <col min="15" max="15" width="10" bestFit="1" customWidth="1"/>
    <col min="16" max="16" width="9.33203125" bestFit="1" customWidth="1"/>
    <col min="17" max="17" width="19.6640625" bestFit="1" customWidth="1"/>
    <col min="18" max="18" width="19.33203125" bestFit="1" customWidth="1"/>
    <col min="19" max="19" width="14" bestFit="1" customWidth="1"/>
    <col min="20" max="20" width="11.1640625" bestFit="1" customWidth="1"/>
    <col min="21" max="21" width="32.83203125" bestFit="1" customWidth="1"/>
    <col min="22" max="22" width="20.5" bestFit="1" customWidth="1"/>
    <col min="23" max="23" width="16" bestFit="1" customWidth="1"/>
    <col min="24" max="24" width="15.1640625" bestFit="1" customWidth="1"/>
    <col min="25" max="25" width="27.33203125" bestFit="1" customWidth="1"/>
    <col min="26" max="26" width="21.5" customWidth="1"/>
    <col min="27" max="27" width="16.1640625" bestFit="1" customWidth="1"/>
    <col min="28" max="29" width="25.83203125" bestFit="1" customWidth="1"/>
    <col min="30" max="30" width="26" bestFit="1" customWidth="1"/>
  </cols>
  <sheetData>
    <row r="1" spans="1:26" x14ac:dyDescent="0.2">
      <c r="A1" t="s">
        <v>3</v>
      </c>
      <c r="B1" t="s">
        <v>6</v>
      </c>
      <c r="C1" t="s">
        <v>82</v>
      </c>
      <c r="D1" t="s">
        <v>83</v>
      </c>
      <c r="E1" t="s">
        <v>84</v>
      </c>
      <c r="F1" t="s">
        <v>6885</v>
      </c>
      <c r="G1" t="s">
        <v>85</v>
      </c>
      <c r="H1" t="s">
        <v>75</v>
      </c>
      <c r="I1" t="s">
        <v>76</v>
      </c>
      <c r="J1" t="s">
        <v>86</v>
      </c>
      <c r="K1" t="s">
        <v>87</v>
      </c>
      <c r="L1" t="s">
        <v>5921</v>
      </c>
      <c r="M1" t="s">
        <v>88</v>
      </c>
      <c r="N1" t="s">
        <v>8</v>
      </c>
      <c r="O1" t="s">
        <v>89</v>
      </c>
      <c r="P1" t="s">
        <v>73</v>
      </c>
      <c r="Q1" t="s">
        <v>90</v>
      </c>
      <c r="R1" t="s">
        <v>91</v>
      </c>
      <c r="S1" t="s">
        <v>72</v>
      </c>
      <c r="T1" t="s">
        <v>92</v>
      </c>
      <c r="U1" t="s">
        <v>80</v>
      </c>
      <c r="V1" t="s">
        <v>77</v>
      </c>
      <c r="W1" t="s">
        <v>78</v>
      </c>
      <c r="X1" t="s">
        <v>79</v>
      </c>
      <c r="Y1" t="s">
        <v>93</v>
      </c>
      <c r="Z1" t="s">
        <v>94</v>
      </c>
    </row>
    <row r="2" spans="1:26" x14ac:dyDescent="0.2">
      <c r="A2" t="s">
        <v>95</v>
      </c>
      <c r="B2" t="s">
        <v>96</v>
      </c>
      <c r="C2" t="s">
        <v>97</v>
      </c>
      <c r="D2" t="s">
        <v>98</v>
      </c>
      <c r="E2">
        <v>139.99</v>
      </c>
      <c r="F2" t="s">
        <v>5922</v>
      </c>
      <c r="G2">
        <v>139.99</v>
      </c>
      <c r="H2">
        <v>79.12</v>
      </c>
      <c r="I2">
        <v>97.38</v>
      </c>
      <c r="J2">
        <v>109.56</v>
      </c>
      <c r="L2" t="s">
        <v>5922</v>
      </c>
      <c r="M2">
        <v>87.65</v>
      </c>
      <c r="N2">
        <v>88.86</v>
      </c>
      <c r="O2">
        <v>91.3</v>
      </c>
      <c r="P2">
        <v>73.040000000000006</v>
      </c>
      <c r="Q2">
        <v>73.040000000000006</v>
      </c>
      <c r="R2">
        <v>73.040000000000006</v>
      </c>
      <c r="S2">
        <v>91.3</v>
      </c>
      <c r="T2">
        <v>91.3</v>
      </c>
      <c r="U2">
        <v>85.21</v>
      </c>
      <c r="V2">
        <v>91.3</v>
      </c>
      <c r="W2">
        <v>103.47</v>
      </c>
      <c r="X2">
        <v>97.38</v>
      </c>
      <c r="Y2">
        <v>139.99</v>
      </c>
      <c r="Z2" t="s">
        <v>5922</v>
      </c>
    </row>
    <row r="3" spans="1:26" x14ac:dyDescent="0.2">
      <c r="A3" t="s">
        <v>95</v>
      </c>
      <c r="B3" t="s">
        <v>99</v>
      </c>
      <c r="C3" t="s">
        <v>100</v>
      </c>
      <c r="D3" t="s">
        <v>98</v>
      </c>
      <c r="E3">
        <v>129.99</v>
      </c>
      <c r="F3" t="s">
        <v>5922</v>
      </c>
      <c r="G3">
        <v>159.99</v>
      </c>
      <c r="H3">
        <v>67.819999999999993</v>
      </c>
      <c r="I3">
        <v>90.43</v>
      </c>
      <c r="J3">
        <v>111.3</v>
      </c>
      <c r="K3">
        <v>132.16999999999999</v>
      </c>
      <c r="L3" t="s">
        <v>5922</v>
      </c>
      <c r="M3">
        <v>79.12</v>
      </c>
      <c r="N3">
        <v>79.12</v>
      </c>
      <c r="O3">
        <v>83.47</v>
      </c>
      <c r="P3">
        <v>67.819999999999993</v>
      </c>
      <c r="Q3">
        <v>67.819999999999993</v>
      </c>
      <c r="R3">
        <v>67.819999999999993</v>
      </c>
      <c r="S3">
        <v>84.78</v>
      </c>
      <c r="T3">
        <v>67.819999999999993</v>
      </c>
      <c r="U3">
        <v>79.12</v>
      </c>
      <c r="V3">
        <v>67.819999999999993</v>
      </c>
      <c r="W3">
        <v>84.78</v>
      </c>
      <c r="X3">
        <v>84.78</v>
      </c>
      <c r="Y3">
        <v>129.99</v>
      </c>
      <c r="Z3" t="s">
        <v>5922</v>
      </c>
    </row>
    <row r="4" spans="1:26" x14ac:dyDescent="0.2">
      <c r="A4" t="s">
        <v>95</v>
      </c>
      <c r="B4" t="s">
        <v>101</v>
      </c>
      <c r="C4" t="s">
        <v>102</v>
      </c>
      <c r="D4" t="s">
        <v>98</v>
      </c>
      <c r="E4">
        <v>169.99</v>
      </c>
      <c r="F4" t="s">
        <v>5922</v>
      </c>
      <c r="G4">
        <v>169.99</v>
      </c>
      <c r="H4">
        <v>88.69</v>
      </c>
      <c r="I4">
        <v>118.25</v>
      </c>
      <c r="K4">
        <v>140.43</v>
      </c>
      <c r="L4" t="s">
        <v>5922</v>
      </c>
      <c r="M4">
        <v>103.47</v>
      </c>
      <c r="N4">
        <v>110.86</v>
      </c>
      <c r="O4">
        <v>88.69</v>
      </c>
      <c r="P4">
        <v>88.69</v>
      </c>
      <c r="Q4">
        <v>88.69</v>
      </c>
      <c r="R4">
        <v>88.69</v>
      </c>
      <c r="S4">
        <v>110.86</v>
      </c>
      <c r="U4">
        <v>103.47</v>
      </c>
      <c r="Y4">
        <v>169.99</v>
      </c>
      <c r="Z4" t="s">
        <v>5922</v>
      </c>
    </row>
    <row r="5" spans="1:26" x14ac:dyDescent="0.2">
      <c r="A5" t="s">
        <v>95</v>
      </c>
      <c r="B5" t="s">
        <v>103</v>
      </c>
      <c r="C5" t="s">
        <v>104</v>
      </c>
      <c r="D5" t="s">
        <v>105</v>
      </c>
      <c r="E5">
        <v>29.99</v>
      </c>
      <c r="F5" t="s">
        <v>6886</v>
      </c>
      <c r="G5">
        <v>29.99</v>
      </c>
      <c r="H5">
        <v>15.65</v>
      </c>
      <c r="I5">
        <v>20.86</v>
      </c>
      <c r="J5">
        <v>20.86</v>
      </c>
      <c r="K5">
        <v>23.47</v>
      </c>
      <c r="L5" t="s">
        <v>5922</v>
      </c>
      <c r="M5">
        <v>18.25</v>
      </c>
      <c r="N5">
        <v>18.25</v>
      </c>
      <c r="O5">
        <v>14.34</v>
      </c>
      <c r="P5">
        <v>15.65</v>
      </c>
      <c r="Q5">
        <v>15.65</v>
      </c>
      <c r="R5">
        <v>15.65</v>
      </c>
      <c r="S5">
        <v>15.82</v>
      </c>
      <c r="T5">
        <v>15.65</v>
      </c>
      <c r="U5">
        <v>19.559999999999999</v>
      </c>
      <c r="V5">
        <v>15.65</v>
      </c>
      <c r="W5">
        <v>23.47</v>
      </c>
      <c r="X5">
        <v>19.559999999999999</v>
      </c>
      <c r="Y5">
        <v>29.99</v>
      </c>
      <c r="Z5" t="s">
        <v>5922</v>
      </c>
    </row>
    <row r="6" spans="1:26" x14ac:dyDescent="0.2">
      <c r="A6" t="s">
        <v>95</v>
      </c>
      <c r="B6" t="s">
        <v>106</v>
      </c>
      <c r="C6" t="s">
        <v>107</v>
      </c>
      <c r="D6" t="s">
        <v>98</v>
      </c>
      <c r="E6">
        <v>29.99</v>
      </c>
      <c r="F6" t="s">
        <v>5922</v>
      </c>
      <c r="G6">
        <v>29.99</v>
      </c>
      <c r="H6">
        <v>15.65</v>
      </c>
      <c r="I6">
        <v>18.25</v>
      </c>
      <c r="J6">
        <v>20.86</v>
      </c>
      <c r="K6">
        <v>24.77</v>
      </c>
      <c r="L6" t="s">
        <v>5922</v>
      </c>
      <c r="M6">
        <v>18.25</v>
      </c>
      <c r="N6">
        <v>18.25</v>
      </c>
      <c r="O6">
        <v>15.65</v>
      </c>
      <c r="P6">
        <v>15.65</v>
      </c>
      <c r="Q6">
        <v>15.65</v>
      </c>
      <c r="R6">
        <v>15.65</v>
      </c>
      <c r="S6">
        <v>18.25</v>
      </c>
      <c r="T6">
        <v>15.65</v>
      </c>
      <c r="U6">
        <v>18.25</v>
      </c>
      <c r="V6">
        <v>15.65</v>
      </c>
      <c r="W6">
        <v>19.559999999999999</v>
      </c>
      <c r="X6">
        <v>19.559999999999999</v>
      </c>
      <c r="Y6">
        <v>29.99</v>
      </c>
      <c r="Z6" t="s">
        <v>5922</v>
      </c>
    </row>
    <row r="7" spans="1:26" x14ac:dyDescent="0.2">
      <c r="A7" t="s">
        <v>95</v>
      </c>
      <c r="B7" t="s">
        <v>108</v>
      </c>
      <c r="C7" t="s">
        <v>109</v>
      </c>
      <c r="D7" t="s">
        <v>98</v>
      </c>
      <c r="E7">
        <v>39.99</v>
      </c>
      <c r="F7" t="s">
        <v>5922</v>
      </c>
      <c r="G7">
        <v>39.99</v>
      </c>
      <c r="H7">
        <v>20.86</v>
      </c>
      <c r="I7">
        <v>27.82</v>
      </c>
      <c r="J7">
        <v>27.82</v>
      </c>
      <c r="K7">
        <v>33.04</v>
      </c>
      <c r="L7" t="s">
        <v>5922</v>
      </c>
      <c r="M7">
        <v>24.34</v>
      </c>
      <c r="N7">
        <v>24.34</v>
      </c>
      <c r="O7">
        <v>24.34</v>
      </c>
      <c r="P7">
        <v>20.86</v>
      </c>
      <c r="Q7">
        <v>20.86</v>
      </c>
      <c r="R7">
        <v>20.86</v>
      </c>
      <c r="S7">
        <v>26.08</v>
      </c>
      <c r="T7">
        <v>20.86</v>
      </c>
      <c r="U7">
        <v>24.34</v>
      </c>
      <c r="V7">
        <v>20.86</v>
      </c>
      <c r="W7">
        <v>26.08</v>
      </c>
      <c r="X7">
        <v>26.08</v>
      </c>
      <c r="Y7">
        <v>39.99</v>
      </c>
      <c r="Z7" t="s">
        <v>5922</v>
      </c>
    </row>
    <row r="8" spans="1:26" x14ac:dyDescent="0.2">
      <c r="A8" t="s">
        <v>95</v>
      </c>
      <c r="B8" t="s">
        <v>110</v>
      </c>
      <c r="C8" t="s">
        <v>111</v>
      </c>
      <c r="D8" t="s">
        <v>105</v>
      </c>
      <c r="E8">
        <v>39.99</v>
      </c>
      <c r="F8" t="s">
        <v>6887</v>
      </c>
      <c r="G8">
        <v>39.99</v>
      </c>
      <c r="H8">
        <v>20.86</v>
      </c>
      <c r="I8">
        <v>27.82</v>
      </c>
      <c r="J8">
        <v>27.82</v>
      </c>
      <c r="K8">
        <v>31.3</v>
      </c>
      <c r="L8" t="s">
        <v>5922</v>
      </c>
      <c r="M8">
        <v>24.34</v>
      </c>
      <c r="N8">
        <v>24.34</v>
      </c>
      <c r="O8">
        <v>19.13</v>
      </c>
      <c r="P8">
        <v>20.86</v>
      </c>
      <c r="Q8">
        <v>20.86</v>
      </c>
      <c r="R8">
        <v>20.86</v>
      </c>
      <c r="S8">
        <v>26.08</v>
      </c>
      <c r="T8">
        <v>20.86</v>
      </c>
      <c r="U8">
        <v>26.08</v>
      </c>
      <c r="V8">
        <v>20.86</v>
      </c>
      <c r="W8">
        <v>31.3</v>
      </c>
      <c r="X8">
        <v>26.08</v>
      </c>
      <c r="Y8">
        <v>39.99</v>
      </c>
      <c r="Z8" t="s">
        <v>5922</v>
      </c>
    </row>
    <row r="9" spans="1:26" x14ac:dyDescent="0.2">
      <c r="A9" t="s">
        <v>95</v>
      </c>
      <c r="B9" t="s">
        <v>112</v>
      </c>
      <c r="C9" t="s">
        <v>113</v>
      </c>
      <c r="D9" t="s">
        <v>98</v>
      </c>
      <c r="E9">
        <v>99.99</v>
      </c>
      <c r="F9" t="s">
        <v>5922</v>
      </c>
      <c r="G9">
        <v>49.99</v>
      </c>
      <c r="H9">
        <v>52.17</v>
      </c>
      <c r="I9">
        <v>86.95</v>
      </c>
      <c r="J9">
        <v>69.56</v>
      </c>
      <c r="K9">
        <v>82.6</v>
      </c>
      <c r="L9" t="s">
        <v>5922</v>
      </c>
      <c r="M9">
        <v>60.86</v>
      </c>
      <c r="N9">
        <v>60.86</v>
      </c>
      <c r="O9">
        <v>52.17</v>
      </c>
      <c r="P9">
        <v>52.17</v>
      </c>
      <c r="Q9">
        <v>52.17</v>
      </c>
      <c r="R9">
        <v>52.17</v>
      </c>
      <c r="S9">
        <v>65.209999999999994</v>
      </c>
      <c r="T9">
        <v>52.17</v>
      </c>
      <c r="U9">
        <v>60.86</v>
      </c>
      <c r="V9">
        <v>52.17</v>
      </c>
      <c r="W9">
        <v>65.209999999999994</v>
      </c>
      <c r="X9">
        <v>65.209999999999994</v>
      </c>
      <c r="Y9">
        <v>99.99</v>
      </c>
      <c r="Z9" t="s">
        <v>5922</v>
      </c>
    </row>
    <row r="10" spans="1:26" x14ac:dyDescent="0.2">
      <c r="A10" t="s">
        <v>95</v>
      </c>
      <c r="B10" t="s">
        <v>114</v>
      </c>
      <c r="C10" t="s">
        <v>115</v>
      </c>
      <c r="D10" t="s">
        <v>98</v>
      </c>
      <c r="E10">
        <v>99.99</v>
      </c>
      <c r="F10" t="s">
        <v>5922</v>
      </c>
      <c r="G10">
        <v>99.99</v>
      </c>
      <c r="H10">
        <v>52.17</v>
      </c>
      <c r="I10">
        <v>69.56</v>
      </c>
      <c r="J10">
        <v>69.56</v>
      </c>
      <c r="K10">
        <v>82.6</v>
      </c>
      <c r="L10" t="s">
        <v>5922</v>
      </c>
      <c r="M10">
        <v>60.86</v>
      </c>
      <c r="N10">
        <v>60.86</v>
      </c>
      <c r="O10">
        <v>52.17</v>
      </c>
      <c r="P10">
        <v>52.17</v>
      </c>
      <c r="Q10">
        <v>52.17</v>
      </c>
      <c r="R10">
        <v>52.17</v>
      </c>
      <c r="S10">
        <v>65.209999999999994</v>
      </c>
      <c r="T10">
        <v>52.17</v>
      </c>
      <c r="U10">
        <v>60.86</v>
      </c>
      <c r="V10">
        <v>52.17</v>
      </c>
      <c r="W10">
        <v>65.209999999999994</v>
      </c>
      <c r="X10">
        <v>65.209999999999994</v>
      </c>
      <c r="Y10">
        <v>99.99</v>
      </c>
      <c r="Z10" t="s">
        <v>5922</v>
      </c>
    </row>
    <row r="11" spans="1:26" x14ac:dyDescent="0.2">
      <c r="A11" t="s">
        <v>95</v>
      </c>
      <c r="B11" t="s">
        <v>116</v>
      </c>
      <c r="C11" t="s">
        <v>117</v>
      </c>
      <c r="D11" t="s">
        <v>98</v>
      </c>
      <c r="E11">
        <v>129.99</v>
      </c>
      <c r="F11" t="s">
        <v>5922</v>
      </c>
      <c r="G11">
        <v>159.99</v>
      </c>
      <c r="H11">
        <v>67.819999999999993</v>
      </c>
      <c r="I11">
        <v>90.43</v>
      </c>
      <c r="J11">
        <v>111.3</v>
      </c>
      <c r="K11">
        <v>132.16999999999999</v>
      </c>
      <c r="L11" t="s">
        <v>5922</v>
      </c>
      <c r="M11">
        <v>79.12</v>
      </c>
      <c r="N11">
        <v>79.12</v>
      </c>
      <c r="O11">
        <v>83.47</v>
      </c>
      <c r="P11">
        <v>67.819999999999993</v>
      </c>
      <c r="Q11">
        <v>67.819999999999993</v>
      </c>
      <c r="R11">
        <v>67.819999999999993</v>
      </c>
      <c r="S11">
        <v>84.78</v>
      </c>
      <c r="T11">
        <v>67.819999999999993</v>
      </c>
      <c r="U11">
        <v>79.12</v>
      </c>
      <c r="V11">
        <v>67.819999999999993</v>
      </c>
      <c r="W11">
        <v>84.78</v>
      </c>
      <c r="X11">
        <v>84.78</v>
      </c>
      <c r="Y11">
        <v>129.99</v>
      </c>
      <c r="Z11" t="s">
        <v>5922</v>
      </c>
    </row>
    <row r="12" spans="1:26" x14ac:dyDescent="0.2">
      <c r="A12" t="s">
        <v>95</v>
      </c>
      <c r="B12" t="s">
        <v>118</v>
      </c>
      <c r="C12" t="s">
        <v>119</v>
      </c>
      <c r="D12" t="s">
        <v>98</v>
      </c>
      <c r="E12">
        <v>149.99</v>
      </c>
      <c r="F12" t="s">
        <v>5922</v>
      </c>
      <c r="G12">
        <v>149.99</v>
      </c>
      <c r="H12">
        <v>78.260000000000005</v>
      </c>
      <c r="I12">
        <v>130.43</v>
      </c>
      <c r="J12">
        <v>104.34</v>
      </c>
      <c r="K12">
        <v>123.9</v>
      </c>
      <c r="L12" t="s">
        <v>5922</v>
      </c>
      <c r="M12">
        <v>91.3</v>
      </c>
      <c r="N12">
        <v>91.3</v>
      </c>
      <c r="O12">
        <v>78.260000000000005</v>
      </c>
      <c r="P12">
        <v>78.260000000000005</v>
      </c>
      <c r="Q12">
        <v>78.260000000000005</v>
      </c>
      <c r="R12">
        <v>78.260000000000005</v>
      </c>
      <c r="S12">
        <v>97.82</v>
      </c>
      <c r="T12">
        <v>78.260000000000005</v>
      </c>
      <c r="U12">
        <v>91.3</v>
      </c>
      <c r="V12">
        <v>78.260000000000005</v>
      </c>
      <c r="W12">
        <v>97.82</v>
      </c>
      <c r="X12">
        <v>97.82</v>
      </c>
      <c r="Y12">
        <v>149.99</v>
      </c>
      <c r="Z12" t="s">
        <v>5922</v>
      </c>
    </row>
    <row r="13" spans="1:26" x14ac:dyDescent="0.2">
      <c r="A13" t="s">
        <v>95</v>
      </c>
      <c r="B13" t="s">
        <v>120</v>
      </c>
      <c r="C13" t="s">
        <v>121</v>
      </c>
      <c r="D13" t="s">
        <v>98</v>
      </c>
      <c r="E13">
        <v>25.99</v>
      </c>
      <c r="F13" t="s">
        <v>5922</v>
      </c>
      <c r="G13">
        <v>25.99</v>
      </c>
      <c r="H13">
        <v>13.56</v>
      </c>
      <c r="I13">
        <v>22.6</v>
      </c>
      <c r="J13">
        <v>18.079999999999998</v>
      </c>
      <c r="K13">
        <v>21.47</v>
      </c>
      <c r="L13" t="s">
        <v>5922</v>
      </c>
      <c r="M13">
        <v>15.82</v>
      </c>
      <c r="N13">
        <v>15.82</v>
      </c>
      <c r="O13">
        <v>13.56</v>
      </c>
      <c r="P13">
        <v>13.56</v>
      </c>
      <c r="Q13">
        <v>13.56</v>
      </c>
      <c r="R13">
        <v>13.56</v>
      </c>
      <c r="S13">
        <v>16.95</v>
      </c>
      <c r="T13">
        <v>13.56</v>
      </c>
      <c r="U13">
        <v>15.82</v>
      </c>
      <c r="V13">
        <v>13.56</v>
      </c>
      <c r="W13">
        <v>16.95</v>
      </c>
      <c r="X13">
        <v>16.95</v>
      </c>
      <c r="Y13">
        <v>25.99</v>
      </c>
      <c r="Z13" t="s">
        <v>5922</v>
      </c>
    </row>
    <row r="14" spans="1:26" x14ac:dyDescent="0.2">
      <c r="A14" t="s">
        <v>95</v>
      </c>
      <c r="B14" t="s">
        <v>122</v>
      </c>
      <c r="C14" t="s">
        <v>123</v>
      </c>
      <c r="D14" t="s">
        <v>138</v>
      </c>
      <c r="E14">
        <v>169.99</v>
      </c>
      <c r="F14" t="s">
        <v>6888</v>
      </c>
      <c r="G14">
        <v>169.99</v>
      </c>
      <c r="H14">
        <v>96.08</v>
      </c>
      <c r="I14">
        <v>118.25</v>
      </c>
      <c r="J14">
        <v>133.04</v>
      </c>
      <c r="K14">
        <v>103.47</v>
      </c>
      <c r="L14" t="s">
        <v>5922</v>
      </c>
      <c r="M14">
        <v>106.43</v>
      </c>
      <c r="N14">
        <v>107.91</v>
      </c>
      <c r="O14">
        <v>110.86</v>
      </c>
      <c r="P14">
        <v>88.69</v>
      </c>
      <c r="Q14">
        <v>88.69</v>
      </c>
      <c r="R14">
        <v>88.69</v>
      </c>
      <c r="S14">
        <v>110.86</v>
      </c>
      <c r="T14">
        <v>110.86</v>
      </c>
      <c r="U14">
        <v>103.47</v>
      </c>
      <c r="V14">
        <v>110.86</v>
      </c>
      <c r="W14">
        <v>125.64</v>
      </c>
      <c r="X14">
        <v>118.25</v>
      </c>
      <c r="Y14">
        <v>169.99</v>
      </c>
      <c r="Z14" t="s">
        <v>5922</v>
      </c>
    </row>
    <row r="15" spans="1:26" x14ac:dyDescent="0.2">
      <c r="A15" t="s">
        <v>95</v>
      </c>
      <c r="B15" t="s">
        <v>124</v>
      </c>
      <c r="C15" t="s">
        <v>125</v>
      </c>
      <c r="D15" t="s">
        <v>105</v>
      </c>
      <c r="E15">
        <v>59.99</v>
      </c>
      <c r="F15" t="s">
        <v>6889</v>
      </c>
      <c r="G15">
        <v>59.99</v>
      </c>
      <c r="H15">
        <v>31.3</v>
      </c>
      <c r="I15">
        <v>41.73</v>
      </c>
      <c r="J15">
        <v>41.73</v>
      </c>
      <c r="K15">
        <v>46.95</v>
      </c>
      <c r="L15" t="s">
        <v>5922</v>
      </c>
      <c r="M15">
        <v>36.520000000000003</v>
      </c>
      <c r="N15">
        <v>36.520000000000003</v>
      </c>
      <c r="O15">
        <v>31.3</v>
      </c>
      <c r="P15">
        <v>31.3</v>
      </c>
      <c r="Q15">
        <v>31.3</v>
      </c>
      <c r="R15">
        <v>31.3</v>
      </c>
      <c r="S15">
        <v>39.119999999999997</v>
      </c>
      <c r="T15">
        <v>31.3</v>
      </c>
      <c r="U15">
        <v>39.119999999999997</v>
      </c>
      <c r="V15">
        <v>31.3</v>
      </c>
      <c r="W15">
        <v>46.95</v>
      </c>
      <c r="X15">
        <v>39.119999999999997</v>
      </c>
      <c r="Y15">
        <v>59.99</v>
      </c>
      <c r="Z15" t="s">
        <v>5922</v>
      </c>
    </row>
    <row r="16" spans="1:26" x14ac:dyDescent="0.2">
      <c r="A16" t="s">
        <v>95</v>
      </c>
      <c r="B16" t="s">
        <v>126</v>
      </c>
      <c r="C16" t="s">
        <v>127</v>
      </c>
      <c r="D16" t="s">
        <v>98</v>
      </c>
      <c r="E16">
        <v>59.99</v>
      </c>
      <c r="F16" t="s">
        <v>5922</v>
      </c>
      <c r="G16">
        <v>59.99</v>
      </c>
      <c r="H16">
        <v>31.3</v>
      </c>
      <c r="I16">
        <v>41.73</v>
      </c>
      <c r="J16">
        <v>41.73</v>
      </c>
      <c r="K16">
        <v>49.56</v>
      </c>
      <c r="L16" t="s">
        <v>5922</v>
      </c>
      <c r="M16">
        <v>36.520000000000003</v>
      </c>
      <c r="N16">
        <v>36.520000000000003</v>
      </c>
      <c r="O16">
        <v>31.3</v>
      </c>
      <c r="P16">
        <v>31.3</v>
      </c>
      <c r="Q16">
        <v>31.3</v>
      </c>
      <c r="R16">
        <v>31.3</v>
      </c>
      <c r="S16">
        <v>39.119999999999997</v>
      </c>
      <c r="T16">
        <v>31.3</v>
      </c>
      <c r="U16">
        <v>36.520000000000003</v>
      </c>
      <c r="V16">
        <v>31.3</v>
      </c>
      <c r="W16">
        <v>39.119999999999997</v>
      </c>
      <c r="X16">
        <v>39.119999999999997</v>
      </c>
      <c r="Y16">
        <v>59.99</v>
      </c>
      <c r="Z16" t="s">
        <v>5922</v>
      </c>
    </row>
    <row r="17" spans="1:26" x14ac:dyDescent="0.2">
      <c r="A17" t="s">
        <v>95</v>
      </c>
      <c r="B17" t="s">
        <v>128</v>
      </c>
      <c r="C17" t="s">
        <v>129</v>
      </c>
      <c r="D17" t="s">
        <v>98</v>
      </c>
      <c r="E17">
        <v>24.99</v>
      </c>
      <c r="F17" t="s">
        <v>5922</v>
      </c>
      <c r="G17">
        <v>24.99</v>
      </c>
      <c r="H17">
        <v>13.04</v>
      </c>
      <c r="I17">
        <v>17.38</v>
      </c>
      <c r="J17">
        <v>17.38</v>
      </c>
      <c r="K17">
        <v>20.64</v>
      </c>
      <c r="L17" t="s">
        <v>5922</v>
      </c>
      <c r="M17">
        <v>15.21</v>
      </c>
      <c r="N17">
        <v>15.21</v>
      </c>
      <c r="O17">
        <v>13.04</v>
      </c>
      <c r="P17">
        <v>13.04</v>
      </c>
      <c r="Q17">
        <v>13.04</v>
      </c>
      <c r="R17">
        <v>13.04</v>
      </c>
      <c r="S17">
        <v>16.3</v>
      </c>
      <c r="T17">
        <v>13.04</v>
      </c>
      <c r="U17">
        <v>15.21</v>
      </c>
      <c r="V17">
        <v>13.04</v>
      </c>
      <c r="W17">
        <v>16.3</v>
      </c>
      <c r="X17">
        <v>16.3</v>
      </c>
      <c r="Y17">
        <v>24.99</v>
      </c>
      <c r="Z17" t="s">
        <v>5922</v>
      </c>
    </row>
    <row r="18" spans="1:26" x14ac:dyDescent="0.2">
      <c r="A18" t="s">
        <v>95</v>
      </c>
      <c r="B18" t="s">
        <v>130</v>
      </c>
      <c r="C18" t="s">
        <v>131</v>
      </c>
      <c r="D18" t="s">
        <v>98</v>
      </c>
      <c r="E18">
        <v>24.99</v>
      </c>
      <c r="F18" t="s">
        <v>5922</v>
      </c>
      <c r="H18">
        <v>13.04</v>
      </c>
      <c r="I18">
        <v>17.38</v>
      </c>
      <c r="J18">
        <v>20.86</v>
      </c>
      <c r="K18">
        <v>24.77</v>
      </c>
      <c r="L18" t="s">
        <v>5922</v>
      </c>
      <c r="M18">
        <v>15.21</v>
      </c>
      <c r="N18">
        <v>15.21</v>
      </c>
      <c r="O18">
        <v>15.65</v>
      </c>
      <c r="P18">
        <v>13.04</v>
      </c>
      <c r="Q18">
        <v>13.04</v>
      </c>
      <c r="R18">
        <v>13.04</v>
      </c>
      <c r="S18">
        <v>16.3</v>
      </c>
      <c r="T18">
        <v>13.04</v>
      </c>
      <c r="U18">
        <v>15.21</v>
      </c>
      <c r="V18">
        <v>13.04</v>
      </c>
      <c r="W18">
        <v>16.3</v>
      </c>
      <c r="X18">
        <v>16.3</v>
      </c>
      <c r="Y18">
        <v>24.99</v>
      </c>
      <c r="Z18" t="s">
        <v>5922</v>
      </c>
    </row>
    <row r="19" spans="1:26" x14ac:dyDescent="0.2">
      <c r="A19" t="s">
        <v>95</v>
      </c>
      <c r="B19" t="s">
        <v>132</v>
      </c>
      <c r="C19" t="s">
        <v>133</v>
      </c>
      <c r="D19" t="s">
        <v>98</v>
      </c>
      <c r="E19">
        <v>79.989999999999995</v>
      </c>
      <c r="F19" t="s">
        <v>5922</v>
      </c>
      <c r="G19">
        <v>79.989999999999995</v>
      </c>
      <c r="H19">
        <v>45.21</v>
      </c>
      <c r="I19">
        <v>55.65</v>
      </c>
      <c r="J19">
        <v>62.6</v>
      </c>
      <c r="K19">
        <v>52.17</v>
      </c>
      <c r="L19" t="s">
        <v>5922</v>
      </c>
      <c r="M19">
        <v>50.08</v>
      </c>
      <c r="N19">
        <v>50.78</v>
      </c>
      <c r="O19">
        <v>52.17</v>
      </c>
      <c r="P19">
        <v>41.73</v>
      </c>
      <c r="Q19">
        <v>41.73</v>
      </c>
      <c r="R19">
        <v>41.73</v>
      </c>
      <c r="S19">
        <v>52.17</v>
      </c>
      <c r="T19">
        <v>52.17</v>
      </c>
      <c r="U19">
        <v>48.69</v>
      </c>
      <c r="V19">
        <v>52.17</v>
      </c>
      <c r="W19">
        <v>59.12</v>
      </c>
      <c r="X19">
        <v>55.65</v>
      </c>
      <c r="Y19">
        <v>79.989999999999995</v>
      </c>
      <c r="Z19" t="s">
        <v>5922</v>
      </c>
    </row>
    <row r="20" spans="1:26" x14ac:dyDescent="0.2">
      <c r="A20" t="s">
        <v>95</v>
      </c>
      <c r="B20" t="s">
        <v>134</v>
      </c>
      <c r="C20" t="s">
        <v>135</v>
      </c>
      <c r="D20" t="s">
        <v>98</v>
      </c>
      <c r="E20">
        <v>79.989999999999995</v>
      </c>
      <c r="F20" t="s">
        <v>5922</v>
      </c>
      <c r="G20">
        <v>79.989999999999995</v>
      </c>
      <c r="H20">
        <v>45.21</v>
      </c>
      <c r="I20">
        <v>55.65</v>
      </c>
      <c r="J20">
        <v>62.6</v>
      </c>
      <c r="K20">
        <v>52.17</v>
      </c>
      <c r="L20" t="s">
        <v>5922</v>
      </c>
      <c r="M20">
        <v>50.08</v>
      </c>
      <c r="N20">
        <v>50.78</v>
      </c>
      <c r="O20">
        <v>52.17</v>
      </c>
      <c r="P20">
        <v>41.73</v>
      </c>
      <c r="Q20">
        <v>41.73</v>
      </c>
      <c r="R20">
        <v>41.73</v>
      </c>
      <c r="S20">
        <v>52.17</v>
      </c>
      <c r="T20">
        <v>52.17</v>
      </c>
      <c r="U20">
        <v>48.69</v>
      </c>
      <c r="V20">
        <v>52.17</v>
      </c>
      <c r="W20">
        <v>59.12</v>
      </c>
      <c r="X20">
        <v>55.65</v>
      </c>
      <c r="Y20">
        <v>79.989999999999995</v>
      </c>
      <c r="Z20" t="s">
        <v>5922</v>
      </c>
    </row>
    <row r="21" spans="1:26" x14ac:dyDescent="0.2">
      <c r="A21" t="s">
        <v>95</v>
      </c>
      <c r="B21" t="s">
        <v>136</v>
      </c>
      <c r="C21" t="s">
        <v>137</v>
      </c>
      <c r="D21" t="s">
        <v>138</v>
      </c>
      <c r="E21">
        <v>79.989999999999995</v>
      </c>
      <c r="F21" t="s">
        <v>5922</v>
      </c>
      <c r="G21">
        <v>79.989999999999995</v>
      </c>
      <c r="H21">
        <v>45.21</v>
      </c>
      <c r="I21">
        <v>55.65</v>
      </c>
      <c r="J21">
        <v>62.6</v>
      </c>
      <c r="K21">
        <v>52.17</v>
      </c>
      <c r="L21" t="s">
        <v>5922</v>
      </c>
      <c r="M21">
        <v>50.08</v>
      </c>
      <c r="N21">
        <v>50.78</v>
      </c>
      <c r="O21">
        <v>52.17</v>
      </c>
      <c r="P21">
        <v>41.73</v>
      </c>
      <c r="Q21">
        <v>41.73</v>
      </c>
      <c r="R21">
        <v>41.73</v>
      </c>
      <c r="S21">
        <v>52.17</v>
      </c>
      <c r="T21">
        <v>52.17</v>
      </c>
      <c r="U21">
        <v>48.69</v>
      </c>
      <c r="V21">
        <v>52.17</v>
      </c>
      <c r="W21">
        <v>59.12</v>
      </c>
      <c r="X21">
        <v>55.65</v>
      </c>
      <c r="Y21">
        <v>79.989999999999995</v>
      </c>
      <c r="Z21" t="s">
        <v>5922</v>
      </c>
    </row>
    <row r="22" spans="1:26" x14ac:dyDescent="0.2">
      <c r="A22" t="s">
        <v>95</v>
      </c>
      <c r="B22" t="s">
        <v>139</v>
      </c>
      <c r="C22" t="s">
        <v>140</v>
      </c>
      <c r="D22" t="s">
        <v>98</v>
      </c>
      <c r="E22">
        <v>79.989999999999995</v>
      </c>
      <c r="F22" t="s">
        <v>5922</v>
      </c>
      <c r="G22">
        <v>79.989999999999995</v>
      </c>
      <c r="H22">
        <v>45.21</v>
      </c>
      <c r="I22">
        <v>55.65</v>
      </c>
      <c r="J22">
        <v>62.6</v>
      </c>
      <c r="K22">
        <v>52.17</v>
      </c>
      <c r="L22" t="s">
        <v>5922</v>
      </c>
      <c r="M22">
        <v>50.08</v>
      </c>
      <c r="N22">
        <v>50.78</v>
      </c>
      <c r="O22">
        <v>52.17</v>
      </c>
      <c r="P22">
        <v>41.73</v>
      </c>
      <c r="Q22">
        <v>41.73</v>
      </c>
      <c r="R22">
        <v>41.73</v>
      </c>
      <c r="S22">
        <v>52.17</v>
      </c>
      <c r="T22">
        <v>52.17</v>
      </c>
      <c r="U22">
        <v>48.69</v>
      </c>
      <c r="V22">
        <v>52.17</v>
      </c>
      <c r="W22">
        <v>59.12</v>
      </c>
      <c r="X22">
        <v>55.65</v>
      </c>
      <c r="Y22">
        <v>79.989999999999995</v>
      </c>
      <c r="Z22" t="s">
        <v>5922</v>
      </c>
    </row>
    <row r="23" spans="1:26" x14ac:dyDescent="0.2">
      <c r="A23" t="s">
        <v>95</v>
      </c>
      <c r="B23" t="s">
        <v>141</v>
      </c>
      <c r="C23" t="s">
        <v>142</v>
      </c>
      <c r="D23" t="s">
        <v>105</v>
      </c>
      <c r="E23">
        <v>69.989999999999995</v>
      </c>
      <c r="F23" t="s">
        <v>6890</v>
      </c>
      <c r="H23">
        <v>39.56</v>
      </c>
      <c r="K23">
        <v>45.65</v>
      </c>
      <c r="L23" t="s">
        <v>5922</v>
      </c>
      <c r="M23">
        <v>42.6</v>
      </c>
      <c r="N23">
        <v>42.6</v>
      </c>
      <c r="P23">
        <v>36.520000000000003</v>
      </c>
      <c r="S23">
        <v>41.39</v>
      </c>
      <c r="Z23" t="s">
        <v>5922</v>
      </c>
    </row>
    <row r="24" spans="1:26" x14ac:dyDescent="0.2">
      <c r="A24" t="s">
        <v>95</v>
      </c>
      <c r="B24" t="s">
        <v>143</v>
      </c>
      <c r="C24" t="s">
        <v>144</v>
      </c>
      <c r="D24" t="s">
        <v>98</v>
      </c>
      <c r="E24">
        <v>69.989999999999995</v>
      </c>
      <c r="F24" t="s">
        <v>6890</v>
      </c>
      <c r="H24">
        <v>39.56</v>
      </c>
      <c r="K24">
        <v>45.65</v>
      </c>
      <c r="L24" t="s">
        <v>5922</v>
      </c>
      <c r="M24">
        <v>42.6</v>
      </c>
      <c r="N24">
        <v>42.6</v>
      </c>
      <c r="P24">
        <v>36.520000000000003</v>
      </c>
      <c r="S24">
        <v>41.39</v>
      </c>
      <c r="Z24" t="s">
        <v>5922</v>
      </c>
    </row>
    <row r="25" spans="1:26" x14ac:dyDescent="0.2">
      <c r="A25" t="s">
        <v>95</v>
      </c>
      <c r="B25" t="s">
        <v>145</v>
      </c>
      <c r="C25" t="s">
        <v>146</v>
      </c>
      <c r="D25" t="s">
        <v>105</v>
      </c>
      <c r="E25">
        <v>69.989999999999995</v>
      </c>
      <c r="F25" t="s">
        <v>6890</v>
      </c>
      <c r="H25">
        <v>39.56</v>
      </c>
      <c r="K25">
        <v>45.65</v>
      </c>
      <c r="L25" t="s">
        <v>5922</v>
      </c>
      <c r="M25">
        <v>42.6</v>
      </c>
      <c r="N25">
        <v>42.6</v>
      </c>
      <c r="O25">
        <v>33.47</v>
      </c>
      <c r="P25">
        <v>36.520000000000003</v>
      </c>
      <c r="S25">
        <v>41.39</v>
      </c>
      <c r="Z25" t="s">
        <v>5922</v>
      </c>
    </row>
    <row r="26" spans="1:26" x14ac:dyDescent="0.2">
      <c r="A26" t="s">
        <v>147</v>
      </c>
      <c r="B26" t="s">
        <v>148</v>
      </c>
      <c r="C26" t="s">
        <v>149</v>
      </c>
      <c r="D26" t="s">
        <v>105</v>
      </c>
      <c r="E26">
        <v>260</v>
      </c>
      <c r="F26" t="s">
        <v>6891</v>
      </c>
      <c r="L26" t="s">
        <v>5922</v>
      </c>
      <c r="Q26">
        <v>195</v>
      </c>
      <c r="S26">
        <v>195</v>
      </c>
      <c r="Z26" t="s">
        <v>5922</v>
      </c>
    </row>
    <row r="27" spans="1:26" x14ac:dyDescent="0.2">
      <c r="A27" t="s">
        <v>147</v>
      </c>
      <c r="B27" t="s">
        <v>150</v>
      </c>
      <c r="C27" t="s">
        <v>151</v>
      </c>
      <c r="D27" t="s">
        <v>105</v>
      </c>
      <c r="E27">
        <v>433.91</v>
      </c>
      <c r="F27" t="s">
        <v>6892</v>
      </c>
      <c r="L27" t="s">
        <v>5922</v>
      </c>
      <c r="Q27">
        <v>325.43</v>
      </c>
      <c r="S27">
        <v>325.43</v>
      </c>
      <c r="Z27" t="s">
        <v>5922</v>
      </c>
    </row>
    <row r="28" spans="1:26" x14ac:dyDescent="0.2">
      <c r="A28" t="s">
        <v>147</v>
      </c>
      <c r="B28" t="s">
        <v>152</v>
      </c>
      <c r="C28" t="s">
        <v>153</v>
      </c>
      <c r="D28" t="s">
        <v>105</v>
      </c>
      <c r="E28">
        <v>694.78</v>
      </c>
      <c r="F28" t="s">
        <v>6893</v>
      </c>
      <c r="L28" t="s">
        <v>5922</v>
      </c>
      <c r="Q28">
        <v>521.09</v>
      </c>
      <c r="S28">
        <v>521.09</v>
      </c>
      <c r="Z28" t="s">
        <v>5922</v>
      </c>
    </row>
    <row r="29" spans="1:26" x14ac:dyDescent="0.2">
      <c r="A29" t="s">
        <v>147</v>
      </c>
      <c r="B29" t="s">
        <v>154</v>
      </c>
      <c r="C29" t="s">
        <v>155</v>
      </c>
      <c r="D29" t="s">
        <v>105</v>
      </c>
      <c r="E29">
        <v>190.43</v>
      </c>
      <c r="F29" t="s">
        <v>6894</v>
      </c>
      <c r="L29" t="s">
        <v>5922</v>
      </c>
      <c r="Q29">
        <v>142.83000000000001</v>
      </c>
      <c r="S29">
        <v>142.83000000000001</v>
      </c>
      <c r="Z29" t="s">
        <v>5922</v>
      </c>
    </row>
    <row r="30" spans="1:26" x14ac:dyDescent="0.2">
      <c r="A30" t="s">
        <v>147</v>
      </c>
      <c r="B30" t="s">
        <v>156</v>
      </c>
      <c r="C30" t="s">
        <v>157</v>
      </c>
      <c r="D30" t="s">
        <v>105</v>
      </c>
      <c r="E30">
        <v>199.13</v>
      </c>
      <c r="F30" t="s">
        <v>6895</v>
      </c>
      <c r="L30" t="s">
        <v>5922</v>
      </c>
      <c r="Q30">
        <v>149.35</v>
      </c>
      <c r="S30">
        <v>149.35</v>
      </c>
      <c r="Z30" t="s">
        <v>5922</v>
      </c>
    </row>
    <row r="31" spans="1:26" x14ac:dyDescent="0.2">
      <c r="A31" t="s">
        <v>147</v>
      </c>
      <c r="B31" t="s">
        <v>158</v>
      </c>
      <c r="C31" t="s">
        <v>159</v>
      </c>
      <c r="D31" t="s">
        <v>105</v>
      </c>
      <c r="E31">
        <v>581.74</v>
      </c>
      <c r="F31" t="s">
        <v>6896</v>
      </c>
      <c r="L31" t="s">
        <v>5922</v>
      </c>
      <c r="Q31">
        <v>436.3</v>
      </c>
      <c r="S31">
        <v>436.3</v>
      </c>
      <c r="Z31" t="s">
        <v>5922</v>
      </c>
    </row>
    <row r="32" spans="1:26" x14ac:dyDescent="0.2">
      <c r="A32" t="s">
        <v>160</v>
      </c>
      <c r="B32" t="s">
        <v>6897</v>
      </c>
      <c r="C32" t="s">
        <v>161</v>
      </c>
      <c r="D32" t="s">
        <v>98</v>
      </c>
      <c r="E32">
        <v>69.989999999999995</v>
      </c>
      <c r="F32" t="s">
        <v>6890</v>
      </c>
      <c r="L32" t="s">
        <v>5922</v>
      </c>
      <c r="Z32" t="s">
        <v>5922</v>
      </c>
    </row>
    <row r="33" spans="1:26" x14ac:dyDescent="0.2">
      <c r="A33" t="s">
        <v>160</v>
      </c>
      <c r="B33" t="s">
        <v>5794</v>
      </c>
      <c r="C33" t="s">
        <v>162</v>
      </c>
      <c r="D33" t="s">
        <v>105</v>
      </c>
      <c r="E33">
        <v>3099</v>
      </c>
      <c r="F33" t="s">
        <v>6898</v>
      </c>
      <c r="H33">
        <v>2263.62</v>
      </c>
      <c r="I33">
        <v>2290.56</v>
      </c>
      <c r="L33" t="s">
        <v>5922</v>
      </c>
      <c r="M33">
        <v>2455.2399999999998</v>
      </c>
      <c r="N33">
        <v>2515.13</v>
      </c>
      <c r="S33">
        <v>2460.4499999999998</v>
      </c>
      <c r="Z33" t="s">
        <v>5922</v>
      </c>
    </row>
    <row r="34" spans="1:26" x14ac:dyDescent="0.2">
      <c r="A34" t="s">
        <v>160</v>
      </c>
      <c r="B34" t="s">
        <v>5790</v>
      </c>
      <c r="C34" t="s">
        <v>163</v>
      </c>
      <c r="D34" t="s">
        <v>105</v>
      </c>
      <c r="E34">
        <v>3299.99</v>
      </c>
      <c r="F34" t="s">
        <v>6899</v>
      </c>
      <c r="H34">
        <v>2410.4299999999998</v>
      </c>
      <c r="I34">
        <v>2439.13</v>
      </c>
      <c r="L34" t="s">
        <v>5922</v>
      </c>
      <c r="M34">
        <v>2614.4899999999998</v>
      </c>
      <c r="N34">
        <v>2678.26</v>
      </c>
      <c r="S34">
        <v>2620.0300000000002</v>
      </c>
      <c r="Z34" t="s">
        <v>5922</v>
      </c>
    </row>
    <row r="35" spans="1:26" x14ac:dyDescent="0.2">
      <c r="A35" t="s">
        <v>160</v>
      </c>
      <c r="B35" t="s">
        <v>5802</v>
      </c>
      <c r="C35" t="s">
        <v>164</v>
      </c>
      <c r="D35" t="s">
        <v>105</v>
      </c>
      <c r="E35">
        <v>2599</v>
      </c>
      <c r="F35" t="s">
        <v>6900</v>
      </c>
      <c r="H35">
        <v>1898.4</v>
      </c>
      <c r="I35">
        <v>1921</v>
      </c>
      <c r="L35" t="s">
        <v>5922</v>
      </c>
      <c r="M35">
        <v>2059.11</v>
      </c>
      <c r="N35">
        <v>2109.33</v>
      </c>
      <c r="S35">
        <v>2063.48</v>
      </c>
      <c r="Z35" t="s">
        <v>5922</v>
      </c>
    </row>
    <row r="36" spans="1:26" x14ac:dyDescent="0.2">
      <c r="A36" t="s">
        <v>160</v>
      </c>
      <c r="B36" t="s">
        <v>165</v>
      </c>
      <c r="C36" t="s">
        <v>166</v>
      </c>
      <c r="D36" t="s">
        <v>105</v>
      </c>
      <c r="E36">
        <v>0</v>
      </c>
      <c r="F36" t="s">
        <v>6901</v>
      </c>
      <c r="H36">
        <v>0</v>
      </c>
      <c r="I36">
        <v>0</v>
      </c>
      <c r="L36" t="s">
        <v>5922</v>
      </c>
      <c r="M36">
        <v>0</v>
      </c>
      <c r="N36">
        <v>0</v>
      </c>
      <c r="S36">
        <v>0</v>
      </c>
      <c r="Z36" t="s">
        <v>5922</v>
      </c>
    </row>
    <row r="37" spans="1:26" x14ac:dyDescent="0.2">
      <c r="A37" t="s">
        <v>160</v>
      </c>
      <c r="B37" t="s">
        <v>6902</v>
      </c>
      <c r="C37" t="s">
        <v>167</v>
      </c>
      <c r="D37" t="s">
        <v>105</v>
      </c>
      <c r="E37">
        <v>99.99</v>
      </c>
      <c r="F37" t="s">
        <v>6903</v>
      </c>
      <c r="I37">
        <v>73.91</v>
      </c>
      <c r="L37" t="s">
        <v>5922</v>
      </c>
      <c r="Z37" t="s">
        <v>5922</v>
      </c>
    </row>
    <row r="38" spans="1:26" x14ac:dyDescent="0.2">
      <c r="A38" t="s">
        <v>160</v>
      </c>
      <c r="B38" t="s">
        <v>6904</v>
      </c>
      <c r="C38" t="s">
        <v>168</v>
      </c>
      <c r="D38" t="s">
        <v>105</v>
      </c>
      <c r="E38">
        <v>119.99</v>
      </c>
      <c r="F38" t="s">
        <v>6905</v>
      </c>
      <c r="I38">
        <v>88.69</v>
      </c>
      <c r="L38" t="s">
        <v>5922</v>
      </c>
      <c r="Z38" t="s">
        <v>5922</v>
      </c>
    </row>
    <row r="39" spans="1:26" x14ac:dyDescent="0.2">
      <c r="A39" t="s">
        <v>160</v>
      </c>
      <c r="B39" t="s">
        <v>6906</v>
      </c>
      <c r="C39" t="s">
        <v>169</v>
      </c>
      <c r="D39" t="s">
        <v>105</v>
      </c>
      <c r="E39">
        <v>169.99</v>
      </c>
      <c r="F39" t="s">
        <v>6888</v>
      </c>
      <c r="H39">
        <v>110.86</v>
      </c>
      <c r="I39">
        <v>125.65</v>
      </c>
      <c r="L39" t="s">
        <v>5922</v>
      </c>
      <c r="M39">
        <v>123.18</v>
      </c>
      <c r="N39">
        <v>123.18</v>
      </c>
      <c r="S39">
        <v>120.5</v>
      </c>
      <c r="Z39" t="s">
        <v>5922</v>
      </c>
    </row>
    <row r="40" spans="1:26" x14ac:dyDescent="0.2">
      <c r="A40" t="s">
        <v>160</v>
      </c>
      <c r="B40" t="s">
        <v>6907</v>
      </c>
      <c r="C40" t="s">
        <v>170</v>
      </c>
      <c r="D40" t="s">
        <v>105</v>
      </c>
      <c r="E40">
        <v>57.99</v>
      </c>
      <c r="F40" t="s">
        <v>6908</v>
      </c>
      <c r="H40">
        <v>37.82</v>
      </c>
      <c r="I40">
        <v>42.87</v>
      </c>
      <c r="L40" t="s">
        <v>5922</v>
      </c>
      <c r="M40">
        <v>42.03</v>
      </c>
      <c r="N40">
        <v>42.03</v>
      </c>
      <c r="S40">
        <v>41.11</v>
      </c>
      <c r="Z40" t="s">
        <v>5922</v>
      </c>
    </row>
    <row r="41" spans="1:26" x14ac:dyDescent="0.2">
      <c r="A41" t="s">
        <v>160</v>
      </c>
      <c r="B41" t="s">
        <v>6909</v>
      </c>
      <c r="C41" t="s">
        <v>171</v>
      </c>
      <c r="D41" t="s">
        <v>105</v>
      </c>
      <c r="E41">
        <v>69.989999999999995</v>
      </c>
      <c r="F41" t="s">
        <v>6890</v>
      </c>
      <c r="I41">
        <v>51.73</v>
      </c>
      <c r="L41" t="s">
        <v>5922</v>
      </c>
      <c r="Z41" t="s">
        <v>5922</v>
      </c>
    </row>
    <row r="42" spans="1:26" x14ac:dyDescent="0.2">
      <c r="A42" t="s">
        <v>160</v>
      </c>
      <c r="B42" t="s">
        <v>6910</v>
      </c>
      <c r="C42" t="s">
        <v>172</v>
      </c>
      <c r="D42" t="s">
        <v>105</v>
      </c>
      <c r="E42">
        <v>29.99</v>
      </c>
      <c r="F42" t="s">
        <v>6886</v>
      </c>
      <c r="I42">
        <v>22.17</v>
      </c>
      <c r="L42" t="s">
        <v>5922</v>
      </c>
      <c r="Z42" t="s">
        <v>5922</v>
      </c>
    </row>
    <row r="43" spans="1:26" x14ac:dyDescent="0.2">
      <c r="A43" t="s">
        <v>160</v>
      </c>
      <c r="B43" t="s">
        <v>6911</v>
      </c>
      <c r="C43" t="s">
        <v>173</v>
      </c>
      <c r="D43" t="s">
        <v>98</v>
      </c>
      <c r="E43">
        <v>62.99</v>
      </c>
      <c r="F43" t="s">
        <v>6912</v>
      </c>
      <c r="L43" t="s">
        <v>5922</v>
      </c>
      <c r="Z43" t="s">
        <v>5922</v>
      </c>
    </row>
    <row r="44" spans="1:26" x14ac:dyDescent="0.2">
      <c r="A44" t="s">
        <v>160</v>
      </c>
      <c r="B44" t="s">
        <v>6913</v>
      </c>
      <c r="C44" t="s">
        <v>174</v>
      </c>
      <c r="D44" t="s">
        <v>105</v>
      </c>
      <c r="E44">
        <v>89.99</v>
      </c>
      <c r="F44" t="s">
        <v>6914</v>
      </c>
      <c r="I44">
        <v>66.510000000000005</v>
      </c>
      <c r="L44" t="s">
        <v>5922</v>
      </c>
      <c r="Z44" t="s">
        <v>5922</v>
      </c>
    </row>
    <row r="45" spans="1:26" x14ac:dyDescent="0.2">
      <c r="A45" t="s">
        <v>160</v>
      </c>
      <c r="B45" t="s">
        <v>6915</v>
      </c>
      <c r="C45" t="s">
        <v>175</v>
      </c>
      <c r="D45" t="s">
        <v>105</v>
      </c>
      <c r="E45">
        <v>199.99</v>
      </c>
      <c r="F45" t="s">
        <v>6916</v>
      </c>
      <c r="L45" t="s">
        <v>5922</v>
      </c>
      <c r="Z45" t="s">
        <v>5922</v>
      </c>
    </row>
    <row r="46" spans="1:26" x14ac:dyDescent="0.2">
      <c r="A46" t="s">
        <v>160</v>
      </c>
      <c r="B46" t="s">
        <v>6917</v>
      </c>
      <c r="C46" t="s">
        <v>176</v>
      </c>
      <c r="D46" t="s">
        <v>98</v>
      </c>
      <c r="E46">
        <v>299.99</v>
      </c>
      <c r="F46" t="s">
        <v>6918</v>
      </c>
      <c r="L46" t="s">
        <v>5922</v>
      </c>
      <c r="Z46" t="s">
        <v>5922</v>
      </c>
    </row>
    <row r="47" spans="1:26" x14ac:dyDescent="0.2">
      <c r="A47" t="s">
        <v>160</v>
      </c>
      <c r="B47" t="s">
        <v>6919</v>
      </c>
      <c r="C47" t="s">
        <v>177</v>
      </c>
      <c r="D47" t="s">
        <v>105</v>
      </c>
      <c r="E47">
        <v>299.99</v>
      </c>
      <c r="F47" t="s">
        <v>6918</v>
      </c>
      <c r="H47">
        <v>219.12</v>
      </c>
      <c r="I47">
        <v>221.73</v>
      </c>
      <c r="J47">
        <v>234.77</v>
      </c>
      <c r="L47" t="s">
        <v>5922</v>
      </c>
      <c r="M47">
        <v>237.67</v>
      </c>
      <c r="N47">
        <v>243.47</v>
      </c>
      <c r="S47">
        <v>238.18</v>
      </c>
      <c r="Z47" t="s">
        <v>5922</v>
      </c>
    </row>
    <row r="48" spans="1:26" x14ac:dyDescent="0.2">
      <c r="A48" t="s">
        <v>160</v>
      </c>
      <c r="B48" t="s">
        <v>6920</v>
      </c>
      <c r="C48" t="s">
        <v>178</v>
      </c>
      <c r="D48" t="s">
        <v>98</v>
      </c>
      <c r="E48">
        <v>499.99</v>
      </c>
      <c r="F48" t="s">
        <v>6921</v>
      </c>
      <c r="L48" t="s">
        <v>5922</v>
      </c>
      <c r="Z48" t="s">
        <v>5922</v>
      </c>
    </row>
    <row r="49" spans="1:26" x14ac:dyDescent="0.2">
      <c r="A49" t="s">
        <v>160</v>
      </c>
      <c r="B49" t="s">
        <v>6922</v>
      </c>
      <c r="C49" t="s">
        <v>179</v>
      </c>
      <c r="D49" t="s">
        <v>105</v>
      </c>
      <c r="E49">
        <v>499.99</v>
      </c>
      <c r="F49" t="s">
        <v>6921</v>
      </c>
      <c r="H49">
        <v>365.21</v>
      </c>
      <c r="I49">
        <v>369.55</v>
      </c>
      <c r="J49">
        <v>391.29</v>
      </c>
      <c r="L49" t="s">
        <v>5922</v>
      </c>
      <c r="M49">
        <v>396.12</v>
      </c>
      <c r="N49">
        <v>405.79</v>
      </c>
      <c r="S49">
        <v>396.96</v>
      </c>
      <c r="Z49" t="s">
        <v>5922</v>
      </c>
    </row>
    <row r="50" spans="1:26" x14ac:dyDescent="0.2">
      <c r="A50" t="s">
        <v>160</v>
      </c>
      <c r="B50" t="s">
        <v>6923</v>
      </c>
      <c r="C50" t="s">
        <v>180</v>
      </c>
      <c r="D50" t="s">
        <v>98</v>
      </c>
      <c r="E50">
        <v>105.99</v>
      </c>
      <c r="F50" t="s">
        <v>6924</v>
      </c>
      <c r="L50" t="s">
        <v>5922</v>
      </c>
      <c r="Z50" t="s">
        <v>5922</v>
      </c>
    </row>
    <row r="51" spans="1:26" x14ac:dyDescent="0.2">
      <c r="A51" t="s">
        <v>160</v>
      </c>
      <c r="B51" t="s">
        <v>6925</v>
      </c>
      <c r="C51" t="s">
        <v>181</v>
      </c>
      <c r="D51" t="s">
        <v>105</v>
      </c>
      <c r="E51">
        <v>44.99</v>
      </c>
      <c r="F51" t="s">
        <v>6926</v>
      </c>
      <c r="I51">
        <v>33.25</v>
      </c>
      <c r="L51" t="s">
        <v>5922</v>
      </c>
      <c r="Z51" t="s">
        <v>5922</v>
      </c>
    </row>
    <row r="52" spans="1:26" x14ac:dyDescent="0.2">
      <c r="A52" t="s">
        <v>160</v>
      </c>
      <c r="B52" t="s">
        <v>6927</v>
      </c>
      <c r="C52" t="s">
        <v>182</v>
      </c>
      <c r="D52" t="s">
        <v>105</v>
      </c>
      <c r="E52">
        <v>94.99</v>
      </c>
      <c r="F52" t="s">
        <v>6928</v>
      </c>
      <c r="I52">
        <v>70.209999999999994</v>
      </c>
      <c r="L52" t="s">
        <v>5922</v>
      </c>
      <c r="Z52" t="s">
        <v>5922</v>
      </c>
    </row>
    <row r="53" spans="1:26" x14ac:dyDescent="0.2">
      <c r="A53" t="s">
        <v>160</v>
      </c>
      <c r="B53" t="s">
        <v>6929</v>
      </c>
      <c r="C53" t="s">
        <v>183</v>
      </c>
      <c r="D53" t="s">
        <v>105</v>
      </c>
      <c r="E53">
        <v>39.99</v>
      </c>
      <c r="F53" t="s">
        <v>6887</v>
      </c>
      <c r="I53">
        <v>29.55</v>
      </c>
      <c r="L53" t="s">
        <v>5922</v>
      </c>
      <c r="Z53" t="s">
        <v>5922</v>
      </c>
    </row>
    <row r="54" spans="1:26" x14ac:dyDescent="0.2">
      <c r="A54" t="s">
        <v>160</v>
      </c>
      <c r="B54" t="s">
        <v>6930</v>
      </c>
      <c r="C54" t="s">
        <v>184</v>
      </c>
      <c r="D54" t="s">
        <v>98</v>
      </c>
      <c r="E54">
        <v>19.989999999999998</v>
      </c>
      <c r="F54" t="s">
        <v>6931</v>
      </c>
      <c r="L54" t="s">
        <v>5922</v>
      </c>
      <c r="Z54" t="s">
        <v>5922</v>
      </c>
    </row>
    <row r="55" spans="1:26" x14ac:dyDescent="0.2">
      <c r="A55" t="s">
        <v>160</v>
      </c>
      <c r="B55" t="s">
        <v>6932</v>
      </c>
      <c r="C55" t="s">
        <v>185</v>
      </c>
      <c r="D55" t="s">
        <v>98</v>
      </c>
      <c r="E55">
        <v>24.99</v>
      </c>
      <c r="F55" t="s">
        <v>6933</v>
      </c>
      <c r="L55" t="s">
        <v>5922</v>
      </c>
      <c r="Z55" t="s">
        <v>5922</v>
      </c>
    </row>
    <row r="56" spans="1:26" x14ac:dyDescent="0.2">
      <c r="A56" t="s">
        <v>186</v>
      </c>
      <c r="B56" t="s">
        <v>193</v>
      </c>
      <c r="C56" t="s">
        <v>194</v>
      </c>
      <c r="D56" t="s">
        <v>98</v>
      </c>
      <c r="E56">
        <v>59.99</v>
      </c>
      <c r="F56" t="s">
        <v>5922</v>
      </c>
      <c r="G56">
        <v>41.99</v>
      </c>
      <c r="H56">
        <v>36.520000000000003</v>
      </c>
      <c r="I56">
        <v>42.6</v>
      </c>
      <c r="J56">
        <v>48.69</v>
      </c>
      <c r="K56">
        <v>57.82</v>
      </c>
      <c r="L56" t="s">
        <v>5922</v>
      </c>
      <c r="M56">
        <v>39.119999999999997</v>
      </c>
      <c r="N56">
        <v>40.17</v>
      </c>
      <c r="O56">
        <v>36.520000000000003</v>
      </c>
      <c r="P56">
        <v>32.86</v>
      </c>
      <c r="Q56">
        <v>31.3</v>
      </c>
      <c r="R56">
        <v>31.3</v>
      </c>
      <c r="S56">
        <v>39.119999999999997</v>
      </c>
      <c r="T56">
        <v>31.3</v>
      </c>
      <c r="U56">
        <v>36.520000000000003</v>
      </c>
      <c r="V56">
        <v>31.3</v>
      </c>
      <c r="W56">
        <v>39.119999999999997</v>
      </c>
      <c r="X56">
        <v>39.119999999999997</v>
      </c>
      <c r="Y56">
        <v>59.99</v>
      </c>
      <c r="Z56" t="s">
        <v>5922</v>
      </c>
    </row>
    <row r="57" spans="1:26" x14ac:dyDescent="0.2">
      <c r="A57" t="s">
        <v>186</v>
      </c>
      <c r="B57" t="s">
        <v>201</v>
      </c>
      <c r="C57" t="s">
        <v>202</v>
      </c>
      <c r="D57" t="s">
        <v>98</v>
      </c>
      <c r="E57">
        <v>799.99</v>
      </c>
      <c r="F57" t="s">
        <v>5922</v>
      </c>
      <c r="G57">
        <v>479.99</v>
      </c>
      <c r="H57">
        <v>486.95</v>
      </c>
      <c r="I57">
        <v>608.69000000000005</v>
      </c>
      <c r="J57">
        <v>695.65</v>
      </c>
      <c r="K57">
        <v>826.08</v>
      </c>
      <c r="L57" t="s">
        <v>5922</v>
      </c>
      <c r="M57">
        <v>521.73</v>
      </c>
      <c r="N57">
        <v>535.65</v>
      </c>
      <c r="O57">
        <v>521.73</v>
      </c>
      <c r="P57">
        <v>438.26</v>
      </c>
      <c r="Q57">
        <v>417.39</v>
      </c>
      <c r="R57">
        <v>417.39</v>
      </c>
      <c r="S57">
        <v>521.73</v>
      </c>
      <c r="T57">
        <v>417.39</v>
      </c>
      <c r="U57">
        <v>486.95</v>
      </c>
      <c r="V57">
        <v>417.39</v>
      </c>
      <c r="W57">
        <v>521.73</v>
      </c>
      <c r="X57">
        <v>521.73</v>
      </c>
      <c r="Y57">
        <v>799.99</v>
      </c>
      <c r="Z57" t="s">
        <v>5922</v>
      </c>
    </row>
    <row r="58" spans="1:26" x14ac:dyDescent="0.2">
      <c r="A58" t="s">
        <v>186</v>
      </c>
      <c r="B58" t="s">
        <v>205</v>
      </c>
      <c r="C58" t="s">
        <v>206</v>
      </c>
      <c r="D58" t="s">
        <v>105</v>
      </c>
      <c r="E58">
        <v>79.989999999999995</v>
      </c>
      <c r="F58" t="s">
        <v>6934</v>
      </c>
      <c r="G58">
        <v>55.99</v>
      </c>
      <c r="H58">
        <v>48.69</v>
      </c>
      <c r="I58">
        <v>48.69</v>
      </c>
      <c r="J58">
        <v>55.65</v>
      </c>
      <c r="K58">
        <v>66.08</v>
      </c>
      <c r="L58" t="s">
        <v>5922</v>
      </c>
      <c r="M58">
        <v>52.17</v>
      </c>
      <c r="N58">
        <v>53.56</v>
      </c>
      <c r="O58">
        <v>41.73</v>
      </c>
      <c r="P58">
        <v>43.82</v>
      </c>
      <c r="Q58">
        <v>41.73</v>
      </c>
      <c r="R58">
        <v>41.73</v>
      </c>
      <c r="S58">
        <v>52.17</v>
      </c>
      <c r="T58">
        <v>41.73</v>
      </c>
      <c r="U58">
        <v>48.69</v>
      </c>
      <c r="V58">
        <v>41.73</v>
      </c>
      <c r="W58">
        <v>52.17</v>
      </c>
      <c r="X58">
        <v>52.17</v>
      </c>
      <c r="Y58">
        <v>79.989999999999995</v>
      </c>
      <c r="Z58" t="s">
        <v>5922</v>
      </c>
    </row>
    <row r="59" spans="1:26" x14ac:dyDescent="0.2">
      <c r="A59" t="s">
        <v>211</v>
      </c>
      <c r="B59" t="s">
        <v>212</v>
      </c>
      <c r="C59" t="s">
        <v>213</v>
      </c>
      <c r="D59" t="s">
        <v>98</v>
      </c>
      <c r="E59">
        <v>289</v>
      </c>
      <c r="F59" t="s">
        <v>5922</v>
      </c>
      <c r="G59">
        <v>289</v>
      </c>
      <c r="H59">
        <v>0</v>
      </c>
      <c r="L59" t="s">
        <v>5922</v>
      </c>
      <c r="Q59">
        <v>0</v>
      </c>
      <c r="R59">
        <v>0</v>
      </c>
      <c r="U59">
        <v>0</v>
      </c>
      <c r="V59">
        <v>0</v>
      </c>
      <c r="W59">
        <v>0</v>
      </c>
      <c r="X59">
        <v>0</v>
      </c>
      <c r="Y59">
        <v>289</v>
      </c>
      <c r="Z59" t="s">
        <v>5922</v>
      </c>
    </row>
    <row r="60" spans="1:26" x14ac:dyDescent="0.2">
      <c r="A60" t="s">
        <v>211</v>
      </c>
      <c r="B60" t="s">
        <v>214</v>
      </c>
      <c r="C60" t="s">
        <v>215</v>
      </c>
      <c r="D60" t="s">
        <v>105</v>
      </c>
      <c r="E60">
        <v>289</v>
      </c>
      <c r="F60" t="s">
        <v>6935</v>
      </c>
      <c r="G60">
        <v>289</v>
      </c>
      <c r="H60">
        <v>201.04</v>
      </c>
      <c r="L60" t="s">
        <v>5922</v>
      </c>
      <c r="Q60">
        <v>201.04</v>
      </c>
      <c r="R60">
        <v>201.04</v>
      </c>
      <c r="U60">
        <v>188.48</v>
      </c>
      <c r="V60">
        <v>201.04</v>
      </c>
      <c r="W60">
        <v>0</v>
      </c>
      <c r="X60">
        <v>201.04</v>
      </c>
      <c r="Y60">
        <v>289</v>
      </c>
      <c r="Z60" t="s">
        <v>5922</v>
      </c>
    </row>
    <row r="61" spans="1:26" x14ac:dyDescent="0.2">
      <c r="A61" t="s">
        <v>211</v>
      </c>
      <c r="B61" t="s">
        <v>216</v>
      </c>
      <c r="C61" t="s">
        <v>217</v>
      </c>
      <c r="D61" t="s">
        <v>98</v>
      </c>
      <c r="E61">
        <v>89</v>
      </c>
      <c r="F61" t="s">
        <v>6936</v>
      </c>
      <c r="G61">
        <v>89</v>
      </c>
      <c r="H61">
        <v>61.91</v>
      </c>
      <c r="L61" t="s">
        <v>5922</v>
      </c>
      <c r="Q61">
        <v>61.91</v>
      </c>
      <c r="R61">
        <v>61.91</v>
      </c>
      <c r="U61">
        <v>58.04</v>
      </c>
      <c r="V61">
        <v>61.91</v>
      </c>
      <c r="W61">
        <v>0</v>
      </c>
      <c r="X61">
        <v>61.91</v>
      </c>
      <c r="Y61">
        <v>89</v>
      </c>
      <c r="Z61" t="s">
        <v>5922</v>
      </c>
    </row>
    <row r="62" spans="1:26" x14ac:dyDescent="0.2">
      <c r="A62" t="s">
        <v>211</v>
      </c>
      <c r="B62" t="s">
        <v>218</v>
      </c>
      <c r="C62" t="s">
        <v>219</v>
      </c>
      <c r="D62" t="s">
        <v>98</v>
      </c>
      <c r="E62">
        <v>169</v>
      </c>
      <c r="F62" t="s">
        <v>6937</v>
      </c>
      <c r="G62">
        <v>179</v>
      </c>
      <c r="H62">
        <v>117.57</v>
      </c>
      <c r="L62" t="s">
        <v>5922</v>
      </c>
      <c r="Q62">
        <v>117.57</v>
      </c>
      <c r="R62">
        <v>117.57</v>
      </c>
      <c r="U62">
        <v>110.22</v>
      </c>
      <c r="V62">
        <v>117.57</v>
      </c>
      <c r="X62">
        <v>117.57</v>
      </c>
      <c r="Y62">
        <v>169</v>
      </c>
      <c r="Z62" t="s">
        <v>5922</v>
      </c>
    </row>
    <row r="63" spans="1:26" x14ac:dyDescent="0.2">
      <c r="A63" t="s">
        <v>211</v>
      </c>
      <c r="B63" t="s">
        <v>7585</v>
      </c>
      <c r="C63" t="s">
        <v>7586</v>
      </c>
      <c r="D63" t="s">
        <v>98</v>
      </c>
      <c r="E63">
        <v>329</v>
      </c>
      <c r="F63" t="s">
        <v>7063</v>
      </c>
      <c r="G63">
        <v>349</v>
      </c>
      <c r="H63">
        <v>228.87</v>
      </c>
      <c r="L63" t="s">
        <v>5922</v>
      </c>
      <c r="Q63">
        <v>228.87</v>
      </c>
      <c r="R63">
        <v>228.87</v>
      </c>
      <c r="U63">
        <v>214.57</v>
      </c>
      <c r="V63">
        <v>228.87</v>
      </c>
      <c r="X63">
        <v>228.87</v>
      </c>
      <c r="Y63">
        <v>329</v>
      </c>
      <c r="Z63" t="s">
        <v>5922</v>
      </c>
    </row>
    <row r="64" spans="1:26" x14ac:dyDescent="0.2">
      <c r="A64" t="s">
        <v>211</v>
      </c>
      <c r="B64" t="s">
        <v>220</v>
      </c>
      <c r="C64" t="s">
        <v>221</v>
      </c>
      <c r="D64" t="s">
        <v>98</v>
      </c>
      <c r="E64">
        <v>619</v>
      </c>
      <c r="F64" t="s">
        <v>6938</v>
      </c>
      <c r="G64">
        <v>669</v>
      </c>
      <c r="H64">
        <v>430.61</v>
      </c>
      <c r="L64" t="s">
        <v>5922</v>
      </c>
      <c r="Q64">
        <v>430.61</v>
      </c>
      <c r="R64">
        <v>430.61</v>
      </c>
      <c r="U64">
        <v>403.7</v>
      </c>
      <c r="V64">
        <v>430.61</v>
      </c>
      <c r="X64">
        <v>430.61</v>
      </c>
      <c r="Y64">
        <v>619</v>
      </c>
      <c r="Z64" t="s">
        <v>5922</v>
      </c>
    </row>
    <row r="65" spans="1:26" x14ac:dyDescent="0.2">
      <c r="A65" t="s">
        <v>211</v>
      </c>
      <c r="B65" t="s">
        <v>222</v>
      </c>
      <c r="C65" t="s">
        <v>223</v>
      </c>
      <c r="D65" t="s">
        <v>105</v>
      </c>
      <c r="E65">
        <v>89</v>
      </c>
      <c r="F65" t="s">
        <v>6936</v>
      </c>
      <c r="H65">
        <v>61.91</v>
      </c>
      <c r="L65" t="s">
        <v>5922</v>
      </c>
      <c r="U65">
        <v>58.04</v>
      </c>
      <c r="V65">
        <v>61.91</v>
      </c>
      <c r="X65">
        <v>61.91</v>
      </c>
      <c r="Y65">
        <v>89</v>
      </c>
      <c r="Z65" t="s">
        <v>5922</v>
      </c>
    </row>
    <row r="66" spans="1:26" x14ac:dyDescent="0.2">
      <c r="A66" t="s">
        <v>211</v>
      </c>
      <c r="B66" t="s">
        <v>224</v>
      </c>
      <c r="C66" t="s">
        <v>225</v>
      </c>
      <c r="D66" t="s">
        <v>105</v>
      </c>
      <c r="E66">
        <v>149</v>
      </c>
      <c r="F66" t="s">
        <v>6939</v>
      </c>
      <c r="H66">
        <v>103.65</v>
      </c>
      <c r="L66" t="s">
        <v>5922</v>
      </c>
      <c r="U66">
        <v>97.17</v>
      </c>
      <c r="V66">
        <v>103.65</v>
      </c>
      <c r="X66">
        <v>103.65</v>
      </c>
      <c r="Y66">
        <v>149</v>
      </c>
      <c r="Z66" t="s">
        <v>5922</v>
      </c>
    </row>
    <row r="67" spans="1:26" x14ac:dyDescent="0.2">
      <c r="A67" t="s">
        <v>211</v>
      </c>
      <c r="B67" t="s">
        <v>226</v>
      </c>
      <c r="C67" t="s">
        <v>227</v>
      </c>
      <c r="D67" t="s">
        <v>105</v>
      </c>
      <c r="E67">
        <v>169</v>
      </c>
      <c r="F67" t="s">
        <v>6937</v>
      </c>
      <c r="H67">
        <v>117.57</v>
      </c>
      <c r="L67" t="s">
        <v>5922</v>
      </c>
      <c r="U67">
        <v>110.22</v>
      </c>
      <c r="V67">
        <v>117.57</v>
      </c>
      <c r="X67">
        <v>117.57</v>
      </c>
      <c r="Y67">
        <v>169</v>
      </c>
      <c r="Z67" t="s">
        <v>5922</v>
      </c>
    </row>
    <row r="68" spans="1:26" x14ac:dyDescent="0.2">
      <c r="A68" t="s">
        <v>211</v>
      </c>
      <c r="B68" t="s">
        <v>228</v>
      </c>
      <c r="C68" t="s">
        <v>229</v>
      </c>
      <c r="D68" t="s">
        <v>105</v>
      </c>
      <c r="E68">
        <v>319</v>
      </c>
      <c r="F68" t="s">
        <v>6940</v>
      </c>
      <c r="H68">
        <v>221.91</v>
      </c>
      <c r="L68" t="s">
        <v>5922</v>
      </c>
      <c r="U68">
        <v>208.04</v>
      </c>
      <c r="V68">
        <v>221.91</v>
      </c>
      <c r="X68">
        <v>221.91</v>
      </c>
      <c r="Y68">
        <v>319</v>
      </c>
      <c r="Z68" t="s">
        <v>5922</v>
      </c>
    </row>
    <row r="69" spans="1:26" x14ac:dyDescent="0.2">
      <c r="A69" t="s">
        <v>211</v>
      </c>
      <c r="B69" t="s">
        <v>230</v>
      </c>
      <c r="C69" t="s">
        <v>231</v>
      </c>
      <c r="D69" t="s">
        <v>105</v>
      </c>
      <c r="E69">
        <v>599</v>
      </c>
      <c r="F69" t="s">
        <v>6941</v>
      </c>
      <c r="H69">
        <v>416.7</v>
      </c>
      <c r="L69" t="s">
        <v>5922</v>
      </c>
      <c r="U69">
        <v>390.65</v>
      </c>
      <c r="V69">
        <v>416.7</v>
      </c>
      <c r="X69">
        <v>416.7</v>
      </c>
      <c r="Y69">
        <v>599</v>
      </c>
      <c r="Z69" t="s">
        <v>5922</v>
      </c>
    </row>
    <row r="70" spans="1:26" x14ac:dyDescent="0.2">
      <c r="A70" t="s">
        <v>211</v>
      </c>
      <c r="B70" t="s">
        <v>232</v>
      </c>
      <c r="C70" t="s">
        <v>233</v>
      </c>
      <c r="D70" t="s">
        <v>98</v>
      </c>
      <c r="E70">
        <v>99</v>
      </c>
      <c r="F70" t="s">
        <v>6942</v>
      </c>
      <c r="G70">
        <v>99</v>
      </c>
      <c r="H70">
        <v>68.87</v>
      </c>
      <c r="L70" t="s">
        <v>5922</v>
      </c>
      <c r="Q70">
        <v>68.87</v>
      </c>
      <c r="R70">
        <v>68.87</v>
      </c>
      <c r="U70">
        <v>64.569999999999993</v>
      </c>
      <c r="V70">
        <v>68.87</v>
      </c>
      <c r="W70">
        <v>0</v>
      </c>
      <c r="X70">
        <v>68.87</v>
      </c>
      <c r="Y70">
        <v>99</v>
      </c>
      <c r="Z70" t="s">
        <v>5922</v>
      </c>
    </row>
    <row r="71" spans="1:26" x14ac:dyDescent="0.2">
      <c r="A71" t="s">
        <v>211</v>
      </c>
      <c r="B71" t="s">
        <v>234</v>
      </c>
      <c r="C71" t="s">
        <v>235</v>
      </c>
      <c r="D71" t="s">
        <v>98</v>
      </c>
      <c r="E71">
        <v>209</v>
      </c>
      <c r="F71" t="s">
        <v>6943</v>
      </c>
      <c r="G71">
        <v>219</v>
      </c>
      <c r="H71">
        <v>145.38999999999999</v>
      </c>
      <c r="L71" t="s">
        <v>5922</v>
      </c>
      <c r="Q71">
        <v>145.38999999999999</v>
      </c>
      <c r="R71">
        <v>145.38999999999999</v>
      </c>
      <c r="U71">
        <v>136.30000000000001</v>
      </c>
      <c r="V71">
        <v>145.38999999999999</v>
      </c>
      <c r="X71">
        <v>145.38999999999999</v>
      </c>
      <c r="Y71">
        <v>209</v>
      </c>
      <c r="Z71" t="s">
        <v>5922</v>
      </c>
    </row>
    <row r="72" spans="1:26" x14ac:dyDescent="0.2">
      <c r="A72" t="s">
        <v>211</v>
      </c>
      <c r="B72" t="s">
        <v>236</v>
      </c>
      <c r="C72" t="s">
        <v>237</v>
      </c>
      <c r="D72" t="s">
        <v>98</v>
      </c>
      <c r="E72">
        <v>579</v>
      </c>
      <c r="F72" t="s">
        <v>6944</v>
      </c>
      <c r="G72">
        <v>579</v>
      </c>
      <c r="H72">
        <v>402.78</v>
      </c>
      <c r="L72" t="s">
        <v>5922</v>
      </c>
      <c r="Q72">
        <v>402.78</v>
      </c>
      <c r="R72">
        <v>402.78</v>
      </c>
      <c r="U72">
        <v>377.61</v>
      </c>
      <c r="V72">
        <v>402.78</v>
      </c>
      <c r="X72">
        <v>402.78</v>
      </c>
      <c r="Y72">
        <v>579</v>
      </c>
      <c r="Z72" t="s">
        <v>5922</v>
      </c>
    </row>
    <row r="73" spans="1:26" x14ac:dyDescent="0.2">
      <c r="A73" t="s">
        <v>211</v>
      </c>
      <c r="B73" t="s">
        <v>238</v>
      </c>
      <c r="C73" t="s">
        <v>239</v>
      </c>
      <c r="D73" t="s">
        <v>98</v>
      </c>
      <c r="E73">
        <v>489</v>
      </c>
      <c r="F73" t="s">
        <v>6945</v>
      </c>
      <c r="G73">
        <v>489</v>
      </c>
      <c r="H73">
        <v>340.17</v>
      </c>
      <c r="L73" t="s">
        <v>5922</v>
      </c>
      <c r="Q73">
        <v>340.17</v>
      </c>
      <c r="R73">
        <v>340.17</v>
      </c>
      <c r="U73">
        <v>318.91000000000003</v>
      </c>
      <c r="V73">
        <v>340.17</v>
      </c>
      <c r="W73">
        <v>0</v>
      </c>
      <c r="X73">
        <v>340.17</v>
      </c>
      <c r="Y73">
        <v>489</v>
      </c>
      <c r="Z73" t="s">
        <v>5922</v>
      </c>
    </row>
    <row r="74" spans="1:26" x14ac:dyDescent="0.2">
      <c r="A74" t="s">
        <v>211</v>
      </c>
      <c r="B74" t="s">
        <v>240</v>
      </c>
      <c r="C74" t="s">
        <v>241</v>
      </c>
      <c r="D74" t="s">
        <v>138</v>
      </c>
      <c r="E74">
        <v>299</v>
      </c>
      <c r="F74" t="s">
        <v>6946</v>
      </c>
      <c r="G74">
        <v>459</v>
      </c>
      <c r="H74">
        <v>208</v>
      </c>
      <c r="L74" t="s">
        <v>5922</v>
      </c>
      <c r="Q74">
        <v>208</v>
      </c>
      <c r="R74">
        <v>208</v>
      </c>
      <c r="U74">
        <v>195</v>
      </c>
      <c r="V74">
        <v>208</v>
      </c>
      <c r="X74">
        <v>208</v>
      </c>
      <c r="Y74">
        <v>299</v>
      </c>
      <c r="Z74" t="s">
        <v>5922</v>
      </c>
    </row>
    <row r="75" spans="1:26" x14ac:dyDescent="0.2">
      <c r="A75" t="s">
        <v>211</v>
      </c>
      <c r="B75" t="s">
        <v>242</v>
      </c>
      <c r="C75" t="s">
        <v>243</v>
      </c>
      <c r="D75" t="s">
        <v>98</v>
      </c>
      <c r="E75">
        <v>229</v>
      </c>
      <c r="F75" t="s">
        <v>6947</v>
      </c>
      <c r="G75">
        <v>319</v>
      </c>
      <c r="H75">
        <v>159.30000000000001</v>
      </c>
      <c r="L75" t="s">
        <v>5922</v>
      </c>
      <c r="Q75">
        <v>159.30000000000001</v>
      </c>
      <c r="R75">
        <v>159.30000000000001</v>
      </c>
      <c r="U75">
        <v>149.35</v>
      </c>
      <c r="V75">
        <v>159.30000000000001</v>
      </c>
      <c r="X75">
        <v>159.30000000000001</v>
      </c>
      <c r="Y75">
        <v>229</v>
      </c>
      <c r="Z75" t="s">
        <v>5922</v>
      </c>
    </row>
    <row r="76" spans="1:26" x14ac:dyDescent="0.2">
      <c r="A76" t="s">
        <v>211</v>
      </c>
      <c r="B76" t="s">
        <v>244</v>
      </c>
      <c r="C76" t="s">
        <v>245</v>
      </c>
      <c r="D76" t="s">
        <v>98</v>
      </c>
      <c r="E76">
        <v>399</v>
      </c>
      <c r="F76" t="s">
        <v>6948</v>
      </c>
      <c r="G76">
        <v>569</v>
      </c>
      <c r="H76">
        <v>277.57</v>
      </c>
      <c r="L76" t="s">
        <v>5922</v>
      </c>
      <c r="Q76">
        <v>277.57</v>
      </c>
      <c r="R76">
        <v>277.57</v>
      </c>
      <c r="U76">
        <v>260.22000000000003</v>
      </c>
      <c r="V76">
        <v>277.57</v>
      </c>
      <c r="X76">
        <v>277.57</v>
      </c>
      <c r="Y76">
        <v>399</v>
      </c>
      <c r="Z76" t="s">
        <v>5922</v>
      </c>
    </row>
    <row r="77" spans="1:26" x14ac:dyDescent="0.2">
      <c r="A77" t="s">
        <v>211</v>
      </c>
      <c r="B77" t="s">
        <v>246</v>
      </c>
      <c r="C77" t="s">
        <v>247</v>
      </c>
      <c r="D77" t="s">
        <v>98</v>
      </c>
      <c r="E77">
        <v>749</v>
      </c>
      <c r="F77" t="s">
        <v>6949</v>
      </c>
      <c r="G77">
        <v>1079</v>
      </c>
      <c r="H77">
        <v>521.04</v>
      </c>
      <c r="L77" t="s">
        <v>5922</v>
      </c>
      <c r="Q77">
        <v>521.04</v>
      </c>
      <c r="R77">
        <v>521.04</v>
      </c>
      <c r="U77">
        <v>488.48</v>
      </c>
      <c r="V77">
        <v>521.04</v>
      </c>
      <c r="X77">
        <v>521.04</v>
      </c>
      <c r="Y77">
        <v>749</v>
      </c>
      <c r="Z77" t="s">
        <v>5922</v>
      </c>
    </row>
    <row r="78" spans="1:26" x14ac:dyDescent="0.2">
      <c r="A78" t="s">
        <v>211</v>
      </c>
      <c r="B78" t="s">
        <v>248</v>
      </c>
      <c r="C78" t="s">
        <v>249</v>
      </c>
      <c r="D78" t="s">
        <v>105</v>
      </c>
      <c r="E78">
        <v>229</v>
      </c>
      <c r="F78" t="s">
        <v>6947</v>
      </c>
      <c r="H78">
        <v>159.30000000000001</v>
      </c>
      <c r="L78" t="s">
        <v>5922</v>
      </c>
      <c r="U78">
        <v>149.35</v>
      </c>
      <c r="V78">
        <v>159.30000000000001</v>
      </c>
      <c r="X78">
        <v>159.30000000000001</v>
      </c>
      <c r="Y78">
        <v>229</v>
      </c>
      <c r="Z78" t="s">
        <v>5922</v>
      </c>
    </row>
    <row r="79" spans="1:26" x14ac:dyDescent="0.2">
      <c r="A79" t="s">
        <v>211</v>
      </c>
      <c r="B79" t="s">
        <v>250</v>
      </c>
      <c r="C79" t="s">
        <v>251</v>
      </c>
      <c r="D79" t="s">
        <v>105</v>
      </c>
      <c r="E79">
        <v>399</v>
      </c>
      <c r="F79" t="s">
        <v>6948</v>
      </c>
      <c r="H79">
        <v>277.57</v>
      </c>
      <c r="L79" t="s">
        <v>5922</v>
      </c>
      <c r="U79">
        <v>260.22000000000003</v>
      </c>
      <c r="V79">
        <v>277.57</v>
      </c>
      <c r="X79">
        <v>277.57</v>
      </c>
      <c r="Y79">
        <v>399</v>
      </c>
      <c r="Z79" t="s">
        <v>5922</v>
      </c>
    </row>
    <row r="80" spans="1:26" x14ac:dyDescent="0.2">
      <c r="A80" t="s">
        <v>211</v>
      </c>
      <c r="B80" t="s">
        <v>252</v>
      </c>
      <c r="C80" t="s">
        <v>253</v>
      </c>
      <c r="D80" t="s">
        <v>105</v>
      </c>
      <c r="E80">
        <v>749</v>
      </c>
      <c r="F80" t="s">
        <v>6949</v>
      </c>
      <c r="H80">
        <v>521.04</v>
      </c>
      <c r="L80" t="s">
        <v>5922</v>
      </c>
      <c r="U80">
        <v>488.48</v>
      </c>
      <c r="V80">
        <v>521.04</v>
      </c>
      <c r="X80">
        <v>521.04</v>
      </c>
      <c r="Y80">
        <v>749</v>
      </c>
      <c r="Z80" t="s">
        <v>5922</v>
      </c>
    </row>
    <row r="81" spans="1:26" x14ac:dyDescent="0.2">
      <c r="A81" t="s">
        <v>211</v>
      </c>
      <c r="B81" t="s">
        <v>254</v>
      </c>
      <c r="C81" t="s">
        <v>255</v>
      </c>
      <c r="D81" t="s">
        <v>105</v>
      </c>
      <c r="E81">
        <v>119</v>
      </c>
      <c r="F81" t="s">
        <v>6950</v>
      </c>
      <c r="G81">
        <v>209</v>
      </c>
      <c r="H81">
        <v>82.78</v>
      </c>
      <c r="L81" t="s">
        <v>5922</v>
      </c>
      <c r="Q81">
        <v>82.78</v>
      </c>
      <c r="R81">
        <v>82.78</v>
      </c>
      <c r="U81">
        <v>77.61</v>
      </c>
      <c r="V81">
        <v>82.78</v>
      </c>
      <c r="X81">
        <v>82.78</v>
      </c>
      <c r="Y81">
        <v>119</v>
      </c>
      <c r="Z81" t="s">
        <v>5922</v>
      </c>
    </row>
    <row r="82" spans="1:26" x14ac:dyDescent="0.2">
      <c r="A82" t="s">
        <v>211</v>
      </c>
      <c r="B82" t="s">
        <v>256</v>
      </c>
      <c r="C82" t="s">
        <v>257</v>
      </c>
      <c r="D82" t="s">
        <v>98</v>
      </c>
      <c r="E82">
        <v>319</v>
      </c>
      <c r="F82" t="s">
        <v>6940</v>
      </c>
      <c r="G82">
        <v>429</v>
      </c>
      <c r="H82">
        <v>221.91</v>
      </c>
      <c r="L82" t="s">
        <v>5922</v>
      </c>
      <c r="Q82">
        <v>221.91</v>
      </c>
      <c r="R82">
        <v>221.91</v>
      </c>
      <c r="U82">
        <v>208.04</v>
      </c>
      <c r="V82">
        <v>221.91</v>
      </c>
      <c r="X82">
        <v>221.91</v>
      </c>
      <c r="Y82">
        <v>319</v>
      </c>
      <c r="Z82" t="s">
        <v>5922</v>
      </c>
    </row>
    <row r="83" spans="1:26" x14ac:dyDescent="0.2">
      <c r="A83" t="s">
        <v>211</v>
      </c>
      <c r="B83" t="s">
        <v>258</v>
      </c>
      <c r="C83" t="s">
        <v>259</v>
      </c>
      <c r="D83" t="s">
        <v>98</v>
      </c>
      <c r="E83">
        <v>699</v>
      </c>
      <c r="F83" t="s">
        <v>6951</v>
      </c>
      <c r="G83">
        <v>899</v>
      </c>
      <c r="H83">
        <v>486.26</v>
      </c>
      <c r="L83" t="s">
        <v>5922</v>
      </c>
      <c r="Q83">
        <v>486.26</v>
      </c>
      <c r="R83">
        <v>486.26</v>
      </c>
      <c r="U83">
        <v>455.87</v>
      </c>
      <c r="V83">
        <v>486.26</v>
      </c>
      <c r="X83">
        <v>486.26</v>
      </c>
      <c r="Y83">
        <v>699</v>
      </c>
      <c r="Z83" t="s">
        <v>5922</v>
      </c>
    </row>
    <row r="84" spans="1:26" x14ac:dyDescent="0.2">
      <c r="A84" t="s">
        <v>211</v>
      </c>
      <c r="B84" t="s">
        <v>260</v>
      </c>
      <c r="C84" t="s">
        <v>261</v>
      </c>
      <c r="D84" t="s">
        <v>98</v>
      </c>
      <c r="E84">
        <v>999</v>
      </c>
      <c r="F84" t="s">
        <v>6952</v>
      </c>
      <c r="G84">
        <v>1299</v>
      </c>
      <c r="H84">
        <v>694.96</v>
      </c>
      <c r="L84" t="s">
        <v>5922</v>
      </c>
      <c r="Q84">
        <v>694.96</v>
      </c>
      <c r="R84">
        <v>694.96</v>
      </c>
      <c r="U84">
        <v>651.52</v>
      </c>
      <c r="V84">
        <v>694.96</v>
      </c>
      <c r="X84">
        <v>694.96</v>
      </c>
      <c r="Y84">
        <v>999</v>
      </c>
      <c r="Z84" t="s">
        <v>5922</v>
      </c>
    </row>
    <row r="85" spans="1:26" x14ac:dyDescent="0.2">
      <c r="A85" t="s">
        <v>211</v>
      </c>
      <c r="B85" t="s">
        <v>262</v>
      </c>
      <c r="C85" t="s">
        <v>263</v>
      </c>
      <c r="D85" t="s">
        <v>105</v>
      </c>
      <c r="E85">
        <v>319</v>
      </c>
      <c r="F85" t="s">
        <v>6940</v>
      </c>
      <c r="H85">
        <v>221.91</v>
      </c>
      <c r="L85" t="s">
        <v>5922</v>
      </c>
      <c r="U85">
        <v>208.04</v>
      </c>
      <c r="V85">
        <v>221.91</v>
      </c>
      <c r="X85">
        <v>221.91</v>
      </c>
      <c r="Y85">
        <v>319</v>
      </c>
      <c r="Z85" t="s">
        <v>5922</v>
      </c>
    </row>
    <row r="86" spans="1:26" x14ac:dyDescent="0.2">
      <c r="A86" t="s">
        <v>211</v>
      </c>
      <c r="B86" t="s">
        <v>264</v>
      </c>
      <c r="C86" t="s">
        <v>265</v>
      </c>
      <c r="D86" t="s">
        <v>105</v>
      </c>
      <c r="E86">
        <v>699</v>
      </c>
      <c r="F86" t="s">
        <v>6951</v>
      </c>
      <c r="H86">
        <v>486.26</v>
      </c>
      <c r="L86" t="s">
        <v>5922</v>
      </c>
      <c r="U86">
        <v>455.87</v>
      </c>
      <c r="V86">
        <v>486.26</v>
      </c>
      <c r="X86">
        <v>486.26</v>
      </c>
      <c r="Y86">
        <v>699</v>
      </c>
      <c r="Z86" t="s">
        <v>5922</v>
      </c>
    </row>
    <row r="87" spans="1:26" x14ac:dyDescent="0.2">
      <c r="A87" t="s">
        <v>211</v>
      </c>
      <c r="B87" t="s">
        <v>266</v>
      </c>
      <c r="C87" t="s">
        <v>267</v>
      </c>
      <c r="D87" t="s">
        <v>105</v>
      </c>
      <c r="E87">
        <v>1199</v>
      </c>
      <c r="F87" t="s">
        <v>6953</v>
      </c>
      <c r="H87">
        <v>834.09</v>
      </c>
      <c r="L87" t="s">
        <v>5922</v>
      </c>
      <c r="U87">
        <v>781.96</v>
      </c>
      <c r="V87">
        <v>834.09</v>
      </c>
      <c r="X87">
        <v>834.09</v>
      </c>
      <c r="Y87">
        <v>1199</v>
      </c>
      <c r="Z87" t="s">
        <v>5922</v>
      </c>
    </row>
    <row r="88" spans="1:26" x14ac:dyDescent="0.2">
      <c r="A88" t="s">
        <v>211</v>
      </c>
      <c r="B88" t="s">
        <v>268</v>
      </c>
      <c r="C88" t="s">
        <v>269</v>
      </c>
      <c r="D88" t="s">
        <v>105</v>
      </c>
      <c r="E88">
        <v>99</v>
      </c>
      <c r="F88" t="s">
        <v>5922</v>
      </c>
      <c r="G88">
        <v>99</v>
      </c>
      <c r="H88">
        <v>0</v>
      </c>
      <c r="L88" t="s">
        <v>5922</v>
      </c>
      <c r="Q88">
        <v>0</v>
      </c>
      <c r="R88">
        <v>0</v>
      </c>
      <c r="U88">
        <v>64.569999999999993</v>
      </c>
      <c r="V88">
        <v>68.87</v>
      </c>
      <c r="W88">
        <v>0</v>
      </c>
      <c r="X88">
        <v>0</v>
      </c>
      <c r="Y88">
        <v>99</v>
      </c>
      <c r="Z88" t="s">
        <v>5922</v>
      </c>
    </row>
    <row r="89" spans="1:26" x14ac:dyDescent="0.2">
      <c r="A89" t="s">
        <v>211</v>
      </c>
      <c r="B89" t="s">
        <v>270</v>
      </c>
      <c r="C89" t="s">
        <v>271</v>
      </c>
      <c r="D89" t="s">
        <v>105</v>
      </c>
      <c r="E89">
        <v>199</v>
      </c>
      <c r="F89" t="s">
        <v>6954</v>
      </c>
      <c r="G89">
        <v>259</v>
      </c>
      <c r="H89">
        <v>138.43</v>
      </c>
      <c r="L89" t="s">
        <v>5922</v>
      </c>
      <c r="Q89">
        <v>138.43</v>
      </c>
      <c r="R89">
        <v>138.43</v>
      </c>
      <c r="U89">
        <v>129.78</v>
      </c>
      <c r="V89">
        <v>138.43</v>
      </c>
      <c r="X89">
        <v>138.43</v>
      </c>
      <c r="Y89">
        <v>199</v>
      </c>
      <c r="Z89" t="s">
        <v>5922</v>
      </c>
    </row>
    <row r="90" spans="1:26" x14ac:dyDescent="0.2">
      <c r="A90" t="s">
        <v>272</v>
      </c>
      <c r="B90" t="s">
        <v>5923</v>
      </c>
      <c r="C90" t="s">
        <v>273</v>
      </c>
      <c r="D90" t="s">
        <v>105</v>
      </c>
      <c r="E90">
        <v>96.95</v>
      </c>
      <c r="F90" t="s">
        <v>6955</v>
      </c>
      <c r="G90">
        <v>99</v>
      </c>
      <c r="H90">
        <v>60.26</v>
      </c>
      <c r="I90">
        <v>69.53</v>
      </c>
      <c r="J90">
        <v>69.53</v>
      </c>
      <c r="L90" t="s">
        <v>5922</v>
      </c>
      <c r="Q90">
        <v>60.26</v>
      </c>
      <c r="R90">
        <v>60.26</v>
      </c>
      <c r="U90">
        <v>60.84</v>
      </c>
      <c r="V90">
        <v>60.26</v>
      </c>
      <c r="W90">
        <v>63.45</v>
      </c>
      <c r="X90">
        <v>65.180000000000007</v>
      </c>
      <c r="Y90">
        <v>99</v>
      </c>
      <c r="Z90" t="s">
        <v>5922</v>
      </c>
    </row>
    <row r="91" spans="1:26" x14ac:dyDescent="0.2">
      <c r="A91" t="s">
        <v>272</v>
      </c>
      <c r="B91" t="s">
        <v>5924</v>
      </c>
      <c r="C91" t="s">
        <v>274</v>
      </c>
      <c r="D91" t="s">
        <v>105</v>
      </c>
      <c r="E91">
        <v>119</v>
      </c>
      <c r="F91" t="s">
        <v>6950</v>
      </c>
      <c r="G91">
        <v>119</v>
      </c>
      <c r="H91">
        <v>72.430000000000007</v>
      </c>
      <c r="I91">
        <v>87.62</v>
      </c>
      <c r="J91">
        <v>87.62</v>
      </c>
      <c r="L91" t="s">
        <v>5922</v>
      </c>
      <c r="Q91">
        <v>72.430000000000007</v>
      </c>
      <c r="R91">
        <v>72.430000000000007</v>
      </c>
      <c r="U91">
        <v>76.67</v>
      </c>
      <c r="V91">
        <v>75.48</v>
      </c>
      <c r="W91">
        <v>79.95</v>
      </c>
      <c r="X91">
        <v>82.14</v>
      </c>
      <c r="Y91">
        <v>119</v>
      </c>
      <c r="Z91" t="s">
        <v>5922</v>
      </c>
    </row>
    <row r="92" spans="1:26" x14ac:dyDescent="0.2">
      <c r="A92" t="s">
        <v>272</v>
      </c>
      <c r="B92" t="s">
        <v>5925</v>
      </c>
      <c r="C92" t="s">
        <v>275</v>
      </c>
      <c r="D92" t="s">
        <v>105</v>
      </c>
      <c r="E92">
        <v>78.95</v>
      </c>
      <c r="F92" t="s">
        <v>6956</v>
      </c>
      <c r="G92">
        <v>89</v>
      </c>
      <c r="H92">
        <v>54.17</v>
      </c>
      <c r="I92">
        <v>69.53</v>
      </c>
      <c r="J92">
        <v>69.53</v>
      </c>
      <c r="L92" t="s">
        <v>5922</v>
      </c>
      <c r="Q92">
        <v>54.17</v>
      </c>
      <c r="R92">
        <v>54.17</v>
      </c>
      <c r="U92">
        <v>60.84</v>
      </c>
      <c r="V92">
        <v>60.26</v>
      </c>
      <c r="W92">
        <v>63.45</v>
      </c>
      <c r="X92">
        <v>65.180000000000007</v>
      </c>
      <c r="Y92">
        <v>89</v>
      </c>
      <c r="Z92" t="s">
        <v>5922</v>
      </c>
    </row>
    <row r="93" spans="1:26" x14ac:dyDescent="0.2">
      <c r="A93" t="s">
        <v>272</v>
      </c>
      <c r="B93" t="s">
        <v>5926</v>
      </c>
      <c r="C93" t="s">
        <v>276</v>
      </c>
      <c r="D93" t="s">
        <v>105</v>
      </c>
      <c r="E93">
        <v>41.95</v>
      </c>
      <c r="F93" t="s">
        <v>6957</v>
      </c>
      <c r="G93">
        <v>41.95</v>
      </c>
      <c r="H93">
        <v>56.2</v>
      </c>
      <c r="I93">
        <v>83.44</v>
      </c>
      <c r="J93">
        <v>83.44</v>
      </c>
      <c r="L93" t="s">
        <v>5922</v>
      </c>
      <c r="Q93">
        <v>56.2</v>
      </c>
      <c r="R93">
        <v>56.2</v>
      </c>
      <c r="U93">
        <v>30.4</v>
      </c>
      <c r="V93">
        <v>30.4</v>
      </c>
      <c r="W93">
        <v>0</v>
      </c>
      <c r="X93">
        <v>27.36</v>
      </c>
      <c r="Y93">
        <v>41.95</v>
      </c>
      <c r="Z93" t="s">
        <v>5922</v>
      </c>
    </row>
    <row r="94" spans="1:26" x14ac:dyDescent="0.2">
      <c r="A94" t="s">
        <v>272</v>
      </c>
      <c r="B94" t="s">
        <v>5927</v>
      </c>
      <c r="C94" t="s">
        <v>277</v>
      </c>
      <c r="D94" t="s">
        <v>105</v>
      </c>
      <c r="E94">
        <v>55.95</v>
      </c>
      <c r="F94" t="s">
        <v>6958</v>
      </c>
      <c r="G94">
        <v>69</v>
      </c>
      <c r="H94">
        <v>42</v>
      </c>
      <c r="I94">
        <v>46.57</v>
      </c>
      <c r="J94">
        <v>46.57</v>
      </c>
      <c r="L94" t="s">
        <v>5922</v>
      </c>
      <c r="Q94">
        <v>42</v>
      </c>
      <c r="R94">
        <v>42</v>
      </c>
      <c r="U94">
        <v>42</v>
      </c>
      <c r="V94">
        <v>42</v>
      </c>
      <c r="W94">
        <v>43.8</v>
      </c>
      <c r="X94">
        <v>45</v>
      </c>
      <c r="Y94">
        <v>69</v>
      </c>
      <c r="Z94" t="s">
        <v>5922</v>
      </c>
    </row>
    <row r="95" spans="1:26" x14ac:dyDescent="0.2">
      <c r="A95" t="s">
        <v>272</v>
      </c>
      <c r="B95" t="s">
        <v>5928</v>
      </c>
      <c r="C95" t="s">
        <v>278</v>
      </c>
      <c r="D95" t="s">
        <v>105</v>
      </c>
      <c r="E95">
        <v>76.95</v>
      </c>
      <c r="F95" t="s">
        <v>6959</v>
      </c>
      <c r="G95">
        <v>89</v>
      </c>
      <c r="H95">
        <v>54.17</v>
      </c>
      <c r="I95">
        <v>55.62</v>
      </c>
      <c r="J95">
        <v>55.62</v>
      </c>
      <c r="L95" t="s">
        <v>5922</v>
      </c>
      <c r="Q95">
        <v>54.17</v>
      </c>
      <c r="R95">
        <v>54.17</v>
      </c>
      <c r="U95">
        <v>54.17</v>
      </c>
      <c r="V95">
        <v>54.17</v>
      </c>
      <c r="W95">
        <v>56.5</v>
      </c>
      <c r="X95">
        <v>58.04</v>
      </c>
      <c r="Y95">
        <v>89</v>
      </c>
      <c r="Z95" t="s">
        <v>5922</v>
      </c>
    </row>
    <row r="96" spans="1:26" x14ac:dyDescent="0.2">
      <c r="A96" t="s">
        <v>272</v>
      </c>
      <c r="B96" t="s">
        <v>5929</v>
      </c>
      <c r="C96" t="s">
        <v>279</v>
      </c>
      <c r="D96" t="s">
        <v>105</v>
      </c>
      <c r="E96">
        <v>66.95</v>
      </c>
      <c r="F96" t="s">
        <v>6960</v>
      </c>
      <c r="G96">
        <v>79</v>
      </c>
      <c r="H96">
        <v>48.09</v>
      </c>
      <c r="I96">
        <v>57.01</v>
      </c>
      <c r="J96">
        <v>57.01</v>
      </c>
      <c r="L96" t="s">
        <v>5922</v>
      </c>
      <c r="Q96">
        <v>48.09</v>
      </c>
      <c r="R96">
        <v>48.09</v>
      </c>
      <c r="U96">
        <v>49.88</v>
      </c>
      <c r="V96">
        <v>48.09</v>
      </c>
      <c r="W96">
        <v>52.02</v>
      </c>
      <c r="X96">
        <v>53.45</v>
      </c>
      <c r="Y96">
        <v>79</v>
      </c>
      <c r="Z96" t="s">
        <v>5922</v>
      </c>
    </row>
    <row r="97" spans="1:26" x14ac:dyDescent="0.2">
      <c r="A97" t="s">
        <v>272</v>
      </c>
      <c r="B97" t="s">
        <v>5930</v>
      </c>
      <c r="C97" t="s">
        <v>280</v>
      </c>
      <c r="D97" t="s">
        <v>105</v>
      </c>
      <c r="E97">
        <v>54.95</v>
      </c>
      <c r="F97" t="s">
        <v>6961</v>
      </c>
      <c r="G97">
        <v>69</v>
      </c>
      <c r="H97">
        <v>42</v>
      </c>
      <c r="I97">
        <v>46.57</v>
      </c>
      <c r="J97">
        <v>46.57</v>
      </c>
      <c r="L97" t="s">
        <v>5922</v>
      </c>
      <c r="Q97">
        <v>42</v>
      </c>
      <c r="R97">
        <v>42</v>
      </c>
      <c r="U97">
        <v>42</v>
      </c>
      <c r="V97">
        <v>42</v>
      </c>
      <c r="W97">
        <v>43.8</v>
      </c>
      <c r="X97">
        <v>45</v>
      </c>
      <c r="Y97">
        <v>69</v>
      </c>
      <c r="Z97" t="s">
        <v>5922</v>
      </c>
    </row>
    <row r="98" spans="1:26" x14ac:dyDescent="0.2">
      <c r="A98" t="s">
        <v>272</v>
      </c>
      <c r="B98" t="s">
        <v>5931</v>
      </c>
      <c r="C98" t="s">
        <v>281</v>
      </c>
      <c r="D98" t="s">
        <v>105</v>
      </c>
      <c r="E98">
        <v>54.95</v>
      </c>
      <c r="F98" t="s">
        <v>6961</v>
      </c>
      <c r="G98">
        <v>69</v>
      </c>
      <c r="H98">
        <v>42</v>
      </c>
      <c r="I98">
        <v>48.66</v>
      </c>
      <c r="J98">
        <v>48.66</v>
      </c>
      <c r="L98" t="s">
        <v>5922</v>
      </c>
      <c r="Q98">
        <v>42</v>
      </c>
      <c r="R98">
        <v>42</v>
      </c>
      <c r="U98">
        <v>42.58</v>
      </c>
      <c r="V98">
        <v>42</v>
      </c>
      <c r="W98">
        <v>44.4</v>
      </c>
      <c r="X98">
        <v>45.62</v>
      </c>
      <c r="Y98">
        <v>69</v>
      </c>
      <c r="Z98" t="s">
        <v>5922</v>
      </c>
    </row>
    <row r="99" spans="1:26" x14ac:dyDescent="0.2">
      <c r="A99" t="s">
        <v>272</v>
      </c>
      <c r="B99" t="s">
        <v>5932</v>
      </c>
      <c r="C99" t="s">
        <v>282</v>
      </c>
      <c r="D99" t="s">
        <v>105</v>
      </c>
      <c r="E99">
        <v>54.95</v>
      </c>
      <c r="F99" t="s">
        <v>6961</v>
      </c>
      <c r="G99">
        <v>69</v>
      </c>
      <c r="H99">
        <v>42</v>
      </c>
      <c r="I99">
        <v>48.66</v>
      </c>
      <c r="J99">
        <v>48.66</v>
      </c>
      <c r="L99" t="s">
        <v>5922</v>
      </c>
      <c r="Q99">
        <v>42</v>
      </c>
      <c r="R99">
        <v>42</v>
      </c>
      <c r="U99">
        <v>42.58</v>
      </c>
      <c r="V99">
        <v>42</v>
      </c>
      <c r="W99">
        <v>44.4</v>
      </c>
      <c r="X99">
        <v>45.62</v>
      </c>
      <c r="Y99">
        <v>69</v>
      </c>
      <c r="Z99" t="s">
        <v>5922</v>
      </c>
    </row>
    <row r="100" spans="1:26" x14ac:dyDescent="0.2">
      <c r="A100" t="s">
        <v>272</v>
      </c>
      <c r="B100" t="s">
        <v>5933</v>
      </c>
      <c r="C100" t="s">
        <v>283</v>
      </c>
      <c r="D100" t="s">
        <v>105</v>
      </c>
      <c r="E100">
        <v>72.95</v>
      </c>
      <c r="F100" t="s">
        <v>6962</v>
      </c>
      <c r="G100">
        <v>79</v>
      </c>
      <c r="H100">
        <v>48.09</v>
      </c>
      <c r="I100">
        <v>62.57</v>
      </c>
      <c r="J100">
        <v>62.57</v>
      </c>
      <c r="L100" t="s">
        <v>5922</v>
      </c>
      <c r="Q100">
        <v>48.09</v>
      </c>
      <c r="R100">
        <v>48.09</v>
      </c>
      <c r="U100">
        <v>54.75</v>
      </c>
      <c r="V100">
        <v>54.17</v>
      </c>
      <c r="W100">
        <v>57.1</v>
      </c>
      <c r="X100">
        <v>58.66</v>
      </c>
      <c r="Y100">
        <v>79</v>
      </c>
      <c r="Z100" t="s">
        <v>5922</v>
      </c>
    </row>
    <row r="101" spans="1:26" x14ac:dyDescent="0.2">
      <c r="A101" t="s">
        <v>272</v>
      </c>
      <c r="B101" t="s">
        <v>5934</v>
      </c>
      <c r="C101" t="s">
        <v>284</v>
      </c>
      <c r="D101" t="s">
        <v>105</v>
      </c>
      <c r="E101">
        <v>50.95</v>
      </c>
      <c r="F101" t="s">
        <v>6963</v>
      </c>
      <c r="G101">
        <v>59</v>
      </c>
      <c r="H101">
        <v>35.909999999999997</v>
      </c>
      <c r="I101">
        <v>41.7</v>
      </c>
      <c r="J101">
        <v>41.7</v>
      </c>
      <c r="L101" t="s">
        <v>5922</v>
      </c>
      <c r="Q101">
        <v>35.909999999999997</v>
      </c>
      <c r="R101">
        <v>35.909999999999997</v>
      </c>
      <c r="U101">
        <v>42</v>
      </c>
      <c r="V101">
        <v>42</v>
      </c>
      <c r="W101">
        <v>38.06</v>
      </c>
      <c r="X101">
        <v>39.1</v>
      </c>
      <c r="Y101">
        <v>59</v>
      </c>
      <c r="Z101" t="s">
        <v>5922</v>
      </c>
    </row>
    <row r="102" spans="1:26" x14ac:dyDescent="0.2">
      <c r="A102" t="s">
        <v>272</v>
      </c>
      <c r="B102" t="s">
        <v>5935</v>
      </c>
      <c r="C102" t="s">
        <v>285</v>
      </c>
      <c r="D102" t="s">
        <v>105</v>
      </c>
      <c r="E102">
        <v>96.95</v>
      </c>
      <c r="F102" t="s">
        <v>6955</v>
      </c>
      <c r="G102">
        <v>99</v>
      </c>
      <c r="H102">
        <v>60.26</v>
      </c>
      <c r="I102">
        <v>83.44</v>
      </c>
      <c r="J102">
        <v>83.44</v>
      </c>
      <c r="L102" t="s">
        <v>5922</v>
      </c>
      <c r="Q102">
        <v>60.26</v>
      </c>
      <c r="R102">
        <v>60.26</v>
      </c>
      <c r="U102">
        <v>73.010000000000005</v>
      </c>
      <c r="V102">
        <v>72.430000000000007</v>
      </c>
      <c r="W102">
        <v>76.14</v>
      </c>
      <c r="X102">
        <v>78.23</v>
      </c>
      <c r="Y102">
        <v>99</v>
      </c>
      <c r="Z102" t="s">
        <v>5922</v>
      </c>
    </row>
    <row r="103" spans="1:26" x14ac:dyDescent="0.2">
      <c r="A103" t="s">
        <v>272</v>
      </c>
      <c r="B103" t="s">
        <v>5936</v>
      </c>
      <c r="C103" t="s">
        <v>286</v>
      </c>
      <c r="D103" t="s">
        <v>105</v>
      </c>
      <c r="E103">
        <v>99.95</v>
      </c>
      <c r="F103" t="s">
        <v>6964</v>
      </c>
      <c r="G103">
        <v>99</v>
      </c>
      <c r="H103">
        <v>60.26</v>
      </c>
      <c r="I103">
        <v>83.44</v>
      </c>
      <c r="J103">
        <v>83.44</v>
      </c>
      <c r="L103" t="s">
        <v>5922</v>
      </c>
      <c r="Q103">
        <v>60.26</v>
      </c>
      <c r="R103">
        <v>60.26</v>
      </c>
      <c r="U103">
        <v>73.010000000000005</v>
      </c>
      <c r="V103">
        <v>72.430000000000007</v>
      </c>
      <c r="W103">
        <v>76.14</v>
      </c>
      <c r="X103">
        <v>78.23</v>
      </c>
      <c r="Y103">
        <v>99</v>
      </c>
      <c r="Z103" t="s">
        <v>5922</v>
      </c>
    </row>
    <row r="104" spans="1:26" x14ac:dyDescent="0.2">
      <c r="A104" t="s">
        <v>272</v>
      </c>
      <c r="B104" t="s">
        <v>5937</v>
      </c>
      <c r="C104" t="s">
        <v>287</v>
      </c>
      <c r="D104" t="s">
        <v>105</v>
      </c>
      <c r="E104">
        <v>99.95</v>
      </c>
      <c r="F104" t="s">
        <v>6964</v>
      </c>
      <c r="G104">
        <v>99</v>
      </c>
      <c r="H104">
        <v>60.26</v>
      </c>
      <c r="I104">
        <v>83.44</v>
      </c>
      <c r="J104">
        <v>83.44</v>
      </c>
      <c r="L104" t="s">
        <v>5922</v>
      </c>
      <c r="Q104">
        <v>60.26</v>
      </c>
      <c r="R104">
        <v>60.26</v>
      </c>
      <c r="U104">
        <v>73.010000000000005</v>
      </c>
      <c r="V104">
        <v>72.430000000000007</v>
      </c>
      <c r="W104">
        <v>76.14</v>
      </c>
      <c r="X104">
        <v>78.23</v>
      </c>
      <c r="Y104">
        <v>99</v>
      </c>
      <c r="Z104" t="s">
        <v>5922</v>
      </c>
    </row>
    <row r="105" spans="1:26" x14ac:dyDescent="0.2">
      <c r="A105" t="s">
        <v>288</v>
      </c>
      <c r="B105" t="s">
        <v>291</v>
      </c>
      <c r="C105" t="s">
        <v>292</v>
      </c>
      <c r="D105" t="s">
        <v>138</v>
      </c>
      <c r="E105">
        <v>199.99</v>
      </c>
      <c r="F105" t="s">
        <v>6916</v>
      </c>
      <c r="G105">
        <v>199.99</v>
      </c>
      <c r="H105">
        <v>139.12</v>
      </c>
      <c r="I105">
        <v>147.82</v>
      </c>
      <c r="J105">
        <v>156.51</v>
      </c>
      <c r="L105" t="s">
        <v>5922</v>
      </c>
      <c r="M105">
        <v>163.47</v>
      </c>
      <c r="N105">
        <v>166.95</v>
      </c>
      <c r="O105">
        <v>130.43</v>
      </c>
      <c r="P105">
        <v>139.12</v>
      </c>
      <c r="Q105">
        <v>139.12</v>
      </c>
      <c r="R105">
        <v>139.12</v>
      </c>
      <c r="S105">
        <v>161.72999999999999</v>
      </c>
      <c r="T105">
        <v>130.43</v>
      </c>
      <c r="U105">
        <v>153.04</v>
      </c>
      <c r="V105">
        <v>139.12</v>
      </c>
      <c r="W105">
        <v>172.17</v>
      </c>
      <c r="X105">
        <v>139.12</v>
      </c>
      <c r="Y105">
        <v>199.99</v>
      </c>
      <c r="Z105" t="s">
        <v>5922</v>
      </c>
    </row>
    <row r="106" spans="1:26" x14ac:dyDescent="0.2">
      <c r="A106" t="s">
        <v>288</v>
      </c>
      <c r="B106" t="s">
        <v>293</v>
      </c>
      <c r="C106" t="s">
        <v>294</v>
      </c>
      <c r="D106" t="s">
        <v>138</v>
      </c>
      <c r="E106">
        <v>199.99</v>
      </c>
      <c r="F106" t="s">
        <v>5922</v>
      </c>
      <c r="G106">
        <v>199.99</v>
      </c>
      <c r="H106">
        <v>130.43</v>
      </c>
      <c r="I106">
        <v>159.99</v>
      </c>
      <c r="J106">
        <v>132.16999999999999</v>
      </c>
      <c r="K106">
        <v>156.94999999999999</v>
      </c>
      <c r="L106" t="s">
        <v>5922</v>
      </c>
      <c r="M106">
        <v>163.47</v>
      </c>
      <c r="N106">
        <v>166.95</v>
      </c>
      <c r="O106">
        <v>123.91</v>
      </c>
      <c r="P106">
        <v>139.12</v>
      </c>
      <c r="Q106">
        <v>130.43</v>
      </c>
      <c r="R106">
        <v>130.43</v>
      </c>
      <c r="S106">
        <v>163.47</v>
      </c>
      <c r="T106">
        <v>130.43</v>
      </c>
      <c r="U106">
        <v>153.04</v>
      </c>
      <c r="V106">
        <v>130.43</v>
      </c>
      <c r="W106">
        <v>172.17</v>
      </c>
      <c r="X106">
        <v>130.43</v>
      </c>
      <c r="Y106">
        <v>199.99</v>
      </c>
      <c r="Z106" t="s">
        <v>5922</v>
      </c>
    </row>
    <row r="107" spans="1:26" x14ac:dyDescent="0.2">
      <c r="A107" t="s">
        <v>288</v>
      </c>
      <c r="B107" t="s">
        <v>303</v>
      </c>
      <c r="C107" t="s">
        <v>304</v>
      </c>
      <c r="D107" t="s">
        <v>105</v>
      </c>
      <c r="E107">
        <v>99999</v>
      </c>
      <c r="F107" t="s">
        <v>6965</v>
      </c>
      <c r="L107" t="s">
        <v>5922</v>
      </c>
      <c r="Z107" t="s">
        <v>5922</v>
      </c>
    </row>
    <row r="108" spans="1:26" x14ac:dyDescent="0.2">
      <c r="A108" t="s">
        <v>288</v>
      </c>
      <c r="B108" t="s">
        <v>305</v>
      </c>
      <c r="C108" t="s">
        <v>306</v>
      </c>
      <c r="D108" t="s">
        <v>105</v>
      </c>
      <c r="E108">
        <v>99999</v>
      </c>
      <c r="F108" t="s">
        <v>6965</v>
      </c>
      <c r="L108" t="s">
        <v>5922</v>
      </c>
      <c r="Z108" t="s">
        <v>5922</v>
      </c>
    </row>
    <row r="109" spans="1:26" x14ac:dyDescent="0.2">
      <c r="A109" t="s">
        <v>307</v>
      </c>
      <c r="B109" t="s">
        <v>308</v>
      </c>
      <c r="C109" t="s">
        <v>309</v>
      </c>
      <c r="D109" t="s">
        <v>98</v>
      </c>
      <c r="E109">
        <v>54.99</v>
      </c>
      <c r="F109" t="s">
        <v>5922</v>
      </c>
      <c r="G109">
        <v>54.99</v>
      </c>
      <c r="H109">
        <v>35.86</v>
      </c>
      <c r="I109">
        <v>40.64</v>
      </c>
      <c r="J109">
        <v>43.04</v>
      </c>
      <c r="K109">
        <v>43.04</v>
      </c>
      <c r="L109" t="s">
        <v>5922</v>
      </c>
      <c r="M109">
        <v>50.69</v>
      </c>
      <c r="N109">
        <v>48.77</v>
      </c>
      <c r="O109">
        <v>38.25</v>
      </c>
      <c r="P109">
        <v>40.64</v>
      </c>
      <c r="Q109">
        <v>38.25</v>
      </c>
      <c r="R109">
        <v>38.25</v>
      </c>
      <c r="S109">
        <v>43.99</v>
      </c>
      <c r="T109">
        <v>38.25</v>
      </c>
      <c r="U109">
        <v>38.25</v>
      </c>
      <c r="V109">
        <v>38.25</v>
      </c>
      <c r="W109">
        <v>43.04</v>
      </c>
      <c r="X109">
        <v>43.04</v>
      </c>
      <c r="Y109">
        <v>54.99</v>
      </c>
      <c r="Z109" t="s">
        <v>5922</v>
      </c>
    </row>
    <row r="110" spans="1:26" x14ac:dyDescent="0.2">
      <c r="A110" t="s">
        <v>307</v>
      </c>
      <c r="B110" t="s">
        <v>316</v>
      </c>
      <c r="C110" t="s">
        <v>317</v>
      </c>
      <c r="D110" t="s">
        <v>105</v>
      </c>
      <c r="E110">
        <v>499.99</v>
      </c>
      <c r="F110" t="s">
        <v>6921</v>
      </c>
      <c r="L110" t="s">
        <v>5922</v>
      </c>
      <c r="Z110" t="s">
        <v>5922</v>
      </c>
    </row>
    <row r="111" spans="1:26" x14ac:dyDescent="0.2">
      <c r="A111" t="s">
        <v>307</v>
      </c>
      <c r="B111" t="s">
        <v>329</v>
      </c>
      <c r="C111" t="s">
        <v>328</v>
      </c>
      <c r="D111" t="s">
        <v>105</v>
      </c>
      <c r="E111">
        <v>1799.99</v>
      </c>
      <c r="F111" t="s">
        <v>6966</v>
      </c>
      <c r="G111">
        <v>1799.99</v>
      </c>
      <c r="H111">
        <v>1330.43</v>
      </c>
      <c r="I111">
        <v>1330.43</v>
      </c>
      <c r="J111">
        <v>1369.56</v>
      </c>
      <c r="K111">
        <v>1369.56</v>
      </c>
      <c r="L111" t="s">
        <v>5922</v>
      </c>
      <c r="M111">
        <v>1565.21</v>
      </c>
      <c r="N111">
        <v>1455.64</v>
      </c>
      <c r="O111">
        <v>1217.3800000000001</v>
      </c>
      <c r="P111">
        <v>1314.78</v>
      </c>
      <c r="Q111">
        <v>1330.43</v>
      </c>
      <c r="R111">
        <v>1330.43</v>
      </c>
      <c r="S111">
        <v>1533.9</v>
      </c>
      <c r="T111">
        <v>1330.43</v>
      </c>
      <c r="U111">
        <v>1252.17</v>
      </c>
      <c r="V111">
        <v>1330.43</v>
      </c>
      <c r="W111">
        <v>1408.69</v>
      </c>
      <c r="X111">
        <v>1330.43</v>
      </c>
      <c r="Y111">
        <v>1799.99</v>
      </c>
      <c r="Z111" t="s">
        <v>5922</v>
      </c>
    </row>
    <row r="112" spans="1:26" x14ac:dyDescent="0.2">
      <c r="A112" t="s">
        <v>307</v>
      </c>
      <c r="B112" t="s">
        <v>327</v>
      </c>
      <c r="C112" t="s">
        <v>328</v>
      </c>
      <c r="D112" t="s">
        <v>105</v>
      </c>
      <c r="E112">
        <v>1799.99</v>
      </c>
      <c r="F112" t="s">
        <v>6966</v>
      </c>
      <c r="L112" t="s">
        <v>5922</v>
      </c>
      <c r="Z112" t="s">
        <v>5922</v>
      </c>
    </row>
    <row r="113" spans="1:26" x14ac:dyDescent="0.2">
      <c r="A113" t="s">
        <v>307</v>
      </c>
      <c r="B113" t="s">
        <v>332</v>
      </c>
      <c r="C113" t="s">
        <v>333</v>
      </c>
      <c r="D113" t="s">
        <v>98</v>
      </c>
      <c r="E113">
        <v>4399.99</v>
      </c>
      <c r="F113" t="s">
        <v>5922</v>
      </c>
      <c r="G113">
        <v>4399.99</v>
      </c>
      <c r="H113">
        <v>3252.17</v>
      </c>
      <c r="I113">
        <v>3634.77</v>
      </c>
      <c r="J113">
        <v>3749.56</v>
      </c>
      <c r="L113" t="s">
        <v>5922</v>
      </c>
      <c r="M113">
        <v>3826.08</v>
      </c>
      <c r="N113">
        <v>3826.08</v>
      </c>
      <c r="O113">
        <v>3826.08</v>
      </c>
      <c r="P113">
        <v>3443.47</v>
      </c>
      <c r="Q113">
        <v>3252.17</v>
      </c>
      <c r="R113">
        <v>3252.17</v>
      </c>
      <c r="S113">
        <v>3826.08</v>
      </c>
      <c r="T113">
        <v>3826.08</v>
      </c>
      <c r="U113">
        <v>3269.56</v>
      </c>
      <c r="V113">
        <v>3252.17</v>
      </c>
      <c r="W113">
        <v>3507.24</v>
      </c>
      <c r="X113">
        <v>3252.17</v>
      </c>
      <c r="Y113">
        <v>4399.99</v>
      </c>
      <c r="Z113" t="s">
        <v>5922</v>
      </c>
    </row>
    <row r="114" spans="1:26" x14ac:dyDescent="0.2">
      <c r="A114" t="s">
        <v>307</v>
      </c>
      <c r="B114" t="s">
        <v>334</v>
      </c>
      <c r="C114" t="s">
        <v>335</v>
      </c>
      <c r="D114" t="s">
        <v>98</v>
      </c>
      <c r="E114">
        <v>5999.99</v>
      </c>
      <c r="F114" t="s">
        <v>5922</v>
      </c>
      <c r="G114">
        <v>5999.99</v>
      </c>
      <c r="H114">
        <v>4173.91</v>
      </c>
      <c r="I114">
        <v>4695.6400000000003</v>
      </c>
      <c r="J114">
        <v>4956.51</v>
      </c>
      <c r="L114" t="s">
        <v>5922</v>
      </c>
      <c r="M114">
        <v>5217.38</v>
      </c>
      <c r="N114">
        <v>4904.34</v>
      </c>
      <c r="O114">
        <v>5217.38</v>
      </c>
      <c r="P114">
        <v>4382.6000000000004</v>
      </c>
      <c r="Q114">
        <v>4173.91</v>
      </c>
      <c r="R114">
        <v>4173.91</v>
      </c>
      <c r="S114">
        <v>4956.51</v>
      </c>
      <c r="T114">
        <v>5217.38</v>
      </c>
      <c r="U114">
        <v>4452.17</v>
      </c>
      <c r="V114">
        <v>4434.78</v>
      </c>
      <c r="W114">
        <v>4799.99</v>
      </c>
      <c r="X114">
        <v>4434.78</v>
      </c>
      <c r="Y114">
        <v>5999.99</v>
      </c>
      <c r="Z114" t="s">
        <v>5922</v>
      </c>
    </row>
    <row r="115" spans="1:26" x14ac:dyDescent="0.2">
      <c r="A115" t="s">
        <v>307</v>
      </c>
      <c r="B115" t="s">
        <v>336</v>
      </c>
      <c r="C115" t="s">
        <v>337</v>
      </c>
      <c r="D115" t="s">
        <v>98</v>
      </c>
      <c r="E115">
        <v>2899.99</v>
      </c>
      <c r="F115" t="s">
        <v>5922</v>
      </c>
      <c r="G115">
        <v>2899.99</v>
      </c>
      <c r="H115">
        <v>2017.38</v>
      </c>
      <c r="I115">
        <v>2143.4699999999998</v>
      </c>
      <c r="J115">
        <v>2269.56</v>
      </c>
      <c r="K115">
        <v>2269.56</v>
      </c>
      <c r="L115" t="s">
        <v>5922</v>
      </c>
      <c r="M115">
        <v>2521.73</v>
      </c>
      <c r="N115">
        <v>2269.56</v>
      </c>
      <c r="O115">
        <v>2017.38</v>
      </c>
      <c r="P115">
        <v>2118.25</v>
      </c>
      <c r="Q115">
        <v>2017.38</v>
      </c>
      <c r="R115">
        <v>1891.3</v>
      </c>
      <c r="S115">
        <v>2168.69</v>
      </c>
      <c r="T115">
        <v>2017.38</v>
      </c>
      <c r="U115">
        <v>2017.38</v>
      </c>
      <c r="V115">
        <v>2017.38</v>
      </c>
      <c r="W115">
        <v>2269.56</v>
      </c>
      <c r="X115">
        <v>2017.38</v>
      </c>
      <c r="Y115">
        <v>2899.99</v>
      </c>
      <c r="Z115" t="s">
        <v>5922</v>
      </c>
    </row>
    <row r="116" spans="1:26" x14ac:dyDescent="0.2">
      <c r="A116" t="s">
        <v>307</v>
      </c>
      <c r="B116" t="s">
        <v>362</v>
      </c>
      <c r="C116" t="s">
        <v>363</v>
      </c>
      <c r="D116" t="s">
        <v>105</v>
      </c>
      <c r="E116">
        <v>2999.99</v>
      </c>
      <c r="F116" t="s">
        <v>6967</v>
      </c>
      <c r="L116" t="s">
        <v>5922</v>
      </c>
      <c r="Z116" t="s">
        <v>5922</v>
      </c>
    </row>
    <row r="117" spans="1:26" x14ac:dyDescent="0.2">
      <c r="A117" t="s">
        <v>307</v>
      </c>
      <c r="B117" t="s">
        <v>372</v>
      </c>
      <c r="C117" t="s">
        <v>373</v>
      </c>
      <c r="D117" t="s">
        <v>98</v>
      </c>
      <c r="E117">
        <v>699.99</v>
      </c>
      <c r="F117" t="s">
        <v>5922</v>
      </c>
      <c r="G117">
        <v>699.99</v>
      </c>
      <c r="H117">
        <v>486.95</v>
      </c>
      <c r="I117">
        <v>517.38</v>
      </c>
      <c r="J117">
        <v>547.82000000000005</v>
      </c>
      <c r="K117">
        <v>547.82000000000005</v>
      </c>
      <c r="L117" t="s">
        <v>5922</v>
      </c>
      <c r="M117">
        <v>608.69000000000005</v>
      </c>
      <c r="N117">
        <v>547.82000000000005</v>
      </c>
      <c r="O117">
        <v>486.95</v>
      </c>
      <c r="P117">
        <v>511.3</v>
      </c>
      <c r="Q117">
        <v>486.95</v>
      </c>
      <c r="R117">
        <v>456.52</v>
      </c>
      <c r="S117">
        <v>523.47</v>
      </c>
      <c r="T117">
        <v>486.95</v>
      </c>
      <c r="U117">
        <v>486.95</v>
      </c>
      <c r="V117">
        <v>486.95</v>
      </c>
      <c r="W117">
        <v>547.82000000000005</v>
      </c>
      <c r="X117">
        <v>486.95</v>
      </c>
      <c r="Y117">
        <v>699.99</v>
      </c>
      <c r="Z117" t="s">
        <v>5922</v>
      </c>
    </row>
    <row r="118" spans="1:26" x14ac:dyDescent="0.2">
      <c r="A118" t="s">
        <v>307</v>
      </c>
      <c r="B118" t="s">
        <v>377</v>
      </c>
      <c r="C118" t="s">
        <v>376</v>
      </c>
      <c r="D118" t="s">
        <v>98</v>
      </c>
      <c r="E118">
        <v>2299.9899999999998</v>
      </c>
      <c r="F118" t="s">
        <v>5922</v>
      </c>
      <c r="G118">
        <v>2699.99</v>
      </c>
      <c r="H118">
        <v>1599.99</v>
      </c>
      <c r="I118">
        <v>1699.99</v>
      </c>
      <c r="J118">
        <v>1799.99</v>
      </c>
      <c r="K118">
        <v>1799.99</v>
      </c>
      <c r="L118" t="s">
        <v>5922</v>
      </c>
      <c r="M118">
        <v>1879.99</v>
      </c>
      <c r="N118">
        <v>1799.99</v>
      </c>
      <c r="O118">
        <v>1599.99</v>
      </c>
      <c r="P118">
        <v>1599.99</v>
      </c>
      <c r="Q118">
        <v>1599.99</v>
      </c>
      <c r="R118">
        <v>1499.99</v>
      </c>
      <c r="S118">
        <v>1719.99</v>
      </c>
      <c r="T118">
        <v>1599.99</v>
      </c>
      <c r="U118">
        <v>1599.99</v>
      </c>
      <c r="V118">
        <v>1599.99</v>
      </c>
      <c r="W118">
        <v>1799.99</v>
      </c>
      <c r="X118">
        <v>1599.99</v>
      </c>
      <c r="Y118">
        <v>2299.9899999999998</v>
      </c>
      <c r="Z118" t="s">
        <v>5922</v>
      </c>
    </row>
    <row r="119" spans="1:26" x14ac:dyDescent="0.2">
      <c r="A119" t="s">
        <v>307</v>
      </c>
      <c r="B119" t="s">
        <v>384</v>
      </c>
      <c r="C119" t="s">
        <v>385</v>
      </c>
      <c r="D119" t="s">
        <v>98</v>
      </c>
      <c r="E119">
        <v>339</v>
      </c>
      <c r="F119" t="s">
        <v>5922</v>
      </c>
      <c r="G119">
        <v>339.99</v>
      </c>
      <c r="H119">
        <v>241.72</v>
      </c>
      <c r="I119">
        <v>251.3</v>
      </c>
      <c r="J119">
        <v>258.25</v>
      </c>
      <c r="K119">
        <v>258.25</v>
      </c>
      <c r="L119" t="s">
        <v>5922</v>
      </c>
      <c r="M119">
        <v>294.77999999999997</v>
      </c>
      <c r="N119">
        <v>294.77999999999997</v>
      </c>
      <c r="O119">
        <v>229.56</v>
      </c>
      <c r="P119">
        <v>247.62</v>
      </c>
      <c r="Q119">
        <v>235.83</v>
      </c>
      <c r="R119">
        <v>221.09</v>
      </c>
      <c r="S119">
        <v>271.2</v>
      </c>
      <c r="T119">
        <v>235.83</v>
      </c>
      <c r="U119">
        <v>249.71</v>
      </c>
      <c r="V119">
        <v>235.83</v>
      </c>
      <c r="W119">
        <v>280.04000000000002</v>
      </c>
      <c r="X119">
        <v>235.83</v>
      </c>
      <c r="Y119">
        <v>339</v>
      </c>
      <c r="Z119" t="s">
        <v>5922</v>
      </c>
    </row>
    <row r="120" spans="1:26" x14ac:dyDescent="0.2">
      <c r="A120" t="s">
        <v>307</v>
      </c>
      <c r="B120" t="s">
        <v>390</v>
      </c>
      <c r="C120" t="s">
        <v>391</v>
      </c>
      <c r="D120" t="s">
        <v>98</v>
      </c>
      <c r="E120">
        <v>289.99</v>
      </c>
      <c r="F120" t="s">
        <v>5922</v>
      </c>
      <c r="G120">
        <v>289.99</v>
      </c>
      <c r="H120">
        <v>206.78</v>
      </c>
      <c r="I120">
        <v>214.34</v>
      </c>
      <c r="J120">
        <v>211.3</v>
      </c>
      <c r="K120">
        <v>211.3</v>
      </c>
      <c r="L120" t="s">
        <v>5922</v>
      </c>
      <c r="M120">
        <v>252.17</v>
      </c>
      <c r="N120">
        <v>252.17</v>
      </c>
      <c r="O120">
        <v>187.82</v>
      </c>
      <c r="P120">
        <v>211.82</v>
      </c>
      <c r="Q120">
        <v>201.73</v>
      </c>
      <c r="R120">
        <v>189.12</v>
      </c>
      <c r="S120">
        <v>231.99</v>
      </c>
      <c r="T120">
        <v>201.73</v>
      </c>
      <c r="U120">
        <v>201.73</v>
      </c>
      <c r="V120">
        <v>201.73</v>
      </c>
      <c r="W120">
        <v>226.95</v>
      </c>
      <c r="X120">
        <v>201.73</v>
      </c>
      <c r="Y120">
        <v>289.99</v>
      </c>
      <c r="Z120" t="s">
        <v>5922</v>
      </c>
    </row>
    <row r="121" spans="1:26" x14ac:dyDescent="0.2">
      <c r="A121" t="s">
        <v>307</v>
      </c>
      <c r="B121" t="s">
        <v>398</v>
      </c>
      <c r="C121" t="s">
        <v>399</v>
      </c>
      <c r="D121" t="s">
        <v>105</v>
      </c>
      <c r="E121">
        <v>1599.99</v>
      </c>
      <c r="F121" t="s">
        <v>6968</v>
      </c>
      <c r="G121">
        <v>1599.99</v>
      </c>
      <c r="L121" t="s">
        <v>5922</v>
      </c>
      <c r="Y121">
        <v>1599.99</v>
      </c>
      <c r="Z121" t="s">
        <v>5922</v>
      </c>
    </row>
    <row r="122" spans="1:26" x14ac:dyDescent="0.2">
      <c r="A122" t="s">
        <v>307</v>
      </c>
      <c r="B122" t="s">
        <v>404</v>
      </c>
      <c r="C122" t="s">
        <v>405</v>
      </c>
      <c r="D122" t="s">
        <v>98</v>
      </c>
      <c r="E122">
        <v>1699.99</v>
      </c>
      <c r="F122" t="s">
        <v>5922</v>
      </c>
      <c r="G122">
        <v>1699.99</v>
      </c>
      <c r="H122">
        <v>904.34</v>
      </c>
      <c r="I122">
        <v>1256.51</v>
      </c>
      <c r="J122">
        <v>1330.43</v>
      </c>
      <c r="K122">
        <v>1330.43</v>
      </c>
      <c r="L122" t="s">
        <v>5922</v>
      </c>
      <c r="M122">
        <v>1433.9</v>
      </c>
      <c r="N122">
        <v>1330.43</v>
      </c>
      <c r="O122">
        <v>1182.5999999999999</v>
      </c>
      <c r="P122">
        <v>904.34</v>
      </c>
      <c r="Q122">
        <v>1182.5999999999999</v>
      </c>
      <c r="R122">
        <v>1108.69</v>
      </c>
      <c r="S122">
        <v>1271.3</v>
      </c>
      <c r="T122">
        <v>1182.5999999999999</v>
      </c>
      <c r="U122">
        <v>1182.5999999999999</v>
      </c>
      <c r="V122">
        <v>1182.5999999999999</v>
      </c>
      <c r="W122">
        <v>1330.43</v>
      </c>
      <c r="X122">
        <v>1182.5999999999999</v>
      </c>
      <c r="Y122">
        <v>1699.99</v>
      </c>
      <c r="Z122" t="s">
        <v>5922</v>
      </c>
    </row>
    <row r="123" spans="1:26" x14ac:dyDescent="0.2">
      <c r="A123" t="s">
        <v>307</v>
      </c>
      <c r="B123" t="s">
        <v>416</v>
      </c>
      <c r="C123" t="s">
        <v>417</v>
      </c>
      <c r="D123" t="s">
        <v>105</v>
      </c>
      <c r="E123">
        <v>49.99</v>
      </c>
      <c r="F123" t="s">
        <v>6969</v>
      </c>
      <c r="G123">
        <v>49.99</v>
      </c>
      <c r="H123">
        <v>35.65</v>
      </c>
      <c r="I123">
        <v>36.950000000000003</v>
      </c>
      <c r="J123">
        <v>39.119999999999997</v>
      </c>
      <c r="K123">
        <v>39.119999999999997</v>
      </c>
      <c r="L123" t="s">
        <v>5922</v>
      </c>
      <c r="M123">
        <v>43.47</v>
      </c>
      <c r="N123">
        <v>43.47</v>
      </c>
      <c r="O123">
        <v>34.78</v>
      </c>
      <c r="P123">
        <v>36.51</v>
      </c>
      <c r="Q123">
        <v>34.78</v>
      </c>
      <c r="R123">
        <v>32.6</v>
      </c>
      <c r="S123">
        <v>39.99</v>
      </c>
      <c r="T123">
        <v>34.78</v>
      </c>
      <c r="U123">
        <v>34.78</v>
      </c>
      <c r="V123">
        <v>34.78</v>
      </c>
      <c r="W123">
        <v>39.119999999999997</v>
      </c>
      <c r="X123">
        <v>34.78</v>
      </c>
      <c r="Y123">
        <v>49.99</v>
      </c>
      <c r="Z123" t="s">
        <v>5922</v>
      </c>
    </row>
    <row r="124" spans="1:26" x14ac:dyDescent="0.2">
      <c r="A124" t="s">
        <v>307</v>
      </c>
      <c r="B124" t="s">
        <v>432</v>
      </c>
      <c r="C124" t="s">
        <v>433</v>
      </c>
      <c r="D124" t="s">
        <v>105</v>
      </c>
      <c r="E124">
        <v>159.99</v>
      </c>
      <c r="F124" t="s">
        <v>6970</v>
      </c>
      <c r="G124">
        <v>159.99</v>
      </c>
      <c r="H124">
        <v>114.08</v>
      </c>
      <c r="I124">
        <v>118.25</v>
      </c>
      <c r="J124">
        <v>125.21</v>
      </c>
      <c r="K124">
        <v>125.21</v>
      </c>
      <c r="L124" t="s">
        <v>5922</v>
      </c>
      <c r="M124">
        <v>139.12</v>
      </c>
      <c r="N124">
        <v>139.12</v>
      </c>
      <c r="O124">
        <v>111.3</v>
      </c>
      <c r="P124">
        <v>116.86</v>
      </c>
      <c r="Q124">
        <v>111.3</v>
      </c>
      <c r="R124">
        <v>104.34</v>
      </c>
      <c r="S124">
        <v>127.99</v>
      </c>
      <c r="T124">
        <v>111.3</v>
      </c>
      <c r="U124">
        <v>111.3</v>
      </c>
      <c r="V124">
        <v>111.3</v>
      </c>
      <c r="W124">
        <v>132.16999999999999</v>
      </c>
      <c r="X124">
        <v>111.3</v>
      </c>
      <c r="Y124">
        <v>159.99</v>
      </c>
      <c r="Z124" t="s">
        <v>5922</v>
      </c>
    </row>
    <row r="125" spans="1:26" x14ac:dyDescent="0.2">
      <c r="A125" t="s">
        <v>436</v>
      </c>
      <c r="B125" t="s">
        <v>437</v>
      </c>
      <c r="C125" t="s">
        <v>309</v>
      </c>
      <c r="D125" t="s">
        <v>98</v>
      </c>
      <c r="E125">
        <v>189.99</v>
      </c>
      <c r="F125" t="s">
        <v>5922</v>
      </c>
      <c r="G125">
        <v>179.9</v>
      </c>
      <c r="H125">
        <v>140.43</v>
      </c>
      <c r="L125" t="s">
        <v>5922</v>
      </c>
      <c r="Q125">
        <v>140.43</v>
      </c>
      <c r="R125">
        <v>140.43</v>
      </c>
      <c r="U125">
        <v>137.11000000000001</v>
      </c>
      <c r="V125">
        <v>152.35</v>
      </c>
      <c r="W125">
        <v>155.13999999999999</v>
      </c>
      <c r="X125">
        <v>127.77</v>
      </c>
      <c r="Y125">
        <v>179.9</v>
      </c>
      <c r="Z125" t="s">
        <v>5922</v>
      </c>
    </row>
    <row r="126" spans="1:26" x14ac:dyDescent="0.2">
      <c r="A126" t="s">
        <v>436</v>
      </c>
      <c r="B126" t="s">
        <v>438</v>
      </c>
      <c r="C126" t="s">
        <v>439</v>
      </c>
      <c r="D126" t="s">
        <v>105</v>
      </c>
      <c r="E126">
        <v>104.9</v>
      </c>
      <c r="F126" t="s">
        <v>6971</v>
      </c>
      <c r="G126">
        <v>104.9</v>
      </c>
      <c r="H126">
        <v>63.85</v>
      </c>
      <c r="K126">
        <v>68.41</v>
      </c>
      <c r="L126" t="s">
        <v>5922</v>
      </c>
      <c r="Q126">
        <v>63.85</v>
      </c>
      <c r="R126">
        <v>63.85</v>
      </c>
      <c r="U126">
        <v>69.39</v>
      </c>
      <c r="V126">
        <v>71.09</v>
      </c>
      <c r="W126">
        <v>76.87</v>
      </c>
      <c r="X126">
        <v>66.349999999999994</v>
      </c>
      <c r="Y126">
        <v>104.9</v>
      </c>
      <c r="Z126" t="s">
        <v>5922</v>
      </c>
    </row>
    <row r="127" spans="1:26" x14ac:dyDescent="0.2">
      <c r="A127" t="s">
        <v>436</v>
      </c>
      <c r="B127" t="s">
        <v>440</v>
      </c>
      <c r="C127" t="s">
        <v>441</v>
      </c>
      <c r="D127" t="s">
        <v>105</v>
      </c>
      <c r="E127">
        <v>64.900000000000006</v>
      </c>
      <c r="F127" t="s">
        <v>6972</v>
      </c>
      <c r="G127">
        <v>64.900000000000006</v>
      </c>
      <c r="H127">
        <v>39.5</v>
      </c>
      <c r="K127">
        <v>42.33</v>
      </c>
      <c r="L127" t="s">
        <v>5922</v>
      </c>
      <c r="Q127">
        <v>39.5</v>
      </c>
      <c r="R127">
        <v>39.5</v>
      </c>
      <c r="U127">
        <v>42</v>
      </c>
      <c r="V127">
        <v>45</v>
      </c>
      <c r="W127">
        <v>47.97</v>
      </c>
      <c r="X127">
        <v>42</v>
      </c>
      <c r="Y127">
        <v>64.900000000000006</v>
      </c>
      <c r="Z127" t="s">
        <v>5922</v>
      </c>
    </row>
    <row r="128" spans="1:26" x14ac:dyDescent="0.2">
      <c r="A128" t="s">
        <v>436</v>
      </c>
      <c r="B128" t="s">
        <v>442</v>
      </c>
      <c r="C128" t="s">
        <v>443</v>
      </c>
      <c r="D128" t="s">
        <v>98</v>
      </c>
      <c r="E128">
        <v>79.900000000000006</v>
      </c>
      <c r="F128" t="s">
        <v>5922</v>
      </c>
      <c r="G128">
        <v>79.900000000000006</v>
      </c>
      <c r="H128">
        <v>48.63</v>
      </c>
      <c r="L128" t="s">
        <v>5922</v>
      </c>
      <c r="Q128">
        <v>48.63</v>
      </c>
      <c r="R128">
        <v>48.63</v>
      </c>
      <c r="U128">
        <v>54.17</v>
      </c>
      <c r="V128">
        <v>58.04</v>
      </c>
      <c r="W128">
        <v>59.06</v>
      </c>
      <c r="X128">
        <v>48.63</v>
      </c>
      <c r="Y128">
        <v>79.900000000000006</v>
      </c>
      <c r="Z128" t="s">
        <v>5922</v>
      </c>
    </row>
    <row r="129" spans="1:26" x14ac:dyDescent="0.2">
      <c r="A129" t="s">
        <v>436</v>
      </c>
      <c r="B129" t="s">
        <v>444</v>
      </c>
      <c r="C129" t="s">
        <v>445</v>
      </c>
      <c r="D129" t="s">
        <v>98</v>
      </c>
      <c r="E129">
        <v>104.9</v>
      </c>
      <c r="F129" t="s">
        <v>5922</v>
      </c>
      <c r="G129">
        <v>104</v>
      </c>
      <c r="H129">
        <v>76.87</v>
      </c>
      <c r="L129" t="s">
        <v>5922</v>
      </c>
      <c r="Q129">
        <v>76.87</v>
      </c>
      <c r="R129">
        <v>76.87</v>
      </c>
      <c r="U129">
        <v>77.63</v>
      </c>
      <c r="V129">
        <v>86.26</v>
      </c>
      <c r="W129">
        <v>84.93</v>
      </c>
      <c r="X129">
        <v>69.94</v>
      </c>
      <c r="Y129">
        <v>104</v>
      </c>
      <c r="Z129" t="s">
        <v>5922</v>
      </c>
    </row>
    <row r="130" spans="1:26" x14ac:dyDescent="0.2">
      <c r="A130" t="s">
        <v>436</v>
      </c>
      <c r="B130" t="s">
        <v>446</v>
      </c>
      <c r="C130" t="s">
        <v>447</v>
      </c>
      <c r="D130" t="s">
        <v>98</v>
      </c>
      <c r="E130">
        <v>99.9</v>
      </c>
      <c r="F130" t="s">
        <v>5922</v>
      </c>
      <c r="G130">
        <v>99.9</v>
      </c>
      <c r="H130">
        <v>73.84</v>
      </c>
      <c r="L130" t="s">
        <v>5922</v>
      </c>
      <c r="Q130">
        <v>73.84</v>
      </c>
      <c r="R130">
        <v>73.84</v>
      </c>
      <c r="U130">
        <v>77.63</v>
      </c>
      <c r="V130">
        <v>86.26</v>
      </c>
      <c r="W130">
        <v>84.93</v>
      </c>
      <c r="X130">
        <v>69.94</v>
      </c>
      <c r="Y130">
        <v>99.9</v>
      </c>
      <c r="Z130" t="s">
        <v>5922</v>
      </c>
    </row>
    <row r="131" spans="1:26" x14ac:dyDescent="0.2">
      <c r="A131" t="s">
        <v>436</v>
      </c>
      <c r="B131" t="s">
        <v>448</v>
      </c>
      <c r="C131" t="s">
        <v>449</v>
      </c>
      <c r="D131" t="s">
        <v>98</v>
      </c>
      <c r="E131">
        <v>99999</v>
      </c>
      <c r="F131" t="s">
        <v>6965</v>
      </c>
      <c r="L131" t="s">
        <v>5922</v>
      </c>
      <c r="Z131" t="s">
        <v>5922</v>
      </c>
    </row>
    <row r="132" spans="1:26" x14ac:dyDescent="0.2">
      <c r="A132" t="s">
        <v>436</v>
      </c>
      <c r="B132" t="s">
        <v>450</v>
      </c>
      <c r="C132" t="s">
        <v>451</v>
      </c>
      <c r="D132" t="s">
        <v>105</v>
      </c>
      <c r="E132">
        <v>149.9</v>
      </c>
      <c r="F132" t="s">
        <v>6973</v>
      </c>
      <c r="G132">
        <v>149.9</v>
      </c>
      <c r="H132">
        <v>110.8</v>
      </c>
      <c r="L132" t="s">
        <v>5922</v>
      </c>
      <c r="Q132">
        <v>110.8</v>
      </c>
      <c r="R132">
        <v>110.8</v>
      </c>
      <c r="U132">
        <v>105.81</v>
      </c>
      <c r="V132">
        <v>117.57</v>
      </c>
      <c r="W132">
        <v>118.19</v>
      </c>
      <c r="X132">
        <v>102.87</v>
      </c>
      <c r="Y132">
        <v>149.9</v>
      </c>
      <c r="Z132" t="s">
        <v>5922</v>
      </c>
    </row>
    <row r="133" spans="1:26" x14ac:dyDescent="0.2">
      <c r="A133" t="s">
        <v>436</v>
      </c>
      <c r="B133" t="s">
        <v>452</v>
      </c>
      <c r="C133" t="s">
        <v>453</v>
      </c>
      <c r="D133" t="s">
        <v>98</v>
      </c>
      <c r="E133">
        <v>149.9</v>
      </c>
      <c r="F133" t="s">
        <v>6973</v>
      </c>
      <c r="G133">
        <v>149.9</v>
      </c>
      <c r="H133">
        <v>110.8</v>
      </c>
      <c r="L133" t="s">
        <v>5922</v>
      </c>
      <c r="Q133">
        <v>110.8</v>
      </c>
      <c r="R133">
        <v>110.8</v>
      </c>
      <c r="U133">
        <v>105.81</v>
      </c>
      <c r="V133">
        <v>117.57</v>
      </c>
      <c r="W133">
        <v>118.19</v>
      </c>
      <c r="X133">
        <v>97.33</v>
      </c>
      <c r="Y133">
        <v>149.9</v>
      </c>
      <c r="Z133" t="s">
        <v>5922</v>
      </c>
    </row>
    <row r="134" spans="1:26" x14ac:dyDescent="0.2">
      <c r="A134" t="s">
        <v>436</v>
      </c>
      <c r="B134" t="s">
        <v>454</v>
      </c>
      <c r="C134" t="s">
        <v>455</v>
      </c>
      <c r="D134" t="s">
        <v>98</v>
      </c>
      <c r="E134">
        <v>69.900000000000006</v>
      </c>
      <c r="F134" t="s">
        <v>6974</v>
      </c>
      <c r="G134">
        <v>69.900000000000006</v>
      </c>
      <c r="H134">
        <v>42.55</v>
      </c>
      <c r="K134">
        <v>45.59</v>
      </c>
      <c r="L134" t="s">
        <v>5922</v>
      </c>
      <c r="Q134">
        <v>42.55</v>
      </c>
      <c r="R134">
        <v>42.55</v>
      </c>
      <c r="U134">
        <v>51.13</v>
      </c>
      <c r="V134">
        <v>54.78</v>
      </c>
      <c r="W134">
        <v>55.36</v>
      </c>
      <c r="X134">
        <v>45.59</v>
      </c>
      <c r="Y134">
        <v>69.900000000000006</v>
      </c>
      <c r="Z134" t="s">
        <v>5922</v>
      </c>
    </row>
    <row r="135" spans="1:26" x14ac:dyDescent="0.2">
      <c r="A135" t="s">
        <v>436</v>
      </c>
      <c r="B135" t="s">
        <v>456</v>
      </c>
      <c r="C135" t="s">
        <v>457</v>
      </c>
      <c r="D135" t="s">
        <v>98</v>
      </c>
      <c r="E135">
        <v>69.900000000000006</v>
      </c>
      <c r="F135" t="s">
        <v>6974</v>
      </c>
      <c r="G135">
        <v>69.900000000000006</v>
      </c>
      <c r="H135">
        <v>42.55</v>
      </c>
      <c r="K135">
        <v>45.59</v>
      </c>
      <c r="L135" t="s">
        <v>5922</v>
      </c>
      <c r="Q135">
        <v>42.55</v>
      </c>
      <c r="R135">
        <v>42.55</v>
      </c>
      <c r="U135">
        <v>51.13</v>
      </c>
      <c r="V135">
        <v>54.78</v>
      </c>
      <c r="W135">
        <v>55.36</v>
      </c>
      <c r="X135">
        <v>45.59</v>
      </c>
      <c r="Y135">
        <v>69.900000000000006</v>
      </c>
      <c r="Z135" t="s">
        <v>5922</v>
      </c>
    </row>
    <row r="136" spans="1:26" x14ac:dyDescent="0.2">
      <c r="A136" t="s">
        <v>436</v>
      </c>
      <c r="B136" t="s">
        <v>458</v>
      </c>
      <c r="C136" t="s">
        <v>459</v>
      </c>
      <c r="D136" t="s">
        <v>105</v>
      </c>
      <c r="E136">
        <v>54.9</v>
      </c>
      <c r="F136" t="s">
        <v>6975</v>
      </c>
      <c r="G136">
        <v>54.9</v>
      </c>
      <c r="H136">
        <v>33.42</v>
      </c>
      <c r="K136">
        <v>35.799999999999997</v>
      </c>
      <c r="L136" t="s">
        <v>5922</v>
      </c>
      <c r="Q136">
        <v>33.42</v>
      </c>
      <c r="R136">
        <v>33.42</v>
      </c>
      <c r="U136">
        <v>42</v>
      </c>
      <c r="V136">
        <v>45</v>
      </c>
      <c r="W136">
        <v>47.97</v>
      </c>
      <c r="X136">
        <v>42</v>
      </c>
      <c r="Y136">
        <v>54.9</v>
      </c>
      <c r="Z136" t="s">
        <v>5922</v>
      </c>
    </row>
    <row r="137" spans="1:26" x14ac:dyDescent="0.2">
      <c r="A137" t="s">
        <v>436</v>
      </c>
      <c r="B137" t="s">
        <v>460</v>
      </c>
      <c r="C137" t="s">
        <v>461</v>
      </c>
      <c r="D137" t="s">
        <v>98</v>
      </c>
      <c r="E137">
        <v>69.900000000000006</v>
      </c>
      <c r="F137" t="s">
        <v>6974</v>
      </c>
      <c r="G137">
        <v>69.900000000000006</v>
      </c>
      <c r="H137">
        <v>42.55</v>
      </c>
      <c r="K137">
        <v>45.59</v>
      </c>
      <c r="L137" t="s">
        <v>5922</v>
      </c>
      <c r="Q137">
        <v>42.55</v>
      </c>
      <c r="R137">
        <v>42.55</v>
      </c>
      <c r="U137">
        <v>51.13</v>
      </c>
      <c r="V137">
        <v>54.78</v>
      </c>
      <c r="W137">
        <v>59.06</v>
      </c>
      <c r="X137">
        <v>48.63</v>
      </c>
      <c r="Y137">
        <v>69.900000000000006</v>
      </c>
      <c r="Z137" t="s">
        <v>5922</v>
      </c>
    </row>
    <row r="138" spans="1:26" x14ac:dyDescent="0.2">
      <c r="A138" t="s">
        <v>436</v>
      </c>
      <c r="B138" t="s">
        <v>462</v>
      </c>
      <c r="C138" t="s">
        <v>463</v>
      </c>
      <c r="D138" t="s">
        <v>98</v>
      </c>
      <c r="E138">
        <v>189.99</v>
      </c>
      <c r="F138" t="s">
        <v>6976</v>
      </c>
      <c r="G138">
        <v>179.9</v>
      </c>
      <c r="H138">
        <v>140.43</v>
      </c>
      <c r="L138" t="s">
        <v>5922</v>
      </c>
      <c r="Q138">
        <v>140.43</v>
      </c>
      <c r="R138">
        <v>140.43</v>
      </c>
      <c r="U138">
        <v>137.11000000000001</v>
      </c>
      <c r="V138">
        <v>152.35</v>
      </c>
      <c r="W138">
        <v>155.13999999999999</v>
      </c>
      <c r="X138">
        <v>127.77</v>
      </c>
      <c r="Y138">
        <v>179.9</v>
      </c>
      <c r="Z138" t="s">
        <v>5922</v>
      </c>
    </row>
    <row r="139" spans="1:26" x14ac:dyDescent="0.2">
      <c r="A139" t="s">
        <v>436</v>
      </c>
      <c r="B139" t="s">
        <v>464</v>
      </c>
      <c r="C139" t="s">
        <v>465</v>
      </c>
      <c r="D139" t="s">
        <v>105</v>
      </c>
      <c r="E139">
        <v>159.9</v>
      </c>
      <c r="F139" t="s">
        <v>5922</v>
      </c>
      <c r="G139">
        <v>139.4</v>
      </c>
      <c r="H139">
        <v>125.58</v>
      </c>
      <c r="L139" t="s">
        <v>5922</v>
      </c>
      <c r="U139">
        <v>118.33</v>
      </c>
      <c r="V139">
        <v>131.47999999999999</v>
      </c>
      <c r="X139">
        <v>115.04</v>
      </c>
      <c r="Y139">
        <v>159.9</v>
      </c>
      <c r="Z139" t="s">
        <v>5922</v>
      </c>
    </row>
    <row r="140" spans="1:26" x14ac:dyDescent="0.2">
      <c r="A140" t="s">
        <v>436</v>
      </c>
      <c r="B140" t="s">
        <v>466</v>
      </c>
      <c r="C140" t="s">
        <v>467</v>
      </c>
      <c r="D140" t="s">
        <v>105</v>
      </c>
      <c r="E140">
        <v>69.900000000000006</v>
      </c>
      <c r="F140" t="s">
        <v>6974</v>
      </c>
      <c r="G140">
        <v>69.900000000000006</v>
      </c>
      <c r="H140">
        <v>51.67</v>
      </c>
      <c r="L140" t="s">
        <v>5922</v>
      </c>
      <c r="Q140">
        <v>51.67</v>
      </c>
      <c r="R140">
        <v>51.67</v>
      </c>
      <c r="U140">
        <v>55.72</v>
      </c>
      <c r="V140">
        <v>61.91</v>
      </c>
      <c r="W140">
        <v>59.06</v>
      </c>
      <c r="X140">
        <v>54.17</v>
      </c>
      <c r="Y140">
        <v>69.900000000000006</v>
      </c>
      <c r="Z140" t="s">
        <v>5922</v>
      </c>
    </row>
    <row r="141" spans="1:26" x14ac:dyDescent="0.2">
      <c r="A141" t="s">
        <v>436</v>
      </c>
      <c r="B141" t="s">
        <v>468</v>
      </c>
      <c r="C141" t="s">
        <v>469</v>
      </c>
      <c r="D141" t="s">
        <v>105</v>
      </c>
      <c r="E141">
        <v>69.900000000000006</v>
      </c>
      <c r="F141" t="s">
        <v>6974</v>
      </c>
      <c r="G141">
        <v>69.900000000000006</v>
      </c>
      <c r="H141">
        <v>51.67</v>
      </c>
      <c r="L141" t="s">
        <v>5922</v>
      </c>
      <c r="Q141">
        <v>51.67</v>
      </c>
      <c r="R141">
        <v>51.67</v>
      </c>
      <c r="U141">
        <v>55.72</v>
      </c>
      <c r="V141">
        <v>61.91</v>
      </c>
      <c r="W141">
        <v>59.06</v>
      </c>
      <c r="X141">
        <v>54.17</v>
      </c>
      <c r="Y141">
        <v>69.900000000000006</v>
      </c>
      <c r="Z141" t="s">
        <v>5922</v>
      </c>
    </row>
    <row r="142" spans="1:26" x14ac:dyDescent="0.2">
      <c r="A142" t="s">
        <v>436</v>
      </c>
      <c r="B142" t="s">
        <v>470</v>
      </c>
      <c r="C142" t="s">
        <v>471</v>
      </c>
      <c r="D142" t="s">
        <v>105</v>
      </c>
      <c r="E142">
        <v>79.900000000000006</v>
      </c>
      <c r="F142" t="s">
        <v>6977</v>
      </c>
      <c r="G142">
        <v>79.900000000000006</v>
      </c>
      <c r="H142">
        <v>59.06</v>
      </c>
      <c r="L142" t="s">
        <v>5922</v>
      </c>
      <c r="Q142">
        <v>59.06</v>
      </c>
      <c r="R142">
        <v>59.06</v>
      </c>
      <c r="U142">
        <v>61.98</v>
      </c>
      <c r="V142">
        <v>68.87</v>
      </c>
      <c r="W142">
        <v>66.45</v>
      </c>
      <c r="X142">
        <v>60.26</v>
      </c>
      <c r="Y142">
        <v>79.900000000000006</v>
      </c>
      <c r="Z142" t="s">
        <v>5922</v>
      </c>
    </row>
    <row r="143" spans="1:26" x14ac:dyDescent="0.2">
      <c r="A143" t="s">
        <v>436</v>
      </c>
      <c r="B143" t="s">
        <v>472</v>
      </c>
      <c r="C143" t="s">
        <v>473</v>
      </c>
      <c r="D143" t="s">
        <v>98</v>
      </c>
      <c r="E143">
        <v>169.9</v>
      </c>
      <c r="F143" t="s">
        <v>6978</v>
      </c>
      <c r="G143">
        <v>169.9</v>
      </c>
      <c r="H143">
        <v>125.58</v>
      </c>
      <c r="L143" t="s">
        <v>5922</v>
      </c>
      <c r="Q143">
        <v>125.58</v>
      </c>
      <c r="R143">
        <v>125.58</v>
      </c>
      <c r="U143">
        <v>118.33</v>
      </c>
      <c r="V143">
        <v>131.47999999999999</v>
      </c>
      <c r="W143">
        <v>125.58</v>
      </c>
      <c r="X143">
        <v>115.04</v>
      </c>
      <c r="Y143">
        <v>169.9</v>
      </c>
      <c r="Z143" t="s">
        <v>5922</v>
      </c>
    </row>
    <row r="144" spans="1:26" x14ac:dyDescent="0.2">
      <c r="A144" t="s">
        <v>436</v>
      </c>
      <c r="B144" t="s">
        <v>474</v>
      </c>
      <c r="C144" t="s">
        <v>475</v>
      </c>
      <c r="D144" t="s">
        <v>105</v>
      </c>
      <c r="E144">
        <v>169.9</v>
      </c>
      <c r="F144" t="s">
        <v>6979</v>
      </c>
      <c r="L144" t="s">
        <v>5922</v>
      </c>
      <c r="M144">
        <v>97.33</v>
      </c>
      <c r="Z144" t="s">
        <v>5922</v>
      </c>
    </row>
    <row r="145" spans="1:26" x14ac:dyDescent="0.2">
      <c r="A145" t="s">
        <v>436</v>
      </c>
      <c r="B145" t="s">
        <v>476</v>
      </c>
      <c r="C145" t="s">
        <v>477</v>
      </c>
      <c r="D145" t="s">
        <v>98</v>
      </c>
      <c r="E145">
        <v>79.900000000000006</v>
      </c>
      <c r="F145" t="s">
        <v>5922</v>
      </c>
      <c r="G145">
        <v>79.900000000000006</v>
      </c>
      <c r="H145">
        <v>48.63</v>
      </c>
      <c r="L145" t="s">
        <v>5922</v>
      </c>
      <c r="Q145">
        <v>48.63</v>
      </c>
      <c r="R145">
        <v>48.63</v>
      </c>
      <c r="U145">
        <v>51.13</v>
      </c>
      <c r="V145">
        <v>54.78</v>
      </c>
      <c r="W145">
        <v>59.06</v>
      </c>
      <c r="X145">
        <v>48.63</v>
      </c>
      <c r="Y145">
        <v>79.900000000000006</v>
      </c>
      <c r="Z145" t="s">
        <v>5922</v>
      </c>
    </row>
    <row r="146" spans="1:26" x14ac:dyDescent="0.2">
      <c r="A146" t="s">
        <v>436</v>
      </c>
      <c r="B146" t="s">
        <v>478</v>
      </c>
      <c r="C146" t="s">
        <v>479</v>
      </c>
      <c r="D146" t="s">
        <v>98</v>
      </c>
      <c r="E146">
        <v>209.9</v>
      </c>
      <c r="F146" t="s">
        <v>5922</v>
      </c>
      <c r="G146">
        <v>209</v>
      </c>
      <c r="H146">
        <v>154.47999999999999</v>
      </c>
      <c r="L146" t="s">
        <v>5922</v>
      </c>
      <c r="Q146">
        <v>154.47999999999999</v>
      </c>
      <c r="R146">
        <v>154.47999999999999</v>
      </c>
      <c r="U146">
        <v>149.63</v>
      </c>
      <c r="V146">
        <v>166.26</v>
      </c>
      <c r="W146">
        <v>169.93</v>
      </c>
      <c r="X146">
        <v>139.94</v>
      </c>
      <c r="Y146">
        <v>209</v>
      </c>
      <c r="Z146" t="s">
        <v>5922</v>
      </c>
    </row>
    <row r="147" spans="1:26" x14ac:dyDescent="0.2">
      <c r="A147" t="s">
        <v>436</v>
      </c>
      <c r="B147" t="s">
        <v>480</v>
      </c>
      <c r="C147" t="s">
        <v>481</v>
      </c>
      <c r="D147" t="s">
        <v>98</v>
      </c>
      <c r="E147">
        <v>14.9</v>
      </c>
      <c r="F147" t="s">
        <v>5922</v>
      </c>
      <c r="L147" t="s">
        <v>5922</v>
      </c>
      <c r="M147">
        <v>9.1999999999999993</v>
      </c>
      <c r="Y147">
        <v>14.9</v>
      </c>
      <c r="Z147" t="s">
        <v>5922</v>
      </c>
    </row>
    <row r="148" spans="1:26" x14ac:dyDescent="0.2">
      <c r="A148" t="s">
        <v>436</v>
      </c>
      <c r="B148" t="s">
        <v>482</v>
      </c>
      <c r="C148" t="s">
        <v>483</v>
      </c>
      <c r="D148" t="s">
        <v>98</v>
      </c>
      <c r="E148">
        <v>64.900000000000006</v>
      </c>
      <c r="F148" t="s">
        <v>5922</v>
      </c>
      <c r="G148">
        <v>45.43</v>
      </c>
      <c r="H148">
        <v>39.5</v>
      </c>
      <c r="L148" t="s">
        <v>5922</v>
      </c>
      <c r="Q148">
        <v>39.5</v>
      </c>
      <c r="R148">
        <v>39.5</v>
      </c>
      <c r="U148">
        <v>39.5</v>
      </c>
      <c r="V148">
        <v>45.15</v>
      </c>
      <c r="W148">
        <v>47.97</v>
      </c>
      <c r="X148">
        <v>39.5</v>
      </c>
      <c r="Y148">
        <v>64.900000000000006</v>
      </c>
      <c r="Z148" t="s">
        <v>5922</v>
      </c>
    </row>
    <row r="149" spans="1:26" x14ac:dyDescent="0.2">
      <c r="A149" t="s">
        <v>436</v>
      </c>
      <c r="B149" t="s">
        <v>484</v>
      </c>
      <c r="C149" t="s">
        <v>485</v>
      </c>
      <c r="D149" t="s">
        <v>98</v>
      </c>
      <c r="E149">
        <v>46.9</v>
      </c>
      <c r="F149" t="s">
        <v>5922</v>
      </c>
      <c r="G149">
        <v>32.83</v>
      </c>
      <c r="H149">
        <v>28.55</v>
      </c>
      <c r="L149" t="s">
        <v>5922</v>
      </c>
      <c r="Q149">
        <v>28.55</v>
      </c>
      <c r="R149">
        <v>28.55</v>
      </c>
      <c r="U149">
        <v>30.37</v>
      </c>
      <c r="V149">
        <v>32.630000000000003</v>
      </c>
      <c r="W149">
        <v>34.67</v>
      </c>
      <c r="X149">
        <v>28.55</v>
      </c>
      <c r="Y149">
        <v>46.9</v>
      </c>
      <c r="Z149" t="s">
        <v>5922</v>
      </c>
    </row>
    <row r="150" spans="1:26" x14ac:dyDescent="0.2">
      <c r="A150" t="s">
        <v>436</v>
      </c>
      <c r="B150" t="s">
        <v>486</v>
      </c>
      <c r="C150" t="s">
        <v>487</v>
      </c>
      <c r="D150" t="s">
        <v>105</v>
      </c>
      <c r="E150">
        <v>64.900000000000006</v>
      </c>
      <c r="F150" t="s">
        <v>6972</v>
      </c>
      <c r="G150">
        <v>64.900000000000006</v>
      </c>
      <c r="H150">
        <v>39.5</v>
      </c>
      <c r="L150" t="s">
        <v>5922</v>
      </c>
      <c r="Q150">
        <v>39.5</v>
      </c>
      <c r="R150">
        <v>39.5</v>
      </c>
      <c r="U150">
        <v>54.17</v>
      </c>
      <c r="V150">
        <v>58.04</v>
      </c>
      <c r="W150">
        <v>59.06</v>
      </c>
      <c r="X150">
        <v>54.17</v>
      </c>
      <c r="Y150">
        <v>64.900000000000006</v>
      </c>
      <c r="Z150" t="s">
        <v>5922</v>
      </c>
    </row>
    <row r="151" spans="1:26" x14ac:dyDescent="0.2">
      <c r="A151" t="s">
        <v>436</v>
      </c>
      <c r="B151" t="s">
        <v>488</v>
      </c>
      <c r="C151" t="s">
        <v>489</v>
      </c>
      <c r="D151" t="s">
        <v>105</v>
      </c>
      <c r="E151">
        <v>49.9</v>
      </c>
      <c r="F151" t="s">
        <v>6980</v>
      </c>
      <c r="G151">
        <v>49.9</v>
      </c>
      <c r="H151">
        <v>30.37</v>
      </c>
      <c r="L151" t="s">
        <v>5922</v>
      </c>
      <c r="Q151">
        <v>30.37</v>
      </c>
      <c r="R151">
        <v>30.37</v>
      </c>
      <c r="U151">
        <v>35.909999999999997</v>
      </c>
      <c r="V151">
        <v>38.479999999999997</v>
      </c>
      <c r="W151">
        <v>36.880000000000003</v>
      </c>
      <c r="X151">
        <v>35.909999999999997</v>
      </c>
      <c r="Y151">
        <v>49.9</v>
      </c>
      <c r="Z151" t="s">
        <v>5922</v>
      </c>
    </row>
    <row r="152" spans="1:26" x14ac:dyDescent="0.2">
      <c r="A152" t="s">
        <v>436</v>
      </c>
      <c r="B152" t="s">
        <v>490</v>
      </c>
      <c r="C152" t="s">
        <v>491</v>
      </c>
      <c r="D152" t="s">
        <v>105</v>
      </c>
      <c r="E152">
        <v>44.9</v>
      </c>
      <c r="F152" t="s">
        <v>6981</v>
      </c>
      <c r="G152">
        <v>44.9</v>
      </c>
      <c r="H152">
        <v>27.33</v>
      </c>
      <c r="L152" t="s">
        <v>5922</v>
      </c>
      <c r="Q152">
        <v>27.33</v>
      </c>
      <c r="R152">
        <v>27.33</v>
      </c>
      <c r="U152">
        <v>35.909999999999997</v>
      </c>
      <c r="V152">
        <v>38.479999999999997</v>
      </c>
      <c r="W152">
        <v>36.880000000000003</v>
      </c>
      <c r="X152">
        <v>35.909999999999997</v>
      </c>
      <c r="Y152">
        <v>44.9</v>
      </c>
      <c r="Z152" t="s">
        <v>5922</v>
      </c>
    </row>
    <row r="153" spans="1:26" x14ac:dyDescent="0.2">
      <c r="A153" t="s">
        <v>436</v>
      </c>
      <c r="B153" t="s">
        <v>492</v>
      </c>
      <c r="C153" t="s">
        <v>493</v>
      </c>
      <c r="D153" t="s">
        <v>98</v>
      </c>
      <c r="E153">
        <v>104.9</v>
      </c>
      <c r="F153" t="s">
        <v>6971</v>
      </c>
      <c r="G153">
        <v>104.9</v>
      </c>
      <c r="H153">
        <v>63.85</v>
      </c>
      <c r="K153">
        <v>68.41</v>
      </c>
      <c r="L153" t="s">
        <v>5922</v>
      </c>
      <c r="Q153">
        <v>63.85</v>
      </c>
      <c r="R153">
        <v>63.85</v>
      </c>
      <c r="U153">
        <v>78.52</v>
      </c>
      <c r="V153">
        <v>84.13</v>
      </c>
      <c r="W153">
        <v>77.53</v>
      </c>
      <c r="X153">
        <v>79.069999999999993</v>
      </c>
      <c r="Y153">
        <v>104.9</v>
      </c>
      <c r="Z153" t="s">
        <v>5922</v>
      </c>
    </row>
    <row r="154" spans="1:26" x14ac:dyDescent="0.2">
      <c r="A154" t="s">
        <v>436</v>
      </c>
      <c r="B154" t="s">
        <v>494</v>
      </c>
      <c r="C154" t="s">
        <v>495</v>
      </c>
      <c r="D154" t="s">
        <v>98</v>
      </c>
      <c r="E154">
        <v>54.9</v>
      </c>
      <c r="F154" t="s">
        <v>6975</v>
      </c>
      <c r="G154">
        <v>54.9</v>
      </c>
      <c r="H154">
        <v>33.42</v>
      </c>
      <c r="L154" t="s">
        <v>5922</v>
      </c>
      <c r="Q154">
        <v>33.42</v>
      </c>
      <c r="R154">
        <v>33.42</v>
      </c>
      <c r="U154">
        <v>42</v>
      </c>
      <c r="V154">
        <v>45</v>
      </c>
      <c r="W154">
        <v>47.97</v>
      </c>
      <c r="X154">
        <v>39.5</v>
      </c>
      <c r="Y154">
        <v>54.9</v>
      </c>
      <c r="Z154" t="s">
        <v>5922</v>
      </c>
    </row>
    <row r="155" spans="1:26" x14ac:dyDescent="0.2">
      <c r="A155" t="s">
        <v>436</v>
      </c>
      <c r="B155" t="s">
        <v>496</v>
      </c>
      <c r="C155" t="s">
        <v>497</v>
      </c>
      <c r="D155" t="s">
        <v>98</v>
      </c>
      <c r="E155">
        <v>119.9</v>
      </c>
      <c r="F155" t="s">
        <v>6982</v>
      </c>
      <c r="G155">
        <v>119.9</v>
      </c>
      <c r="H155">
        <v>72.98</v>
      </c>
      <c r="K155">
        <v>78.2</v>
      </c>
      <c r="L155" t="s">
        <v>5922</v>
      </c>
      <c r="Q155">
        <v>72.98</v>
      </c>
      <c r="R155">
        <v>72.98</v>
      </c>
      <c r="U155">
        <v>90.7</v>
      </c>
      <c r="V155">
        <v>97.17</v>
      </c>
      <c r="W155">
        <v>88.62</v>
      </c>
      <c r="X155">
        <v>97.33</v>
      </c>
      <c r="Y155">
        <v>119.9</v>
      </c>
      <c r="Z155" t="s">
        <v>5922</v>
      </c>
    </row>
    <row r="156" spans="1:26" x14ac:dyDescent="0.2">
      <c r="A156" t="s">
        <v>436</v>
      </c>
      <c r="B156" t="s">
        <v>498</v>
      </c>
      <c r="C156" t="s">
        <v>499</v>
      </c>
      <c r="D156" t="s">
        <v>138</v>
      </c>
      <c r="E156">
        <v>49.9</v>
      </c>
      <c r="F156" t="s">
        <v>6980</v>
      </c>
      <c r="G156">
        <v>49.9</v>
      </c>
      <c r="H156">
        <v>30.37</v>
      </c>
      <c r="K156">
        <v>32.54</v>
      </c>
      <c r="L156" t="s">
        <v>5922</v>
      </c>
      <c r="Q156">
        <v>30.37</v>
      </c>
      <c r="R156">
        <v>30.37</v>
      </c>
      <c r="U156">
        <v>38.96</v>
      </c>
      <c r="V156">
        <v>41.74</v>
      </c>
      <c r="W156">
        <v>40.58</v>
      </c>
      <c r="X156">
        <v>33.42</v>
      </c>
      <c r="Y156">
        <v>49.9</v>
      </c>
      <c r="Z156" t="s">
        <v>5922</v>
      </c>
    </row>
    <row r="157" spans="1:26" x14ac:dyDescent="0.2">
      <c r="A157" t="s">
        <v>436</v>
      </c>
      <c r="B157" t="s">
        <v>500</v>
      </c>
      <c r="C157" t="s">
        <v>501</v>
      </c>
      <c r="D157" t="s">
        <v>138</v>
      </c>
      <c r="E157">
        <v>69.900000000000006</v>
      </c>
      <c r="F157" t="s">
        <v>6974</v>
      </c>
      <c r="G157">
        <v>69.900000000000006</v>
      </c>
      <c r="H157">
        <v>42.55</v>
      </c>
      <c r="K157">
        <v>45.59</v>
      </c>
      <c r="L157" t="s">
        <v>5922</v>
      </c>
      <c r="Q157">
        <v>42.55</v>
      </c>
      <c r="R157">
        <v>42.55</v>
      </c>
      <c r="U157">
        <v>54.17</v>
      </c>
      <c r="V157">
        <v>58.04</v>
      </c>
      <c r="W157">
        <v>51.67</v>
      </c>
      <c r="X157">
        <v>54.17</v>
      </c>
      <c r="Y157">
        <v>69.900000000000006</v>
      </c>
      <c r="Z157" t="s">
        <v>5922</v>
      </c>
    </row>
    <row r="158" spans="1:26" x14ac:dyDescent="0.2">
      <c r="A158" t="s">
        <v>436</v>
      </c>
      <c r="B158" t="s">
        <v>502</v>
      </c>
      <c r="C158" t="s">
        <v>503</v>
      </c>
      <c r="D158" t="s">
        <v>98</v>
      </c>
      <c r="E158">
        <v>54.9</v>
      </c>
      <c r="F158" t="s">
        <v>6975</v>
      </c>
      <c r="G158">
        <v>54.9</v>
      </c>
      <c r="H158">
        <v>33.42</v>
      </c>
      <c r="K158">
        <v>35.799999999999997</v>
      </c>
      <c r="L158" t="s">
        <v>5922</v>
      </c>
      <c r="Q158">
        <v>33.42</v>
      </c>
      <c r="R158">
        <v>33.42</v>
      </c>
      <c r="U158">
        <v>42</v>
      </c>
      <c r="V158">
        <v>45</v>
      </c>
      <c r="W158">
        <v>47.97</v>
      </c>
      <c r="X158">
        <v>39.5</v>
      </c>
      <c r="Y158">
        <v>54.9</v>
      </c>
      <c r="Z158" t="s">
        <v>5922</v>
      </c>
    </row>
    <row r="159" spans="1:26" x14ac:dyDescent="0.2">
      <c r="A159" t="s">
        <v>436</v>
      </c>
      <c r="B159" t="s">
        <v>504</v>
      </c>
      <c r="C159" t="s">
        <v>505</v>
      </c>
      <c r="D159" t="s">
        <v>105</v>
      </c>
      <c r="E159">
        <v>109.9</v>
      </c>
      <c r="F159" t="s">
        <v>6983</v>
      </c>
      <c r="G159">
        <v>109.9</v>
      </c>
      <c r="H159">
        <v>66.900000000000006</v>
      </c>
      <c r="K159">
        <v>71.67</v>
      </c>
      <c r="L159" t="s">
        <v>5922</v>
      </c>
      <c r="Q159">
        <v>66.900000000000006</v>
      </c>
      <c r="R159">
        <v>66.900000000000006</v>
      </c>
      <c r="U159">
        <v>69.39</v>
      </c>
      <c r="V159">
        <v>74.349999999999994</v>
      </c>
      <c r="W159">
        <v>88.62</v>
      </c>
      <c r="X159">
        <v>69.39</v>
      </c>
      <c r="Y159">
        <v>109.9</v>
      </c>
      <c r="Z159" t="s">
        <v>5922</v>
      </c>
    </row>
    <row r="160" spans="1:26" x14ac:dyDescent="0.2">
      <c r="A160" t="s">
        <v>436</v>
      </c>
      <c r="B160" t="s">
        <v>506</v>
      </c>
      <c r="C160" t="s">
        <v>507</v>
      </c>
      <c r="D160" t="s">
        <v>98</v>
      </c>
      <c r="E160">
        <v>94.9</v>
      </c>
      <c r="F160" t="s">
        <v>6984</v>
      </c>
      <c r="G160">
        <v>94.9</v>
      </c>
      <c r="H160">
        <v>57.77</v>
      </c>
      <c r="L160" t="s">
        <v>5922</v>
      </c>
      <c r="Q160">
        <v>57.77</v>
      </c>
      <c r="R160">
        <v>57.77</v>
      </c>
      <c r="U160">
        <v>60.26</v>
      </c>
      <c r="V160">
        <v>64.569999999999993</v>
      </c>
      <c r="W160">
        <v>73.84</v>
      </c>
      <c r="X160">
        <v>60.26</v>
      </c>
      <c r="Y160">
        <v>94.9</v>
      </c>
      <c r="Z160" t="s">
        <v>5922</v>
      </c>
    </row>
    <row r="161" spans="1:26" x14ac:dyDescent="0.2">
      <c r="A161" t="s">
        <v>436</v>
      </c>
      <c r="B161" t="s">
        <v>508</v>
      </c>
      <c r="C161" t="s">
        <v>509</v>
      </c>
      <c r="D161" t="s">
        <v>105</v>
      </c>
      <c r="E161">
        <v>94.9</v>
      </c>
      <c r="F161" t="s">
        <v>6984</v>
      </c>
      <c r="G161">
        <v>94.9</v>
      </c>
      <c r="H161">
        <v>57.77</v>
      </c>
      <c r="K161">
        <v>61.89</v>
      </c>
      <c r="L161" t="s">
        <v>5922</v>
      </c>
      <c r="Q161">
        <v>57.77</v>
      </c>
      <c r="R161">
        <v>57.77</v>
      </c>
      <c r="U161">
        <v>60.26</v>
      </c>
      <c r="V161">
        <v>64.569999999999993</v>
      </c>
      <c r="W161">
        <v>73.84</v>
      </c>
      <c r="X161">
        <v>60.26</v>
      </c>
      <c r="Y161">
        <v>94.9</v>
      </c>
      <c r="Z161" t="s">
        <v>5922</v>
      </c>
    </row>
    <row r="162" spans="1:26" x14ac:dyDescent="0.2">
      <c r="A162" t="s">
        <v>436</v>
      </c>
      <c r="B162" t="s">
        <v>510</v>
      </c>
      <c r="C162" t="s">
        <v>511</v>
      </c>
      <c r="D162" t="s">
        <v>105</v>
      </c>
      <c r="E162">
        <v>54.9</v>
      </c>
      <c r="F162" t="s">
        <v>6975</v>
      </c>
      <c r="G162">
        <v>54.9</v>
      </c>
      <c r="H162">
        <v>33.42</v>
      </c>
      <c r="K162">
        <v>35.799999999999997</v>
      </c>
      <c r="L162" t="s">
        <v>5922</v>
      </c>
      <c r="Q162">
        <v>33.42</v>
      </c>
      <c r="R162">
        <v>33.42</v>
      </c>
      <c r="U162">
        <v>48.09</v>
      </c>
      <c r="V162">
        <v>51.52</v>
      </c>
      <c r="W162">
        <v>51.67</v>
      </c>
      <c r="X162">
        <v>48.09</v>
      </c>
      <c r="Y162">
        <v>54.9</v>
      </c>
      <c r="Z162" t="s">
        <v>5922</v>
      </c>
    </row>
    <row r="163" spans="1:26" x14ac:dyDescent="0.2">
      <c r="A163" t="s">
        <v>436</v>
      </c>
      <c r="B163" t="s">
        <v>512</v>
      </c>
      <c r="C163" t="s">
        <v>513</v>
      </c>
      <c r="D163" t="s">
        <v>98</v>
      </c>
      <c r="E163">
        <v>89.9</v>
      </c>
      <c r="F163" t="s">
        <v>5922</v>
      </c>
      <c r="G163">
        <v>62.93</v>
      </c>
      <c r="H163">
        <v>54.72</v>
      </c>
      <c r="L163" t="s">
        <v>5922</v>
      </c>
      <c r="Q163">
        <v>54.72</v>
      </c>
      <c r="R163">
        <v>54.72</v>
      </c>
      <c r="U163">
        <v>54.72</v>
      </c>
      <c r="V163">
        <v>62.54</v>
      </c>
      <c r="W163">
        <v>66.45</v>
      </c>
      <c r="X163">
        <v>54.72</v>
      </c>
      <c r="Y163">
        <v>89.9</v>
      </c>
      <c r="Z163" t="s">
        <v>5922</v>
      </c>
    </row>
    <row r="164" spans="1:26" x14ac:dyDescent="0.2">
      <c r="A164" t="s">
        <v>436</v>
      </c>
      <c r="B164" t="s">
        <v>514</v>
      </c>
      <c r="C164" t="s">
        <v>515</v>
      </c>
      <c r="D164" t="s">
        <v>98</v>
      </c>
      <c r="E164">
        <v>184.9</v>
      </c>
      <c r="F164" t="s">
        <v>5922</v>
      </c>
      <c r="G164">
        <v>184.9</v>
      </c>
      <c r="H164">
        <v>112.55</v>
      </c>
      <c r="L164" t="s">
        <v>5922</v>
      </c>
      <c r="Q164">
        <v>112.55</v>
      </c>
      <c r="R164">
        <v>112.55</v>
      </c>
      <c r="U164">
        <v>112</v>
      </c>
      <c r="V164">
        <v>120</v>
      </c>
      <c r="W164">
        <v>136</v>
      </c>
      <c r="X164">
        <v>106.46</v>
      </c>
      <c r="Y164">
        <v>184.9</v>
      </c>
      <c r="Z164" t="s">
        <v>5922</v>
      </c>
    </row>
    <row r="165" spans="1:26" x14ac:dyDescent="0.2">
      <c r="A165" t="s">
        <v>436</v>
      </c>
      <c r="B165" t="s">
        <v>516</v>
      </c>
      <c r="C165" t="s">
        <v>517</v>
      </c>
      <c r="D165" t="s">
        <v>105</v>
      </c>
      <c r="E165">
        <v>139.9</v>
      </c>
      <c r="F165" t="s">
        <v>6985</v>
      </c>
      <c r="G165">
        <v>139.9</v>
      </c>
      <c r="H165">
        <v>85.16</v>
      </c>
      <c r="L165" t="s">
        <v>5922</v>
      </c>
      <c r="Q165">
        <v>85.16</v>
      </c>
      <c r="R165">
        <v>85.16</v>
      </c>
      <c r="U165">
        <v>84.61</v>
      </c>
      <c r="V165">
        <v>90.65</v>
      </c>
      <c r="W165">
        <v>102.74</v>
      </c>
      <c r="X165">
        <v>84.61</v>
      </c>
      <c r="Y165">
        <v>139.9</v>
      </c>
      <c r="Z165" t="s">
        <v>5922</v>
      </c>
    </row>
    <row r="166" spans="1:26" x14ac:dyDescent="0.2">
      <c r="A166" t="s">
        <v>436</v>
      </c>
      <c r="B166" t="s">
        <v>6986</v>
      </c>
      <c r="C166" t="s">
        <v>6987</v>
      </c>
      <c r="D166" t="s">
        <v>105</v>
      </c>
      <c r="E166">
        <v>64.900000000000006</v>
      </c>
      <c r="F166" t="s">
        <v>6972</v>
      </c>
      <c r="H166">
        <v>42</v>
      </c>
      <c r="L166" t="s">
        <v>5922</v>
      </c>
      <c r="U166">
        <v>43.2</v>
      </c>
      <c r="V166">
        <v>45</v>
      </c>
      <c r="X166">
        <v>42</v>
      </c>
      <c r="Y166">
        <v>64.900000000000006</v>
      </c>
      <c r="Z166" t="s">
        <v>5922</v>
      </c>
    </row>
    <row r="167" spans="1:26" x14ac:dyDescent="0.2">
      <c r="A167" t="s">
        <v>436</v>
      </c>
      <c r="B167" t="s">
        <v>6988</v>
      </c>
      <c r="C167" t="s">
        <v>6989</v>
      </c>
      <c r="D167" t="s">
        <v>105</v>
      </c>
      <c r="E167">
        <v>64.900000000000006</v>
      </c>
      <c r="F167" t="s">
        <v>6972</v>
      </c>
      <c r="H167">
        <v>42</v>
      </c>
      <c r="L167" t="s">
        <v>5922</v>
      </c>
      <c r="U167">
        <v>43.2</v>
      </c>
      <c r="V167">
        <v>45</v>
      </c>
      <c r="X167">
        <v>42</v>
      </c>
      <c r="Y167">
        <v>64.900000000000006</v>
      </c>
      <c r="Z167" t="s">
        <v>5922</v>
      </c>
    </row>
    <row r="168" spans="1:26" x14ac:dyDescent="0.2">
      <c r="A168" t="s">
        <v>436</v>
      </c>
      <c r="B168" t="s">
        <v>6990</v>
      </c>
      <c r="C168" t="s">
        <v>6991</v>
      </c>
      <c r="D168" t="s">
        <v>105</v>
      </c>
      <c r="E168">
        <v>69.900000000000006</v>
      </c>
      <c r="F168" t="s">
        <v>6974</v>
      </c>
      <c r="H168">
        <v>42</v>
      </c>
      <c r="L168" t="s">
        <v>5922</v>
      </c>
      <c r="U168">
        <v>43.2</v>
      </c>
      <c r="V168">
        <v>45</v>
      </c>
      <c r="X168">
        <v>42</v>
      </c>
      <c r="Y168">
        <v>69.900000000000006</v>
      </c>
      <c r="Z168" t="s">
        <v>5922</v>
      </c>
    </row>
    <row r="169" spans="1:26" x14ac:dyDescent="0.2">
      <c r="A169" t="s">
        <v>436</v>
      </c>
      <c r="B169" t="s">
        <v>6992</v>
      </c>
      <c r="C169" t="s">
        <v>6993</v>
      </c>
      <c r="D169" t="s">
        <v>105</v>
      </c>
      <c r="E169">
        <v>49.9</v>
      </c>
      <c r="F169" t="s">
        <v>6980</v>
      </c>
      <c r="H169">
        <v>32.869999999999997</v>
      </c>
      <c r="L169" t="s">
        <v>5922</v>
      </c>
      <c r="U169">
        <v>33.81</v>
      </c>
      <c r="V169">
        <v>35.22</v>
      </c>
      <c r="X169">
        <v>32.869999999999997</v>
      </c>
      <c r="Y169">
        <v>49.9</v>
      </c>
      <c r="Z169" t="s">
        <v>5922</v>
      </c>
    </row>
    <row r="170" spans="1:26" x14ac:dyDescent="0.2">
      <c r="A170" t="s">
        <v>436</v>
      </c>
      <c r="B170" t="s">
        <v>6994</v>
      </c>
      <c r="C170" t="s">
        <v>6995</v>
      </c>
      <c r="D170" t="s">
        <v>105</v>
      </c>
      <c r="E170">
        <v>49.9</v>
      </c>
      <c r="F170" t="s">
        <v>6980</v>
      </c>
      <c r="H170">
        <v>32.869999999999997</v>
      </c>
      <c r="L170" t="s">
        <v>5922</v>
      </c>
      <c r="U170">
        <v>33.81</v>
      </c>
      <c r="V170">
        <v>35.22</v>
      </c>
      <c r="X170">
        <v>32.869999999999997</v>
      </c>
      <c r="Y170">
        <v>49.9</v>
      </c>
      <c r="Z170" t="s">
        <v>5922</v>
      </c>
    </row>
    <row r="171" spans="1:26" x14ac:dyDescent="0.2">
      <c r="A171" t="s">
        <v>436</v>
      </c>
      <c r="B171" t="s">
        <v>6996</v>
      </c>
      <c r="C171" t="s">
        <v>6997</v>
      </c>
      <c r="D171" t="s">
        <v>105</v>
      </c>
      <c r="E171">
        <v>49.9</v>
      </c>
      <c r="F171" t="s">
        <v>6980</v>
      </c>
      <c r="H171">
        <v>32.869999999999997</v>
      </c>
      <c r="L171" t="s">
        <v>5922</v>
      </c>
      <c r="U171">
        <v>33.81</v>
      </c>
      <c r="V171">
        <v>35.22</v>
      </c>
      <c r="X171">
        <v>32.869999999999997</v>
      </c>
      <c r="Y171">
        <v>49.9</v>
      </c>
      <c r="Z171" t="s">
        <v>5922</v>
      </c>
    </row>
    <row r="172" spans="1:26" x14ac:dyDescent="0.2">
      <c r="A172" t="s">
        <v>436</v>
      </c>
      <c r="B172" t="s">
        <v>6998</v>
      </c>
      <c r="C172" t="s">
        <v>6999</v>
      </c>
      <c r="D172" t="s">
        <v>105</v>
      </c>
      <c r="E172">
        <v>49.9</v>
      </c>
      <c r="F172" t="s">
        <v>6980</v>
      </c>
      <c r="H172">
        <v>32.869999999999997</v>
      </c>
      <c r="L172" t="s">
        <v>5922</v>
      </c>
      <c r="U172">
        <v>33.81</v>
      </c>
      <c r="V172">
        <v>35.22</v>
      </c>
      <c r="X172">
        <v>32.869999999999997</v>
      </c>
      <c r="Y172">
        <v>49.9</v>
      </c>
      <c r="Z172" t="s">
        <v>5922</v>
      </c>
    </row>
    <row r="173" spans="1:26" x14ac:dyDescent="0.2">
      <c r="A173" t="s">
        <v>436</v>
      </c>
      <c r="B173" t="s">
        <v>7000</v>
      </c>
      <c r="C173" t="s">
        <v>7001</v>
      </c>
      <c r="D173" t="s">
        <v>105</v>
      </c>
      <c r="E173">
        <v>64.900000000000006</v>
      </c>
      <c r="F173" t="s">
        <v>6972</v>
      </c>
      <c r="H173">
        <v>42</v>
      </c>
      <c r="L173" t="s">
        <v>5922</v>
      </c>
      <c r="U173">
        <v>43.2</v>
      </c>
      <c r="V173">
        <v>45</v>
      </c>
      <c r="X173">
        <v>42</v>
      </c>
      <c r="Y173">
        <v>64.900000000000006</v>
      </c>
      <c r="Z173" t="s">
        <v>5922</v>
      </c>
    </row>
    <row r="174" spans="1:26" x14ac:dyDescent="0.2">
      <c r="A174" t="s">
        <v>436</v>
      </c>
      <c r="B174" t="s">
        <v>7002</v>
      </c>
      <c r="C174" t="s">
        <v>7003</v>
      </c>
      <c r="D174" t="s">
        <v>105</v>
      </c>
      <c r="E174">
        <v>64.900000000000006</v>
      </c>
      <c r="F174" t="s">
        <v>6972</v>
      </c>
      <c r="H174">
        <v>42</v>
      </c>
      <c r="L174" t="s">
        <v>5922</v>
      </c>
      <c r="U174">
        <v>43.2</v>
      </c>
      <c r="V174">
        <v>45</v>
      </c>
      <c r="X174">
        <v>42</v>
      </c>
      <c r="Y174">
        <v>64.900000000000006</v>
      </c>
      <c r="Z174" t="s">
        <v>5922</v>
      </c>
    </row>
    <row r="175" spans="1:26" x14ac:dyDescent="0.2">
      <c r="A175" t="s">
        <v>436</v>
      </c>
      <c r="B175" t="s">
        <v>7004</v>
      </c>
      <c r="C175" t="s">
        <v>7005</v>
      </c>
      <c r="D175" t="s">
        <v>105</v>
      </c>
      <c r="E175">
        <v>64.900000000000006</v>
      </c>
      <c r="F175" t="s">
        <v>6972</v>
      </c>
      <c r="H175">
        <v>42</v>
      </c>
      <c r="L175" t="s">
        <v>5922</v>
      </c>
      <c r="U175">
        <v>43.2</v>
      </c>
      <c r="V175">
        <v>45</v>
      </c>
      <c r="X175">
        <v>42</v>
      </c>
      <c r="Y175">
        <v>64.900000000000006</v>
      </c>
      <c r="Z175" t="s">
        <v>5922</v>
      </c>
    </row>
    <row r="176" spans="1:26" x14ac:dyDescent="0.2">
      <c r="A176" t="s">
        <v>436</v>
      </c>
      <c r="B176" t="s">
        <v>7006</v>
      </c>
      <c r="C176" t="s">
        <v>7007</v>
      </c>
      <c r="D176" t="s">
        <v>105</v>
      </c>
      <c r="E176">
        <v>139.9</v>
      </c>
      <c r="F176" t="s">
        <v>6985</v>
      </c>
      <c r="H176">
        <v>84.61</v>
      </c>
      <c r="L176" t="s">
        <v>5922</v>
      </c>
      <c r="U176">
        <v>87.03</v>
      </c>
      <c r="V176">
        <v>90.65</v>
      </c>
      <c r="X176">
        <v>84.61</v>
      </c>
      <c r="Y176">
        <v>139.9</v>
      </c>
      <c r="Z176" t="s">
        <v>5922</v>
      </c>
    </row>
    <row r="177" spans="1:26" x14ac:dyDescent="0.2">
      <c r="A177" t="s">
        <v>436</v>
      </c>
      <c r="B177" t="s">
        <v>7008</v>
      </c>
      <c r="C177" t="s">
        <v>7009</v>
      </c>
      <c r="D177" t="s">
        <v>105</v>
      </c>
      <c r="E177">
        <v>29.9</v>
      </c>
      <c r="F177" t="s">
        <v>7010</v>
      </c>
      <c r="H177">
        <v>21.3</v>
      </c>
      <c r="L177" t="s">
        <v>5922</v>
      </c>
      <c r="U177">
        <v>21.91</v>
      </c>
      <c r="V177">
        <v>22.83</v>
      </c>
      <c r="X177">
        <v>21.3</v>
      </c>
      <c r="Y177">
        <v>29.9</v>
      </c>
      <c r="Z177" t="s">
        <v>5922</v>
      </c>
    </row>
    <row r="178" spans="1:26" x14ac:dyDescent="0.2">
      <c r="A178" t="s">
        <v>436</v>
      </c>
      <c r="B178" t="s">
        <v>518</v>
      </c>
      <c r="C178" t="s">
        <v>519</v>
      </c>
      <c r="D178" t="s">
        <v>105</v>
      </c>
      <c r="E178">
        <v>49.9</v>
      </c>
      <c r="F178" t="s">
        <v>6980</v>
      </c>
      <c r="G178">
        <v>49.9</v>
      </c>
      <c r="H178">
        <v>30.37</v>
      </c>
      <c r="L178" t="s">
        <v>5922</v>
      </c>
      <c r="Q178">
        <v>30.37</v>
      </c>
      <c r="R178">
        <v>30.37</v>
      </c>
      <c r="U178">
        <v>35.909999999999997</v>
      </c>
      <c r="V178">
        <v>38.479999999999997</v>
      </c>
      <c r="W178">
        <v>36.880000000000003</v>
      </c>
      <c r="X178">
        <v>35.909999999999997</v>
      </c>
      <c r="Y178">
        <v>49.9</v>
      </c>
      <c r="Z178" t="s">
        <v>5922</v>
      </c>
    </row>
    <row r="179" spans="1:26" x14ac:dyDescent="0.2">
      <c r="A179" t="s">
        <v>436</v>
      </c>
      <c r="B179" t="s">
        <v>520</v>
      </c>
      <c r="C179" t="s">
        <v>521</v>
      </c>
      <c r="D179" t="s">
        <v>105</v>
      </c>
      <c r="E179">
        <v>34.9</v>
      </c>
      <c r="F179" t="s">
        <v>7011</v>
      </c>
      <c r="G179">
        <v>34.9</v>
      </c>
      <c r="H179">
        <v>21.24</v>
      </c>
      <c r="L179" t="s">
        <v>5922</v>
      </c>
      <c r="Q179">
        <v>21.24</v>
      </c>
      <c r="R179">
        <v>21.24</v>
      </c>
      <c r="U179">
        <v>26.78</v>
      </c>
      <c r="V179">
        <v>28.7</v>
      </c>
      <c r="W179">
        <v>25.8</v>
      </c>
      <c r="X179">
        <v>26.78</v>
      </c>
      <c r="Y179">
        <v>34.9</v>
      </c>
      <c r="Z179" t="s">
        <v>5922</v>
      </c>
    </row>
    <row r="180" spans="1:26" x14ac:dyDescent="0.2">
      <c r="A180" t="s">
        <v>436</v>
      </c>
      <c r="B180" t="s">
        <v>522</v>
      </c>
      <c r="C180" t="s">
        <v>523</v>
      </c>
      <c r="D180" t="s">
        <v>98</v>
      </c>
      <c r="E180">
        <v>39.9</v>
      </c>
      <c r="F180" t="s">
        <v>5922</v>
      </c>
      <c r="G180">
        <v>27.93</v>
      </c>
      <c r="H180">
        <v>24.29</v>
      </c>
      <c r="L180" t="s">
        <v>5922</v>
      </c>
      <c r="Q180">
        <v>24.29</v>
      </c>
      <c r="R180">
        <v>24.29</v>
      </c>
      <c r="U180">
        <v>24.29</v>
      </c>
      <c r="V180">
        <v>27.76</v>
      </c>
      <c r="W180">
        <v>29.49</v>
      </c>
      <c r="X180">
        <v>24.29</v>
      </c>
      <c r="Y180">
        <v>39.9</v>
      </c>
      <c r="Z180" t="s">
        <v>5922</v>
      </c>
    </row>
    <row r="181" spans="1:26" x14ac:dyDescent="0.2">
      <c r="A181" t="s">
        <v>436</v>
      </c>
      <c r="B181" t="s">
        <v>524</v>
      </c>
      <c r="C181" t="s">
        <v>525</v>
      </c>
      <c r="D181" t="s">
        <v>98</v>
      </c>
      <c r="E181">
        <v>19.899999999999999</v>
      </c>
      <c r="F181" t="s">
        <v>5922</v>
      </c>
      <c r="G181">
        <v>19</v>
      </c>
      <c r="H181">
        <v>11.57</v>
      </c>
      <c r="L181" t="s">
        <v>5922</v>
      </c>
      <c r="Q181">
        <v>11.57</v>
      </c>
      <c r="R181">
        <v>11.57</v>
      </c>
      <c r="U181">
        <v>20.7</v>
      </c>
      <c r="V181">
        <v>22.17</v>
      </c>
      <c r="W181">
        <v>16.89</v>
      </c>
      <c r="X181">
        <v>15.16</v>
      </c>
      <c r="Y181">
        <v>19</v>
      </c>
      <c r="Z181" t="s">
        <v>5922</v>
      </c>
    </row>
    <row r="182" spans="1:26" x14ac:dyDescent="0.2">
      <c r="A182" t="s">
        <v>436</v>
      </c>
      <c r="B182" t="s">
        <v>526</v>
      </c>
      <c r="C182" t="s">
        <v>527</v>
      </c>
      <c r="D182" t="s">
        <v>98</v>
      </c>
      <c r="E182">
        <v>19</v>
      </c>
      <c r="F182" t="s">
        <v>5922</v>
      </c>
      <c r="G182">
        <v>19</v>
      </c>
      <c r="H182">
        <v>20.8</v>
      </c>
      <c r="L182" t="s">
        <v>5922</v>
      </c>
      <c r="U182">
        <v>20.7</v>
      </c>
      <c r="V182">
        <v>22.17</v>
      </c>
      <c r="W182">
        <v>16.89</v>
      </c>
      <c r="X182">
        <v>15.16</v>
      </c>
      <c r="Y182">
        <v>19</v>
      </c>
      <c r="Z182" t="s">
        <v>5922</v>
      </c>
    </row>
    <row r="183" spans="1:26" x14ac:dyDescent="0.2">
      <c r="A183" t="s">
        <v>436</v>
      </c>
      <c r="B183" t="s">
        <v>528</v>
      </c>
      <c r="C183" t="s">
        <v>529</v>
      </c>
      <c r="D183" t="s">
        <v>105</v>
      </c>
      <c r="E183">
        <v>49.9</v>
      </c>
      <c r="F183" t="s">
        <v>6980</v>
      </c>
      <c r="G183">
        <v>49.9</v>
      </c>
      <c r="H183">
        <v>30.37</v>
      </c>
      <c r="K183">
        <v>32.54</v>
      </c>
      <c r="L183" t="s">
        <v>5922</v>
      </c>
      <c r="Q183">
        <v>30.37</v>
      </c>
      <c r="R183">
        <v>30.37</v>
      </c>
      <c r="U183">
        <v>35.909999999999997</v>
      </c>
      <c r="V183">
        <v>38.479999999999997</v>
      </c>
      <c r="W183">
        <v>36.880000000000003</v>
      </c>
      <c r="X183">
        <v>35.909999999999997</v>
      </c>
      <c r="Y183">
        <v>49.9</v>
      </c>
      <c r="Z183" t="s">
        <v>5922</v>
      </c>
    </row>
    <row r="184" spans="1:26" x14ac:dyDescent="0.2">
      <c r="A184" t="s">
        <v>436</v>
      </c>
      <c r="B184" t="s">
        <v>530</v>
      </c>
      <c r="C184" t="s">
        <v>531</v>
      </c>
      <c r="D184" t="s">
        <v>105</v>
      </c>
      <c r="E184">
        <v>34.9</v>
      </c>
      <c r="F184" t="s">
        <v>7011</v>
      </c>
      <c r="G184">
        <v>34.9</v>
      </c>
      <c r="H184">
        <v>21.24</v>
      </c>
      <c r="K184">
        <v>22.76</v>
      </c>
      <c r="L184" t="s">
        <v>5922</v>
      </c>
      <c r="Q184">
        <v>21.24</v>
      </c>
      <c r="R184">
        <v>21.24</v>
      </c>
      <c r="U184">
        <v>26.78</v>
      </c>
      <c r="V184">
        <v>28.7</v>
      </c>
      <c r="W184">
        <v>25.8</v>
      </c>
      <c r="X184">
        <v>26.78</v>
      </c>
      <c r="Y184">
        <v>34.9</v>
      </c>
      <c r="Z184" t="s">
        <v>5922</v>
      </c>
    </row>
    <row r="185" spans="1:26" x14ac:dyDescent="0.2">
      <c r="A185" t="s">
        <v>436</v>
      </c>
      <c r="B185" t="s">
        <v>532</v>
      </c>
      <c r="C185" t="s">
        <v>533</v>
      </c>
      <c r="D185" t="s">
        <v>98</v>
      </c>
      <c r="E185">
        <v>29.9</v>
      </c>
      <c r="F185" t="s">
        <v>5922</v>
      </c>
      <c r="G185">
        <v>29</v>
      </c>
      <c r="H185">
        <v>17.649999999999999</v>
      </c>
      <c r="L185" t="s">
        <v>5922</v>
      </c>
      <c r="Q185">
        <v>17.649999999999999</v>
      </c>
      <c r="R185">
        <v>17.649999999999999</v>
      </c>
      <c r="U185">
        <v>26.78</v>
      </c>
      <c r="V185">
        <v>28.7</v>
      </c>
      <c r="W185">
        <v>25.8</v>
      </c>
      <c r="X185">
        <v>21.24</v>
      </c>
      <c r="Y185">
        <v>29</v>
      </c>
      <c r="Z185" t="s">
        <v>5922</v>
      </c>
    </row>
    <row r="186" spans="1:26" x14ac:dyDescent="0.2">
      <c r="A186" t="s">
        <v>436</v>
      </c>
      <c r="B186" t="s">
        <v>534</v>
      </c>
      <c r="C186" t="s">
        <v>535</v>
      </c>
      <c r="D186" t="s">
        <v>98</v>
      </c>
      <c r="E186">
        <v>29.9</v>
      </c>
      <c r="F186" t="s">
        <v>7010</v>
      </c>
      <c r="G186">
        <v>29.9</v>
      </c>
      <c r="H186">
        <v>18.2</v>
      </c>
      <c r="L186" t="s">
        <v>5922</v>
      </c>
      <c r="Q186">
        <v>18.2</v>
      </c>
      <c r="R186">
        <v>18.2</v>
      </c>
      <c r="U186">
        <v>29.83</v>
      </c>
      <c r="V186">
        <v>31.96</v>
      </c>
      <c r="W186">
        <v>33.19</v>
      </c>
      <c r="X186">
        <v>29.83</v>
      </c>
      <c r="Y186">
        <v>29.9</v>
      </c>
      <c r="Z186" t="s">
        <v>5922</v>
      </c>
    </row>
    <row r="187" spans="1:26" x14ac:dyDescent="0.2">
      <c r="A187" t="s">
        <v>436</v>
      </c>
      <c r="B187" t="s">
        <v>536</v>
      </c>
      <c r="C187" t="s">
        <v>537</v>
      </c>
      <c r="D187" t="s">
        <v>98</v>
      </c>
      <c r="E187">
        <v>44.9</v>
      </c>
      <c r="F187" t="s">
        <v>5922</v>
      </c>
      <c r="G187">
        <v>44</v>
      </c>
      <c r="H187">
        <v>26.78</v>
      </c>
      <c r="L187" t="s">
        <v>5922</v>
      </c>
      <c r="Q187">
        <v>26.78</v>
      </c>
      <c r="R187">
        <v>26.78</v>
      </c>
      <c r="U187">
        <v>35.909999999999997</v>
      </c>
      <c r="V187">
        <v>38.479999999999997</v>
      </c>
      <c r="W187">
        <v>33.19</v>
      </c>
      <c r="X187">
        <v>27.33</v>
      </c>
      <c r="Y187">
        <v>44</v>
      </c>
      <c r="Z187" t="s">
        <v>5922</v>
      </c>
    </row>
    <row r="188" spans="1:26" x14ac:dyDescent="0.2">
      <c r="A188" t="s">
        <v>436</v>
      </c>
      <c r="B188" t="s">
        <v>538</v>
      </c>
      <c r="C188" t="s">
        <v>539</v>
      </c>
      <c r="D188" t="s">
        <v>105</v>
      </c>
      <c r="E188">
        <v>49.9</v>
      </c>
      <c r="F188" t="s">
        <v>6980</v>
      </c>
      <c r="G188">
        <v>49.9</v>
      </c>
      <c r="H188">
        <v>30.37</v>
      </c>
      <c r="K188">
        <v>32.54</v>
      </c>
      <c r="L188" t="s">
        <v>5922</v>
      </c>
      <c r="Q188">
        <v>30.37</v>
      </c>
      <c r="R188">
        <v>30.37</v>
      </c>
      <c r="U188">
        <v>35.909999999999997</v>
      </c>
      <c r="V188">
        <v>38.479999999999997</v>
      </c>
      <c r="W188">
        <v>36.880000000000003</v>
      </c>
      <c r="X188">
        <v>35.909999999999997</v>
      </c>
      <c r="Y188">
        <v>49.9</v>
      </c>
      <c r="Z188" t="s">
        <v>5922</v>
      </c>
    </row>
    <row r="189" spans="1:26" x14ac:dyDescent="0.2">
      <c r="A189" t="s">
        <v>436</v>
      </c>
      <c r="B189" t="s">
        <v>540</v>
      </c>
      <c r="C189" t="s">
        <v>541</v>
      </c>
      <c r="D189" t="s">
        <v>105</v>
      </c>
      <c r="E189">
        <v>49.9</v>
      </c>
      <c r="F189" t="s">
        <v>6980</v>
      </c>
      <c r="G189">
        <v>49.9</v>
      </c>
      <c r="H189">
        <v>30.37</v>
      </c>
      <c r="L189" t="s">
        <v>5922</v>
      </c>
      <c r="Q189">
        <v>30.37</v>
      </c>
      <c r="R189">
        <v>30.37</v>
      </c>
      <c r="U189">
        <v>35.909999999999997</v>
      </c>
      <c r="V189">
        <v>38.479999999999997</v>
      </c>
      <c r="W189">
        <v>36.880000000000003</v>
      </c>
      <c r="X189">
        <v>35.909999999999997</v>
      </c>
      <c r="Y189">
        <v>49.9</v>
      </c>
      <c r="Z189" t="s">
        <v>5922</v>
      </c>
    </row>
    <row r="190" spans="1:26" x14ac:dyDescent="0.2">
      <c r="A190" t="s">
        <v>436</v>
      </c>
      <c r="B190" t="s">
        <v>542</v>
      </c>
      <c r="C190" t="s">
        <v>543</v>
      </c>
      <c r="D190" t="s">
        <v>105</v>
      </c>
      <c r="E190">
        <v>134.9</v>
      </c>
      <c r="F190" t="s">
        <v>7012</v>
      </c>
      <c r="G190">
        <v>134.9</v>
      </c>
      <c r="H190">
        <v>82.11</v>
      </c>
      <c r="L190" t="s">
        <v>5922</v>
      </c>
      <c r="Q190">
        <v>82.11</v>
      </c>
      <c r="R190">
        <v>82.11</v>
      </c>
      <c r="U190">
        <v>78.52</v>
      </c>
      <c r="V190">
        <v>84.13</v>
      </c>
      <c r="W190">
        <v>96.01</v>
      </c>
      <c r="X190">
        <v>78.52</v>
      </c>
      <c r="Y190">
        <v>134.9</v>
      </c>
      <c r="Z190" t="s">
        <v>5922</v>
      </c>
    </row>
    <row r="191" spans="1:26" x14ac:dyDescent="0.2">
      <c r="A191" t="s">
        <v>436</v>
      </c>
      <c r="B191" t="s">
        <v>544</v>
      </c>
      <c r="C191" t="s">
        <v>545</v>
      </c>
      <c r="D191" t="s">
        <v>105</v>
      </c>
      <c r="E191">
        <v>54.9</v>
      </c>
      <c r="F191" t="s">
        <v>6975</v>
      </c>
      <c r="G191">
        <v>54.9</v>
      </c>
      <c r="H191">
        <v>33.42</v>
      </c>
      <c r="L191" t="s">
        <v>5922</v>
      </c>
      <c r="M191">
        <v>28.64</v>
      </c>
      <c r="U191">
        <v>42</v>
      </c>
      <c r="V191">
        <v>45</v>
      </c>
      <c r="W191">
        <v>44.27</v>
      </c>
      <c r="X191">
        <v>42</v>
      </c>
      <c r="Y191">
        <v>54.9</v>
      </c>
      <c r="Z191" t="s">
        <v>5922</v>
      </c>
    </row>
    <row r="192" spans="1:26" x14ac:dyDescent="0.2">
      <c r="A192" t="s">
        <v>436</v>
      </c>
      <c r="B192" t="s">
        <v>546</v>
      </c>
      <c r="C192" t="s">
        <v>547</v>
      </c>
      <c r="D192" t="s">
        <v>105</v>
      </c>
      <c r="E192">
        <v>144.9</v>
      </c>
      <c r="F192" t="s">
        <v>7013</v>
      </c>
      <c r="G192">
        <v>144.9</v>
      </c>
      <c r="H192">
        <v>88.2</v>
      </c>
      <c r="L192" t="s">
        <v>5922</v>
      </c>
      <c r="Q192">
        <v>88.2</v>
      </c>
      <c r="R192">
        <v>88.2</v>
      </c>
      <c r="U192">
        <v>96.78</v>
      </c>
      <c r="V192">
        <v>103.7</v>
      </c>
      <c r="W192">
        <v>114.49</v>
      </c>
      <c r="X192">
        <v>96.78</v>
      </c>
      <c r="Y192">
        <v>144.9</v>
      </c>
      <c r="Z192" t="s">
        <v>5922</v>
      </c>
    </row>
    <row r="193" spans="1:26" x14ac:dyDescent="0.2">
      <c r="A193" t="s">
        <v>436</v>
      </c>
      <c r="B193" t="s">
        <v>548</v>
      </c>
      <c r="C193" t="s">
        <v>549</v>
      </c>
      <c r="D193" t="s">
        <v>98</v>
      </c>
      <c r="E193">
        <v>84.9</v>
      </c>
      <c r="F193" t="s">
        <v>7014</v>
      </c>
      <c r="G193">
        <v>84.9</v>
      </c>
      <c r="H193">
        <v>51.68</v>
      </c>
      <c r="L193" t="s">
        <v>5922</v>
      </c>
      <c r="Q193">
        <v>51.68</v>
      </c>
      <c r="R193">
        <v>51.68</v>
      </c>
      <c r="U193">
        <v>60.26</v>
      </c>
      <c r="V193">
        <v>64.569999999999993</v>
      </c>
      <c r="W193">
        <v>66.45</v>
      </c>
      <c r="X193">
        <v>54.72</v>
      </c>
      <c r="Y193">
        <v>84.9</v>
      </c>
      <c r="Z193" t="s">
        <v>5922</v>
      </c>
    </row>
    <row r="194" spans="1:26" x14ac:dyDescent="0.2">
      <c r="A194" t="s">
        <v>436</v>
      </c>
      <c r="B194" t="s">
        <v>550</v>
      </c>
      <c r="C194" t="s">
        <v>551</v>
      </c>
      <c r="D194" t="s">
        <v>105</v>
      </c>
      <c r="E194">
        <v>59.9</v>
      </c>
      <c r="F194" t="s">
        <v>7015</v>
      </c>
      <c r="H194">
        <v>36.46</v>
      </c>
      <c r="L194" t="s">
        <v>5922</v>
      </c>
      <c r="M194">
        <v>31.25</v>
      </c>
      <c r="U194">
        <v>45.04</v>
      </c>
      <c r="V194">
        <v>48.26</v>
      </c>
      <c r="W194">
        <v>47.97</v>
      </c>
      <c r="X194">
        <v>45.04</v>
      </c>
      <c r="Y194">
        <v>59.9</v>
      </c>
      <c r="Z194" t="s">
        <v>5922</v>
      </c>
    </row>
    <row r="195" spans="1:26" x14ac:dyDescent="0.2">
      <c r="A195" t="s">
        <v>436</v>
      </c>
      <c r="B195" t="s">
        <v>552</v>
      </c>
      <c r="C195" t="s">
        <v>553</v>
      </c>
      <c r="D195" t="s">
        <v>98</v>
      </c>
      <c r="E195">
        <v>159.9</v>
      </c>
      <c r="F195" t="s">
        <v>7016</v>
      </c>
      <c r="G195">
        <v>159.9</v>
      </c>
      <c r="H195">
        <v>97.33</v>
      </c>
      <c r="L195" t="s">
        <v>5922</v>
      </c>
      <c r="Q195">
        <v>97.33</v>
      </c>
      <c r="R195">
        <v>97.33</v>
      </c>
      <c r="U195">
        <v>115.04</v>
      </c>
      <c r="V195">
        <v>123.26</v>
      </c>
      <c r="W195">
        <v>136.66999999999999</v>
      </c>
      <c r="X195">
        <v>112.55</v>
      </c>
      <c r="Y195">
        <v>159.9</v>
      </c>
      <c r="Z195" t="s">
        <v>5922</v>
      </c>
    </row>
    <row r="196" spans="1:26" x14ac:dyDescent="0.2">
      <c r="A196" t="s">
        <v>436</v>
      </c>
      <c r="B196" t="s">
        <v>554</v>
      </c>
      <c r="C196" t="s">
        <v>555</v>
      </c>
      <c r="D196" t="s">
        <v>98</v>
      </c>
      <c r="E196">
        <v>174.9</v>
      </c>
      <c r="F196" t="s">
        <v>7017</v>
      </c>
      <c r="G196">
        <v>174.9</v>
      </c>
      <c r="H196">
        <v>106.46</v>
      </c>
      <c r="L196" t="s">
        <v>5922</v>
      </c>
      <c r="Q196">
        <v>106.46</v>
      </c>
      <c r="R196">
        <v>106.46</v>
      </c>
      <c r="U196">
        <v>121.13</v>
      </c>
      <c r="V196">
        <v>129.78</v>
      </c>
      <c r="W196">
        <v>144.06</v>
      </c>
      <c r="X196">
        <v>121.13</v>
      </c>
      <c r="Y196">
        <v>174.9</v>
      </c>
      <c r="Z196" t="s">
        <v>5922</v>
      </c>
    </row>
    <row r="197" spans="1:26" x14ac:dyDescent="0.2">
      <c r="A197" t="s">
        <v>436</v>
      </c>
      <c r="B197" t="s">
        <v>556</v>
      </c>
      <c r="C197" t="s">
        <v>557</v>
      </c>
      <c r="D197" t="s">
        <v>105</v>
      </c>
      <c r="E197">
        <v>39.9</v>
      </c>
      <c r="F197" t="s">
        <v>7018</v>
      </c>
      <c r="G197">
        <v>39.9</v>
      </c>
      <c r="H197">
        <v>24.29</v>
      </c>
      <c r="L197" t="s">
        <v>5922</v>
      </c>
      <c r="Q197">
        <v>24.29</v>
      </c>
      <c r="R197">
        <v>24.29</v>
      </c>
      <c r="U197">
        <v>32.869999999999997</v>
      </c>
      <c r="V197">
        <v>35.22</v>
      </c>
      <c r="W197">
        <v>33.19</v>
      </c>
      <c r="X197">
        <v>32.869999999999997</v>
      </c>
      <c r="Y197">
        <v>39.9</v>
      </c>
      <c r="Z197" t="s">
        <v>5922</v>
      </c>
    </row>
    <row r="198" spans="1:26" x14ac:dyDescent="0.2">
      <c r="A198" t="s">
        <v>436</v>
      </c>
      <c r="B198" t="s">
        <v>558</v>
      </c>
      <c r="C198" t="s">
        <v>559</v>
      </c>
      <c r="D198" t="s">
        <v>98</v>
      </c>
      <c r="E198">
        <v>99.9</v>
      </c>
      <c r="F198" t="s">
        <v>7019</v>
      </c>
      <c r="G198">
        <v>99.9</v>
      </c>
      <c r="H198">
        <v>60.81</v>
      </c>
      <c r="L198" t="s">
        <v>5922</v>
      </c>
      <c r="Q198">
        <v>60.81</v>
      </c>
      <c r="R198">
        <v>60.81</v>
      </c>
      <c r="U198">
        <v>66.349999999999994</v>
      </c>
      <c r="V198">
        <v>71.09</v>
      </c>
      <c r="W198">
        <v>77.53</v>
      </c>
      <c r="X198">
        <v>63.85</v>
      </c>
      <c r="Y198">
        <v>99.9</v>
      </c>
      <c r="Z198" t="s">
        <v>5922</v>
      </c>
    </row>
    <row r="199" spans="1:26" x14ac:dyDescent="0.2">
      <c r="A199" t="s">
        <v>436</v>
      </c>
      <c r="B199" t="s">
        <v>560</v>
      </c>
      <c r="C199" t="s">
        <v>561</v>
      </c>
      <c r="D199" t="s">
        <v>98</v>
      </c>
      <c r="E199">
        <v>59.9</v>
      </c>
      <c r="F199" t="s">
        <v>7015</v>
      </c>
      <c r="G199">
        <v>59.9</v>
      </c>
      <c r="H199">
        <v>36.46</v>
      </c>
      <c r="L199" t="s">
        <v>5922</v>
      </c>
      <c r="Q199">
        <v>36.46</v>
      </c>
      <c r="R199">
        <v>36.46</v>
      </c>
      <c r="U199">
        <v>42</v>
      </c>
      <c r="V199">
        <v>45</v>
      </c>
      <c r="W199">
        <v>44.27</v>
      </c>
      <c r="X199">
        <v>33.42</v>
      </c>
      <c r="Y199">
        <v>59.9</v>
      </c>
      <c r="Z199" t="s">
        <v>5922</v>
      </c>
    </row>
    <row r="200" spans="1:26" x14ac:dyDescent="0.2">
      <c r="A200" t="s">
        <v>436</v>
      </c>
      <c r="B200" t="s">
        <v>562</v>
      </c>
      <c r="C200" t="s">
        <v>563</v>
      </c>
      <c r="D200" t="s">
        <v>98</v>
      </c>
      <c r="E200">
        <v>74.900000000000006</v>
      </c>
      <c r="F200" t="s">
        <v>7020</v>
      </c>
      <c r="G200">
        <v>74.900000000000006</v>
      </c>
      <c r="H200">
        <v>45.59</v>
      </c>
      <c r="L200" t="s">
        <v>5922</v>
      </c>
      <c r="Q200">
        <v>45.59</v>
      </c>
      <c r="R200">
        <v>45.59</v>
      </c>
      <c r="U200">
        <v>51.13</v>
      </c>
      <c r="V200">
        <v>54.78</v>
      </c>
      <c r="W200">
        <v>55.36</v>
      </c>
      <c r="X200">
        <v>45.59</v>
      </c>
      <c r="Y200">
        <v>74.900000000000006</v>
      </c>
      <c r="Z200" t="s">
        <v>5922</v>
      </c>
    </row>
    <row r="201" spans="1:26" x14ac:dyDescent="0.2">
      <c r="A201" t="s">
        <v>436</v>
      </c>
      <c r="B201" t="s">
        <v>7587</v>
      </c>
      <c r="C201" t="s">
        <v>7588</v>
      </c>
      <c r="D201" t="s">
        <v>105</v>
      </c>
      <c r="E201">
        <v>59.9</v>
      </c>
      <c r="F201" t="s">
        <v>7015</v>
      </c>
      <c r="H201">
        <v>36.46</v>
      </c>
      <c r="L201" t="s">
        <v>5922</v>
      </c>
      <c r="U201">
        <v>37.74</v>
      </c>
      <c r="V201">
        <v>39.07</v>
      </c>
      <c r="X201">
        <v>37.74</v>
      </c>
      <c r="Y201">
        <v>59.9</v>
      </c>
      <c r="Z201" t="s">
        <v>5922</v>
      </c>
    </row>
    <row r="202" spans="1:26" x14ac:dyDescent="0.2">
      <c r="A202" t="s">
        <v>436</v>
      </c>
      <c r="B202" t="s">
        <v>7589</v>
      </c>
      <c r="C202" t="s">
        <v>7590</v>
      </c>
      <c r="D202" t="s">
        <v>105</v>
      </c>
      <c r="E202">
        <v>59.9</v>
      </c>
      <c r="F202" t="s">
        <v>7015</v>
      </c>
      <c r="H202">
        <v>36.46</v>
      </c>
      <c r="L202" t="s">
        <v>5922</v>
      </c>
      <c r="U202">
        <v>37.74</v>
      </c>
      <c r="V202">
        <v>39.07</v>
      </c>
      <c r="X202">
        <v>37.74</v>
      </c>
      <c r="Y202">
        <v>59.9</v>
      </c>
      <c r="Z202" t="s">
        <v>5922</v>
      </c>
    </row>
    <row r="203" spans="1:26" x14ac:dyDescent="0.2">
      <c r="A203" t="s">
        <v>436</v>
      </c>
      <c r="B203" t="s">
        <v>7591</v>
      </c>
      <c r="C203" t="s">
        <v>7592</v>
      </c>
      <c r="D203" t="s">
        <v>105</v>
      </c>
      <c r="E203">
        <v>49.9</v>
      </c>
      <c r="F203" t="s">
        <v>6980</v>
      </c>
      <c r="H203">
        <v>30.37</v>
      </c>
      <c r="L203" t="s">
        <v>5922</v>
      </c>
      <c r="U203">
        <v>32.869999999999997</v>
      </c>
      <c r="V203">
        <v>32.54</v>
      </c>
      <c r="X203">
        <v>32.869999999999997</v>
      </c>
      <c r="Y203">
        <v>49.9</v>
      </c>
      <c r="Z203" t="s">
        <v>5922</v>
      </c>
    </row>
    <row r="204" spans="1:26" x14ac:dyDescent="0.2">
      <c r="A204" t="s">
        <v>436</v>
      </c>
      <c r="B204" t="s">
        <v>7593</v>
      </c>
      <c r="C204" t="s">
        <v>7594</v>
      </c>
      <c r="D204" t="s">
        <v>105</v>
      </c>
      <c r="E204">
        <v>54.9</v>
      </c>
      <c r="F204" t="s">
        <v>6975</v>
      </c>
      <c r="H204">
        <v>33.42</v>
      </c>
      <c r="L204" t="s">
        <v>5922</v>
      </c>
      <c r="U204">
        <v>35.909999999999997</v>
      </c>
      <c r="V204">
        <v>35.799999999999997</v>
      </c>
      <c r="X204">
        <v>35.909999999999997</v>
      </c>
      <c r="Y204">
        <v>54.9</v>
      </c>
      <c r="Z204" t="s">
        <v>5922</v>
      </c>
    </row>
    <row r="205" spans="1:26" x14ac:dyDescent="0.2">
      <c r="A205" t="s">
        <v>436</v>
      </c>
      <c r="B205" t="s">
        <v>7595</v>
      </c>
      <c r="C205" t="s">
        <v>7596</v>
      </c>
      <c r="D205" t="s">
        <v>105</v>
      </c>
      <c r="E205">
        <v>59.9</v>
      </c>
      <c r="F205" t="s">
        <v>7015</v>
      </c>
      <c r="H205">
        <v>36.46</v>
      </c>
      <c r="L205" t="s">
        <v>5922</v>
      </c>
      <c r="U205">
        <v>37.74</v>
      </c>
      <c r="V205">
        <v>39.07</v>
      </c>
      <c r="X205">
        <v>37.74</v>
      </c>
      <c r="Y205">
        <v>59.9</v>
      </c>
      <c r="Z205" t="s">
        <v>5922</v>
      </c>
    </row>
    <row r="206" spans="1:26" x14ac:dyDescent="0.2">
      <c r="A206" t="s">
        <v>436</v>
      </c>
      <c r="B206" t="s">
        <v>564</v>
      </c>
      <c r="C206" t="s">
        <v>565</v>
      </c>
      <c r="D206" t="s">
        <v>98</v>
      </c>
      <c r="E206">
        <v>39.9</v>
      </c>
      <c r="F206" t="s">
        <v>7018</v>
      </c>
      <c r="G206">
        <v>39.9</v>
      </c>
      <c r="H206">
        <v>24.29</v>
      </c>
      <c r="L206" t="s">
        <v>5922</v>
      </c>
      <c r="Q206">
        <v>24.29</v>
      </c>
      <c r="R206">
        <v>24.29</v>
      </c>
      <c r="U206">
        <v>29.83</v>
      </c>
      <c r="V206">
        <v>31.96</v>
      </c>
      <c r="W206">
        <v>33.19</v>
      </c>
      <c r="X206">
        <v>24.29</v>
      </c>
      <c r="Y206">
        <v>39.9</v>
      </c>
      <c r="Z206" t="s">
        <v>5922</v>
      </c>
    </row>
    <row r="207" spans="1:26" x14ac:dyDescent="0.2">
      <c r="A207" t="s">
        <v>436</v>
      </c>
      <c r="B207" t="s">
        <v>566</v>
      </c>
      <c r="C207" t="s">
        <v>567</v>
      </c>
      <c r="D207" t="s">
        <v>98</v>
      </c>
      <c r="E207">
        <v>54.9</v>
      </c>
      <c r="F207" t="s">
        <v>5922</v>
      </c>
      <c r="G207">
        <v>54</v>
      </c>
      <c r="H207">
        <v>32.869999999999997</v>
      </c>
      <c r="L207" t="s">
        <v>5922</v>
      </c>
      <c r="Q207">
        <v>32.869999999999997</v>
      </c>
      <c r="R207">
        <v>32.869999999999997</v>
      </c>
      <c r="U207">
        <v>42</v>
      </c>
      <c r="V207">
        <v>45</v>
      </c>
      <c r="W207">
        <v>40.58</v>
      </c>
      <c r="X207">
        <v>33.42</v>
      </c>
      <c r="Y207">
        <v>54</v>
      </c>
      <c r="Z207" t="s">
        <v>5922</v>
      </c>
    </row>
    <row r="208" spans="1:26" x14ac:dyDescent="0.2">
      <c r="A208" t="s">
        <v>436</v>
      </c>
      <c r="B208" t="s">
        <v>568</v>
      </c>
      <c r="C208" t="s">
        <v>569</v>
      </c>
      <c r="D208" t="s">
        <v>98</v>
      </c>
      <c r="E208">
        <v>139.9</v>
      </c>
      <c r="F208" t="s">
        <v>6985</v>
      </c>
      <c r="G208">
        <v>139.9</v>
      </c>
      <c r="H208">
        <v>85.16</v>
      </c>
      <c r="K208">
        <v>91.24</v>
      </c>
      <c r="L208" t="s">
        <v>5922</v>
      </c>
      <c r="Q208">
        <v>85.16</v>
      </c>
      <c r="R208">
        <v>85.16</v>
      </c>
      <c r="U208">
        <v>96.78</v>
      </c>
      <c r="V208">
        <v>103.7</v>
      </c>
      <c r="W208">
        <v>118.19</v>
      </c>
      <c r="X208">
        <v>97.33</v>
      </c>
      <c r="Y208">
        <v>139.9</v>
      </c>
      <c r="Z208" t="s">
        <v>5922</v>
      </c>
    </row>
    <row r="209" spans="1:26" x14ac:dyDescent="0.2">
      <c r="A209" t="s">
        <v>436</v>
      </c>
      <c r="B209" t="s">
        <v>570</v>
      </c>
      <c r="C209" t="s">
        <v>571</v>
      </c>
      <c r="D209" t="s">
        <v>105</v>
      </c>
      <c r="E209">
        <v>19.899999999999999</v>
      </c>
      <c r="F209" t="s">
        <v>5922</v>
      </c>
      <c r="L209" t="s">
        <v>5922</v>
      </c>
      <c r="M209">
        <v>10.38</v>
      </c>
      <c r="Y209">
        <v>19.899999999999999</v>
      </c>
      <c r="Z209" t="s">
        <v>5922</v>
      </c>
    </row>
    <row r="210" spans="1:26" x14ac:dyDescent="0.2">
      <c r="A210" t="s">
        <v>436</v>
      </c>
      <c r="B210" t="s">
        <v>7597</v>
      </c>
      <c r="C210" t="s">
        <v>7598</v>
      </c>
      <c r="D210" t="s">
        <v>105</v>
      </c>
      <c r="E210">
        <v>29.9</v>
      </c>
      <c r="F210" t="s">
        <v>7010</v>
      </c>
      <c r="H210">
        <v>21.24</v>
      </c>
      <c r="L210" t="s">
        <v>5922</v>
      </c>
      <c r="U210">
        <v>21.85</v>
      </c>
      <c r="V210">
        <v>22.76</v>
      </c>
      <c r="X210">
        <v>21.24</v>
      </c>
      <c r="Y210">
        <v>29.9</v>
      </c>
      <c r="Z210" t="s">
        <v>5922</v>
      </c>
    </row>
    <row r="211" spans="1:26" x14ac:dyDescent="0.2">
      <c r="A211" t="s">
        <v>436</v>
      </c>
      <c r="B211" t="s">
        <v>572</v>
      </c>
      <c r="C211" t="s">
        <v>573</v>
      </c>
      <c r="D211" t="s">
        <v>98</v>
      </c>
      <c r="E211">
        <v>52.9</v>
      </c>
      <c r="F211" t="s">
        <v>5922</v>
      </c>
      <c r="G211">
        <v>37.03</v>
      </c>
      <c r="H211">
        <v>32.200000000000003</v>
      </c>
      <c r="L211" t="s">
        <v>5922</v>
      </c>
      <c r="Q211">
        <v>32.200000000000003</v>
      </c>
      <c r="R211">
        <v>32.200000000000003</v>
      </c>
      <c r="U211">
        <v>32.200000000000003</v>
      </c>
      <c r="V211">
        <v>36.799999999999997</v>
      </c>
      <c r="W211">
        <v>39.1</v>
      </c>
      <c r="X211">
        <v>32.200000000000003</v>
      </c>
      <c r="Y211">
        <v>52.9</v>
      </c>
      <c r="Z211" t="s">
        <v>5922</v>
      </c>
    </row>
    <row r="212" spans="1:26" x14ac:dyDescent="0.2">
      <c r="A212" t="s">
        <v>436</v>
      </c>
      <c r="B212" t="s">
        <v>574</v>
      </c>
      <c r="C212" t="s">
        <v>575</v>
      </c>
      <c r="D212" t="s">
        <v>98</v>
      </c>
      <c r="E212">
        <v>52.9</v>
      </c>
      <c r="F212" t="s">
        <v>5922</v>
      </c>
      <c r="G212">
        <v>37.03</v>
      </c>
      <c r="H212">
        <v>36.799999999999997</v>
      </c>
      <c r="L212" t="s">
        <v>5922</v>
      </c>
      <c r="U212">
        <v>31.96</v>
      </c>
      <c r="V212">
        <v>31.96</v>
      </c>
      <c r="W212">
        <v>27.06</v>
      </c>
      <c r="X212">
        <v>27.76</v>
      </c>
      <c r="Y212">
        <v>52.9</v>
      </c>
      <c r="Z212" t="s">
        <v>5922</v>
      </c>
    </row>
    <row r="213" spans="1:26" x14ac:dyDescent="0.2">
      <c r="A213" t="s">
        <v>436</v>
      </c>
      <c r="B213" t="s">
        <v>576</v>
      </c>
      <c r="C213" t="s">
        <v>577</v>
      </c>
      <c r="D213" t="s">
        <v>98</v>
      </c>
      <c r="E213">
        <v>59.9</v>
      </c>
      <c r="F213" t="s">
        <v>7015</v>
      </c>
      <c r="G213">
        <v>59.9</v>
      </c>
      <c r="H213">
        <v>36.46</v>
      </c>
      <c r="L213" t="s">
        <v>5922</v>
      </c>
      <c r="Q213">
        <v>36.46</v>
      </c>
      <c r="R213">
        <v>36.46</v>
      </c>
      <c r="U213">
        <v>42</v>
      </c>
      <c r="V213">
        <v>45</v>
      </c>
      <c r="W213">
        <v>47.97</v>
      </c>
      <c r="X213">
        <v>33.42</v>
      </c>
      <c r="Y213">
        <v>59.9</v>
      </c>
      <c r="Z213" t="s">
        <v>5922</v>
      </c>
    </row>
    <row r="214" spans="1:26" x14ac:dyDescent="0.2">
      <c r="A214" t="s">
        <v>436</v>
      </c>
      <c r="B214" t="s">
        <v>578</v>
      </c>
      <c r="C214" t="s">
        <v>579</v>
      </c>
      <c r="D214" t="s">
        <v>98</v>
      </c>
      <c r="E214">
        <v>84.9</v>
      </c>
      <c r="F214" t="s">
        <v>7014</v>
      </c>
      <c r="G214">
        <v>84.9</v>
      </c>
      <c r="H214">
        <v>51.68</v>
      </c>
      <c r="K214">
        <v>55.37</v>
      </c>
      <c r="L214" t="s">
        <v>5922</v>
      </c>
      <c r="Q214">
        <v>51.68</v>
      </c>
      <c r="R214">
        <v>51.68</v>
      </c>
      <c r="U214">
        <v>60.26</v>
      </c>
      <c r="V214">
        <v>64.569999999999993</v>
      </c>
      <c r="W214">
        <v>73.84</v>
      </c>
      <c r="X214">
        <v>60.26</v>
      </c>
      <c r="Y214">
        <v>84.9</v>
      </c>
      <c r="Z214" t="s">
        <v>5922</v>
      </c>
    </row>
    <row r="215" spans="1:26" x14ac:dyDescent="0.2">
      <c r="A215" t="s">
        <v>436</v>
      </c>
      <c r="B215" t="s">
        <v>580</v>
      </c>
      <c r="C215" t="s">
        <v>581</v>
      </c>
      <c r="D215" t="s">
        <v>98</v>
      </c>
      <c r="E215">
        <v>59.9</v>
      </c>
      <c r="F215" t="s">
        <v>5922</v>
      </c>
      <c r="G215">
        <v>59</v>
      </c>
      <c r="H215">
        <v>35.909999999999997</v>
      </c>
      <c r="L215" t="s">
        <v>5922</v>
      </c>
      <c r="Q215">
        <v>35.909999999999997</v>
      </c>
      <c r="R215">
        <v>35.909999999999997</v>
      </c>
      <c r="U215">
        <v>42</v>
      </c>
      <c r="V215">
        <v>45</v>
      </c>
      <c r="W215">
        <v>44.27</v>
      </c>
      <c r="X215">
        <v>36.46</v>
      </c>
      <c r="Y215">
        <v>59</v>
      </c>
      <c r="Z215" t="s">
        <v>5922</v>
      </c>
    </row>
    <row r="216" spans="1:26" x14ac:dyDescent="0.2">
      <c r="A216" t="s">
        <v>582</v>
      </c>
      <c r="B216" t="s">
        <v>583</v>
      </c>
      <c r="C216" t="s">
        <v>584</v>
      </c>
      <c r="D216" t="s">
        <v>138</v>
      </c>
      <c r="E216">
        <v>69.989999999999995</v>
      </c>
      <c r="F216" t="s">
        <v>6890</v>
      </c>
      <c r="H216">
        <v>42.6</v>
      </c>
      <c r="I216">
        <v>48.69</v>
      </c>
      <c r="J216">
        <v>54.77</v>
      </c>
      <c r="K216">
        <v>42.6</v>
      </c>
      <c r="L216" t="s">
        <v>5922</v>
      </c>
      <c r="M216">
        <v>42.6</v>
      </c>
      <c r="N216">
        <v>42.6</v>
      </c>
      <c r="P216">
        <v>36.520000000000003</v>
      </c>
      <c r="Q216">
        <v>33.47</v>
      </c>
      <c r="R216">
        <v>33.47</v>
      </c>
      <c r="S216">
        <v>36.229999999999997</v>
      </c>
      <c r="U216">
        <v>45.65</v>
      </c>
      <c r="W216">
        <v>48.69</v>
      </c>
      <c r="X216">
        <v>45.65</v>
      </c>
      <c r="Y216">
        <v>69.989999999999995</v>
      </c>
      <c r="Z216" t="s">
        <v>5922</v>
      </c>
    </row>
    <row r="217" spans="1:26" x14ac:dyDescent="0.2">
      <c r="A217" t="s">
        <v>582</v>
      </c>
      <c r="B217" t="s">
        <v>585</v>
      </c>
      <c r="C217" t="s">
        <v>586</v>
      </c>
      <c r="D217" t="s">
        <v>138</v>
      </c>
      <c r="E217">
        <v>69.989999999999995</v>
      </c>
      <c r="F217" t="s">
        <v>6890</v>
      </c>
      <c r="H217">
        <v>42.6</v>
      </c>
      <c r="I217">
        <v>48.69</v>
      </c>
      <c r="J217">
        <v>54.77</v>
      </c>
      <c r="K217">
        <v>42.6</v>
      </c>
      <c r="L217" t="s">
        <v>5922</v>
      </c>
      <c r="M217">
        <v>42.6</v>
      </c>
      <c r="N217">
        <v>42.6</v>
      </c>
      <c r="P217">
        <v>36.520000000000003</v>
      </c>
      <c r="Q217">
        <v>33.47</v>
      </c>
      <c r="R217">
        <v>33.47</v>
      </c>
      <c r="S217">
        <v>36.229999999999997</v>
      </c>
      <c r="U217">
        <v>45.65</v>
      </c>
      <c r="W217">
        <v>48.69</v>
      </c>
      <c r="X217">
        <v>45.65</v>
      </c>
      <c r="Y217">
        <v>69.989999999999995</v>
      </c>
      <c r="Z217" t="s">
        <v>5922</v>
      </c>
    </row>
    <row r="218" spans="1:26" x14ac:dyDescent="0.2">
      <c r="A218" t="s">
        <v>582</v>
      </c>
      <c r="B218" t="s">
        <v>587</v>
      </c>
      <c r="C218" t="s">
        <v>588</v>
      </c>
      <c r="D218" t="s">
        <v>138</v>
      </c>
      <c r="E218">
        <v>69.989999999999995</v>
      </c>
      <c r="F218" t="s">
        <v>6890</v>
      </c>
      <c r="H218">
        <v>42.6</v>
      </c>
      <c r="I218">
        <v>48.69</v>
      </c>
      <c r="J218">
        <v>54.77</v>
      </c>
      <c r="K218">
        <v>42.6</v>
      </c>
      <c r="L218" t="s">
        <v>5922</v>
      </c>
      <c r="M218">
        <v>42.6</v>
      </c>
      <c r="N218">
        <v>42.6</v>
      </c>
      <c r="P218">
        <v>36.520000000000003</v>
      </c>
      <c r="Q218">
        <v>33.47</v>
      </c>
      <c r="R218">
        <v>33.47</v>
      </c>
      <c r="S218">
        <v>36.229999999999997</v>
      </c>
      <c r="U218">
        <v>45.65</v>
      </c>
      <c r="W218">
        <v>48.69</v>
      </c>
      <c r="X218">
        <v>45.65</v>
      </c>
      <c r="Y218">
        <v>69.989999999999995</v>
      </c>
      <c r="Z218" t="s">
        <v>5922</v>
      </c>
    </row>
    <row r="219" spans="1:26" x14ac:dyDescent="0.2">
      <c r="A219" t="s">
        <v>582</v>
      </c>
      <c r="B219" t="s">
        <v>591</v>
      </c>
      <c r="C219" t="s">
        <v>592</v>
      </c>
      <c r="D219" t="s">
        <v>138</v>
      </c>
      <c r="E219">
        <v>69.989999999999995</v>
      </c>
      <c r="F219" t="s">
        <v>6890</v>
      </c>
      <c r="H219">
        <v>42.6</v>
      </c>
      <c r="I219">
        <v>48.69</v>
      </c>
      <c r="J219">
        <v>54.77</v>
      </c>
      <c r="K219">
        <v>42.6</v>
      </c>
      <c r="L219" t="s">
        <v>5922</v>
      </c>
      <c r="M219">
        <v>42.6</v>
      </c>
      <c r="N219">
        <v>42.6</v>
      </c>
      <c r="P219">
        <v>36.520000000000003</v>
      </c>
      <c r="Q219">
        <v>33.47</v>
      </c>
      <c r="R219">
        <v>33.47</v>
      </c>
      <c r="S219">
        <v>36.229999999999997</v>
      </c>
      <c r="U219">
        <v>45.65</v>
      </c>
      <c r="W219">
        <v>48.69</v>
      </c>
      <c r="X219">
        <v>45.65</v>
      </c>
      <c r="Y219">
        <v>69.989999999999995</v>
      </c>
      <c r="Z219" t="s">
        <v>5922</v>
      </c>
    </row>
    <row r="220" spans="1:26" x14ac:dyDescent="0.2">
      <c r="A220" t="s">
        <v>582</v>
      </c>
      <c r="B220" t="s">
        <v>593</v>
      </c>
      <c r="C220" t="s">
        <v>594</v>
      </c>
      <c r="D220" t="s">
        <v>138</v>
      </c>
      <c r="E220">
        <v>89.99</v>
      </c>
      <c r="F220" t="s">
        <v>6914</v>
      </c>
      <c r="H220">
        <v>54.78</v>
      </c>
      <c r="I220">
        <v>62.6</v>
      </c>
      <c r="J220">
        <v>70.430000000000007</v>
      </c>
      <c r="K220">
        <v>54.78</v>
      </c>
      <c r="L220" t="s">
        <v>5922</v>
      </c>
      <c r="M220">
        <v>54.78</v>
      </c>
      <c r="P220">
        <v>46.95</v>
      </c>
      <c r="Q220">
        <v>46.95</v>
      </c>
      <c r="R220">
        <v>46.95</v>
      </c>
      <c r="U220">
        <v>58.69</v>
      </c>
      <c r="W220">
        <v>62.6</v>
      </c>
      <c r="X220">
        <v>58.69</v>
      </c>
      <c r="Y220">
        <v>89.99</v>
      </c>
      <c r="Z220" t="s">
        <v>5922</v>
      </c>
    </row>
    <row r="221" spans="1:26" x14ac:dyDescent="0.2">
      <c r="A221" t="s">
        <v>582</v>
      </c>
      <c r="B221" t="s">
        <v>595</v>
      </c>
      <c r="C221" t="s">
        <v>596</v>
      </c>
      <c r="D221" t="s">
        <v>138</v>
      </c>
      <c r="E221">
        <v>89.99</v>
      </c>
      <c r="F221" t="s">
        <v>6914</v>
      </c>
      <c r="H221">
        <v>54.78</v>
      </c>
      <c r="I221">
        <v>62.6</v>
      </c>
      <c r="J221">
        <v>70.430000000000007</v>
      </c>
      <c r="K221">
        <v>54.78</v>
      </c>
      <c r="L221" t="s">
        <v>5922</v>
      </c>
      <c r="M221">
        <v>54.78</v>
      </c>
      <c r="P221">
        <v>46.95</v>
      </c>
      <c r="Q221">
        <v>46.95</v>
      </c>
      <c r="R221">
        <v>46.95</v>
      </c>
      <c r="U221">
        <v>58.69</v>
      </c>
      <c r="W221">
        <v>62.6</v>
      </c>
      <c r="X221">
        <v>58.69</v>
      </c>
      <c r="Y221">
        <v>89.99</v>
      </c>
      <c r="Z221" t="s">
        <v>5922</v>
      </c>
    </row>
    <row r="222" spans="1:26" x14ac:dyDescent="0.2">
      <c r="A222" t="s">
        <v>582</v>
      </c>
      <c r="B222" t="s">
        <v>597</v>
      </c>
      <c r="C222" t="s">
        <v>598</v>
      </c>
      <c r="D222" t="s">
        <v>105</v>
      </c>
      <c r="E222">
        <v>99.99</v>
      </c>
      <c r="F222" t="s">
        <v>6903</v>
      </c>
      <c r="H222">
        <v>60.86</v>
      </c>
      <c r="I222">
        <v>69.56</v>
      </c>
      <c r="J222">
        <v>78.25</v>
      </c>
      <c r="K222">
        <v>60.86</v>
      </c>
      <c r="L222" t="s">
        <v>5922</v>
      </c>
      <c r="M222">
        <v>60.86</v>
      </c>
      <c r="P222">
        <v>56.52</v>
      </c>
      <c r="R222">
        <v>47.82</v>
      </c>
      <c r="S222">
        <v>56.52</v>
      </c>
      <c r="Y222">
        <v>99.99</v>
      </c>
      <c r="Z222" t="s">
        <v>5922</v>
      </c>
    </row>
    <row r="223" spans="1:26" x14ac:dyDescent="0.2">
      <c r="A223" t="s">
        <v>582</v>
      </c>
      <c r="B223" t="s">
        <v>599</v>
      </c>
      <c r="C223" t="s">
        <v>600</v>
      </c>
      <c r="D223" t="s">
        <v>105</v>
      </c>
      <c r="E223">
        <v>69.989999999999995</v>
      </c>
      <c r="F223" t="s">
        <v>6890</v>
      </c>
      <c r="H223">
        <v>42.6</v>
      </c>
      <c r="I223">
        <v>48.69</v>
      </c>
      <c r="J223">
        <v>54.77</v>
      </c>
      <c r="K223">
        <v>42.6</v>
      </c>
      <c r="L223" t="s">
        <v>5922</v>
      </c>
      <c r="M223">
        <v>42.6</v>
      </c>
      <c r="P223">
        <v>36.520000000000003</v>
      </c>
      <c r="R223">
        <v>33.47</v>
      </c>
      <c r="Y223">
        <v>69.989999999999995</v>
      </c>
      <c r="Z223" t="s">
        <v>5922</v>
      </c>
    </row>
    <row r="224" spans="1:26" x14ac:dyDescent="0.2">
      <c r="A224" t="s">
        <v>582</v>
      </c>
      <c r="B224" t="s">
        <v>605</v>
      </c>
      <c r="C224" t="s">
        <v>606</v>
      </c>
      <c r="D224" t="s">
        <v>105</v>
      </c>
      <c r="E224">
        <v>199.99</v>
      </c>
      <c r="F224" t="s">
        <v>6916</v>
      </c>
      <c r="H224">
        <v>104.34</v>
      </c>
      <c r="I224">
        <v>121.73</v>
      </c>
      <c r="J224">
        <v>139.12</v>
      </c>
      <c r="K224">
        <v>113.04</v>
      </c>
      <c r="L224" t="s">
        <v>5922</v>
      </c>
      <c r="M224">
        <v>113.04</v>
      </c>
      <c r="N224">
        <v>121.73</v>
      </c>
      <c r="P224">
        <v>113.04</v>
      </c>
      <c r="Q224">
        <v>95.65</v>
      </c>
      <c r="R224">
        <v>95.65</v>
      </c>
      <c r="S224">
        <v>107.82</v>
      </c>
      <c r="U224">
        <v>119.99</v>
      </c>
      <c r="V224">
        <v>149.99</v>
      </c>
      <c r="W224">
        <v>149.99</v>
      </c>
      <c r="Y224">
        <v>199.99</v>
      </c>
      <c r="Z224" t="s">
        <v>5922</v>
      </c>
    </row>
    <row r="225" spans="1:26" x14ac:dyDescent="0.2">
      <c r="A225" t="s">
        <v>582</v>
      </c>
      <c r="B225" t="s">
        <v>607</v>
      </c>
      <c r="C225" t="s">
        <v>608</v>
      </c>
      <c r="D225" t="s">
        <v>138</v>
      </c>
      <c r="E225">
        <v>34.99</v>
      </c>
      <c r="F225" t="s">
        <v>7021</v>
      </c>
      <c r="H225">
        <v>21.3</v>
      </c>
      <c r="I225">
        <v>24.34</v>
      </c>
      <c r="J225">
        <v>27.38</v>
      </c>
      <c r="K225">
        <v>24.34</v>
      </c>
      <c r="L225" t="s">
        <v>5922</v>
      </c>
      <c r="M225">
        <v>16.73</v>
      </c>
      <c r="N225">
        <v>19.47</v>
      </c>
      <c r="P225">
        <v>18.260000000000002</v>
      </c>
      <c r="Q225">
        <v>16.73</v>
      </c>
      <c r="R225">
        <v>16.13</v>
      </c>
      <c r="S225">
        <v>18.86</v>
      </c>
      <c r="Y225">
        <v>34.99</v>
      </c>
      <c r="Z225" t="s">
        <v>5922</v>
      </c>
    </row>
    <row r="226" spans="1:26" x14ac:dyDescent="0.2">
      <c r="A226" t="s">
        <v>582</v>
      </c>
      <c r="B226" t="s">
        <v>609</v>
      </c>
      <c r="C226" t="s">
        <v>610</v>
      </c>
      <c r="D226" t="s">
        <v>105</v>
      </c>
      <c r="E226">
        <v>149.99</v>
      </c>
      <c r="F226" t="s">
        <v>7022</v>
      </c>
      <c r="H226">
        <v>97.82</v>
      </c>
      <c r="I226">
        <v>110.86</v>
      </c>
      <c r="J226">
        <v>117.38</v>
      </c>
      <c r="K226">
        <v>97.82</v>
      </c>
      <c r="L226" t="s">
        <v>5922</v>
      </c>
      <c r="M226">
        <v>97.82</v>
      </c>
      <c r="N226">
        <v>97.82</v>
      </c>
      <c r="P226">
        <v>91.3</v>
      </c>
      <c r="Q226">
        <v>91.3</v>
      </c>
      <c r="R226">
        <v>84.78</v>
      </c>
      <c r="S226">
        <v>93.25</v>
      </c>
      <c r="U226">
        <v>104.34</v>
      </c>
      <c r="W226">
        <v>110.86</v>
      </c>
      <c r="X226">
        <v>97.82</v>
      </c>
      <c r="Y226">
        <v>149.99</v>
      </c>
      <c r="Z226" t="s">
        <v>5922</v>
      </c>
    </row>
    <row r="227" spans="1:26" x14ac:dyDescent="0.2">
      <c r="A227" t="s">
        <v>582</v>
      </c>
      <c r="B227" t="s">
        <v>611</v>
      </c>
      <c r="C227" t="s">
        <v>612</v>
      </c>
      <c r="D227" t="s">
        <v>105</v>
      </c>
      <c r="E227">
        <v>89.99</v>
      </c>
      <c r="F227" t="s">
        <v>6914</v>
      </c>
      <c r="H227">
        <v>58.69</v>
      </c>
      <c r="I227">
        <v>66.510000000000005</v>
      </c>
      <c r="J227">
        <v>70.430000000000007</v>
      </c>
      <c r="K227">
        <v>58.69</v>
      </c>
      <c r="L227" t="s">
        <v>5922</v>
      </c>
      <c r="M227">
        <v>58.69</v>
      </c>
      <c r="N227">
        <v>58.69</v>
      </c>
      <c r="P227">
        <v>54.78</v>
      </c>
      <c r="Q227">
        <v>54.78</v>
      </c>
      <c r="R227">
        <v>46.95</v>
      </c>
      <c r="S227">
        <v>55.95</v>
      </c>
      <c r="U227">
        <v>62.6</v>
      </c>
      <c r="W227">
        <v>66.510000000000005</v>
      </c>
      <c r="X227">
        <v>58.69</v>
      </c>
      <c r="Y227">
        <v>89.99</v>
      </c>
      <c r="Z227" t="s">
        <v>5922</v>
      </c>
    </row>
    <row r="228" spans="1:26" x14ac:dyDescent="0.2">
      <c r="A228" t="s">
        <v>582</v>
      </c>
      <c r="B228" t="s">
        <v>613</v>
      </c>
      <c r="C228" t="s">
        <v>614</v>
      </c>
      <c r="D228" t="s">
        <v>105</v>
      </c>
      <c r="E228">
        <v>119.99</v>
      </c>
      <c r="F228" t="s">
        <v>6905</v>
      </c>
      <c r="G228">
        <v>119.99</v>
      </c>
      <c r="H228">
        <v>73.040000000000006</v>
      </c>
      <c r="I228">
        <v>83.47</v>
      </c>
      <c r="J228">
        <v>93.91</v>
      </c>
      <c r="K228">
        <v>78.25</v>
      </c>
      <c r="L228" t="s">
        <v>5922</v>
      </c>
      <c r="M228">
        <v>78.25</v>
      </c>
      <c r="N228">
        <v>73.040000000000006</v>
      </c>
      <c r="P228">
        <v>67.819999999999993</v>
      </c>
      <c r="Q228">
        <v>67.819999999999993</v>
      </c>
      <c r="R228">
        <v>67.819999999999993</v>
      </c>
      <c r="S228">
        <v>74.599999999999994</v>
      </c>
      <c r="U228">
        <v>79.12</v>
      </c>
      <c r="V228">
        <v>78.25</v>
      </c>
      <c r="W228">
        <v>78.25</v>
      </c>
      <c r="X228">
        <v>78.25</v>
      </c>
      <c r="Y228">
        <v>119.99</v>
      </c>
      <c r="Z228" t="s">
        <v>5922</v>
      </c>
    </row>
    <row r="229" spans="1:26" x14ac:dyDescent="0.2">
      <c r="A229" t="s">
        <v>582</v>
      </c>
      <c r="B229" t="s">
        <v>615</v>
      </c>
      <c r="C229" t="s">
        <v>616</v>
      </c>
      <c r="D229" t="s">
        <v>105</v>
      </c>
      <c r="E229">
        <v>79.989999999999995</v>
      </c>
      <c r="F229" t="s">
        <v>6934</v>
      </c>
      <c r="H229">
        <v>52.17</v>
      </c>
      <c r="I229">
        <v>59.12</v>
      </c>
      <c r="J229">
        <v>62.6</v>
      </c>
      <c r="K229">
        <v>52.17</v>
      </c>
      <c r="L229" t="s">
        <v>5922</v>
      </c>
      <c r="M229">
        <v>52.17</v>
      </c>
      <c r="N229">
        <v>52.17</v>
      </c>
      <c r="P229">
        <v>48.69</v>
      </c>
      <c r="Q229">
        <v>48.69</v>
      </c>
      <c r="R229">
        <v>41.73</v>
      </c>
      <c r="S229">
        <v>49.73</v>
      </c>
      <c r="U229">
        <v>55.65</v>
      </c>
      <c r="W229">
        <v>59.12</v>
      </c>
      <c r="X229">
        <v>52.17</v>
      </c>
      <c r="Y229">
        <v>79.989999999999995</v>
      </c>
      <c r="Z229" t="s">
        <v>5922</v>
      </c>
    </row>
    <row r="230" spans="1:26" x14ac:dyDescent="0.2">
      <c r="A230" t="s">
        <v>582</v>
      </c>
      <c r="B230" t="s">
        <v>617</v>
      </c>
      <c r="C230" t="s">
        <v>618</v>
      </c>
      <c r="D230" t="s">
        <v>105</v>
      </c>
      <c r="E230">
        <v>79.989999999999995</v>
      </c>
      <c r="F230" t="s">
        <v>6934</v>
      </c>
      <c r="H230">
        <v>52.17</v>
      </c>
      <c r="I230">
        <v>59.12</v>
      </c>
      <c r="J230">
        <v>62.6</v>
      </c>
      <c r="K230">
        <v>52.17</v>
      </c>
      <c r="L230" t="s">
        <v>5922</v>
      </c>
      <c r="M230">
        <v>52.17</v>
      </c>
      <c r="N230">
        <v>52.17</v>
      </c>
      <c r="P230">
        <v>48.69</v>
      </c>
      <c r="Q230">
        <v>48.69</v>
      </c>
      <c r="R230">
        <v>41.73</v>
      </c>
      <c r="S230">
        <v>49.73</v>
      </c>
      <c r="U230">
        <v>55.65</v>
      </c>
      <c r="W230">
        <v>59.12</v>
      </c>
      <c r="X230">
        <v>52.17</v>
      </c>
      <c r="Y230">
        <v>79.989999999999995</v>
      </c>
      <c r="Z230" t="s">
        <v>5922</v>
      </c>
    </row>
    <row r="231" spans="1:26" x14ac:dyDescent="0.2">
      <c r="A231" t="s">
        <v>582</v>
      </c>
      <c r="B231" t="s">
        <v>619</v>
      </c>
      <c r="C231" t="s">
        <v>5938</v>
      </c>
      <c r="D231" t="s">
        <v>98</v>
      </c>
      <c r="E231">
        <v>129.99</v>
      </c>
      <c r="F231" t="s">
        <v>5922</v>
      </c>
      <c r="H231">
        <v>84.78</v>
      </c>
      <c r="I231">
        <v>96.08</v>
      </c>
      <c r="J231">
        <v>101.73</v>
      </c>
      <c r="K231">
        <v>84.78</v>
      </c>
      <c r="L231" t="s">
        <v>5922</v>
      </c>
      <c r="M231">
        <v>84.78</v>
      </c>
      <c r="N231">
        <v>84.78</v>
      </c>
      <c r="P231">
        <v>79.12</v>
      </c>
      <c r="Q231">
        <v>79.12</v>
      </c>
      <c r="R231">
        <v>79.12</v>
      </c>
      <c r="S231">
        <v>80.819999999999993</v>
      </c>
      <c r="U231">
        <v>90.43</v>
      </c>
      <c r="W231">
        <v>96.08</v>
      </c>
      <c r="X231">
        <v>84.78</v>
      </c>
      <c r="Y231">
        <v>129.99</v>
      </c>
      <c r="Z231" t="s">
        <v>5922</v>
      </c>
    </row>
    <row r="232" spans="1:26" x14ac:dyDescent="0.2">
      <c r="A232" t="s">
        <v>582</v>
      </c>
      <c r="B232" t="s">
        <v>620</v>
      </c>
      <c r="C232" t="s">
        <v>621</v>
      </c>
      <c r="D232" t="s">
        <v>138</v>
      </c>
      <c r="E232">
        <v>59.99</v>
      </c>
      <c r="F232" t="s">
        <v>5922</v>
      </c>
      <c r="G232">
        <v>59.99</v>
      </c>
      <c r="H232">
        <v>28.69</v>
      </c>
      <c r="I232">
        <v>33.909999999999997</v>
      </c>
      <c r="J232">
        <v>36.520000000000003</v>
      </c>
      <c r="K232">
        <v>42.6</v>
      </c>
      <c r="L232" t="s">
        <v>5922</v>
      </c>
      <c r="M232">
        <v>25.04</v>
      </c>
      <c r="N232">
        <v>33.39</v>
      </c>
      <c r="O232">
        <v>28.69</v>
      </c>
      <c r="P232">
        <v>28.69</v>
      </c>
      <c r="Q232">
        <v>26.08</v>
      </c>
      <c r="R232">
        <v>26.08</v>
      </c>
      <c r="S232">
        <v>28.69</v>
      </c>
      <c r="T232">
        <v>28.69</v>
      </c>
      <c r="U232">
        <v>36.520000000000003</v>
      </c>
      <c r="V232">
        <v>28.69</v>
      </c>
      <c r="W232">
        <v>39.119999999999997</v>
      </c>
      <c r="X232">
        <v>39.119999999999997</v>
      </c>
      <c r="Y232">
        <v>59.99</v>
      </c>
      <c r="Z232" t="s">
        <v>5922</v>
      </c>
    </row>
    <row r="233" spans="1:26" x14ac:dyDescent="0.2">
      <c r="A233" t="s">
        <v>582</v>
      </c>
      <c r="B233" t="s">
        <v>622</v>
      </c>
      <c r="C233" t="s">
        <v>623</v>
      </c>
      <c r="D233" t="s">
        <v>105</v>
      </c>
      <c r="E233">
        <v>79.989999999999995</v>
      </c>
      <c r="F233" t="s">
        <v>5922</v>
      </c>
      <c r="H233">
        <v>48.69</v>
      </c>
      <c r="I233">
        <v>55.65</v>
      </c>
      <c r="J233">
        <v>62.6</v>
      </c>
      <c r="K233">
        <v>48.69</v>
      </c>
      <c r="L233" t="s">
        <v>5922</v>
      </c>
      <c r="M233">
        <v>45.21</v>
      </c>
      <c r="N233">
        <v>44.59</v>
      </c>
      <c r="O233">
        <v>34.78</v>
      </c>
      <c r="P233">
        <v>40</v>
      </c>
      <c r="Q233">
        <v>38.26</v>
      </c>
      <c r="R233">
        <v>34.78</v>
      </c>
      <c r="S233">
        <v>41.4</v>
      </c>
      <c r="U233">
        <v>52.17</v>
      </c>
      <c r="W233">
        <v>52.17</v>
      </c>
      <c r="X233">
        <v>52.17</v>
      </c>
      <c r="Z233" t="s">
        <v>5922</v>
      </c>
    </row>
    <row r="234" spans="1:26" x14ac:dyDescent="0.2">
      <c r="A234" t="s">
        <v>582</v>
      </c>
      <c r="B234" t="s">
        <v>624</v>
      </c>
      <c r="C234" t="s">
        <v>625</v>
      </c>
      <c r="D234" t="s">
        <v>105</v>
      </c>
      <c r="E234">
        <v>79.989999999999995</v>
      </c>
      <c r="F234" t="s">
        <v>5922</v>
      </c>
      <c r="H234">
        <v>48.69</v>
      </c>
      <c r="I234">
        <v>55.65</v>
      </c>
      <c r="J234">
        <v>62.6</v>
      </c>
      <c r="K234">
        <v>48.69</v>
      </c>
      <c r="L234" t="s">
        <v>5922</v>
      </c>
      <c r="M234">
        <v>45.21</v>
      </c>
      <c r="N234">
        <v>44.59</v>
      </c>
      <c r="O234">
        <v>34.78</v>
      </c>
      <c r="P234">
        <v>40</v>
      </c>
      <c r="Q234">
        <v>38.26</v>
      </c>
      <c r="R234">
        <v>34.78</v>
      </c>
      <c r="S234">
        <v>41.4</v>
      </c>
      <c r="U234">
        <v>52.17</v>
      </c>
      <c r="W234">
        <v>52.17</v>
      </c>
      <c r="X234">
        <v>52.17</v>
      </c>
      <c r="Z234" t="s">
        <v>5922</v>
      </c>
    </row>
    <row r="235" spans="1:26" x14ac:dyDescent="0.2">
      <c r="A235" t="s">
        <v>582</v>
      </c>
      <c r="B235" t="s">
        <v>626</v>
      </c>
      <c r="C235" t="s">
        <v>627</v>
      </c>
      <c r="D235" t="s">
        <v>98</v>
      </c>
      <c r="E235">
        <v>169.99</v>
      </c>
      <c r="F235" t="s">
        <v>5922</v>
      </c>
      <c r="H235">
        <v>110.86</v>
      </c>
      <c r="I235">
        <v>125.64</v>
      </c>
      <c r="J235">
        <v>133.04</v>
      </c>
      <c r="K235">
        <v>110.86</v>
      </c>
      <c r="L235" t="s">
        <v>5922</v>
      </c>
      <c r="M235">
        <v>114.56</v>
      </c>
      <c r="P235">
        <v>103.47</v>
      </c>
      <c r="Q235">
        <v>103.47</v>
      </c>
      <c r="R235">
        <v>103.47</v>
      </c>
      <c r="Y235">
        <v>169.99</v>
      </c>
      <c r="Z235" t="s">
        <v>5922</v>
      </c>
    </row>
    <row r="236" spans="1:26" x14ac:dyDescent="0.2">
      <c r="A236" t="s">
        <v>582</v>
      </c>
      <c r="B236" t="s">
        <v>628</v>
      </c>
      <c r="C236" t="s">
        <v>629</v>
      </c>
      <c r="D236" t="s">
        <v>98</v>
      </c>
      <c r="E236">
        <v>169.99</v>
      </c>
      <c r="F236" t="s">
        <v>5922</v>
      </c>
      <c r="H236">
        <v>110.86</v>
      </c>
      <c r="I236">
        <v>125.64</v>
      </c>
      <c r="J236">
        <v>133.04</v>
      </c>
      <c r="K236">
        <v>110.86</v>
      </c>
      <c r="L236" t="s">
        <v>5922</v>
      </c>
      <c r="M236">
        <v>114.56</v>
      </c>
      <c r="P236">
        <v>103.47</v>
      </c>
      <c r="Q236">
        <v>103.47</v>
      </c>
      <c r="R236">
        <v>103.47</v>
      </c>
      <c r="T236">
        <v>81.3</v>
      </c>
      <c r="V236">
        <v>81.3</v>
      </c>
      <c r="Y236">
        <v>169.99</v>
      </c>
      <c r="Z236" t="s">
        <v>5922</v>
      </c>
    </row>
    <row r="237" spans="1:26" x14ac:dyDescent="0.2">
      <c r="A237" t="s">
        <v>582</v>
      </c>
      <c r="B237" t="s">
        <v>630</v>
      </c>
      <c r="C237" t="s">
        <v>631</v>
      </c>
      <c r="D237" t="s">
        <v>98</v>
      </c>
      <c r="E237">
        <v>299.99</v>
      </c>
      <c r="F237" t="s">
        <v>5922</v>
      </c>
      <c r="L237" t="s">
        <v>5922</v>
      </c>
      <c r="Z237" t="s">
        <v>5922</v>
      </c>
    </row>
    <row r="238" spans="1:26" x14ac:dyDescent="0.2">
      <c r="A238" t="s">
        <v>582</v>
      </c>
      <c r="B238" t="s">
        <v>634</v>
      </c>
      <c r="C238" t="s">
        <v>635</v>
      </c>
      <c r="D238" t="s">
        <v>105</v>
      </c>
      <c r="E238">
        <v>149.99</v>
      </c>
      <c r="F238" t="s">
        <v>7022</v>
      </c>
      <c r="H238">
        <v>91.3</v>
      </c>
      <c r="I238">
        <v>104.34</v>
      </c>
      <c r="J238">
        <v>117.38</v>
      </c>
      <c r="K238">
        <v>91.3</v>
      </c>
      <c r="L238" t="s">
        <v>5922</v>
      </c>
      <c r="M238">
        <v>91.3</v>
      </c>
      <c r="N238">
        <v>91.3</v>
      </c>
      <c r="P238">
        <v>84.78</v>
      </c>
      <c r="Q238">
        <v>78.260000000000005</v>
      </c>
      <c r="R238">
        <v>71.73</v>
      </c>
      <c r="S238">
        <v>79.56</v>
      </c>
      <c r="Y238">
        <v>149.99</v>
      </c>
      <c r="Z238" t="s">
        <v>5922</v>
      </c>
    </row>
    <row r="239" spans="1:26" x14ac:dyDescent="0.2">
      <c r="A239" t="s">
        <v>582</v>
      </c>
      <c r="B239" t="s">
        <v>636</v>
      </c>
      <c r="C239" t="s">
        <v>637</v>
      </c>
      <c r="D239" t="s">
        <v>138</v>
      </c>
      <c r="E239">
        <v>129.99</v>
      </c>
      <c r="F239" t="s">
        <v>7023</v>
      </c>
      <c r="H239">
        <v>79.12</v>
      </c>
      <c r="I239">
        <v>90.43</v>
      </c>
      <c r="J239">
        <v>101.73</v>
      </c>
      <c r="K239">
        <v>84.78</v>
      </c>
      <c r="L239" t="s">
        <v>5922</v>
      </c>
      <c r="M239">
        <v>79.12</v>
      </c>
      <c r="P239">
        <v>73.47</v>
      </c>
      <c r="R239">
        <v>62.17</v>
      </c>
      <c r="S239">
        <v>73.47</v>
      </c>
      <c r="Y239">
        <v>129.99</v>
      </c>
      <c r="Z239" t="s">
        <v>5922</v>
      </c>
    </row>
    <row r="240" spans="1:26" x14ac:dyDescent="0.2">
      <c r="A240" t="s">
        <v>582</v>
      </c>
      <c r="B240" t="s">
        <v>640</v>
      </c>
      <c r="C240" t="s">
        <v>641</v>
      </c>
      <c r="D240" t="s">
        <v>98</v>
      </c>
      <c r="E240">
        <v>79.989999999999995</v>
      </c>
      <c r="F240" t="s">
        <v>5922</v>
      </c>
      <c r="H240">
        <v>38.26</v>
      </c>
      <c r="I240">
        <v>48.69</v>
      </c>
      <c r="L240" t="s">
        <v>5922</v>
      </c>
      <c r="M240">
        <v>41.73</v>
      </c>
      <c r="N240">
        <v>48.69</v>
      </c>
      <c r="P240">
        <v>41.73</v>
      </c>
      <c r="Q240">
        <v>38.26</v>
      </c>
      <c r="R240">
        <v>36.86</v>
      </c>
      <c r="S240">
        <v>43.13</v>
      </c>
      <c r="T240">
        <v>38.26</v>
      </c>
      <c r="U240">
        <v>34.78</v>
      </c>
      <c r="V240">
        <v>38.26</v>
      </c>
      <c r="W240">
        <v>52.17</v>
      </c>
      <c r="X240">
        <v>52.17</v>
      </c>
      <c r="Y240">
        <v>79.989999999999995</v>
      </c>
      <c r="Z240" t="s">
        <v>5922</v>
      </c>
    </row>
    <row r="241" spans="1:26" x14ac:dyDescent="0.2">
      <c r="A241" t="s">
        <v>582</v>
      </c>
      <c r="B241" t="s">
        <v>642</v>
      </c>
      <c r="C241" t="s">
        <v>643</v>
      </c>
      <c r="D241" t="s">
        <v>98</v>
      </c>
      <c r="E241">
        <v>79.989999999999995</v>
      </c>
      <c r="F241" t="s">
        <v>5922</v>
      </c>
      <c r="H241">
        <v>38.26</v>
      </c>
      <c r="I241">
        <v>48.69</v>
      </c>
      <c r="L241" t="s">
        <v>5922</v>
      </c>
      <c r="M241">
        <v>41.73</v>
      </c>
      <c r="N241">
        <v>48.69</v>
      </c>
      <c r="P241">
        <v>41.73</v>
      </c>
      <c r="Q241">
        <v>38.26</v>
      </c>
      <c r="R241">
        <v>36.86</v>
      </c>
      <c r="S241">
        <v>43.13</v>
      </c>
      <c r="T241">
        <v>38.26</v>
      </c>
      <c r="U241">
        <v>34.78</v>
      </c>
      <c r="V241">
        <v>38.26</v>
      </c>
      <c r="W241">
        <v>52.17</v>
      </c>
      <c r="X241">
        <v>52.17</v>
      </c>
      <c r="Y241">
        <v>79.989999999999995</v>
      </c>
      <c r="Z241" t="s">
        <v>5922</v>
      </c>
    </row>
    <row r="242" spans="1:26" x14ac:dyDescent="0.2">
      <c r="A242" t="s">
        <v>582</v>
      </c>
      <c r="B242" t="s">
        <v>644</v>
      </c>
      <c r="C242" t="s">
        <v>645</v>
      </c>
      <c r="D242" t="s">
        <v>98</v>
      </c>
      <c r="E242">
        <v>79.989999999999995</v>
      </c>
      <c r="F242" t="s">
        <v>5922</v>
      </c>
      <c r="G242">
        <v>79.989999999999995</v>
      </c>
      <c r="H242">
        <v>38.26</v>
      </c>
      <c r="I242">
        <v>48.69</v>
      </c>
      <c r="J242">
        <v>55.65</v>
      </c>
      <c r="K242">
        <v>41.73</v>
      </c>
      <c r="L242" t="s">
        <v>5922</v>
      </c>
      <c r="M242">
        <v>41.73</v>
      </c>
      <c r="N242">
        <v>48.69</v>
      </c>
      <c r="P242">
        <v>41.73</v>
      </c>
      <c r="Q242">
        <v>38.26</v>
      </c>
      <c r="R242">
        <v>36.86</v>
      </c>
      <c r="S242">
        <v>43.13</v>
      </c>
      <c r="U242">
        <v>41.73</v>
      </c>
      <c r="V242">
        <v>52.17</v>
      </c>
      <c r="W242">
        <v>52.17</v>
      </c>
      <c r="X242">
        <v>52.17</v>
      </c>
      <c r="Y242">
        <v>79.989999999999995</v>
      </c>
      <c r="Z242" t="s">
        <v>5922</v>
      </c>
    </row>
    <row r="243" spans="1:26" x14ac:dyDescent="0.2">
      <c r="A243" t="s">
        <v>582</v>
      </c>
      <c r="B243" t="s">
        <v>646</v>
      </c>
      <c r="C243" t="s">
        <v>647</v>
      </c>
      <c r="D243" t="s">
        <v>105</v>
      </c>
      <c r="E243">
        <v>69.989999999999995</v>
      </c>
      <c r="F243" t="s">
        <v>6890</v>
      </c>
      <c r="H243">
        <v>33.47</v>
      </c>
      <c r="I243">
        <v>42.6</v>
      </c>
      <c r="J243">
        <v>48.69</v>
      </c>
      <c r="K243">
        <v>45.65</v>
      </c>
      <c r="L243" t="s">
        <v>5922</v>
      </c>
      <c r="M243">
        <v>42.6</v>
      </c>
      <c r="N243">
        <v>42.6</v>
      </c>
      <c r="P243">
        <v>36.520000000000003</v>
      </c>
      <c r="Q243">
        <v>33.47</v>
      </c>
      <c r="R243">
        <v>33.47</v>
      </c>
      <c r="S243">
        <v>37.729999999999997</v>
      </c>
      <c r="U243">
        <v>48.69</v>
      </c>
      <c r="V243">
        <v>48.69</v>
      </c>
      <c r="W243">
        <v>48.69</v>
      </c>
      <c r="X243">
        <v>45.65</v>
      </c>
      <c r="Y243">
        <v>69.989999999999995</v>
      </c>
      <c r="Z243" t="s">
        <v>5922</v>
      </c>
    </row>
    <row r="244" spans="1:26" x14ac:dyDescent="0.2">
      <c r="A244" t="s">
        <v>582</v>
      </c>
      <c r="B244" t="s">
        <v>648</v>
      </c>
      <c r="C244" t="s">
        <v>649</v>
      </c>
      <c r="D244" t="s">
        <v>105</v>
      </c>
      <c r="E244">
        <v>69.989999999999995</v>
      </c>
      <c r="F244" t="s">
        <v>6890</v>
      </c>
      <c r="G244">
        <v>69.989999999999995</v>
      </c>
      <c r="H244">
        <v>33.47</v>
      </c>
      <c r="I244">
        <v>42.6</v>
      </c>
      <c r="J244">
        <v>48.69</v>
      </c>
      <c r="K244">
        <v>45.65</v>
      </c>
      <c r="L244" t="s">
        <v>5922</v>
      </c>
      <c r="M244">
        <v>42.6</v>
      </c>
      <c r="N244">
        <v>42.6</v>
      </c>
      <c r="O244">
        <v>33.47</v>
      </c>
      <c r="P244">
        <v>36.520000000000003</v>
      </c>
      <c r="Q244">
        <v>33.47</v>
      </c>
      <c r="R244">
        <v>33.47</v>
      </c>
      <c r="S244">
        <v>37.729999999999997</v>
      </c>
      <c r="U244">
        <v>39.56</v>
      </c>
      <c r="V244">
        <v>45.65</v>
      </c>
      <c r="W244">
        <v>45.65</v>
      </c>
      <c r="X244">
        <v>45.65</v>
      </c>
      <c r="Y244">
        <v>69.989999999999995</v>
      </c>
      <c r="Z244" t="s">
        <v>5922</v>
      </c>
    </row>
    <row r="245" spans="1:26" x14ac:dyDescent="0.2">
      <c r="A245" t="s">
        <v>582</v>
      </c>
      <c r="B245" t="s">
        <v>650</v>
      </c>
      <c r="C245" t="s">
        <v>651</v>
      </c>
      <c r="D245" t="s">
        <v>105</v>
      </c>
      <c r="E245">
        <v>119.99</v>
      </c>
      <c r="F245" t="s">
        <v>6905</v>
      </c>
      <c r="G245">
        <v>119.99</v>
      </c>
      <c r="H245">
        <v>62.6</v>
      </c>
      <c r="I245">
        <v>73.040000000000006</v>
      </c>
      <c r="J245">
        <v>83.47</v>
      </c>
      <c r="K245">
        <v>67.819999999999993</v>
      </c>
      <c r="L245" t="s">
        <v>5922</v>
      </c>
      <c r="M245">
        <v>67.819999999999993</v>
      </c>
      <c r="N245">
        <v>67.819999999999993</v>
      </c>
      <c r="O245">
        <v>57.39</v>
      </c>
      <c r="P245">
        <v>62.6</v>
      </c>
      <c r="Q245">
        <v>57.39</v>
      </c>
      <c r="R245">
        <v>57.39</v>
      </c>
      <c r="S245">
        <v>67.819999999999993</v>
      </c>
      <c r="U245">
        <v>83.47</v>
      </c>
      <c r="V245">
        <v>78.25</v>
      </c>
      <c r="W245">
        <v>78.25</v>
      </c>
      <c r="X245">
        <v>78.25</v>
      </c>
      <c r="Y245">
        <v>119.99</v>
      </c>
      <c r="Z245" t="s">
        <v>5922</v>
      </c>
    </row>
    <row r="246" spans="1:26" x14ac:dyDescent="0.2">
      <c r="A246" t="s">
        <v>582</v>
      </c>
      <c r="B246" t="s">
        <v>652</v>
      </c>
      <c r="C246" t="s">
        <v>653</v>
      </c>
      <c r="D246" t="s">
        <v>105</v>
      </c>
      <c r="E246">
        <v>119.99</v>
      </c>
      <c r="F246" t="s">
        <v>5922</v>
      </c>
      <c r="H246">
        <v>73.040000000000006</v>
      </c>
      <c r="I246">
        <v>83.47</v>
      </c>
      <c r="J246">
        <v>93.91</v>
      </c>
      <c r="K246">
        <v>73.040000000000006</v>
      </c>
      <c r="L246" t="s">
        <v>5922</v>
      </c>
      <c r="M246">
        <v>73.040000000000006</v>
      </c>
      <c r="N246">
        <v>73.040000000000006</v>
      </c>
      <c r="P246">
        <v>63.65</v>
      </c>
      <c r="Q246">
        <v>62.6</v>
      </c>
      <c r="R246">
        <v>57.39</v>
      </c>
      <c r="S246">
        <v>63.65</v>
      </c>
      <c r="Y246">
        <v>119.99</v>
      </c>
      <c r="Z246" t="s">
        <v>5922</v>
      </c>
    </row>
    <row r="247" spans="1:26" x14ac:dyDescent="0.2">
      <c r="A247" t="s">
        <v>582</v>
      </c>
      <c r="B247" t="s">
        <v>654</v>
      </c>
      <c r="C247" t="s">
        <v>655</v>
      </c>
      <c r="D247" t="s">
        <v>105</v>
      </c>
      <c r="E247">
        <v>89.99</v>
      </c>
      <c r="F247" t="s">
        <v>6914</v>
      </c>
      <c r="H247">
        <v>54.78</v>
      </c>
      <c r="I247">
        <v>62.6</v>
      </c>
      <c r="J247">
        <v>70.430000000000007</v>
      </c>
      <c r="K247">
        <v>54.78</v>
      </c>
      <c r="L247" t="s">
        <v>5922</v>
      </c>
      <c r="M247">
        <v>54.78</v>
      </c>
      <c r="N247">
        <v>60.65</v>
      </c>
      <c r="P247">
        <v>50.86</v>
      </c>
      <c r="R247">
        <v>43.04</v>
      </c>
      <c r="S247">
        <v>50.86</v>
      </c>
      <c r="Y247">
        <v>89.99</v>
      </c>
      <c r="Z247" t="s">
        <v>5922</v>
      </c>
    </row>
    <row r="248" spans="1:26" x14ac:dyDescent="0.2">
      <c r="A248" t="s">
        <v>582</v>
      </c>
      <c r="B248" t="s">
        <v>656</v>
      </c>
      <c r="C248" t="s">
        <v>657</v>
      </c>
      <c r="D248" t="s">
        <v>105</v>
      </c>
      <c r="E248">
        <v>89.99</v>
      </c>
      <c r="F248" t="s">
        <v>6914</v>
      </c>
      <c r="H248">
        <v>54.78</v>
      </c>
      <c r="I248">
        <v>62.6</v>
      </c>
      <c r="J248">
        <v>70.430000000000007</v>
      </c>
      <c r="K248">
        <v>54.78</v>
      </c>
      <c r="L248" t="s">
        <v>5922</v>
      </c>
      <c r="M248">
        <v>54.78</v>
      </c>
      <c r="N248">
        <v>60.65</v>
      </c>
      <c r="P248">
        <v>50.86</v>
      </c>
      <c r="R248">
        <v>43.04</v>
      </c>
      <c r="S248">
        <v>50.86</v>
      </c>
      <c r="Y248">
        <v>89.99</v>
      </c>
      <c r="Z248" t="s">
        <v>5922</v>
      </c>
    </row>
    <row r="249" spans="1:26" x14ac:dyDescent="0.2">
      <c r="A249" t="s">
        <v>582</v>
      </c>
      <c r="B249" t="s">
        <v>658</v>
      </c>
      <c r="C249" t="s">
        <v>659</v>
      </c>
      <c r="D249" t="s">
        <v>138</v>
      </c>
      <c r="E249">
        <v>179.99</v>
      </c>
      <c r="F249" t="s">
        <v>7024</v>
      </c>
      <c r="H249">
        <v>109.56</v>
      </c>
      <c r="I249">
        <v>125.21</v>
      </c>
      <c r="J249">
        <v>140.86000000000001</v>
      </c>
      <c r="K249">
        <v>109.56</v>
      </c>
      <c r="L249" t="s">
        <v>5922</v>
      </c>
      <c r="M249">
        <v>125.21</v>
      </c>
      <c r="N249">
        <v>133.04</v>
      </c>
      <c r="P249">
        <v>117.38</v>
      </c>
      <c r="Q249">
        <v>101.73</v>
      </c>
      <c r="R249">
        <v>101.73</v>
      </c>
      <c r="S249">
        <v>117.38</v>
      </c>
      <c r="U249">
        <v>117.38</v>
      </c>
      <c r="V249">
        <v>125.21</v>
      </c>
      <c r="W249">
        <v>125.21</v>
      </c>
      <c r="X249">
        <v>117.38</v>
      </c>
      <c r="Y249">
        <v>179.99</v>
      </c>
      <c r="Z249" t="s">
        <v>5922</v>
      </c>
    </row>
    <row r="250" spans="1:26" x14ac:dyDescent="0.2">
      <c r="A250" t="s">
        <v>582</v>
      </c>
      <c r="B250" t="s">
        <v>660</v>
      </c>
      <c r="C250" t="s">
        <v>661</v>
      </c>
      <c r="D250" t="s">
        <v>138</v>
      </c>
      <c r="E250">
        <v>79.989999999999995</v>
      </c>
      <c r="F250" t="s">
        <v>6934</v>
      </c>
      <c r="H250">
        <v>41.73</v>
      </c>
      <c r="I250">
        <v>48.69</v>
      </c>
      <c r="K250">
        <v>48.69</v>
      </c>
      <c r="L250" t="s">
        <v>5922</v>
      </c>
      <c r="M250">
        <v>48.69</v>
      </c>
      <c r="N250">
        <v>48.69</v>
      </c>
      <c r="P250">
        <v>43.47</v>
      </c>
      <c r="Q250">
        <v>41.73</v>
      </c>
      <c r="R250">
        <v>38.26</v>
      </c>
      <c r="S250">
        <v>45.21</v>
      </c>
      <c r="U250">
        <v>52.17</v>
      </c>
      <c r="V250">
        <v>55.65</v>
      </c>
      <c r="W250">
        <v>55.65</v>
      </c>
      <c r="X250">
        <v>52.17</v>
      </c>
      <c r="Y250">
        <v>79.989999999999995</v>
      </c>
      <c r="Z250" t="s">
        <v>5922</v>
      </c>
    </row>
    <row r="251" spans="1:26" x14ac:dyDescent="0.2">
      <c r="A251" t="s">
        <v>582</v>
      </c>
      <c r="B251" t="s">
        <v>662</v>
      </c>
      <c r="C251" t="s">
        <v>663</v>
      </c>
      <c r="D251" t="s">
        <v>138</v>
      </c>
      <c r="E251">
        <v>79.989999999999995</v>
      </c>
      <c r="F251" t="s">
        <v>6934</v>
      </c>
      <c r="H251">
        <v>41.73</v>
      </c>
      <c r="I251">
        <v>48.69</v>
      </c>
      <c r="K251">
        <v>48.69</v>
      </c>
      <c r="L251" t="s">
        <v>5922</v>
      </c>
      <c r="M251">
        <v>48.69</v>
      </c>
      <c r="N251">
        <v>48.69</v>
      </c>
      <c r="P251">
        <v>43.47</v>
      </c>
      <c r="Q251">
        <v>41.73</v>
      </c>
      <c r="R251">
        <v>38.26</v>
      </c>
      <c r="S251">
        <v>45.21</v>
      </c>
      <c r="U251">
        <v>52.17</v>
      </c>
      <c r="V251">
        <v>55.65</v>
      </c>
      <c r="W251">
        <v>55.65</v>
      </c>
      <c r="X251">
        <v>52.17</v>
      </c>
      <c r="Y251">
        <v>79.989999999999995</v>
      </c>
      <c r="Z251" t="s">
        <v>5922</v>
      </c>
    </row>
    <row r="252" spans="1:26" x14ac:dyDescent="0.2">
      <c r="A252" t="s">
        <v>582</v>
      </c>
      <c r="B252" t="s">
        <v>664</v>
      </c>
      <c r="C252" t="s">
        <v>665</v>
      </c>
      <c r="D252" t="s">
        <v>138</v>
      </c>
      <c r="E252">
        <v>109.99</v>
      </c>
      <c r="F252" t="s">
        <v>7025</v>
      </c>
      <c r="H252">
        <v>57.39</v>
      </c>
      <c r="I252">
        <v>66.95</v>
      </c>
      <c r="K252">
        <v>66.95</v>
      </c>
      <c r="L252" t="s">
        <v>5922</v>
      </c>
      <c r="M252">
        <v>66.95</v>
      </c>
      <c r="N252">
        <v>66.95</v>
      </c>
      <c r="P252">
        <v>59.78</v>
      </c>
      <c r="Q252">
        <v>57.39</v>
      </c>
      <c r="R252">
        <v>52.6</v>
      </c>
      <c r="S252">
        <v>62.17</v>
      </c>
      <c r="U252">
        <v>71.73</v>
      </c>
      <c r="V252">
        <v>76.510000000000005</v>
      </c>
      <c r="W252">
        <v>76.510000000000005</v>
      </c>
      <c r="X252">
        <v>71.73</v>
      </c>
      <c r="Y252">
        <v>109.99</v>
      </c>
      <c r="Z252" t="s">
        <v>5922</v>
      </c>
    </row>
    <row r="253" spans="1:26" x14ac:dyDescent="0.2">
      <c r="A253" t="s">
        <v>582</v>
      </c>
      <c r="B253" t="s">
        <v>666</v>
      </c>
      <c r="C253" t="s">
        <v>667</v>
      </c>
      <c r="D253" t="s">
        <v>138</v>
      </c>
      <c r="E253">
        <v>109.99</v>
      </c>
      <c r="F253" t="s">
        <v>7025</v>
      </c>
      <c r="H253">
        <v>57.39</v>
      </c>
      <c r="I253">
        <v>66.95</v>
      </c>
      <c r="K253">
        <v>66.95</v>
      </c>
      <c r="L253" t="s">
        <v>5922</v>
      </c>
      <c r="M253">
        <v>66.95</v>
      </c>
      <c r="N253">
        <v>66.95</v>
      </c>
      <c r="P253">
        <v>59.78</v>
      </c>
      <c r="Q253">
        <v>57.39</v>
      </c>
      <c r="R253">
        <v>52.6</v>
      </c>
      <c r="S253">
        <v>62.17</v>
      </c>
      <c r="U253">
        <v>71.73</v>
      </c>
      <c r="V253">
        <v>76.510000000000005</v>
      </c>
      <c r="W253">
        <v>76.510000000000005</v>
      </c>
      <c r="X253">
        <v>71.73</v>
      </c>
      <c r="Y253">
        <v>109.99</v>
      </c>
      <c r="Z253" t="s">
        <v>5922</v>
      </c>
    </row>
    <row r="254" spans="1:26" x14ac:dyDescent="0.2">
      <c r="A254" t="s">
        <v>582</v>
      </c>
      <c r="B254" t="s">
        <v>668</v>
      </c>
      <c r="C254" t="s">
        <v>669</v>
      </c>
      <c r="D254" t="s">
        <v>105</v>
      </c>
      <c r="E254">
        <v>26.99</v>
      </c>
      <c r="F254" t="s">
        <v>7599</v>
      </c>
      <c r="H254">
        <v>16.43</v>
      </c>
      <c r="I254">
        <v>18.78</v>
      </c>
      <c r="J254">
        <v>21.12</v>
      </c>
      <c r="K254">
        <v>18.78</v>
      </c>
      <c r="L254" t="s">
        <v>5922</v>
      </c>
      <c r="M254">
        <v>13.25</v>
      </c>
      <c r="N254">
        <v>15.65</v>
      </c>
      <c r="P254">
        <v>14.34</v>
      </c>
      <c r="Q254">
        <v>12.91</v>
      </c>
      <c r="R254">
        <v>11.73</v>
      </c>
      <c r="S254">
        <v>13.26</v>
      </c>
      <c r="Y254">
        <v>26.99</v>
      </c>
      <c r="Z254" t="s">
        <v>5922</v>
      </c>
    </row>
    <row r="255" spans="1:26" x14ac:dyDescent="0.2">
      <c r="A255" t="s">
        <v>582</v>
      </c>
      <c r="B255" t="s">
        <v>670</v>
      </c>
      <c r="C255" t="s">
        <v>671</v>
      </c>
      <c r="D255" t="s">
        <v>105</v>
      </c>
      <c r="E255">
        <v>31.99</v>
      </c>
      <c r="F255" t="s">
        <v>7600</v>
      </c>
      <c r="H255">
        <v>19.47</v>
      </c>
      <c r="I255">
        <v>22.25</v>
      </c>
      <c r="J255">
        <v>25.04</v>
      </c>
      <c r="K255">
        <v>22.25</v>
      </c>
      <c r="L255" t="s">
        <v>5922</v>
      </c>
      <c r="M255">
        <v>15.71</v>
      </c>
      <c r="N255">
        <v>18.260000000000002</v>
      </c>
      <c r="P255">
        <v>16.73</v>
      </c>
      <c r="Q255">
        <v>15.3</v>
      </c>
      <c r="R255">
        <v>13.91</v>
      </c>
      <c r="S255">
        <v>15.72</v>
      </c>
      <c r="Y255">
        <v>31.99</v>
      </c>
      <c r="Z255" t="s">
        <v>5922</v>
      </c>
    </row>
    <row r="256" spans="1:26" x14ac:dyDescent="0.2">
      <c r="A256" t="s">
        <v>582</v>
      </c>
      <c r="B256" t="s">
        <v>672</v>
      </c>
      <c r="C256" t="s">
        <v>673</v>
      </c>
      <c r="D256" t="s">
        <v>105</v>
      </c>
      <c r="E256">
        <v>27.99</v>
      </c>
      <c r="F256" t="s">
        <v>5922</v>
      </c>
      <c r="H256">
        <v>17.04</v>
      </c>
      <c r="I256">
        <v>19.47</v>
      </c>
      <c r="J256">
        <v>21.91</v>
      </c>
      <c r="L256" t="s">
        <v>5922</v>
      </c>
      <c r="M256">
        <v>14</v>
      </c>
      <c r="N256">
        <v>14.6</v>
      </c>
      <c r="P256">
        <v>13.39</v>
      </c>
      <c r="Q256">
        <v>13.39</v>
      </c>
      <c r="R256">
        <v>12.17</v>
      </c>
      <c r="S256">
        <v>14.49</v>
      </c>
      <c r="Y256">
        <v>27.99</v>
      </c>
      <c r="Z256" t="s">
        <v>5922</v>
      </c>
    </row>
    <row r="257" spans="1:26" x14ac:dyDescent="0.2">
      <c r="A257" t="s">
        <v>582</v>
      </c>
      <c r="B257" t="s">
        <v>674</v>
      </c>
      <c r="C257" t="s">
        <v>675</v>
      </c>
      <c r="D257" t="s">
        <v>105</v>
      </c>
      <c r="E257">
        <v>22.99</v>
      </c>
      <c r="F257" t="s">
        <v>7026</v>
      </c>
      <c r="H257">
        <v>13.99</v>
      </c>
      <c r="I257">
        <v>15.99</v>
      </c>
      <c r="J257">
        <v>17.989999999999998</v>
      </c>
      <c r="L257" t="s">
        <v>5922</v>
      </c>
      <c r="M257">
        <v>11.99</v>
      </c>
      <c r="N257">
        <v>12.99</v>
      </c>
      <c r="P257">
        <v>11.99</v>
      </c>
      <c r="Q257">
        <v>11</v>
      </c>
      <c r="R257">
        <v>10</v>
      </c>
      <c r="S257">
        <v>11.89</v>
      </c>
      <c r="Y257">
        <v>22.99</v>
      </c>
      <c r="Z257" t="s">
        <v>5922</v>
      </c>
    </row>
    <row r="258" spans="1:26" x14ac:dyDescent="0.2">
      <c r="A258" t="s">
        <v>582</v>
      </c>
      <c r="B258" t="s">
        <v>676</v>
      </c>
      <c r="C258" t="s">
        <v>677</v>
      </c>
      <c r="D258" t="s">
        <v>105</v>
      </c>
      <c r="E258">
        <v>49.99</v>
      </c>
      <c r="F258" t="s">
        <v>5922</v>
      </c>
      <c r="H258">
        <v>30.43</v>
      </c>
      <c r="I258">
        <v>34.78</v>
      </c>
      <c r="J258">
        <v>39.119999999999997</v>
      </c>
      <c r="K258">
        <v>30.43</v>
      </c>
      <c r="L258" t="s">
        <v>5922</v>
      </c>
      <c r="M258">
        <v>25</v>
      </c>
      <c r="N258">
        <v>26.08</v>
      </c>
      <c r="P258">
        <v>23.91</v>
      </c>
      <c r="Q258">
        <v>23.91</v>
      </c>
      <c r="R258">
        <v>21.73</v>
      </c>
      <c r="S258">
        <v>24.56</v>
      </c>
      <c r="Y258">
        <v>49.99</v>
      </c>
      <c r="Z258" t="s">
        <v>5922</v>
      </c>
    </row>
    <row r="259" spans="1:26" x14ac:dyDescent="0.2">
      <c r="A259" t="s">
        <v>582</v>
      </c>
      <c r="B259" t="s">
        <v>678</v>
      </c>
      <c r="C259" t="s">
        <v>679</v>
      </c>
      <c r="D259" t="s">
        <v>105</v>
      </c>
      <c r="E259">
        <v>59.99</v>
      </c>
      <c r="F259" t="s">
        <v>5922</v>
      </c>
      <c r="H259">
        <v>36.520000000000003</v>
      </c>
      <c r="I259">
        <v>41.73</v>
      </c>
      <c r="J259">
        <v>46.95</v>
      </c>
      <c r="K259">
        <v>36.520000000000003</v>
      </c>
      <c r="L259" t="s">
        <v>5922</v>
      </c>
      <c r="M259">
        <v>30</v>
      </c>
      <c r="N259">
        <v>31.3</v>
      </c>
      <c r="P259">
        <v>28.69</v>
      </c>
      <c r="Q259">
        <v>28.69</v>
      </c>
      <c r="R259">
        <v>26.08</v>
      </c>
      <c r="S259">
        <v>29.47</v>
      </c>
      <c r="Y259">
        <v>59.99</v>
      </c>
      <c r="Z259" t="s">
        <v>5922</v>
      </c>
    </row>
    <row r="260" spans="1:26" x14ac:dyDescent="0.2">
      <c r="A260" t="s">
        <v>582</v>
      </c>
      <c r="B260" t="s">
        <v>680</v>
      </c>
      <c r="C260" t="s">
        <v>681</v>
      </c>
      <c r="D260" t="s">
        <v>105</v>
      </c>
      <c r="E260">
        <v>29.99</v>
      </c>
      <c r="F260" t="s">
        <v>5922</v>
      </c>
      <c r="H260">
        <v>18.25</v>
      </c>
      <c r="I260">
        <v>20.86</v>
      </c>
      <c r="J260">
        <v>23.47</v>
      </c>
      <c r="K260">
        <v>22.17</v>
      </c>
      <c r="L260" t="s">
        <v>5922</v>
      </c>
      <c r="M260">
        <v>15</v>
      </c>
      <c r="N260">
        <v>15.65</v>
      </c>
      <c r="P260">
        <v>14.34</v>
      </c>
      <c r="Q260">
        <v>14.34</v>
      </c>
      <c r="R260">
        <v>13.04</v>
      </c>
      <c r="S260">
        <v>14.73</v>
      </c>
      <c r="Y260">
        <v>29.99</v>
      </c>
      <c r="Z260" t="s">
        <v>5922</v>
      </c>
    </row>
    <row r="261" spans="1:26" x14ac:dyDescent="0.2">
      <c r="A261" t="s">
        <v>582</v>
      </c>
      <c r="B261" t="s">
        <v>682</v>
      </c>
      <c r="C261" t="s">
        <v>683</v>
      </c>
      <c r="D261" t="s">
        <v>98</v>
      </c>
      <c r="F261" t="s">
        <v>5922</v>
      </c>
      <c r="L261" t="s">
        <v>5922</v>
      </c>
      <c r="Y261">
        <v>39.99</v>
      </c>
      <c r="Z261" t="s">
        <v>5922</v>
      </c>
    </row>
    <row r="262" spans="1:26" x14ac:dyDescent="0.2">
      <c r="A262" t="s">
        <v>582</v>
      </c>
      <c r="B262" t="s">
        <v>684</v>
      </c>
      <c r="C262" t="s">
        <v>685</v>
      </c>
      <c r="D262" t="s">
        <v>105</v>
      </c>
      <c r="E262">
        <v>59.99</v>
      </c>
      <c r="F262" t="s">
        <v>6889</v>
      </c>
      <c r="G262">
        <v>59.99</v>
      </c>
      <c r="H262">
        <v>31.3</v>
      </c>
      <c r="I262">
        <v>36.520000000000003</v>
      </c>
      <c r="J262">
        <v>41.73</v>
      </c>
      <c r="K262">
        <v>41.73</v>
      </c>
      <c r="L262" t="s">
        <v>5922</v>
      </c>
      <c r="M262">
        <v>33.909999999999997</v>
      </c>
      <c r="N262">
        <v>33.909999999999997</v>
      </c>
      <c r="O262">
        <v>28.69</v>
      </c>
      <c r="P262">
        <v>31.3</v>
      </c>
      <c r="Q262">
        <v>31.3</v>
      </c>
      <c r="R262">
        <v>28.69</v>
      </c>
      <c r="S262">
        <v>32.340000000000003</v>
      </c>
      <c r="U262">
        <v>39.130000000000003</v>
      </c>
      <c r="V262">
        <v>41.73</v>
      </c>
      <c r="W262">
        <v>41.73</v>
      </c>
      <c r="X262">
        <v>39.119999999999997</v>
      </c>
      <c r="Y262">
        <v>59.99</v>
      </c>
      <c r="Z262" t="s">
        <v>5922</v>
      </c>
    </row>
    <row r="263" spans="1:26" x14ac:dyDescent="0.2">
      <c r="A263" t="s">
        <v>582</v>
      </c>
      <c r="B263" t="s">
        <v>686</v>
      </c>
      <c r="C263" t="s">
        <v>687</v>
      </c>
      <c r="D263" t="s">
        <v>105</v>
      </c>
      <c r="E263">
        <v>59.99</v>
      </c>
      <c r="F263" t="s">
        <v>6889</v>
      </c>
      <c r="G263">
        <v>59.99</v>
      </c>
      <c r="H263">
        <v>31.3</v>
      </c>
      <c r="I263">
        <v>36.520000000000003</v>
      </c>
      <c r="J263">
        <v>41.73</v>
      </c>
      <c r="K263">
        <v>41.73</v>
      </c>
      <c r="L263" t="s">
        <v>5922</v>
      </c>
      <c r="M263">
        <v>33.909999999999997</v>
      </c>
      <c r="N263">
        <v>33.909999999999997</v>
      </c>
      <c r="O263">
        <v>28.69</v>
      </c>
      <c r="P263">
        <v>31.3</v>
      </c>
      <c r="Q263">
        <v>31.3</v>
      </c>
      <c r="R263">
        <v>28.69</v>
      </c>
      <c r="S263">
        <v>32.340000000000003</v>
      </c>
      <c r="U263">
        <v>41.73</v>
      </c>
      <c r="V263">
        <v>41.73</v>
      </c>
      <c r="W263">
        <v>41.73</v>
      </c>
      <c r="X263">
        <v>39.119999999999997</v>
      </c>
      <c r="Y263">
        <v>59.99</v>
      </c>
      <c r="Z263" t="s">
        <v>5922</v>
      </c>
    </row>
    <row r="264" spans="1:26" x14ac:dyDescent="0.2">
      <c r="A264" t="s">
        <v>582</v>
      </c>
      <c r="B264" t="s">
        <v>688</v>
      </c>
      <c r="C264" t="s">
        <v>689</v>
      </c>
      <c r="D264" t="s">
        <v>105</v>
      </c>
      <c r="E264">
        <v>44.99</v>
      </c>
      <c r="F264" t="s">
        <v>6926</v>
      </c>
      <c r="G264">
        <v>44.99</v>
      </c>
      <c r="H264">
        <v>21.52</v>
      </c>
      <c r="I264">
        <v>27.39</v>
      </c>
      <c r="J264">
        <v>31.3</v>
      </c>
      <c r="K264">
        <v>31.3</v>
      </c>
      <c r="L264" t="s">
        <v>5922</v>
      </c>
      <c r="M264">
        <v>23.47</v>
      </c>
      <c r="N264">
        <v>27.39</v>
      </c>
      <c r="O264">
        <v>19.559999999999999</v>
      </c>
      <c r="P264">
        <v>23.47</v>
      </c>
      <c r="Q264">
        <v>21.52</v>
      </c>
      <c r="R264">
        <v>19.559999999999999</v>
      </c>
      <c r="S264">
        <v>21.56</v>
      </c>
      <c r="U264">
        <v>32.6</v>
      </c>
      <c r="V264">
        <v>29.34</v>
      </c>
      <c r="W264">
        <v>29.34</v>
      </c>
      <c r="X264">
        <v>29.34</v>
      </c>
      <c r="Y264">
        <v>44.99</v>
      </c>
      <c r="Z264" t="s">
        <v>5922</v>
      </c>
    </row>
    <row r="265" spans="1:26" x14ac:dyDescent="0.2">
      <c r="A265" t="s">
        <v>582</v>
      </c>
      <c r="B265" t="s">
        <v>694</v>
      </c>
      <c r="C265" t="s">
        <v>695</v>
      </c>
      <c r="D265" t="s">
        <v>105</v>
      </c>
      <c r="E265">
        <v>44.99</v>
      </c>
      <c r="F265" t="s">
        <v>6926</v>
      </c>
      <c r="G265">
        <v>44.99</v>
      </c>
      <c r="H265">
        <v>21.52</v>
      </c>
      <c r="I265">
        <v>27.39</v>
      </c>
      <c r="J265">
        <v>31.3</v>
      </c>
      <c r="K265">
        <v>31.3</v>
      </c>
      <c r="L265" t="s">
        <v>5922</v>
      </c>
      <c r="M265">
        <v>23.47</v>
      </c>
      <c r="N265">
        <v>27.39</v>
      </c>
      <c r="P265">
        <v>23.47</v>
      </c>
      <c r="Q265">
        <v>21.52</v>
      </c>
      <c r="R265">
        <v>19.559999999999999</v>
      </c>
      <c r="S265">
        <v>21.56</v>
      </c>
      <c r="U265">
        <v>27.39</v>
      </c>
      <c r="V265">
        <v>29.34</v>
      </c>
      <c r="W265">
        <v>29.34</v>
      </c>
      <c r="X265">
        <v>29.34</v>
      </c>
      <c r="Y265">
        <v>44.99</v>
      </c>
      <c r="Z265" t="s">
        <v>5922</v>
      </c>
    </row>
    <row r="266" spans="1:26" x14ac:dyDescent="0.2">
      <c r="A266" t="s">
        <v>582</v>
      </c>
      <c r="B266" t="s">
        <v>696</v>
      </c>
      <c r="C266" t="s">
        <v>697</v>
      </c>
      <c r="D266" t="s">
        <v>138</v>
      </c>
      <c r="E266">
        <v>44.99</v>
      </c>
      <c r="F266" t="s">
        <v>6926</v>
      </c>
      <c r="G266">
        <v>44.99</v>
      </c>
      <c r="H266">
        <v>21.52</v>
      </c>
      <c r="I266">
        <v>27.39</v>
      </c>
      <c r="J266">
        <v>31.3</v>
      </c>
      <c r="K266">
        <v>31.3</v>
      </c>
      <c r="L266" t="s">
        <v>5922</v>
      </c>
      <c r="M266">
        <v>23.47</v>
      </c>
      <c r="N266">
        <v>27.39</v>
      </c>
      <c r="P266">
        <v>23.47</v>
      </c>
      <c r="Q266">
        <v>21.52</v>
      </c>
      <c r="R266">
        <v>19.559999999999999</v>
      </c>
      <c r="S266">
        <v>23.28</v>
      </c>
      <c r="U266">
        <v>27.39</v>
      </c>
      <c r="V266">
        <v>29.34</v>
      </c>
      <c r="W266">
        <v>29.34</v>
      </c>
      <c r="X266">
        <v>29.34</v>
      </c>
      <c r="Y266">
        <v>44.99</v>
      </c>
      <c r="Z266" t="s">
        <v>5922</v>
      </c>
    </row>
    <row r="267" spans="1:26" x14ac:dyDescent="0.2">
      <c r="A267" t="s">
        <v>582</v>
      </c>
      <c r="B267" t="s">
        <v>698</v>
      </c>
      <c r="C267" t="s">
        <v>699</v>
      </c>
      <c r="D267" t="s">
        <v>105</v>
      </c>
      <c r="E267">
        <v>59.99</v>
      </c>
      <c r="F267" t="s">
        <v>6889</v>
      </c>
      <c r="G267">
        <v>59.99</v>
      </c>
      <c r="H267">
        <v>31.3</v>
      </c>
      <c r="I267">
        <v>36.520000000000003</v>
      </c>
      <c r="J267">
        <v>41.73</v>
      </c>
      <c r="K267">
        <v>39.119999999999997</v>
      </c>
      <c r="L267" t="s">
        <v>5922</v>
      </c>
      <c r="M267">
        <v>33.909999999999997</v>
      </c>
      <c r="N267">
        <v>33.909999999999997</v>
      </c>
      <c r="O267">
        <v>28.69</v>
      </c>
      <c r="P267">
        <v>31.3</v>
      </c>
      <c r="Q267">
        <v>28.69</v>
      </c>
      <c r="R267">
        <v>28.69</v>
      </c>
      <c r="S267">
        <v>32.340000000000003</v>
      </c>
      <c r="U267">
        <v>41.73</v>
      </c>
      <c r="V267">
        <v>41.73</v>
      </c>
      <c r="W267">
        <v>41.73</v>
      </c>
      <c r="X267">
        <v>39.119999999999997</v>
      </c>
      <c r="Y267">
        <v>59.99</v>
      </c>
      <c r="Z267" t="s">
        <v>5922</v>
      </c>
    </row>
    <row r="268" spans="1:26" x14ac:dyDescent="0.2">
      <c r="A268" t="s">
        <v>582</v>
      </c>
      <c r="B268" t="s">
        <v>700</v>
      </c>
      <c r="C268" t="s">
        <v>701</v>
      </c>
      <c r="D268" t="s">
        <v>105</v>
      </c>
      <c r="E268">
        <v>59.99</v>
      </c>
      <c r="F268" t="s">
        <v>6889</v>
      </c>
      <c r="G268">
        <v>59.99</v>
      </c>
      <c r="H268">
        <v>31.3</v>
      </c>
      <c r="I268">
        <v>36.520000000000003</v>
      </c>
      <c r="J268">
        <v>41.73</v>
      </c>
      <c r="K268">
        <v>39.119999999999997</v>
      </c>
      <c r="L268" t="s">
        <v>5922</v>
      </c>
      <c r="M268">
        <v>33.909999999999997</v>
      </c>
      <c r="N268">
        <v>33.909999999999997</v>
      </c>
      <c r="O268">
        <v>28.69</v>
      </c>
      <c r="P268">
        <v>31.3</v>
      </c>
      <c r="Q268">
        <v>28.69</v>
      </c>
      <c r="R268">
        <v>28.69</v>
      </c>
      <c r="S268">
        <v>31.05</v>
      </c>
      <c r="U268">
        <v>41.73</v>
      </c>
      <c r="V268">
        <v>41.73</v>
      </c>
      <c r="W268">
        <v>41.73</v>
      </c>
      <c r="X268">
        <v>39.119999999999997</v>
      </c>
      <c r="Y268">
        <v>59.99</v>
      </c>
      <c r="Z268" t="s">
        <v>5922</v>
      </c>
    </row>
    <row r="269" spans="1:26" x14ac:dyDescent="0.2">
      <c r="A269" t="s">
        <v>582</v>
      </c>
      <c r="B269" t="s">
        <v>7601</v>
      </c>
      <c r="C269" t="s">
        <v>7602</v>
      </c>
      <c r="D269" t="s">
        <v>105</v>
      </c>
      <c r="E269">
        <v>74.989999999999995</v>
      </c>
      <c r="F269" t="s">
        <v>7377</v>
      </c>
      <c r="H269">
        <v>35.86</v>
      </c>
      <c r="I269">
        <v>45.65</v>
      </c>
      <c r="J269">
        <v>52.17</v>
      </c>
      <c r="K269">
        <v>48.91</v>
      </c>
      <c r="L269" t="s">
        <v>5922</v>
      </c>
      <c r="M269">
        <v>42.39</v>
      </c>
      <c r="N269">
        <v>42.39</v>
      </c>
      <c r="O269">
        <v>35.86</v>
      </c>
      <c r="P269">
        <v>39.130000000000003</v>
      </c>
      <c r="Q269">
        <v>35.86</v>
      </c>
      <c r="R269">
        <v>35.86</v>
      </c>
      <c r="S269">
        <v>40.43</v>
      </c>
      <c r="Y269">
        <v>69.989999999999995</v>
      </c>
      <c r="Z269" t="s">
        <v>5922</v>
      </c>
    </row>
    <row r="270" spans="1:26" x14ac:dyDescent="0.2">
      <c r="A270" t="s">
        <v>582</v>
      </c>
      <c r="B270" t="s">
        <v>7603</v>
      </c>
      <c r="C270" t="s">
        <v>7604</v>
      </c>
      <c r="D270" t="s">
        <v>105</v>
      </c>
      <c r="E270">
        <v>74.989999999999995</v>
      </c>
      <c r="F270" t="s">
        <v>7377</v>
      </c>
      <c r="H270">
        <v>35.86</v>
      </c>
      <c r="I270">
        <v>45.65</v>
      </c>
      <c r="J270">
        <v>52.17</v>
      </c>
      <c r="K270">
        <v>48.91</v>
      </c>
      <c r="L270" t="s">
        <v>5922</v>
      </c>
      <c r="M270">
        <v>42.39</v>
      </c>
      <c r="N270">
        <v>42.39</v>
      </c>
      <c r="O270">
        <v>35.86</v>
      </c>
      <c r="P270">
        <v>39.130000000000003</v>
      </c>
      <c r="Q270">
        <v>35.86</v>
      </c>
      <c r="R270">
        <v>35.86</v>
      </c>
      <c r="S270">
        <v>40.43</v>
      </c>
      <c r="Y270">
        <v>69.989999999999995</v>
      </c>
      <c r="Z270" t="s">
        <v>5922</v>
      </c>
    </row>
    <row r="271" spans="1:26" x14ac:dyDescent="0.2">
      <c r="A271" t="s">
        <v>582</v>
      </c>
      <c r="B271" t="s">
        <v>7605</v>
      </c>
      <c r="C271" t="s">
        <v>7606</v>
      </c>
      <c r="D271" t="s">
        <v>105</v>
      </c>
      <c r="E271">
        <v>74.989999999999995</v>
      </c>
      <c r="F271" t="s">
        <v>7377</v>
      </c>
      <c r="H271">
        <v>35.86</v>
      </c>
      <c r="I271">
        <v>45.65</v>
      </c>
      <c r="J271">
        <v>52.17</v>
      </c>
      <c r="K271">
        <v>48.91</v>
      </c>
      <c r="L271" t="s">
        <v>5922</v>
      </c>
      <c r="M271">
        <v>42.39</v>
      </c>
      <c r="N271">
        <v>42.39</v>
      </c>
      <c r="O271">
        <v>35.86</v>
      </c>
      <c r="P271">
        <v>39.130000000000003</v>
      </c>
      <c r="Q271">
        <v>35.86</v>
      </c>
      <c r="R271">
        <v>35.86</v>
      </c>
      <c r="S271">
        <v>40.43</v>
      </c>
      <c r="Y271">
        <v>69.989999999999995</v>
      </c>
      <c r="Z271" t="s">
        <v>5922</v>
      </c>
    </row>
    <row r="272" spans="1:26" x14ac:dyDescent="0.2">
      <c r="A272" t="s">
        <v>582</v>
      </c>
      <c r="B272" t="s">
        <v>7607</v>
      </c>
      <c r="C272" t="s">
        <v>7608</v>
      </c>
      <c r="D272" t="s">
        <v>105</v>
      </c>
      <c r="E272">
        <v>74.989999999999995</v>
      </c>
      <c r="F272" t="s">
        <v>7377</v>
      </c>
      <c r="H272">
        <v>35.86</v>
      </c>
      <c r="I272">
        <v>45.65</v>
      </c>
      <c r="J272">
        <v>52.17</v>
      </c>
      <c r="K272">
        <v>48.91</v>
      </c>
      <c r="L272" t="s">
        <v>5922</v>
      </c>
      <c r="M272">
        <v>42.39</v>
      </c>
      <c r="N272">
        <v>42.39</v>
      </c>
      <c r="O272">
        <v>35.86</v>
      </c>
      <c r="P272">
        <v>39.130000000000003</v>
      </c>
      <c r="Q272">
        <v>35.86</v>
      </c>
      <c r="R272">
        <v>35.86</v>
      </c>
      <c r="S272">
        <v>40.43</v>
      </c>
      <c r="Y272">
        <v>69.989999999999995</v>
      </c>
      <c r="Z272" t="s">
        <v>5922</v>
      </c>
    </row>
    <row r="273" spans="1:26" x14ac:dyDescent="0.2">
      <c r="A273" t="s">
        <v>582</v>
      </c>
      <c r="B273" t="s">
        <v>7609</v>
      </c>
      <c r="C273" t="s">
        <v>7610</v>
      </c>
      <c r="D273" t="s">
        <v>105</v>
      </c>
      <c r="E273">
        <v>74.989999999999995</v>
      </c>
      <c r="F273" t="s">
        <v>7377</v>
      </c>
      <c r="H273">
        <v>35.86</v>
      </c>
      <c r="I273">
        <v>45.65</v>
      </c>
      <c r="J273">
        <v>52.17</v>
      </c>
      <c r="K273">
        <v>48.91</v>
      </c>
      <c r="L273" t="s">
        <v>5922</v>
      </c>
      <c r="M273">
        <v>42.39</v>
      </c>
      <c r="N273">
        <v>42.39</v>
      </c>
      <c r="O273">
        <v>35.86</v>
      </c>
      <c r="P273">
        <v>39.130000000000003</v>
      </c>
      <c r="Q273">
        <v>35.86</v>
      </c>
      <c r="R273">
        <v>35.86</v>
      </c>
      <c r="S273">
        <v>40.43</v>
      </c>
      <c r="Y273">
        <v>69.989999999999995</v>
      </c>
      <c r="Z273" t="s">
        <v>5922</v>
      </c>
    </row>
    <row r="274" spans="1:26" x14ac:dyDescent="0.2">
      <c r="A274" t="s">
        <v>582</v>
      </c>
      <c r="B274" t="s">
        <v>702</v>
      </c>
      <c r="C274" t="s">
        <v>703</v>
      </c>
      <c r="D274" t="s">
        <v>105</v>
      </c>
      <c r="E274">
        <v>179.99</v>
      </c>
      <c r="F274" t="s">
        <v>7024</v>
      </c>
      <c r="G274">
        <v>179.99</v>
      </c>
      <c r="H274">
        <v>93.91</v>
      </c>
      <c r="I274">
        <v>109.56</v>
      </c>
      <c r="J274">
        <v>125.21</v>
      </c>
      <c r="K274">
        <v>101.73</v>
      </c>
      <c r="L274" t="s">
        <v>5922</v>
      </c>
      <c r="M274">
        <v>101.73</v>
      </c>
      <c r="N274">
        <v>101.73</v>
      </c>
      <c r="O274">
        <v>86.08</v>
      </c>
      <c r="P274">
        <v>93.91</v>
      </c>
      <c r="Q274">
        <v>86.08</v>
      </c>
      <c r="R274">
        <v>86.08</v>
      </c>
      <c r="S274">
        <v>97.04</v>
      </c>
      <c r="U274">
        <v>125.21</v>
      </c>
      <c r="V274">
        <v>117.38</v>
      </c>
      <c r="W274">
        <v>117.38</v>
      </c>
      <c r="X274">
        <v>117.38</v>
      </c>
      <c r="Y274">
        <v>179.99</v>
      </c>
      <c r="Z274" t="s">
        <v>5922</v>
      </c>
    </row>
    <row r="275" spans="1:26" x14ac:dyDescent="0.2">
      <c r="A275" t="s">
        <v>582</v>
      </c>
      <c r="B275" t="s">
        <v>704</v>
      </c>
      <c r="C275" t="s">
        <v>705</v>
      </c>
      <c r="D275" t="s">
        <v>105</v>
      </c>
      <c r="E275">
        <v>39.99</v>
      </c>
      <c r="F275" t="s">
        <v>6887</v>
      </c>
      <c r="G275">
        <v>39.99</v>
      </c>
      <c r="H275">
        <v>19.13</v>
      </c>
      <c r="I275">
        <v>24.34</v>
      </c>
      <c r="J275">
        <v>27.82</v>
      </c>
      <c r="K275">
        <v>29.56</v>
      </c>
      <c r="L275" t="s">
        <v>5922</v>
      </c>
      <c r="M275">
        <v>20.86</v>
      </c>
      <c r="N275">
        <v>24.34</v>
      </c>
      <c r="O275">
        <v>19.13</v>
      </c>
      <c r="P275">
        <v>20.86</v>
      </c>
      <c r="Q275">
        <v>19.13</v>
      </c>
      <c r="R275">
        <v>19.13</v>
      </c>
      <c r="S275">
        <v>21.56</v>
      </c>
      <c r="U275">
        <v>27.82</v>
      </c>
      <c r="V275">
        <v>29.56</v>
      </c>
      <c r="W275">
        <v>29.56</v>
      </c>
      <c r="X275">
        <v>26.08</v>
      </c>
      <c r="Y275">
        <v>39.99</v>
      </c>
      <c r="Z275" t="s">
        <v>5922</v>
      </c>
    </row>
    <row r="276" spans="1:26" x14ac:dyDescent="0.2">
      <c r="A276" t="s">
        <v>582</v>
      </c>
      <c r="B276" t="s">
        <v>706</v>
      </c>
      <c r="C276" t="s">
        <v>707</v>
      </c>
      <c r="D276" t="s">
        <v>105</v>
      </c>
      <c r="E276">
        <v>19.989999999999998</v>
      </c>
      <c r="F276" t="s">
        <v>6931</v>
      </c>
      <c r="H276">
        <v>12.17</v>
      </c>
      <c r="I276">
        <v>13.91</v>
      </c>
      <c r="J276">
        <v>15.64</v>
      </c>
      <c r="L276" t="s">
        <v>5922</v>
      </c>
      <c r="M276">
        <v>11.3</v>
      </c>
      <c r="N276">
        <v>11.3</v>
      </c>
      <c r="O276">
        <v>9.56</v>
      </c>
      <c r="P276">
        <v>10.43</v>
      </c>
      <c r="Q276">
        <v>9.56</v>
      </c>
      <c r="R276">
        <v>8.69</v>
      </c>
      <c r="S276">
        <v>10.17</v>
      </c>
      <c r="X276">
        <v>13.04</v>
      </c>
      <c r="Y276">
        <v>19.989999999999998</v>
      </c>
      <c r="Z276" t="s">
        <v>5922</v>
      </c>
    </row>
    <row r="277" spans="1:26" x14ac:dyDescent="0.2">
      <c r="A277" t="s">
        <v>582</v>
      </c>
      <c r="B277" t="s">
        <v>708</v>
      </c>
      <c r="C277" t="s">
        <v>709</v>
      </c>
      <c r="D277" t="s">
        <v>105</v>
      </c>
      <c r="E277">
        <v>19.989999999999998</v>
      </c>
      <c r="F277" t="s">
        <v>6931</v>
      </c>
      <c r="H277">
        <v>12.17</v>
      </c>
      <c r="I277">
        <v>13.91</v>
      </c>
      <c r="J277">
        <v>15.64</v>
      </c>
      <c r="L277" t="s">
        <v>5922</v>
      </c>
      <c r="M277">
        <v>11.3</v>
      </c>
      <c r="N277">
        <v>11.3</v>
      </c>
      <c r="O277">
        <v>9.56</v>
      </c>
      <c r="P277">
        <v>10.43</v>
      </c>
      <c r="Q277">
        <v>9.56</v>
      </c>
      <c r="R277">
        <v>8.69</v>
      </c>
      <c r="S277">
        <v>10.17</v>
      </c>
      <c r="X277">
        <v>13.04</v>
      </c>
      <c r="Y277">
        <v>19.989999999999998</v>
      </c>
      <c r="Z277" t="s">
        <v>5922</v>
      </c>
    </row>
    <row r="278" spans="1:26" x14ac:dyDescent="0.2">
      <c r="A278" t="s">
        <v>582</v>
      </c>
      <c r="B278" t="s">
        <v>710</v>
      </c>
      <c r="C278" t="s">
        <v>711</v>
      </c>
      <c r="D278" t="s">
        <v>138</v>
      </c>
      <c r="E278">
        <v>49.99</v>
      </c>
      <c r="F278" t="s">
        <v>6969</v>
      </c>
      <c r="H278">
        <v>23.91</v>
      </c>
      <c r="I278">
        <v>30.43</v>
      </c>
      <c r="K278">
        <v>34.78</v>
      </c>
      <c r="L278" t="s">
        <v>5922</v>
      </c>
      <c r="M278">
        <v>26.08</v>
      </c>
      <c r="N278">
        <v>30.43</v>
      </c>
      <c r="P278">
        <v>26.08</v>
      </c>
      <c r="Q278">
        <v>23.91</v>
      </c>
      <c r="R278">
        <v>23.91</v>
      </c>
      <c r="S278">
        <v>26.95</v>
      </c>
      <c r="T278">
        <v>23.91</v>
      </c>
      <c r="U278">
        <v>21.73</v>
      </c>
      <c r="V278">
        <v>23.91</v>
      </c>
      <c r="W278">
        <v>32.6</v>
      </c>
      <c r="X278">
        <v>32.6</v>
      </c>
      <c r="Y278">
        <v>49.99</v>
      </c>
      <c r="Z278" t="s">
        <v>5922</v>
      </c>
    </row>
    <row r="279" spans="1:26" x14ac:dyDescent="0.2">
      <c r="A279" t="s">
        <v>582</v>
      </c>
      <c r="B279" t="s">
        <v>712</v>
      </c>
      <c r="C279" t="s">
        <v>713</v>
      </c>
      <c r="D279" t="s">
        <v>138</v>
      </c>
      <c r="E279">
        <v>49.99</v>
      </c>
      <c r="F279" t="s">
        <v>6969</v>
      </c>
      <c r="H279">
        <v>23.91</v>
      </c>
      <c r="I279">
        <v>30.43</v>
      </c>
      <c r="K279">
        <v>34.78</v>
      </c>
      <c r="L279" t="s">
        <v>5922</v>
      </c>
      <c r="M279">
        <v>26.08</v>
      </c>
      <c r="N279">
        <v>30.43</v>
      </c>
      <c r="P279">
        <v>26.08</v>
      </c>
      <c r="Q279">
        <v>23.91</v>
      </c>
      <c r="R279">
        <v>23.91</v>
      </c>
      <c r="S279">
        <v>26.95</v>
      </c>
      <c r="T279">
        <v>23.91</v>
      </c>
      <c r="U279">
        <v>21.73</v>
      </c>
      <c r="V279">
        <v>23.91</v>
      </c>
      <c r="W279">
        <v>32.6</v>
      </c>
      <c r="X279">
        <v>32.6</v>
      </c>
      <c r="Y279">
        <v>49.99</v>
      </c>
      <c r="Z279" t="s">
        <v>5922</v>
      </c>
    </row>
    <row r="280" spans="1:26" x14ac:dyDescent="0.2">
      <c r="A280" t="s">
        <v>582</v>
      </c>
      <c r="B280" t="s">
        <v>714</v>
      </c>
      <c r="C280" t="s">
        <v>715</v>
      </c>
      <c r="D280" t="s">
        <v>98</v>
      </c>
      <c r="E280">
        <v>49.99</v>
      </c>
      <c r="F280" t="s">
        <v>5922</v>
      </c>
      <c r="G280">
        <v>49.99</v>
      </c>
      <c r="H280">
        <v>23.91</v>
      </c>
      <c r="I280">
        <v>30.43</v>
      </c>
      <c r="J280">
        <v>34.78</v>
      </c>
      <c r="K280">
        <v>26.08</v>
      </c>
      <c r="L280" t="s">
        <v>5922</v>
      </c>
      <c r="M280">
        <v>26.08</v>
      </c>
      <c r="N280">
        <v>30.43</v>
      </c>
      <c r="P280">
        <v>26.08</v>
      </c>
      <c r="Q280">
        <v>23.91</v>
      </c>
      <c r="R280">
        <v>23.04</v>
      </c>
      <c r="S280">
        <v>26.95</v>
      </c>
      <c r="U280">
        <v>32.6</v>
      </c>
      <c r="V280">
        <v>34.78</v>
      </c>
      <c r="W280">
        <v>34.78</v>
      </c>
      <c r="X280">
        <v>32.6</v>
      </c>
      <c r="Y280">
        <v>49.99</v>
      </c>
      <c r="Z280" t="s">
        <v>5922</v>
      </c>
    </row>
    <row r="281" spans="1:26" x14ac:dyDescent="0.2">
      <c r="A281" t="s">
        <v>582</v>
      </c>
      <c r="B281" t="s">
        <v>7611</v>
      </c>
      <c r="C281" t="s">
        <v>7612</v>
      </c>
      <c r="D281" t="s">
        <v>105</v>
      </c>
      <c r="E281">
        <v>44.99</v>
      </c>
      <c r="F281" t="s">
        <v>6926</v>
      </c>
      <c r="H281">
        <v>23.47</v>
      </c>
      <c r="I281">
        <v>27.39</v>
      </c>
      <c r="J281">
        <v>31.3</v>
      </c>
      <c r="K281">
        <v>31.3</v>
      </c>
      <c r="L281" t="s">
        <v>5922</v>
      </c>
      <c r="M281">
        <v>25.43</v>
      </c>
      <c r="N281">
        <v>27.39</v>
      </c>
      <c r="P281">
        <v>23.47</v>
      </c>
      <c r="Q281">
        <v>21.52</v>
      </c>
      <c r="R281">
        <v>21.52</v>
      </c>
      <c r="S281">
        <v>24.26</v>
      </c>
      <c r="Y281">
        <v>44.99</v>
      </c>
      <c r="Z281" t="s">
        <v>5922</v>
      </c>
    </row>
    <row r="282" spans="1:26" x14ac:dyDescent="0.2">
      <c r="A282" t="s">
        <v>582</v>
      </c>
      <c r="B282" t="s">
        <v>7613</v>
      </c>
      <c r="C282" t="s">
        <v>7614</v>
      </c>
      <c r="D282" t="s">
        <v>105</v>
      </c>
      <c r="E282">
        <v>44.99</v>
      </c>
      <c r="F282" t="s">
        <v>6926</v>
      </c>
      <c r="H282">
        <v>23.47</v>
      </c>
      <c r="I282">
        <v>27.39</v>
      </c>
      <c r="J282">
        <v>31.3</v>
      </c>
      <c r="K282">
        <v>31.3</v>
      </c>
      <c r="L282" t="s">
        <v>5922</v>
      </c>
      <c r="M282">
        <v>25.43</v>
      </c>
      <c r="N282">
        <v>27.39</v>
      </c>
      <c r="P282">
        <v>23.47</v>
      </c>
      <c r="Q282">
        <v>21.52</v>
      </c>
      <c r="R282">
        <v>21.52</v>
      </c>
      <c r="S282">
        <v>24.26</v>
      </c>
      <c r="Y282">
        <v>44.99</v>
      </c>
      <c r="Z282" t="s">
        <v>5922</v>
      </c>
    </row>
    <row r="283" spans="1:26" x14ac:dyDescent="0.2">
      <c r="A283" t="s">
        <v>582</v>
      </c>
      <c r="B283" t="s">
        <v>7615</v>
      </c>
      <c r="C283" t="s">
        <v>7616</v>
      </c>
      <c r="D283" t="s">
        <v>105</v>
      </c>
      <c r="E283">
        <v>44.99</v>
      </c>
      <c r="F283" t="s">
        <v>6926</v>
      </c>
      <c r="H283">
        <v>23.47</v>
      </c>
      <c r="I283">
        <v>27.39</v>
      </c>
      <c r="J283">
        <v>31.3</v>
      </c>
      <c r="K283">
        <v>31.3</v>
      </c>
      <c r="L283" t="s">
        <v>5922</v>
      </c>
      <c r="M283">
        <v>25.43</v>
      </c>
      <c r="N283">
        <v>27.39</v>
      </c>
      <c r="P283">
        <v>23.47</v>
      </c>
      <c r="Q283">
        <v>21.52</v>
      </c>
      <c r="R283">
        <v>21.52</v>
      </c>
      <c r="S283">
        <v>24.26</v>
      </c>
      <c r="Y283">
        <v>44.99</v>
      </c>
      <c r="Z283" t="s">
        <v>5922</v>
      </c>
    </row>
    <row r="284" spans="1:26" x14ac:dyDescent="0.2">
      <c r="A284" t="s">
        <v>582</v>
      </c>
      <c r="B284" t="s">
        <v>716</v>
      </c>
      <c r="C284" t="s">
        <v>717</v>
      </c>
      <c r="D284" t="s">
        <v>105</v>
      </c>
      <c r="E284">
        <v>49.99</v>
      </c>
      <c r="F284" t="s">
        <v>6969</v>
      </c>
      <c r="G284">
        <v>49.99</v>
      </c>
      <c r="H284">
        <v>23.91</v>
      </c>
      <c r="I284">
        <v>30.43</v>
      </c>
      <c r="J284">
        <v>34.78</v>
      </c>
      <c r="K284">
        <v>34.78</v>
      </c>
      <c r="L284" t="s">
        <v>5922</v>
      </c>
      <c r="M284">
        <v>26.08</v>
      </c>
      <c r="N284">
        <v>30.43</v>
      </c>
      <c r="O284">
        <v>23.91</v>
      </c>
      <c r="P284">
        <v>26.08</v>
      </c>
      <c r="Q284">
        <v>23.91</v>
      </c>
      <c r="R284">
        <v>23.91</v>
      </c>
      <c r="S284">
        <v>26.95</v>
      </c>
      <c r="U284">
        <v>32.6</v>
      </c>
      <c r="V284">
        <v>34.78</v>
      </c>
      <c r="W284">
        <v>34.78</v>
      </c>
      <c r="X284">
        <v>32.6</v>
      </c>
      <c r="Y284">
        <v>49.99</v>
      </c>
      <c r="Z284" t="s">
        <v>5922</v>
      </c>
    </row>
    <row r="285" spans="1:26" x14ac:dyDescent="0.2">
      <c r="A285" t="s">
        <v>582</v>
      </c>
      <c r="B285" t="s">
        <v>718</v>
      </c>
      <c r="C285" t="s">
        <v>719</v>
      </c>
      <c r="D285" t="s">
        <v>105</v>
      </c>
      <c r="E285">
        <v>49.99</v>
      </c>
      <c r="F285" t="s">
        <v>6969</v>
      </c>
      <c r="G285">
        <v>49.99</v>
      </c>
      <c r="H285">
        <v>23.91</v>
      </c>
      <c r="I285">
        <v>30.43</v>
      </c>
      <c r="J285">
        <v>34.78</v>
      </c>
      <c r="K285">
        <v>34.78</v>
      </c>
      <c r="L285" t="s">
        <v>5922</v>
      </c>
      <c r="M285">
        <v>28.26</v>
      </c>
      <c r="N285">
        <v>30.43</v>
      </c>
      <c r="O285">
        <v>23.91</v>
      </c>
      <c r="P285">
        <v>26.08</v>
      </c>
      <c r="Q285">
        <v>23.91</v>
      </c>
      <c r="R285">
        <v>23.91</v>
      </c>
      <c r="S285">
        <v>26.95</v>
      </c>
      <c r="U285">
        <v>32.6</v>
      </c>
      <c r="V285">
        <v>34.78</v>
      </c>
      <c r="W285">
        <v>34.78</v>
      </c>
      <c r="X285">
        <v>32.6</v>
      </c>
      <c r="Y285">
        <v>49.99</v>
      </c>
      <c r="Z285" t="s">
        <v>5922</v>
      </c>
    </row>
    <row r="286" spans="1:26" x14ac:dyDescent="0.2">
      <c r="A286" t="s">
        <v>582</v>
      </c>
      <c r="B286" t="s">
        <v>720</v>
      </c>
      <c r="C286" t="s">
        <v>721</v>
      </c>
      <c r="D286" t="s">
        <v>105</v>
      </c>
      <c r="E286">
        <v>69.989999999999995</v>
      </c>
      <c r="F286" t="s">
        <v>6890</v>
      </c>
      <c r="G286">
        <v>69.989999999999995</v>
      </c>
      <c r="H286">
        <v>36.520000000000003</v>
      </c>
      <c r="I286">
        <v>42.6</v>
      </c>
      <c r="J286">
        <v>48.69</v>
      </c>
      <c r="K286">
        <v>45.65</v>
      </c>
      <c r="L286" t="s">
        <v>5922</v>
      </c>
      <c r="M286">
        <v>39.56</v>
      </c>
      <c r="N286">
        <v>39.56</v>
      </c>
      <c r="O286">
        <v>33.47</v>
      </c>
      <c r="P286">
        <v>36.520000000000003</v>
      </c>
      <c r="Q286">
        <v>33.47</v>
      </c>
      <c r="R286">
        <v>33.47</v>
      </c>
      <c r="S286">
        <v>36.229999999999997</v>
      </c>
      <c r="U286">
        <v>48.69</v>
      </c>
      <c r="V286">
        <v>48.69</v>
      </c>
      <c r="W286">
        <v>48.69</v>
      </c>
      <c r="X286">
        <v>45.65</v>
      </c>
      <c r="Y286">
        <v>69.989999999999995</v>
      </c>
      <c r="Z286" t="s">
        <v>5922</v>
      </c>
    </row>
    <row r="287" spans="1:26" x14ac:dyDescent="0.2">
      <c r="A287" t="s">
        <v>582</v>
      </c>
      <c r="B287" t="s">
        <v>722</v>
      </c>
      <c r="C287" t="s">
        <v>723</v>
      </c>
      <c r="D287" t="s">
        <v>105</v>
      </c>
      <c r="E287">
        <v>59.99</v>
      </c>
      <c r="F287" t="s">
        <v>6889</v>
      </c>
      <c r="G287">
        <v>59.99</v>
      </c>
      <c r="H287">
        <v>28.69</v>
      </c>
      <c r="I287">
        <v>36.520000000000003</v>
      </c>
      <c r="J287">
        <v>41.73</v>
      </c>
      <c r="K287">
        <v>39.119999999999997</v>
      </c>
      <c r="L287" t="s">
        <v>5922</v>
      </c>
      <c r="M287">
        <v>33.909999999999997</v>
      </c>
      <c r="N287">
        <v>36.520000000000003</v>
      </c>
      <c r="P287">
        <v>31.3</v>
      </c>
      <c r="Q287">
        <v>28.69</v>
      </c>
      <c r="R287">
        <v>26.08</v>
      </c>
      <c r="S287">
        <v>32.340000000000003</v>
      </c>
      <c r="U287">
        <v>36.520000000000003</v>
      </c>
      <c r="V287">
        <v>39.119999999999997</v>
      </c>
      <c r="W287">
        <v>39.119999999999997</v>
      </c>
      <c r="X287">
        <v>39.119999999999997</v>
      </c>
      <c r="Y287">
        <v>59.99</v>
      </c>
      <c r="Z287" t="s">
        <v>5922</v>
      </c>
    </row>
    <row r="288" spans="1:26" x14ac:dyDescent="0.2">
      <c r="A288" t="s">
        <v>582</v>
      </c>
      <c r="B288" t="s">
        <v>724</v>
      </c>
      <c r="C288" t="s">
        <v>725</v>
      </c>
      <c r="D288" t="s">
        <v>105</v>
      </c>
      <c r="E288">
        <v>149.99</v>
      </c>
      <c r="F288" t="s">
        <v>7022</v>
      </c>
      <c r="H288">
        <v>91.3</v>
      </c>
      <c r="I288">
        <v>104.34</v>
      </c>
      <c r="J288">
        <v>117.38</v>
      </c>
      <c r="K288">
        <v>84.78</v>
      </c>
      <c r="L288" t="s">
        <v>5922</v>
      </c>
      <c r="M288">
        <v>84.78</v>
      </c>
      <c r="N288">
        <v>84.78</v>
      </c>
      <c r="O288">
        <v>71.73</v>
      </c>
      <c r="P288">
        <v>78.260000000000005</v>
      </c>
      <c r="Q288">
        <v>71.73</v>
      </c>
      <c r="R288">
        <v>71.73</v>
      </c>
      <c r="S288">
        <v>80.86</v>
      </c>
      <c r="U288">
        <v>104.34</v>
      </c>
      <c r="V288">
        <v>97.82</v>
      </c>
      <c r="W288">
        <v>97.82</v>
      </c>
      <c r="X288">
        <v>97.82</v>
      </c>
      <c r="Y288">
        <v>149.99</v>
      </c>
      <c r="Z288" t="s">
        <v>5922</v>
      </c>
    </row>
    <row r="289" spans="1:26" x14ac:dyDescent="0.2">
      <c r="A289" t="s">
        <v>582</v>
      </c>
      <c r="B289" t="s">
        <v>726</v>
      </c>
      <c r="C289" t="s">
        <v>727</v>
      </c>
      <c r="D289" t="s">
        <v>105</v>
      </c>
      <c r="E289">
        <v>149.99</v>
      </c>
      <c r="F289" t="s">
        <v>7022</v>
      </c>
      <c r="H289">
        <v>91.3</v>
      </c>
      <c r="I289">
        <v>104.34</v>
      </c>
      <c r="J289">
        <v>117.38</v>
      </c>
      <c r="K289">
        <v>84.78</v>
      </c>
      <c r="L289" t="s">
        <v>5922</v>
      </c>
      <c r="M289">
        <v>84.78</v>
      </c>
      <c r="N289">
        <v>84.78</v>
      </c>
      <c r="O289">
        <v>71.73</v>
      </c>
      <c r="P289">
        <v>78.260000000000005</v>
      </c>
      <c r="Q289">
        <v>71.73</v>
      </c>
      <c r="R289">
        <v>71.73</v>
      </c>
      <c r="S289">
        <v>80.86</v>
      </c>
      <c r="U289">
        <v>104.34</v>
      </c>
      <c r="V289">
        <v>97.82</v>
      </c>
      <c r="W289">
        <v>97.82</v>
      </c>
      <c r="X289">
        <v>97.82</v>
      </c>
      <c r="Y289">
        <v>149.99</v>
      </c>
      <c r="Z289" t="s">
        <v>5922</v>
      </c>
    </row>
    <row r="290" spans="1:26" x14ac:dyDescent="0.2">
      <c r="A290" t="s">
        <v>582</v>
      </c>
      <c r="B290" t="s">
        <v>728</v>
      </c>
      <c r="C290" t="s">
        <v>729</v>
      </c>
      <c r="D290" t="s">
        <v>105</v>
      </c>
      <c r="E290">
        <v>54.99</v>
      </c>
      <c r="F290" t="s">
        <v>5922</v>
      </c>
      <c r="H290">
        <v>33.47</v>
      </c>
      <c r="I290">
        <v>38.25</v>
      </c>
      <c r="J290">
        <v>43.04</v>
      </c>
      <c r="K290">
        <v>33.47</v>
      </c>
      <c r="L290" t="s">
        <v>5922</v>
      </c>
      <c r="M290">
        <v>27</v>
      </c>
      <c r="N290">
        <v>28.69</v>
      </c>
      <c r="P290">
        <v>26.3</v>
      </c>
      <c r="Q290">
        <v>26.3</v>
      </c>
      <c r="R290">
        <v>23.91</v>
      </c>
      <c r="S290">
        <v>27.02</v>
      </c>
      <c r="Z290" t="s">
        <v>5922</v>
      </c>
    </row>
    <row r="291" spans="1:26" x14ac:dyDescent="0.2">
      <c r="A291" t="s">
        <v>582</v>
      </c>
      <c r="B291" t="s">
        <v>730</v>
      </c>
      <c r="C291" t="s">
        <v>731</v>
      </c>
      <c r="D291" t="s">
        <v>105</v>
      </c>
      <c r="E291">
        <v>59.99</v>
      </c>
      <c r="F291" t="s">
        <v>6889</v>
      </c>
      <c r="G291">
        <v>59.99</v>
      </c>
      <c r="H291">
        <v>28.69</v>
      </c>
      <c r="I291">
        <v>36.520000000000003</v>
      </c>
      <c r="J291">
        <v>41.73</v>
      </c>
      <c r="K291">
        <v>39.119999999999997</v>
      </c>
      <c r="L291" t="s">
        <v>5922</v>
      </c>
      <c r="M291">
        <v>33.909999999999997</v>
      </c>
      <c r="N291">
        <v>36.520000000000003</v>
      </c>
      <c r="P291">
        <v>31.3</v>
      </c>
      <c r="Q291">
        <v>28.69</v>
      </c>
      <c r="R291">
        <v>26.08</v>
      </c>
      <c r="S291">
        <v>32.340000000000003</v>
      </c>
      <c r="U291">
        <v>36.520000000000003</v>
      </c>
      <c r="V291">
        <v>39.119999999999997</v>
      </c>
      <c r="W291">
        <v>39.119999999999997</v>
      </c>
      <c r="X291">
        <v>39.119999999999997</v>
      </c>
      <c r="Y291">
        <v>59.99</v>
      </c>
      <c r="Z291" t="s">
        <v>5922</v>
      </c>
    </row>
    <row r="292" spans="1:26" x14ac:dyDescent="0.2">
      <c r="A292" t="s">
        <v>582</v>
      </c>
      <c r="B292" t="s">
        <v>732</v>
      </c>
      <c r="C292" t="s">
        <v>733</v>
      </c>
      <c r="D292" t="s">
        <v>105</v>
      </c>
      <c r="E292">
        <v>54.99</v>
      </c>
      <c r="F292" t="s">
        <v>7027</v>
      </c>
      <c r="H292">
        <v>33.47</v>
      </c>
      <c r="I292">
        <v>38.25</v>
      </c>
      <c r="J292">
        <v>43.04</v>
      </c>
      <c r="K292">
        <v>33.47</v>
      </c>
      <c r="L292" t="s">
        <v>5922</v>
      </c>
      <c r="M292">
        <v>27</v>
      </c>
      <c r="N292">
        <v>28.69</v>
      </c>
      <c r="P292">
        <v>26.3</v>
      </c>
      <c r="Q292">
        <v>26.3</v>
      </c>
      <c r="R292">
        <v>23.91</v>
      </c>
      <c r="S292">
        <v>27.02</v>
      </c>
      <c r="Y292">
        <v>54.99</v>
      </c>
      <c r="Z292" t="s">
        <v>5922</v>
      </c>
    </row>
    <row r="293" spans="1:26" x14ac:dyDescent="0.2">
      <c r="A293" t="s">
        <v>582</v>
      </c>
      <c r="B293" t="s">
        <v>734</v>
      </c>
      <c r="C293" t="s">
        <v>735</v>
      </c>
      <c r="D293" t="s">
        <v>105</v>
      </c>
      <c r="E293">
        <v>64.989999999999995</v>
      </c>
      <c r="F293" t="s">
        <v>7028</v>
      </c>
      <c r="H293">
        <v>39.56</v>
      </c>
      <c r="I293">
        <v>45.21</v>
      </c>
      <c r="J293">
        <v>50.86</v>
      </c>
      <c r="K293">
        <v>39.56</v>
      </c>
      <c r="L293" t="s">
        <v>5922</v>
      </c>
      <c r="M293">
        <v>31.91</v>
      </c>
      <c r="N293">
        <v>33.909999999999997</v>
      </c>
      <c r="P293">
        <v>31.08</v>
      </c>
      <c r="Q293">
        <v>31.08</v>
      </c>
      <c r="R293">
        <v>28.26</v>
      </c>
      <c r="S293">
        <v>31.93</v>
      </c>
      <c r="Y293">
        <v>64.989999999999995</v>
      </c>
      <c r="Z293" t="s">
        <v>5922</v>
      </c>
    </row>
    <row r="294" spans="1:26" x14ac:dyDescent="0.2">
      <c r="A294" t="s">
        <v>582</v>
      </c>
      <c r="B294" t="s">
        <v>736</v>
      </c>
      <c r="C294" t="s">
        <v>737</v>
      </c>
      <c r="D294" t="s">
        <v>105</v>
      </c>
      <c r="E294">
        <v>29.99</v>
      </c>
      <c r="F294" t="s">
        <v>6886</v>
      </c>
      <c r="G294">
        <v>29.99</v>
      </c>
      <c r="H294">
        <v>14.34</v>
      </c>
      <c r="I294">
        <v>18.25</v>
      </c>
      <c r="J294">
        <v>20.86</v>
      </c>
      <c r="K294">
        <v>22.17</v>
      </c>
      <c r="L294" t="s">
        <v>5922</v>
      </c>
      <c r="M294">
        <v>15.65</v>
      </c>
      <c r="N294">
        <v>15.65</v>
      </c>
      <c r="O294">
        <v>13.04</v>
      </c>
      <c r="P294">
        <v>15.65</v>
      </c>
      <c r="Q294">
        <v>14.34</v>
      </c>
      <c r="R294">
        <v>13.04</v>
      </c>
      <c r="S294">
        <v>15.26</v>
      </c>
      <c r="U294">
        <v>22.17</v>
      </c>
      <c r="V294">
        <v>23.47</v>
      </c>
      <c r="W294">
        <v>23.47</v>
      </c>
      <c r="X294">
        <v>19.559999999999999</v>
      </c>
      <c r="Y294">
        <v>29.99</v>
      </c>
      <c r="Z294" t="s">
        <v>5922</v>
      </c>
    </row>
    <row r="295" spans="1:26" x14ac:dyDescent="0.2">
      <c r="A295" t="s">
        <v>582</v>
      </c>
      <c r="B295" t="s">
        <v>7029</v>
      </c>
      <c r="C295" t="s">
        <v>7030</v>
      </c>
      <c r="D295" t="s">
        <v>105</v>
      </c>
      <c r="E295">
        <v>29.99</v>
      </c>
      <c r="F295" t="s">
        <v>6886</v>
      </c>
      <c r="H295">
        <v>19.559999999999999</v>
      </c>
      <c r="I295">
        <v>20.86</v>
      </c>
      <c r="J295">
        <v>23.47</v>
      </c>
      <c r="K295">
        <v>22.17</v>
      </c>
      <c r="L295" t="s">
        <v>5922</v>
      </c>
      <c r="M295">
        <v>15.65</v>
      </c>
      <c r="N295">
        <v>16.72</v>
      </c>
      <c r="Q295">
        <v>14.34</v>
      </c>
      <c r="R295">
        <v>13.04</v>
      </c>
      <c r="S295">
        <v>14.73</v>
      </c>
      <c r="Y295">
        <v>29.99</v>
      </c>
      <c r="Z295" t="s">
        <v>5922</v>
      </c>
    </row>
    <row r="296" spans="1:26" x14ac:dyDescent="0.2">
      <c r="A296" t="s">
        <v>582</v>
      </c>
      <c r="B296" t="s">
        <v>7031</v>
      </c>
      <c r="C296" t="s">
        <v>7032</v>
      </c>
      <c r="D296" t="s">
        <v>105</v>
      </c>
      <c r="E296">
        <v>34.99</v>
      </c>
      <c r="F296" t="s">
        <v>7021</v>
      </c>
      <c r="H296">
        <v>22.82</v>
      </c>
      <c r="I296">
        <v>24.34</v>
      </c>
      <c r="J296">
        <v>27.38</v>
      </c>
      <c r="K296">
        <v>24.34</v>
      </c>
      <c r="L296" t="s">
        <v>5922</v>
      </c>
      <c r="M296">
        <v>18.260000000000002</v>
      </c>
      <c r="N296">
        <v>19.5</v>
      </c>
      <c r="Q296">
        <v>16.73</v>
      </c>
      <c r="R296">
        <v>15.21</v>
      </c>
      <c r="S296">
        <v>17.190000000000001</v>
      </c>
      <c r="Y296">
        <v>34.99</v>
      </c>
      <c r="Z296" t="s">
        <v>5922</v>
      </c>
    </row>
    <row r="297" spans="1:26" x14ac:dyDescent="0.2">
      <c r="A297" t="s">
        <v>582</v>
      </c>
      <c r="B297" t="s">
        <v>742</v>
      </c>
      <c r="C297" t="s">
        <v>743</v>
      </c>
      <c r="D297" t="s">
        <v>105</v>
      </c>
      <c r="E297">
        <v>29.99</v>
      </c>
      <c r="F297" t="s">
        <v>6886</v>
      </c>
      <c r="H297">
        <v>19.559999999999999</v>
      </c>
      <c r="I297">
        <v>20.86</v>
      </c>
      <c r="J297">
        <v>23.47</v>
      </c>
      <c r="K297">
        <v>22.17</v>
      </c>
      <c r="L297" t="s">
        <v>5922</v>
      </c>
      <c r="M297">
        <v>15.65</v>
      </c>
      <c r="N297">
        <v>16.72</v>
      </c>
      <c r="Q297">
        <v>14.34</v>
      </c>
      <c r="R297">
        <v>13.04</v>
      </c>
      <c r="S297">
        <v>14.73</v>
      </c>
      <c r="Y297">
        <v>29.99</v>
      </c>
      <c r="Z297" t="s">
        <v>5922</v>
      </c>
    </row>
    <row r="298" spans="1:26" x14ac:dyDescent="0.2">
      <c r="A298" t="s">
        <v>582</v>
      </c>
      <c r="B298" t="s">
        <v>7033</v>
      </c>
      <c r="C298" t="s">
        <v>7034</v>
      </c>
      <c r="D298" t="s">
        <v>105</v>
      </c>
      <c r="E298">
        <v>44.99</v>
      </c>
      <c r="F298" t="s">
        <v>6926</v>
      </c>
      <c r="H298">
        <v>29.34</v>
      </c>
      <c r="I298">
        <v>31.3</v>
      </c>
      <c r="J298">
        <v>35.21</v>
      </c>
      <c r="K298">
        <v>27.39</v>
      </c>
      <c r="L298" t="s">
        <v>5922</v>
      </c>
      <c r="M298">
        <v>23.47</v>
      </c>
      <c r="N298">
        <v>25.08</v>
      </c>
      <c r="Q298">
        <v>21.52</v>
      </c>
      <c r="R298">
        <v>19.559999999999999</v>
      </c>
      <c r="S298">
        <v>22.1</v>
      </c>
      <c r="Y298">
        <v>44.99</v>
      </c>
      <c r="Z298" t="s">
        <v>5922</v>
      </c>
    </row>
    <row r="299" spans="1:26" x14ac:dyDescent="0.2">
      <c r="A299" t="s">
        <v>582</v>
      </c>
      <c r="B299" t="s">
        <v>7617</v>
      </c>
      <c r="C299" t="s">
        <v>7618</v>
      </c>
      <c r="D299" t="s">
        <v>105</v>
      </c>
      <c r="E299">
        <v>119.99</v>
      </c>
      <c r="F299" t="s">
        <v>6905</v>
      </c>
      <c r="H299">
        <v>73.040000000000006</v>
      </c>
      <c r="I299">
        <v>83.47</v>
      </c>
      <c r="J299">
        <v>93.91</v>
      </c>
      <c r="K299">
        <v>83.47</v>
      </c>
      <c r="L299" t="s">
        <v>5922</v>
      </c>
      <c r="M299">
        <v>67.819999999999993</v>
      </c>
      <c r="N299">
        <v>67.819999999999993</v>
      </c>
      <c r="Q299">
        <v>57.39</v>
      </c>
      <c r="R299">
        <v>62.6</v>
      </c>
      <c r="S299">
        <v>64.69</v>
      </c>
      <c r="U299">
        <v>83.47</v>
      </c>
      <c r="W299">
        <v>83.47</v>
      </c>
      <c r="X299">
        <v>78.25</v>
      </c>
      <c r="Y299">
        <v>119.99</v>
      </c>
      <c r="Z299" t="s">
        <v>5922</v>
      </c>
    </row>
    <row r="300" spans="1:26" x14ac:dyDescent="0.2">
      <c r="A300" t="s">
        <v>582</v>
      </c>
      <c r="B300" t="s">
        <v>7619</v>
      </c>
      <c r="C300" t="s">
        <v>7620</v>
      </c>
      <c r="D300" t="s">
        <v>105</v>
      </c>
      <c r="E300">
        <v>179.99</v>
      </c>
      <c r="F300" t="s">
        <v>7024</v>
      </c>
      <c r="H300">
        <v>109.56</v>
      </c>
      <c r="I300">
        <v>125.21</v>
      </c>
      <c r="J300">
        <v>140.86000000000001</v>
      </c>
      <c r="K300">
        <v>125.21</v>
      </c>
      <c r="L300" t="s">
        <v>5922</v>
      </c>
      <c r="M300">
        <v>101.73</v>
      </c>
      <c r="N300">
        <v>101.73</v>
      </c>
      <c r="Q300">
        <v>86.08</v>
      </c>
      <c r="R300">
        <v>86.08</v>
      </c>
      <c r="S300">
        <v>97.04</v>
      </c>
      <c r="U300">
        <v>125.21</v>
      </c>
      <c r="W300">
        <v>125.21</v>
      </c>
      <c r="X300">
        <v>117.38</v>
      </c>
      <c r="Y300">
        <v>179.99</v>
      </c>
      <c r="Z300" t="s">
        <v>5922</v>
      </c>
    </row>
    <row r="301" spans="1:26" x14ac:dyDescent="0.2">
      <c r="A301" t="s">
        <v>582</v>
      </c>
      <c r="B301" t="s">
        <v>7035</v>
      </c>
      <c r="C301" t="s">
        <v>7036</v>
      </c>
      <c r="D301" t="s">
        <v>105</v>
      </c>
      <c r="E301">
        <v>59.99</v>
      </c>
      <c r="F301" t="s">
        <v>6889</v>
      </c>
      <c r="H301">
        <v>39.119999999999997</v>
      </c>
      <c r="I301">
        <v>41.73</v>
      </c>
      <c r="J301">
        <v>46.95</v>
      </c>
      <c r="K301">
        <v>36.520000000000003</v>
      </c>
      <c r="L301" t="s">
        <v>5922</v>
      </c>
      <c r="M301">
        <v>31.3</v>
      </c>
      <c r="N301">
        <v>33.44</v>
      </c>
      <c r="Q301">
        <v>28.69</v>
      </c>
      <c r="R301">
        <v>26.08</v>
      </c>
      <c r="S301">
        <v>29.47</v>
      </c>
      <c r="Y301">
        <v>59.99</v>
      </c>
      <c r="Z301" t="s">
        <v>5922</v>
      </c>
    </row>
    <row r="302" spans="1:26" x14ac:dyDescent="0.2">
      <c r="A302" t="s">
        <v>582</v>
      </c>
      <c r="B302" t="s">
        <v>7037</v>
      </c>
      <c r="C302" t="s">
        <v>7038</v>
      </c>
      <c r="D302" t="s">
        <v>105</v>
      </c>
      <c r="E302">
        <v>69.989999999999995</v>
      </c>
      <c r="F302" t="s">
        <v>6890</v>
      </c>
      <c r="H302">
        <v>45.65</v>
      </c>
      <c r="I302">
        <v>48.69</v>
      </c>
      <c r="J302">
        <v>54.77</v>
      </c>
      <c r="K302">
        <v>42.6</v>
      </c>
      <c r="L302" t="s">
        <v>5922</v>
      </c>
      <c r="M302">
        <v>39.56</v>
      </c>
      <c r="N302">
        <v>42.6</v>
      </c>
      <c r="Q302">
        <v>33.47</v>
      </c>
      <c r="R302">
        <v>33.47</v>
      </c>
      <c r="S302">
        <v>37.729999999999997</v>
      </c>
      <c r="Y302">
        <v>69.989999999999995</v>
      </c>
      <c r="Z302" t="s">
        <v>5922</v>
      </c>
    </row>
    <row r="303" spans="1:26" x14ac:dyDescent="0.2">
      <c r="A303" t="s">
        <v>582</v>
      </c>
      <c r="B303" t="s">
        <v>744</v>
      </c>
      <c r="C303" t="s">
        <v>745</v>
      </c>
      <c r="D303" t="s">
        <v>105</v>
      </c>
      <c r="E303">
        <v>59.99</v>
      </c>
      <c r="F303" t="s">
        <v>6889</v>
      </c>
      <c r="H303">
        <v>39.119999999999997</v>
      </c>
      <c r="I303">
        <v>41.73</v>
      </c>
      <c r="J303">
        <v>46.95</v>
      </c>
      <c r="K303">
        <v>36.520000000000003</v>
      </c>
      <c r="L303" t="s">
        <v>5922</v>
      </c>
      <c r="M303">
        <v>31.3</v>
      </c>
      <c r="N303">
        <v>33.44</v>
      </c>
      <c r="Q303">
        <v>28.69</v>
      </c>
      <c r="R303">
        <v>26.08</v>
      </c>
      <c r="S303">
        <v>29.47</v>
      </c>
      <c r="Y303">
        <v>59.99</v>
      </c>
      <c r="Z303" t="s">
        <v>5922</v>
      </c>
    </row>
    <row r="304" spans="1:26" x14ac:dyDescent="0.2">
      <c r="A304" t="s">
        <v>582</v>
      </c>
      <c r="B304" t="s">
        <v>7039</v>
      </c>
      <c r="C304" t="s">
        <v>7040</v>
      </c>
      <c r="D304" t="s">
        <v>105</v>
      </c>
      <c r="E304">
        <v>69.989999999999995</v>
      </c>
      <c r="F304" t="s">
        <v>6890</v>
      </c>
      <c r="H304">
        <v>45.65</v>
      </c>
      <c r="I304">
        <v>48.69</v>
      </c>
      <c r="J304">
        <v>54.77</v>
      </c>
      <c r="K304">
        <v>42.6</v>
      </c>
      <c r="L304" t="s">
        <v>5922</v>
      </c>
      <c r="M304">
        <v>36.520000000000003</v>
      </c>
      <c r="N304">
        <v>39.01</v>
      </c>
      <c r="Q304">
        <v>33.47</v>
      </c>
      <c r="R304">
        <v>30.43</v>
      </c>
      <c r="S304">
        <v>34.39</v>
      </c>
      <c r="Y304">
        <v>69.989999999999995</v>
      </c>
      <c r="Z304" t="s">
        <v>5922</v>
      </c>
    </row>
    <row r="305" spans="1:26" x14ac:dyDescent="0.2">
      <c r="A305" t="s">
        <v>582</v>
      </c>
      <c r="B305" t="s">
        <v>7041</v>
      </c>
      <c r="C305" t="s">
        <v>7042</v>
      </c>
      <c r="D305" t="s">
        <v>105</v>
      </c>
      <c r="E305">
        <v>59.99</v>
      </c>
      <c r="F305" t="s">
        <v>6889</v>
      </c>
      <c r="H305">
        <v>39.119999999999997</v>
      </c>
      <c r="I305">
        <v>41.73</v>
      </c>
      <c r="J305">
        <v>46.95</v>
      </c>
      <c r="K305">
        <v>36.520000000000003</v>
      </c>
      <c r="L305" t="s">
        <v>5922</v>
      </c>
      <c r="M305">
        <v>33.909999999999997</v>
      </c>
      <c r="N305">
        <v>36.520000000000003</v>
      </c>
      <c r="Q305">
        <v>28.69</v>
      </c>
      <c r="R305">
        <v>28.69</v>
      </c>
      <c r="S305">
        <v>32.340000000000003</v>
      </c>
      <c r="Y305">
        <v>59.99</v>
      </c>
      <c r="Z305" t="s">
        <v>5922</v>
      </c>
    </row>
    <row r="306" spans="1:26" x14ac:dyDescent="0.2">
      <c r="A306" t="s">
        <v>582</v>
      </c>
      <c r="B306" t="s">
        <v>748</v>
      </c>
      <c r="C306" t="s">
        <v>749</v>
      </c>
      <c r="D306" t="s">
        <v>105</v>
      </c>
      <c r="E306">
        <v>19.989999999999998</v>
      </c>
      <c r="F306" t="s">
        <v>6931</v>
      </c>
      <c r="G306">
        <v>19.989999999999998</v>
      </c>
      <c r="H306">
        <v>9.56</v>
      </c>
      <c r="I306">
        <v>12.17</v>
      </c>
      <c r="J306">
        <v>13.91</v>
      </c>
      <c r="L306" t="s">
        <v>5922</v>
      </c>
      <c r="M306">
        <v>8.34</v>
      </c>
      <c r="N306">
        <v>8.69</v>
      </c>
      <c r="P306">
        <v>8.69</v>
      </c>
      <c r="Q306">
        <v>10.43</v>
      </c>
      <c r="R306">
        <v>8.69</v>
      </c>
      <c r="S306">
        <v>10.34</v>
      </c>
      <c r="U306">
        <v>14.78</v>
      </c>
      <c r="V306">
        <v>15.64</v>
      </c>
      <c r="W306">
        <v>15.64</v>
      </c>
      <c r="X306">
        <v>13.04</v>
      </c>
      <c r="Y306">
        <v>19.989999999999998</v>
      </c>
      <c r="Z306" t="s">
        <v>5922</v>
      </c>
    </row>
    <row r="307" spans="1:26" x14ac:dyDescent="0.2">
      <c r="A307" t="s">
        <v>582</v>
      </c>
      <c r="B307" t="s">
        <v>750</v>
      </c>
      <c r="C307" t="s">
        <v>751</v>
      </c>
      <c r="D307" t="s">
        <v>138</v>
      </c>
      <c r="E307">
        <v>129.99</v>
      </c>
      <c r="F307" t="s">
        <v>7023</v>
      </c>
      <c r="H307">
        <v>84.78</v>
      </c>
      <c r="I307">
        <v>96.08</v>
      </c>
      <c r="J307">
        <v>101.73</v>
      </c>
      <c r="K307">
        <v>84.78</v>
      </c>
      <c r="L307" t="s">
        <v>5922</v>
      </c>
      <c r="M307">
        <v>87.6</v>
      </c>
      <c r="P307">
        <v>79.12</v>
      </c>
      <c r="Q307">
        <v>79.12</v>
      </c>
      <c r="R307">
        <v>73.47</v>
      </c>
      <c r="Y307">
        <v>129.99</v>
      </c>
      <c r="Z307" t="s">
        <v>5922</v>
      </c>
    </row>
    <row r="308" spans="1:26" x14ac:dyDescent="0.2">
      <c r="A308" t="s">
        <v>582</v>
      </c>
      <c r="B308" t="s">
        <v>752</v>
      </c>
      <c r="C308" t="s">
        <v>753</v>
      </c>
      <c r="D308" t="s">
        <v>138</v>
      </c>
      <c r="E308">
        <v>129.99</v>
      </c>
      <c r="F308" t="s">
        <v>7023</v>
      </c>
      <c r="H308">
        <v>84.78</v>
      </c>
      <c r="I308">
        <v>96.08</v>
      </c>
      <c r="J308">
        <v>101.73</v>
      </c>
      <c r="K308">
        <v>84.78</v>
      </c>
      <c r="L308" t="s">
        <v>5922</v>
      </c>
      <c r="M308">
        <v>87.6</v>
      </c>
      <c r="P308">
        <v>79.12</v>
      </c>
      <c r="Q308">
        <v>79.12</v>
      </c>
      <c r="R308">
        <v>73.47</v>
      </c>
      <c r="Y308">
        <v>129.99</v>
      </c>
      <c r="Z308" t="s">
        <v>5922</v>
      </c>
    </row>
    <row r="309" spans="1:26" x14ac:dyDescent="0.2">
      <c r="A309" t="s">
        <v>582</v>
      </c>
      <c r="B309" t="s">
        <v>756</v>
      </c>
      <c r="C309" t="s">
        <v>757</v>
      </c>
      <c r="D309" t="s">
        <v>138</v>
      </c>
      <c r="E309">
        <v>39.99</v>
      </c>
      <c r="F309" t="s">
        <v>6887</v>
      </c>
      <c r="H309">
        <v>27.82</v>
      </c>
      <c r="I309">
        <v>29.56</v>
      </c>
      <c r="J309">
        <v>31.3</v>
      </c>
      <c r="L309" t="s">
        <v>5922</v>
      </c>
      <c r="P309">
        <v>27.12</v>
      </c>
      <c r="Q309">
        <v>26.08</v>
      </c>
      <c r="R309">
        <v>24.34</v>
      </c>
      <c r="Y309">
        <v>39.99</v>
      </c>
      <c r="Z309" t="s">
        <v>5922</v>
      </c>
    </row>
    <row r="310" spans="1:26" x14ac:dyDescent="0.2">
      <c r="A310" t="s">
        <v>582</v>
      </c>
      <c r="B310" t="s">
        <v>758</v>
      </c>
      <c r="C310" t="s">
        <v>759</v>
      </c>
      <c r="D310" t="s">
        <v>138</v>
      </c>
      <c r="E310">
        <v>39.99</v>
      </c>
      <c r="F310" t="s">
        <v>6887</v>
      </c>
      <c r="H310">
        <v>27.82</v>
      </c>
      <c r="I310">
        <v>29.56</v>
      </c>
      <c r="J310">
        <v>31.3</v>
      </c>
      <c r="L310" t="s">
        <v>5922</v>
      </c>
      <c r="P310">
        <v>21.73</v>
      </c>
      <c r="Q310">
        <v>26.08</v>
      </c>
      <c r="R310">
        <v>24.34</v>
      </c>
      <c r="Y310">
        <v>39.99</v>
      </c>
      <c r="Z310" t="s">
        <v>5922</v>
      </c>
    </row>
    <row r="311" spans="1:26" x14ac:dyDescent="0.2">
      <c r="A311" t="s">
        <v>582</v>
      </c>
      <c r="B311" t="s">
        <v>760</v>
      </c>
      <c r="C311" t="s">
        <v>761</v>
      </c>
      <c r="D311" t="s">
        <v>138</v>
      </c>
      <c r="E311">
        <v>59.99</v>
      </c>
      <c r="F311" t="s">
        <v>6889</v>
      </c>
      <c r="H311">
        <v>39.119999999999997</v>
      </c>
      <c r="I311">
        <v>44.34</v>
      </c>
      <c r="J311">
        <v>46.95</v>
      </c>
      <c r="K311">
        <v>41.73</v>
      </c>
      <c r="L311" t="s">
        <v>5922</v>
      </c>
      <c r="M311">
        <v>40.43</v>
      </c>
      <c r="P311">
        <v>36.520000000000003</v>
      </c>
      <c r="Q311">
        <v>36.520000000000003</v>
      </c>
      <c r="R311">
        <v>33.909999999999997</v>
      </c>
      <c r="Y311">
        <v>59.99</v>
      </c>
      <c r="Z311" t="s">
        <v>5922</v>
      </c>
    </row>
    <row r="312" spans="1:26" x14ac:dyDescent="0.2">
      <c r="A312" t="s">
        <v>582</v>
      </c>
      <c r="B312" t="s">
        <v>762</v>
      </c>
      <c r="C312" t="s">
        <v>763</v>
      </c>
      <c r="D312" t="s">
        <v>138</v>
      </c>
      <c r="E312">
        <v>59.99</v>
      </c>
      <c r="F312" t="s">
        <v>5922</v>
      </c>
      <c r="H312">
        <v>39.119999999999997</v>
      </c>
      <c r="I312">
        <v>44.34</v>
      </c>
      <c r="J312">
        <v>46.95</v>
      </c>
      <c r="K312">
        <v>41.73</v>
      </c>
      <c r="L312" t="s">
        <v>5922</v>
      </c>
      <c r="M312">
        <v>40.43</v>
      </c>
      <c r="P312">
        <v>36.520000000000003</v>
      </c>
      <c r="Q312">
        <v>36.520000000000003</v>
      </c>
      <c r="R312">
        <v>33.909999999999997</v>
      </c>
      <c r="Y312">
        <v>59.99</v>
      </c>
      <c r="Z312" t="s">
        <v>5922</v>
      </c>
    </row>
    <row r="313" spans="1:26" x14ac:dyDescent="0.2">
      <c r="A313" t="s">
        <v>582</v>
      </c>
      <c r="B313" t="s">
        <v>764</v>
      </c>
      <c r="C313" t="s">
        <v>765</v>
      </c>
      <c r="D313" t="s">
        <v>138</v>
      </c>
      <c r="E313">
        <v>59.99</v>
      </c>
      <c r="F313" t="s">
        <v>6889</v>
      </c>
      <c r="H313">
        <v>39.119999999999997</v>
      </c>
      <c r="I313">
        <v>44.34</v>
      </c>
      <c r="J313">
        <v>46.95</v>
      </c>
      <c r="K313">
        <v>41.73</v>
      </c>
      <c r="L313" t="s">
        <v>5922</v>
      </c>
      <c r="M313">
        <v>40.43</v>
      </c>
      <c r="P313">
        <v>36.520000000000003</v>
      </c>
      <c r="Q313">
        <v>36.520000000000003</v>
      </c>
      <c r="R313">
        <v>33.909999999999997</v>
      </c>
      <c r="Y313">
        <v>59.99</v>
      </c>
      <c r="Z313" t="s">
        <v>5922</v>
      </c>
    </row>
    <row r="314" spans="1:26" x14ac:dyDescent="0.2">
      <c r="A314" t="s">
        <v>582</v>
      </c>
      <c r="B314" t="s">
        <v>766</v>
      </c>
      <c r="C314" t="s">
        <v>767</v>
      </c>
      <c r="D314" t="s">
        <v>138</v>
      </c>
      <c r="E314">
        <v>59.99</v>
      </c>
      <c r="F314" t="s">
        <v>6889</v>
      </c>
      <c r="H314">
        <v>39.119999999999997</v>
      </c>
      <c r="I314">
        <v>44.34</v>
      </c>
      <c r="J314">
        <v>46.95</v>
      </c>
      <c r="K314">
        <v>41.73</v>
      </c>
      <c r="L314" t="s">
        <v>5922</v>
      </c>
      <c r="M314">
        <v>40.43</v>
      </c>
      <c r="P314">
        <v>36.520000000000003</v>
      </c>
      <c r="Q314">
        <v>36.520000000000003</v>
      </c>
      <c r="R314">
        <v>33.909999999999997</v>
      </c>
      <c r="Y314">
        <v>59.99</v>
      </c>
      <c r="Z314" t="s">
        <v>5922</v>
      </c>
    </row>
    <row r="315" spans="1:26" x14ac:dyDescent="0.2">
      <c r="A315" t="s">
        <v>582</v>
      </c>
      <c r="B315" t="s">
        <v>770</v>
      </c>
      <c r="C315" t="s">
        <v>771</v>
      </c>
      <c r="D315" t="s">
        <v>138</v>
      </c>
      <c r="E315">
        <v>169.99</v>
      </c>
      <c r="F315" t="s">
        <v>6888</v>
      </c>
      <c r="H315">
        <v>88.69</v>
      </c>
      <c r="I315">
        <v>103.47</v>
      </c>
      <c r="K315">
        <v>103.47</v>
      </c>
      <c r="L315" t="s">
        <v>5922</v>
      </c>
      <c r="M315">
        <v>103.47</v>
      </c>
      <c r="N315">
        <v>103.47</v>
      </c>
      <c r="P315">
        <v>92.39</v>
      </c>
      <c r="Q315">
        <v>88.69</v>
      </c>
      <c r="R315">
        <v>88.69</v>
      </c>
      <c r="S315">
        <v>96.08</v>
      </c>
      <c r="U315">
        <v>110.86</v>
      </c>
      <c r="V315">
        <v>118.25</v>
      </c>
      <c r="W315">
        <v>118.25</v>
      </c>
      <c r="X315">
        <v>110.86</v>
      </c>
      <c r="Y315">
        <v>169.99</v>
      </c>
      <c r="Z315" t="s">
        <v>5922</v>
      </c>
    </row>
    <row r="316" spans="1:26" x14ac:dyDescent="0.2">
      <c r="A316" t="s">
        <v>582</v>
      </c>
      <c r="B316" t="s">
        <v>772</v>
      </c>
      <c r="C316" t="s">
        <v>773</v>
      </c>
      <c r="D316" t="s">
        <v>138</v>
      </c>
      <c r="E316">
        <v>159.99</v>
      </c>
      <c r="F316" t="s">
        <v>6970</v>
      </c>
      <c r="H316">
        <v>83.47</v>
      </c>
      <c r="I316">
        <v>97.39</v>
      </c>
      <c r="K316">
        <v>97.39</v>
      </c>
      <c r="L316" t="s">
        <v>5922</v>
      </c>
      <c r="M316">
        <v>97.39</v>
      </c>
      <c r="N316">
        <v>97.39</v>
      </c>
      <c r="P316">
        <v>86.95</v>
      </c>
      <c r="Q316">
        <v>83.47</v>
      </c>
      <c r="R316">
        <v>83.47</v>
      </c>
      <c r="S316">
        <v>90.43</v>
      </c>
      <c r="U316">
        <v>104.34</v>
      </c>
      <c r="V316">
        <v>111.3</v>
      </c>
      <c r="W316">
        <v>111.3</v>
      </c>
      <c r="X316">
        <v>104.34</v>
      </c>
      <c r="Y316">
        <v>159.99</v>
      </c>
      <c r="Z316" t="s">
        <v>5922</v>
      </c>
    </row>
    <row r="317" spans="1:26" x14ac:dyDescent="0.2">
      <c r="A317" t="s">
        <v>582</v>
      </c>
      <c r="B317" t="s">
        <v>774</v>
      </c>
      <c r="C317" t="s">
        <v>775</v>
      </c>
      <c r="D317" t="s">
        <v>138</v>
      </c>
      <c r="E317">
        <v>99.99</v>
      </c>
      <c r="F317" t="s">
        <v>6903</v>
      </c>
      <c r="G317">
        <v>99.99</v>
      </c>
      <c r="H317">
        <v>60.86</v>
      </c>
      <c r="I317">
        <v>69.56</v>
      </c>
      <c r="J317">
        <v>78.25</v>
      </c>
      <c r="K317">
        <v>69.56</v>
      </c>
      <c r="L317" t="s">
        <v>5922</v>
      </c>
      <c r="M317">
        <v>60.86</v>
      </c>
      <c r="N317">
        <v>60.86</v>
      </c>
      <c r="P317">
        <v>56.52</v>
      </c>
      <c r="Q317">
        <v>52.17</v>
      </c>
      <c r="R317">
        <v>52.17</v>
      </c>
      <c r="S317">
        <v>60.86</v>
      </c>
      <c r="U317">
        <v>65.209999999999994</v>
      </c>
      <c r="V317">
        <v>69.56</v>
      </c>
      <c r="W317">
        <v>69.56</v>
      </c>
      <c r="X317">
        <v>65.209999999999994</v>
      </c>
      <c r="Y317">
        <v>99.99</v>
      </c>
      <c r="Z317" t="s">
        <v>5922</v>
      </c>
    </row>
    <row r="318" spans="1:26" x14ac:dyDescent="0.2">
      <c r="A318" t="s">
        <v>582</v>
      </c>
      <c r="B318" t="s">
        <v>776</v>
      </c>
      <c r="C318" t="s">
        <v>777</v>
      </c>
      <c r="D318" t="s">
        <v>105</v>
      </c>
      <c r="E318">
        <v>69.989999999999995</v>
      </c>
      <c r="F318" t="s">
        <v>6890</v>
      </c>
      <c r="G318">
        <v>69.989999999999995</v>
      </c>
      <c r="H318">
        <v>33.47</v>
      </c>
      <c r="I318">
        <v>42.6</v>
      </c>
      <c r="J318">
        <v>48.69</v>
      </c>
      <c r="K318">
        <v>48.69</v>
      </c>
      <c r="L318" t="s">
        <v>5922</v>
      </c>
      <c r="M318">
        <v>37.729999999999997</v>
      </c>
      <c r="N318">
        <v>39.56</v>
      </c>
      <c r="P318">
        <v>36.520000000000003</v>
      </c>
      <c r="Q318">
        <v>36.520000000000003</v>
      </c>
      <c r="R318">
        <v>33.47</v>
      </c>
      <c r="S318">
        <v>42.6</v>
      </c>
      <c r="U318">
        <v>39.56</v>
      </c>
      <c r="V318">
        <v>45.65</v>
      </c>
      <c r="W318">
        <v>45.65</v>
      </c>
      <c r="X318">
        <v>45.65</v>
      </c>
      <c r="Y318">
        <v>69.989999999999995</v>
      </c>
      <c r="Z318" t="s">
        <v>5922</v>
      </c>
    </row>
    <row r="319" spans="1:26" x14ac:dyDescent="0.2">
      <c r="A319" t="s">
        <v>582</v>
      </c>
      <c r="B319" t="s">
        <v>778</v>
      </c>
      <c r="C319" t="s">
        <v>779</v>
      </c>
      <c r="D319" t="s">
        <v>138</v>
      </c>
      <c r="E319">
        <v>59.99</v>
      </c>
      <c r="F319" t="s">
        <v>6889</v>
      </c>
      <c r="G319">
        <v>59.99</v>
      </c>
      <c r="H319">
        <v>28.69</v>
      </c>
      <c r="I319">
        <v>36.520000000000003</v>
      </c>
      <c r="J319">
        <v>41.73</v>
      </c>
      <c r="K319">
        <v>41.73</v>
      </c>
      <c r="L319" t="s">
        <v>5922</v>
      </c>
      <c r="M319">
        <v>32.340000000000003</v>
      </c>
      <c r="N319">
        <v>33.909999999999997</v>
      </c>
      <c r="P319">
        <v>28.69</v>
      </c>
      <c r="Q319">
        <v>26.08</v>
      </c>
      <c r="R319">
        <v>26.08</v>
      </c>
      <c r="S319">
        <v>32.340000000000003</v>
      </c>
      <c r="U319">
        <v>33.909999999999997</v>
      </c>
      <c r="V319">
        <v>39.119999999999997</v>
      </c>
      <c r="W319">
        <v>39.119999999999997</v>
      </c>
      <c r="X319">
        <v>39.119999999999997</v>
      </c>
      <c r="Y319">
        <v>59.99</v>
      </c>
      <c r="Z319" t="s">
        <v>5922</v>
      </c>
    </row>
    <row r="320" spans="1:26" x14ac:dyDescent="0.2">
      <c r="A320" t="s">
        <v>582</v>
      </c>
      <c r="B320" t="s">
        <v>780</v>
      </c>
      <c r="C320" t="s">
        <v>781</v>
      </c>
      <c r="D320" t="s">
        <v>105</v>
      </c>
      <c r="E320">
        <v>19.989999999999998</v>
      </c>
      <c r="F320" t="s">
        <v>6931</v>
      </c>
      <c r="H320">
        <v>12.17</v>
      </c>
      <c r="I320">
        <v>13.91</v>
      </c>
      <c r="J320">
        <v>15.64</v>
      </c>
      <c r="L320" t="s">
        <v>5922</v>
      </c>
      <c r="M320">
        <v>11.3</v>
      </c>
      <c r="N320">
        <v>11.3</v>
      </c>
      <c r="O320">
        <v>9.56</v>
      </c>
      <c r="P320">
        <v>10.43</v>
      </c>
      <c r="Q320">
        <v>9.56</v>
      </c>
      <c r="R320">
        <v>8.69</v>
      </c>
      <c r="S320">
        <v>10.34</v>
      </c>
      <c r="X320">
        <v>13.04</v>
      </c>
      <c r="Y320">
        <v>19.989999999999998</v>
      </c>
      <c r="Z320" t="s">
        <v>5922</v>
      </c>
    </row>
    <row r="321" spans="1:26" x14ac:dyDescent="0.2">
      <c r="A321" t="s">
        <v>582</v>
      </c>
      <c r="B321" t="s">
        <v>782</v>
      </c>
      <c r="C321" t="s">
        <v>783</v>
      </c>
      <c r="D321" t="s">
        <v>105</v>
      </c>
      <c r="E321">
        <v>19.989999999999998</v>
      </c>
      <c r="F321" t="s">
        <v>6931</v>
      </c>
      <c r="G321">
        <v>19.989999999999998</v>
      </c>
      <c r="H321">
        <v>10.43</v>
      </c>
      <c r="I321">
        <v>12.17</v>
      </c>
      <c r="J321">
        <v>13.91</v>
      </c>
      <c r="L321" t="s">
        <v>5922</v>
      </c>
      <c r="M321">
        <v>10.43</v>
      </c>
      <c r="N321">
        <v>9.56</v>
      </c>
      <c r="O321">
        <v>9.56</v>
      </c>
      <c r="P321">
        <v>10.43</v>
      </c>
      <c r="Q321">
        <v>9.56</v>
      </c>
      <c r="R321">
        <v>8.69</v>
      </c>
      <c r="S321">
        <v>10.34</v>
      </c>
      <c r="X321">
        <v>13.04</v>
      </c>
      <c r="Y321">
        <v>24.99</v>
      </c>
      <c r="Z321" t="s">
        <v>5922</v>
      </c>
    </row>
    <row r="322" spans="1:26" x14ac:dyDescent="0.2">
      <c r="A322" t="s">
        <v>582</v>
      </c>
      <c r="B322" t="s">
        <v>784</v>
      </c>
      <c r="C322" t="s">
        <v>785</v>
      </c>
      <c r="D322" t="s">
        <v>105</v>
      </c>
      <c r="E322">
        <v>19.989999999999998</v>
      </c>
      <c r="F322" t="s">
        <v>5922</v>
      </c>
      <c r="H322">
        <v>12.17</v>
      </c>
      <c r="I322">
        <v>13.91</v>
      </c>
      <c r="J322">
        <v>15.64</v>
      </c>
      <c r="L322" t="s">
        <v>5922</v>
      </c>
      <c r="M322">
        <v>10.43</v>
      </c>
      <c r="N322">
        <v>11.3</v>
      </c>
      <c r="P322">
        <v>10.43</v>
      </c>
      <c r="Q322">
        <v>9.56</v>
      </c>
      <c r="R322">
        <v>8.69</v>
      </c>
      <c r="S322">
        <v>10.43</v>
      </c>
      <c r="Y322">
        <v>24.99</v>
      </c>
      <c r="Z322" t="s">
        <v>5922</v>
      </c>
    </row>
    <row r="323" spans="1:26" x14ac:dyDescent="0.2">
      <c r="A323" t="s">
        <v>582</v>
      </c>
      <c r="B323" t="s">
        <v>7621</v>
      </c>
      <c r="C323" t="s">
        <v>7622</v>
      </c>
      <c r="D323" t="s">
        <v>105</v>
      </c>
      <c r="E323">
        <v>39.99</v>
      </c>
      <c r="F323" t="s">
        <v>6887</v>
      </c>
      <c r="H323">
        <v>24.34</v>
      </c>
      <c r="I323">
        <v>27.82</v>
      </c>
      <c r="J323">
        <v>31.3</v>
      </c>
      <c r="K323">
        <v>29.56</v>
      </c>
      <c r="L323" t="s">
        <v>5922</v>
      </c>
      <c r="M323">
        <v>20.86</v>
      </c>
      <c r="N323">
        <v>22.29</v>
      </c>
      <c r="P323">
        <v>20.86</v>
      </c>
      <c r="Q323">
        <v>19.13</v>
      </c>
      <c r="R323">
        <v>20.86</v>
      </c>
      <c r="S323">
        <v>20.7</v>
      </c>
      <c r="U323">
        <v>27.82</v>
      </c>
      <c r="W323">
        <v>31.3</v>
      </c>
      <c r="X323">
        <v>26.08</v>
      </c>
      <c r="Y323">
        <v>39.99</v>
      </c>
      <c r="Z323" t="s">
        <v>5922</v>
      </c>
    </row>
    <row r="324" spans="1:26" x14ac:dyDescent="0.2">
      <c r="A324" t="s">
        <v>582</v>
      </c>
      <c r="B324" t="s">
        <v>7623</v>
      </c>
      <c r="C324" t="s">
        <v>7624</v>
      </c>
      <c r="D324" t="s">
        <v>105</v>
      </c>
      <c r="E324">
        <v>49.99</v>
      </c>
      <c r="F324" t="s">
        <v>6969</v>
      </c>
      <c r="H324">
        <v>30.43</v>
      </c>
      <c r="I324">
        <v>34.78</v>
      </c>
      <c r="J324">
        <v>39.119999999999997</v>
      </c>
      <c r="K324">
        <v>34.78</v>
      </c>
      <c r="L324" t="s">
        <v>5922</v>
      </c>
      <c r="M324">
        <v>26.08</v>
      </c>
      <c r="N324">
        <v>27.86</v>
      </c>
      <c r="P324">
        <v>26.08</v>
      </c>
      <c r="Q324">
        <v>23.91</v>
      </c>
      <c r="R324">
        <v>21.73</v>
      </c>
      <c r="S324">
        <v>25.87</v>
      </c>
      <c r="U324">
        <v>34.78</v>
      </c>
      <c r="W324">
        <v>34.78</v>
      </c>
      <c r="X324">
        <v>32.6</v>
      </c>
      <c r="Y324">
        <v>49.99</v>
      </c>
      <c r="Z324" t="s">
        <v>5922</v>
      </c>
    </row>
    <row r="325" spans="1:26" x14ac:dyDescent="0.2">
      <c r="A325" t="s">
        <v>582</v>
      </c>
      <c r="B325" t="s">
        <v>786</v>
      </c>
      <c r="C325" t="s">
        <v>787</v>
      </c>
      <c r="D325" t="s">
        <v>105</v>
      </c>
      <c r="E325">
        <v>44.99</v>
      </c>
      <c r="F325" t="s">
        <v>6926</v>
      </c>
      <c r="G325">
        <v>44.99</v>
      </c>
      <c r="H325">
        <v>23.47</v>
      </c>
      <c r="I325">
        <v>27.39</v>
      </c>
      <c r="J325">
        <v>31.3</v>
      </c>
      <c r="K325">
        <v>33.25</v>
      </c>
      <c r="L325" t="s">
        <v>5922</v>
      </c>
      <c r="M325">
        <v>25.43</v>
      </c>
      <c r="N325">
        <v>25.04</v>
      </c>
      <c r="O325">
        <v>21.52</v>
      </c>
      <c r="P325">
        <v>23.47</v>
      </c>
      <c r="Q325">
        <v>21.52</v>
      </c>
      <c r="R325">
        <v>21.52</v>
      </c>
      <c r="S325">
        <v>24.26</v>
      </c>
      <c r="U325">
        <v>35.21</v>
      </c>
      <c r="V325">
        <v>35.21</v>
      </c>
      <c r="W325">
        <v>35.21</v>
      </c>
      <c r="X325">
        <v>29.34</v>
      </c>
      <c r="Y325">
        <v>44.99</v>
      </c>
      <c r="Z325" t="s">
        <v>5922</v>
      </c>
    </row>
    <row r="326" spans="1:26" x14ac:dyDescent="0.2">
      <c r="A326" t="s">
        <v>582</v>
      </c>
      <c r="B326" t="s">
        <v>788</v>
      </c>
      <c r="C326" t="s">
        <v>789</v>
      </c>
      <c r="D326" t="s">
        <v>105</v>
      </c>
      <c r="E326">
        <v>39.99</v>
      </c>
      <c r="F326" t="s">
        <v>6887</v>
      </c>
      <c r="G326">
        <v>39.99</v>
      </c>
      <c r="H326">
        <v>20.86</v>
      </c>
      <c r="I326">
        <v>24.34</v>
      </c>
      <c r="J326">
        <v>27.82</v>
      </c>
      <c r="K326">
        <v>29.56</v>
      </c>
      <c r="L326" t="s">
        <v>5922</v>
      </c>
      <c r="M326">
        <v>22.6</v>
      </c>
      <c r="N326">
        <v>22.26</v>
      </c>
      <c r="O326">
        <v>19.13</v>
      </c>
      <c r="P326">
        <v>20.86</v>
      </c>
      <c r="Q326">
        <v>19.13</v>
      </c>
      <c r="R326">
        <v>19.13</v>
      </c>
      <c r="S326">
        <v>21.56</v>
      </c>
      <c r="U326">
        <v>31.3</v>
      </c>
      <c r="V326">
        <v>31.3</v>
      </c>
      <c r="W326">
        <v>31.3</v>
      </c>
      <c r="X326">
        <v>26.08</v>
      </c>
      <c r="Y326">
        <v>39.99</v>
      </c>
      <c r="Z326" t="s">
        <v>5922</v>
      </c>
    </row>
    <row r="327" spans="1:26" x14ac:dyDescent="0.2">
      <c r="A327" t="s">
        <v>582</v>
      </c>
      <c r="B327" t="s">
        <v>790</v>
      </c>
      <c r="C327" t="s">
        <v>791</v>
      </c>
      <c r="D327" t="s">
        <v>138</v>
      </c>
      <c r="E327">
        <v>64.989999999999995</v>
      </c>
      <c r="F327" t="s">
        <v>7028</v>
      </c>
      <c r="G327">
        <v>64.989999999999995</v>
      </c>
      <c r="H327">
        <v>31.08</v>
      </c>
      <c r="I327">
        <v>39.56</v>
      </c>
      <c r="J327">
        <v>45.21</v>
      </c>
      <c r="K327">
        <v>36.729999999999997</v>
      </c>
      <c r="L327" t="s">
        <v>5922</v>
      </c>
      <c r="M327">
        <v>28.26</v>
      </c>
      <c r="N327">
        <v>33.909999999999997</v>
      </c>
      <c r="P327">
        <v>33.909999999999997</v>
      </c>
      <c r="Q327">
        <v>31.08</v>
      </c>
      <c r="R327">
        <v>29.95</v>
      </c>
      <c r="S327">
        <v>35.04</v>
      </c>
      <c r="U327">
        <v>33.909999999999997</v>
      </c>
      <c r="V327">
        <v>42.38</v>
      </c>
      <c r="W327">
        <v>42.38</v>
      </c>
      <c r="X327">
        <v>42.38</v>
      </c>
      <c r="Y327">
        <v>64.989999999999995</v>
      </c>
      <c r="Z327" t="s">
        <v>5922</v>
      </c>
    </row>
    <row r="328" spans="1:26" x14ac:dyDescent="0.2">
      <c r="A328" t="s">
        <v>582</v>
      </c>
      <c r="B328" t="s">
        <v>792</v>
      </c>
      <c r="C328" t="s">
        <v>793</v>
      </c>
      <c r="D328" t="s">
        <v>138</v>
      </c>
      <c r="E328">
        <v>69.989999999999995</v>
      </c>
      <c r="F328" t="s">
        <v>6890</v>
      </c>
      <c r="G328">
        <v>69.989999999999995</v>
      </c>
      <c r="H328">
        <v>33.47</v>
      </c>
      <c r="I328">
        <v>42.6</v>
      </c>
      <c r="J328">
        <v>48.69</v>
      </c>
      <c r="K328">
        <v>39.56</v>
      </c>
      <c r="L328" t="s">
        <v>5922</v>
      </c>
      <c r="M328">
        <v>30.43</v>
      </c>
      <c r="N328">
        <v>42.6</v>
      </c>
      <c r="P328">
        <v>36.520000000000003</v>
      </c>
      <c r="Q328">
        <v>33.47</v>
      </c>
      <c r="R328">
        <v>32.26</v>
      </c>
      <c r="S328">
        <v>37.729999999999997</v>
      </c>
      <c r="U328">
        <v>36.520000000000003</v>
      </c>
      <c r="V328">
        <v>45.65</v>
      </c>
      <c r="W328">
        <v>45.65</v>
      </c>
      <c r="X328">
        <v>45.65</v>
      </c>
      <c r="Y328">
        <v>69.989999999999995</v>
      </c>
      <c r="Z328" t="s">
        <v>5922</v>
      </c>
    </row>
    <row r="329" spans="1:26" x14ac:dyDescent="0.2">
      <c r="A329" t="s">
        <v>582</v>
      </c>
      <c r="B329" t="s">
        <v>794</v>
      </c>
      <c r="C329" t="s">
        <v>795</v>
      </c>
      <c r="D329" t="s">
        <v>105</v>
      </c>
      <c r="E329">
        <v>34.99</v>
      </c>
      <c r="F329" t="s">
        <v>7021</v>
      </c>
      <c r="H329">
        <v>21.3</v>
      </c>
      <c r="I329">
        <v>24.34</v>
      </c>
      <c r="J329">
        <v>27.38</v>
      </c>
      <c r="L329" t="s">
        <v>5922</v>
      </c>
      <c r="M329">
        <v>19.78</v>
      </c>
      <c r="N329">
        <v>19.78</v>
      </c>
      <c r="O329">
        <v>16.73</v>
      </c>
      <c r="P329">
        <v>18.260000000000002</v>
      </c>
      <c r="Q329">
        <v>16.73</v>
      </c>
      <c r="R329">
        <v>16.13</v>
      </c>
      <c r="S329">
        <v>18.86</v>
      </c>
      <c r="X329">
        <v>22.82</v>
      </c>
      <c r="Y329">
        <v>34.99</v>
      </c>
      <c r="Z329" t="s">
        <v>5922</v>
      </c>
    </row>
    <row r="330" spans="1:26" x14ac:dyDescent="0.2">
      <c r="A330" t="s">
        <v>582</v>
      </c>
      <c r="B330" t="s">
        <v>796</v>
      </c>
      <c r="C330" t="s">
        <v>797</v>
      </c>
      <c r="D330" t="s">
        <v>105</v>
      </c>
      <c r="E330">
        <v>34.99</v>
      </c>
      <c r="F330" t="s">
        <v>7021</v>
      </c>
      <c r="G330">
        <v>34.99</v>
      </c>
      <c r="H330">
        <v>18.260000000000002</v>
      </c>
      <c r="I330">
        <v>21.3</v>
      </c>
      <c r="J330">
        <v>24.34</v>
      </c>
      <c r="L330" t="s">
        <v>5922</v>
      </c>
      <c r="M330">
        <v>19.78</v>
      </c>
      <c r="N330">
        <v>18.260000000000002</v>
      </c>
      <c r="O330">
        <v>16.73</v>
      </c>
      <c r="P330">
        <v>18.260000000000002</v>
      </c>
      <c r="Q330">
        <v>16.73</v>
      </c>
      <c r="R330">
        <v>16.13</v>
      </c>
      <c r="S330">
        <v>18.86</v>
      </c>
      <c r="U330">
        <v>27.38</v>
      </c>
      <c r="V330">
        <v>27.38</v>
      </c>
      <c r="W330">
        <v>27.38</v>
      </c>
      <c r="X330">
        <v>22.82</v>
      </c>
      <c r="Y330">
        <v>34.99</v>
      </c>
      <c r="Z330" t="s">
        <v>5922</v>
      </c>
    </row>
    <row r="331" spans="1:26" x14ac:dyDescent="0.2">
      <c r="A331" t="s">
        <v>582</v>
      </c>
      <c r="B331" t="s">
        <v>798</v>
      </c>
      <c r="C331" t="s">
        <v>799</v>
      </c>
      <c r="D331" t="s">
        <v>105</v>
      </c>
      <c r="E331">
        <v>34.99</v>
      </c>
      <c r="F331" t="s">
        <v>5922</v>
      </c>
      <c r="H331">
        <v>21.3</v>
      </c>
      <c r="I331">
        <v>24.34</v>
      </c>
      <c r="J331">
        <v>27.38</v>
      </c>
      <c r="L331" t="s">
        <v>5922</v>
      </c>
      <c r="M331">
        <v>19.78</v>
      </c>
      <c r="N331">
        <v>19.78</v>
      </c>
      <c r="P331">
        <v>18.260000000000002</v>
      </c>
      <c r="Q331">
        <v>16.73</v>
      </c>
      <c r="R331">
        <v>16.13</v>
      </c>
      <c r="S331">
        <v>18.86</v>
      </c>
      <c r="Y331">
        <v>34.99</v>
      </c>
      <c r="Z331" t="s">
        <v>5922</v>
      </c>
    </row>
    <row r="332" spans="1:26" x14ac:dyDescent="0.2">
      <c r="A332" t="s">
        <v>582</v>
      </c>
      <c r="B332" t="s">
        <v>800</v>
      </c>
      <c r="C332" t="s">
        <v>801</v>
      </c>
      <c r="D332" t="s">
        <v>105</v>
      </c>
      <c r="E332">
        <v>19.989999999999998</v>
      </c>
      <c r="F332" t="s">
        <v>6931</v>
      </c>
      <c r="H332">
        <v>12.17</v>
      </c>
      <c r="I332">
        <v>13.91</v>
      </c>
      <c r="J332">
        <v>15.64</v>
      </c>
      <c r="L332" t="s">
        <v>5922</v>
      </c>
      <c r="M332">
        <v>11.3</v>
      </c>
      <c r="N332">
        <v>11.3</v>
      </c>
      <c r="O332">
        <v>9.56</v>
      </c>
      <c r="P332">
        <v>10.43</v>
      </c>
      <c r="Q332">
        <v>9.56</v>
      </c>
      <c r="R332">
        <v>8.69</v>
      </c>
      <c r="S332">
        <v>10.34</v>
      </c>
      <c r="X332">
        <v>13.04</v>
      </c>
      <c r="Y332">
        <v>24.99</v>
      </c>
      <c r="Z332" t="s">
        <v>5922</v>
      </c>
    </row>
    <row r="333" spans="1:26" x14ac:dyDescent="0.2">
      <c r="A333" t="s">
        <v>582</v>
      </c>
      <c r="B333" t="s">
        <v>30</v>
      </c>
      <c r="C333" t="s">
        <v>802</v>
      </c>
      <c r="D333" t="s">
        <v>105</v>
      </c>
      <c r="E333">
        <v>19.989999999999998</v>
      </c>
      <c r="F333" t="s">
        <v>6931</v>
      </c>
      <c r="G333">
        <v>19.989999999999998</v>
      </c>
      <c r="H333">
        <v>10.43</v>
      </c>
      <c r="I333">
        <v>12.17</v>
      </c>
      <c r="J333">
        <v>13.91</v>
      </c>
      <c r="L333" t="s">
        <v>5922</v>
      </c>
      <c r="M333">
        <v>10.43</v>
      </c>
      <c r="N333">
        <v>9.56</v>
      </c>
      <c r="O333">
        <v>9.56</v>
      </c>
      <c r="P333">
        <v>10.43</v>
      </c>
      <c r="Q333">
        <v>9.56</v>
      </c>
      <c r="R333">
        <v>8.69</v>
      </c>
      <c r="S333">
        <v>10.34</v>
      </c>
      <c r="X333">
        <v>13.04</v>
      </c>
      <c r="Y333">
        <v>24.99</v>
      </c>
      <c r="Z333" t="s">
        <v>5922</v>
      </c>
    </row>
    <row r="334" spans="1:26" x14ac:dyDescent="0.2">
      <c r="A334" t="s">
        <v>582</v>
      </c>
      <c r="B334" t="s">
        <v>803</v>
      </c>
      <c r="C334" t="s">
        <v>804</v>
      </c>
      <c r="D334" t="s">
        <v>105</v>
      </c>
      <c r="E334">
        <v>19.989999999999998</v>
      </c>
      <c r="F334" t="s">
        <v>5922</v>
      </c>
      <c r="H334">
        <v>12.17</v>
      </c>
      <c r="I334">
        <v>13.91</v>
      </c>
      <c r="J334">
        <v>15.64</v>
      </c>
      <c r="L334" t="s">
        <v>5922</v>
      </c>
      <c r="M334">
        <v>10.43</v>
      </c>
      <c r="N334">
        <v>11.3</v>
      </c>
      <c r="O334">
        <v>9.56</v>
      </c>
      <c r="P334">
        <v>10.43</v>
      </c>
      <c r="Q334">
        <v>9.56</v>
      </c>
      <c r="R334">
        <v>8.69</v>
      </c>
      <c r="S334">
        <v>10.43</v>
      </c>
      <c r="Y334">
        <v>24.99</v>
      </c>
      <c r="Z334" t="s">
        <v>5922</v>
      </c>
    </row>
    <row r="335" spans="1:26" x14ac:dyDescent="0.2">
      <c r="A335" t="s">
        <v>582</v>
      </c>
      <c r="B335" t="s">
        <v>7555</v>
      </c>
      <c r="C335" t="s">
        <v>7556</v>
      </c>
      <c r="D335" t="s">
        <v>105</v>
      </c>
      <c r="E335">
        <v>39.99</v>
      </c>
      <c r="F335" t="s">
        <v>6887</v>
      </c>
      <c r="H335">
        <v>24.34</v>
      </c>
      <c r="I335">
        <v>27.82</v>
      </c>
      <c r="J335">
        <v>31.3</v>
      </c>
      <c r="K335">
        <v>27.82</v>
      </c>
      <c r="L335" t="s">
        <v>5922</v>
      </c>
      <c r="M335">
        <v>20.86</v>
      </c>
      <c r="N335">
        <v>22.29</v>
      </c>
      <c r="P335">
        <v>20.86</v>
      </c>
      <c r="Q335">
        <v>19.13</v>
      </c>
      <c r="R335">
        <v>17.39</v>
      </c>
      <c r="S335">
        <v>20.7</v>
      </c>
      <c r="U335">
        <v>27.82</v>
      </c>
      <c r="W335">
        <v>31.3</v>
      </c>
      <c r="X335">
        <v>26.08</v>
      </c>
      <c r="Y335">
        <v>39.99</v>
      </c>
      <c r="Z335" t="s">
        <v>5922</v>
      </c>
    </row>
    <row r="336" spans="1:26" x14ac:dyDescent="0.2">
      <c r="A336" t="s">
        <v>582</v>
      </c>
      <c r="B336" t="s">
        <v>805</v>
      </c>
      <c r="C336" t="s">
        <v>806</v>
      </c>
      <c r="D336" t="s">
        <v>98</v>
      </c>
      <c r="E336">
        <v>59.99</v>
      </c>
      <c r="F336" t="s">
        <v>5922</v>
      </c>
      <c r="G336">
        <v>59.99</v>
      </c>
      <c r="H336">
        <v>28.69</v>
      </c>
      <c r="I336">
        <v>36.520000000000003</v>
      </c>
      <c r="J336">
        <v>41.73</v>
      </c>
      <c r="K336">
        <v>33.909999999999997</v>
      </c>
      <c r="L336" t="s">
        <v>5922</v>
      </c>
      <c r="M336">
        <v>29.21</v>
      </c>
      <c r="N336">
        <v>33.39</v>
      </c>
      <c r="P336">
        <v>31.3</v>
      </c>
      <c r="Q336">
        <v>28.69</v>
      </c>
      <c r="R336">
        <v>27.65</v>
      </c>
      <c r="S336">
        <v>29.21</v>
      </c>
      <c r="U336">
        <v>31.3</v>
      </c>
      <c r="V336">
        <v>39.119999999999997</v>
      </c>
      <c r="W336">
        <v>39.119999999999997</v>
      </c>
      <c r="X336">
        <v>39.119999999999997</v>
      </c>
      <c r="Y336">
        <v>59.99</v>
      </c>
      <c r="Z336" t="s">
        <v>5922</v>
      </c>
    </row>
    <row r="337" spans="1:26" x14ac:dyDescent="0.2">
      <c r="A337" t="s">
        <v>582</v>
      </c>
      <c r="B337" t="s">
        <v>807</v>
      </c>
      <c r="C337" t="s">
        <v>808</v>
      </c>
      <c r="D337" t="s">
        <v>98</v>
      </c>
      <c r="E337">
        <v>59.99</v>
      </c>
      <c r="F337" t="s">
        <v>5922</v>
      </c>
      <c r="G337">
        <v>59.99</v>
      </c>
      <c r="H337">
        <v>28.69</v>
      </c>
      <c r="I337">
        <v>36.520000000000003</v>
      </c>
      <c r="J337">
        <v>41.73</v>
      </c>
      <c r="K337">
        <v>31.3</v>
      </c>
      <c r="L337" t="s">
        <v>5922</v>
      </c>
      <c r="M337">
        <v>29.21</v>
      </c>
      <c r="N337">
        <v>33.39</v>
      </c>
      <c r="P337">
        <v>31.3</v>
      </c>
      <c r="Q337">
        <v>28.69</v>
      </c>
      <c r="R337">
        <v>27.65</v>
      </c>
      <c r="S337">
        <v>29.21</v>
      </c>
      <c r="U337">
        <v>31.3</v>
      </c>
      <c r="V337">
        <v>39.119999999999997</v>
      </c>
      <c r="W337">
        <v>39.119999999999997</v>
      </c>
      <c r="X337">
        <v>39.119999999999997</v>
      </c>
      <c r="Y337">
        <v>59.99</v>
      </c>
      <c r="Z337" t="s">
        <v>5922</v>
      </c>
    </row>
    <row r="338" spans="1:26" x14ac:dyDescent="0.2">
      <c r="A338" t="s">
        <v>582</v>
      </c>
      <c r="B338" t="s">
        <v>811</v>
      </c>
      <c r="C338" t="s">
        <v>812</v>
      </c>
      <c r="D338" t="s">
        <v>138</v>
      </c>
      <c r="E338">
        <v>44.99</v>
      </c>
      <c r="F338" t="s">
        <v>6926</v>
      </c>
      <c r="H338">
        <v>27.39</v>
      </c>
      <c r="I338">
        <v>31.3</v>
      </c>
      <c r="J338">
        <v>35.21</v>
      </c>
      <c r="K338">
        <v>29.34</v>
      </c>
      <c r="L338" t="s">
        <v>5922</v>
      </c>
      <c r="M338">
        <v>21.52</v>
      </c>
      <c r="N338">
        <v>25.04</v>
      </c>
      <c r="P338">
        <v>23.47</v>
      </c>
      <c r="Q338">
        <v>21.52</v>
      </c>
      <c r="R338">
        <v>19.559999999999999</v>
      </c>
      <c r="S338">
        <v>23.28</v>
      </c>
      <c r="Y338">
        <v>44.99</v>
      </c>
      <c r="Z338" t="s">
        <v>5922</v>
      </c>
    </row>
    <row r="339" spans="1:26" x14ac:dyDescent="0.2">
      <c r="A339" t="s">
        <v>582</v>
      </c>
      <c r="B339" t="s">
        <v>7557</v>
      </c>
      <c r="C339" t="s">
        <v>7558</v>
      </c>
      <c r="D339" t="s">
        <v>105</v>
      </c>
      <c r="E339">
        <v>49.99</v>
      </c>
      <c r="F339" t="s">
        <v>6969</v>
      </c>
      <c r="H339">
        <v>30.43</v>
      </c>
      <c r="I339">
        <v>34.78</v>
      </c>
      <c r="J339">
        <v>39.119999999999997</v>
      </c>
      <c r="K339">
        <v>34.78</v>
      </c>
      <c r="L339" t="s">
        <v>5922</v>
      </c>
      <c r="M339">
        <v>26.08</v>
      </c>
      <c r="N339">
        <v>27.86</v>
      </c>
      <c r="P339">
        <v>26.08</v>
      </c>
      <c r="Q339">
        <v>23.91</v>
      </c>
      <c r="R339">
        <v>21.73</v>
      </c>
      <c r="S339">
        <v>25.87</v>
      </c>
      <c r="U339">
        <v>34.78</v>
      </c>
      <c r="W339">
        <v>34.78</v>
      </c>
      <c r="X339">
        <v>32.6</v>
      </c>
      <c r="Y339">
        <v>49.99</v>
      </c>
      <c r="Z339" t="s">
        <v>5922</v>
      </c>
    </row>
    <row r="340" spans="1:26" x14ac:dyDescent="0.2">
      <c r="A340" t="s">
        <v>582</v>
      </c>
      <c r="B340" t="s">
        <v>6531</v>
      </c>
      <c r="C340" t="s">
        <v>7043</v>
      </c>
      <c r="D340" t="s">
        <v>105</v>
      </c>
      <c r="E340">
        <v>79.989999999999995</v>
      </c>
      <c r="F340" t="s">
        <v>6934</v>
      </c>
      <c r="L340" t="s">
        <v>5922</v>
      </c>
      <c r="P340">
        <v>38.950000000000003</v>
      </c>
      <c r="Z340" t="s">
        <v>5922</v>
      </c>
    </row>
    <row r="341" spans="1:26" x14ac:dyDescent="0.2">
      <c r="A341" t="s">
        <v>582</v>
      </c>
      <c r="B341" t="s">
        <v>6532</v>
      </c>
      <c r="C341" t="s">
        <v>7044</v>
      </c>
      <c r="D341" t="s">
        <v>105</v>
      </c>
      <c r="E341">
        <v>79.989999999999995</v>
      </c>
      <c r="F341" t="s">
        <v>6934</v>
      </c>
      <c r="L341" t="s">
        <v>5922</v>
      </c>
      <c r="P341">
        <v>38.950000000000003</v>
      </c>
      <c r="Z341" t="s">
        <v>5922</v>
      </c>
    </row>
    <row r="342" spans="1:26" x14ac:dyDescent="0.2">
      <c r="A342" t="s">
        <v>582</v>
      </c>
      <c r="B342" t="s">
        <v>7625</v>
      </c>
      <c r="C342" t="s">
        <v>7626</v>
      </c>
      <c r="D342" t="s">
        <v>105</v>
      </c>
      <c r="E342">
        <v>59.99</v>
      </c>
      <c r="F342" t="s">
        <v>6889</v>
      </c>
      <c r="H342">
        <v>36.520000000000003</v>
      </c>
      <c r="I342">
        <v>41.73</v>
      </c>
      <c r="J342">
        <v>46.95</v>
      </c>
      <c r="K342">
        <v>41.73</v>
      </c>
      <c r="L342" t="s">
        <v>5922</v>
      </c>
      <c r="M342">
        <v>33.909999999999997</v>
      </c>
      <c r="N342">
        <v>33.909999999999997</v>
      </c>
      <c r="Q342">
        <v>28.69</v>
      </c>
      <c r="R342">
        <v>28.69</v>
      </c>
      <c r="S342">
        <v>32.340000000000003</v>
      </c>
      <c r="U342">
        <v>41.73</v>
      </c>
      <c r="W342">
        <v>41.73</v>
      </c>
      <c r="X342">
        <v>39.119999999999997</v>
      </c>
      <c r="Y342">
        <v>59.99</v>
      </c>
      <c r="Z342" t="s">
        <v>5922</v>
      </c>
    </row>
    <row r="343" spans="1:26" x14ac:dyDescent="0.2">
      <c r="A343" t="s">
        <v>582</v>
      </c>
      <c r="B343" t="s">
        <v>7627</v>
      </c>
      <c r="C343" t="s">
        <v>7628</v>
      </c>
      <c r="D343" t="s">
        <v>105</v>
      </c>
      <c r="E343">
        <v>69.989999999999995</v>
      </c>
      <c r="F343" t="s">
        <v>6890</v>
      </c>
      <c r="H343">
        <v>42.6</v>
      </c>
      <c r="I343">
        <v>48.69</v>
      </c>
      <c r="J343">
        <v>54.77</v>
      </c>
      <c r="K343">
        <v>48.69</v>
      </c>
      <c r="L343" t="s">
        <v>5922</v>
      </c>
      <c r="M343">
        <v>39.56</v>
      </c>
      <c r="N343">
        <v>39.56</v>
      </c>
      <c r="Q343">
        <v>33.47</v>
      </c>
      <c r="R343">
        <v>33.47</v>
      </c>
      <c r="S343">
        <v>37.729999999999997</v>
      </c>
      <c r="U343">
        <v>48.69</v>
      </c>
      <c r="W343">
        <v>48.69</v>
      </c>
      <c r="X343">
        <v>45.65</v>
      </c>
      <c r="Y343">
        <v>69.989999999999995</v>
      </c>
      <c r="Z343" t="s">
        <v>5922</v>
      </c>
    </row>
    <row r="344" spans="1:26" x14ac:dyDescent="0.2">
      <c r="A344" t="s">
        <v>582</v>
      </c>
      <c r="B344" t="s">
        <v>7629</v>
      </c>
      <c r="C344" t="s">
        <v>7630</v>
      </c>
      <c r="D344" t="s">
        <v>105</v>
      </c>
      <c r="E344">
        <v>59.99</v>
      </c>
      <c r="F344" t="s">
        <v>6889</v>
      </c>
      <c r="H344">
        <v>36.520000000000003</v>
      </c>
      <c r="I344">
        <v>41.73</v>
      </c>
      <c r="J344">
        <v>46.95</v>
      </c>
      <c r="K344">
        <v>41.73</v>
      </c>
      <c r="L344" t="s">
        <v>5922</v>
      </c>
      <c r="M344">
        <v>33.909999999999997</v>
      </c>
      <c r="N344">
        <v>33.909999999999997</v>
      </c>
      <c r="Q344">
        <v>28.69</v>
      </c>
      <c r="R344">
        <v>28.69</v>
      </c>
      <c r="S344">
        <v>32.340000000000003</v>
      </c>
      <c r="U344">
        <v>41.73</v>
      </c>
      <c r="W344">
        <v>41.73</v>
      </c>
      <c r="X344">
        <v>39.119999999999997</v>
      </c>
      <c r="Y344">
        <v>59.99</v>
      </c>
      <c r="Z344" t="s">
        <v>5922</v>
      </c>
    </row>
    <row r="345" spans="1:26" x14ac:dyDescent="0.2">
      <c r="A345" t="s">
        <v>582</v>
      </c>
      <c r="B345" t="s">
        <v>813</v>
      </c>
      <c r="C345" t="s">
        <v>814</v>
      </c>
      <c r="D345" t="s">
        <v>105</v>
      </c>
      <c r="E345">
        <v>99.99</v>
      </c>
      <c r="F345" t="s">
        <v>5922</v>
      </c>
      <c r="H345">
        <v>60.86</v>
      </c>
      <c r="I345">
        <v>69.56</v>
      </c>
      <c r="J345">
        <v>78.25</v>
      </c>
      <c r="K345">
        <v>65.209999999999994</v>
      </c>
      <c r="L345" t="s">
        <v>5922</v>
      </c>
      <c r="M345">
        <v>56.52</v>
      </c>
      <c r="N345">
        <v>56.52</v>
      </c>
      <c r="Q345">
        <v>47.82</v>
      </c>
      <c r="R345">
        <v>47.82</v>
      </c>
      <c r="S345">
        <v>53.91</v>
      </c>
      <c r="U345">
        <v>69.56</v>
      </c>
      <c r="V345">
        <v>69.56</v>
      </c>
      <c r="W345">
        <v>69.56</v>
      </c>
      <c r="X345">
        <v>65.209999999999994</v>
      </c>
      <c r="Z345" t="s">
        <v>5922</v>
      </c>
    </row>
    <row r="346" spans="1:26" x14ac:dyDescent="0.2">
      <c r="A346" t="s">
        <v>582</v>
      </c>
      <c r="B346" t="s">
        <v>815</v>
      </c>
      <c r="C346" t="s">
        <v>816</v>
      </c>
      <c r="D346" t="s">
        <v>105</v>
      </c>
      <c r="E346">
        <v>119.99</v>
      </c>
      <c r="F346" t="s">
        <v>5922</v>
      </c>
      <c r="H346">
        <v>73.040000000000006</v>
      </c>
      <c r="I346">
        <v>83.47</v>
      </c>
      <c r="J346">
        <v>93.91</v>
      </c>
      <c r="K346">
        <v>78.25</v>
      </c>
      <c r="L346" t="s">
        <v>5922</v>
      </c>
      <c r="M346">
        <v>67.819999999999993</v>
      </c>
      <c r="N346">
        <v>67.819999999999993</v>
      </c>
      <c r="Q346">
        <v>57.39</v>
      </c>
      <c r="R346">
        <v>57.39</v>
      </c>
      <c r="S346">
        <v>64.69</v>
      </c>
      <c r="U346">
        <v>83.47</v>
      </c>
      <c r="V346">
        <v>83.47</v>
      </c>
      <c r="W346">
        <v>83.47</v>
      </c>
      <c r="X346">
        <v>78.25</v>
      </c>
      <c r="Z346" t="s">
        <v>5922</v>
      </c>
    </row>
    <row r="347" spans="1:26" x14ac:dyDescent="0.2">
      <c r="A347" t="s">
        <v>582</v>
      </c>
      <c r="B347" t="s">
        <v>817</v>
      </c>
      <c r="C347" t="s">
        <v>818</v>
      </c>
      <c r="D347" t="s">
        <v>105</v>
      </c>
      <c r="E347">
        <v>149.99</v>
      </c>
      <c r="F347" t="s">
        <v>5922</v>
      </c>
      <c r="H347">
        <v>91.3</v>
      </c>
      <c r="I347">
        <v>104.34</v>
      </c>
      <c r="J347">
        <v>117.38</v>
      </c>
      <c r="K347">
        <v>97.82</v>
      </c>
      <c r="L347" t="s">
        <v>5922</v>
      </c>
      <c r="M347">
        <v>84.78</v>
      </c>
      <c r="N347">
        <v>84.78</v>
      </c>
      <c r="Q347">
        <v>71.73</v>
      </c>
      <c r="R347">
        <v>71.73</v>
      </c>
      <c r="S347">
        <v>80.86</v>
      </c>
      <c r="U347">
        <v>104.34</v>
      </c>
      <c r="V347">
        <v>104.34</v>
      </c>
      <c r="W347">
        <v>104.34</v>
      </c>
      <c r="X347">
        <v>97.82</v>
      </c>
      <c r="Z347" t="s">
        <v>5922</v>
      </c>
    </row>
    <row r="348" spans="1:26" x14ac:dyDescent="0.2">
      <c r="A348" t="s">
        <v>582</v>
      </c>
      <c r="B348" t="s">
        <v>7631</v>
      </c>
      <c r="C348" t="s">
        <v>7632</v>
      </c>
      <c r="D348" t="s">
        <v>105</v>
      </c>
      <c r="E348">
        <v>69.989999999999995</v>
      </c>
      <c r="F348" t="s">
        <v>6890</v>
      </c>
      <c r="H348">
        <v>42.6</v>
      </c>
      <c r="I348">
        <v>48.69</v>
      </c>
      <c r="J348">
        <v>54.77</v>
      </c>
      <c r="K348">
        <v>48.69</v>
      </c>
      <c r="L348" t="s">
        <v>5922</v>
      </c>
      <c r="M348">
        <v>39.56</v>
      </c>
      <c r="N348">
        <v>39.56</v>
      </c>
      <c r="Q348">
        <v>33.47</v>
      </c>
      <c r="R348">
        <v>33.47</v>
      </c>
      <c r="S348">
        <v>37.729999999999997</v>
      </c>
      <c r="U348">
        <v>48.69</v>
      </c>
      <c r="W348">
        <v>48.69</v>
      </c>
      <c r="X348">
        <v>45.65</v>
      </c>
      <c r="Y348">
        <v>69.989999999999995</v>
      </c>
      <c r="Z348" t="s">
        <v>5922</v>
      </c>
    </row>
    <row r="349" spans="1:26" x14ac:dyDescent="0.2">
      <c r="A349" t="s">
        <v>582</v>
      </c>
      <c r="B349" t="s">
        <v>819</v>
      </c>
      <c r="C349" t="s">
        <v>820</v>
      </c>
      <c r="D349" t="s">
        <v>98</v>
      </c>
      <c r="E349">
        <v>89.99</v>
      </c>
      <c r="F349" t="s">
        <v>5922</v>
      </c>
      <c r="H349">
        <v>58.69</v>
      </c>
      <c r="I349">
        <v>66.510000000000005</v>
      </c>
      <c r="J349">
        <v>70.430000000000007</v>
      </c>
      <c r="K349">
        <v>58.69</v>
      </c>
      <c r="L349" t="s">
        <v>5922</v>
      </c>
      <c r="M349">
        <v>60.65</v>
      </c>
      <c r="P349">
        <v>54.78</v>
      </c>
      <c r="Q349">
        <v>54.78</v>
      </c>
      <c r="R349">
        <v>54.78</v>
      </c>
      <c r="Y349">
        <v>89.99</v>
      </c>
      <c r="Z349" t="s">
        <v>5922</v>
      </c>
    </row>
    <row r="350" spans="1:26" x14ac:dyDescent="0.2">
      <c r="A350" t="s">
        <v>582</v>
      </c>
      <c r="B350" t="s">
        <v>821</v>
      </c>
      <c r="C350" t="s">
        <v>822</v>
      </c>
      <c r="D350" t="s">
        <v>98</v>
      </c>
      <c r="E350">
        <v>89.99</v>
      </c>
      <c r="F350" t="s">
        <v>5922</v>
      </c>
      <c r="H350">
        <v>58.69</v>
      </c>
      <c r="I350">
        <v>66.510000000000005</v>
      </c>
      <c r="J350">
        <v>70.430000000000007</v>
      </c>
      <c r="K350">
        <v>58.69</v>
      </c>
      <c r="L350" t="s">
        <v>5922</v>
      </c>
      <c r="M350">
        <v>60.65</v>
      </c>
      <c r="P350">
        <v>54.78</v>
      </c>
      <c r="Q350">
        <v>54.78</v>
      </c>
      <c r="R350">
        <v>54.78</v>
      </c>
      <c r="Y350">
        <v>89.99</v>
      </c>
      <c r="Z350" t="s">
        <v>5922</v>
      </c>
    </row>
    <row r="351" spans="1:26" x14ac:dyDescent="0.2">
      <c r="A351" t="s">
        <v>582</v>
      </c>
      <c r="B351" t="s">
        <v>823</v>
      </c>
      <c r="C351" t="s">
        <v>824</v>
      </c>
      <c r="D351" t="s">
        <v>138</v>
      </c>
      <c r="E351">
        <v>79.989999999999995</v>
      </c>
      <c r="F351" t="s">
        <v>5922</v>
      </c>
      <c r="G351">
        <v>79.989999999999995</v>
      </c>
      <c r="H351">
        <v>38.26</v>
      </c>
      <c r="I351">
        <v>48.69</v>
      </c>
      <c r="J351">
        <v>55.65</v>
      </c>
      <c r="K351">
        <v>41.73</v>
      </c>
      <c r="L351" t="s">
        <v>5922</v>
      </c>
      <c r="M351">
        <v>43.13</v>
      </c>
      <c r="N351">
        <v>48.69</v>
      </c>
      <c r="P351">
        <v>41.73</v>
      </c>
      <c r="Q351">
        <v>38.26</v>
      </c>
      <c r="R351">
        <v>36.86</v>
      </c>
      <c r="S351">
        <v>21.73</v>
      </c>
      <c r="U351">
        <v>48.69</v>
      </c>
      <c r="V351">
        <v>52.17</v>
      </c>
      <c r="W351">
        <v>52.17</v>
      </c>
      <c r="X351">
        <v>52.17</v>
      </c>
      <c r="Y351">
        <v>79.989999999999995</v>
      </c>
      <c r="Z351" t="s">
        <v>5922</v>
      </c>
    </row>
    <row r="352" spans="1:26" x14ac:dyDescent="0.2">
      <c r="A352" t="s">
        <v>825</v>
      </c>
      <c r="B352" t="s">
        <v>826</v>
      </c>
      <c r="C352" t="s">
        <v>827</v>
      </c>
      <c r="D352" t="s">
        <v>98</v>
      </c>
      <c r="E352">
        <v>129</v>
      </c>
      <c r="F352" t="s">
        <v>7045</v>
      </c>
      <c r="G352">
        <v>129</v>
      </c>
      <c r="H352">
        <v>89.74</v>
      </c>
      <c r="L352" t="s">
        <v>5922</v>
      </c>
      <c r="Q352">
        <v>89.74</v>
      </c>
      <c r="R352">
        <v>89.74</v>
      </c>
      <c r="U352">
        <v>94.28</v>
      </c>
      <c r="V352">
        <v>84.13</v>
      </c>
      <c r="W352">
        <v>95.35</v>
      </c>
      <c r="X352">
        <v>86.37</v>
      </c>
      <c r="Y352">
        <v>129</v>
      </c>
      <c r="Z352" t="s">
        <v>5922</v>
      </c>
    </row>
    <row r="353" spans="1:26" x14ac:dyDescent="0.2">
      <c r="A353" t="s">
        <v>825</v>
      </c>
      <c r="B353" t="s">
        <v>828</v>
      </c>
      <c r="C353" t="s">
        <v>829</v>
      </c>
      <c r="D353" t="s">
        <v>98</v>
      </c>
      <c r="E353">
        <v>169</v>
      </c>
      <c r="F353" t="s">
        <v>6937</v>
      </c>
      <c r="G353">
        <v>169</v>
      </c>
      <c r="H353">
        <v>117.57</v>
      </c>
      <c r="L353" t="s">
        <v>5922</v>
      </c>
      <c r="Q353">
        <v>117.57</v>
      </c>
      <c r="R353">
        <v>117.57</v>
      </c>
      <c r="U353">
        <v>128.19</v>
      </c>
      <c r="V353">
        <v>123.26</v>
      </c>
      <c r="W353">
        <v>139.69999999999999</v>
      </c>
      <c r="X353">
        <v>126.55</v>
      </c>
      <c r="Y353">
        <v>169</v>
      </c>
      <c r="Z353" t="s">
        <v>5922</v>
      </c>
    </row>
    <row r="354" spans="1:26" x14ac:dyDescent="0.2">
      <c r="A354" t="s">
        <v>825</v>
      </c>
      <c r="B354" t="s">
        <v>830</v>
      </c>
      <c r="C354" t="s">
        <v>831</v>
      </c>
      <c r="D354" t="s">
        <v>98</v>
      </c>
      <c r="E354">
        <v>579</v>
      </c>
      <c r="F354" t="s">
        <v>5922</v>
      </c>
      <c r="G354">
        <v>503.48</v>
      </c>
      <c r="H354">
        <v>402.78</v>
      </c>
      <c r="I354">
        <v>302.08999999999997</v>
      </c>
      <c r="J354">
        <v>377.61</v>
      </c>
      <c r="L354" t="s">
        <v>5922</v>
      </c>
      <c r="R354">
        <v>377.61</v>
      </c>
      <c r="U354">
        <v>352.43</v>
      </c>
      <c r="V354">
        <v>377.61</v>
      </c>
      <c r="W354">
        <v>377.61</v>
      </c>
      <c r="X354">
        <v>377.61</v>
      </c>
      <c r="Y354">
        <v>579</v>
      </c>
      <c r="Z354" t="s">
        <v>5922</v>
      </c>
    </row>
    <row r="355" spans="1:26" x14ac:dyDescent="0.2">
      <c r="A355" t="s">
        <v>825</v>
      </c>
      <c r="B355" t="s">
        <v>832</v>
      </c>
      <c r="C355" t="s">
        <v>833</v>
      </c>
      <c r="D355" t="s">
        <v>98</v>
      </c>
      <c r="E355">
        <v>169</v>
      </c>
      <c r="F355" t="s">
        <v>6937</v>
      </c>
      <c r="G355">
        <v>169</v>
      </c>
      <c r="H355">
        <v>117.57</v>
      </c>
      <c r="L355" t="s">
        <v>5922</v>
      </c>
      <c r="Q355">
        <v>117.57</v>
      </c>
      <c r="R355">
        <v>117.57</v>
      </c>
      <c r="U355">
        <v>128.19</v>
      </c>
      <c r="V355">
        <v>123.26</v>
      </c>
      <c r="W355">
        <v>139.69999999999999</v>
      </c>
      <c r="X355">
        <v>126.55</v>
      </c>
      <c r="Y355">
        <v>169</v>
      </c>
      <c r="Z355" t="s">
        <v>5922</v>
      </c>
    </row>
    <row r="356" spans="1:26" x14ac:dyDescent="0.2">
      <c r="A356" t="s">
        <v>825</v>
      </c>
      <c r="B356" t="s">
        <v>834</v>
      </c>
      <c r="C356" t="s">
        <v>835</v>
      </c>
      <c r="D356" t="s">
        <v>98</v>
      </c>
      <c r="E356">
        <v>669</v>
      </c>
      <c r="F356" t="s">
        <v>5922</v>
      </c>
      <c r="G356">
        <v>564.35</v>
      </c>
      <c r="H356">
        <v>465.39</v>
      </c>
      <c r="I356">
        <v>366.83</v>
      </c>
      <c r="J356">
        <v>423.26</v>
      </c>
      <c r="L356" t="s">
        <v>5922</v>
      </c>
      <c r="R356">
        <v>423.26</v>
      </c>
      <c r="U356">
        <v>407.22</v>
      </c>
      <c r="V356">
        <v>423.26</v>
      </c>
      <c r="W356">
        <v>436.3</v>
      </c>
      <c r="X356">
        <v>436.3</v>
      </c>
      <c r="Y356">
        <v>669</v>
      </c>
      <c r="Z356" t="s">
        <v>5922</v>
      </c>
    </row>
    <row r="357" spans="1:26" x14ac:dyDescent="0.2">
      <c r="A357" t="s">
        <v>825</v>
      </c>
      <c r="B357" t="s">
        <v>836</v>
      </c>
      <c r="C357" t="s">
        <v>837</v>
      </c>
      <c r="D357" t="s">
        <v>98</v>
      </c>
      <c r="E357">
        <v>899</v>
      </c>
      <c r="F357" t="s">
        <v>5922</v>
      </c>
      <c r="G357">
        <v>899</v>
      </c>
      <c r="H357">
        <v>625.39</v>
      </c>
      <c r="I357">
        <v>547.22</v>
      </c>
      <c r="J357">
        <v>586.29999999999995</v>
      </c>
      <c r="L357" t="s">
        <v>5922</v>
      </c>
      <c r="R357">
        <v>586.29999999999995</v>
      </c>
      <c r="U357">
        <v>547.22</v>
      </c>
      <c r="V357">
        <v>586.29999999999995</v>
      </c>
      <c r="W357">
        <v>586.29999999999995</v>
      </c>
      <c r="X357">
        <v>586.29999999999995</v>
      </c>
      <c r="Y357">
        <v>899</v>
      </c>
      <c r="Z357" t="s">
        <v>5922</v>
      </c>
    </row>
    <row r="358" spans="1:26" x14ac:dyDescent="0.2">
      <c r="A358" t="s">
        <v>825</v>
      </c>
      <c r="B358" t="s">
        <v>838</v>
      </c>
      <c r="C358" t="s">
        <v>839</v>
      </c>
      <c r="D358" t="s">
        <v>98</v>
      </c>
      <c r="E358">
        <v>699</v>
      </c>
      <c r="F358" t="s">
        <v>5922</v>
      </c>
      <c r="G358">
        <v>607.83000000000004</v>
      </c>
      <c r="H358">
        <v>486.26</v>
      </c>
      <c r="I358">
        <v>425.48</v>
      </c>
      <c r="J358">
        <v>455.87</v>
      </c>
      <c r="L358" t="s">
        <v>5922</v>
      </c>
      <c r="R358">
        <v>455.87</v>
      </c>
      <c r="U358">
        <v>425.48</v>
      </c>
      <c r="V358">
        <v>455.87</v>
      </c>
      <c r="W358">
        <v>455.87</v>
      </c>
      <c r="X358">
        <v>455.87</v>
      </c>
      <c r="Y358">
        <v>699</v>
      </c>
      <c r="Z358" t="s">
        <v>5922</v>
      </c>
    </row>
    <row r="359" spans="1:26" x14ac:dyDescent="0.2">
      <c r="A359" t="s">
        <v>825</v>
      </c>
      <c r="B359" t="s">
        <v>840</v>
      </c>
      <c r="C359" t="s">
        <v>841</v>
      </c>
      <c r="D359" t="s">
        <v>98</v>
      </c>
      <c r="E359">
        <v>719</v>
      </c>
      <c r="F359" t="s">
        <v>5922</v>
      </c>
      <c r="G359">
        <v>719</v>
      </c>
      <c r="H359">
        <v>468.91</v>
      </c>
      <c r="I359">
        <v>364.7</v>
      </c>
      <c r="J359">
        <v>455.87</v>
      </c>
      <c r="L359" t="s">
        <v>5922</v>
      </c>
      <c r="Q359">
        <v>468.91</v>
      </c>
      <c r="R359">
        <v>468.91</v>
      </c>
      <c r="U359">
        <v>437.65</v>
      </c>
      <c r="V359">
        <v>468.91</v>
      </c>
      <c r="W359">
        <v>468.91</v>
      </c>
      <c r="X359">
        <v>481.42</v>
      </c>
      <c r="Y359">
        <v>719</v>
      </c>
      <c r="Z359" t="s">
        <v>5922</v>
      </c>
    </row>
    <row r="360" spans="1:26" x14ac:dyDescent="0.2">
      <c r="A360" t="s">
        <v>825</v>
      </c>
      <c r="B360" t="s">
        <v>842</v>
      </c>
      <c r="C360" t="s">
        <v>843</v>
      </c>
      <c r="D360" t="s">
        <v>98</v>
      </c>
      <c r="E360">
        <v>619</v>
      </c>
      <c r="F360" t="s">
        <v>5922</v>
      </c>
      <c r="G360">
        <v>619</v>
      </c>
      <c r="H360">
        <v>403.7</v>
      </c>
      <c r="I360">
        <v>312.52</v>
      </c>
      <c r="J360">
        <v>390.65</v>
      </c>
      <c r="L360" t="s">
        <v>5922</v>
      </c>
      <c r="Q360">
        <v>403.7</v>
      </c>
      <c r="R360">
        <v>403.7</v>
      </c>
      <c r="U360">
        <v>376.78</v>
      </c>
      <c r="V360">
        <v>403.7</v>
      </c>
      <c r="W360">
        <v>403</v>
      </c>
      <c r="X360">
        <v>414.46</v>
      </c>
      <c r="Y360">
        <v>619</v>
      </c>
      <c r="Z360" t="s">
        <v>5922</v>
      </c>
    </row>
    <row r="361" spans="1:26" x14ac:dyDescent="0.2">
      <c r="A361" t="s">
        <v>825</v>
      </c>
      <c r="B361" t="s">
        <v>844</v>
      </c>
      <c r="C361" t="s">
        <v>845</v>
      </c>
      <c r="D361" t="s">
        <v>98</v>
      </c>
      <c r="E361">
        <v>879</v>
      </c>
      <c r="F361" t="s">
        <v>5922</v>
      </c>
      <c r="G361">
        <v>879</v>
      </c>
      <c r="H361">
        <v>611.48</v>
      </c>
      <c r="I361">
        <v>516.78</v>
      </c>
      <c r="J361">
        <v>553.70000000000005</v>
      </c>
      <c r="L361" t="s">
        <v>5922</v>
      </c>
      <c r="R361">
        <v>553.70000000000005</v>
      </c>
      <c r="U361">
        <v>535.04</v>
      </c>
      <c r="V361">
        <v>573.26</v>
      </c>
      <c r="W361">
        <v>573.26</v>
      </c>
      <c r="X361">
        <v>573.26</v>
      </c>
      <c r="Y361">
        <v>879</v>
      </c>
      <c r="Z361" t="s">
        <v>5922</v>
      </c>
    </row>
    <row r="362" spans="1:26" x14ac:dyDescent="0.2">
      <c r="A362" t="s">
        <v>825</v>
      </c>
      <c r="B362" t="s">
        <v>846</v>
      </c>
      <c r="C362" t="s">
        <v>847</v>
      </c>
      <c r="D362" t="s">
        <v>98</v>
      </c>
      <c r="E362">
        <v>599</v>
      </c>
      <c r="F362" t="s">
        <v>6941</v>
      </c>
      <c r="G362">
        <v>649</v>
      </c>
      <c r="H362">
        <v>423.26</v>
      </c>
      <c r="L362" t="s">
        <v>5922</v>
      </c>
      <c r="Q362">
        <v>423.26</v>
      </c>
      <c r="R362">
        <v>423.26</v>
      </c>
      <c r="U362">
        <v>395.04</v>
      </c>
      <c r="V362">
        <v>423.26</v>
      </c>
      <c r="W362">
        <v>451.48</v>
      </c>
      <c r="X362">
        <v>434.55</v>
      </c>
      <c r="Y362">
        <v>599</v>
      </c>
      <c r="Z362" t="s">
        <v>5922</v>
      </c>
    </row>
    <row r="363" spans="1:26" x14ac:dyDescent="0.2">
      <c r="A363" t="s">
        <v>825</v>
      </c>
      <c r="B363" t="s">
        <v>848</v>
      </c>
      <c r="C363" t="s">
        <v>849</v>
      </c>
      <c r="D363" t="s">
        <v>98</v>
      </c>
      <c r="E363">
        <v>899</v>
      </c>
      <c r="F363" t="s">
        <v>7046</v>
      </c>
      <c r="G363">
        <v>899</v>
      </c>
      <c r="H363">
        <v>586.29999999999995</v>
      </c>
      <c r="L363" t="s">
        <v>5922</v>
      </c>
      <c r="Q363">
        <v>586.29999999999995</v>
      </c>
      <c r="R363">
        <v>586.29999999999995</v>
      </c>
      <c r="U363">
        <v>577.65</v>
      </c>
      <c r="V363">
        <v>586.29999999999995</v>
      </c>
      <c r="W363">
        <v>625.39</v>
      </c>
      <c r="X363">
        <v>601.94000000000005</v>
      </c>
      <c r="Y363">
        <v>899</v>
      </c>
      <c r="Z363" t="s">
        <v>5922</v>
      </c>
    </row>
    <row r="364" spans="1:26" x14ac:dyDescent="0.2">
      <c r="A364" t="s">
        <v>825</v>
      </c>
      <c r="B364" t="s">
        <v>850</v>
      </c>
      <c r="C364" t="s">
        <v>851</v>
      </c>
      <c r="D364" t="s">
        <v>98</v>
      </c>
      <c r="E364">
        <v>799</v>
      </c>
      <c r="F364" t="s">
        <v>7047</v>
      </c>
      <c r="G364">
        <v>799</v>
      </c>
      <c r="H364">
        <v>521.09</v>
      </c>
      <c r="L364" t="s">
        <v>5922</v>
      </c>
      <c r="Q364">
        <v>521.09</v>
      </c>
      <c r="R364">
        <v>521.09</v>
      </c>
      <c r="U364">
        <v>486.35</v>
      </c>
      <c r="V364">
        <v>521.09</v>
      </c>
      <c r="W364">
        <v>555.83000000000004</v>
      </c>
      <c r="X364">
        <v>534.98</v>
      </c>
      <c r="Y364">
        <v>799</v>
      </c>
      <c r="Z364" t="s">
        <v>5922</v>
      </c>
    </row>
    <row r="365" spans="1:26" x14ac:dyDescent="0.2">
      <c r="A365" t="s">
        <v>825</v>
      </c>
      <c r="B365" t="s">
        <v>852</v>
      </c>
      <c r="C365" t="s">
        <v>853</v>
      </c>
      <c r="D365" t="s">
        <v>98</v>
      </c>
      <c r="E365">
        <v>799</v>
      </c>
      <c r="F365" t="s">
        <v>7047</v>
      </c>
      <c r="G365">
        <v>799</v>
      </c>
      <c r="H365">
        <v>521.09</v>
      </c>
      <c r="L365" t="s">
        <v>5922</v>
      </c>
      <c r="Q365">
        <v>521.09</v>
      </c>
      <c r="R365">
        <v>521.09</v>
      </c>
      <c r="U365">
        <v>486.35</v>
      </c>
      <c r="V365">
        <v>521.09</v>
      </c>
      <c r="W365">
        <v>555.83000000000004</v>
      </c>
      <c r="X365">
        <v>534.98</v>
      </c>
      <c r="Y365">
        <v>799</v>
      </c>
      <c r="Z365" t="s">
        <v>5922</v>
      </c>
    </row>
    <row r="366" spans="1:26" x14ac:dyDescent="0.2">
      <c r="A366" t="s">
        <v>825</v>
      </c>
      <c r="B366" t="s">
        <v>854</v>
      </c>
      <c r="C366" t="s">
        <v>855</v>
      </c>
      <c r="D366" t="s">
        <v>98</v>
      </c>
      <c r="E366">
        <v>79</v>
      </c>
      <c r="F366" t="s">
        <v>7048</v>
      </c>
      <c r="G366">
        <v>79</v>
      </c>
      <c r="H366">
        <v>54.96</v>
      </c>
      <c r="L366" t="s">
        <v>5922</v>
      </c>
      <c r="Q366">
        <v>54.96</v>
      </c>
      <c r="R366">
        <v>54.96</v>
      </c>
      <c r="U366">
        <v>53.58</v>
      </c>
      <c r="V366">
        <v>51.52</v>
      </c>
      <c r="W366">
        <v>58.39</v>
      </c>
      <c r="X366">
        <v>52.9</v>
      </c>
      <c r="Y366">
        <v>79</v>
      </c>
      <c r="Z366" t="s">
        <v>5922</v>
      </c>
    </row>
    <row r="367" spans="1:26" x14ac:dyDescent="0.2">
      <c r="A367" t="s">
        <v>825</v>
      </c>
      <c r="B367" t="s">
        <v>856</v>
      </c>
      <c r="C367" t="s">
        <v>857</v>
      </c>
      <c r="D367" t="s">
        <v>138</v>
      </c>
      <c r="E367">
        <v>1199</v>
      </c>
      <c r="F367" t="s">
        <v>6953</v>
      </c>
      <c r="G367">
        <v>1199</v>
      </c>
      <c r="H367">
        <v>834.09</v>
      </c>
      <c r="L367" t="s">
        <v>5922</v>
      </c>
      <c r="Q367">
        <v>834.09</v>
      </c>
      <c r="R367">
        <v>834.09</v>
      </c>
      <c r="U367">
        <v>821.13</v>
      </c>
      <c r="V367">
        <v>781.96</v>
      </c>
      <c r="W367">
        <v>834.09</v>
      </c>
      <c r="X367">
        <v>802.81</v>
      </c>
      <c r="Y367">
        <v>1199</v>
      </c>
      <c r="Z367" t="s">
        <v>5922</v>
      </c>
    </row>
    <row r="368" spans="1:26" x14ac:dyDescent="0.2">
      <c r="A368" t="s">
        <v>825</v>
      </c>
      <c r="B368" t="s">
        <v>858</v>
      </c>
      <c r="C368" t="s">
        <v>859</v>
      </c>
      <c r="D368" t="s">
        <v>98</v>
      </c>
      <c r="E368">
        <v>1099</v>
      </c>
      <c r="F368" t="s">
        <v>5922</v>
      </c>
      <c r="G368">
        <v>1099</v>
      </c>
      <c r="H368">
        <v>764.52</v>
      </c>
      <c r="L368" t="s">
        <v>5922</v>
      </c>
      <c r="Q368">
        <v>764.52</v>
      </c>
      <c r="R368">
        <v>764.52</v>
      </c>
      <c r="U368">
        <v>729.83</v>
      </c>
      <c r="V368">
        <v>716.74</v>
      </c>
      <c r="W368">
        <v>716.74</v>
      </c>
      <c r="X368">
        <v>735.85</v>
      </c>
      <c r="Y368">
        <v>1099</v>
      </c>
      <c r="Z368" t="s">
        <v>5922</v>
      </c>
    </row>
    <row r="369" spans="1:26" x14ac:dyDescent="0.2">
      <c r="A369" t="s">
        <v>825</v>
      </c>
      <c r="B369" t="s">
        <v>860</v>
      </c>
      <c r="C369" t="s">
        <v>861</v>
      </c>
      <c r="D369" t="s">
        <v>98</v>
      </c>
      <c r="E369">
        <v>979</v>
      </c>
      <c r="F369" t="s">
        <v>5922</v>
      </c>
      <c r="G369">
        <v>979</v>
      </c>
      <c r="H369">
        <v>681.04</v>
      </c>
      <c r="L369" t="s">
        <v>5922</v>
      </c>
      <c r="Q369">
        <v>681.04</v>
      </c>
      <c r="R369">
        <v>681.04</v>
      </c>
      <c r="U369">
        <v>595.91</v>
      </c>
      <c r="V369">
        <v>638.48</v>
      </c>
      <c r="W369">
        <v>681.04</v>
      </c>
      <c r="X369">
        <v>655.5</v>
      </c>
      <c r="Y369">
        <v>979</v>
      </c>
      <c r="Z369" t="s">
        <v>5922</v>
      </c>
    </row>
    <row r="370" spans="1:26" x14ac:dyDescent="0.2">
      <c r="A370" t="s">
        <v>825</v>
      </c>
      <c r="B370" t="s">
        <v>862</v>
      </c>
      <c r="C370" t="s">
        <v>863</v>
      </c>
      <c r="D370" t="s">
        <v>138</v>
      </c>
      <c r="E370">
        <v>999</v>
      </c>
      <c r="F370" t="s">
        <v>6952</v>
      </c>
      <c r="G370">
        <v>999</v>
      </c>
      <c r="H370">
        <v>694.96</v>
      </c>
      <c r="L370" t="s">
        <v>5922</v>
      </c>
      <c r="Q370">
        <v>694.96</v>
      </c>
      <c r="R370">
        <v>694.96</v>
      </c>
      <c r="U370">
        <v>668.96</v>
      </c>
      <c r="V370">
        <v>651.52</v>
      </c>
      <c r="W370">
        <v>694.96</v>
      </c>
      <c r="X370">
        <v>668.9</v>
      </c>
      <c r="Y370">
        <v>999</v>
      </c>
      <c r="Z370" t="s">
        <v>5922</v>
      </c>
    </row>
    <row r="371" spans="1:26" x14ac:dyDescent="0.2">
      <c r="A371" t="s">
        <v>825</v>
      </c>
      <c r="B371" t="s">
        <v>864</v>
      </c>
      <c r="C371" t="s">
        <v>865</v>
      </c>
      <c r="D371" t="s">
        <v>98</v>
      </c>
      <c r="E371">
        <v>1299</v>
      </c>
      <c r="F371" t="s">
        <v>7049</v>
      </c>
      <c r="G371">
        <v>1299</v>
      </c>
      <c r="L371" t="s">
        <v>5922</v>
      </c>
      <c r="U371">
        <v>973.91</v>
      </c>
      <c r="V371">
        <v>913.04</v>
      </c>
      <c r="W371">
        <v>973.91</v>
      </c>
      <c r="X371">
        <v>937.38</v>
      </c>
      <c r="Y371">
        <v>1299</v>
      </c>
      <c r="Z371" t="s">
        <v>5922</v>
      </c>
    </row>
    <row r="372" spans="1:26" x14ac:dyDescent="0.2">
      <c r="A372" t="s">
        <v>825</v>
      </c>
      <c r="B372" t="s">
        <v>866</v>
      </c>
      <c r="C372" t="s">
        <v>867</v>
      </c>
      <c r="D372" t="s">
        <v>98</v>
      </c>
      <c r="E372">
        <v>1399</v>
      </c>
      <c r="F372" t="s">
        <v>7050</v>
      </c>
      <c r="G372">
        <v>1399</v>
      </c>
      <c r="L372" t="s">
        <v>5922</v>
      </c>
      <c r="U372">
        <v>1043.47</v>
      </c>
      <c r="V372">
        <v>978.25</v>
      </c>
      <c r="W372">
        <v>1043.47</v>
      </c>
      <c r="X372">
        <v>1004.34</v>
      </c>
      <c r="Y372">
        <v>1399</v>
      </c>
      <c r="Z372" t="s">
        <v>5922</v>
      </c>
    </row>
    <row r="373" spans="1:26" x14ac:dyDescent="0.2">
      <c r="A373" t="s">
        <v>825</v>
      </c>
      <c r="B373" t="s">
        <v>868</v>
      </c>
      <c r="C373" t="s">
        <v>869</v>
      </c>
      <c r="D373" t="s">
        <v>98</v>
      </c>
      <c r="E373">
        <v>749</v>
      </c>
      <c r="F373" t="s">
        <v>5922</v>
      </c>
      <c r="G373">
        <v>651.29999999999995</v>
      </c>
      <c r="H373">
        <v>521.04</v>
      </c>
      <c r="I373">
        <v>390.78</v>
      </c>
      <c r="J373">
        <v>488.48</v>
      </c>
      <c r="L373" t="s">
        <v>5922</v>
      </c>
      <c r="R373">
        <v>488.48</v>
      </c>
      <c r="U373">
        <v>455.91</v>
      </c>
      <c r="V373">
        <v>488.48</v>
      </c>
      <c r="W373">
        <v>488.48</v>
      </c>
      <c r="X373">
        <v>488.48</v>
      </c>
      <c r="Y373">
        <v>749</v>
      </c>
      <c r="Z373" t="s">
        <v>5922</v>
      </c>
    </row>
    <row r="374" spans="1:26" x14ac:dyDescent="0.2">
      <c r="A374" t="s">
        <v>825</v>
      </c>
      <c r="B374" t="s">
        <v>870</v>
      </c>
      <c r="C374" t="s">
        <v>871</v>
      </c>
      <c r="D374" t="s">
        <v>98</v>
      </c>
      <c r="E374">
        <v>849</v>
      </c>
      <c r="F374" t="s">
        <v>5922</v>
      </c>
      <c r="G374">
        <v>738.26</v>
      </c>
      <c r="H374">
        <v>590.61</v>
      </c>
      <c r="I374">
        <v>442.96</v>
      </c>
      <c r="J374">
        <v>553.70000000000005</v>
      </c>
      <c r="L374" t="s">
        <v>5922</v>
      </c>
      <c r="R374">
        <v>553.70000000000005</v>
      </c>
      <c r="U374">
        <v>516.78</v>
      </c>
      <c r="V374">
        <v>553.70000000000005</v>
      </c>
      <c r="W374">
        <v>553.70000000000005</v>
      </c>
      <c r="X374">
        <v>553.70000000000005</v>
      </c>
      <c r="Y374">
        <v>849</v>
      </c>
      <c r="Z374" t="s">
        <v>5922</v>
      </c>
    </row>
    <row r="375" spans="1:26" x14ac:dyDescent="0.2">
      <c r="A375" t="s">
        <v>825</v>
      </c>
      <c r="B375" t="s">
        <v>872</v>
      </c>
      <c r="C375" t="s">
        <v>873</v>
      </c>
      <c r="D375" t="s">
        <v>98</v>
      </c>
      <c r="E375">
        <v>949</v>
      </c>
      <c r="F375" t="s">
        <v>5922</v>
      </c>
      <c r="G375">
        <v>825.22</v>
      </c>
      <c r="H375">
        <v>660.17</v>
      </c>
      <c r="I375">
        <v>495.13</v>
      </c>
      <c r="J375">
        <v>618.91</v>
      </c>
      <c r="L375" t="s">
        <v>5922</v>
      </c>
      <c r="R375">
        <v>618.91</v>
      </c>
      <c r="U375">
        <v>577.65</v>
      </c>
      <c r="V375">
        <v>618.91</v>
      </c>
      <c r="W375">
        <v>618.91</v>
      </c>
      <c r="X375">
        <v>618.91</v>
      </c>
      <c r="Y375">
        <v>949</v>
      </c>
      <c r="Z375" t="s">
        <v>5922</v>
      </c>
    </row>
    <row r="376" spans="1:26" x14ac:dyDescent="0.2">
      <c r="A376" t="s">
        <v>876</v>
      </c>
      <c r="B376" t="s">
        <v>877</v>
      </c>
      <c r="C376" t="s">
        <v>878</v>
      </c>
      <c r="D376" t="s">
        <v>98</v>
      </c>
      <c r="E376">
        <v>189.99</v>
      </c>
      <c r="F376" t="s">
        <v>5922</v>
      </c>
      <c r="G376">
        <v>189.99</v>
      </c>
      <c r="H376">
        <v>123.91</v>
      </c>
      <c r="L376" t="s">
        <v>5922</v>
      </c>
      <c r="Q376">
        <v>123.91</v>
      </c>
      <c r="R376">
        <v>123.91</v>
      </c>
      <c r="U376">
        <v>126.95</v>
      </c>
      <c r="V376">
        <v>126.95</v>
      </c>
      <c r="W376">
        <v>145.38</v>
      </c>
      <c r="X376">
        <v>132.16999999999999</v>
      </c>
      <c r="Y376">
        <v>189.99</v>
      </c>
      <c r="Z376" t="s">
        <v>5922</v>
      </c>
    </row>
    <row r="377" spans="1:26" x14ac:dyDescent="0.2">
      <c r="A377" t="s">
        <v>876</v>
      </c>
      <c r="B377" t="s">
        <v>879</v>
      </c>
      <c r="C377" t="s">
        <v>880</v>
      </c>
      <c r="D377" t="s">
        <v>105</v>
      </c>
      <c r="E377">
        <v>109.99</v>
      </c>
      <c r="F377" t="s">
        <v>7025</v>
      </c>
      <c r="G377">
        <v>84.99</v>
      </c>
      <c r="H377">
        <v>76.510000000000005</v>
      </c>
      <c r="L377" t="s">
        <v>5922</v>
      </c>
      <c r="Q377">
        <v>65.209999999999994</v>
      </c>
      <c r="R377">
        <v>65.209999999999994</v>
      </c>
      <c r="U377">
        <v>69.819999999999993</v>
      </c>
      <c r="V377">
        <v>76.510000000000005</v>
      </c>
      <c r="W377">
        <v>80.34</v>
      </c>
      <c r="X377">
        <v>73.040000000000006</v>
      </c>
      <c r="Y377">
        <v>109.99</v>
      </c>
      <c r="Z377" t="s">
        <v>5922</v>
      </c>
    </row>
    <row r="378" spans="1:26" x14ac:dyDescent="0.2">
      <c r="A378" t="s">
        <v>876</v>
      </c>
      <c r="B378" t="s">
        <v>5939</v>
      </c>
      <c r="C378" t="s">
        <v>881</v>
      </c>
      <c r="D378" t="s">
        <v>105</v>
      </c>
      <c r="E378">
        <v>199.99</v>
      </c>
      <c r="F378" t="s">
        <v>6916</v>
      </c>
      <c r="G378">
        <v>179.99</v>
      </c>
      <c r="H378">
        <v>139.12</v>
      </c>
      <c r="L378" t="s">
        <v>5922</v>
      </c>
      <c r="Q378">
        <v>117.38</v>
      </c>
      <c r="R378">
        <v>117.38</v>
      </c>
      <c r="U378">
        <v>126.95</v>
      </c>
      <c r="V378">
        <v>114.25</v>
      </c>
      <c r="W378">
        <v>137.72999999999999</v>
      </c>
      <c r="X378">
        <v>128.69</v>
      </c>
      <c r="Y378">
        <v>199.99</v>
      </c>
      <c r="Z378" t="s">
        <v>5922</v>
      </c>
    </row>
    <row r="379" spans="1:26" x14ac:dyDescent="0.2">
      <c r="A379" t="s">
        <v>876</v>
      </c>
      <c r="B379" t="s">
        <v>5940</v>
      </c>
      <c r="C379" t="s">
        <v>882</v>
      </c>
      <c r="D379" t="s">
        <v>98</v>
      </c>
      <c r="E379">
        <v>114.99</v>
      </c>
      <c r="F379" t="s">
        <v>5922</v>
      </c>
      <c r="G379">
        <v>114.99</v>
      </c>
      <c r="H379">
        <v>74.989999999999995</v>
      </c>
      <c r="L379" t="s">
        <v>5922</v>
      </c>
      <c r="Q379">
        <v>74.989999999999995</v>
      </c>
      <c r="R379">
        <v>74.989999999999995</v>
      </c>
      <c r="U379">
        <v>76.17</v>
      </c>
      <c r="V379">
        <v>76.17</v>
      </c>
      <c r="W379">
        <v>87.99</v>
      </c>
      <c r="X379">
        <v>79.989999999999995</v>
      </c>
      <c r="Y379">
        <v>114.99</v>
      </c>
      <c r="Z379" t="s">
        <v>5922</v>
      </c>
    </row>
    <row r="380" spans="1:26" x14ac:dyDescent="0.2">
      <c r="A380" t="s">
        <v>876</v>
      </c>
      <c r="B380" t="s">
        <v>5941</v>
      </c>
      <c r="C380" t="s">
        <v>883</v>
      </c>
      <c r="D380" t="s">
        <v>105</v>
      </c>
      <c r="E380">
        <v>99.99</v>
      </c>
      <c r="F380" t="s">
        <v>6903</v>
      </c>
      <c r="G380">
        <v>92.99</v>
      </c>
      <c r="H380">
        <v>69.56</v>
      </c>
      <c r="L380" t="s">
        <v>5922</v>
      </c>
      <c r="Q380">
        <v>60.65</v>
      </c>
      <c r="R380">
        <v>60.65</v>
      </c>
      <c r="U380">
        <v>63.47</v>
      </c>
      <c r="V380">
        <v>69.56</v>
      </c>
      <c r="W380">
        <v>71.16</v>
      </c>
      <c r="X380">
        <v>64.69</v>
      </c>
      <c r="Y380">
        <v>99.99</v>
      </c>
      <c r="Z380" t="s">
        <v>5922</v>
      </c>
    </row>
    <row r="381" spans="1:26" x14ac:dyDescent="0.2">
      <c r="A381" t="s">
        <v>876</v>
      </c>
      <c r="B381" t="s">
        <v>884</v>
      </c>
      <c r="C381" t="s">
        <v>885</v>
      </c>
      <c r="D381" t="s">
        <v>98</v>
      </c>
      <c r="E381">
        <v>239.99</v>
      </c>
      <c r="F381" t="s">
        <v>5922</v>
      </c>
      <c r="G381">
        <v>239.99</v>
      </c>
      <c r="H381">
        <v>156.52000000000001</v>
      </c>
      <c r="I381">
        <v>153.04</v>
      </c>
      <c r="J381">
        <v>153.04</v>
      </c>
      <c r="L381" t="s">
        <v>5922</v>
      </c>
      <c r="Q381">
        <v>156.52000000000001</v>
      </c>
      <c r="R381">
        <v>156.52000000000001</v>
      </c>
      <c r="U381">
        <v>152.34</v>
      </c>
      <c r="V381">
        <v>152.34</v>
      </c>
      <c r="W381">
        <v>183.64</v>
      </c>
      <c r="X381">
        <v>166.95</v>
      </c>
      <c r="Y381">
        <v>239.99</v>
      </c>
      <c r="Z381" t="s">
        <v>5922</v>
      </c>
    </row>
    <row r="382" spans="1:26" x14ac:dyDescent="0.2">
      <c r="A382" t="s">
        <v>876</v>
      </c>
      <c r="B382" t="s">
        <v>5942</v>
      </c>
      <c r="C382" t="s">
        <v>886</v>
      </c>
      <c r="D382" t="s">
        <v>105</v>
      </c>
      <c r="E382">
        <v>199.99</v>
      </c>
      <c r="F382" t="s">
        <v>6916</v>
      </c>
      <c r="G382">
        <v>152.99</v>
      </c>
      <c r="H382">
        <v>139.12</v>
      </c>
      <c r="L382" t="s">
        <v>5922</v>
      </c>
      <c r="Q382">
        <v>117.38</v>
      </c>
      <c r="R382">
        <v>117.38</v>
      </c>
      <c r="U382">
        <v>130.43</v>
      </c>
      <c r="V382">
        <v>132.16999999999999</v>
      </c>
      <c r="W382">
        <v>137.72999999999999</v>
      </c>
      <c r="X382">
        <v>125.21</v>
      </c>
      <c r="Y382">
        <v>199.99</v>
      </c>
      <c r="Z382" t="s">
        <v>5922</v>
      </c>
    </row>
    <row r="383" spans="1:26" x14ac:dyDescent="0.2">
      <c r="A383" t="s">
        <v>876</v>
      </c>
      <c r="B383" t="s">
        <v>5943</v>
      </c>
      <c r="C383" t="s">
        <v>887</v>
      </c>
      <c r="D383" t="s">
        <v>98</v>
      </c>
      <c r="E383">
        <v>49.99</v>
      </c>
      <c r="F383" t="s">
        <v>5922</v>
      </c>
      <c r="G383">
        <v>44.99</v>
      </c>
      <c r="H383">
        <v>36.950000000000003</v>
      </c>
      <c r="L383" t="s">
        <v>5922</v>
      </c>
      <c r="U383">
        <v>30.43</v>
      </c>
      <c r="V383">
        <v>30.43</v>
      </c>
      <c r="W383">
        <v>34.78</v>
      </c>
      <c r="X383">
        <v>34.78</v>
      </c>
      <c r="Y383">
        <v>44.99</v>
      </c>
      <c r="Z383" t="s">
        <v>5922</v>
      </c>
    </row>
    <row r="384" spans="1:26" x14ac:dyDescent="0.2">
      <c r="A384" t="s">
        <v>876</v>
      </c>
      <c r="B384" t="s">
        <v>5944</v>
      </c>
      <c r="C384" t="s">
        <v>888</v>
      </c>
      <c r="D384" t="s">
        <v>105</v>
      </c>
      <c r="E384">
        <v>159.99</v>
      </c>
      <c r="F384" t="s">
        <v>6970</v>
      </c>
      <c r="G384">
        <v>144.99</v>
      </c>
      <c r="H384">
        <v>111.3</v>
      </c>
      <c r="I384">
        <v>90.43</v>
      </c>
      <c r="J384">
        <v>90.43</v>
      </c>
      <c r="L384" t="s">
        <v>5922</v>
      </c>
      <c r="Q384">
        <v>94.56</v>
      </c>
      <c r="R384">
        <v>94.56</v>
      </c>
      <c r="U384">
        <v>101.56</v>
      </c>
      <c r="V384">
        <v>104.34</v>
      </c>
      <c r="W384">
        <v>110.95</v>
      </c>
      <c r="X384">
        <v>100.86</v>
      </c>
      <c r="Y384">
        <v>159.99</v>
      </c>
      <c r="Z384" t="s">
        <v>5922</v>
      </c>
    </row>
    <row r="385" spans="1:26" x14ac:dyDescent="0.2">
      <c r="A385" t="s">
        <v>876</v>
      </c>
      <c r="B385" t="s">
        <v>5945</v>
      </c>
      <c r="C385" t="s">
        <v>889</v>
      </c>
      <c r="D385" t="s">
        <v>105</v>
      </c>
      <c r="E385">
        <v>219.99</v>
      </c>
      <c r="F385" t="s">
        <v>7051</v>
      </c>
      <c r="G385">
        <v>199.99</v>
      </c>
      <c r="H385">
        <v>153.04</v>
      </c>
      <c r="I385">
        <v>125.21</v>
      </c>
      <c r="J385">
        <v>125.21</v>
      </c>
      <c r="L385" t="s">
        <v>5922</v>
      </c>
      <c r="Q385">
        <v>130.43</v>
      </c>
      <c r="R385">
        <v>130.43</v>
      </c>
      <c r="U385">
        <v>139.65</v>
      </c>
      <c r="V385">
        <v>153.04</v>
      </c>
      <c r="W385">
        <v>153.04</v>
      </c>
      <c r="X385">
        <v>139.12</v>
      </c>
      <c r="Y385">
        <v>219.99</v>
      </c>
      <c r="Z385" t="s">
        <v>5922</v>
      </c>
    </row>
    <row r="386" spans="1:26" x14ac:dyDescent="0.2">
      <c r="A386" t="s">
        <v>876</v>
      </c>
      <c r="B386" t="s">
        <v>5946</v>
      </c>
      <c r="C386" t="s">
        <v>890</v>
      </c>
      <c r="D386" t="s">
        <v>98</v>
      </c>
      <c r="E386">
        <v>39.99</v>
      </c>
      <c r="F386" t="s">
        <v>5922</v>
      </c>
      <c r="G386">
        <v>27.99</v>
      </c>
      <c r="H386">
        <v>33.25</v>
      </c>
      <c r="L386" t="s">
        <v>5922</v>
      </c>
      <c r="U386">
        <v>27.39</v>
      </c>
      <c r="V386">
        <v>27.39</v>
      </c>
      <c r="W386">
        <v>31.3</v>
      </c>
      <c r="X386">
        <v>31.3</v>
      </c>
      <c r="Y386">
        <v>39.99</v>
      </c>
      <c r="Z386" t="s">
        <v>5922</v>
      </c>
    </row>
    <row r="387" spans="1:26" x14ac:dyDescent="0.2">
      <c r="A387" t="s">
        <v>876</v>
      </c>
      <c r="B387" t="s">
        <v>5947</v>
      </c>
      <c r="C387" t="s">
        <v>891</v>
      </c>
      <c r="D387" t="s">
        <v>98</v>
      </c>
      <c r="E387">
        <v>269.99</v>
      </c>
      <c r="F387" t="s">
        <v>5922</v>
      </c>
      <c r="H387">
        <v>176.08</v>
      </c>
      <c r="L387" t="s">
        <v>5922</v>
      </c>
      <c r="Q387">
        <v>176.08</v>
      </c>
      <c r="R387">
        <v>176.08</v>
      </c>
      <c r="U387">
        <v>177.73</v>
      </c>
      <c r="V387">
        <v>177.73</v>
      </c>
      <c r="W387">
        <v>206.6</v>
      </c>
      <c r="X387">
        <v>187.82</v>
      </c>
      <c r="Y387">
        <v>269.99</v>
      </c>
      <c r="Z387" t="s">
        <v>5922</v>
      </c>
    </row>
    <row r="388" spans="1:26" x14ac:dyDescent="0.2">
      <c r="A388" t="s">
        <v>876</v>
      </c>
      <c r="B388" t="s">
        <v>892</v>
      </c>
      <c r="C388" t="s">
        <v>893</v>
      </c>
      <c r="D388" t="s">
        <v>105</v>
      </c>
      <c r="E388">
        <v>84.99</v>
      </c>
      <c r="F388" t="s">
        <v>7052</v>
      </c>
      <c r="G388">
        <v>63.74</v>
      </c>
      <c r="H388">
        <v>59.12</v>
      </c>
      <c r="L388" t="s">
        <v>5922</v>
      </c>
      <c r="Q388">
        <v>48.91</v>
      </c>
      <c r="R388">
        <v>48.91</v>
      </c>
      <c r="U388">
        <v>53.95</v>
      </c>
      <c r="V388">
        <v>62.6</v>
      </c>
      <c r="W388">
        <v>61.21</v>
      </c>
      <c r="X388">
        <v>55.65</v>
      </c>
      <c r="Y388">
        <v>84.99</v>
      </c>
      <c r="Z388" t="s">
        <v>5922</v>
      </c>
    </row>
    <row r="389" spans="1:26" x14ac:dyDescent="0.2">
      <c r="A389" t="s">
        <v>876</v>
      </c>
      <c r="B389" t="s">
        <v>5948</v>
      </c>
      <c r="C389" t="s">
        <v>894</v>
      </c>
      <c r="D389" t="s">
        <v>98</v>
      </c>
      <c r="E389">
        <v>84.99</v>
      </c>
      <c r="F389" t="s">
        <v>5922</v>
      </c>
      <c r="G389">
        <v>63.74</v>
      </c>
      <c r="H389">
        <v>55.43</v>
      </c>
      <c r="L389" t="s">
        <v>5922</v>
      </c>
      <c r="Q389">
        <v>55.43</v>
      </c>
      <c r="R389">
        <v>55.43</v>
      </c>
      <c r="U389">
        <v>58.69</v>
      </c>
      <c r="V389">
        <v>57.12</v>
      </c>
      <c r="W389">
        <v>68.86</v>
      </c>
      <c r="X389">
        <v>62.6</v>
      </c>
      <c r="Y389">
        <v>84.99</v>
      </c>
      <c r="Z389" t="s">
        <v>5922</v>
      </c>
    </row>
    <row r="390" spans="1:26" x14ac:dyDescent="0.2">
      <c r="A390" t="s">
        <v>876</v>
      </c>
      <c r="B390" t="s">
        <v>895</v>
      </c>
      <c r="C390" t="s">
        <v>896</v>
      </c>
      <c r="D390" t="s">
        <v>98</v>
      </c>
      <c r="E390">
        <v>54.99</v>
      </c>
      <c r="F390" t="s">
        <v>7027</v>
      </c>
      <c r="G390">
        <v>49.99</v>
      </c>
      <c r="H390">
        <v>38.25</v>
      </c>
      <c r="L390" t="s">
        <v>5922</v>
      </c>
      <c r="Q390">
        <v>32.6</v>
      </c>
      <c r="R390">
        <v>32.6</v>
      </c>
      <c r="U390">
        <v>35.86</v>
      </c>
      <c r="V390">
        <v>41.73</v>
      </c>
      <c r="W390">
        <v>45.91</v>
      </c>
      <c r="X390">
        <v>41.73</v>
      </c>
      <c r="Y390">
        <v>54.99</v>
      </c>
      <c r="Z390" t="s">
        <v>5922</v>
      </c>
    </row>
    <row r="391" spans="1:26" x14ac:dyDescent="0.2">
      <c r="A391" t="s">
        <v>876</v>
      </c>
      <c r="B391" t="s">
        <v>5949</v>
      </c>
      <c r="C391" t="s">
        <v>897</v>
      </c>
      <c r="D391" t="s">
        <v>98</v>
      </c>
      <c r="E391">
        <v>184.99</v>
      </c>
      <c r="F391" t="s">
        <v>5922</v>
      </c>
      <c r="G391">
        <v>184.99</v>
      </c>
      <c r="H391">
        <v>120.65</v>
      </c>
      <c r="L391" t="s">
        <v>5922</v>
      </c>
      <c r="Q391">
        <v>120.65</v>
      </c>
      <c r="R391">
        <v>120.65</v>
      </c>
      <c r="U391">
        <v>117.43</v>
      </c>
      <c r="V391">
        <v>117.43</v>
      </c>
      <c r="W391">
        <v>141.56</v>
      </c>
      <c r="X391">
        <v>128.69</v>
      </c>
      <c r="Y391">
        <v>184.99</v>
      </c>
      <c r="Z391" t="s">
        <v>5922</v>
      </c>
    </row>
    <row r="392" spans="1:26" x14ac:dyDescent="0.2">
      <c r="A392" t="s">
        <v>876</v>
      </c>
      <c r="B392" t="s">
        <v>898</v>
      </c>
      <c r="C392" t="s">
        <v>899</v>
      </c>
      <c r="D392" t="s">
        <v>98</v>
      </c>
      <c r="E392">
        <v>179.99</v>
      </c>
      <c r="F392" t="s">
        <v>7024</v>
      </c>
      <c r="G392">
        <v>150.87</v>
      </c>
      <c r="H392">
        <v>115.75</v>
      </c>
      <c r="L392" t="s">
        <v>5922</v>
      </c>
      <c r="Q392">
        <v>115.75</v>
      </c>
      <c r="R392">
        <v>115.75</v>
      </c>
      <c r="U392">
        <v>117.38</v>
      </c>
      <c r="V392">
        <v>125.21</v>
      </c>
      <c r="W392">
        <v>137.72999999999999</v>
      </c>
      <c r="X392">
        <v>125.21</v>
      </c>
      <c r="Y392">
        <v>177.49</v>
      </c>
      <c r="Z392" t="s">
        <v>5922</v>
      </c>
    </row>
    <row r="393" spans="1:26" x14ac:dyDescent="0.2">
      <c r="A393" t="s">
        <v>876</v>
      </c>
      <c r="B393" t="s">
        <v>900</v>
      </c>
      <c r="C393" t="s">
        <v>901</v>
      </c>
      <c r="D393" t="s">
        <v>98</v>
      </c>
      <c r="E393">
        <v>39.99</v>
      </c>
      <c r="F393" t="s">
        <v>5922</v>
      </c>
      <c r="G393">
        <v>34.99</v>
      </c>
      <c r="H393">
        <v>29.56</v>
      </c>
      <c r="L393" t="s">
        <v>5922</v>
      </c>
      <c r="U393">
        <v>24.34</v>
      </c>
      <c r="V393">
        <v>24.34</v>
      </c>
      <c r="W393">
        <v>27.82</v>
      </c>
      <c r="X393">
        <v>27.82</v>
      </c>
      <c r="Y393">
        <v>34.99</v>
      </c>
      <c r="Z393" t="s">
        <v>5922</v>
      </c>
    </row>
    <row r="394" spans="1:26" x14ac:dyDescent="0.2">
      <c r="A394" t="s">
        <v>876</v>
      </c>
      <c r="B394" t="s">
        <v>902</v>
      </c>
      <c r="C394" t="s">
        <v>903</v>
      </c>
      <c r="D394" t="s">
        <v>98</v>
      </c>
      <c r="E394">
        <v>49.99</v>
      </c>
      <c r="F394" t="s">
        <v>5922</v>
      </c>
      <c r="G394">
        <v>44.99</v>
      </c>
      <c r="H394">
        <v>36.950000000000003</v>
      </c>
      <c r="L394" t="s">
        <v>5922</v>
      </c>
      <c r="U394">
        <v>30.43</v>
      </c>
      <c r="V394">
        <v>30.43</v>
      </c>
      <c r="W394">
        <v>34.78</v>
      </c>
      <c r="X394">
        <v>34.78</v>
      </c>
      <c r="Y394">
        <v>44.99</v>
      </c>
      <c r="Z394" t="s">
        <v>5922</v>
      </c>
    </row>
    <row r="395" spans="1:26" x14ac:dyDescent="0.2">
      <c r="A395" t="s">
        <v>904</v>
      </c>
      <c r="B395" t="s">
        <v>905</v>
      </c>
      <c r="C395" t="s">
        <v>906</v>
      </c>
      <c r="D395" t="s">
        <v>98</v>
      </c>
      <c r="E395">
        <v>69.989999999999995</v>
      </c>
      <c r="F395" t="s">
        <v>5922</v>
      </c>
      <c r="G395">
        <v>69.989999999999995</v>
      </c>
      <c r="H395">
        <v>36.520000000000003</v>
      </c>
      <c r="I395">
        <v>39.56</v>
      </c>
      <c r="J395">
        <v>48.69</v>
      </c>
      <c r="K395">
        <v>48.69</v>
      </c>
      <c r="L395" t="s">
        <v>5922</v>
      </c>
      <c r="M395">
        <v>42.6</v>
      </c>
      <c r="N395">
        <v>45.65</v>
      </c>
      <c r="O395">
        <v>36.520000000000003</v>
      </c>
      <c r="P395">
        <v>36.520000000000003</v>
      </c>
      <c r="Q395">
        <v>36.520000000000003</v>
      </c>
      <c r="R395">
        <v>36.520000000000003</v>
      </c>
      <c r="S395">
        <v>45.65</v>
      </c>
      <c r="T395">
        <v>36.520000000000003</v>
      </c>
      <c r="U395">
        <v>42.6</v>
      </c>
      <c r="V395">
        <v>36.520000000000003</v>
      </c>
      <c r="W395">
        <v>45.65</v>
      </c>
      <c r="X395">
        <v>45.65</v>
      </c>
      <c r="Y395">
        <v>69.989999999999995</v>
      </c>
      <c r="Z395" t="s">
        <v>5922</v>
      </c>
    </row>
    <row r="396" spans="1:26" x14ac:dyDescent="0.2">
      <c r="A396" t="s">
        <v>909</v>
      </c>
      <c r="B396" t="s">
        <v>5950</v>
      </c>
      <c r="C396" t="s">
        <v>910</v>
      </c>
      <c r="D396" t="s">
        <v>98</v>
      </c>
      <c r="E396">
        <v>149</v>
      </c>
      <c r="F396" t="s">
        <v>5922</v>
      </c>
      <c r="G396">
        <v>89.4</v>
      </c>
      <c r="H396">
        <v>110.83</v>
      </c>
      <c r="I396">
        <v>139.1</v>
      </c>
      <c r="J396">
        <v>139.1</v>
      </c>
      <c r="L396" t="s">
        <v>5922</v>
      </c>
      <c r="R396">
        <v>173.87</v>
      </c>
      <c r="U396">
        <v>91.27</v>
      </c>
      <c r="V396">
        <v>100.93</v>
      </c>
      <c r="W396">
        <v>101.06</v>
      </c>
      <c r="X396">
        <v>97.17</v>
      </c>
      <c r="Y396">
        <v>149</v>
      </c>
      <c r="Z396" t="s">
        <v>5922</v>
      </c>
    </row>
    <row r="397" spans="1:26" x14ac:dyDescent="0.2">
      <c r="A397" t="s">
        <v>911</v>
      </c>
      <c r="B397" t="s">
        <v>912</v>
      </c>
      <c r="C397" t="s">
        <v>913</v>
      </c>
      <c r="D397" t="s">
        <v>98</v>
      </c>
      <c r="E397">
        <v>59.99</v>
      </c>
      <c r="F397" t="s">
        <v>5922</v>
      </c>
      <c r="G397">
        <v>41.99</v>
      </c>
      <c r="H397">
        <v>39.119999999999997</v>
      </c>
      <c r="I397">
        <v>41.73</v>
      </c>
      <c r="J397">
        <v>48.69</v>
      </c>
      <c r="K397">
        <v>45.91</v>
      </c>
      <c r="L397" t="s">
        <v>5922</v>
      </c>
      <c r="M397">
        <v>45.91</v>
      </c>
      <c r="N397">
        <v>43.82</v>
      </c>
      <c r="O397">
        <v>36.520000000000003</v>
      </c>
      <c r="P397">
        <v>39.119999999999997</v>
      </c>
      <c r="Q397">
        <v>36.520000000000003</v>
      </c>
      <c r="R397">
        <v>36.520000000000003</v>
      </c>
      <c r="S397">
        <v>41.73</v>
      </c>
      <c r="T397">
        <v>39.119999999999997</v>
      </c>
      <c r="U397">
        <v>45.65</v>
      </c>
      <c r="V397">
        <v>39.119999999999997</v>
      </c>
      <c r="W397">
        <v>46.95</v>
      </c>
      <c r="X397">
        <v>41.73</v>
      </c>
      <c r="Y397">
        <v>59.99</v>
      </c>
      <c r="Z397" t="s">
        <v>5922</v>
      </c>
    </row>
    <row r="398" spans="1:26" x14ac:dyDescent="0.2">
      <c r="A398" t="s">
        <v>911</v>
      </c>
      <c r="B398" t="s">
        <v>914</v>
      </c>
      <c r="C398" t="s">
        <v>915</v>
      </c>
      <c r="D398" t="s">
        <v>105</v>
      </c>
      <c r="E398">
        <v>59.99</v>
      </c>
      <c r="F398" t="s">
        <v>6889</v>
      </c>
      <c r="G398">
        <v>59.99</v>
      </c>
      <c r="H398">
        <v>39.119999999999997</v>
      </c>
      <c r="I398">
        <v>36.520000000000003</v>
      </c>
      <c r="K398">
        <v>45.91</v>
      </c>
      <c r="L398" t="s">
        <v>5922</v>
      </c>
      <c r="M398">
        <v>45.91</v>
      </c>
      <c r="N398">
        <v>43.82</v>
      </c>
      <c r="O398">
        <v>36.520000000000003</v>
      </c>
      <c r="P398">
        <v>39.119999999999997</v>
      </c>
      <c r="Q398">
        <v>36.520000000000003</v>
      </c>
      <c r="R398">
        <v>36.520000000000003</v>
      </c>
      <c r="S398">
        <v>41.73</v>
      </c>
      <c r="T398">
        <v>33.909999999999997</v>
      </c>
      <c r="U398">
        <v>48.69</v>
      </c>
      <c r="V398">
        <v>39.119999999999997</v>
      </c>
      <c r="W398">
        <v>46.95</v>
      </c>
      <c r="X398">
        <v>41.73</v>
      </c>
      <c r="Y398">
        <v>59.99</v>
      </c>
      <c r="Z398" t="s">
        <v>5922</v>
      </c>
    </row>
    <row r="399" spans="1:26" x14ac:dyDescent="0.2">
      <c r="A399" t="s">
        <v>911</v>
      </c>
      <c r="B399" t="s">
        <v>916</v>
      </c>
      <c r="C399" t="s">
        <v>917</v>
      </c>
      <c r="D399" t="s">
        <v>98</v>
      </c>
      <c r="E399">
        <v>89.99</v>
      </c>
      <c r="F399" t="s">
        <v>6914</v>
      </c>
      <c r="G399">
        <v>89.99</v>
      </c>
      <c r="H399">
        <v>58.69</v>
      </c>
      <c r="K399">
        <v>68.86</v>
      </c>
      <c r="L399" t="s">
        <v>5922</v>
      </c>
      <c r="M399">
        <v>68.86</v>
      </c>
      <c r="N399">
        <v>65.73</v>
      </c>
      <c r="O399">
        <v>54.78</v>
      </c>
      <c r="P399">
        <v>58.69</v>
      </c>
      <c r="Q399">
        <v>54.78</v>
      </c>
      <c r="R399">
        <v>54.78</v>
      </c>
      <c r="S399">
        <v>62.6</v>
      </c>
      <c r="T399">
        <v>58.69</v>
      </c>
      <c r="U399">
        <v>66.510000000000005</v>
      </c>
      <c r="V399">
        <v>58.69</v>
      </c>
      <c r="W399">
        <v>70.430000000000007</v>
      </c>
      <c r="X399">
        <v>62.6</v>
      </c>
      <c r="Y399">
        <v>89.99</v>
      </c>
      <c r="Z399" t="s">
        <v>5922</v>
      </c>
    </row>
    <row r="400" spans="1:26" x14ac:dyDescent="0.2">
      <c r="A400" t="s">
        <v>911</v>
      </c>
      <c r="B400" t="s">
        <v>918</v>
      </c>
      <c r="C400" t="s">
        <v>919</v>
      </c>
      <c r="D400" t="s">
        <v>138</v>
      </c>
      <c r="E400">
        <v>59.99</v>
      </c>
      <c r="F400" t="s">
        <v>6889</v>
      </c>
      <c r="G400">
        <v>59.99</v>
      </c>
      <c r="H400">
        <v>39.119999999999997</v>
      </c>
      <c r="I400">
        <v>48.69</v>
      </c>
      <c r="J400">
        <v>48.69</v>
      </c>
      <c r="K400">
        <v>45.91</v>
      </c>
      <c r="L400" t="s">
        <v>5922</v>
      </c>
      <c r="M400">
        <v>45.91</v>
      </c>
      <c r="N400">
        <v>43.82</v>
      </c>
      <c r="O400">
        <v>36.520000000000003</v>
      </c>
      <c r="P400">
        <v>39.119999999999997</v>
      </c>
      <c r="Q400">
        <v>36.520000000000003</v>
      </c>
      <c r="R400">
        <v>36.520000000000003</v>
      </c>
      <c r="S400">
        <v>41.73</v>
      </c>
      <c r="T400">
        <v>39.119999999999997</v>
      </c>
      <c r="U400">
        <v>45.65</v>
      </c>
      <c r="V400">
        <v>45.65</v>
      </c>
      <c r="W400">
        <v>46.95</v>
      </c>
      <c r="X400">
        <v>41.73</v>
      </c>
      <c r="Y400">
        <v>59.99</v>
      </c>
      <c r="Z400" t="s">
        <v>5922</v>
      </c>
    </row>
    <row r="401" spans="1:26" x14ac:dyDescent="0.2">
      <c r="A401" t="s">
        <v>911</v>
      </c>
      <c r="B401" t="s">
        <v>920</v>
      </c>
      <c r="C401" t="s">
        <v>921</v>
      </c>
      <c r="D401" t="s">
        <v>98</v>
      </c>
      <c r="E401">
        <v>89.99</v>
      </c>
      <c r="F401" t="s">
        <v>6914</v>
      </c>
      <c r="G401">
        <v>89.99</v>
      </c>
      <c r="H401">
        <v>58.69</v>
      </c>
      <c r="I401">
        <v>62.6</v>
      </c>
      <c r="J401">
        <v>62.6</v>
      </c>
      <c r="K401">
        <v>68.86</v>
      </c>
      <c r="L401" t="s">
        <v>5922</v>
      </c>
      <c r="M401">
        <v>68.86</v>
      </c>
      <c r="N401">
        <v>65.73</v>
      </c>
      <c r="O401">
        <v>54.78</v>
      </c>
      <c r="P401">
        <v>58.69</v>
      </c>
      <c r="Q401">
        <v>54.78</v>
      </c>
      <c r="R401">
        <v>54.78</v>
      </c>
      <c r="S401">
        <v>62.6</v>
      </c>
      <c r="T401">
        <v>58.69</v>
      </c>
      <c r="U401">
        <v>65.209999999999994</v>
      </c>
      <c r="V401">
        <v>58.69</v>
      </c>
      <c r="W401">
        <v>70.430000000000007</v>
      </c>
      <c r="X401">
        <v>62.6</v>
      </c>
      <c r="Y401">
        <v>89.99</v>
      </c>
      <c r="Z401" t="s">
        <v>5922</v>
      </c>
    </row>
    <row r="402" spans="1:26" x14ac:dyDescent="0.2">
      <c r="A402" t="s">
        <v>911</v>
      </c>
      <c r="B402" t="s">
        <v>922</v>
      </c>
      <c r="C402" t="s">
        <v>923</v>
      </c>
      <c r="D402" t="s">
        <v>105</v>
      </c>
      <c r="E402">
        <v>69.989999999999995</v>
      </c>
      <c r="F402" t="s">
        <v>7053</v>
      </c>
      <c r="H402">
        <v>42.6</v>
      </c>
      <c r="I402">
        <v>42.6</v>
      </c>
      <c r="J402">
        <v>42.6</v>
      </c>
      <c r="L402" t="s">
        <v>5922</v>
      </c>
      <c r="M402">
        <v>50.51</v>
      </c>
      <c r="N402">
        <v>48.69</v>
      </c>
      <c r="P402">
        <v>45.65</v>
      </c>
      <c r="R402">
        <v>40.9</v>
      </c>
      <c r="S402">
        <v>48.69</v>
      </c>
      <c r="U402">
        <v>42.6</v>
      </c>
      <c r="Z402" t="s">
        <v>5922</v>
      </c>
    </row>
    <row r="403" spans="1:26" x14ac:dyDescent="0.2">
      <c r="A403" t="s">
        <v>911</v>
      </c>
      <c r="B403" t="s">
        <v>924</v>
      </c>
      <c r="C403" t="s">
        <v>925</v>
      </c>
      <c r="D403" t="s">
        <v>105</v>
      </c>
      <c r="E403">
        <v>119.99</v>
      </c>
      <c r="F403" t="s">
        <v>7054</v>
      </c>
      <c r="H403">
        <v>73.040000000000006</v>
      </c>
      <c r="I403">
        <v>73.040000000000006</v>
      </c>
      <c r="J403">
        <v>73.040000000000006</v>
      </c>
      <c r="L403" t="s">
        <v>5922</v>
      </c>
      <c r="M403">
        <v>86.6</v>
      </c>
      <c r="N403">
        <v>83.47</v>
      </c>
      <c r="P403">
        <v>78.260000000000005</v>
      </c>
      <c r="R403">
        <v>70.12</v>
      </c>
      <c r="S403">
        <v>83.47</v>
      </c>
      <c r="U403">
        <v>73.040000000000006</v>
      </c>
      <c r="Z403" t="s">
        <v>5922</v>
      </c>
    </row>
    <row r="404" spans="1:26" x14ac:dyDescent="0.2">
      <c r="A404" t="s">
        <v>911</v>
      </c>
      <c r="B404" t="s">
        <v>926</v>
      </c>
      <c r="C404" t="s">
        <v>927</v>
      </c>
      <c r="D404" t="s">
        <v>105</v>
      </c>
      <c r="E404">
        <v>69.989999999999995</v>
      </c>
      <c r="F404" t="s">
        <v>7053</v>
      </c>
      <c r="H404">
        <v>42.6</v>
      </c>
      <c r="I404">
        <v>42.6</v>
      </c>
      <c r="J404">
        <v>42.6</v>
      </c>
      <c r="L404" t="s">
        <v>5922</v>
      </c>
      <c r="M404">
        <v>50.51</v>
      </c>
      <c r="N404">
        <v>48.69</v>
      </c>
      <c r="P404">
        <v>45.65</v>
      </c>
      <c r="R404">
        <v>40.9</v>
      </c>
      <c r="S404">
        <v>48.69</v>
      </c>
      <c r="U404">
        <v>42.6</v>
      </c>
      <c r="Z404" t="s">
        <v>5922</v>
      </c>
    </row>
    <row r="405" spans="1:26" x14ac:dyDescent="0.2">
      <c r="A405" t="s">
        <v>911</v>
      </c>
      <c r="B405" t="s">
        <v>928</v>
      </c>
      <c r="C405" t="s">
        <v>929</v>
      </c>
      <c r="D405" t="s">
        <v>105</v>
      </c>
      <c r="E405">
        <v>69.989999999999995</v>
      </c>
      <c r="F405" t="s">
        <v>7053</v>
      </c>
      <c r="H405">
        <v>42.6</v>
      </c>
      <c r="I405">
        <v>42.6</v>
      </c>
      <c r="J405">
        <v>42.6</v>
      </c>
      <c r="L405" t="s">
        <v>5922</v>
      </c>
      <c r="M405">
        <v>50.51</v>
      </c>
      <c r="N405">
        <v>48.69</v>
      </c>
      <c r="P405">
        <v>45.65</v>
      </c>
      <c r="R405">
        <v>40.9</v>
      </c>
      <c r="S405">
        <v>48.69</v>
      </c>
      <c r="U405">
        <v>42.6</v>
      </c>
      <c r="Z405" t="s">
        <v>5922</v>
      </c>
    </row>
    <row r="406" spans="1:26" x14ac:dyDescent="0.2">
      <c r="A406" t="s">
        <v>911</v>
      </c>
      <c r="B406" t="s">
        <v>930</v>
      </c>
      <c r="C406" t="s">
        <v>931</v>
      </c>
      <c r="D406" t="s">
        <v>105</v>
      </c>
      <c r="E406">
        <v>69.989999999999995</v>
      </c>
      <c r="F406" t="s">
        <v>7053</v>
      </c>
      <c r="H406">
        <v>42.6</v>
      </c>
      <c r="I406">
        <v>42.6</v>
      </c>
      <c r="J406">
        <v>42.6</v>
      </c>
      <c r="L406" t="s">
        <v>5922</v>
      </c>
      <c r="M406">
        <v>50.51</v>
      </c>
      <c r="N406">
        <v>48.69</v>
      </c>
      <c r="P406">
        <v>45.65</v>
      </c>
      <c r="R406">
        <v>40.9</v>
      </c>
      <c r="S406">
        <v>48.69</v>
      </c>
      <c r="U406">
        <v>42.6</v>
      </c>
      <c r="Z406" t="s">
        <v>5922</v>
      </c>
    </row>
    <row r="407" spans="1:26" x14ac:dyDescent="0.2">
      <c r="A407" t="s">
        <v>911</v>
      </c>
      <c r="B407" t="s">
        <v>932</v>
      </c>
      <c r="C407" t="s">
        <v>933</v>
      </c>
      <c r="D407" t="s">
        <v>105</v>
      </c>
      <c r="E407">
        <v>69.989999999999995</v>
      </c>
      <c r="F407" t="s">
        <v>7053</v>
      </c>
      <c r="H407">
        <v>42.6</v>
      </c>
      <c r="I407">
        <v>42.6</v>
      </c>
      <c r="J407">
        <v>42.6</v>
      </c>
      <c r="L407" t="s">
        <v>5922</v>
      </c>
      <c r="M407">
        <v>50.51</v>
      </c>
      <c r="N407">
        <v>48.69</v>
      </c>
      <c r="P407">
        <v>45.65</v>
      </c>
      <c r="R407">
        <v>40.9</v>
      </c>
      <c r="S407">
        <v>48.69</v>
      </c>
      <c r="U407">
        <v>42.6</v>
      </c>
      <c r="Z407" t="s">
        <v>5922</v>
      </c>
    </row>
    <row r="408" spans="1:26" x14ac:dyDescent="0.2">
      <c r="A408" t="s">
        <v>911</v>
      </c>
      <c r="B408" t="s">
        <v>934</v>
      </c>
      <c r="C408" t="s">
        <v>935</v>
      </c>
      <c r="D408" t="s">
        <v>105</v>
      </c>
      <c r="E408">
        <v>69.989999999999995</v>
      </c>
      <c r="F408" t="s">
        <v>7053</v>
      </c>
      <c r="H408">
        <v>42.6</v>
      </c>
      <c r="I408">
        <v>42.6</v>
      </c>
      <c r="J408">
        <v>42.6</v>
      </c>
      <c r="L408" t="s">
        <v>5922</v>
      </c>
      <c r="M408">
        <v>50.51</v>
      </c>
      <c r="N408">
        <v>48.69</v>
      </c>
      <c r="P408">
        <v>45.65</v>
      </c>
      <c r="R408">
        <v>40.9</v>
      </c>
      <c r="S408">
        <v>48.69</v>
      </c>
      <c r="U408">
        <v>42.6</v>
      </c>
      <c r="Z408" t="s">
        <v>5922</v>
      </c>
    </row>
    <row r="409" spans="1:26" x14ac:dyDescent="0.2">
      <c r="A409" t="s">
        <v>911</v>
      </c>
      <c r="B409" t="s">
        <v>936</v>
      </c>
      <c r="C409" t="s">
        <v>937</v>
      </c>
      <c r="D409" t="s">
        <v>105</v>
      </c>
      <c r="E409">
        <v>69.989999999999995</v>
      </c>
      <c r="F409" t="s">
        <v>7053</v>
      </c>
      <c r="H409">
        <v>42.6</v>
      </c>
      <c r="I409">
        <v>42.6</v>
      </c>
      <c r="J409">
        <v>42.6</v>
      </c>
      <c r="L409" t="s">
        <v>5922</v>
      </c>
      <c r="M409">
        <v>50.51</v>
      </c>
      <c r="N409">
        <v>48.69</v>
      </c>
      <c r="P409">
        <v>45.65</v>
      </c>
      <c r="R409">
        <v>40.9</v>
      </c>
      <c r="S409">
        <v>48.69</v>
      </c>
      <c r="U409">
        <v>42.6</v>
      </c>
      <c r="Z409" t="s">
        <v>5922</v>
      </c>
    </row>
    <row r="410" spans="1:26" x14ac:dyDescent="0.2">
      <c r="A410" t="s">
        <v>911</v>
      </c>
      <c r="B410" t="s">
        <v>938</v>
      </c>
      <c r="C410" t="s">
        <v>939</v>
      </c>
      <c r="D410" t="s">
        <v>98</v>
      </c>
      <c r="E410">
        <v>219.99</v>
      </c>
      <c r="F410" t="s">
        <v>7055</v>
      </c>
      <c r="H410">
        <v>133.91</v>
      </c>
      <c r="I410">
        <v>133.91</v>
      </c>
      <c r="J410">
        <v>133.91</v>
      </c>
      <c r="L410" t="s">
        <v>5922</v>
      </c>
      <c r="M410">
        <v>158.78</v>
      </c>
      <c r="N410">
        <v>153.04</v>
      </c>
      <c r="P410">
        <v>143.47999999999999</v>
      </c>
      <c r="R410">
        <v>128.55000000000001</v>
      </c>
      <c r="S410">
        <v>153.04</v>
      </c>
      <c r="U410">
        <v>133.91</v>
      </c>
      <c r="Z410" t="s">
        <v>5922</v>
      </c>
    </row>
    <row r="411" spans="1:26" x14ac:dyDescent="0.2">
      <c r="A411" t="s">
        <v>911</v>
      </c>
      <c r="B411" t="s">
        <v>940</v>
      </c>
      <c r="C411" t="s">
        <v>941</v>
      </c>
      <c r="D411" t="s">
        <v>98</v>
      </c>
      <c r="E411">
        <v>219.99</v>
      </c>
      <c r="F411" t="s">
        <v>7055</v>
      </c>
      <c r="H411">
        <v>133.91</v>
      </c>
      <c r="I411">
        <v>133.91</v>
      </c>
      <c r="J411">
        <v>133.91</v>
      </c>
      <c r="L411" t="s">
        <v>5922</v>
      </c>
      <c r="M411">
        <v>158.78</v>
      </c>
      <c r="N411">
        <v>153.04</v>
      </c>
      <c r="P411">
        <v>143.47999999999999</v>
      </c>
      <c r="R411">
        <v>128.55000000000001</v>
      </c>
      <c r="S411">
        <v>153.04</v>
      </c>
      <c r="U411">
        <v>133.91</v>
      </c>
      <c r="Z411" t="s">
        <v>5922</v>
      </c>
    </row>
    <row r="412" spans="1:26" x14ac:dyDescent="0.2">
      <c r="A412" t="s">
        <v>911</v>
      </c>
      <c r="B412" t="s">
        <v>942</v>
      </c>
      <c r="C412" t="s">
        <v>943</v>
      </c>
      <c r="D412" t="s">
        <v>98</v>
      </c>
      <c r="E412">
        <v>49.99</v>
      </c>
      <c r="F412" t="s">
        <v>5922</v>
      </c>
      <c r="G412">
        <v>49.99</v>
      </c>
      <c r="H412">
        <v>26.08</v>
      </c>
      <c r="I412">
        <v>26.08</v>
      </c>
      <c r="J412">
        <v>34.78</v>
      </c>
      <c r="K412">
        <v>30.43</v>
      </c>
      <c r="L412" t="s">
        <v>5922</v>
      </c>
      <c r="M412">
        <v>32.6</v>
      </c>
      <c r="N412">
        <v>33.47</v>
      </c>
      <c r="O412">
        <v>26.08</v>
      </c>
      <c r="P412">
        <v>27.39</v>
      </c>
      <c r="Q412">
        <v>26.08</v>
      </c>
      <c r="R412">
        <v>26.08</v>
      </c>
      <c r="S412">
        <v>34.78</v>
      </c>
      <c r="T412">
        <v>26.08</v>
      </c>
      <c r="U412">
        <v>30.43</v>
      </c>
      <c r="V412">
        <v>26.08</v>
      </c>
      <c r="W412">
        <v>32.6</v>
      </c>
      <c r="X412">
        <v>30.43</v>
      </c>
      <c r="Y412">
        <v>49.99</v>
      </c>
      <c r="Z412" t="s">
        <v>5922</v>
      </c>
    </row>
    <row r="413" spans="1:26" x14ac:dyDescent="0.2">
      <c r="A413" t="s">
        <v>911</v>
      </c>
      <c r="B413" t="s">
        <v>944</v>
      </c>
      <c r="C413" t="s">
        <v>945</v>
      </c>
      <c r="D413" t="s">
        <v>98</v>
      </c>
      <c r="E413">
        <v>49.99</v>
      </c>
      <c r="F413" t="s">
        <v>5922</v>
      </c>
      <c r="G413">
        <v>49.99</v>
      </c>
      <c r="L413" t="s">
        <v>5922</v>
      </c>
      <c r="S413">
        <v>34.78</v>
      </c>
      <c r="Z413" t="s">
        <v>5922</v>
      </c>
    </row>
    <row r="414" spans="1:26" x14ac:dyDescent="0.2">
      <c r="A414" t="s">
        <v>911</v>
      </c>
      <c r="B414" t="s">
        <v>946</v>
      </c>
      <c r="C414" t="s">
        <v>947</v>
      </c>
      <c r="D414" t="s">
        <v>98</v>
      </c>
      <c r="E414">
        <v>49.99</v>
      </c>
      <c r="F414" t="s">
        <v>5922</v>
      </c>
      <c r="G414">
        <v>49.99</v>
      </c>
      <c r="L414" t="s">
        <v>5922</v>
      </c>
      <c r="S414">
        <v>34.78</v>
      </c>
      <c r="Z414" t="s">
        <v>5922</v>
      </c>
    </row>
    <row r="415" spans="1:26" x14ac:dyDescent="0.2">
      <c r="A415" t="s">
        <v>911</v>
      </c>
      <c r="B415" t="s">
        <v>948</v>
      </c>
      <c r="C415" t="s">
        <v>949</v>
      </c>
      <c r="D415" t="s">
        <v>98</v>
      </c>
      <c r="E415">
        <v>49.99</v>
      </c>
      <c r="F415" t="s">
        <v>5922</v>
      </c>
      <c r="G415">
        <v>49.99</v>
      </c>
      <c r="L415" t="s">
        <v>5922</v>
      </c>
      <c r="S415">
        <v>34.78</v>
      </c>
      <c r="Z415" t="s">
        <v>5922</v>
      </c>
    </row>
    <row r="416" spans="1:26" x14ac:dyDescent="0.2">
      <c r="A416" t="s">
        <v>911</v>
      </c>
      <c r="B416" t="s">
        <v>950</v>
      </c>
      <c r="C416" t="s">
        <v>951</v>
      </c>
      <c r="D416" t="s">
        <v>138</v>
      </c>
      <c r="E416">
        <v>49.99</v>
      </c>
      <c r="F416" t="s">
        <v>6969</v>
      </c>
      <c r="G416">
        <v>49.99</v>
      </c>
      <c r="H416">
        <v>32.6</v>
      </c>
      <c r="I416">
        <v>36.950000000000003</v>
      </c>
      <c r="J416">
        <v>36.950000000000003</v>
      </c>
      <c r="K416">
        <v>38.25</v>
      </c>
      <c r="L416" t="s">
        <v>5922</v>
      </c>
      <c r="M416">
        <v>38.25</v>
      </c>
      <c r="N416">
        <v>36.51</v>
      </c>
      <c r="O416">
        <v>30.43</v>
      </c>
      <c r="P416">
        <v>32.6</v>
      </c>
      <c r="Q416">
        <v>30.43</v>
      </c>
      <c r="R416">
        <v>30.43</v>
      </c>
      <c r="S416">
        <v>34.78</v>
      </c>
      <c r="T416">
        <v>32.6</v>
      </c>
      <c r="U416">
        <v>41.73</v>
      </c>
      <c r="V416">
        <v>32.6</v>
      </c>
      <c r="W416">
        <v>0</v>
      </c>
      <c r="X416">
        <v>34.78</v>
      </c>
      <c r="Y416">
        <v>49.99</v>
      </c>
      <c r="Z416" t="s">
        <v>5922</v>
      </c>
    </row>
    <row r="417" spans="1:26" x14ac:dyDescent="0.2">
      <c r="A417" t="s">
        <v>911</v>
      </c>
      <c r="B417" t="s">
        <v>952</v>
      </c>
      <c r="C417" t="s">
        <v>953</v>
      </c>
      <c r="D417" t="s">
        <v>105</v>
      </c>
      <c r="E417">
        <v>169.99</v>
      </c>
      <c r="F417" t="s">
        <v>6888</v>
      </c>
      <c r="G417">
        <v>169.99</v>
      </c>
      <c r="H417">
        <v>110.86</v>
      </c>
      <c r="I417">
        <v>103.47</v>
      </c>
      <c r="K417">
        <v>130.08000000000001</v>
      </c>
      <c r="L417" t="s">
        <v>5922</v>
      </c>
      <c r="M417">
        <v>130.08000000000001</v>
      </c>
      <c r="N417">
        <v>124.17</v>
      </c>
      <c r="O417">
        <v>103.47</v>
      </c>
      <c r="P417">
        <v>110.86</v>
      </c>
      <c r="Q417">
        <v>103.47</v>
      </c>
      <c r="R417">
        <v>103.47</v>
      </c>
      <c r="S417">
        <v>118.25</v>
      </c>
      <c r="T417">
        <v>110.86</v>
      </c>
      <c r="U417">
        <v>125.21</v>
      </c>
      <c r="V417">
        <v>110.86</v>
      </c>
      <c r="W417">
        <v>133.04</v>
      </c>
      <c r="X417">
        <v>118.25</v>
      </c>
      <c r="Y417">
        <v>169.99</v>
      </c>
      <c r="Z417" t="s">
        <v>5922</v>
      </c>
    </row>
    <row r="418" spans="1:26" x14ac:dyDescent="0.2">
      <c r="A418" t="s">
        <v>911</v>
      </c>
      <c r="B418" t="s">
        <v>954</v>
      </c>
      <c r="C418" t="s">
        <v>955</v>
      </c>
      <c r="D418" t="s">
        <v>98</v>
      </c>
      <c r="E418">
        <v>49.99</v>
      </c>
      <c r="F418" t="s">
        <v>6969</v>
      </c>
      <c r="G418">
        <v>49.99</v>
      </c>
      <c r="H418">
        <v>32.6</v>
      </c>
      <c r="I418">
        <v>36.950000000000003</v>
      </c>
      <c r="J418">
        <v>36.950000000000003</v>
      </c>
      <c r="K418">
        <v>38.25</v>
      </c>
      <c r="L418" t="s">
        <v>5922</v>
      </c>
      <c r="M418">
        <v>38.25</v>
      </c>
      <c r="N418">
        <v>36.51</v>
      </c>
      <c r="O418">
        <v>30.43</v>
      </c>
      <c r="P418">
        <v>32.6</v>
      </c>
      <c r="Q418">
        <v>30.43</v>
      </c>
      <c r="R418">
        <v>30.43</v>
      </c>
      <c r="S418">
        <v>34.78</v>
      </c>
      <c r="T418">
        <v>32.6</v>
      </c>
      <c r="U418">
        <v>39.119999999999997</v>
      </c>
      <c r="V418">
        <v>35.86</v>
      </c>
      <c r="W418">
        <v>43.99</v>
      </c>
      <c r="X418">
        <v>38.25</v>
      </c>
      <c r="Y418">
        <v>49.99</v>
      </c>
      <c r="Z418" t="s">
        <v>5922</v>
      </c>
    </row>
    <row r="419" spans="1:26" x14ac:dyDescent="0.2">
      <c r="A419" t="s">
        <v>911</v>
      </c>
      <c r="B419" t="s">
        <v>956</v>
      </c>
      <c r="C419" t="s">
        <v>957</v>
      </c>
      <c r="D419" t="s">
        <v>105</v>
      </c>
      <c r="E419">
        <v>89.99</v>
      </c>
      <c r="F419" t="s">
        <v>6914</v>
      </c>
      <c r="G419">
        <v>89.99</v>
      </c>
      <c r="H419">
        <v>58.69</v>
      </c>
      <c r="I419">
        <v>62.6</v>
      </c>
      <c r="K419">
        <v>68.86</v>
      </c>
      <c r="L419" t="s">
        <v>5922</v>
      </c>
      <c r="M419">
        <v>68.86</v>
      </c>
      <c r="N419">
        <v>65.73</v>
      </c>
      <c r="O419">
        <v>54.78</v>
      </c>
      <c r="P419">
        <v>58.69</v>
      </c>
      <c r="Q419">
        <v>54.78</v>
      </c>
      <c r="R419">
        <v>54.78</v>
      </c>
      <c r="S419">
        <v>62.6</v>
      </c>
      <c r="T419">
        <v>58.69</v>
      </c>
      <c r="U419">
        <v>65.209999999999994</v>
      </c>
      <c r="V419">
        <v>58.69</v>
      </c>
      <c r="W419">
        <v>70.430000000000007</v>
      </c>
      <c r="X419">
        <v>62.6</v>
      </c>
      <c r="Y419">
        <v>89.99</v>
      </c>
      <c r="Z419" t="s">
        <v>5922</v>
      </c>
    </row>
    <row r="420" spans="1:26" x14ac:dyDescent="0.2">
      <c r="A420" t="s">
        <v>911</v>
      </c>
      <c r="B420" t="s">
        <v>958</v>
      </c>
      <c r="C420" t="s">
        <v>959</v>
      </c>
      <c r="D420" t="s">
        <v>138</v>
      </c>
      <c r="E420">
        <v>169.99</v>
      </c>
      <c r="F420" t="s">
        <v>6888</v>
      </c>
      <c r="G420">
        <v>169.99</v>
      </c>
      <c r="H420">
        <v>110.86</v>
      </c>
      <c r="I420">
        <v>118.25</v>
      </c>
      <c r="J420">
        <v>111.3</v>
      </c>
      <c r="K420">
        <v>130.08000000000001</v>
      </c>
      <c r="L420" t="s">
        <v>5922</v>
      </c>
      <c r="M420">
        <v>130.08000000000001</v>
      </c>
      <c r="N420">
        <v>124.17</v>
      </c>
      <c r="O420">
        <v>103.47</v>
      </c>
      <c r="P420">
        <v>110.86</v>
      </c>
      <c r="Q420">
        <v>103.47</v>
      </c>
      <c r="R420">
        <v>103.47</v>
      </c>
      <c r="S420">
        <v>118.25</v>
      </c>
      <c r="T420">
        <v>110.86</v>
      </c>
      <c r="U420">
        <v>117.38</v>
      </c>
      <c r="V420">
        <v>110.86</v>
      </c>
      <c r="W420">
        <v>133.04</v>
      </c>
      <c r="X420">
        <v>118.25</v>
      </c>
      <c r="Y420">
        <v>169.99</v>
      </c>
      <c r="Z420" t="s">
        <v>5922</v>
      </c>
    </row>
    <row r="421" spans="1:26" x14ac:dyDescent="0.2">
      <c r="A421" t="s">
        <v>911</v>
      </c>
      <c r="B421" t="s">
        <v>960</v>
      </c>
      <c r="C421" t="s">
        <v>961</v>
      </c>
      <c r="D421" t="s">
        <v>105</v>
      </c>
      <c r="F421" t="s">
        <v>5922</v>
      </c>
      <c r="L421" t="s">
        <v>5922</v>
      </c>
      <c r="Z421" t="s">
        <v>5922</v>
      </c>
    </row>
    <row r="422" spans="1:26" x14ac:dyDescent="0.2">
      <c r="A422" t="s">
        <v>911</v>
      </c>
      <c r="B422" t="s">
        <v>962</v>
      </c>
      <c r="C422" t="s">
        <v>963</v>
      </c>
      <c r="D422" t="s">
        <v>105</v>
      </c>
      <c r="E422">
        <v>169.99</v>
      </c>
      <c r="F422" t="s">
        <v>6888</v>
      </c>
      <c r="H422">
        <v>110.86</v>
      </c>
      <c r="I422">
        <v>103.47</v>
      </c>
      <c r="L422" t="s">
        <v>5922</v>
      </c>
      <c r="S422">
        <v>110.86</v>
      </c>
      <c r="V422">
        <v>110.86</v>
      </c>
      <c r="Z422" t="s">
        <v>5922</v>
      </c>
    </row>
    <row r="423" spans="1:26" x14ac:dyDescent="0.2">
      <c r="A423" t="s">
        <v>911</v>
      </c>
      <c r="B423" t="s">
        <v>964</v>
      </c>
      <c r="C423" t="s">
        <v>965</v>
      </c>
      <c r="D423" t="s">
        <v>105</v>
      </c>
      <c r="E423">
        <v>49.99</v>
      </c>
      <c r="F423" t="s">
        <v>6969</v>
      </c>
      <c r="H423">
        <v>32.6</v>
      </c>
      <c r="I423">
        <v>30.43</v>
      </c>
      <c r="L423" t="s">
        <v>5922</v>
      </c>
      <c r="S423">
        <v>32.6</v>
      </c>
      <c r="V423">
        <v>32.6</v>
      </c>
      <c r="Z423" t="s">
        <v>5922</v>
      </c>
    </row>
    <row r="424" spans="1:26" x14ac:dyDescent="0.2">
      <c r="A424" t="s">
        <v>911</v>
      </c>
      <c r="B424" t="s">
        <v>966</v>
      </c>
      <c r="C424" t="s">
        <v>967</v>
      </c>
      <c r="D424" t="s">
        <v>105</v>
      </c>
      <c r="E424">
        <v>49.99</v>
      </c>
      <c r="F424" t="s">
        <v>6969</v>
      </c>
      <c r="H424">
        <v>30.43</v>
      </c>
      <c r="I424">
        <v>30.43</v>
      </c>
      <c r="J424">
        <v>30.43</v>
      </c>
      <c r="L424" t="s">
        <v>5922</v>
      </c>
      <c r="M424">
        <v>34.78</v>
      </c>
      <c r="N424">
        <v>34.78</v>
      </c>
      <c r="P424">
        <v>31.3</v>
      </c>
      <c r="Q424">
        <v>28.86</v>
      </c>
      <c r="R424">
        <v>27.39</v>
      </c>
      <c r="S424">
        <v>32.6</v>
      </c>
      <c r="U424">
        <v>30.43</v>
      </c>
      <c r="Z424" t="s">
        <v>5922</v>
      </c>
    </row>
    <row r="425" spans="1:26" x14ac:dyDescent="0.2">
      <c r="A425" t="s">
        <v>911</v>
      </c>
      <c r="B425" t="s">
        <v>968</v>
      </c>
      <c r="C425" t="s">
        <v>969</v>
      </c>
      <c r="D425" t="s">
        <v>105</v>
      </c>
      <c r="E425">
        <v>49.99</v>
      </c>
      <c r="F425" t="s">
        <v>6969</v>
      </c>
      <c r="H425">
        <v>32.6</v>
      </c>
      <c r="I425">
        <v>30.43</v>
      </c>
      <c r="L425" t="s">
        <v>5922</v>
      </c>
      <c r="S425">
        <v>32.6</v>
      </c>
      <c r="V425">
        <v>32.6</v>
      </c>
      <c r="Z425" t="s">
        <v>5922</v>
      </c>
    </row>
    <row r="426" spans="1:26" x14ac:dyDescent="0.2">
      <c r="A426" t="s">
        <v>911</v>
      </c>
      <c r="B426" t="s">
        <v>970</v>
      </c>
      <c r="C426" t="s">
        <v>971</v>
      </c>
      <c r="D426" t="s">
        <v>105</v>
      </c>
      <c r="E426">
        <v>49.99</v>
      </c>
      <c r="F426" t="s">
        <v>6969</v>
      </c>
      <c r="H426">
        <v>30.43</v>
      </c>
      <c r="I426">
        <v>30.43</v>
      </c>
      <c r="J426">
        <v>30.43</v>
      </c>
      <c r="L426" t="s">
        <v>5922</v>
      </c>
      <c r="M426">
        <v>34.78</v>
      </c>
      <c r="N426">
        <v>34.78</v>
      </c>
      <c r="P426">
        <v>32.6</v>
      </c>
      <c r="Q426">
        <v>28.86</v>
      </c>
      <c r="R426">
        <v>27.39</v>
      </c>
      <c r="S426">
        <v>32.6</v>
      </c>
      <c r="U426">
        <v>30.43</v>
      </c>
      <c r="Z426" t="s">
        <v>5922</v>
      </c>
    </row>
    <row r="427" spans="1:26" x14ac:dyDescent="0.2">
      <c r="A427" t="s">
        <v>911</v>
      </c>
      <c r="B427" t="s">
        <v>972</v>
      </c>
      <c r="C427" t="s">
        <v>973</v>
      </c>
      <c r="D427" t="s">
        <v>105</v>
      </c>
      <c r="E427">
        <v>49.99</v>
      </c>
      <c r="F427" t="s">
        <v>6969</v>
      </c>
      <c r="H427">
        <v>30.43</v>
      </c>
      <c r="I427">
        <v>30.43</v>
      </c>
      <c r="J427">
        <v>30.43</v>
      </c>
      <c r="L427" t="s">
        <v>5922</v>
      </c>
      <c r="M427">
        <v>34.78</v>
      </c>
      <c r="N427">
        <v>34.78</v>
      </c>
      <c r="P427">
        <v>32.6</v>
      </c>
      <c r="Q427">
        <v>28.86</v>
      </c>
      <c r="R427">
        <v>27.39</v>
      </c>
      <c r="S427">
        <v>32.6</v>
      </c>
      <c r="U427">
        <v>30.43</v>
      </c>
      <c r="Z427" t="s">
        <v>5922</v>
      </c>
    </row>
    <row r="428" spans="1:26" x14ac:dyDescent="0.2">
      <c r="A428" t="s">
        <v>911</v>
      </c>
      <c r="B428" t="s">
        <v>974</v>
      </c>
      <c r="C428" t="s">
        <v>975</v>
      </c>
      <c r="D428" t="s">
        <v>105</v>
      </c>
      <c r="E428">
        <v>49.99</v>
      </c>
      <c r="F428" t="s">
        <v>6969</v>
      </c>
      <c r="H428">
        <v>30.43</v>
      </c>
      <c r="I428">
        <v>30.43</v>
      </c>
      <c r="J428">
        <v>30.43</v>
      </c>
      <c r="L428" t="s">
        <v>5922</v>
      </c>
      <c r="M428">
        <v>34.78</v>
      </c>
      <c r="N428">
        <v>34.78</v>
      </c>
      <c r="P428">
        <v>32.6</v>
      </c>
      <c r="Q428">
        <v>28.86</v>
      </c>
      <c r="R428">
        <v>27.39</v>
      </c>
      <c r="S428">
        <v>32.6</v>
      </c>
      <c r="U428">
        <v>30.43</v>
      </c>
      <c r="Z428" t="s">
        <v>5922</v>
      </c>
    </row>
    <row r="429" spans="1:26" x14ac:dyDescent="0.2">
      <c r="A429" t="s">
        <v>976</v>
      </c>
      <c r="B429" t="s">
        <v>977</v>
      </c>
      <c r="C429" t="s">
        <v>978</v>
      </c>
      <c r="D429" t="s">
        <v>98</v>
      </c>
      <c r="E429">
        <v>3499.99</v>
      </c>
      <c r="F429" t="s">
        <v>5922</v>
      </c>
      <c r="G429">
        <v>3499.99</v>
      </c>
      <c r="H429">
        <v>2586.9499999999998</v>
      </c>
      <c r="I429">
        <v>2586.9499999999998</v>
      </c>
      <c r="J429">
        <v>2586.9499999999998</v>
      </c>
      <c r="K429">
        <v>2586.9499999999998</v>
      </c>
      <c r="L429" t="s">
        <v>5922</v>
      </c>
      <c r="M429">
        <v>3286.95</v>
      </c>
      <c r="N429">
        <v>3104.34</v>
      </c>
      <c r="O429">
        <v>2586.9499999999998</v>
      </c>
      <c r="P429">
        <v>2586.9499999999998</v>
      </c>
      <c r="Q429">
        <v>2586.9499999999998</v>
      </c>
      <c r="R429">
        <v>2586.9499999999998</v>
      </c>
      <c r="S429">
        <v>2982.6</v>
      </c>
      <c r="T429">
        <v>2586.9499999999998</v>
      </c>
      <c r="U429">
        <v>2586.9499999999998</v>
      </c>
      <c r="V429">
        <v>2586.9499999999998</v>
      </c>
      <c r="W429">
        <v>2586.9499999999998</v>
      </c>
      <c r="X429">
        <v>2617.38</v>
      </c>
      <c r="Y429">
        <v>3499.99</v>
      </c>
      <c r="Z429" t="s">
        <v>5922</v>
      </c>
    </row>
    <row r="430" spans="1:26" x14ac:dyDescent="0.2">
      <c r="A430" t="s">
        <v>976</v>
      </c>
      <c r="B430" t="s">
        <v>979</v>
      </c>
      <c r="C430" t="s">
        <v>980</v>
      </c>
      <c r="D430" t="s">
        <v>98</v>
      </c>
      <c r="E430">
        <v>119.99</v>
      </c>
      <c r="F430" t="s">
        <v>5922</v>
      </c>
      <c r="G430">
        <v>3499.99</v>
      </c>
      <c r="H430">
        <v>88.69</v>
      </c>
      <c r="I430">
        <v>88.69</v>
      </c>
      <c r="J430">
        <v>88.69</v>
      </c>
      <c r="K430">
        <v>88.69</v>
      </c>
      <c r="L430" t="s">
        <v>5922</v>
      </c>
      <c r="M430">
        <v>112.69</v>
      </c>
      <c r="N430">
        <v>106.43</v>
      </c>
      <c r="O430">
        <v>88.69</v>
      </c>
      <c r="P430">
        <v>88.69</v>
      </c>
      <c r="Q430">
        <v>88.69</v>
      </c>
      <c r="R430">
        <v>88.69</v>
      </c>
      <c r="S430">
        <v>102.25</v>
      </c>
      <c r="T430">
        <v>88.69</v>
      </c>
      <c r="U430">
        <v>88.69</v>
      </c>
      <c r="V430">
        <v>88.69</v>
      </c>
      <c r="W430">
        <v>88.69</v>
      </c>
      <c r="X430">
        <v>89.73</v>
      </c>
      <c r="Y430">
        <v>3499.99</v>
      </c>
      <c r="Z430" t="s">
        <v>5922</v>
      </c>
    </row>
    <row r="431" spans="1:26" x14ac:dyDescent="0.2">
      <c r="A431" t="s">
        <v>976</v>
      </c>
      <c r="B431" t="s">
        <v>981</v>
      </c>
      <c r="C431" t="s">
        <v>982</v>
      </c>
      <c r="D431" t="s">
        <v>98</v>
      </c>
      <c r="E431">
        <v>9.99</v>
      </c>
      <c r="F431" t="s">
        <v>5922</v>
      </c>
      <c r="G431">
        <v>3499.99</v>
      </c>
      <c r="H431">
        <v>7.38</v>
      </c>
      <c r="I431">
        <v>7.38</v>
      </c>
      <c r="J431">
        <v>7.38</v>
      </c>
      <c r="K431">
        <v>7.38</v>
      </c>
      <c r="L431" t="s">
        <v>5922</v>
      </c>
      <c r="M431">
        <v>9.3800000000000008</v>
      </c>
      <c r="N431">
        <v>8.86</v>
      </c>
      <c r="O431">
        <v>7.38</v>
      </c>
      <c r="P431">
        <v>7.38</v>
      </c>
      <c r="Q431">
        <v>7.38</v>
      </c>
      <c r="R431">
        <v>7.38</v>
      </c>
      <c r="S431">
        <v>8.51</v>
      </c>
      <c r="T431">
        <v>7.38</v>
      </c>
      <c r="U431">
        <v>7.38</v>
      </c>
      <c r="V431">
        <v>7.38</v>
      </c>
      <c r="W431">
        <v>7.38</v>
      </c>
      <c r="X431">
        <v>7.47</v>
      </c>
      <c r="Y431">
        <v>3499.99</v>
      </c>
      <c r="Z431" t="s">
        <v>5922</v>
      </c>
    </row>
    <row r="432" spans="1:26" x14ac:dyDescent="0.2">
      <c r="A432" t="s">
        <v>976</v>
      </c>
      <c r="B432" t="s">
        <v>983</v>
      </c>
      <c r="C432" t="s">
        <v>984</v>
      </c>
      <c r="D432" t="s">
        <v>98</v>
      </c>
      <c r="E432">
        <v>3499.99</v>
      </c>
      <c r="F432" t="s">
        <v>5922</v>
      </c>
      <c r="G432">
        <v>3499.99</v>
      </c>
      <c r="H432">
        <v>2586.9499999999998</v>
      </c>
      <c r="I432">
        <v>2586.9499999999998</v>
      </c>
      <c r="J432">
        <v>2586.9499999999998</v>
      </c>
      <c r="K432">
        <v>2586.9499999999998</v>
      </c>
      <c r="L432" t="s">
        <v>5922</v>
      </c>
      <c r="M432">
        <v>3286.95</v>
      </c>
      <c r="N432">
        <v>3104.34</v>
      </c>
      <c r="O432">
        <v>2586.9499999999998</v>
      </c>
      <c r="P432">
        <v>2586.9499999999998</v>
      </c>
      <c r="Q432">
        <v>2586.9499999999998</v>
      </c>
      <c r="R432">
        <v>2586.9499999999998</v>
      </c>
      <c r="S432">
        <v>2982.6</v>
      </c>
      <c r="T432">
        <v>2586.9499999999998</v>
      </c>
      <c r="U432">
        <v>2586.9499999999998</v>
      </c>
      <c r="V432">
        <v>2586.9499999999998</v>
      </c>
      <c r="W432">
        <v>2586.9499999999998</v>
      </c>
      <c r="X432">
        <v>2617.38</v>
      </c>
      <c r="Y432">
        <v>3499.99</v>
      </c>
      <c r="Z432" t="s">
        <v>5922</v>
      </c>
    </row>
    <row r="433" spans="1:26" x14ac:dyDescent="0.2">
      <c r="A433" t="s">
        <v>976</v>
      </c>
      <c r="B433" t="s">
        <v>985</v>
      </c>
      <c r="C433" t="s">
        <v>986</v>
      </c>
      <c r="D433" t="s">
        <v>98</v>
      </c>
      <c r="E433">
        <v>3499.99</v>
      </c>
      <c r="F433" t="s">
        <v>5922</v>
      </c>
      <c r="G433">
        <v>3499.99</v>
      </c>
      <c r="H433">
        <v>2586.9499999999998</v>
      </c>
      <c r="I433">
        <v>2586.9499999999998</v>
      </c>
      <c r="J433">
        <v>2586.9499999999998</v>
      </c>
      <c r="K433">
        <v>2586.9499999999998</v>
      </c>
      <c r="L433" t="s">
        <v>5922</v>
      </c>
      <c r="M433">
        <v>3286.95</v>
      </c>
      <c r="N433">
        <v>3104.34</v>
      </c>
      <c r="O433">
        <v>2586.9499999999998</v>
      </c>
      <c r="P433">
        <v>2586.9499999999998</v>
      </c>
      <c r="Q433">
        <v>2586.9499999999998</v>
      </c>
      <c r="R433">
        <v>2586.9499999999998</v>
      </c>
      <c r="S433">
        <v>2982.6</v>
      </c>
      <c r="T433">
        <v>2586.9499999999998</v>
      </c>
      <c r="U433">
        <v>2586.9499999999998</v>
      </c>
      <c r="V433">
        <v>2586.9499999999998</v>
      </c>
      <c r="W433">
        <v>2586.9499999999998</v>
      </c>
      <c r="X433">
        <v>2617.38</v>
      </c>
      <c r="Y433">
        <v>3499.99</v>
      </c>
      <c r="Z433" t="s">
        <v>5922</v>
      </c>
    </row>
    <row r="434" spans="1:26" x14ac:dyDescent="0.2">
      <c r="A434" t="s">
        <v>976</v>
      </c>
      <c r="B434" t="s">
        <v>987</v>
      </c>
      <c r="C434" t="s">
        <v>988</v>
      </c>
      <c r="D434" t="s">
        <v>98</v>
      </c>
      <c r="E434">
        <v>3499.99</v>
      </c>
      <c r="F434" t="s">
        <v>5922</v>
      </c>
      <c r="G434">
        <v>3499.99</v>
      </c>
      <c r="H434">
        <v>2586.9499999999998</v>
      </c>
      <c r="I434">
        <v>2586.9499999999998</v>
      </c>
      <c r="J434">
        <v>2586.9499999999998</v>
      </c>
      <c r="K434">
        <v>2586.9499999999998</v>
      </c>
      <c r="L434" t="s">
        <v>5922</v>
      </c>
      <c r="M434">
        <v>3286.95</v>
      </c>
      <c r="N434">
        <v>3104.34</v>
      </c>
      <c r="O434">
        <v>2586.9499999999998</v>
      </c>
      <c r="P434">
        <v>2586.9499999999998</v>
      </c>
      <c r="Q434">
        <v>2586.9499999999998</v>
      </c>
      <c r="R434">
        <v>2586.9499999999998</v>
      </c>
      <c r="S434">
        <v>2982.6</v>
      </c>
      <c r="T434">
        <v>2586.9499999999998</v>
      </c>
      <c r="U434">
        <v>2586.9499999999998</v>
      </c>
      <c r="V434">
        <v>2586.9499999999998</v>
      </c>
      <c r="W434">
        <v>2586.9499999999998</v>
      </c>
      <c r="X434">
        <v>2617.38</v>
      </c>
      <c r="Y434">
        <v>3499.99</v>
      </c>
      <c r="Z434" t="s">
        <v>5922</v>
      </c>
    </row>
    <row r="435" spans="1:26" x14ac:dyDescent="0.2">
      <c r="A435" t="s">
        <v>989</v>
      </c>
      <c r="B435" t="s">
        <v>5951</v>
      </c>
      <c r="C435" t="s">
        <v>990</v>
      </c>
      <c r="D435" t="s">
        <v>98</v>
      </c>
      <c r="E435">
        <v>419</v>
      </c>
      <c r="F435" t="s">
        <v>5922</v>
      </c>
      <c r="G435">
        <v>364.35</v>
      </c>
      <c r="H435">
        <v>309.7</v>
      </c>
      <c r="I435">
        <v>291.48</v>
      </c>
      <c r="J435">
        <v>291.48</v>
      </c>
      <c r="L435" t="s">
        <v>5922</v>
      </c>
      <c r="R435">
        <v>364.35</v>
      </c>
      <c r="U435">
        <v>296.48</v>
      </c>
      <c r="V435">
        <v>291.48</v>
      </c>
      <c r="W435">
        <v>327.91</v>
      </c>
      <c r="X435">
        <v>273.26</v>
      </c>
      <c r="Y435">
        <v>419</v>
      </c>
      <c r="Z435" t="s">
        <v>5922</v>
      </c>
    </row>
    <row r="436" spans="1:26" x14ac:dyDescent="0.2">
      <c r="A436" t="s">
        <v>989</v>
      </c>
      <c r="B436" t="s">
        <v>5952</v>
      </c>
      <c r="C436" t="s">
        <v>991</v>
      </c>
      <c r="D436" t="s">
        <v>98</v>
      </c>
      <c r="E436">
        <v>169</v>
      </c>
      <c r="F436" t="s">
        <v>5922</v>
      </c>
      <c r="G436">
        <v>169</v>
      </c>
      <c r="H436">
        <v>120.5</v>
      </c>
      <c r="L436" t="s">
        <v>5922</v>
      </c>
      <c r="Q436">
        <v>120.5</v>
      </c>
      <c r="R436">
        <v>120.5</v>
      </c>
      <c r="U436">
        <v>131.47999999999999</v>
      </c>
      <c r="V436">
        <v>131.47999999999999</v>
      </c>
      <c r="W436">
        <v>147.91</v>
      </c>
      <c r="X436">
        <v>139.69999999999999</v>
      </c>
      <c r="Y436">
        <v>169</v>
      </c>
      <c r="Z436" t="s">
        <v>5922</v>
      </c>
    </row>
    <row r="437" spans="1:26" x14ac:dyDescent="0.2">
      <c r="A437" t="s">
        <v>989</v>
      </c>
      <c r="B437" t="s">
        <v>5953</v>
      </c>
      <c r="C437" t="s">
        <v>992</v>
      </c>
      <c r="D437" t="s">
        <v>98</v>
      </c>
      <c r="E437">
        <v>169</v>
      </c>
      <c r="F437" t="s">
        <v>6937</v>
      </c>
      <c r="H437">
        <v>120.5</v>
      </c>
      <c r="L437" t="s">
        <v>5922</v>
      </c>
      <c r="Q437">
        <v>120.5</v>
      </c>
      <c r="R437">
        <v>120.5</v>
      </c>
      <c r="U437">
        <v>131.47999999999999</v>
      </c>
      <c r="V437">
        <v>131.47999999999999</v>
      </c>
      <c r="W437">
        <v>147.91</v>
      </c>
      <c r="X437">
        <v>124.91</v>
      </c>
      <c r="Y437">
        <v>169</v>
      </c>
      <c r="Z437" t="s">
        <v>5922</v>
      </c>
    </row>
    <row r="438" spans="1:26" x14ac:dyDescent="0.2">
      <c r="A438" t="s">
        <v>989</v>
      </c>
      <c r="B438" t="s">
        <v>5954</v>
      </c>
      <c r="C438" t="s">
        <v>993</v>
      </c>
      <c r="D438" t="s">
        <v>98</v>
      </c>
      <c r="E438">
        <v>449</v>
      </c>
      <c r="F438" t="s">
        <v>5922</v>
      </c>
      <c r="G438">
        <v>449</v>
      </c>
      <c r="H438">
        <v>331.87</v>
      </c>
      <c r="I438">
        <v>312.35000000000002</v>
      </c>
      <c r="J438">
        <v>312.35000000000002</v>
      </c>
      <c r="L438" t="s">
        <v>5922</v>
      </c>
      <c r="R438">
        <v>390.43</v>
      </c>
      <c r="U438">
        <v>312.35000000000002</v>
      </c>
      <c r="V438">
        <v>312.35000000000002</v>
      </c>
      <c r="W438">
        <v>351.39</v>
      </c>
      <c r="X438">
        <v>331.87</v>
      </c>
      <c r="Y438">
        <v>449</v>
      </c>
      <c r="Z438" t="s">
        <v>5922</v>
      </c>
    </row>
    <row r="439" spans="1:26" x14ac:dyDescent="0.2">
      <c r="A439" t="s">
        <v>989</v>
      </c>
      <c r="B439" t="s">
        <v>5955</v>
      </c>
      <c r="C439" t="s">
        <v>994</v>
      </c>
      <c r="D439" t="s">
        <v>98</v>
      </c>
      <c r="E439">
        <v>239</v>
      </c>
      <c r="F439" t="s">
        <v>5922</v>
      </c>
      <c r="G439">
        <v>239</v>
      </c>
      <c r="H439">
        <v>170.42</v>
      </c>
      <c r="L439" t="s">
        <v>5922</v>
      </c>
      <c r="Q439">
        <v>170.42</v>
      </c>
      <c r="R439">
        <v>170.42</v>
      </c>
      <c r="U439">
        <v>180.17</v>
      </c>
      <c r="V439">
        <v>180.17</v>
      </c>
      <c r="W439">
        <v>202.7</v>
      </c>
      <c r="X439">
        <v>191.43</v>
      </c>
      <c r="Y439">
        <v>239</v>
      </c>
      <c r="Z439" t="s">
        <v>5922</v>
      </c>
    </row>
    <row r="440" spans="1:26" x14ac:dyDescent="0.2">
      <c r="A440" t="s">
        <v>989</v>
      </c>
      <c r="B440" t="s">
        <v>5956</v>
      </c>
      <c r="C440" t="s">
        <v>995</v>
      </c>
      <c r="D440" t="s">
        <v>98</v>
      </c>
      <c r="E440">
        <v>239</v>
      </c>
      <c r="F440" t="s">
        <v>7056</v>
      </c>
      <c r="H440">
        <v>170.42</v>
      </c>
      <c r="L440" t="s">
        <v>5922</v>
      </c>
      <c r="Q440">
        <v>170.42</v>
      </c>
      <c r="R440">
        <v>170.42</v>
      </c>
      <c r="U440">
        <v>180.17</v>
      </c>
      <c r="V440">
        <v>180.17</v>
      </c>
      <c r="W440">
        <v>202.7</v>
      </c>
      <c r="X440">
        <v>176.65</v>
      </c>
      <c r="Y440">
        <v>239</v>
      </c>
      <c r="Z440" t="s">
        <v>5922</v>
      </c>
    </row>
    <row r="441" spans="1:26" x14ac:dyDescent="0.2">
      <c r="A441" t="s">
        <v>989</v>
      </c>
      <c r="B441" t="s">
        <v>5957</v>
      </c>
      <c r="C441" t="s">
        <v>996</v>
      </c>
      <c r="D441" t="s">
        <v>98</v>
      </c>
      <c r="E441">
        <v>999</v>
      </c>
      <c r="F441" t="s">
        <v>5922</v>
      </c>
      <c r="G441">
        <v>868.7</v>
      </c>
      <c r="H441">
        <v>738.39</v>
      </c>
      <c r="I441">
        <v>694.96</v>
      </c>
      <c r="J441">
        <v>694.96</v>
      </c>
      <c r="L441" t="s">
        <v>5922</v>
      </c>
      <c r="R441">
        <v>868.7</v>
      </c>
      <c r="U441">
        <v>699.96</v>
      </c>
      <c r="V441">
        <v>694.96</v>
      </c>
      <c r="W441">
        <v>781.83</v>
      </c>
      <c r="X441">
        <v>651.52</v>
      </c>
      <c r="Y441">
        <v>999</v>
      </c>
      <c r="Z441" t="s">
        <v>5922</v>
      </c>
    </row>
    <row r="442" spans="1:26" x14ac:dyDescent="0.2">
      <c r="A442" t="s">
        <v>989</v>
      </c>
      <c r="B442" t="s">
        <v>5958</v>
      </c>
      <c r="C442" t="s">
        <v>997</v>
      </c>
      <c r="D442" t="s">
        <v>98</v>
      </c>
      <c r="E442">
        <v>319</v>
      </c>
      <c r="F442" t="s">
        <v>6940</v>
      </c>
      <c r="G442">
        <v>319</v>
      </c>
      <c r="H442">
        <v>227.46</v>
      </c>
      <c r="I442">
        <v>215.65</v>
      </c>
      <c r="J442">
        <v>215.65</v>
      </c>
      <c r="L442" t="s">
        <v>5922</v>
      </c>
      <c r="Q442">
        <v>227.46</v>
      </c>
      <c r="R442">
        <v>227.46</v>
      </c>
      <c r="U442">
        <v>228.87</v>
      </c>
      <c r="V442">
        <v>228.87</v>
      </c>
      <c r="W442">
        <v>249.65</v>
      </c>
      <c r="X442">
        <v>235.78</v>
      </c>
      <c r="Y442">
        <v>319</v>
      </c>
      <c r="Z442" t="s">
        <v>5922</v>
      </c>
    </row>
    <row r="443" spans="1:26" x14ac:dyDescent="0.2">
      <c r="A443" t="s">
        <v>989</v>
      </c>
      <c r="B443" t="s">
        <v>5959</v>
      </c>
      <c r="C443" t="s">
        <v>998</v>
      </c>
      <c r="D443" t="s">
        <v>98</v>
      </c>
      <c r="E443">
        <v>199</v>
      </c>
      <c r="F443" t="s">
        <v>5922</v>
      </c>
      <c r="G443">
        <v>173.04</v>
      </c>
      <c r="H443">
        <v>147.09</v>
      </c>
      <c r="I443">
        <v>138.43</v>
      </c>
      <c r="J443">
        <v>138.43</v>
      </c>
      <c r="L443" t="s">
        <v>5922</v>
      </c>
      <c r="R443">
        <v>173.04</v>
      </c>
      <c r="U443">
        <v>138.43</v>
      </c>
      <c r="V443">
        <v>138.43</v>
      </c>
      <c r="W443">
        <v>155.74</v>
      </c>
      <c r="X443">
        <v>129.78</v>
      </c>
      <c r="Y443">
        <v>199</v>
      </c>
      <c r="Z443" t="s">
        <v>5922</v>
      </c>
    </row>
    <row r="444" spans="1:26" x14ac:dyDescent="0.2">
      <c r="A444" t="s">
        <v>989</v>
      </c>
      <c r="B444" t="s">
        <v>5960</v>
      </c>
      <c r="C444" t="s">
        <v>999</v>
      </c>
      <c r="D444" t="s">
        <v>98</v>
      </c>
      <c r="E444">
        <v>199</v>
      </c>
      <c r="F444" t="s">
        <v>5922</v>
      </c>
      <c r="G444">
        <v>173.04</v>
      </c>
      <c r="H444">
        <v>147.09</v>
      </c>
      <c r="I444">
        <v>138.43</v>
      </c>
      <c r="J444">
        <v>138.43</v>
      </c>
      <c r="L444" t="s">
        <v>5922</v>
      </c>
      <c r="R444">
        <v>173.04</v>
      </c>
      <c r="U444">
        <v>138.43</v>
      </c>
      <c r="V444">
        <v>138.43</v>
      </c>
      <c r="W444">
        <v>155.74</v>
      </c>
      <c r="X444">
        <v>129.78</v>
      </c>
      <c r="Y444">
        <v>199</v>
      </c>
      <c r="Z444" t="s">
        <v>5922</v>
      </c>
    </row>
    <row r="445" spans="1:26" x14ac:dyDescent="0.2">
      <c r="A445" t="s">
        <v>989</v>
      </c>
      <c r="B445" t="s">
        <v>5961</v>
      </c>
      <c r="C445" t="s">
        <v>1000</v>
      </c>
      <c r="D445" t="s">
        <v>98</v>
      </c>
      <c r="E445">
        <v>29.95</v>
      </c>
      <c r="F445" t="s">
        <v>5922</v>
      </c>
      <c r="G445">
        <v>26.04</v>
      </c>
      <c r="H445">
        <v>22.14</v>
      </c>
      <c r="I445">
        <v>20.83</v>
      </c>
      <c r="J445">
        <v>20.83</v>
      </c>
      <c r="L445" t="s">
        <v>5922</v>
      </c>
      <c r="R445">
        <v>26.04</v>
      </c>
      <c r="U445">
        <v>25.83</v>
      </c>
      <c r="V445">
        <v>20.83</v>
      </c>
      <c r="W445">
        <v>23.44</v>
      </c>
      <c r="X445">
        <v>19.53</v>
      </c>
      <c r="Y445">
        <v>29.95</v>
      </c>
      <c r="Z445" t="s">
        <v>5922</v>
      </c>
    </row>
    <row r="446" spans="1:26" x14ac:dyDescent="0.2">
      <c r="A446" t="s">
        <v>989</v>
      </c>
      <c r="B446" t="s">
        <v>5962</v>
      </c>
      <c r="C446" t="s">
        <v>7633</v>
      </c>
      <c r="D446" t="s">
        <v>105</v>
      </c>
      <c r="E446">
        <v>399</v>
      </c>
      <c r="F446" t="s">
        <v>6948</v>
      </c>
      <c r="H446">
        <v>284.5</v>
      </c>
      <c r="L446" t="s">
        <v>5922</v>
      </c>
      <c r="Q446">
        <v>284.5</v>
      </c>
      <c r="R446">
        <v>284.5</v>
      </c>
      <c r="U446">
        <v>298.43</v>
      </c>
      <c r="V446">
        <v>298.43</v>
      </c>
      <c r="W446">
        <v>335.74</v>
      </c>
      <c r="X446">
        <v>294.91000000000003</v>
      </c>
      <c r="Y446">
        <v>399</v>
      </c>
      <c r="Z446" t="s">
        <v>5922</v>
      </c>
    </row>
    <row r="447" spans="1:26" x14ac:dyDescent="0.2">
      <c r="A447" t="s">
        <v>989</v>
      </c>
      <c r="B447" t="s">
        <v>5963</v>
      </c>
      <c r="C447" t="s">
        <v>1001</v>
      </c>
      <c r="D447" t="s">
        <v>98</v>
      </c>
      <c r="E447">
        <v>189</v>
      </c>
      <c r="F447" t="s">
        <v>7057</v>
      </c>
      <c r="G447">
        <v>189</v>
      </c>
      <c r="H447">
        <v>134.77000000000001</v>
      </c>
      <c r="I447">
        <v>138.43</v>
      </c>
      <c r="J447">
        <v>138.43</v>
      </c>
      <c r="L447" t="s">
        <v>5922</v>
      </c>
      <c r="Q447">
        <v>134.77000000000001</v>
      </c>
      <c r="R447">
        <v>134.77000000000001</v>
      </c>
      <c r="U447">
        <v>145.38999999999999</v>
      </c>
      <c r="V447">
        <v>145.38999999999999</v>
      </c>
      <c r="W447">
        <v>155.74</v>
      </c>
      <c r="X447">
        <v>147.09</v>
      </c>
      <c r="Y447">
        <v>189</v>
      </c>
      <c r="Z447" t="s">
        <v>5922</v>
      </c>
    </row>
    <row r="448" spans="1:26" x14ac:dyDescent="0.2">
      <c r="A448" t="s">
        <v>989</v>
      </c>
      <c r="B448" t="s">
        <v>5964</v>
      </c>
      <c r="C448" t="s">
        <v>1002</v>
      </c>
      <c r="D448" t="s">
        <v>98</v>
      </c>
      <c r="E448">
        <v>49.95</v>
      </c>
      <c r="F448" t="s">
        <v>5922</v>
      </c>
      <c r="G448">
        <v>43.43</v>
      </c>
      <c r="H448">
        <v>36.92</v>
      </c>
      <c r="I448">
        <v>34.75</v>
      </c>
      <c r="J448">
        <v>34.75</v>
      </c>
      <c r="L448" t="s">
        <v>5922</v>
      </c>
      <c r="R448">
        <v>43.43</v>
      </c>
      <c r="U448">
        <v>39.75</v>
      </c>
      <c r="V448">
        <v>34.75</v>
      </c>
      <c r="W448">
        <v>39.090000000000003</v>
      </c>
      <c r="X448">
        <v>32.58</v>
      </c>
      <c r="Y448">
        <v>49.95</v>
      </c>
      <c r="Z448" t="s">
        <v>5922</v>
      </c>
    </row>
    <row r="449" spans="1:26" x14ac:dyDescent="0.2">
      <c r="A449" t="s">
        <v>989</v>
      </c>
      <c r="B449" t="s">
        <v>7634</v>
      </c>
      <c r="C449" t="s">
        <v>7635</v>
      </c>
      <c r="D449" t="s">
        <v>105</v>
      </c>
      <c r="E449">
        <v>149.99</v>
      </c>
      <c r="F449" t="s">
        <v>7022</v>
      </c>
      <c r="H449">
        <v>106.95</v>
      </c>
      <c r="L449" t="s">
        <v>5922</v>
      </c>
      <c r="U449">
        <v>104.34</v>
      </c>
      <c r="V449">
        <v>104.34</v>
      </c>
      <c r="X449">
        <v>110.86</v>
      </c>
      <c r="Y449">
        <v>149.99</v>
      </c>
      <c r="Z449" t="s">
        <v>5922</v>
      </c>
    </row>
    <row r="450" spans="1:26" x14ac:dyDescent="0.2">
      <c r="A450" t="s">
        <v>989</v>
      </c>
      <c r="B450" t="s">
        <v>5965</v>
      </c>
      <c r="C450" t="s">
        <v>1003</v>
      </c>
      <c r="D450" t="s">
        <v>98</v>
      </c>
      <c r="E450">
        <v>66.95</v>
      </c>
      <c r="F450" t="s">
        <v>5922</v>
      </c>
      <c r="G450">
        <v>58.22</v>
      </c>
      <c r="H450">
        <v>49.48</v>
      </c>
      <c r="I450">
        <v>46.57</v>
      </c>
      <c r="J450">
        <v>46.57</v>
      </c>
      <c r="L450" t="s">
        <v>5922</v>
      </c>
      <c r="R450">
        <v>58.22</v>
      </c>
      <c r="U450">
        <v>51.57</v>
      </c>
      <c r="V450">
        <v>46.57</v>
      </c>
      <c r="W450">
        <v>52.4</v>
      </c>
      <c r="X450">
        <v>43.66</v>
      </c>
      <c r="Y450">
        <v>66.95</v>
      </c>
      <c r="Z450" t="s">
        <v>5922</v>
      </c>
    </row>
    <row r="451" spans="1:26" x14ac:dyDescent="0.2">
      <c r="A451" t="s">
        <v>989</v>
      </c>
      <c r="B451" t="s">
        <v>5966</v>
      </c>
      <c r="C451" t="s">
        <v>1004</v>
      </c>
      <c r="D451" t="s">
        <v>98</v>
      </c>
      <c r="E451">
        <v>269</v>
      </c>
      <c r="F451" t="s">
        <v>5922</v>
      </c>
      <c r="G451">
        <v>233.91</v>
      </c>
      <c r="H451">
        <v>198.83</v>
      </c>
      <c r="I451">
        <v>187.13</v>
      </c>
      <c r="J451">
        <v>187.13</v>
      </c>
      <c r="L451" t="s">
        <v>5922</v>
      </c>
      <c r="R451">
        <v>233.91</v>
      </c>
      <c r="U451">
        <v>192.13</v>
      </c>
      <c r="V451">
        <v>187.13</v>
      </c>
      <c r="W451">
        <v>210.52</v>
      </c>
      <c r="X451">
        <v>175.43</v>
      </c>
      <c r="Y451">
        <v>269</v>
      </c>
      <c r="Z451" t="s">
        <v>5922</v>
      </c>
    </row>
    <row r="452" spans="1:26" x14ac:dyDescent="0.2">
      <c r="A452" t="s">
        <v>989</v>
      </c>
      <c r="B452" t="s">
        <v>5967</v>
      </c>
      <c r="C452" t="s">
        <v>1005</v>
      </c>
      <c r="D452" t="s">
        <v>98</v>
      </c>
      <c r="E452">
        <v>249</v>
      </c>
      <c r="F452" t="s">
        <v>5922</v>
      </c>
      <c r="G452">
        <v>216.52</v>
      </c>
      <c r="H452">
        <v>184.04</v>
      </c>
      <c r="I452">
        <v>173.22</v>
      </c>
      <c r="J452">
        <v>173.22</v>
      </c>
      <c r="L452" t="s">
        <v>5922</v>
      </c>
      <c r="R452">
        <v>216.52</v>
      </c>
      <c r="U452">
        <v>178.22</v>
      </c>
      <c r="V452">
        <v>173.22</v>
      </c>
      <c r="W452">
        <v>194.87</v>
      </c>
      <c r="X452">
        <v>162.38999999999999</v>
      </c>
      <c r="Y452">
        <v>249</v>
      </c>
      <c r="Z452" t="s">
        <v>5922</v>
      </c>
    </row>
    <row r="453" spans="1:26" x14ac:dyDescent="0.2">
      <c r="A453" t="s">
        <v>989</v>
      </c>
      <c r="B453" t="s">
        <v>5968</v>
      </c>
      <c r="C453" t="s">
        <v>1006</v>
      </c>
      <c r="D453" t="s">
        <v>98</v>
      </c>
      <c r="E453">
        <v>549</v>
      </c>
      <c r="F453" t="s">
        <v>5922</v>
      </c>
      <c r="G453">
        <v>549</v>
      </c>
      <c r="H453">
        <v>391.46</v>
      </c>
      <c r="I453">
        <v>319.3</v>
      </c>
      <c r="J453">
        <v>319.3</v>
      </c>
      <c r="L453" t="s">
        <v>5922</v>
      </c>
      <c r="Q453">
        <v>391.46</v>
      </c>
      <c r="R453">
        <v>391.46</v>
      </c>
      <c r="U453">
        <v>409.74</v>
      </c>
      <c r="V453">
        <v>409.74</v>
      </c>
      <c r="W453">
        <v>429.65</v>
      </c>
      <c r="X453">
        <v>405.78</v>
      </c>
      <c r="Y453">
        <v>549</v>
      </c>
      <c r="Z453" t="s">
        <v>5922</v>
      </c>
    </row>
    <row r="454" spans="1:26" x14ac:dyDescent="0.2">
      <c r="A454" t="s">
        <v>989</v>
      </c>
      <c r="B454" t="s">
        <v>7636</v>
      </c>
      <c r="C454" t="s">
        <v>7637</v>
      </c>
      <c r="D454" t="s">
        <v>105</v>
      </c>
      <c r="E454">
        <v>159.99</v>
      </c>
      <c r="F454" t="s">
        <v>6970</v>
      </c>
      <c r="H454">
        <v>114.08</v>
      </c>
      <c r="L454" t="s">
        <v>5922</v>
      </c>
      <c r="U454">
        <v>111.3</v>
      </c>
      <c r="V454">
        <v>111.3</v>
      </c>
      <c r="X454">
        <v>118.25</v>
      </c>
      <c r="Y454">
        <v>159.99</v>
      </c>
      <c r="Z454" t="s">
        <v>5922</v>
      </c>
    </row>
    <row r="455" spans="1:26" x14ac:dyDescent="0.2">
      <c r="A455" t="s">
        <v>989</v>
      </c>
      <c r="B455" t="s">
        <v>5969</v>
      </c>
      <c r="C455" t="s">
        <v>1007</v>
      </c>
      <c r="D455" t="s">
        <v>98</v>
      </c>
      <c r="E455">
        <v>310</v>
      </c>
      <c r="F455" t="s">
        <v>5922</v>
      </c>
      <c r="H455">
        <v>220.33</v>
      </c>
      <c r="I455">
        <v>208</v>
      </c>
      <c r="J455">
        <v>208</v>
      </c>
      <c r="L455" t="s">
        <v>5922</v>
      </c>
      <c r="Q455">
        <v>220.33</v>
      </c>
      <c r="R455">
        <v>220.33</v>
      </c>
      <c r="U455">
        <v>221.91</v>
      </c>
      <c r="V455">
        <v>221.91</v>
      </c>
      <c r="W455">
        <v>241.83</v>
      </c>
      <c r="X455">
        <v>228.39</v>
      </c>
      <c r="Y455">
        <v>309</v>
      </c>
      <c r="Z455" t="s">
        <v>5922</v>
      </c>
    </row>
    <row r="456" spans="1:26" x14ac:dyDescent="0.2">
      <c r="A456" t="s">
        <v>989</v>
      </c>
      <c r="B456" t="s">
        <v>7638</v>
      </c>
      <c r="C456" t="s">
        <v>7639</v>
      </c>
      <c r="D456" t="s">
        <v>105</v>
      </c>
      <c r="E456">
        <v>299.99</v>
      </c>
      <c r="F456" t="s">
        <v>6918</v>
      </c>
      <c r="H456">
        <v>213.91</v>
      </c>
      <c r="L456" t="s">
        <v>5922</v>
      </c>
      <c r="U456">
        <v>208.69</v>
      </c>
      <c r="V456">
        <v>208.69</v>
      </c>
      <c r="X456">
        <v>221.73</v>
      </c>
      <c r="Y456">
        <v>299.99</v>
      </c>
      <c r="Z456" t="s">
        <v>5922</v>
      </c>
    </row>
    <row r="457" spans="1:26" x14ac:dyDescent="0.2">
      <c r="A457" t="s">
        <v>989</v>
      </c>
      <c r="B457" t="s">
        <v>5970</v>
      </c>
      <c r="C457" t="s">
        <v>1008</v>
      </c>
      <c r="D457" t="s">
        <v>98</v>
      </c>
      <c r="E457">
        <v>399</v>
      </c>
      <c r="F457" t="s">
        <v>6948</v>
      </c>
      <c r="G457">
        <v>399</v>
      </c>
      <c r="H457">
        <v>284.5</v>
      </c>
      <c r="I457">
        <v>277.57</v>
      </c>
      <c r="J457">
        <v>277.57</v>
      </c>
      <c r="L457" t="s">
        <v>5922</v>
      </c>
      <c r="Q457">
        <v>284.5</v>
      </c>
      <c r="R457">
        <v>284.5</v>
      </c>
      <c r="U457">
        <v>277.57</v>
      </c>
      <c r="V457">
        <v>277.57</v>
      </c>
      <c r="W457">
        <v>312.26</v>
      </c>
      <c r="X457">
        <v>294.91000000000003</v>
      </c>
      <c r="Y457">
        <v>399</v>
      </c>
      <c r="Z457" t="s">
        <v>5922</v>
      </c>
    </row>
    <row r="458" spans="1:26" x14ac:dyDescent="0.2">
      <c r="A458" t="s">
        <v>989</v>
      </c>
      <c r="B458" t="s">
        <v>1009</v>
      </c>
      <c r="C458" t="s">
        <v>1010</v>
      </c>
      <c r="D458" t="s">
        <v>105</v>
      </c>
      <c r="E458">
        <v>199</v>
      </c>
      <c r="F458" t="s">
        <v>6954</v>
      </c>
      <c r="H458">
        <v>141.9</v>
      </c>
      <c r="L458" t="s">
        <v>5922</v>
      </c>
      <c r="U458">
        <v>138.43</v>
      </c>
      <c r="V458">
        <v>138.43</v>
      </c>
      <c r="X458">
        <v>147.09</v>
      </c>
      <c r="Y458">
        <v>199</v>
      </c>
      <c r="Z458" t="s">
        <v>5922</v>
      </c>
    </row>
    <row r="459" spans="1:26" x14ac:dyDescent="0.2">
      <c r="A459" t="s">
        <v>989</v>
      </c>
      <c r="B459" t="s">
        <v>5971</v>
      </c>
      <c r="C459" t="s">
        <v>1011</v>
      </c>
      <c r="D459" t="s">
        <v>98</v>
      </c>
      <c r="E459">
        <v>189</v>
      </c>
      <c r="F459" t="s">
        <v>7057</v>
      </c>
      <c r="G459">
        <v>189</v>
      </c>
      <c r="H459">
        <v>134.77000000000001</v>
      </c>
      <c r="L459" t="s">
        <v>5922</v>
      </c>
      <c r="Q459">
        <v>134.77000000000001</v>
      </c>
      <c r="R459">
        <v>134.77000000000001</v>
      </c>
      <c r="U459">
        <v>145.38999999999999</v>
      </c>
      <c r="V459">
        <v>145.38999999999999</v>
      </c>
      <c r="W459">
        <v>147.91</v>
      </c>
      <c r="X459">
        <v>139.69999999999999</v>
      </c>
      <c r="Y459">
        <v>189</v>
      </c>
      <c r="Z459" t="s">
        <v>5922</v>
      </c>
    </row>
    <row r="460" spans="1:26" x14ac:dyDescent="0.2">
      <c r="A460" t="s">
        <v>989</v>
      </c>
      <c r="B460" t="s">
        <v>5972</v>
      </c>
      <c r="C460" t="s">
        <v>1012</v>
      </c>
      <c r="D460" t="s">
        <v>98</v>
      </c>
      <c r="E460">
        <v>139</v>
      </c>
      <c r="F460" t="s">
        <v>5922</v>
      </c>
      <c r="G460">
        <v>120.87</v>
      </c>
      <c r="H460">
        <v>102.74</v>
      </c>
      <c r="I460">
        <v>96.7</v>
      </c>
      <c r="J460">
        <v>96.7</v>
      </c>
      <c r="L460" t="s">
        <v>5922</v>
      </c>
      <c r="R460">
        <v>120.87</v>
      </c>
      <c r="U460">
        <v>96.7</v>
      </c>
      <c r="V460">
        <v>96.7</v>
      </c>
      <c r="W460">
        <v>108.78</v>
      </c>
      <c r="X460">
        <v>90.65</v>
      </c>
      <c r="Y460">
        <v>139</v>
      </c>
      <c r="Z460" t="s">
        <v>5922</v>
      </c>
    </row>
    <row r="461" spans="1:26" x14ac:dyDescent="0.2">
      <c r="A461" t="s">
        <v>989</v>
      </c>
      <c r="B461" t="s">
        <v>5973</v>
      </c>
      <c r="C461" t="s">
        <v>1013</v>
      </c>
      <c r="D461" t="s">
        <v>98</v>
      </c>
      <c r="E461">
        <v>189</v>
      </c>
      <c r="F461" t="s">
        <v>7057</v>
      </c>
      <c r="G461">
        <v>189</v>
      </c>
      <c r="H461">
        <v>134.77000000000001</v>
      </c>
      <c r="L461" t="s">
        <v>5922</v>
      </c>
      <c r="Q461">
        <v>134.77000000000001</v>
      </c>
      <c r="R461">
        <v>134.77000000000001</v>
      </c>
      <c r="U461">
        <v>145.38999999999999</v>
      </c>
      <c r="V461">
        <v>145.38999999999999</v>
      </c>
      <c r="W461">
        <v>147.91</v>
      </c>
      <c r="X461">
        <v>139.69999999999999</v>
      </c>
      <c r="Y461">
        <v>189</v>
      </c>
      <c r="Z461" t="s">
        <v>5922</v>
      </c>
    </row>
    <row r="462" spans="1:26" x14ac:dyDescent="0.2">
      <c r="A462" t="s">
        <v>989</v>
      </c>
      <c r="B462" t="s">
        <v>1015</v>
      </c>
      <c r="C462" t="s">
        <v>1014</v>
      </c>
      <c r="D462" t="s">
        <v>105</v>
      </c>
      <c r="E462">
        <v>219</v>
      </c>
      <c r="F462" t="s">
        <v>7058</v>
      </c>
      <c r="H462">
        <v>156.16</v>
      </c>
      <c r="L462" t="s">
        <v>5922</v>
      </c>
      <c r="U462">
        <v>152.35</v>
      </c>
      <c r="V462">
        <v>152.35</v>
      </c>
      <c r="X462">
        <v>161.87</v>
      </c>
      <c r="Y462">
        <v>219</v>
      </c>
      <c r="Z462" t="s">
        <v>5922</v>
      </c>
    </row>
    <row r="463" spans="1:26" x14ac:dyDescent="0.2">
      <c r="A463" t="s">
        <v>989</v>
      </c>
      <c r="B463" t="s">
        <v>5974</v>
      </c>
      <c r="C463" t="s">
        <v>1014</v>
      </c>
      <c r="D463" t="s">
        <v>98</v>
      </c>
      <c r="E463">
        <v>189</v>
      </c>
      <c r="F463" t="s">
        <v>7057</v>
      </c>
      <c r="G463">
        <v>189</v>
      </c>
      <c r="H463">
        <v>134.77000000000001</v>
      </c>
      <c r="L463" t="s">
        <v>5922</v>
      </c>
      <c r="Q463">
        <v>134.77000000000001</v>
      </c>
      <c r="R463">
        <v>134.77000000000001</v>
      </c>
      <c r="U463">
        <v>145.38999999999999</v>
      </c>
      <c r="V463">
        <v>145.38999999999999</v>
      </c>
      <c r="W463">
        <v>147.91</v>
      </c>
      <c r="X463">
        <v>139.69999999999999</v>
      </c>
      <c r="Y463">
        <v>189</v>
      </c>
      <c r="Z463" t="s">
        <v>5922</v>
      </c>
    </row>
    <row r="464" spans="1:26" x14ac:dyDescent="0.2">
      <c r="A464" t="s">
        <v>989</v>
      </c>
      <c r="B464" t="s">
        <v>1016</v>
      </c>
      <c r="C464" t="s">
        <v>1017</v>
      </c>
      <c r="D464" t="s">
        <v>105</v>
      </c>
      <c r="E464">
        <v>219</v>
      </c>
      <c r="F464" t="s">
        <v>7058</v>
      </c>
      <c r="H464">
        <v>156.16</v>
      </c>
      <c r="L464" t="s">
        <v>5922</v>
      </c>
      <c r="U464">
        <v>152.35</v>
      </c>
      <c r="V464">
        <v>152.35</v>
      </c>
      <c r="X464">
        <v>161.87</v>
      </c>
      <c r="Y464">
        <v>219</v>
      </c>
      <c r="Z464" t="s">
        <v>5922</v>
      </c>
    </row>
    <row r="465" spans="1:26" x14ac:dyDescent="0.2">
      <c r="A465" t="s">
        <v>989</v>
      </c>
      <c r="B465" t="s">
        <v>5975</v>
      </c>
      <c r="C465" t="s">
        <v>1018</v>
      </c>
      <c r="D465" t="s">
        <v>98</v>
      </c>
      <c r="E465">
        <v>189</v>
      </c>
      <c r="F465" t="s">
        <v>7057</v>
      </c>
      <c r="G465">
        <v>189</v>
      </c>
      <c r="H465">
        <v>134.77000000000001</v>
      </c>
      <c r="L465" t="s">
        <v>5922</v>
      </c>
      <c r="Q465">
        <v>134.77000000000001</v>
      </c>
      <c r="R465">
        <v>134.77000000000001</v>
      </c>
      <c r="U465">
        <v>145.38999999999999</v>
      </c>
      <c r="V465">
        <v>145.38999999999999</v>
      </c>
      <c r="W465">
        <v>147.91</v>
      </c>
      <c r="X465">
        <v>139.69999999999999</v>
      </c>
      <c r="Y465">
        <v>189</v>
      </c>
      <c r="Z465" t="s">
        <v>5922</v>
      </c>
    </row>
    <row r="466" spans="1:26" x14ac:dyDescent="0.2">
      <c r="A466" t="s">
        <v>989</v>
      </c>
      <c r="B466" t="s">
        <v>7127</v>
      </c>
      <c r="C466" t="s">
        <v>7128</v>
      </c>
      <c r="D466" t="s">
        <v>105</v>
      </c>
      <c r="E466">
        <v>229.99</v>
      </c>
      <c r="F466" t="s">
        <v>7129</v>
      </c>
      <c r="H466">
        <v>163.29</v>
      </c>
      <c r="L466" t="s">
        <v>5922</v>
      </c>
      <c r="U466">
        <v>153.04</v>
      </c>
      <c r="V466">
        <v>146.08000000000001</v>
      </c>
      <c r="X466">
        <v>155.21</v>
      </c>
      <c r="Y466">
        <v>229.99</v>
      </c>
      <c r="Z466" t="s">
        <v>5922</v>
      </c>
    </row>
    <row r="467" spans="1:26" x14ac:dyDescent="0.2">
      <c r="A467" t="s">
        <v>989</v>
      </c>
      <c r="B467" t="s">
        <v>5976</v>
      </c>
      <c r="C467" t="s">
        <v>1019</v>
      </c>
      <c r="D467" t="s">
        <v>98</v>
      </c>
      <c r="E467">
        <v>219</v>
      </c>
      <c r="F467" t="s">
        <v>5922</v>
      </c>
      <c r="G467">
        <v>190.43</v>
      </c>
      <c r="H467">
        <v>161.87</v>
      </c>
      <c r="I467">
        <v>152.35</v>
      </c>
      <c r="J467">
        <v>152.35</v>
      </c>
      <c r="L467" t="s">
        <v>5922</v>
      </c>
      <c r="R467">
        <v>190.43</v>
      </c>
      <c r="U467">
        <v>157.35</v>
      </c>
      <c r="V467">
        <v>152.35</v>
      </c>
      <c r="W467">
        <v>171.39</v>
      </c>
      <c r="X467">
        <v>142.83000000000001</v>
      </c>
      <c r="Y467">
        <v>219</v>
      </c>
      <c r="Z467" t="s">
        <v>5922</v>
      </c>
    </row>
    <row r="468" spans="1:26" x14ac:dyDescent="0.2">
      <c r="A468" t="s">
        <v>989</v>
      </c>
      <c r="B468" t="s">
        <v>7640</v>
      </c>
      <c r="C468" t="s">
        <v>7641</v>
      </c>
      <c r="D468" t="s">
        <v>105</v>
      </c>
      <c r="E468">
        <v>99.99</v>
      </c>
      <c r="F468" t="s">
        <v>6903</v>
      </c>
      <c r="H468">
        <v>71.3</v>
      </c>
      <c r="L468" t="s">
        <v>5922</v>
      </c>
      <c r="U468">
        <v>69.56</v>
      </c>
      <c r="V468">
        <v>69.56</v>
      </c>
      <c r="X468">
        <v>73.91</v>
      </c>
      <c r="Y468">
        <v>99.99</v>
      </c>
      <c r="Z468" t="s">
        <v>5922</v>
      </c>
    </row>
    <row r="469" spans="1:26" x14ac:dyDescent="0.2">
      <c r="A469" t="s">
        <v>989</v>
      </c>
      <c r="B469" t="s">
        <v>5977</v>
      </c>
      <c r="C469" t="s">
        <v>1020</v>
      </c>
      <c r="D469" t="s">
        <v>98</v>
      </c>
      <c r="E469">
        <v>84.95</v>
      </c>
      <c r="F469" t="s">
        <v>7059</v>
      </c>
      <c r="G469">
        <v>84.95</v>
      </c>
      <c r="H469">
        <v>60.57</v>
      </c>
      <c r="L469" t="s">
        <v>5922</v>
      </c>
      <c r="Q469">
        <v>60.57</v>
      </c>
      <c r="R469">
        <v>60.57</v>
      </c>
      <c r="U469">
        <v>75.83</v>
      </c>
      <c r="V469">
        <v>75.83</v>
      </c>
      <c r="W469">
        <v>85.3</v>
      </c>
      <c r="X469">
        <v>80.569999999999993</v>
      </c>
      <c r="Y469">
        <v>84.95</v>
      </c>
      <c r="Z469" t="s">
        <v>5922</v>
      </c>
    </row>
    <row r="470" spans="1:26" x14ac:dyDescent="0.2">
      <c r="A470" t="s">
        <v>989</v>
      </c>
      <c r="B470" t="s">
        <v>7642</v>
      </c>
      <c r="C470" t="s">
        <v>7643</v>
      </c>
      <c r="D470" t="s">
        <v>105</v>
      </c>
      <c r="E470">
        <v>779.99</v>
      </c>
      <c r="F470" t="s">
        <v>7197</v>
      </c>
      <c r="H470">
        <v>563.29999999999995</v>
      </c>
      <c r="L470" t="s">
        <v>5922</v>
      </c>
      <c r="U470">
        <v>549.55999999999995</v>
      </c>
      <c r="V470">
        <v>549.55999999999995</v>
      </c>
      <c r="X470">
        <v>576.51</v>
      </c>
      <c r="Y470">
        <v>779.99</v>
      </c>
      <c r="Z470" t="s">
        <v>5922</v>
      </c>
    </row>
    <row r="471" spans="1:26" x14ac:dyDescent="0.2">
      <c r="A471" t="s">
        <v>989</v>
      </c>
      <c r="B471" t="s">
        <v>5978</v>
      </c>
      <c r="C471" t="s">
        <v>1021</v>
      </c>
      <c r="D471" t="s">
        <v>98</v>
      </c>
      <c r="E471">
        <v>549</v>
      </c>
      <c r="F471" t="s">
        <v>7060</v>
      </c>
      <c r="G471">
        <v>549</v>
      </c>
      <c r="H471">
        <v>391.46</v>
      </c>
      <c r="I471">
        <v>388.87</v>
      </c>
      <c r="J471">
        <v>388.87</v>
      </c>
      <c r="L471" t="s">
        <v>5922</v>
      </c>
      <c r="Q471">
        <v>391.46</v>
      </c>
      <c r="R471">
        <v>391.46</v>
      </c>
      <c r="U471">
        <v>409.74</v>
      </c>
      <c r="V471">
        <v>409.74</v>
      </c>
      <c r="W471">
        <v>437.48</v>
      </c>
      <c r="X471">
        <v>413.17</v>
      </c>
      <c r="Y471">
        <v>549</v>
      </c>
      <c r="Z471" t="s">
        <v>5922</v>
      </c>
    </row>
    <row r="472" spans="1:26" x14ac:dyDescent="0.2">
      <c r="A472" t="s">
        <v>989</v>
      </c>
      <c r="B472" t="s">
        <v>1022</v>
      </c>
      <c r="C472" t="s">
        <v>1023</v>
      </c>
      <c r="D472" t="s">
        <v>105</v>
      </c>
      <c r="E472">
        <v>649</v>
      </c>
      <c r="F472" t="s">
        <v>7061</v>
      </c>
      <c r="H472">
        <v>462.77</v>
      </c>
      <c r="L472" t="s">
        <v>5922</v>
      </c>
      <c r="U472">
        <v>451.48</v>
      </c>
      <c r="V472">
        <v>451.48</v>
      </c>
      <c r="X472">
        <v>479.7</v>
      </c>
      <c r="Y472">
        <v>649</v>
      </c>
      <c r="Z472" t="s">
        <v>5922</v>
      </c>
    </row>
    <row r="473" spans="1:26" x14ac:dyDescent="0.2">
      <c r="A473" t="s">
        <v>989</v>
      </c>
      <c r="B473" t="s">
        <v>5979</v>
      </c>
      <c r="C473" t="s">
        <v>1024</v>
      </c>
      <c r="D473" t="s">
        <v>98</v>
      </c>
      <c r="E473">
        <v>49.95</v>
      </c>
      <c r="F473" t="s">
        <v>5922</v>
      </c>
      <c r="G473">
        <v>43.43</v>
      </c>
      <c r="H473">
        <v>36.92</v>
      </c>
      <c r="I473">
        <v>34.75</v>
      </c>
      <c r="J473">
        <v>34.75</v>
      </c>
      <c r="L473" t="s">
        <v>5922</v>
      </c>
      <c r="R473">
        <v>43.43</v>
      </c>
      <c r="U473">
        <v>39.75</v>
      </c>
      <c r="V473">
        <v>34.75</v>
      </c>
      <c r="W473">
        <v>39.090000000000003</v>
      </c>
      <c r="X473">
        <v>32.58</v>
      </c>
      <c r="Y473">
        <v>49.95</v>
      </c>
      <c r="Z473" t="s">
        <v>5922</v>
      </c>
    </row>
    <row r="474" spans="1:26" x14ac:dyDescent="0.2">
      <c r="A474" t="s">
        <v>989</v>
      </c>
      <c r="B474" t="s">
        <v>7644</v>
      </c>
      <c r="C474" t="s">
        <v>7645</v>
      </c>
      <c r="D474" t="s">
        <v>105</v>
      </c>
      <c r="E474">
        <v>229.99</v>
      </c>
      <c r="F474" t="s">
        <v>7129</v>
      </c>
      <c r="H474">
        <v>163.99</v>
      </c>
      <c r="L474" t="s">
        <v>5922</v>
      </c>
      <c r="U474">
        <v>159.99</v>
      </c>
      <c r="V474">
        <v>159.99</v>
      </c>
      <c r="X474">
        <v>169.99</v>
      </c>
      <c r="Y474">
        <v>229.99</v>
      </c>
      <c r="Z474" t="s">
        <v>5922</v>
      </c>
    </row>
    <row r="475" spans="1:26" x14ac:dyDescent="0.2">
      <c r="A475" t="s">
        <v>989</v>
      </c>
      <c r="B475" t="s">
        <v>5980</v>
      </c>
      <c r="C475" t="s">
        <v>1025</v>
      </c>
      <c r="D475" t="s">
        <v>98</v>
      </c>
      <c r="E475">
        <v>199</v>
      </c>
      <c r="F475" t="s">
        <v>5922</v>
      </c>
      <c r="G475">
        <v>173.04</v>
      </c>
      <c r="H475">
        <v>147.09</v>
      </c>
      <c r="I475">
        <v>138.43</v>
      </c>
      <c r="J475">
        <v>138.43</v>
      </c>
      <c r="L475" t="s">
        <v>5922</v>
      </c>
      <c r="R475">
        <v>173.04</v>
      </c>
      <c r="U475">
        <v>138.43</v>
      </c>
      <c r="V475">
        <v>138.43</v>
      </c>
      <c r="W475">
        <v>155.74</v>
      </c>
      <c r="X475">
        <v>129.78</v>
      </c>
      <c r="Y475">
        <v>179</v>
      </c>
      <c r="Z475" t="s">
        <v>5922</v>
      </c>
    </row>
    <row r="476" spans="1:26" x14ac:dyDescent="0.2">
      <c r="A476" t="s">
        <v>989</v>
      </c>
      <c r="B476" t="s">
        <v>7646</v>
      </c>
      <c r="C476" t="s">
        <v>7647</v>
      </c>
      <c r="D476" t="s">
        <v>105</v>
      </c>
      <c r="E476">
        <v>449.99</v>
      </c>
      <c r="F476" t="s">
        <v>7081</v>
      </c>
      <c r="H476">
        <v>320.86</v>
      </c>
      <c r="L476" t="s">
        <v>5922</v>
      </c>
      <c r="U476">
        <v>313.04000000000002</v>
      </c>
      <c r="V476">
        <v>313.04000000000002</v>
      </c>
      <c r="X476">
        <v>332.6</v>
      </c>
      <c r="Y476">
        <v>449.99</v>
      </c>
      <c r="Z476" t="s">
        <v>5922</v>
      </c>
    </row>
    <row r="477" spans="1:26" x14ac:dyDescent="0.2">
      <c r="A477" t="s">
        <v>989</v>
      </c>
      <c r="B477" t="s">
        <v>7648</v>
      </c>
      <c r="C477" t="s">
        <v>7649</v>
      </c>
      <c r="D477" t="s">
        <v>105</v>
      </c>
      <c r="E477">
        <v>599.99</v>
      </c>
      <c r="F477" t="s">
        <v>7092</v>
      </c>
      <c r="H477">
        <v>462.77</v>
      </c>
      <c r="L477" t="s">
        <v>5922</v>
      </c>
      <c r="U477">
        <v>451.48</v>
      </c>
      <c r="V477">
        <v>451.48</v>
      </c>
      <c r="X477">
        <v>479.7</v>
      </c>
      <c r="Y477">
        <v>599.99</v>
      </c>
      <c r="Z477" t="s">
        <v>5922</v>
      </c>
    </row>
    <row r="478" spans="1:26" x14ac:dyDescent="0.2">
      <c r="A478" t="s">
        <v>989</v>
      </c>
      <c r="B478" t="s">
        <v>5981</v>
      </c>
      <c r="C478" t="s">
        <v>1026</v>
      </c>
      <c r="D478" t="s">
        <v>98</v>
      </c>
      <c r="E478">
        <v>149</v>
      </c>
      <c r="F478" t="s">
        <v>5922</v>
      </c>
      <c r="G478">
        <v>129.57</v>
      </c>
      <c r="H478">
        <v>110.13</v>
      </c>
      <c r="I478">
        <v>103.65</v>
      </c>
      <c r="J478">
        <v>103.65</v>
      </c>
      <c r="L478" t="s">
        <v>5922</v>
      </c>
      <c r="R478">
        <v>129.57</v>
      </c>
      <c r="U478">
        <v>108.65</v>
      </c>
      <c r="V478">
        <v>103.65</v>
      </c>
      <c r="W478">
        <v>116.61</v>
      </c>
      <c r="X478">
        <v>97.17</v>
      </c>
      <c r="Y478">
        <v>149</v>
      </c>
      <c r="Z478" t="s">
        <v>5922</v>
      </c>
    </row>
    <row r="479" spans="1:26" x14ac:dyDescent="0.2">
      <c r="A479" t="s">
        <v>989</v>
      </c>
      <c r="B479" t="s">
        <v>5982</v>
      </c>
      <c r="C479" t="s">
        <v>1027</v>
      </c>
      <c r="D479" t="s">
        <v>98</v>
      </c>
      <c r="E479">
        <v>199</v>
      </c>
      <c r="F479" t="s">
        <v>5922</v>
      </c>
      <c r="G479">
        <v>173.04</v>
      </c>
      <c r="H479">
        <v>147.09</v>
      </c>
      <c r="I479">
        <v>138.43</v>
      </c>
      <c r="J479">
        <v>138.43</v>
      </c>
      <c r="L479" t="s">
        <v>5922</v>
      </c>
      <c r="R479">
        <v>173.04</v>
      </c>
      <c r="U479">
        <v>143.43</v>
      </c>
      <c r="V479">
        <v>138.43</v>
      </c>
      <c r="W479">
        <v>155.74</v>
      </c>
      <c r="X479">
        <v>129.78</v>
      </c>
      <c r="Y479">
        <v>199</v>
      </c>
      <c r="Z479" t="s">
        <v>5922</v>
      </c>
    </row>
    <row r="480" spans="1:26" x14ac:dyDescent="0.2">
      <c r="A480" t="s">
        <v>989</v>
      </c>
      <c r="B480" t="s">
        <v>5983</v>
      </c>
      <c r="C480" t="s">
        <v>1028</v>
      </c>
      <c r="D480" t="s">
        <v>98</v>
      </c>
      <c r="E480">
        <v>219</v>
      </c>
      <c r="F480" t="s">
        <v>5922</v>
      </c>
      <c r="G480">
        <v>190.43</v>
      </c>
      <c r="H480">
        <v>161.87</v>
      </c>
      <c r="I480">
        <v>152.35</v>
      </c>
      <c r="J480">
        <v>152.35</v>
      </c>
      <c r="L480" t="s">
        <v>5922</v>
      </c>
      <c r="R480">
        <v>190.43</v>
      </c>
      <c r="U480">
        <v>157.35</v>
      </c>
      <c r="V480">
        <v>152.35</v>
      </c>
      <c r="W480">
        <v>171.39</v>
      </c>
      <c r="X480">
        <v>142.83000000000001</v>
      </c>
      <c r="Y480">
        <v>219</v>
      </c>
      <c r="Z480" t="s">
        <v>5922</v>
      </c>
    </row>
    <row r="481" spans="1:26" x14ac:dyDescent="0.2">
      <c r="A481" t="s">
        <v>989</v>
      </c>
      <c r="B481" t="s">
        <v>5984</v>
      </c>
      <c r="C481" t="s">
        <v>1029</v>
      </c>
      <c r="D481" t="s">
        <v>98</v>
      </c>
      <c r="E481">
        <v>249</v>
      </c>
      <c r="F481" t="s">
        <v>5922</v>
      </c>
      <c r="G481">
        <v>216.52</v>
      </c>
      <c r="H481">
        <v>184.04</v>
      </c>
      <c r="I481">
        <v>173.22</v>
      </c>
      <c r="J481">
        <v>173.22</v>
      </c>
      <c r="L481" t="s">
        <v>5922</v>
      </c>
      <c r="R481">
        <v>216.52</v>
      </c>
      <c r="U481">
        <v>178.22</v>
      </c>
      <c r="V481">
        <v>173.22</v>
      </c>
      <c r="W481">
        <v>194.87</v>
      </c>
      <c r="X481">
        <v>162.38999999999999</v>
      </c>
      <c r="Y481">
        <v>249</v>
      </c>
      <c r="Z481" t="s">
        <v>5922</v>
      </c>
    </row>
    <row r="482" spans="1:26" x14ac:dyDescent="0.2">
      <c r="A482" t="s">
        <v>989</v>
      </c>
      <c r="B482" t="s">
        <v>5985</v>
      </c>
      <c r="C482" t="s">
        <v>1030</v>
      </c>
      <c r="D482" t="s">
        <v>98</v>
      </c>
      <c r="E482">
        <v>499</v>
      </c>
      <c r="F482" t="s">
        <v>7062</v>
      </c>
      <c r="H482">
        <v>203.69</v>
      </c>
      <c r="L482" t="s">
        <v>5922</v>
      </c>
      <c r="Q482">
        <v>203.69</v>
      </c>
      <c r="R482">
        <v>203.69</v>
      </c>
      <c r="U482">
        <v>368</v>
      </c>
      <c r="V482">
        <v>368</v>
      </c>
      <c r="W482">
        <v>414</v>
      </c>
      <c r="X482">
        <v>368.83</v>
      </c>
      <c r="Y482">
        <v>499</v>
      </c>
      <c r="Z482" t="s">
        <v>5922</v>
      </c>
    </row>
    <row r="483" spans="1:26" x14ac:dyDescent="0.2">
      <c r="A483" t="s">
        <v>989</v>
      </c>
      <c r="B483" t="s">
        <v>5986</v>
      </c>
      <c r="C483" t="s">
        <v>1031</v>
      </c>
      <c r="D483" t="s">
        <v>98</v>
      </c>
      <c r="E483">
        <v>299</v>
      </c>
      <c r="F483" t="s">
        <v>5922</v>
      </c>
      <c r="G483">
        <v>260</v>
      </c>
      <c r="H483">
        <v>221</v>
      </c>
      <c r="I483">
        <v>208</v>
      </c>
      <c r="J483">
        <v>208</v>
      </c>
      <c r="L483" t="s">
        <v>5922</v>
      </c>
      <c r="R483">
        <v>260</v>
      </c>
      <c r="U483">
        <v>213</v>
      </c>
      <c r="V483">
        <v>208</v>
      </c>
      <c r="W483">
        <v>234</v>
      </c>
      <c r="X483">
        <v>195</v>
      </c>
      <c r="Y483">
        <v>299</v>
      </c>
      <c r="Z483" t="s">
        <v>5922</v>
      </c>
    </row>
    <row r="484" spans="1:26" x14ac:dyDescent="0.2">
      <c r="A484" t="s">
        <v>989</v>
      </c>
      <c r="B484" t="s">
        <v>1032</v>
      </c>
      <c r="C484" t="s">
        <v>1033</v>
      </c>
      <c r="D484" t="s">
        <v>105</v>
      </c>
      <c r="E484">
        <v>399</v>
      </c>
      <c r="F484" t="s">
        <v>6948</v>
      </c>
      <c r="H484">
        <v>284.5</v>
      </c>
      <c r="L484" t="s">
        <v>5922</v>
      </c>
      <c r="U484">
        <v>277.57</v>
      </c>
      <c r="V484">
        <v>277.57</v>
      </c>
      <c r="X484">
        <v>294.91000000000003</v>
      </c>
      <c r="Y484">
        <v>399</v>
      </c>
      <c r="Z484" t="s">
        <v>5922</v>
      </c>
    </row>
    <row r="485" spans="1:26" x14ac:dyDescent="0.2">
      <c r="A485" t="s">
        <v>989</v>
      </c>
      <c r="B485" t="s">
        <v>5987</v>
      </c>
      <c r="C485" t="s">
        <v>1034</v>
      </c>
      <c r="D485" t="s">
        <v>98</v>
      </c>
      <c r="E485">
        <v>329</v>
      </c>
      <c r="F485" t="s">
        <v>7063</v>
      </c>
      <c r="G485">
        <v>329</v>
      </c>
      <c r="H485">
        <v>234.59</v>
      </c>
      <c r="I485">
        <v>228.87</v>
      </c>
      <c r="J485">
        <v>228.87</v>
      </c>
      <c r="L485" t="s">
        <v>5922</v>
      </c>
      <c r="Q485">
        <v>234.59</v>
      </c>
      <c r="R485">
        <v>234.59</v>
      </c>
      <c r="U485">
        <v>235.83</v>
      </c>
      <c r="V485">
        <v>235.83</v>
      </c>
      <c r="W485">
        <v>257.48</v>
      </c>
      <c r="X485">
        <v>243.17</v>
      </c>
      <c r="Y485">
        <v>329</v>
      </c>
      <c r="Z485" t="s">
        <v>5922</v>
      </c>
    </row>
    <row r="486" spans="1:26" x14ac:dyDescent="0.2">
      <c r="A486" t="s">
        <v>989</v>
      </c>
      <c r="B486" t="s">
        <v>5988</v>
      </c>
      <c r="C486" t="s">
        <v>1035</v>
      </c>
      <c r="D486" t="s">
        <v>98</v>
      </c>
      <c r="E486">
        <v>169</v>
      </c>
      <c r="F486" t="s">
        <v>6937</v>
      </c>
      <c r="G486">
        <v>169</v>
      </c>
      <c r="H486">
        <v>120.5</v>
      </c>
      <c r="I486">
        <v>117.57</v>
      </c>
      <c r="J486">
        <v>117.57</v>
      </c>
      <c r="L486" t="s">
        <v>5922</v>
      </c>
      <c r="Q486">
        <v>120.5</v>
      </c>
      <c r="R486">
        <v>120.5</v>
      </c>
      <c r="U486">
        <v>131.47999999999999</v>
      </c>
      <c r="V486">
        <v>131.47999999999999</v>
      </c>
      <c r="W486">
        <v>132.26</v>
      </c>
      <c r="X486">
        <v>124.91</v>
      </c>
      <c r="Y486">
        <v>169</v>
      </c>
      <c r="Z486" t="s">
        <v>5922</v>
      </c>
    </row>
    <row r="487" spans="1:26" x14ac:dyDescent="0.2">
      <c r="A487" t="s">
        <v>989</v>
      </c>
      <c r="B487" t="s">
        <v>5989</v>
      </c>
      <c r="C487" t="s">
        <v>1036</v>
      </c>
      <c r="D487" t="s">
        <v>98</v>
      </c>
      <c r="E487">
        <v>799</v>
      </c>
      <c r="F487" t="s">
        <v>7047</v>
      </c>
      <c r="G487">
        <v>799</v>
      </c>
      <c r="H487">
        <v>569.72</v>
      </c>
      <c r="I487">
        <v>555.83000000000004</v>
      </c>
      <c r="J487">
        <v>555.83000000000004</v>
      </c>
      <c r="L487" t="s">
        <v>5922</v>
      </c>
      <c r="Q487">
        <v>569.72</v>
      </c>
      <c r="R487">
        <v>569.72</v>
      </c>
      <c r="U487">
        <v>555.83000000000004</v>
      </c>
      <c r="V487">
        <v>555.83000000000004</v>
      </c>
      <c r="W487">
        <v>625.29999999999995</v>
      </c>
      <c r="X487">
        <v>590.57000000000005</v>
      </c>
      <c r="Y487">
        <v>799</v>
      </c>
      <c r="Z487" t="s">
        <v>5922</v>
      </c>
    </row>
    <row r="488" spans="1:26" x14ac:dyDescent="0.2">
      <c r="A488" t="s">
        <v>989</v>
      </c>
      <c r="B488" t="s">
        <v>5990</v>
      </c>
      <c r="C488" t="s">
        <v>1037</v>
      </c>
      <c r="D488" t="s">
        <v>98</v>
      </c>
      <c r="E488">
        <v>279</v>
      </c>
      <c r="F488" t="s">
        <v>5922</v>
      </c>
      <c r="G488">
        <v>242.61</v>
      </c>
      <c r="H488">
        <v>206.22</v>
      </c>
      <c r="I488">
        <v>194.09</v>
      </c>
      <c r="J488">
        <v>194.09</v>
      </c>
      <c r="L488" t="s">
        <v>5922</v>
      </c>
      <c r="R488">
        <v>242.61</v>
      </c>
      <c r="U488">
        <v>199.09</v>
      </c>
      <c r="V488">
        <v>194.09</v>
      </c>
      <c r="W488">
        <v>218.35</v>
      </c>
      <c r="X488">
        <v>181.96</v>
      </c>
      <c r="Y488">
        <v>279</v>
      </c>
      <c r="Z488" t="s">
        <v>5922</v>
      </c>
    </row>
    <row r="489" spans="1:26" x14ac:dyDescent="0.2">
      <c r="A489" t="s">
        <v>989</v>
      </c>
      <c r="B489" t="s">
        <v>5991</v>
      </c>
      <c r="C489" t="s">
        <v>1038</v>
      </c>
      <c r="D489" t="s">
        <v>98</v>
      </c>
      <c r="E489">
        <v>279</v>
      </c>
      <c r="F489" t="s">
        <v>7064</v>
      </c>
      <c r="G489">
        <v>279</v>
      </c>
      <c r="H489">
        <v>198.94</v>
      </c>
      <c r="I489">
        <v>194.09</v>
      </c>
      <c r="J489">
        <v>194.09</v>
      </c>
      <c r="L489" t="s">
        <v>5922</v>
      </c>
      <c r="Q489">
        <v>198.94</v>
      </c>
      <c r="R489">
        <v>198.94</v>
      </c>
      <c r="U489">
        <v>208</v>
      </c>
      <c r="V489">
        <v>208</v>
      </c>
      <c r="W489">
        <v>218.35</v>
      </c>
      <c r="X489">
        <v>206.22</v>
      </c>
      <c r="Y489">
        <v>279</v>
      </c>
      <c r="Z489" t="s">
        <v>5922</v>
      </c>
    </row>
    <row r="490" spans="1:26" x14ac:dyDescent="0.2">
      <c r="A490" t="s">
        <v>989</v>
      </c>
      <c r="B490" t="s">
        <v>1039</v>
      </c>
      <c r="C490" t="s">
        <v>1040</v>
      </c>
      <c r="D490" t="s">
        <v>105</v>
      </c>
      <c r="E490">
        <v>779</v>
      </c>
      <c r="F490" t="s">
        <v>7065</v>
      </c>
      <c r="H490">
        <v>555.46</v>
      </c>
      <c r="L490" t="s">
        <v>5922</v>
      </c>
      <c r="U490">
        <v>541.91</v>
      </c>
      <c r="V490">
        <v>541.91</v>
      </c>
      <c r="X490">
        <v>575.78</v>
      </c>
      <c r="Y490">
        <v>779</v>
      </c>
      <c r="Z490" t="s">
        <v>5922</v>
      </c>
    </row>
    <row r="491" spans="1:26" x14ac:dyDescent="0.2">
      <c r="A491" t="s">
        <v>989</v>
      </c>
      <c r="B491" t="s">
        <v>1041</v>
      </c>
      <c r="C491" t="s">
        <v>1042</v>
      </c>
      <c r="D491" t="s">
        <v>98</v>
      </c>
      <c r="E491">
        <v>369</v>
      </c>
      <c r="F491" t="s">
        <v>5922</v>
      </c>
      <c r="G491">
        <v>369</v>
      </c>
      <c r="H491">
        <v>256.7</v>
      </c>
      <c r="I491">
        <v>320.87</v>
      </c>
      <c r="J491">
        <v>320.87</v>
      </c>
      <c r="K491">
        <v>304.33999999999997</v>
      </c>
      <c r="L491" t="s">
        <v>5922</v>
      </c>
      <c r="M491">
        <v>320.87</v>
      </c>
      <c r="N491">
        <v>320.87</v>
      </c>
      <c r="O491">
        <v>256.7</v>
      </c>
      <c r="P491">
        <v>320.87</v>
      </c>
      <c r="Q491">
        <v>320.87</v>
      </c>
      <c r="R491">
        <v>256.7</v>
      </c>
      <c r="S491">
        <v>320.87</v>
      </c>
      <c r="T491">
        <v>256.7</v>
      </c>
      <c r="U491">
        <v>248.47</v>
      </c>
      <c r="V491">
        <v>256.7</v>
      </c>
      <c r="W491">
        <v>288.77999999999997</v>
      </c>
      <c r="X491">
        <v>256.7</v>
      </c>
      <c r="Y491">
        <v>369</v>
      </c>
      <c r="Z491" t="s">
        <v>5922</v>
      </c>
    </row>
    <row r="492" spans="1:26" x14ac:dyDescent="0.2">
      <c r="A492" t="s">
        <v>989</v>
      </c>
      <c r="B492" t="s">
        <v>1043</v>
      </c>
      <c r="C492" t="s">
        <v>1044</v>
      </c>
      <c r="D492" t="s">
        <v>105</v>
      </c>
      <c r="E492">
        <v>259</v>
      </c>
      <c r="F492" t="s">
        <v>7066</v>
      </c>
      <c r="H492">
        <v>184.68</v>
      </c>
      <c r="L492" t="s">
        <v>5922</v>
      </c>
      <c r="U492">
        <v>180.17</v>
      </c>
      <c r="V492">
        <v>180.17</v>
      </c>
      <c r="X492">
        <v>191.43</v>
      </c>
      <c r="Y492">
        <v>259</v>
      </c>
      <c r="Z492" t="s">
        <v>5922</v>
      </c>
    </row>
    <row r="493" spans="1:26" x14ac:dyDescent="0.2">
      <c r="A493" t="s">
        <v>989</v>
      </c>
      <c r="B493" t="s">
        <v>5992</v>
      </c>
      <c r="C493" t="s">
        <v>1045</v>
      </c>
      <c r="D493" t="s">
        <v>98</v>
      </c>
      <c r="E493">
        <v>49.95</v>
      </c>
      <c r="F493" t="s">
        <v>5922</v>
      </c>
      <c r="G493">
        <v>43.43</v>
      </c>
      <c r="H493">
        <v>36.92</v>
      </c>
      <c r="I493">
        <v>34.75</v>
      </c>
      <c r="J493">
        <v>34.75</v>
      </c>
      <c r="L493" t="s">
        <v>5922</v>
      </c>
      <c r="R493">
        <v>43.43</v>
      </c>
      <c r="U493">
        <v>39.75</v>
      </c>
      <c r="V493">
        <v>34.75</v>
      </c>
      <c r="W493">
        <v>39.090000000000003</v>
      </c>
      <c r="X493">
        <v>32.58</v>
      </c>
      <c r="Y493">
        <v>49.95</v>
      </c>
      <c r="Z493" t="s">
        <v>5922</v>
      </c>
    </row>
    <row r="494" spans="1:26" x14ac:dyDescent="0.2">
      <c r="A494" t="s">
        <v>989</v>
      </c>
      <c r="B494" t="s">
        <v>5993</v>
      </c>
      <c r="C494" t="s">
        <v>1046</v>
      </c>
      <c r="D494" t="s">
        <v>98</v>
      </c>
      <c r="E494">
        <v>39.950000000000003</v>
      </c>
      <c r="F494" t="s">
        <v>5922</v>
      </c>
      <c r="G494">
        <v>34.74</v>
      </c>
      <c r="H494">
        <v>29.53</v>
      </c>
      <c r="I494">
        <v>27.79</v>
      </c>
      <c r="J494">
        <v>27.79</v>
      </c>
      <c r="L494" t="s">
        <v>5922</v>
      </c>
      <c r="R494">
        <v>34.74</v>
      </c>
      <c r="U494">
        <v>32.79</v>
      </c>
      <c r="V494">
        <v>27.79</v>
      </c>
      <c r="W494">
        <v>31.27</v>
      </c>
      <c r="X494">
        <v>26.05</v>
      </c>
      <c r="Y494">
        <v>39.950000000000003</v>
      </c>
      <c r="Z494" t="s">
        <v>5922</v>
      </c>
    </row>
    <row r="495" spans="1:26" x14ac:dyDescent="0.2">
      <c r="A495" t="s">
        <v>989</v>
      </c>
      <c r="B495" t="s">
        <v>5994</v>
      </c>
      <c r="C495" t="s">
        <v>1047</v>
      </c>
      <c r="D495" t="s">
        <v>98</v>
      </c>
      <c r="E495">
        <v>149</v>
      </c>
      <c r="F495" t="s">
        <v>6939</v>
      </c>
      <c r="G495">
        <v>149</v>
      </c>
      <c r="H495">
        <v>106.24</v>
      </c>
      <c r="I495">
        <v>110.61</v>
      </c>
      <c r="J495">
        <v>110.61</v>
      </c>
      <c r="L495" t="s">
        <v>5922</v>
      </c>
      <c r="Q495">
        <v>106.24</v>
      </c>
      <c r="R495">
        <v>106.24</v>
      </c>
      <c r="U495">
        <v>110.61</v>
      </c>
      <c r="V495">
        <v>110.61</v>
      </c>
      <c r="W495">
        <v>124.43</v>
      </c>
      <c r="X495">
        <v>117.52</v>
      </c>
      <c r="Y495">
        <v>149</v>
      </c>
      <c r="Z495" t="s">
        <v>5922</v>
      </c>
    </row>
    <row r="496" spans="1:26" x14ac:dyDescent="0.2">
      <c r="A496" t="s">
        <v>989</v>
      </c>
      <c r="B496" t="s">
        <v>5995</v>
      </c>
      <c r="C496" t="s">
        <v>1048</v>
      </c>
      <c r="D496" t="s">
        <v>98</v>
      </c>
      <c r="E496">
        <v>149</v>
      </c>
      <c r="F496" t="s">
        <v>6939</v>
      </c>
      <c r="G496">
        <v>149</v>
      </c>
      <c r="H496">
        <v>106.24</v>
      </c>
      <c r="I496">
        <v>110.61</v>
      </c>
      <c r="J496">
        <v>110.61</v>
      </c>
      <c r="L496" t="s">
        <v>5922</v>
      </c>
      <c r="Q496">
        <v>106.24</v>
      </c>
      <c r="R496">
        <v>106.24</v>
      </c>
      <c r="U496">
        <v>110.61</v>
      </c>
      <c r="V496">
        <v>110.61</v>
      </c>
      <c r="W496">
        <v>124.43</v>
      </c>
      <c r="X496">
        <v>117.52</v>
      </c>
      <c r="Y496">
        <v>149</v>
      </c>
      <c r="Z496" t="s">
        <v>5922</v>
      </c>
    </row>
    <row r="497" spans="1:26" x14ac:dyDescent="0.2">
      <c r="A497" t="s">
        <v>989</v>
      </c>
      <c r="B497" t="s">
        <v>1049</v>
      </c>
      <c r="C497" t="s">
        <v>1050</v>
      </c>
      <c r="D497" t="s">
        <v>105</v>
      </c>
      <c r="E497">
        <v>249</v>
      </c>
      <c r="F497" t="s">
        <v>7067</v>
      </c>
      <c r="H497">
        <v>177.55</v>
      </c>
      <c r="L497" t="s">
        <v>5922</v>
      </c>
      <c r="U497">
        <v>173.22</v>
      </c>
      <c r="V497">
        <v>173.22</v>
      </c>
      <c r="X497">
        <v>184.04</v>
      </c>
      <c r="Y497">
        <v>249</v>
      </c>
      <c r="Z497" t="s">
        <v>5922</v>
      </c>
    </row>
    <row r="498" spans="1:26" x14ac:dyDescent="0.2">
      <c r="A498" t="s">
        <v>989</v>
      </c>
      <c r="B498" t="s">
        <v>5996</v>
      </c>
      <c r="C498" t="s">
        <v>1051</v>
      </c>
      <c r="D498" t="s">
        <v>98</v>
      </c>
      <c r="E498">
        <v>229</v>
      </c>
      <c r="F498" t="s">
        <v>6947</v>
      </c>
      <c r="G498">
        <v>229</v>
      </c>
      <c r="H498">
        <v>163.29</v>
      </c>
      <c r="L498" t="s">
        <v>5922</v>
      </c>
      <c r="Q498">
        <v>163.29</v>
      </c>
      <c r="R498">
        <v>163.29</v>
      </c>
      <c r="U498">
        <v>173.22</v>
      </c>
      <c r="V498">
        <v>173.22</v>
      </c>
      <c r="W498">
        <v>194.87</v>
      </c>
      <c r="X498">
        <v>184.04</v>
      </c>
      <c r="Y498">
        <v>229</v>
      </c>
      <c r="Z498" t="s">
        <v>5922</v>
      </c>
    </row>
    <row r="499" spans="1:26" x14ac:dyDescent="0.2">
      <c r="A499" t="s">
        <v>989</v>
      </c>
      <c r="B499" t="s">
        <v>5997</v>
      </c>
      <c r="C499" t="s">
        <v>1052</v>
      </c>
      <c r="D499" t="s">
        <v>98</v>
      </c>
      <c r="E499">
        <v>239</v>
      </c>
      <c r="F499" t="s">
        <v>7056</v>
      </c>
      <c r="H499">
        <v>170.42</v>
      </c>
      <c r="L499" t="s">
        <v>5922</v>
      </c>
      <c r="Q499">
        <v>170.42</v>
      </c>
      <c r="R499">
        <v>170.42</v>
      </c>
      <c r="U499">
        <v>180.17</v>
      </c>
      <c r="V499">
        <v>180.17</v>
      </c>
      <c r="W499">
        <v>202.7</v>
      </c>
      <c r="X499">
        <v>176.65</v>
      </c>
      <c r="Y499">
        <v>239</v>
      </c>
      <c r="Z499" t="s">
        <v>5922</v>
      </c>
    </row>
    <row r="500" spans="1:26" x14ac:dyDescent="0.2">
      <c r="A500" t="s">
        <v>989</v>
      </c>
      <c r="B500" t="s">
        <v>5998</v>
      </c>
      <c r="C500" t="s">
        <v>1053</v>
      </c>
      <c r="D500" t="s">
        <v>98</v>
      </c>
      <c r="E500">
        <v>139</v>
      </c>
      <c r="F500" t="s">
        <v>7068</v>
      </c>
      <c r="G500">
        <v>139</v>
      </c>
      <c r="H500">
        <v>99.11</v>
      </c>
      <c r="I500">
        <v>89.74</v>
      </c>
      <c r="J500">
        <v>89.74</v>
      </c>
      <c r="L500" t="s">
        <v>5922</v>
      </c>
      <c r="Q500">
        <v>99.11</v>
      </c>
      <c r="R500">
        <v>99.11</v>
      </c>
      <c r="U500">
        <v>107.13</v>
      </c>
      <c r="V500">
        <v>107.13</v>
      </c>
      <c r="W500">
        <v>108.78</v>
      </c>
      <c r="X500">
        <v>102.74</v>
      </c>
      <c r="Y500">
        <v>139</v>
      </c>
      <c r="Z500" t="s">
        <v>5922</v>
      </c>
    </row>
    <row r="501" spans="1:26" x14ac:dyDescent="0.2">
      <c r="A501" t="s">
        <v>989</v>
      </c>
      <c r="B501" t="s">
        <v>5999</v>
      </c>
      <c r="C501" t="s">
        <v>1054</v>
      </c>
      <c r="D501" t="s">
        <v>98</v>
      </c>
      <c r="E501">
        <v>34.950000000000003</v>
      </c>
      <c r="F501" t="s">
        <v>5922</v>
      </c>
      <c r="G501">
        <v>30.39</v>
      </c>
      <c r="H501">
        <v>25.83</v>
      </c>
      <c r="I501">
        <v>24.31</v>
      </c>
      <c r="J501">
        <v>24.31</v>
      </c>
      <c r="L501" t="s">
        <v>5922</v>
      </c>
      <c r="R501">
        <v>30.39</v>
      </c>
      <c r="U501">
        <v>29.31</v>
      </c>
      <c r="V501">
        <v>24.31</v>
      </c>
      <c r="W501">
        <v>27.35</v>
      </c>
      <c r="X501">
        <v>22.79</v>
      </c>
      <c r="Y501">
        <v>34.950000000000003</v>
      </c>
      <c r="Z501" t="s">
        <v>5922</v>
      </c>
    </row>
    <row r="502" spans="1:26" x14ac:dyDescent="0.2">
      <c r="A502" t="s">
        <v>989</v>
      </c>
      <c r="B502" t="s">
        <v>6000</v>
      </c>
      <c r="C502" t="s">
        <v>1055</v>
      </c>
      <c r="D502" t="s">
        <v>98</v>
      </c>
      <c r="E502">
        <v>199.95</v>
      </c>
      <c r="F502" t="s">
        <v>5922</v>
      </c>
      <c r="G502">
        <v>173.87</v>
      </c>
      <c r="H502">
        <v>147.79</v>
      </c>
      <c r="I502">
        <v>139.1</v>
      </c>
      <c r="J502">
        <v>139.1</v>
      </c>
      <c r="L502" t="s">
        <v>5922</v>
      </c>
      <c r="R502">
        <v>173.87</v>
      </c>
      <c r="U502">
        <v>144.1</v>
      </c>
      <c r="V502">
        <v>139.1</v>
      </c>
      <c r="W502">
        <v>156.47999999999999</v>
      </c>
      <c r="X502">
        <v>130.4</v>
      </c>
      <c r="Y502">
        <v>199.95</v>
      </c>
      <c r="Z502" t="s">
        <v>5922</v>
      </c>
    </row>
    <row r="503" spans="1:26" x14ac:dyDescent="0.2">
      <c r="A503" t="s">
        <v>989</v>
      </c>
      <c r="B503" t="s">
        <v>6001</v>
      </c>
      <c r="C503" t="s">
        <v>1056</v>
      </c>
      <c r="D503" t="s">
        <v>98</v>
      </c>
      <c r="E503">
        <v>389.95</v>
      </c>
      <c r="F503" t="s">
        <v>5922</v>
      </c>
      <c r="G503">
        <v>339.09</v>
      </c>
      <c r="H503">
        <v>288.22000000000003</v>
      </c>
      <c r="I503">
        <v>271.27</v>
      </c>
      <c r="J503">
        <v>271.27</v>
      </c>
      <c r="L503" t="s">
        <v>5922</v>
      </c>
      <c r="R503">
        <v>339.09</v>
      </c>
      <c r="U503">
        <v>276.27</v>
      </c>
      <c r="V503">
        <v>271.27</v>
      </c>
      <c r="W503">
        <v>305.18</v>
      </c>
      <c r="X503">
        <v>254.32</v>
      </c>
      <c r="Y503">
        <v>389.95</v>
      </c>
      <c r="Z503" t="s">
        <v>5922</v>
      </c>
    </row>
    <row r="504" spans="1:26" x14ac:dyDescent="0.2">
      <c r="A504" t="s">
        <v>989</v>
      </c>
      <c r="B504" t="s">
        <v>7650</v>
      </c>
      <c r="C504" t="s">
        <v>7651</v>
      </c>
      <c r="D504" t="s">
        <v>105</v>
      </c>
      <c r="E504">
        <v>129.99</v>
      </c>
      <c r="F504" t="s">
        <v>7023</v>
      </c>
      <c r="H504">
        <v>92.69</v>
      </c>
      <c r="L504" t="s">
        <v>5922</v>
      </c>
      <c r="U504">
        <v>90.43</v>
      </c>
      <c r="V504">
        <v>90.43</v>
      </c>
      <c r="X504">
        <v>96.08</v>
      </c>
      <c r="Y504">
        <v>129.99</v>
      </c>
      <c r="Z504" t="s">
        <v>5922</v>
      </c>
    </row>
    <row r="505" spans="1:26" x14ac:dyDescent="0.2">
      <c r="A505" t="s">
        <v>989</v>
      </c>
      <c r="B505" t="s">
        <v>1057</v>
      </c>
      <c r="C505" t="s">
        <v>1058</v>
      </c>
      <c r="D505" t="s">
        <v>105</v>
      </c>
      <c r="E505">
        <v>599</v>
      </c>
      <c r="F505" t="s">
        <v>6941</v>
      </c>
      <c r="H505">
        <v>427.11</v>
      </c>
      <c r="L505" t="s">
        <v>5922</v>
      </c>
      <c r="U505">
        <v>416.7</v>
      </c>
      <c r="V505">
        <v>416.7</v>
      </c>
      <c r="X505">
        <v>442.74</v>
      </c>
      <c r="Y505">
        <v>599</v>
      </c>
      <c r="Z505" t="s">
        <v>5922</v>
      </c>
    </row>
    <row r="506" spans="1:26" x14ac:dyDescent="0.2">
      <c r="A506" t="s">
        <v>989</v>
      </c>
      <c r="B506" t="s">
        <v>6002</v>
      </c>
      <c r="C506" t="s">
        <v>1059</v>
      </c>
      <c r="D506" t="s">
        <v>98</v>
      </c>
      <c r="E506">
        <v>529</v>
      </c>
      <c r="F506" t="s">
        <v>7069</v>
      </c>
      <c r="H506">
        <v>377.2</v>
      </c>
      <c r="L506" t="s">
        <v>5922</v>
      </c>
      <c r="Q506">
        <v>377.2</v>
      </c>
      <c r="R506">
        <v>377.2</v>
      </c>
      <c r="U506">
        <v>381.91</v>
      </c>
      <c r="V506">
        <v>381.91</v>
      </c>
      <c r="W506">
        <v>429.65</v>
      </c>
      <c r="X506">
        <v>391</v>
      </c>
      <c r="Y506">
        <v>529</v>
      </c>
      <c r="Z506" t="s">
        <v>5922</v>
      </c>
    </row>
    <row r="507" spans="1:26" x14ac:dyDescent="0.2">
      <c r="A507" t="s">
        <v>989</v>
      </c>
      <c r="B507" t="s">
        <v>7652</v>
      </c>
      <c r="C507" t="s">
        <v>7653</v>
      </c>
      <c r="D507" t="s">
        <v>105</v>
      </c>
      <c r="E507">
        <v>149.99</v>
      </c>
      <c r="F507" t="s">
        <v>7022</v>
      </c>
      <c r="H507">
        <v>106.95</v>
      </c>
      <c r="L507" t="s">
        <v>5922</v>
      </c>
      <c r="U507">
        <v>104.34</v>
      </c>
      <c r="V507">
        <v>104.34</v>
      </c>
      <c r="X507">
        <v>110.86</v>
      </c>
      <c r="Y507">
        <v>149.99</v>
      </c>
      <c r="Z507" t="s">
        <v>5922</v>
      </c>
    </row>
    <row r="508" spans="1:26" x14ac:dyDescent="0.2">
      <c r="A508" t="s">
        <v>989</v>
      </c>
      <c r="B508" t="s">
        <v>1060</v>
      </c>
      <c r="C508" t="s">
        <v>1061</v>
      </c>
      <c r="D508" t="s">
        <v>105</v>
      </c>
      <c r="E508">
        <v>629</v>
      </c>
      <c r="F508" t="s">
        <v>7070</v>
      </c>
      <c r="H508">
        <v>448.5</v>
      </c>
      <c r="L508" t="s">
        <v>5922</v>
      </c>
      <c r="U508">
        <v>437.57</v>
      </c>
      <c r="V508">
        <v>437.57</v>
      </c>
      <c r="X508">
        <v>464.91</v>
      </c>
      <c r="Y508">
        <v>629</v>
      </c>
      <c r="Z508" t="s">
        <v>5922</v>
      </c>
    </row>
    <row r="509" spans="1:26" x14ac:dyDescent="0.2">
      <c r="A509" t="s">
        <v>989</v>
      </c>
      <c r="B509" t="s">
        <v>6003</v>
      </c>
      <c r="C509" t="s">
        <v>1062</v>
      </c>
      <c r="D509" t="s">
        <v>98</v>
      </c>
      <c r="E509">
        <v>329</v>
      </c>
      <c r="F509" t="s">
        <v>5922</v>
      </c>
      <c r="G509">
        <v>249</v>
      </c>
      <c r="H509">
        <v>243.17</v>
      </c>
      <c r="I509">
        <v>228.87</v>
      </c>
      <c r="J509">
        <v>228.87</v>
      </c>
      <c r="L509" t="s">
        <v>5922</v>
      </c>
      <c r="R509">
        <v>286.08999999999997</v>
      </c>
      <c r="U509">
        <v>228.87</v>
      </c>
      <c r="V509">
        <v>228.87</v>
      </c>
      <c r="W509">
        <v>257.48</v>
      </c>
      <c r="X509">
        <v>243.17</v>
      </c>
      <c r="Y509">
        <v>249</v>
      </c>
      <c r="Z509" t="s">
        <v>5922</v>
      </c>
    </row>
    <row r="510" spans="1:26" x14ac:dyDescent="0.2">
      <c r="A510" t="s">
        <v>989</v>
      </c>
      <c r="B510" t="s">
        <v>6004</v>
      </c>
      <c r="C510" t="s">
        <v>1063</v>
      </c>
      <c r="D510" t="s">
        <v>98</v>
      </c>
      <c r="E510">
        <v>259</v>
      </c>
      <c r="F510" t="s">
        <v>5922</v>
      </c>
      <c r="G510">
        <v>225.22</v>
      </c>
      <c r="H510">
        <v>191.43</v>
      </c>
      <c r="I510">
        <v>180.17</v>
      </c>
      <c r="J510">
        <v>180.17</v>
      </c>
      <c r="L510" t="s">
        <v>5922</v>
      </c>
      <c r="R510">
        <v>225.22</v>
      </c>
      <c r="U510">
        <v>180.17</v>
      </c>
      <c r="V510">
        <v>180.17</v>
      </c>
      <c r="W510">
        <v>202.7</v>
      </c>
      <c r="X510">
        <v>168.91</v>
      </c>
      <c r="Y510">
        <v>239</v>
      </c>
      <c r="Z510" t="s">
        <v>5922</v>
      </c>
    </row>
    <row r="511" spans="1:26" x14ac:dyDescent="0.2">
      <c r="A511" t="s">
        <v>989</v>
      </c>
      <c r="B511" t="s">
        <v>6005</v>
      </c>
      <c r="C511" t="s">
        <v>1064</v>
      </c>
      <c r="D511" t="s">
        <v>98</v>
      </c>
      <c r="E511">
        <v>339</v>
      </c>
      <c r="F511" t="s">
        <v>5922</v>
      </c>
      <c r="G511">
        <v>294.77999999999997</v>
      </c>
      <c r="H511">
        <v>250.57</v>
      </c>
      <c r="I511">
        <v>235.83</v>
      </c>
      <c r="J511">
        <v>235.83</v>
      </c>
      <c r="L511" t="s">
        <v>5922</v>
      </c>
      <c r="R511">
        <v>294.77999999999997</v>
      </c>
      <c r="U511">
        <v>240.83</v>
      </c>
      <c r="V511">
        <v>235.83</v>
      </c>
      <c r="W511">
        <v>265.3</v>
      </c>
      <c r="X511">
        <v>221.09</v>
      </c>
      <c r="Y511">
        <v>339</v>
      </c>
      <c r="Z511" t="s">
        <v>5922</v>
      </c>
    </row>
    <row r="512" spans="1:26" x14ac:dyDescent="0.2">
      <c r="A512" t="s">
        <v>989</v>
      </c>
      <c r="B512" t="s">
        <v>6006</v>
      </c>
      <c r="C512" t="s">
        <v>1065</v>
      </c>
      <c r="D512" t="s">
        <v>98</v>
      </c>
      <c r="E512">
        <v>199</v>
      </c>
      <c r="F512" t="s">
        <v>5922</v>
      </c>
      <c r="G512">
        <v>173.04</v>
      </c>
      <c r="H512">
        <v>147.09</v>
      </c>
      <c r="I512">
        <v>138.43</v>
      </c>
      <c r="J512">
        <v>138.43</v>
      </c>
      <c r="L512" t="s">
        <v>5922</v>
      </c>
      <c r="R512">
        <v>173.04</v>
      </c>
      <c r="U512">
        <v>143.43</v>
      </c>
      <c r="V512">
        <v>138.43</v>
      </c>
      <c r="W512">
        <v>155.74</v>
      </c>
      <c r="X512">
        <v>129.78</v>
      </c>
      <c r="Y512">
        <v>199</v>
      </c>
      <c r="Z512" t="s">
        <v>5922</v>
      </c>
    </row>
    <row r="513" spans="1:26" x14ac:dyDescent="0.2">
      <c r="A513" t="s">
        <v>989</v>
      </c>
      <c r="B513" t="s">
        <v>6007</v>
      </c>
      <c r="C513" t="s">
        <v>1066</v>
      </c>
      <c r="D513" t="s">
        <v>98</v>
      </c>
      <c r="E513">
        <v>219</v>
      </c>
      <c r="F513" t="s">
        <v>5922</v>
      </c>
      <c r="G513">
        <v>190.43</v>
      </c>
      <c r="H513">
        <v>161.87</v>
      </c>
      <c r="I513">
        <v>152.35</v>
      </c>
      <c r="J513">
        <v>152.35</v>
      </c>
      <c r="L513" t="s">
        <v>5922</v>
      </c>
      <c r="R513">
        <v>190.43</v>
      </c>
      <c r="U513">
        <v>157.35</v>
      </c>
      <c r="V513">
        <v>152.35</v>
      </c>
      <c r="W513">
        <v>171.39</v>
      </c>
      <c r="X513">
        <v>142.83000000000001</v>
      </c>
      <c r="Y513">
        <v>219</v>
      </c>
      <c r="Z513" t="s">
        <v>5922</v>
      </c>
    </row>
    <row r="514" spans="1:26" x14ac:dyDescent="0.2">
      <c r="A514" t="s">
        <v>989</v>
      </c>
      <c r="B514" t="s">
        <v>6008</v>
      </c>
      <c r="C514" t="s">
        <v>1067</v>
      </c>
      <c r="D514" t="s">
        <v>98</v>
      </c>
      <c r="E514">
        <v>299</v>
      </c>
      <c r="F514" t="s">
        <v>5922</v>
      </c>
      <c r="G514">
        <v>260</v>
      </c>
      <c r="H514">
        <v>221</v>
      </c>
      <c r="I514">
        <v>208</v>
      </c>
      <c r="J514">
        <v>208</v>
      </c>
      <c r="L514" t="s">
        <v>5922</v>
      </c>
      <c r="R514">
        <v>260</v>
      </c>
      <c r="U514">
        <v>213</v>
      </c>
      <c r="V514">
        <v>208</v>
      </c>
      <c r="W514">
        <v>234</v>
      </c>
      <c r="X514">
        <v>195</v>
      </c>
      <c r="Y514">
        <v>299</v>
      </c>
      <c r="Z514" t="s">
        <v>5922</v>
      </c>
    </row>
    <row r="515" spans="1:26" x14ac:dyDescent="0.2">
      <c r="A515" t="s">
        <v>989</v>
      </c>
      <c r="B515" t="s">
        <v>6009</v>
      </c>
      <c r="C515" t="s">
        <v>1068</v>
      </c>
      <c r="D515" t="s">
        <v>98</v>
      </c>
      <c r="E515">
        <v>339</v>
      </c>
      <c r="F515" t="s">
        <v>5922</v>
      </c>
      <c r="G515">
        <v>294.77999999999997</v>
      </c>
      <c r="H515">
        <v>250.57</v>
      </c>
      <c r="I515">
        <v>235.83</v>
      </c>
      <c r="J515">
        <v>235.83</v>
      </c>
      <c r="L515" t="s">
        <v>5922</v>
      </c>
      <c r="R515">
        <v>294.77999999999997</v>
      </c>
      <c r="U515">
        <v>240.83</v>
      </c>
      <c r="V515">
        <v>235.83</v>
      </c>
      <c r="W515">
        <v>265.3</v>
      </c>
      <c r="X515">
        <v>221.09</v>
      </c>
      <c r="Y515">
        <v>339</v>
      </c>
      <c r="Z515" t="s">
        <v>5922</v>
      </c>
    </row>
    <row r="516" spans="1:26" x14ac:dyDescent="0.2">
      <c r="A516" t="s">
        <v>989</v>
      </c>
      <c r="B516" t="s">
        <v>1069</v>
      </c>
      <c r="C516" t="s">
        <v>1070</v>
      </c>
      <c r="D516" t="s">
        <v>105</v>
      </c>
      <c r="E516">
        <v>199</v>
      </c>
      <c r="F516" t="s">
        <v>6954</v>
      </c>
      <c r="H516">
        <v>141.9</v>
      </c>
      <c r="L516" t="s">
        <v>5922</v>
      </c>
      <c r="U516">
        <v>138.43</v>
      </c>
      <c r="V516">
        <v>138.43</v>
      </c>
      <c r="X516">
        <v>147.09</v>
      </c>
      <c r="Y516">
        <v>199</v>
      </c>
      <c r="Z516" t="s">
        <v>5922</v>
      </c>
    </row>
    <row r="517" spans="1:26" x14ac:dyDescent="0.2">
      <c r="A517" t="s">
        <v>989</v>
      </c>
      <c r="B517" t="s">
        <v>1071</v>
      </c>
      <c r="C517" t="s">
        <v>1072</v>
      </c>
      <c r="D517" t="s">
        <v>105</v>
      </c>
      <c r="E517">
        <v>279</v>
      </c>
      <c r="F517" t="s">
        <v>7064</v>
      </c>
      <c r="H517">
        <v>198.94</v>
      </c>
      <c r="L517" t="s">
        <v>5922</v>
      </c>
      <c r="U517">
        <v>194.09</v>
      </c>
      <c r="V517">
        <v>194.09</v>
      </c>
      <c r="X517">
        <v>206.22</v>
      </c>
      <c r="Y517">
        <v>279</v>
      </c>
      <c r="Z517" t="s">
        <v>5922</v>
      </c>
    </row>
    <row r="518" spans="1:26" x14ac:dyDescent="0.2">
      <c r="A518" t="s">
        <v>989</v>
      </c>
      <c r="B518" t="s">
        <v>6010</v>
      </c>
      <c r="C518" t="s">
        <v>1073</v>
      </c>
      <c r="D518" t="s">
        <v>98</v>
      </c>
      <c r="E518">
        <v>119</v>
      </c>
      <c r="F518" t="s">
        <v>6950</v>
      </c>
      <c r="G518">
        <v>119</v>
      </c>
      <c r="H518">
        <v>84.85</v>
      </c>
      <c r="L518" t="s">
        <v>5922</v>
      </c>
      <c r="Q518">
        <v>84.85</v>
      </c>
      <c r="R518">
        <v>84.85</v>
      </c>
      <c r="U518">
        <v>96.7</v>
      </c>
      <c r="V518">
        <v>96.7</v>
      </c>
      <c r="W518">
        <v>108.78</v>
      </c>
      <c r="X518">
        <v>102.74</v>
      </c>
      <c r="Y518">
        <v>119</v>
      </c>
      <c r="Z518" t="s">
        <v>5922</v>
      </c>
    </row>
    <row r="519" spans="1:26" x14ac:dyDescent="0.2">
      <c r="A519" t="s">
        <v>989</v>
      </c>
      <c r="B519" t="s">
        <v>6011</v>
      </c>
      <c r="C519" t="s">
        <v>1074</v>
      </c>
      <c r="D519" t="s">
        <v>98</v>
      </c>
      <c r="E519">
        <v>66.95</v>
      </c>
      <c r="F519" t="s">
        <v>5922</v>
      </c>
      <c r="G519">
        <v>58.22</v>
      </c>
      <c r="H519">
        <v>49.48</v>
      </c>
      <c r="I519">
        <v>46.57</v>
      </c>
      <c r="J519">
        <v>46.57</v>
      </c>
      <c r="L519" t="s">
        <v>5922</v>
      </c>
      <c r="R519">
        <v>58.22</v>
      </c>
      <c r="U519">
        <v>51.57</v>
      </c>
      <c r="V519">
        <v>46.57</v>
      </c>
      <c r="W519">
        <v>52.4</v>
      </c>
      <c r="X519">
        <v>43.66</v>
      </c>
      <c r="Y519">
        <v>66.95</v>
      </c>
      <c r="Z519" t="s">
        <v>5922</v>
      </c>
    </row>
    <row r="520" spans="1:26" x14ac:dyDescent="0.2">
      <c r="A520" t="s">
        <v>989</v>
      </c>
      <c r="B520" t="s">
        <v>6012</v>
      </c>
      <c r="C520" t="s">
        <v>1075</v>
      </c>
      <c r="D520" t="s">
        <v>98</v>
      </c>
      <c r="E520">
        <v>49.95</v>
      </c>
      <c r="F520" t="s">
        <v>5922</v>
      </c>
      <c r="G520">
        <v>43.43</v>
      </c>
      <c r="H520">
        <v>36.92</v>
      </c>
      <c r="I520">
        <v>34.75</v>
      </c>
      <c r="J520">
        <v>34.75</v>
      </c>
      <c r="L520" t="s">
        <v>5922</v>
      </c>
      <c r="R520">
        <v>43.43</v>
      </c>
      <c r="U520">
        <v>39.75</v>
      </c>
      <c r="V520">
        <v>34.75</v>
      </c>
      <c r="W520">
        <v>39.090000000000003</v>
      </c>
      <c r="X520">
        <v>32.58</v>
      </c>
      <c r="Y520">
        <v>49.95</v>
      </c>
      <c r="Z520" t="s">
        <v>5922</v>
      </c>
    </row>
    <row r="521" spans="1:26" x14ac:dyDescent="0.2">
      <c r="A521" t="s">
        <v>989</v>
      </c>
      <c r="B521" t="s">
        <v>6013</v>
      </c>
      <c r="C521" t="s">
        <v>1076</v>
      </c>
      <c r="D521" t="s">
        <v>98</v>
      </c>
      <c r="E521">
        <v>339</v>
      </c>
      <c r="F521" t="s">
        <v>5922</v>
      </c>
      <c r="G521">
        <v>339</v>
      </c>
      <c r="H521">
        <v>250.57</v>
      </c>
      <c r="I521">
        <v>235.83</v>
      </c>
      <c r="J521">
        <v>235.83</v>
      </c>
      <c r="L521" t="s">
        <v>5922</v>
      </c>
      <c r="R521">
        <v>294.77999999999997</v>
      </c>
      <c r="U521">
        <v>235.83</v>
      </c>
      <c r="V521">
        <v>235.83</v>
      </c>
      <c r="W521">
        <v>265.3</v>
      </c>
      <c r="X521">
        <v>221.09</v>
      </c>
      <c r="Y521">
        <v>339</v>
      </c>
      <c r="Z521" t="s">
        <v>5922</v>
      </c>
    </row>
    <row r="522" spans="1:26" x14ac:dyDescent="0.2">
      <c r="A522" t="s">
        <v>989</v>
      </c>
      <c r="B522" t="s">
        <v>6014</v>
      </c>
      <c r="C522" t="s">
        <v>1077</v>
      </c>
      <c r="D522" t="s">
        <v>98</v>
      </c>
      <c r="E522">
        <v>49.95</v>
      </c>
      <c r="F522" t="s">
        <v>5922</v>
      </c>
      <c r="G522">
        <v>43.43</v>
      </c>
      <c r="H522">
        <v>36.92</v>
      </c>
      <c r="I522">
        <v>34.75</v>
      </c>
      <c r="J522">
        <v>34.75</v>
      </c>
      <c r="L522" t="s">
        <v>5922</v>
      </c>
      <c r="R522">
        <v>43.43</v>
      </c>
      <c r="U522">
        <v>39.75</v>
      </c>
      <c r="V522">
        <v>34.75</v>
      </c>
      <c r="W522">
        <v>39.090000000000003</v>
      </c>
      <c r="X522">
        <v>32.58</v>
      </c>
      <c r="Y522">
        <v>49.95</v>
      </c>
      <c r="Z522" t="s">
        <v>5922</v>
      </c>
    </row>
    <row r="523" spans="1:26" x14ac:dyDescent="0.2">
      <c r="A523" t="s">
        <v>989</v>
      </c>
      <c r="B523" t="s">
        <v>6015</v>
      </c>
      <c r="C523" t="s">
        <v>1078</v>
      </c>
      <c r="D523" t="s">
        <v>98</v>
      </c>
      <c r="E523">
        <v>24.95</v>
      </c>
      <c r="F523" t="s">
        <v>5922</v>
      </c>
      <c r="G523">
        <v>21.7</v>
      </c>
      <c r="H523">
        <v>18.440000000000001</v>
      </c>
      <c r="I523">
        <v>17.36</v>
      </c>
      <c r="J523">
        <v>17.36</v>
      </c>
      <c r="L523" t="s">
        <v>5922</v>
      </c>
      <c r="R523">
        <v>21.7</v>
      </c>
      <c r="U523">
        <v>22.36</v>
      </c>
      <c r="V523">
        <v>17.36</v>
      </c>
      <c r="W523">
        <v>19.53</v>
      </c>
      <c r="X523">
        <v>16.27</v>
      </c>
      <c r="Y523">
        <v>24.95</v>
      </c>
      <c r="Z523" t="s">
        <v>5922</v>
      </c>
    </row>
    <row r="524" spans="1:26" x14ac:dyDescent="0.2">
      <c r="A524" t="s">
        <v>989</v>
      </c>
      <c r="B524" t="s">
        <v>6016</v>
      </c>
      <c r="C524" t="s">
        <v>1079</v>
      </c>
      <c r="D524" t="s">
        <v>98</v>
      </c>
      <c r="E524">
        <v>31.95</v>
      </c>
      <c r="F524" t="s">
        <v>5922</v>
      </c>
      <c r="G524">
        <v>27.78</v>
      </c>
      <c r="H524">
        <v>23.62</v>
      </c>
      <c r="I524">
        <v>22.23</v>
      </c>
      <c r="J524">
        <v>22.23</v>
      </c>
      <c r="L524" t="s">
        <v>5922</v>
      </c>
      <c r="R524">
        <v>27.78</v>
      </c>
      <c r="U524">
        <v>27.23</v>
      </c>
      <c r="V524">
        <v>22.23</v>
      </c>
      <c r="W524">
        <v>25</v>
      </c>
      <c r="X524">
        <v>20.84</v>
      </c>
      <c r="Y524">
        <v>31.95</v>
      </c>
      <c r="Z524" t="s">
        <v>5922</v>
      </c>
    </row>
    <row r="525" spans="1:26" x14ac:dyDescent="0.2">
      <c r="A525" t="s">
        <v>989</v>
      </c>
      <c r="B525" t="s">
        <v>6017</v>
      </c>
      <c r="C525" t="s">
        <v>1080</v>
      </c>
      <c r="D525" t="s">
        <v>98</v>
      </c>
      <c r="E525">
        <v>35.950000000000003</v>
      </c>
      <c r="F525" t="s">
        <v>5922</v>
      </c>
      <c r="G525">
        <v>31.26</v>
      </c>
      <c r="H525">
        <v>26.57</v>
      </c>
      <c r="I525">
        <v>25.01</v>
      </c>
      <c r="J525">
        <v>25.01</v>
      </c>
      <c r="L525" t="s">
        <v>5922</v>
      </c>
      <c r="R525">
        <v>31.26</v>
      </c>
      <c r="U525">
        <v>30.01</v>
      </c>
      <c r="V525">
        <v>25.01</v>
      </c>
      <c r="W525">
        <v>28.13</v>
      </c>
      <c r="X525">
        <v>23.45</v>
      </c>
      <c r="Y525">
        <v>35.950000000000003</v>
      </c>
      <c r="Z525" t="s">
        <v>5922</v>
      </c>
    </row>
    <row r="526" spans="1:26" x14ac:dyDescent="0.2">
      <c r="A526" t="s">
        <v>989</v>
      </c>
      <c r="B526" t="s">
        <v>6018</v>
      </c>
      <c r="C526" t="s">
        <v>1081</v>
      </c>
      <c r="D526" t="s">
        <v>98</v>
      </c>
      <c r="E526">
        <v>18.95</v>
      </c>
      <c r="F526" t="s">
        <v>5922</v>
      </c>
      <c r="G526">
        <v>16.48</v>
      </c>
      <c r="H526">
        <v>14.01</v>
      </c>
      <c r="I526">
        <v>13.18</v>
      </c>
      <c r="J526">
        <v>13.18</v>
      </c>
      <c r="L526" t="s">
        <v>5922</v>
      </c>
      <c r="R526">
        <v>16.48</v>
      </c>
      <c r="U526">
        <v>18.18</v>
      </c>
      <c r="V526">
        <v>13.18</v>
      </c>
      <c r="W526">
        <v>14.83</v>
      </c>
      <c r="X526">
        <v>12.36</v>
      </c>
      <c r="Y526">
        <v>18.95</v>
      </c>
      <c r="Z526" t="s">
        <v>5922</v>
      </c>
    </row>
    <row r="527" spans="1:26" x14ac:dyDescent="0.2">
      <c r="A527" t="s">
        <v>989</v>
      </c>
      <c r="B527" t="s">
        <v>6019</v>
      </c>
      <c r="C527" t="s">
        <v>1082</v>
      </c>
      <c r="D527" t="s">
        <v>98</v>
      </c>
      <c r="E527">
        <v>35.950000000000003</v>
      </c>
      <c r="F527" t="s">
        <v>5922</v>
      </c>
      <c r="G527">
        <v>31.26</v>
      </c>
      <c r="H527">
        <v>26.57</v>
      </c>
      <c r="I527">
        <v>25.01</v>
      </c>
      <c r="J527">
        <v>25.01</v>
      </c>
      <c r="L527" t="s">
        <v>5922</v>
      </c>
      <c r="R527">
        <v>31.26</v>
      </c>
      <c r="U527">
        <v>30.01</v>
      </c>
      <c r="V527">
        <v>25.01</v>
      </c>
      <c r="W527">
        <v>28.13</v>
      </c>
      <c r="X527">
        <v>23.45</v>
      </c>
      <c r="Y527">
        <v>35.950000000000003</v>
      </c>
      <c r="Z527" t="s">
        <v>5922</v>
      </c>
    </row>
    <row r="528" spans="1:26" x14ac:dyDescent="0.2">
      <c r="A528" t="s">
        <v>989</v>
      </c>
      <c r="B528" t="s">
        <v>6020</v>
      </c>
      <c r="C528" t="s">
        <v>1083</v>
      </c>
      <c r="D528" t="s">
        <v>98</v>
      </c>
      <c r="E528">
        <v>35.950000000000003</v>
      </c>
      <c r="F528" t="s">
        <v>5922</v>
      </c>
      <c r="G528">
        <v>31.26</v>
      </c>
      <c r="H528">
        <v>26.57</v>
      </c>
      <c r="I528">
        <v>25.01</v>
      </c>
      <c r="J528">
        <v>25.01</v>
      </c>
      <c r="L528" t="s">
        <v>5922</v>
      </c>
      <c r="R528">
        <v>31.26</v>
      </c>
      <c r="U528">
        <v>30.01</v>
      </c>
      <c r="V528">
        <v>25.01</v>
      </c>
      <c r="W528">
        <v>28.13</v>
      </c>
      <c r="X528">
        <v>23.45</v>
      </c>
      <c r="Y528">
        <v>35.950000000000003</v>
      </c>
      <c r="Z528" t="s">
        <v>5922</v>
      </c>
    </row>
    <row r="529" spans="1:26" x14ac:dyDescent="0.2">
      <c r="A529" t="s">
        <v>989</v>
      </c>
      <c r="B529" t="s">
        <v>6021</v>
      </c>
      <c r="C529" t="s">
        <v>1084</v>
      </c>
      <c r="D529" t="s">
        <v>98</v>
      </c>
      <c r="E529">
        <v>18.95</v>
      </c>
      <c r="F529" t="s">
        <v>5922</v>
      </c>
      <c r="G529">
        <v>16.48</v>
      </c>
      <c r="H529">
        <v>14.01</v>
      </c>
      <c r="I529">
        <v>13.18</v>
      </c>
      <c r="J529">
        <v>13.18</v>
      </c>
      <c r="L529" t="s">
        <v>5922</v>
      </c>
      <c r="R529">
        <v>16.48</v>
      </c>
      <c r="U529">
        <v>18.18</v>
      </c>
      <c r="V529">
        <v>13.18</v>
      </c>
      <c r="W529">
        <v>14.83</v>
      </c>
      <c r="X529">
        <v>12.36</v>
      </c>
      <c r="Y529">
        <v>18.95</v>
      </c>
      <c r="Z529" t="s">
        <v>5922</v>
      </c>
    </row>
    <row r="530" spans="1:26" x14ac:dyDescent="0.2">
      <c r="A530" t="s">
        <v>989</v>
      </c>
      <c r="B530" t="s">
        <v>6022</v>
      </c>
      <c r="C530" t="s">
        <v>1085</v>
      </c>
      <c r="D530" t="s">
        <v>98</v>
      </c>
      <c r="E530">
        <v>24.95</v>
      </c>
      <c r="F530" t="s">
        <v>5922</v>
      </c>
      <c r="G530">
        <v>21.7</v>
      </c>
      <c r="H530">
        <v>18.440000000000001</v>
      </c>
      <c r="I530">
        <v>17.36</v>
      </c>
      <c r="J530">
        <v>17.36</v>
      </c>
      <c r="L530" t="s">
        <v>5922</v>
      </c>
      <c r="R530">
        <v>21.7</v>
      </c>
      <c r="U530">
        <v>22.36</v>
      </c>
      <c r="V530">
        <v>17.36</v>
      </c>
      <c r="W530">
        <v>19.53</v>
      </c>
      <c r="X530">
        <v>16.27</v>
      </c>
      <c r="Y530">
        <v>24.95</v>
      </c>
      <c r="Z530" t="s">
        <v>5922</v>
      </c>
    </row>
    <row r="531" spans="1:26" x14ac:dyDescent="0.2">
      <c r="A531" t="s">
        <v>989</v>
      </c>
      <c r="B531" t="s">
        <v>6023</v>
      </c>
      <c r="C531" t="s">
        <v>1086</v>
      </c>
      <c r="D531" t="s">
        <v>98</v>
      </c>
      <c r="E531">
        <v>19.95</v>
      </c>
      <c r="F531" t="s">
        <v>5922</v>
      </c>
      <c r="G531">
        <v>17.350000000000001</v>
      </c>
      <c r="H531">
        <v>14.75</v>
      </c>
      <c r="I531">
        <v>13.88</v>
      </c>
      <c r="J531">
        <v>13.88</v>
      </c>
      <c r="L531" t="s">
        <v>5922</v>
      </c>
      <c r="R531">
        <v>17.350000000000001</v>
      </c>
      <c r="U531">
        <v>18.88</v>
      </c>
      <c r="V531">
        <v>13.88</v>
      </c>
      <c r="W531">
        <v>15.61</v>
      </c>
      <c r="X531">
        <v>13.01</v>
      </c>
      <c r="Y531">
        <v>19.95</v>
      </c>
      <c r="Z531" t="s">
        <v>5922</v>
      </c>
    </row>
    <row r="532" spans="1:26" x14ac:dyDescent="0.2">
      <c r="A532" t="s">
        <v>989</v>
      </c>
      <c r="B532" t="s">
        <v>6024</v>
      </c>
      <c r="C532" t="s">
        <v>1087</v>
      </c>
      <c r="D532" t="s">
        <v>98</v>
      </c>
      <c r="E532">
        <v>29.95</v>
      </c>
      <c r="F532" t="s">
        <v>5922</v>
      </c>
      <c r="G532">
        <v>26.04</v>
      </c>
      <c r="H532">
        <v>22.14</v>
      </c>
      <c r="I532">
        <v>20.83</v>
      </c>
      <c r="J532">
        <v>20.83</v>
      </c>
      <c r="L532" t="s">
        <v>5922</v>
      </c>
      <c r="R532">
        <v>26.04</v>
      </c>
      <c r="U532">
        <v>25.83</v>
      </c>
      <c r="V532">
        <v>20.83</v>
      </c>
      <c r="W532">
        <v>23.44</v>
      </c>
      <c r="X532">
        <v>19.53</v>
      </c>
      <c r="Y532">
        <v>29.95</v>
      </c>
      <c r="Z532" t="s">
        <v>5922</v>
      </c>
    </row>
    <row r="533" spans="1:26" x14ac:dyDescent="0.2">
      <c r="A533" t="s">
        <v>989</v>
      </c>
      <c r="B533" t="s">
        <v>7654</v>
      </c>
      <c r="C533" t="s">
        <v>7655</v>
      </c>
      <c r="D533" t="s">
        <v>105</v>
      </c>
      <c r="E533">
        <v>169.99</v>
      </c>
      <c r="F533" t="s">
        <v>6888</v>
      </c>
      <c r="H533">
        <v>121.21</v>
      </c>
      <c r="L533" t="s">
        <v>5922</v>
      </c>
      <c r="U533">
        <v>118.25</v>
      </c>
      <c r="V533">
        <v>118.25</v>
      </c>
      <c r="X533">
        <v>125.64</v>
      </c>
      <c r="Y533">
        <v>169.99</v>
      </c>
      <c r="Z533" t="s">
        <v>5922</v>
      </c>
    </row>
    <row r="534" spans="1:26" x14ac:dyDescent="0.2">
      <c r="A534" t="s">
        <v>989</v>
      </c>
      <c r="B534" t="s">
        <v>6025</v>
      </c>
      <c r="C534" t="s">
        <v>1088</v>
      </c>
      <c r="D534" t="s">
        <v>98</v>
      </c>
      <c r="E534">
        <v>210</v>
      </c>
      <c r="F534" t="s">
        <v>7071</v>
      </c>
      <c r="G534">
        <v>209</v>
      </c>
      <c r="H534">
        <v>149.03</v>
      </c>
      <c r="I534">
        <v>138.43</v>
      </c>
      <c r="J534">
        <v>138.43</v>
      </c>
      <c r="L534" t="s">
        <v>5922</v>
      </c>
      <c r="Q534">
        <v>149.03</v>
      </c>
      <c r="R534">
        <v>149.03</v>
      </c>
      <c r="U534">
        <v>152.35</v>
      </c>
      <c r="V534">
        <v>152.35</v>
      </c>
      <c r="W534">
        <v>163.57</v>
      </c>
      <c r="X534">
        <v>154.47999999999999</v>
      </c>
      <c r="Y534">
        <v>209</v>
      </c>
      <c r="Z534" t="s">
        <v>5922</v>
      </c>
    </row>
    <row r="535" spans="1:26" x14ac:dyDescent="0.2">
      <c r="A535" t="s">
        <v>989</v>
      </c>
      <c r="B535" t="s">
        <v>6026</v>
      </c>
      <c r="C535" t="s">
        <v>1089</v>
      </c>
      <c r="D535" t="s">
        <v>98</v>
      </c>
      <c r="E535">
        <v>339</v>
      </c>
      <c r="F535" t="s">
        <v>5922</v>
      </c>
      <c r="G535">
        <v>294.77999999999997</v>
      </c>
      <c r="H535">
        <v>250.57</v>
      </c>
      <c r="I535">
        <v>235.83</v>
      </c>
      <c r="J535">
        <v>235.83</v>
      </c>
      <c r="L535" t="s">
        <v>5922</v>
      </c>
      <c r="R535">
        <v>294.77999999999997</v>
      </c>
      <c r="U535">
        <v>240.83</v>
      </c>
      <c r="V535">
        <v>235.83</v>
      </c>
      <c r="W535">
        <v>265.3</v>
      </c>
      <c r="X535">
        <v>221.09</v>
      </c>
      <c r="Y535">
        <v>339</v>
      </c>
      <c r="Z535" t="s">
        <v>5922</v>
      </c>
    </row>
    <row r="536" spans="1:26" x14ac:dyDescent="0.2">
      <c r="A536" t="s">
        <v>989</v>
      </c>
      <c r="B536" t="s">
        <v>6027</v>
      </c>
      <c r="C536" t="s">
        <v>1090</v>
      </c>
      <c r="D536" t="s">
        <v>98</v>
      </c>
      <c r="E536">
        <v>210</v>
      </c>
      <c r="F536" t="s">
        <v>7071</v>
      </c>
      <c r="G536">
        <v>209</v>
      </c>
      <c r="H536">
        <v>149.03</v>
      </c>
      <c r="I536">
        <v>173.22</v>
      </c>
      <c r="J536">
        <v>173.22</v>
      </c>
      <c r="L536" t="s">
        <v>5922</v>
      </c>
      <c r="Q536">
        <v>149.03</v>
      </c>
      <c r="R536">
        <v>149.03</v>
      </c>
      <c r="U536">
        <v>173.22</v>
      </c>
      <c r="V536">
        <v>173.22</v>
      </c>
      <c r="W536">
        <v>194.87</v>
      </c>
      <c r="X536">
        <v>184.04</v>
      </c>
      <c r="Y536">
        <v>209</v>
      </c>
      <c r="Z536" t="s">
        <v>5922</v>
      </c>
    </row>
    <row r="537" spans="1:26" x14ac:dyDescent="0.2">
      <c r="A537" t="s">
        <v>989</v>
      </c>
      <c r="B537" t="s">
        <v>1091</v>
      </c>
      <c r="C537" t="s">
        <v>1092</v>
      </c>
      <c r="D537" t="s">
        <v>98</v>
      </c>
      <c r="E537">
        <v>299</v>
      </c>
      <c r="F537" t="s">
        <v>6946</v>
      </c>
      <c r="H537">
        <v>213.2</v>
      </c>
      <c r="L537" t="s">
        <v>5922</v>
      </c>
      <c r="U537">
        <v>208</v>
      </c>
      <c r="V537">
        <v>208</v>
      </c>
      <c r="X537">
        <v>221</v>
      </c>
      <c r="Y537">
        <v>299</v>
      </c>
      <c r="Z537" t="s">
        <v>5922</v>
      </c>
    </row>
    <row r="538" spans="1:26" x14ac:dyDescent="0.2">
      <c r="A538" t="s">
        <v>989</v>
      </c>
      <c r="B538" t="s">
        <v>6028</v>
      </c>
      <c r="C538" t="s">
        <v>1093</v>
      </c>
      <c r="D538" t="s">
        <v>98</v>
      </c>
      <c r="E538">
        <v>159</v>
      </c>
      <c r="F538" t="s">
        <v>5922</v>
      </c>
      <c r="G538">
        <v>138.26</v>
      </c>
      <c r="H538">
        <v>117.52</v>
      </c>
      <c r="I538">
        <v>110.61</v>
      </c>
      <c r="J538">
        <v>110.61</v>
      </c>
      <c r="L538" t="s">
        <v>5922</v>
      </c>
      <c r="R538">
        <v>138.26</v>
      </c>
      <c r="U538">
        <v>110.61</v>
      </c>
      <c r="V538">
        <v>110.61</v>
      </c>
      <c r="W538">
        <v>124.43</v>
      </c>
      <c r="X538">
        <v>103.7</v>
      </c>
      <c r="Y538">
        <v>159</v>
      </c>
      <c r="Z538" t="s">
        <v>5922</v>
      </c>
    </row>
    <row r="539" spans="1:26" x14ac:dyDescent="0.2">
      <c r="A539" t="s">
        <v>989</v>
      </c>
      <c r="B539" t="s">
        <v>6029</v>
      </c>
      <c r="C539" t="s">
        <v>1094</v>
      </c>
      <c r="D539" t="s">
        <v>98</v>
      </c>
      <c r="E539">
        <v>229</v>
      </c>
      <c r="F539" t="s">
        <v>5922</v>
      </c>
      <c r="G539">
        <v>199.13</v>
      </c>
      <c r="H539">
        <v>169.26</v>
      </c>
      <c r="I539">
        <v>159.30000000000001</v>
      </c>
      <c r="J539">
        <v>159.30000000000001</v>
      </c>
      <c r="L539" t="s">
        <v>5922</v>
      </c>
      <c r="R539">
        <v>199.13</v>
      </c>
      <c r="U539">
        <v>164.3</v>
      </c>
      <c r="V539">
        <v>159.30000000000001</v>
      </c>
      <c r="W539">
        <v>179.22</v>
      </c>
      <c r="X539">
        <v>149.35</v>
      </c>
      <c r="Y539">
        <v>189</v>
      </c>
      <c r="Z539" t="s">
        <v>5922</v>
      </c>
    </row>
    <row r="540" spans="1:26" x14ac:dyDescent="0.2">
      <c r="A540" t="s">
        <v>989</v>
      </c>
      <c r="B540" t="s">
        <v>7656</v>
      </c>
      <c r="C540" t="s">
        <v>7657</v>
      </c>
      <c r="D540" t="s">
        <v>105</v>
      </c>
      <c r="E540">
        <v>549.99</v>
      </c>
      <c r="F540" t="s">
        <v>7089</v>
      </c>
      <c r="H540">
        <v>406.43</v>
      </c>
      <c r="L540" t="s">
        <v>5922</v>
      </c>
      <c r="U540">
        <v>396.51</v>
      </c>
      <c r="V540">
        <v>396.51</v>
      </c>
      <c r="X540">
        <v>421.3</v>
      </c>
      <c r="Y540">
        <v>549.99</v>
      </c>
      <c r="Z540" t="s">
        <v>5922</v>
      </c>
    </row>
    <row r="541" spans="1:26" x14ac:dyDescent="0.2">
      <c r="A541" t="s">
        <v>989</v>
      </c>
      <c r="B541" t="s">
        <v>1095</v>
      </c>
      <c r="C541" t="s">
        <v>1096</v>
      </c>
      <c r="D541" t="s">
        <v>105</v>
      </c>
      <c r="E541">
        <v>189</v>
      </c>
      <c r="F541" t="s">
        <v>7057</v>
      </c>
      <c r="H541">
        <v>134.77000000000001</v>
      </c>
      <c r="L541" t="s">
        <v>5922</v>
      </c>
      <c r="U541">
        <v>131.47999999999999</v>
      </c>
      <c r="V541">
        <v>131.47999999999999</v>
      </c>
      <c r="X541">
        <v>139.69999999999999</v>
      </c>
      <c r="Y541">
        <v>189</v>
      </c>
      <c r="Z541" t="s">
        <v>5922</v>
      </c>
    </row>
    <row r="542" spans="1:26" x14ac:dyDescent="0.2">
      <c r="A542" t="s">
        <v>989</v>
      </c>
      <c r="B542" t="s">
        <v>1098</v>
      </c>
      <c r="C542" t="s">
        <v>1097</v>
      </c>
      <c r="D542" t="s">
        <v>105</v>
      </c>
      <c r="E542">
        <v>199</v>
      </c>
      <c r="F542" t="s">
        <v>6954</v>
      </c>
      <c r="H542">
        <v>141.9</v>
      </c>
      <c r="L542" t="s">
        <v>5922</v>
      </c>
      <c r="U542">
        <v>138.43</v>
      </c>
      <c r="V542">
        <v>138.43</v>
      </c>
      <c r="X542">
        <v>147.09</v>
      </c>
      <c r="Y542">
        <v>199</v>
      </c>
      <c r="Z542" t="s">
        <v>5922</v>
      </c>
    </row>
    <row r="543" spans="1:26" x14ac:dyDescent="0.2">
      <c r="A543" t="s">
        <v>989</v>
      </c>
      <c r="B543" t="s">
        <v>6030</v>
      </c>
      <c r="C543" t="s">
        <v>1097</v>
      </c>
      <c r="D543" t="s">
        <v>98</v>
      </c>
      <c r="E543">
        <v>169</v>
      </c>
      <c r="F543" t="s">
        <v>6937</v>
      </c>
      <c r="G543">
        <v>169</v>
      </c>
      <c r="H543">
        <v>120.5</v>
      </c>
      <c r="I543">
        <v>138.43</v>
      </c>
      <c r="J543">
        <v>138.43</v>
      </c>
      <c r="L543" t="s">
        <v>5922</v>
      </c>
      <c r="Q543">
        <v>120.5</v>
      </c>
      <c r="R543">
        <v>120.5</v>
      </c>
      <c r="U543">
        <v>138.43</v>
      </c>
      <c r="V543">
        <v>138.43</v>
      </c>
      <c r="W543">
        <v>155.74</v>
      </c>
      <c r="X543">
        <v>147.09</v>
      </c>
      <c r="Y543">
        <v>169</v>
      </c>
      <c r="Z543" t="s">
        <v>5922</v>
      </c>
    </row>
    <row r="544" spans="1:26" x14ac:dyDescent="0.2">
      <c r="A544" t="s">
        <v>989</v>
      </c>
      <c r="B544" t="s">
        <v>7658</v>
      </c>
      <c r="C544" t="s">
        <v>7659</v>
      </c>
      <c r="D544" t="s">
        <v>105</v>
      </c>
      <c r="E544">
        <v>199</v>
      </c>
      <c r="F544" t="s">
        <v>6916</v>
      </c>
      <c r="H544">
        <v>149.03</v>
      </c>
      <c r="L544" t="s">
        <v>5922</v>
      </c>
      <c r="U544">
        <v>145.38999999999999</v>
      </c>
      <c r="V544">
        <v>145.38999999999999</v>
      </c>
      <c r="X544">
        <v>154.47999999999999</v>
      </c>
      <c r="Y544">
        <v>199</v>
      </c>
      <c r="Z544" t="s">
        <v>5922</v>
      </c>
    </row>
    <row r="545" spans="1:26" x14ac:dyDescent="0.2">
      <c r="A545" t="s">
        <v>989</v>
      </c>
      <c r="B545" t="s">
        <v>6031</v>
      </c>
      <c r="C545" t="s">
        <v>1099</v>
      </c>
      <c r="D545" t="s">
        <v>98</v>
      </c>
      <c r="E545">
        <v>299</v>
      </c>
      <c r="F545" t="s">
        <v>5922</v>
      </c>
      <c r="G545">
        <v>260</v>
      </c>
      <c r="H545">
        <v>221</v>
      </c>
      <c r="I545">
        <v>208</v>
      </c>
      <c r="J545">
        <v>208</v>
      </c>
      <c r="L545" t="s">
        <v>5922</v>
      </c>
      <c r="R545">
        <v>260</v>
      </c>
      <c r="U545">
        <v>213</v>
      </c>
      <c r="V545">
        <v>208</v>
      </c>
      <c r="W545">
        <v>234</v>
      </c>
      <c r="X545">
        <v>195</v>
      </c>
      <c r="Y545">
        <v>299</v>
      </c>
      <c r="Z545" t="s">
        <v>5922</v>
      </c>
    </row>
    <row r="546" spans="1:26" x14ac:dyDescent="0.2">
      <c r="A546" t="s">
        <v>989</v>
      </c>
      <c r="B546" t="s">
        <v>7660</v>
      </c>
      <c r="C546" t="s">
        <v>7661</v>
      </c>
      <c r="D546" t="s">
        <v>105</v>
      </c>
      <c r="E546">
        <v>399.99</v>
      </c>
      <c r="F546" t="s">
        <v>7153</v>
      </c>
      <c r="H546">
        <v>285.20999999999998</v>
      </c>
      <c r="L546" t="s">
        <v>5922</v>
      </c>
      <c r="U546">
        <v>278.25</v>
      </c>
      <c r="V546">
        <v>278.25</v>
      </c>
      <c r="X546">
        <v>295.64</v>
      </c>
      <c r="Y546">
        <v>399.99</v>
      </c>
      <c r="Z546" t="s">
        <v>5922</v>
      </c>
    </row>
    <row r="547" spans="1:26" x14ac:dyDescent="0.2">
      <c r="A547" t="s">
        <v>989</v>
      </c>
      <c r="B547" t="s">
        <v>1100</v>
      </c>
      <c r="C547" t="s">
        <v>1101</v>
      </c>
      <c r="D547" t="s">
        <v>98</v>
      </c>
      <c r="E547">
        <v>199</v>
      </c>
      <c r="F547" t="s">
        <v>5922</v>
      </c>
      <c r="G547">
        <v>199</v>
      </c>
      <c r="H547">
        <v>138.43</v>
      </c>
      <c r="I547">
        <v>173.04</v>
      </c>
      <c r="J547">
        <v>173.04</v>
      </c>
      <c r="K547">
        <v>156.51</v>
      </c>
      <c r="L547" t="s">
        <v>5922</v>
      </c>
      <c r="M547">
        <v>173.04</v>
      </c>
      <c r="N547">
        <v>173.04</v>
      </c>
      <c r="O547">
        <v>138.43</v>
      </c>
      <c r="P547">
        <v>173.04</v>
      </c>
      <c r="Q547">
        <v>173.04</v>
      </c>
      <c r="R547">
        <v>138.43</v>
      </c>
      <c r="S547">
        <v>173.04</v>
      </c>
      <c r="T547">
        <v>138.43</v>
      </c>
      <c r="U547">
        <v>130.21</v>
      </c>
      <c r="V547">
        <v>138.43</v>
      </c>
      <c r="W547">
        <v>155.74</v>
      </c>
      <c r="X547">
        <v>138.43</v>
      </c>
      <c r="Y547">
        <v>199</v>
      </c>
      <c r="Z547" t="s">
        <v>5922</v>
      </c>
    </row>
    <row r="548" spans="1:26" x14ac:dyDescent="0.2">
      <c r="A548" t="s">
        <v>989</v>
      </c>
      <c r="B548" t="s">
        <v>1102</v>
      </c>
      <c r="C548" t="s">
        <v>1103</v>
      </c>
      <c r="D548" t="s">
        <v>98</v>
      </c>
      <c r="E548">
        <v>219</v>
      </c>
      <c r="F548" t="s">
        <v>5922</v>
      </c>
      <c r="G548">
        <v>219</v>
      </c>
      <c r="H548">
        <v>152.35</v>
      </c>
      <c r="I548">
        <v>190.43</v>
      </c>
      <c r="J548">
        <v>190.43</v>
      </c>
      <c r="K548">
        <v>173.9</v>
      </c>
      <c r="L548" t="s">
        <v>5922</v>
      </c>
      <c r="M548">
        <v>190.43</v>
      </c>
      <c r="N548">
        <v>190.43</v>
      </c>
      <c r="O548">
        <v>152.35</v>
      </c>
      <c r="P548">
        <v>190.43</v>
      </c>
      <c r="Q548">
        <v>190.43</v>
      </c>
      <c r="R548">
        <v>152.35</v>
      </c>
      <c r="S548">
        <v>190.43</v>
      </c>
      <c r="T548">
        <v>152.35</v>
      </c>
      <c r="U548">
        <v>144.12</v>
      </c>
      <c r="V548">
        <v>152.35</v>
      </c>
      <c r="W548">
        <v>171.39</v>
      </c>
      <c r="X548">
        <v>152.35</v>
      </c>
      <c r="Y548">
        <v>219</v>
      </c>
      <c r="Z548" t="s">
        <v>5922</v>
      </c>
    </row>
    <row r="549" spans="1:26" x14ac:dyDescent="0.2">
      <c r="A549" t="s">
        <v>989</v>
      </c>
      <c r="B549" t="s">
        <v>1104</v>
      </c>
      <c r="C549" t="s">
        <v>1105</v>
      </c>
      <c r="D549" t="s">
        <v>98</v>
      </c>
      <c r="E549">
        <v>299</v>
      </c>
      <c r="F549" t="s">
        <v>5922</v>
      </c>
      <c r="G549">
        <v>299</v>
      </c>
      <c r="H549">
        <v>208</v>
      </c>
      <c r="I549">
        <v>260</v>
      </c>
      <c r="J549">
        <v>260</v>
      </c>
      <c r="K549">
        <v>243.47</v>
      </c>
      <c r="L549" t="s">
        <v>5922</v>
      </c>
      <c r="M549">
        <v>260</v>
      </c>
      <c r="N549">
        <v>260</v>
      </c>
      <c r="O549">
        <v>208</v>
      </c>
      <c r="P549">
        <v>260</v>
      </c>
      <c r="Q549">
        <v>260</v>
      </c>
      <c r="R549">
        <v>208</v>
      </c>
      <c r="S549">
        <v>260</v>
      </c>
      <c r="T549">
        <v>208</v>
      </c>
      <c r="U549">
        <v>199.78</v>
      </c>
      <c r="V549">
        <v>208</v>
      </c>
      <c r="W549">
        <v>234</v>
      </c>
      <c r="X549">
        <v>208</v>
      </c>
      <c r="Y549">
        <v>299</v>
      </c>
      <c r="Z549" t="s">
        <v>5922</v>
      </c>
    </row>
    <row r="550" spans="1:26" x14ac:dyDescent="0.2">
      <c r="A550" t="s">
        <v>989</v>
      </c>
      <c r="B550" t="s">
        <v>1106</v>
      </c>
      <c r="C550" t="s">
        <v>1107</v>
      </c>
      <c r="D550" t="s">
        <v>98</v>
      </c>
      <c r="E550">
        <v>399</v>
      </c>
      <c r="F550" t="s">
        <v>5922</v>
      </c>
      <c r="G550">
        <v>399</v>
      </c>
      <c r="H550">
        <v>277.57</v>
      </c>
      <c r="I550">
        <v>346.96</v>
      </c>
      <c r="J550">
        <v>346.96</v>
      </c>
      <c r="K550">
        <v>330.43</v>
      </c>
      <c r="L550" t="s">
        <v>5922</v>
      </c>
      <c r="M550">
        <v>346.96</v>
      </c>
      <c r="N550">
        <v>346.96</v>
      </c>
      <c r="O550">
        <v>277.57</v>
      </c>
      <c r="P550">
        <v>346.96</v>
      </c>
      <c r="Q550">
        <v>346.96</v>
      </c>
      <c r="R550">
        <v>277.57</v>
      </c>
      <c r="S550">
        <v>346.96</v>
      </c>
      <c r="T550">
        <v>277.57</v>
      </c>
      <c r="U550">
        <v>269.33999999999997</v>
      </c>
      <c r="V550">
        <v>277.57</v>
      </c>
      <c r="W550">
        <v>312.26</v>
      </c>
      <c r="X550">
        <v>277.57</v>
      </c>
      <c r="Y550">
        <v>399</v>
      </c>
      <c r="Z550" t="s">
        <v>5922</v>
      </c>
    </row>
    <row r="551" spans="1:26" x14ac:dyDescent="0.2">
      <c r="A551" t="s">
        <v>989</v>
      </c>
      <c r="B551" t="s">
        <v>1108</v>
      </c>
      <c r="C551" t="s">
        <v>1109</v>
      </c>
      <c r="D551" t="s">
        <v>98</v>
      </c>
      <c r="E551">
        <v>369</v>
      </c>
      <c r="F551" t="s">
        <v>5922</v>
      </c>
      <c r="G551">
        <v>369</v>
      </c>
      <c r="H551">
        <v>256.7</v>
      </c>
      <c r="I551">
        <v>320.87</v>
      </c>
      <c r="J551">
        <v>320.87</v>
      </c>
      <c r="K551">
        <v>304.33999999999997</v>
      </c>
      <c r="L551" t="s">
        <v>5922</v>
      </c>
      <c r="M551">
        <v>320.87</v>
      </c>
      <c r="N551">
        <v>320.87</v>
      </c>
      <c r="O551">
        <v>256.7</v>
      </c>
      <c r="P551">
        <v>320.87</v>
      </c>
      <c r="Q551">
        <v>320.87</v>
      </c>
      <c r="R551">
        <v>256.7</v>
      </c>
      <c r="S551">
        <v>320.87</v>
      </c>
      <c r="T551">
        <v>256.7</v>
      </c>
      <c r="U551">
        <v>248.47</v>
      </c>
      <c r="V551">
        <v>256.7</v>
      </c>
      <c r="W551">
        <v>288.77999999999997</v>
      </c>
      <c r="X551">
        <v>256.7</v>
      </c>
      <c r="Y551">
        <v>369</v>
      </c>
      <c r="Z551" t="s">
        <v>5922</v>
      </c>
    </row>
    <row r="552" spans="1:26" x14ac:dyDescent="0.2">
      <c r="A552" t="s">
        <v>989</v>
      </c>
      <c r="B552" t="s">
        <v>1110</v>
      </c>
      <c r="C552" t="s">
        <v>1111</v>
      </c>
      <c r="D552" t="s">
        <v>98</v>
      </c>
      <c r="E552">
        <v>39</v>
      </c>
      <c r="F552" t="s">
        <v>5922</v>
      </c>
      <c r="G552">
        <v>39</v>
      </c>
      <c r="H552">
        <v>27.13</v>
      </c>
      <c r="I552">
        <v>33.909999999999997</v>
      </c>
      <c r="J552">
        <v>33.909999999999997</v>
      </c>
      <c r="K552">
        <v>286.95</v>
      </c>
      <c r="L552" t="s">
        <v>5922</v>
      </c>
      <c r="M552">
        <v>33.909999999999997</v>
      </c>
      <c r="N552">
        <v>33.909999999999997</v>
      </c>
      <c r="O552">
        <v>27.13</v>
      </c>
      <c r="P552">
        <v>33.909999999999997</v>
      </c>
      <c r="Q552">
        <v>33.909999999999997</v>
      </c>
      <c r="R552">
        <v>27.13</v>
      </c>
      <c r="S552">
        <v>33.909999999999997</v>
      </c>
      <c r="T552">
        <v>27.13</v>
      </c>
      <c r="U552">
        <v>234.56</v>
      </c>
      <c r="V552">
        <v>27.13</v>
      </c>
      <c r="W552">
        <v>30.52</v>
      </c>
      <c r="X552">
        <v>27.13</v>
      </c>
      <c r="Y552">
        <v>39</v>
      </c>
      <c r="Z552" t="s">
        <v>5922</v>
      </c>
    </row>
    <row r="553" spans="1:26" x14ac:dyDescent="0.2">
      <c r="A553" t="s">
        <v>989</v>
      </c>
      <c r="B553" t="s">
        <v>1112</v>
      </c>
      <c r="C553" t="s">
        <v>1113</v>
      </c>
      <c r="D553" t="s">
        <v>98</v>
      </c>
      <c r="E553">
        <v>219</v>
      </c>
      <c r="F553" t="s">
        <v>5922</v>
      </c>
      <c r="G553">
        <v>219</v>
      </c>
      <c r="H553">
        <v>152.35</v>
      </c>
      <c r="I553">
        <v>190.43</v>
      </c>
      <c r="J553">
        <v>190.43</v>
      </c>
      <c r="K553">
        <v>173.9</v>
      </c>
      <c r="L553" t="s">
        <v>5922</v>
      </c>
      <c r="M553">
        <v>190.43</v>
      </c>
      <c r="N553">
        <v>190.43</v>
      </c>
      <c r="O553">
        <v>152.35</v>
      </c>
      <c r="P553">
        <v>190.43</v>
      </c>
      <c r="Q553">
        <v>190.43</v>
      </c>
      <c r="R553">
        <v>152.35</v>
      </c>
      <c r="S553">
        <v>190.43</v>
      </c>
      <c r="T553">
        <v>152.35</v>
      </c>
      <c r="U553">
        <v>144.12</v>
      </c>
      <c r="V553">
        <v>152.35</v>
      </c>
      <c r="W553">
        <v>171.39</v>
      </c>
      <c r="X553">
        <v>152.35</v>
      </c>
      <c r="Y553">
        <v>219</v>
      </c>
      <c r="Z553" t="s">
        <v>5922</v>
      </c>
    </row>
    <row r="554" spans="1:26" x14ac:dyDescent="0.2">
      <c r="A554" t="s">
        <v>989</v>
      </c>
      <c r="B554" t="s">
        <v>1114</v>
      </c>
      <c r="C554" t="s">
        <v>1115</v>
      </c>
      <c r="D554" t="s">
        <v>98</v>
      </c>
      <c r="E554">
        <v>529</v>
      </c>
      <c r="F554" t="s">
        <v>5922</v>
      </c>
      <c r="G554">
        <v>529</v>
      </c>
      <c r="H554">
        <v>368</v>
      </c>
      <c r="I554">
        <v>460</v>
      </c>
      <c r="J554">
        <v>460</v>
      </c>
      <c r="K554">
        <v>434.77</v>
      </c>
      <c r="L554" t="s">
        <v>5922</v>
      </c>
      <c r="M554">
        <v>460</v>
      </c>
      <c r="N554">
        <v>460</v>
      </c>
      <c r="O554">
        <v>368</v>
      </c>
      <c r="P554">
        <v>460</v>
      </c>
      <c r="Q554">
        <v>460</v>
      </c>
      <c r="R554">
        <v>368</v>
      </c>
      <c r="S554">
        <v>460</v>
      </c>
      <c r="T554">
        <v>368</v>
      </c>
      <c r="U554">
        <v>353.82</v>
      </c>
      <c r="V554">
        <v>368</v>
      </c>
      <c r="W554">
        <v>414</v>
      </c>
      <c r="X554">
        <v>368</v>
      </c>
      <c r="Y554">
        <v>529</v>
      </c>
      <c r="Z554" t="s">
        <v>5922</v>
      </c>
    </row>
    <row r="555" spans="1:26" x14ac:dyDescent="0.2">
      <c r="A555" t="s">
        <v>989</v>
      </c>
      <c r="B555" t="s">
        <v>1116</v>
      </c>
      <c r="C555" t="s">
        <v>1117</v>
      </c>
      <c r="D555" t="s">
        <v>98</v>
      </c>
      <c r="E555">
        <v>425</v>
      </c>
      <c r="F555" t="s">
        <v>5922</v>
      </c>
      <c r="G555">
        <v>425</v>
      </c>
      <c r="H555">
        <v>295.64999999999998</v>
      </c>
      <c r="I555">
        <v>369.57</v>
      </c>
      <c r="J555">
        <v>369.57</v>
      </c>
      <c r="K555">
        <v>347.82</v>
      </c>
      <c r="L555" t="s">
        <v>5922</v>
      </c>
      <c r="M555">
        <v>369.57</v>
      </c>
      <c r="N555">
        <v>369.57</v>
      </c>
      <c r="O555">
        <v>295.64999999999998</v>
      </c>
      <c r="P555">
        <v>369.57</v>
      </c>
      <c r="Q555">
        <v>369.57</v>
      </c>
      <c r="R555">
        <v>295.64999999999998</v>
      </c>
      <c r="S555">
        <v>369.57</v>
      </c>
      <c r="T555">
        <v>295.64999999999998</v>
      </c>
      <c r="U555">
        <v>283.25</v>
      </c>
      <c r="V555">
        <v>295.64999999999998</v>
      </c>
      <c r="W555">
        <v>332.61</v>
      </c>
      <c r="X555">
        <v>295.64999999999998</v>
      </c>
      <c r="Y555">
        <v>425</v>
      </c>
      <c r="Z555" t="s">
        <v>5922</v>
      </c>
    </row>
    <row r="556" spans="1:26" x14ac:dyDescent="0.2">
      <c r="A556" t="s">
        <v>989</v>
      </c>
      <c r="B556" t="s">
        <v>1118</v>
      </c>
      <c r="C556" t="s">
        <v>1119</v>
      </c>
      <c r="D556" t="s">
        <v>98</v>
      </c>
      <c r="E556">
        <v>269</v>
      </c>
      <c r="F556" t="s">
        <v>5922</v>
      </c>
      <c r="G556">
        <v>269</v>
      </c>
      <c r="H556">
        <v>187.13</v>
      </c>
      <c r="I556">
        <v>233.91</v>
      </c>
      <c r="J556">
        <v>233.91</v>
      </c>
      <c r="K556">
        <v>217.38</v>
      </c>
      <c r="L556" t="s">
        <v>5922</v>
      </c>
      <c r="M556">
        <v>233.91</v>
      </c>
      <c r="N556">
        <v>233.91</v>
      </c>
      <c r="O556">
        <v>187.13</v>
      </c>
      <c r="P556">
        <v>233.91</v>
      </c>
      <c r="Q556">
        <v>233.91</v>
      </c>
      <c r="R556">
        <v>187.13</v>
      </c>
      <c r="S556">
        <v>233.91</v>
      </c>
      <c r="T556">
        <v>187.13</v>
      </c>
      <c r="U556">
        <v>178.91</v>
      </c>
      <c r="V556">
        <v>187.13</v>
      </c>
      <c r="W556">
        <v>210.52</v>
      </c>
      <c r="X556">
        <v>187.13</v>
      </c>
      <c r="Y556">
        <v>269</v>
      </c>
      <c r="Z556" t="s">
        <v>5922</v>
      </c>
    </row>
    <row r="557" spans="1:26" x14ac:dyDescent="0.2">
      <c r="A557" t="s">
        <v>989</v>
      </c>
      <c r="B557" t="s">
        <v>1120</v>
      </c>
      <c r="C557" t="s">
        <v>1121</v>
      </c>
      <c r="D557" t="s">
        <v>98</v>
      </c>
      <c r="E557">
        <v>269</v>
      </c>
      <c r="F557" t="s">
        <v>5922</v>
      </c>
      <c r="G557">
        <v>269</v>
      </c>
      <c r="H557">
        <v>187.13</v>
      </c>
      <c r="I557">
        <v>233.91</v>
      </c>
      <c r="J557">
        <v>233.91</v>
      </c>
      <c r="K557">
        <v>217.38</v>
      </c>
      <c r="L557" t="s">
        <v>5922</v>
      </c>
      <c r="M557">
        <v>233.91</v>
      </c>
      <c r="N557">
        <v>233.91</v>
      </c>
      <c r="O557">
        <v>187.13</v>
      </c>
      <c r="P557">
        <v>233.91</v>
      </c>
      <c r="Q557">
        <v>233.91</v>
      </c>
      <c r="R557">
        <v>187.13</v>
      </c>
      <c r="S557">
        <v>233.91</v>
      </c>
      <c r="T557">
        <v>187.13</v>
      </c>
      <c r="U557">
        <v>178.91</v>
      </c>
      <c r="V557">
        <v>187.13</v>
      </c>
      <c r="W557">
        <v>210.52</v>
      </c>
      <c r="X557">
        <v>187.13</v>
      </c>
      <c r="Y557">
        <v>269</v>
      </c>
      <c r="Z557" t="s">
        <v>5922</v>
      </c>
    </row>
    <row r="558" spans="1:26" x14ac:dyDescent="0.2">
      <c r="A558" t="s">
        <v>1122</v>
      </c>
      <c r="B558" t="s">
        <v>1123</v>
      </c>
      <c r="C558" t="s">
        <v>1124</v>
      </c>
      <c r="D558" t="s">
        <v>98</v>
      </c>
      <c r="E558">
        <v>599.99</v>
      </c>
      <c r="F558" t="s">
        <v>5922</v>
      </c>
      <c r="G558">
        <v>599.99</v>
      </c>
      <c r="L558" t="s">
        <v>5922</v>
      </c>
      <c r="U558">
        <v>380.86</v>
      </c>
      <c r="V558">
        <v>391.3</v>
      </c>
      <c r="W558">
        <v>417.38</v>
      </c>
      <c r="X558">
        <v>417.38</v>
      </c>
      <c r="Y558">
        <v>599.99</v>
      </c>
      <c r="Z558" t="s">
        <v>5922</v>
      </c>
    </row>
    <row r="559" spans="1:26" x14ac:dyDescent="0.2">
      <c r="A559" t="s">
        <v>7662</v>
      </c>
      <c r="B559" t="s">
        <v>7663</v>
      </c>
      <c r="C559" t="s">
        <v>7664</v>
      </c>
      <c r="D559" t="s">
        <v>105</v>
      </c>
      <c r="E559">
        <v>269.99</v>
      </c>
      <c r="F559" t="s">
        <v>7287</v>
      </c>
      <c r="H559">
        <v>187.82</v>
      </c>
      <c r="L559" t="s">
        <v>5922</v>
      </c>
      <c r="U559">
        <v>176.08</v>
      </c>
      <c r="V559">
        <v>187.82</v>
      </c>
      <c r="X559">
        <v>187.82</v>
      </c>
      <c r="Y559">
        <v>269.99</v>
      </c>
      <c r="Z559" t="s">
        <v>5922</v>
      </c>
    </row>
    <row r="560" spans="1:26" x14ac:dyDescent="0.2">
      <c r="A560" t="s">
        <v>7662</v>
      </c>
      <c r="B560" t="s">
        <v>7665</v>
      </c>
      <c r="C560" t="s">
        <v>7666</v>
      </c>
      <c r="D560" t="s">
        <v>105</v>
      </c>
      <c r="E560">
        <v>269.99</v>
      </c>
      <c r="F560" t="s">
        <v>7287</v>
      </c>
      <c r="H560">
        <v>187.82</v>
      </c>
      <c r="L560" t="s">
        <v>5922</v>
      </c>
      <c r="U560">
        <v>176.08</v>
      </c>
      <c r="V560">
        <v>187.82</v>
      </c>
      <c r="X560">
        <v>187.82</v>
      </c>
      <c r="Y560">
        <v>269.99</v>
      </c>
      <c r="Z560" t="s">
        <v>5922</v>
      </c>
    </row>
    <row r="561" spans="1:26" x14ac:dyDescent="0.2">
      <c r="A561" t="s">
        <v>7662</v>
      </c>
      <c r="B561" t="s">
        <v>7667</v>
      </c>
      <c r="C561" t="s">
        <v>7668</v>
      </c>
      <c r="D561" t="s">
        <v>105</v>
      </c>
      <c r="E561">
        <v>84.99</v>
      </c>
      <c r="F561" t="s">
        <v>7052</v>
      </c>
      <c r="H561">
        <v>59.12</v>
      </c>
      <c r="L561" t="s">
        <v>5922</v>
      </c>
      <c r="U561">
        <v>55.43</v>
      </c>
      <c r="V561">
        <v>59.12</v>
      </c>
      <c r="X561">
        <v>59.12</v>
      </c>
      <c r="Y561">
        <v>84.99</v>
      </c>
      <c r="Z561" t="s">
        <v>5922</v>
      </c>
    </row>
    <row r="562" spans="1:26" x14ac:dyDescent="0.2">
      <c r="A562" t="s">
        <v>7662</v>
      </c>
      <c r="B562" t="s">
        <v>7669</v>
      </c>
      <c r="C562" t="s">
        <v>7670</v>
      </c>
      <c r="D562" t="s">
        <v>105</v>
      </c>
      <c r="E562">
        <v>84.99</v>
      </c>
      <c r="F562" t="s">
        <v>7052</v>
      </c>
      <c r="H562">
        <v>59.12</v>
      </c>
      <c r="L562" t="s">
        <v>5922</v>
      </c>
      <c r="U562">
        <v>55.43</v>
      </c>
      <c r="V562">
        <v>59.12</v>
      </c>
      <c r="X562">
        <v>59.12</v>
      </c>
      <c r="Y562">
        <v>84.99</v>
      </c>
      <c r="Z562" t="s">
        <v>5922</v>
      </c>
    </row>
    <row r="563" spans="1:26" x14ac:dyDescent="0.2">
      <c r="A563" t="s">
        <v>7662</v>
      </c>
      <c r="B563" t="s">
        <v>7671</v>
      </c>
      <c r="C563" t="s">
        <v>7672</v>
      </c>
      <c r="D563" t="s">
        <v>105</v>
      </c>
      <c r="E563">
        <v>84.99</v>
      </c>
      <c r="F563" t="s">
        <v>7052</v>
      </c>
      <c r="H563">
        <v>59.12</v>
      </c>
      <c r="L563" t="s">
        <v>5922</v>
      </c>
      <c r="U563">
        <v>55.43</v>
      </c>
      <c r="V563">
        <v>59.12</v>
      </c>
      <c r="X563">
        <v>59.12</v>
      </c>
      <c r="Y563">
        <v>84.99</v>
      </c>
      <c r="Z563" t="s">
        <v>5922</v>
      </c>
    </row>
    <row r="564" spans="1:26" x14ac:dyDescent="0.2">
      <c r="A564" t="s">
        <v>7662</v>
      </c>
      <c r="B564" t="s">
        <v>7673</v>
      </c>
      <c r="C564" t="s">
        <v>7674</v>
      </c>
      <c r="D564" t="s">
        <v>105</v>
      </c>
      <c r="E564">
        <v>84.99</v>
      </c>
      <c r="F564" t="s">
        <v>7052</v>
      </c>
      <c r="H564">
        <v>59.12</v>
      </c>
      <c r="L564" t="s">
        <v>5922</v>
      </c>
      <c r="U564">
        <v>55.43</v>
      </c>
      <c r="V564">
        <v>59.12</v>
      </c>
      <c r="X564">
        <v>59.12</v>
      </c>
      <c r="Y564">
        <v>84.99</v>
      </c>
      <c r="Z564" t="s">
        <v>5922</v>
      </c>
    </row>
    <row r="565" spans="1:26" x14ac:dyDescent="0.2">
      <c r="A565" t="s">
        <v>7662</v>
      </c>
      <c r="B565" t="s">
        <v>7675</v>
      </c>
      <c r="C565" t="s">
        <v>7676</v>
      </c>
      <c r="D565" t="s">
        <v>105</v>
      </c>
      <c r="E565">
        <v>124.99</v>
      </c>
      <c r="F565" t="s">
        <v>7286</v>
      </c>
      <c r="H565">
        <v>86.95</v>
      </c>
      <c r="L565" t="s">
        <v>5922</v>
      </c>
      <c r="U565">
        <v>81.52</v>
      </c>
      <c r="V565">
        <v>86.95</v>
      </c>
      <c r="X565">
        <v>86.95</v>
      </c>
      <c r="Y565">
        <v>124.99</v>
      </c>
      <c r="Z565" t="s">
        <v>5922</v>
      </c>
    </row>
    <row r="566" spans="1:26" x14ac:dyDescent="0.2">
      <c r="A566" t="s">
        <v>7662</v>
      </c>
      <c r="B566" t="s">
        <v>7677</v>
      </c>
      <c r="C566" t="s">
        <v>7678</v>
      </c>
      <c r="D566" t="s">
        <v>105</v>
      </c>
      <c r="E566">
        <v>124.99</v>
      </c>
      <c r="F566" t="s">
        <v>7286</v>
      </c>
      <c r="H566">
        <v>86.95</v>
      </c>
      <c r="L566" t="s">
        <v>5922</v>
      </c>
      <c r="U566">
        <v>81.52</v>
      </c>
      <c r="V566">
        <v>86.95</v>
      </c>
      <c r="X566">
        <v>86.95</v>
      </c>
      <c r="Y566">
        <v>124.99</v>
      </c>
      <c r="Z566" t="s">
        <v>5922</v>
      </c>
    </row>
    <row r="567" spans="1:26" x14ac:dyDescent="0.2">
      <c r="A567" t="s">
        <v>7662</v>
      </c>
      <c r="B567" t="s">
        <v>7679</v>
      </c>
      <c r="C567" t="s">
        <v>7680</v>
      </c>
      <c r="D567" t="s">
        <v>105</v>
      </c>
      <c r="E567">
        <v>124.99</v>
      </c>
      <c r="F567" t="s">
        <v>7286</v>
      </c>
      <c r="H567">
        <v>86.95</v>
      </c>
      <c r="L567" t="s">
        <v>5922</v>
      </c>
      <c r="U567">
        <v>81.52</v>
      </c>
      <c r="V567">
        <v>86.95</v>
      </c>
      <c r="X567">
        <v>86.95</v>
      </c>
      <c r="Y567">
        <v>124.99</v>
      </c>
      <c r="Z567" t="s">
        <v>5922</v>
      </c>
    </row>
    <row r="568" spans="1:26" x14ac:dyDescent="0.2">
      <c r="A568" t="s">
        <v>7662</v>
      </c>
      <c r="B568" t="s">
        <v>7681</v>
      </c>
      <c r="C568" t="s">
        <v>7682</v>
      </c>
      <c r="D568" t="s">
        <v>105</v>
      </c>
      <c r="E568">
        <v>124.99</v>
      </c>
      <c r="F568" t="s">
        <v>7286</v>
      </c>
      <c r="H568">
        <v>86.95</v>
      </c>
      <c r="L568" t="s">
        <v>5922</v>
      </c>
      <c r="U568">
        <v>81.52</v>
      </c>
      <c r="V568">
        <v>86.95</v>
      </c>
      <c r="X568">
        <v>86.95</v>
      </c>
      <c r="Y568">
        <v>124.99</v>
      </c>
      <c r="Z568" t="s">
        <v>5922</v>
      </c>
    </row>
    <row r="569" spans="1:26" x14ac:dyDescent="0.2">
      <c r="A569" t="s">
        <v>7662</v>
      </c>
      <c r="B569" t="s">
        <v>7683</v>
      </c>
      <c r="C569" t="s">
        <v>7684</v>
      </c>
      <c r="D569" t="s">
        <v>105</v>
      </c>
      <c r="E569">
        <v>69.989999999999995</v>
      </c>
      <c r="F569" t="s">
        <v>6890</v>
      </c>
      <c r="H569">
        <v>48.69</v>
      </c>
      <c r="L569" t="s">
        <v>5922</v>
      </c>
      <c r="U569">
        <v>45.65</v>
      </c>
      <c r="V569">
        <v>48.69</v>
      </c>
      <c r="X569">
        <v>48.69</v>
      </c>
      <c r="Y569">
        <v>69.989999999999995</v>
      </c>
      <c r="Z569" t="s">
        <v>5922</v>
      </c>
    </row>
    <row r="570" spans="1:26" x14ac:dyDescent="0.2">
      <c r="A570" t="s">
        <v>7662</v>
      </c>
      <c r="B570" t="s">
        <v>7685</v>
      </c>
      <c r="C570" t="s">
        <v>7686</v>
      </c>
      <c r="D570" t="s">
        <v>105</v>
      </c>
      <c r="E570">
        <v>69.989999999999995</v>
      </c>
      <c r="F570" t="s">
        <v>6890</v>
      </c>
      <c r="H570">
        <v>48.69</v>
      </c>
      <c r="L570" t="s">
        <v>5922</v>
      </c>
      <c r="U570">
        <v>45.65</v>
      </c>
      <c r="V570">
        <v>48.69</v>
      </c>
      <c r="X570">
        <v>48.69</v>
      </c>
      <c r="Y570">
        <v>69.989999999999995</v>
      </c>
      <c r="Z570" t="s">
        <v>5922</v>
      </c>
    </row>
    <row r="571" spans="1:26" x14ac:dyDescent="0.2">
      <c r="A571" t="s">
        <v>7662</v>
      </c>
      <c r="B571" t="s">
        <v>7687</v>
      </c>
      <c r="C571" t="s">
        <v>7688</v>
      </c>
      <c r="D571" t="s">
        <v>105</v>
      </c>
      <c r="E571">
        <v>69.989999999999995</v>
      </c>
      <c r="F571" t="s">
        <v>6890</v>
      </c>
      <c r="H571">
        <v>48.69</v>
      </c>
      <c r="L571" t="s">
        <v>5922</v>
      </c>
      <c r="U571">
        <v>45.65</v>
      </c>
      <c r="V571">
        <v>48.69</v>
      </c>
      <c r="X571">
        <v>48.69</v>
      </c>
      <c r="Y571">
        <v>69.989999999999995</v>
      </c>
      <c r="Z571" t="s">
        <v>5922</v>
      </c>
    </row>
    <row r="572" spans="1:26" x14ac:dyDescent="0.2">
      <c r="A572" t="s">
        <v>7662</v>
      </c>
      <c r="B572" t="s">
        <v>7689</v>
      </c>
      <c r="C572" t="s">
        <v>7690</v>
      </c>
      <c r="D572" t="s">
        <v>105</v>
      </c>
      <c r="E572">
        <v>259.99</v>
      </c>
      <c r="F572" t="s">
        <v>7186</v>
      </c>
      <c r="H572">
        <v>180.86</v>
      </c>
      <c r="L572" t="s">
        <v>5922</v>
      </c>
      <c r="U572">
        <v>169.56</v>
      </c>
      <c r="V572">
        <v>180.86</v>
      </c>
      <c r="X572">
        <v>180.86</v>
      </c>
      <c r="Y572">
        <v>259.99</v>
      </c>
      <c r="Z572" t="s">
        <v>5922</v>
      </c>
    </row>
    <row r="573" spans="1:26" x14ac:dyDescent="0.2">
      <c r="A573" t="s">
        <v>7662</v>
      </c>
      <c r="B573" t="s">
        <v>7691</v>
      </c>
      <c r="C573" t="s">
        <v>7692</v>
      </c>
      <c r="D573" t="s">
        <v>105</v>
      </c>
      <c r="E573">
        <v>259.99</v>
      </c>
      <c r="F573" t="s">
        <v>7186</v>
      </c>
      <c r="H573">
        <v>180.86</v>
      </c>
      <c r="L573" t="s">
        <v>5922</v>
      </c>
      <c r="U573">
        <v>169.56</v>
      </c>
      <c r="V573">
        <v>180.86</v>
      </c>
      <c r="X573">
        <v>180.86</v>
      </c>
      <c r="Y573">
        <v>259.99</v>
      </c>
      <c r="Z573" t="s">
        <v>5922</v>
      </c>
    </row>
    <row r="574" spans="1:26" x14ac:dyDescent="0.2">
      <c r="A574" t="s">
        <v>7662</v>
      </c>
      <c r="B574" t="s">
        <v>7693</v>
      </c>
      <c r="C574" t="s">
        <v>7694</v>
      </c>
      <c r="D574" t="s">
        <v>105</v>
      </c>
      <c r="E574">
        <v>169.99</v>
      </c>
      <c r="F574" t="s">
        <v>6888</v>
      </c>
      <c r="H574">
        <v>118.25</v>
      </c>
      <c r="L574" t="s">
        <v>5922</v>
      </c>
      <c r="U574">
        <v>110.86</v>
      </c>
      <c r="V574">
        <v>118.25</v>
      </c>
      <c r="X574">
        <v>118.25</v>
      </c>
      <c r="Y574">
        <v>169.99</v>
      </c>
      <c r="Z574" t="s">
        <v>5922</v>
      </c>
    </row>
    <row r="575" spans="1:26" x14ac:dyDescent="0.2">
      <c r="A575" t="s">
        <v>7662</v>
      </c>
      <c r="B575" t="s">
        <v>7695</v>
      </c>
      <c r="C575" t="s">
        <v>7696</v>
      </c>
      <c r="D575" t="s">
        <v>105</v>
      </c>
      <c r="E575">
        <v>169.99</v>
      </c>
      <c r="F575" t="s">
        <v>6888</v>
      </c>
      <c r="H575">
        <v>118.25</v>
      </c>
      <c r="L575" t="s">
        <v>5922</v>
      </c>
      <c r="U575">
        <v>110.86</v>
      </c>
      <c r="V575">
        <v>118.25</v>
      </c>
      <c r="X575">
        <v>118.25</v>
      </c>
      <c r="Y575">
        <v>169.99</v>
      </c>
      <c r="Z575" t="s">
        <v>5922</v>
      </c>
    </row>
    <row r="576" spans="1:26" x14ac:dyDescent="0.2">
      <c r="A576" t="s">
        <v>7662</v>
      </c>
      <c r="B576" t="s">
        <v>7697</v>
      </c>
      <c r="C576" t="s">
        <v>7698</v>
      </c>
      <c r="D576" t="s">
        <v>105</v>
      </c>
      <c r="E576">
        <v>169.99</v>
      </c>
      <c r="F576" t="s">
        <v>6888</v>
      </c>
      <c r="H576">
        <v>118.25</v>
      </c>
      <c r="L576" t="s">
        <v>5922</v>
      </c>
      <c r="U576">
        <v>110.86</v>
      </c>
      <c r="V576">
        <v>118.25</v>
      </c>
      <c r="X576">
        <v>118.25</v>
      </c>
      <c r="Y576">
        <v>169.99</v>
      </c>
      <c r="Z576" t="s">
        <v>5922</v>
      </c>
    </row>
    <row r="577" spans="1:26" x14ac:dyDescent="0.2">
      <c r="A577" t="s">
        <v>7662</v>
      </c>
      <c r="B577" t="s">
        <v>7699</v>
      </c>
      <c r="C577" t="s">
        <v>7700</v>
      </c>
      <c r="D577" t="s">
        <v>105</v>
      </c>
      <c r="E577">
        <v>99</v>
      </c>
      <c r="F577" t="s">
        <v>6942</v>
      </c>
      <c r="H577">
        <v>68.87</v>
      </c>
      <c r="L577" t="s">
        <v>5922</v>
      </c>
      <c r="U577">
        <v>64.569999999999993</v>
      </c>
      <c r="V577">
        <v>68.87</v>
      </c>
      <c r="X577">
        <v>68.87</v>
      </c>
      <c r="Y577">
        <v>99</v>
      </c>
      <c r="Z577" t="s">
        <v>5922</v>
      </c>
    </row>
    <row r="578" spans="1:26" x14ac:dyDescent="0.2">
      <c r="A578" t="s">
        <v>7662</v>
      </c>
      <c r="B578" t="s">
        <v>7701</v>
      </c>
      <c r="C578" t="s">
        <v>7702</v>
      </c>
      <c r="D578" t="s">
        <v>105</v>
      </c>
      <c r="E578">
        <v>99</v>
      </c>
      <c r="F578" t="s">
        <v>6942</v>
      </c>
      <c r="H578">
        <v>68.87</v>
      </c>
      <c r="L578" t="s">
        <v>5922</v>
      </c>
      <c r="U578">
        <v>64.569999999999993</v>
      </c>
      <c r="V578">
        <v>68.87</v>
      </c>
      <c r="X578">
        <v>68.87</v>
      </c>
      <c r="Y578">
        <v>99</v>
      </c>
      <c r="Z578" t="s">
        <v>5922</v>
      </c>
    </row>
    <row r="579" spans="1:26" x14ac:dyDescent="0.2">
      <c r="A579" t="s">
        <v>7662</v>
      </c>
      <c r="B579" t="s">
        <v>7703</v>
      </c>
      <c r="C579" t="s">
        <v>7704</v>
      </c>
      <c r="D579" t="s">
        <v>105</v>
      </c>
      <c r="E579">
        <v>99</v>
      </c>
      <c r="F579" t="s">
        <v>6942</v>
      </c>
      <c r="H579">
        <v>68.87</v>
      </c>
      <c r="L579" t="s">
        <v>5922</v>
      </c>
      <c r="U579">
        <v>64.569999999999993</v>
      </c>
      <c r="V579">
        <v>68.87</v>
      </c>
      <c r="X579">
        <v>68.87</v>
      </c>
      <c r="Y579">
        <v>99</v>
      </c>
      <c r="Z579" t="s">
        <v>5922</v>
      </c>
    </row>
    <row r="580" spans="1:26" x14ac:dyDescent="0.2">
      <c r="A580" t="s">
        <v>7662</v>
      </c>
      <c r="B580" t="s">
        <v>7705</v>
      </c>
      <c r="C580" t="s">
        <v>7706</v>
      </c>
      <c r="D580" t="s">
        <v>105</v>
      </c>
      <c r="E580">
        <v>99</v>
      </c>
      <c r="F580" t="s">
        <v>6942</v>
      </c>
      <c r="H580">
        <v>68.87</v>
      </c>
      <c r="L580" t="s">
        <v>5922</v>
      </c>
      <c r="U580">
        <v>64.569999999999993</v>
      </c>
      <c r="V580">
        <v>68.87</v>
      </c>
      <c r="X580">
        <v>68.87</v>
      </c>
      <c r="Y580">
        <v>99</v>
      </c>
      <c r="Z580" t="s">
        <v>5922</v>
      </c>
    </row>
    <row r="581" spans="1:26" x14ac:dyDescent="0.2">
      <c r="A581" t="s">
        <v>7662</v>
      </c>
      <c r="B581" t="s">
        <v>7707</v>
      </c>
      <c r="C581" t="s">
        <v>7708</v>
      </c>
      <c r="D581" t="s">
        <v>105</v>
      </c>
      <c r="E581">
        <v>99</v>
      </c>
      <c r="F581" t="s">
        <v>6942</v>
      </c>
      <c r="H581">
        <v>68.87</v>
      </c>
      <c r="L581" t="s">
        <v>5922</v>
      </c>
      <c r="U581">
        <v>64.569999999999993</v>
      </c>
      <c r="V581">
        <v>68.87</v>
      </c>
      <c r="X581">
        <v>68.87</v>
      </c>
      <c r="Y581">
        <v>99</v>
      </c>
      <c r="Z581" t="s">
        <v>5922</v>
      </c>
    </row>
    <row r="582" spans="1:26" x14ac:dyDescent="0.2">
      <c r="A582" t="s">
        <v>7662</v>
      </c>
      <c r="B582" t="s">
        <v>7709</v>
      </c>
      <c r="C582" t="s">
        <v>7710</v>
      </c>
      <c r="D582" t="s">
        <v>105</v>
      </c>
      <c r="E582">
        <v>99</v>
      </c>
      <c r="F582" t="s">
        <v>6942</v>
      </c>
      <c r="H582">
        <v>68.87</v>
      </c>
      <c r="L582" t="s">
        <v>5922</v>
      </c>
      <c r="U582">
        <v>64.569999999999993</v>
      </c>
      <c r="V582">
        <v>68.87</v>
      </c>
      <c r="X582">
        <v>68.87</v>
      </c>
      <c r="Y582">
        <v>99</v>
      </c>
      <c r="Z582" t="s">
        <v>5922</v>
      </c>
    </row>
    <row r="583" spans="1:26" x14ac:dyDescent="0.2">
      <c r="A583" t="s">
        <v>7662</v>
      </c>
      <c r="B583" t="s">
        <v>7711</v>
      </c>
      <c r="C583" t="s">
        <v>7712</v>
      </c>
      <c r="D583" t="s">
        <v>105</v>
      </c>
      <c r="E583">
        <v>99</v>
      </c>
      <c r="F583" t="s">
        <v>6942</v>
      </c>
      <c r="H583">
        <v>68.87</v>
      </c>
      <c r="L583" t="s">
        <v>5922</v>
      </c>
      <c r="U583">
        <v>64.569999999999993</v>
      </c>
      <c r="V583">
        <v>68.87</v>
      </c>
      <c r="X583">
        <v>68.87</v>
      </c>
      <c r="Y583">
        <v>99</v>
      </c>
      <c r="Z583" t="s">
        <v>5922</v>
      </c>
    </row>
    <row r="584" spans="1:26" x14ac:dyDescent="0.2">
      <c r="A584" t="s">
        <v>7662</v>
      </c>
      <c r="B584" t="s">
        <v>7713</v>
      </c>
      <c r="C584" t="s">
        <v>7714</v>
      </c>
      <c r="D584" t="s">
        <v>105</v>
      </c>
      <c r="E584">
        <v>99</v>
      </c>
      <c r="F584" t="s">
        <v>6942</v>
      </c>
      <c r="H584">
        <v>68.87</v>
      </c>
      <c r="L584" t="s">
        <v>5922</v>
      </c>
      <c r="U584">
        <v>64.569999999999993</v>
      </c>
      <c r="V584">
        <v>68.87</v>
      </c>
      <c r="X584">
        <v>68.87</v>
      </c>
      <c r="Y584">
        <v>99</v>
      </c>
      <c r="Z584" t="s">
        <v>5922</v>
      </c>
    </row>
    <row r="585" spans="1:26" x14ac:dyDescent="0.2">
      <c r="A585" t="s">
        <v>7662</v>
      </c>
      <c r="B585" t="s">
        <v>7715</v>
      </c>
      <c r="C585" t="s">
        <v>7716</v>
      </c>
      <c r="D585" t="s">
        <v>105</v>
      </c>
      <c r="E585">
        <v>99</v>
      </c>
      <c r="F585" t="s">
        <v>6942</v>
      </c>
      <c r="H585">
        <v>68.87</v>
      </c>
      <c r="L585" t="s">
        <v>5922</v>
      </c>
      <c r="U585">
        <v>64.569999999999993</v>
      </c>
      <c r="V585">
        <v>68.87</v>
      </c>
      <c r="X585">
        <v>68.87</v>
      </c>
      <c r="Y585">
        <v>99</v>
      </c>
      <c r="Z585" t="s">
        <v>5922</v>
      </c>
    </row>
    <row r="586" spans="1:26" x14ac:dyDescent="0.2">
      <c r="A586" t="s">
        <v>7662</v>
      </c>
      <c r="B586" t="s">
        <v>7717</v>
      </c>
      <c r="C586" t="s">
        <v>7718</v>
      </c>
      <c r="D586" t="s">
        <v>105</v>
      </c>
      <c r="E586">
        <v>99</v>
      </c>
      <c r="F586" t="s">
        <v>6942</v>
      </c>
      <c r="H586">
        <v>68.87</v>
      </c>
      <c r="L586" t="s">
        <v>5922</v>
      </c>
      <c r="U586">
        <v>64.569999999999993</v>
      </c>
      <c r="V586">
        <v>68.87</v>
      </c>
      <c r="X586">
        <v>68.87</v>
      </c>
      <c r="Y586">
        <v>99</v>
      </c>
      <c r="Z586" t="s">
        <v>5922</v>
      </c>
    </row>
    <row r="587" spans="1:26" x14ac:dyDescent="0.2">
      <c r="A587" t="s">
        <v>7662</v>
      </c>
      <c r="B587" t="s">
        <v>7719</v>
      </c>
      <c r="C587" t="s">
        <v>7720</v>
      </c>
      <c r="D587" t="s">
        <v>105</v>
      </c>
      <c r="E587">
        <v>99</v>
      </c>
      <c r="F587" t="s">
        <v>6942</v>
      </c>
      <c r="H587">
        <v>68.87</v>
      </c>
      <c r="L587" t="s">
        <v>5922</v>
      </c>
      <c r="U587">
        <v>64.569999999999993</v>
      </c>
      <c r="V587">
        <v>68.87</v>
      </c>
      <c r="X587">
        <v>68.87</v>
      </c>
      <c r="Y587">
        <v>99</v>
      </c>
      <c r="Z587" t="s">
        <v>5922</v>
      </c>
    </row>
    <row r="588" spans="1:26" x14ac:dyDescent="0.2">
      <c r="A588" t="s">
        <v>7662</v>
      </c>
      <c r="B588" t="s">
        <v>7721</v>
      </c>
      <c r="C588" t="s">
        <v>7722</v>
      </c>
      <c r="D588" t="s">
        <v>105</v>
      </c>
      <c r="E588">
        <v>99</v>
      </c>
      <c r="F588" t="s">
        <v>6942</v>
      </c>
      <c r="H588">
        <v>68.87</v>
      </c>
      <c r="L588" t="s">
        <v>5922</v>
      </c>
      <c r="U588">
        <v>64.569999999999993</v>
      </c>
      <c r="V588">
        <v>68.87</v>
      </c>
      <c r="X588">
        <v>68.87</v>
      </c>
      <c r="Y588">
        <v>99</v>
      </c>
      <c r="Z588" t="s">
        <v>5922</v>
      </c>
    </row>
    <row r="589" spans="1:26" x14ac:dyDescent="0.2">
      <c r="A589" t="s">
        <v>7662</v>
      </c>
      <c r="B589" t="s">
        <v>7723</v>
      </c>
      <c r="C589" t="s">
        <v>7724</v>
      </c>
      <c r="D589" t="s">
        <v>105</v>
      </c>
      <c r="E589">
        <v>99</v>
      </c>
      <c r="F589" t="s">
        <v>6942</v>
      </c>
      <c r="H589">
        <v>68.87</v>
      </c>
      <c r="L589" t="s">
        <v>5922</v>
      </c>
      <c r="U589">
        <v>64.569999999999993</v>
      </c>
      <c r="V589">
        <v>68.87</v>
      </c>
      <c r="X589">
        <v>68.87</v>
      </c>
      <c r="Y589">
        <v>99</v>
      </c>
      <c r="Z589" t="s">
        <v>5922</v>
      </c>
    </row>
    <row r="590" spans="1:26" x14ac:dyDescent="0.2">
      <c r="A590" t="s">
        <v>7662</v>
      </c>
      <c r="B590" t="s">
        <v>7725</v>
      </c>
      <c r="C590" t="s">
        <v>7726</v>
      </c>
      <c r="D590" t="s">
        <v>105</v>
      </c>
      <c r="E590">
        <v>99</v>
      </c>
      <c r="F590" t="s">
        <v>6942</v>
      </c>
      <c r="H590">
        <v>68.87</v>
      </c>
      <c r="L590" t="s">
        <v>5922</v>
      </c>
      <c r="U590">
        <v>64.569999999999993</v>
      </c>
      <c r="V590">
        <v>68.87</v>
      </c>
      <c r="X590">
        <v>68.87</v>
      </c>
      <c r="Y590">
        <v>99</v>
      </c>
      <c r="Z590" t="s">
        <v>5922</v>
      </c>
    </row>
    <row r="591" spans="1:26" x14ac:dyDescent="0.2">
      <c r="A591" t="s">
        <v>7662</v>
      </c>
      <c r="B591" t="s">
        <v>7727</v>
      </c>
      <c r="C591" t="s">
        <v>7728</v>
      </c>
      <c r="D591" t="s">
        <v>105</v>
      </c>
      <c r="E591">
        <v>129.99</v>
      </c>
      <c r="F591" t="s">
        <v>7023</v>
      </c>
      <c r="H591">
        <v>90.43</v>
      </c>
      <c r="L591" t="s">
        <v>5922</v>
      </c>
      <c r="U591">
        <v>84.78</v>
      </c>
      <c r="V591">
        <v>90.43</v>
      </c>
      <c r="X591">
        <v>90.43</v>
      </c>
      <c r="Y591">
        <v>129.99</v>
      </c>
      <c r="Z591" t="s">
        <v>5922</v>
      </c>
    </row>
    <row r="592" spans="1:26" x14ac:dyDescent="0.2">
      <c r="A592" t="s">
        <v>7662</v>
      </c>
      <c r="B592" t="s">
        <v>7729</v>
      </c>
      <c r="C592" t="s">
        <v>7730</v>
      </c>
      <c r="D592" t="s">
        <v>105</v>
      </c>
      <c r="E592">
        <v>129.99</v>
      </c>
      <c r="F592" t="s">
        <v>7023</v>
      </c>
      <c r="H592">
        <v>90.43</v>
      </c>
      <c r="L592" t="s">
        <v>5922</v>
      </c>
      <c r="U592">
        <v>84.78</v>
      </c>
      <c r="V592">
        <v>90.43</v>
      </c>
      <c r="X592">
        <v>90.43</v>
      </c>
      <c r="Y592">
        <v>129.99</v>
      </c>
      <c r="Z592" t="s">
        <v>5922</v>
      </c>
    </row>
    <row r="593" spans="1:26" x14ac:dyDescent="0.2">
      <c r="A593" t="s">
        <v>7662</v>
      </c>
      <c r="B593" t="s">
        <v>7731</v>
      </c>
      <c r="C593" t="s">
        <v>7732</v>
      </c>
      <c r="D593" t="s">
        <v>105</v>
      </c>
      <c r="E593">
        <v>129.99</v>
      </c>
      <c r="F593" t="s">
        <v>7023</v>
      </c>
      <c r="H593">
        <v>90.43</v>
      </c>
      <c r="L593" t="s">
        <v>5922</v>
      </c>
      <c r="U593">
        <v>84.78</v>
      </c>
      <c r="V593">
        <v>90.43</v>
      </c>
      <c r="X593">
        <v>90.43</v>
      </c>
      <c r="Y593">
        <v>129.99</v>
      </c>
      <c r="Z593" t="s">
        <v>5922</v>
      </c>
    </row>
    <row r="594" spans="1:26" x14ac:dyDescent="0.2">
      <c r="A594" t="s">
        <v>7662</v>
      </c>
      <c r="B594" t="s">
        <v>7733</v>
      </c>
      <c r="C594" t="s">
        <v>7734</v>
      </c>
      <c r="D594" t="s">
        <v>105</v>
      </c>
      <c r="E594">
        <v>99</v>
      </c>
      <c r="F594" t="s">
        <v>6942</v>
      </c>
      <c r="H594">
        <v>68.87</v>
      </c>
      <c r="L594" t="s">
        <v>5922</v>
      </c>
      <c r="U594">
        <v>64.569999999999993</v>
      </c>
      <c r="V594">
        <v>68.87</v>
      </c>
      <c r="X594">
        <v>68.87</v>
      </c>
      <c r="Y594">
        <v>99</v>
      </c>
      <c r="Z594" t="s">
        <v>5922</v>
      </c>
    </row>
    <row r="595" spans="1:26" x14ac:dyDescent="0.2">
      <c r="A595" t="s">
        <v>7662</v>
      </c>
      <c r="B595" t="s">
        <v>7735</v>
      </c>
      <c r="C595" t="s">
        <v>7736</v>
      </c>
      <c r="D595" t="s">
        <v>105</v>
      </c>
      <c r="E595">
        <v>99</v>
      </c>
      <c r="F595" t="s">
        <v>6942</v>
      </c>
      <c r="H595">
        <v>68.87</v>
      </c>
      <c r="L595" t="s">
        <v>5922</v>
      </c>
      <c r="U595">
        <v>64.569999999999993</v>
      </c>
      <c r="V595">
        <v>68.87</v>
      </c>
      <c r="X595">
        <v>68.87</v>
      </c>
      <c r="Y595">
        <v>99</v>
      </c>
      <c r="Z595" t="s">
        <v>5922</v>
      </c>
    </row>
    <row r="596" spans="1:26" x14ac:dyDescent="0.2">
      <c r="A596" t="s">
        <v>7662</v>
      </c>
      <c r="B596" t="s">
        <v>7737</v>
      </c>
      <c r="C596" t="s">
        <v>7738</v>
      </c>
      <c r="D596" t="s">
        <v>105</v>
      </c>
      <c r="E596">
        <v>249.99</v>
      </c>
      <c r="F596" t="s">
        <v>7134</v>
      </c>
      <c r="H596">
        <v>173.91</v>
      </c>
      <c r="L596" t="s">
        <v>5922</v>
      </c>
      <c r="U596">
        <v>163.04</v>
      </c>
      <c r="V596">
        <v>173.91</v>
      </c>
      <c r="X596">
        <v>173.91</v>
      </c>
      <c r="Y596">
        <v>249.99</v>
      </c>
      <c r="Z596" t="s">
        <v>5922</v>
      </c>
    </row>
    <row r="597" spans="1:26" x14ac:dyDescent="0.2">
      <c r="A597" t="s">
        <v>7662</v>
      </c>
      <c r="B597" t="s">
        <v>7739</v>
      </c>
      <c r="C597" t="s">
        <v>7740</v>
      </c>
      <c r="D597" t="s">
        <v>105</v>
      </c>
      <c r="E597">
        <v>249.99</v>
      </c>
      <c r="F597" t="s">
        <v>7134</v>
      </c>
      <c r="H597">
        <v>173.91</v>
      </c>
      <c r="L597" t="s">
        <v>5922</v>
      </c>
      <c r="U597">
        <v>163.04</v>
      </c>
      <c r="V597">
        <v>173.91</v>
      </c>
      <c r="X597">
        <v>173.91</v>
      </c>
      <c r="Y597">
        <v>249.99</v>
      </c>
      <c r="Z597" t="s">
        <v>5922</v>
      </c>
    </row>
    <row r="598" spans="1:26" x14ac:dyDescent="0.2">
      <c r="A598" t="s">
        <v>7662</v>
      </c>
      <c r="B598" t="s">
        <v>7741</v>
      </c>
      <c r="C598" t="s">
        <v>7742</v>
      </c>
      <c r="D598" t="s">
        <v>105</v>
      </c>
      <c r="E598">
        <v>109.99</v>
      </c>
      <c r="F598" t="s">
        <v>7025</v>
      </c>
      <c r="H598">
        <v>76.510000000000005</v>
      </c>
      <c r="L598" t="s">
        <v>5922</v>
      </c>
      <c r="U598">
        <v>71.73</v>
      </c>
      <c r="V598">
        <v>76.510000000000005</v>
      </c>
      <c r="X598">
        <v>76.510000000000005</v>
      </c>
      <c r="Y598">
        <v>109.99</v>
      </c>
      <c r="Z598" t="s">
        <v>5922</v>
      </c>
    </row>
    <row r="599" spans="1:26" x14ac:dyDescent="0.2">
      <c r="A599" t="s">
        <v>7662</v>
      </c>
      <c r="B599" t="s">
        <v>7743</v>
      </c>
      <c r="C599" t="s">
        <v>7744</v>
      </c>
      <c r="D599" t="s">
        <v>105</v>
      </c>
      <c r="E599">
        <v>109.99</v>
      </c>
      <c r="F599" t="s">
        <v>7025</v>
      </c>
      <c r="H599">
        <v>76.510000000000005</v>
      </c>
      <c r="L599" t="s">
        <v>5922</v>
      </c>
      <c r="U599">
        <v>71.73</v>
      </c>
      <c r="V599">
        <v>76.510000000000005</v>
      </c>
      <c r="X599">
        <v>76.510000000000005</v>
      </c>
      <c r="Y599">
        <v>109.99</v>
      </c>
      <c r="Z599" t="s">
        <v>5922</v>
      </c>
    </row>
    <row r="600" spans="1:26" x14ac:dyDescent="0.2">
      <c r="A600" t="s">
        <v>7662</v>
      </c>
      <c r="B600" t="s">
        <v>7745</v>
      </c>
      <c r="C600" t="s">
        <v>7746</v>
      </c>
      <c r="D600" t="s">
        <v>105</v>
      </c>
      <c r="E600">
        <v>109.99</v>
      </c>
      <c r="F600" t="s">
        <v>7025</v>
      </c>
      <c r="H600">
        <v>76.510000000000005</v>
      </c>
      <c r="L600" t="s">
        <v>5922</v>
      </c>
      <c r="U600">
        <v>71.73</v>
      </c>
      <c r="V600">
        <v>76.510000000000005</v>
      </c>
      <c r="X600">
        <v>76.510000000000005</v>
      </c>
      <c r="Y600">
        <v>109.99</v>
      </c>
      <c r="Z600" t="s">
        <v>5922</v>
      </c>
    </row>
    <row r="601" spans="1:26" x14ac:dyDescent="0.2">
      <c r="A601" t="s">
        <v>7662</v>
      </c>
      <c r="B601" t="s">
        <v>7747</v>
      </c>
      <c r="C601" t="s">
        <v>7748</v>
      </c>
      <c r="D601" t="s">
        <v>105</v>
      </c>
      <c r="E601">
        <v>109.99</v>
      </c>
      <c r="F601" t="s">
        <v>7025</v>
      </c>
      <c r="H601">
        <v>76.510000000000005</v>
      </c>
      <c r="L601" t="s">
        <v>5922</v>
      </c>
      <c r="U601">
        <v>71.73</v>
      </c>
      <c r="V601">
        <v>76.510000000000005</v>
      </c>
      <c r="X601">
        <v>76.510000000000005</v>
      </c>
      <c r="Y601">
        <v>109.99</v>
      </c>
      <c r="Z601" t="s">
        <v>5922</v>
      </c>
    </row>
    <row r="602" spans="1:26" x14ac:dyDescent="0.2">
      <c r="A602" t="s">
        <v>7662</v>
      </c>
      <c r="B602" t="s">
        <v>7749</v>
      </c>
      <c r="C602" t="s">
        <v>7750</v>
      </c>
      <c r="D602" t="s">
        <v>105</v>
      </c>
      <c r="E602">
        <v>109.99</v>
      </c>
      <c r="F602" t="s">
        <v>7025</v>
      </c>
      <c r="H602">
        <v>76.510000000000005</v>
      </c>
      <c r="L602" t="s">
        <v>5922</v>
      </c>
      <c r="U602">
        <v>71.73</v>
      </c>
      <c r="V602">
        <v>76.510000000000005</v>
      </c>
      <c r="X602">
        <v>76.510000000000005</v>
      </c>
      <c r="Y602">
        <v>109.99</v>
      </c>
      <c r="Z602" t="s">
        <v>5922</v>
      </c>
    </row>
    <row r="603" spans="1:26" x14ac:dyDescent="0.2">
      <c r="A603" t="s">
        <v>7662</v>
      </c>
      <c r="B603" t="s">
        <v>7751</v>
      </c>
      <c r="C603" t="s">
        <v>7752</v>
      </c>
      <c r="D603" t="s">
        <v>105</v>
      </c>
      <c r="E603">
        <v>109.99</v>
      </c>
      <c r="F603" t="s">
        <v>7025</v>
      </c>
      <c r="H603">
        <v>76.510000000000005</v>
      </c>
      <c r="L603" t="s">
        <v>5922</v>
      </c>
      <c r="U603">
        <v>71.73</v>
      </c>
      <c r="V603">
        <v>76.510000000000005</v>
      </c>
      <c r="X603">
        <v>76.510000000000005</v>
      </c>
      <c r="Y603">
        <v>109.99</v>
      </c>
      <c r="Z603" t="s">
        <v>5922</v>
      </c>
    </row>
    <row r="604" spans="1:26" x14ac:dyDescent="0.2">
      <c r="A604" t="s">
        <v>1125</v>
      </c>
      <c r="B604" t="s">
        <v>1126</v>
      </c>
      <c r="C604" t="s">
        <v>1127</v>
      </c>
      <c r="D604" t="s">
        <v>98</v>
      </c>
      <c r="E604">
        <v>179</v>
      </c>
      <c r="F604" t="s">
        <v>7072</v>
      </c>
      <c r="G604">
        <v>119.99</v>
      </c>
      <c r="H604">
        <v>116.74</v>
      </c>
      <c r="L604" t="s">
        <v>5922</v>
      </c>
      <c r="Q604">
        <v>116.74</v>
      </c>
      <c r="R604">
        <v>116.74</v>
      </c>
      <c r="U604">
        <v>85.21</v>
      </c>
      <c r="V604">
        <v>85.21</v>
      </c>
      <c r="W604">
        <v>97.38</v>
      </c>
      <c r="X604">
        <v>97.38</v>
      </c>
      <c r="Y604">
        <v>119.99</v>
      </c>
      <c r="Z604" t="s">
        <v>5922</v>
      </c>
    </row>
    <row r="605" spans="1:26" x14ac:dyDescent="0.2">
      <c r="A605" t="s">
        <v>1125</v>
      </c>
      <c r="B605" t="s">
        <v>1128</v>
      </c>
      <c r="C605" t="s">
        <v>1129</v>
      </c>
      <c r="D605" t="s">
        <v>105</v>
      </c>
      <c r="E605">
        <v>639.99</v>
      </c>
      <c r="F605" t="s">
        <v>7073</v>
      </c>
      <c r="G605">
        <v>639.99</v>
      </c>
      <c r="H605">
        <v>417.38</v>
      </c>
      <c r="L605" t="s">
        <v>5922</v>
      </c>
      <c r="Q605">
        <v>417.38</v>
      </c>
      <c r="R605">
        <v>417.38</v>
      </c>
      <c r="U605">
        <v>389.56</v>
      </c>
      <c r="V605">
        <v>389.56</v>
      </c>
      <c r="W605">
        <v>445.21</v>
      </c>
      <c r="X605">
        <v>445.21</v>
      </c>
      <c r="Y605">
        <v>639.99</v>
      </c>
      <c r="Z605" t="s">
        <v>5922</v>
      </c>
    </row>
    <row r="606" spans="1:26" x14ac:dyDescent="0.2">
      <c r="A606" t="s">
        <v>1125</v>
      </c>
      <c r="B606" t="s">
        <v>7074</v>
      </c>
      <c r="C606" t="s">
        <v>7075</v>
      </c>
      <c r="D606" t="s">
        <v>105</v>
      </c>
      <c r="E606">
        <v>129.99</v>
      </c>
      <c r="F606" t="s">
        <v>7023</v>
      </c>
      <c r="H606">
        <v>84.75</v>
      </c>
      <c r="L606" t="s">
        <v>5922</v>
      </c>
      <c r="U606">
        <v>85.21</v>
      </c>
      <c r="V606">
        <v>85.21</v>
      </c>
      <c r="X606">
        <v>90.4</v>
      </c>
      <c r="Y606">
        <v>129.94999999999999</v>
      </c>
      <c r="Z606" t="s">
        <v>5922</v>
      </c>
    </row>
    <row r="607" spans="1:26" x14ac:dyDescent="0.2">
      <c r="A607" t="s">
        <v>1125</v>
      </c>
      <c r="B607" t="s">
        <v>1130</v>
      </c>
      <c r="C607" t="s">
        <v>1131</v>
      </c>
      <c r="D607" t="s">
        <v>105</v>
      </c>
      <c r="E607">
        <v>99.99</v>
      </c>
      <c r="F607" t="s">
        <v>6903</v>
      </c>
      <c r="G607">
        <v>99.99</v>
      </c>
      <c r="H607">
        <v>65.209999999999994</v>
      </c>
      <c r="L607" t="s">
        <v>5922</v>
      </c>
      <c r="Q607">
        <v>65.209999999999994</v>
      </c>
      <c r="R607">
        <v>65.209999999999994</v>
      </c>
      <c r="U607">
        <v>66.95</v>
      </c>
      <c r="V607">
        <v>60.86</v>
      </c>
      <c r="W607">
        <v>69.56</v>
      </c>
      <c r="X607">
        <v>69.56</v>
      </c>
      <c r="Y607">
        <v>99.99</v>
      </c>
      <c r="Z607" t="s">
        <v>5922</v>
      </c>
    </row>
    <row r="608" spans="1:26" x14ac:dyDescent="0.2">
      <c r="A608" t="s">
        <v>1125</v>
      </c>
      <c r="B608" t="s">
        <v>1132</v>
      </c>
      <c r="C608" t="s">
        <v>1133</v>
      </c>
      <c r="D608" t="s">
        <v>105</v>
      </c>
      <c r="E608">
        <v>195.99</v>
      </c>
      <c r="F608" t="s">
        <v>7076</v>
      </c>
      <c r="H608">
        <v>130.43</v>
      </c>
      <c r="L608" t="s">
        <v>5922</v>
      </c>
      <c r="U608">
        <v>121.73</v>
      </c>
      <c r="V608">
        <v>121.73</v>
      </c>
      <c r="X608">
        <v>139.12</v>
      </c>
      <c r="Y608">
        <v>195.99</v>
      </c>
      <c r="Z608" t="s">
        <v>5922</v>
      </c>
    </row>
    <row r="609" spans="1:26" x14ac:dyDescent="0.2">
      <c r="A609" t="s">
        <v>1125</v>
      </c>
      <c r="B609" t="s">
        <v>1134</v>
      </c>
      <c r="C609" t="s">
        <v>1135</v>
      </c>
      <c r="D609" t="s">
        <v>105</v>
      </c>
      <c r="E609">
        <v>299.99</v>
      </c>
      <c r="F609" t="s">
        <v>6918</v>
      </c>
      <c r="G609">
        <v>299.99</v>
      </c>
      <c r="H609">
        <v>195.65</v>
      </c>
      <c r="L609" t="s">
        <v>5922</v>
      </c>
      <c r="Q609">
        <v>195.65</v>
      </c>
      <c r="R609">
        <v>195.65</v>
      </c>
      <c r="U609">
        <v>182.6</v>
      </c>
      <c r="V609">
        <v>182.6</v>
      </c>
      <c r="W609">
        <v>208.69</v>
      </c>
      <c r="X609">
        <v>208.69</v>
      </c>
      <c r="Y609">
        <v>299.99</v>
      </c>
      <c r="Z609" t="s">
        <v>5922</v>
      </c>
    </row>
    <row r="610" spans="1:26" x14ac:dyDescent="0.2">
      <c r="A610" t="s">
        <v>1125</v>
      </c>
      <c r="B610" t="s">
        <v>7077</v>
      </c>
      <c r="C610" t="s">
        <v>7078</v>
      </c>
      <c r="D610" t="s">
        <v>105</v>
      </c>
      <c r="E610">
        <v>699</v>
      </c>
      <c r="F610" t="s">
        <v>6951</v>
      </c>
      <c r="H610">
        <v>455.87</v>
      </c>
      <c r="L610" t="s">
        <v>5922</v>
      </c>
      <c r="U610">
        <v>425.48</v>
      </c>
      <c r="V610">
        <v>425.48</v>
      </c>
      <c r="X610">
        <v>486.26</v>
      </c>
      <c r="Y610">
        <v>699</v>
      </c>
      <c r="Z610" t="s">
        <v>5922</v>
      </c>
    </row>
    <row r="611" spans="1:26" x14ac:dyDescent="0.2">
      <c r="A611" t="s">
        <v>1125</v>
      </c>
      <c r="B611" t="s">
        <v>1136</v>
      </c>
      <c r="C611" t="s">
        <v>1137</v>
      </c>
      <c r="D611" t="s">
        <v>105</v>
      </c>
      <c r="E611">
        <v>289</v>
      </c>
      <c r="F611" t="s">
        <v>6935</v>
      </c>
      <c r="G611">
        <v>239.99</v>
      </c>
      <c r="H611">
        <v>188.48</v>
      </c>
      <c r="L611" t="s">
        <v>5922</v>
      </c>
      <c r="Q611">
        <v>188.48</v>
      </c>
      <c r="R611">
        <v>188.48</v>
      </c>
      <c r="U611">
        <v>176.52</v>
      </c>
      <c r="V611">
        <v>176.52</v>
      </c>
      <c r="W611">
        <v>201.73</v>
      </c>
      <c r="X611">
        <v>201.73</v>
      </c>
      <c r="Y611">
        <v>239.99</v>
      </c>
      <c r="Z611" t="s">
        <v>5922</v>
      </c>
    </row>
    <row r="612" spans="1:26" x14ac:dyDescent="0.2">
      <c r="A612" t="s">
        <v>1125</v>
      </c>
      <c r="B612" t="s">
        <v>1138</v>
      </c>
      <c r="C612" t="s">
        <v>1139</v>
      </c>
      <c r="D612" t="s">
        <v>105</v>
      </c>
      <c r="E612">
        <v>149.99</v>
      </c>
      <c r="F612" t="s">
        <v>7079</v>
      </c>
      <c r="H612">
        <v>97.82</v>
      </c>
      <c r="L612" t="s">
        <v>5922</v>
      </c>
      <c r="U612">
        <v>97.39</v>
      </c>
      <c r="V612">
        <v>97.39</v>
      </c>
      <c r="X612">
        <v>111.3</v>
      </c>
      <c r="Y612">
        <v>149.99</v>
      </c>
      <c r="Z612" t="s">
        <v>5922</v>
      </c>
    </row>
    <row r="613" spans="1:26" x14ac:dyDescent="0.2">
      <c r="A613" t="s">
        <v>1125</v>
      </c>
      <c r="B613" t="s">
        <v>1140</v>
      </c>
      <c r="C613" t="s">
        <v>1141</v>
      </c>
      <c r="D613" t="s">
        <v>105</v>
      </c>
      <c r="E613">
        <v>169</v>
      </c>
      <c r="F613" t="s">
        <v>6937</v>
      </c>
      <c r="G613">
        <v>129.99</v>
      </c>
      <c r="H613">
        <v>110.22</v>
      </c>
      <c r="L613" t="s">
        <v>5922</v>
      </c>
      <c r="Q613">
        <v>110.22</v>
      </c>
      <c r="R613">
        <v>110.22</v>
      </c>
      <c r="U613">
        <v>94.34</v>
      </c>
      <c r="V613">
        <v>94.34</v>
      </c>
      <c r="W613">
        <v>107.82</v>
      </c>
      <c r="X613">
        <v>107.82</v>
      </c>
      <c r="Y613">
        <v>129.99</v>
      </c>
      <c r="Z613" t="s">
        <v>5922</v>
      </c>
    </row>
    <row r="614" spans="1:26" x14ac:dyDescent="0.2">
      <c r="A614" t="s">
        <v>1125</v>
      </c>
      <c r="B614" t="s">
        <v>1142</v>
      </c>
      <c r="C614" t="s">
        <v>1143</v>
      </c>
      <c r="D614" t="s">
        <v>105</v>
      </c>
      <c r="E614">
        <v>649.99</v>
      </c>
      <c r="F614" t="s">
        <v>7080</v>
      </c>
      <c r="G614">
        <v>649.99</v>
      </c>
      <c r="H614">
        <v>423.91</v>
      </c>
      <c r="L614" t="s">
        <v>5922</v>
      </c>
      <c r="Q614">
        <v>423.91</v>
      </c>
      <c r="R614">
        <v>423.91</v>
      </c>
      <c r="U614">
        <v>395.65</v>
      </c>
      <c r="V614">
        <v>395.65</v>
      </c>
      <c r="W614">
        <v>452.17</v>
      </c>
      <c r="X614">
        <v>452.17</v>
      </c>
      <c r="Y614">
        <v>649.99</v>
      </c>
      <c r="Z614" t="s">
        <v>5922</v>
      </c>
    </row>
    <row r="615" spans="1:26" x14ac:dyDescent="0.2">
      <c r="A615" t="s">
        <v>1125</v>
      </c>
      <c r="B615" t="s">
        <v>1144</v>
      </c>
      <c r="C615" t="s">
        <v>1145</v>
      </c>
      <c r="D615" t="s">
        <v>105</v>
      </c>
      <c r="E615">
        <v>199</v>
      </c>
      <c r="F615" t="s">
        <v>6954</v>
      </c>
      <c r="G615">
        <v>164.99</v>
      </c>
      <c r="H615">
        <v>129.78</v>
      </c>
      <c r="L615" t="s">
        <v>5922</v>
      </c>
      <c r="Q615">
        <v>129.78</v>
      </c>
      <c r="R615">
        <v>129.78</v>
      </c>
      <c r="U615">
        <v>109.56</v>
      </c>
      <c r="V615">
        <v>109.56</v>
      </c>
      <c r="W615">
        <v>125.21</v>
      </c>
      <c r="X615">
        <v>125.21</v>
      </c>
      <c r="Y615">
        <v>164.99</v>
      </c>
      <c r="Z615" t="s">
        <v>5922</v>
      </c>
    </row>
    <row r="616" spans="1:26" x14ac:dyDescent="0.2">
      <c r="A616" t="s">
        <v>1125</v>
      </c>
      <c r="B616" t="s">
        <v>1146</v>
      </c>
      <c r="C616" t="s">
        <v>1147</v>
      </c>
      <c r="D616" t="s">
        <v>105</v>
      </c>
      <c r="E616">
        <v>449.99</v>
      </c>
      <c r="F616" t="s">
        <v>7081</v>
      </c>
      <c r="G616">
        <v>449.99</v>
      </c>
      <c r="H616">
        <v>293.47000000000003</v>
      </c>
      <c r="L616" t="s">
        <v>5922</v>
      </c>
      <c r="Q616">
        <v>293.47000000000003</v>
      </c>
      <c r="R616">
        <v>293.47000000000003</v>
      </c>
      <c r="U616">
        <v>273.91000000000003</v>
      </c>
      <c r="V616">
        <v>273.91000000000003</v>
      </c>
      <c r="W616">
        <v>313.04000000000002</v>
      </c>
      <c r="X616">
        <v>313.04000000000002</v>
      </c>
      <c r="Y616">
        <v>449.99</v>
      </c>
      <c r="Z616" t="s">
        <v>5922</v>
      </c>
    </row>
    <row r="617" spans="1:26" x14ac:dyDescent="0.2">
      <c r="A617" t="s">
        <v>1125</v>
      </c>
      <c r="B617" t="s">
        <v>1148</v>
      </c>
      <c r="C617" t="s">
        <v>1149</v>
      </c>
      <c r="D617" t="s">
        <v>105</v>
      </c>
      <c r="E617">
        <v>639</v>
      </c>
      <c r="F617" t="s">
        <v>7082</v>
      </c>
      <c r="G617">
        <v>599.99</v>
      </c>
      <c r="H617">
        <v>416.74</v>
      </c>
      <c r="L617" t="s">
        <v>5922</v>
      </c>
      <c r="Q617">
        <v>416.74</v>
      </c>
      <c r="R617">
        <v>416.74</v>
      </c>
      <c r="U617">
        <v>365.21</v>
      </c>
      <c r="V617">
        <v>365.21</v>
      </c>
      <c r="W617">
        <v>417.38</v>
      </c>
      <c r="X617">
        <v>417.38</v>
      </c>
      <c r="Y617">
        <v>599.99</v>
      </c>
      <c r="Z617" t="s">
        <v>5922</v>
      </c>
    </row>
    <row r="618" spans="1:26" x14ac:dyDescent="0.2">
      <c r="A618" t="s">
        <v>1125</v>
      </c>
      <c r="B618" t="s">
        <v>7083</v>
      </c>
      <c r="C618" t="s">
        <v>7084</v>
      </c>
      <c r="D618" t="s">
        <v>105</v>
      </c>
      <c r="E618">
        <v>139.99</v>
      </c>
      <c r="F618" t="s">
        <v>7085</v>
      </c>
      <c r="H618">
        <v>91.3</v>
      </c>
      <c r="L618" t="s">
        <v>5922</v>
      </c>
      <c r="U618">
        <v>91.3</v>
      </c>
      <c r="V618">
        <v>91.3</v>
      </c>
      <c r="X618">
        <v>97.38</v>
      </c>
      <c r="Y618">
        <v>139.99</v>
      </c>
      <c r="Z618" t="s">
        <v>5922</v>
      </c>
    </row>
    <row r="619" spans="1:26" x14ac:dyDescent="0.2">
      <c r="A619" t="s">
        <v>1125</v>
      </c>
      <c r="B619" t="s">
        <v>7086</v>
      </c>
      <c r="C619" t="s">
        <v>7087</v>
      </c>
      <c r="D619" t="s">
        <v>105</v>
      </c>
      <c r="E619">
        <v>139.99</v>
      </c>
      <c r="F619" t="s">
        <v>7085</v>
      </c>
      <c r="H619">
        <v>91.3</v>
      </c>
      <c r="L619" t="s">
        <v>5922</v>
      </c>
      <c r="U619">
        <v>91.3</v>
      </c>
      <c r="V619">
        <v>91.3</v>
      </c>
      <c r="X619">
        <v>97.38</v>
      </c>
      <c r="Y619">
        <v>139.99</v>
      </c>
      <c r="Z619" t="s">
        <v>5922</v>
      </c>
    </row>
    <row r="620" spans="1:26" x14ac:dyDescent="0.2">
      <c r="A620" t="s">
        <v>1125</v>
      </c>
      <c r="B620" t="s">
        <v>1150</v>
      </c>
      <c r="C620" t="s">
        <v>1151</v>
      </c>
      <c r="D620" t="s">
        <v>105</v>
      </c>
      <c r="E620">
        <v>559</v>
      </c>
      <c r="F620" t="s">
        <v>7088</v>
      </c>
      <c r="G620">
        <v>559</v>
      </c>
      <c r="H620">
        <v>364.57</v>
      </c>
      <c r="L620" t="s">
        <v>5922</v>
      </c>
      <c r="Q620">
        <v>364.57</v>
      </c>
      <c r="R620">
        <v>364.57</v>
      </c>
      <c r="U620">
        <v>340.86</v>
      </c>
      <c r="V620">
        <v>328.69</v>
      </c>
      <c r="W620">
        <v>375.65</v>
      </c>
      <c r="X620">
        <v>375.65</v>
      </c>
      <c r="Y620">
        <v>559</v>
      </c>
      <c r="Z620" t="s">
        <v>5922</v>
      </c>
    </row>
    <row r="621" spans="1:26" x14ac:dyDescent="0.2">
      <c r="A621" t="s">
        <v>1125</v>
      </c>
      <c r="B621" t="s">
        <v>1152</v>
      </c>
      <c r="C621" t="s">
        <v>1153</v>
      </c>
      <c r="D621" t="s">
        <v>105</v>
      </c>
      <c r="E621">
        <v>119.99</v>
      </c>
      <c r="F621" t="s">
        <v>6905</v>
      </c>
      <c r="G621">
        <v>89.99</v>
      </c>
      <c r="H621">
        <v>78.25</v>
      </c>
      <c r="L621" t="s">
        <v>5922</v>
      </c>
      <c r="Q621">
        <v>78.25</v>
      </c>
      <c r="R621">
        <v>78.25</v>
      </c>
      <c r="U621">
        <v>63.47</v>
      </c>
      <c r="V621">
        <v>60.86</v>
      </c>
      <c r="W621">
        <v>69.56</v>
      </c>
      <c r="X621">
        <v>69.56</v>
      </c>
      <c r="Y621">
        <v>89.99</v>
      </c>
      <c r="Z621" t="s">
        <v>5922</v>
      </c>
    </row>
    <row r="622" spans="1:26" x14ac:dyDescent="0.2">
      <c r="A622" t="s">
        <v>1125</v>
      </c>
      <c r="B622" t="s">
        <v>1154</v>
      </c>
      <c r="C622" t="s">
        <v>1155</v>
      </c>
      <c r="D622" t="s">
        <v>105</v>
      </c>
      <c r="E622">
        <v>549.99</v>
      </c>
      <c r="F622" t="s">
        <v>7089</v>
      </c>
      <c r="G622">
        <v>549.99</v>
      </c>
      <c r="H622">
        <v>358.69</v>
      </c>
      <c r="L622" t="s">
        <v>5922</v>
      </c>
      <c r="Q622">
        <v>358.69</v>
      </c>
      <c r="R622">
        <v>358.69</v>
      </c>
      <c r="U622">
        <v>334.78</v>
      </c>
      <c r="V622">
        <v>334.78</v>
      </c>
      <c r="W622">
        <v>382.6</v>
      </c>
      <c r="X622">
        <v>382.6</v>
      </c>
      <c r="Y622">
        <v>549.99</v>
      </c>
      <c r="Z622" t="s">
        <v>5922</v>
      </c>
    </row>
    <row r="623" spans="1:26" x14ac:dyDescent="0.2">
      <c r="A623" t="s">
        <v>1125</v>
      </c>
      <c r="B623" t="s">
        <v>7090</v>
      </c>
      <c r="C623" t="s">
        <v>7091</v>
      </c>
      <c r="D623" t="s">
        <v>105</v>
      </c>
      <c r="E623">
        <v>549</v>
      </c>
      <c r="F623" t="s">
        <v>7060</v>
      </c>
      <c r="H623">
        <v>358.04</v>
      </c>
      <c r="L623" t="s">
        <v>5922</v>
      </c>
      <c r="U623">
        <v>340.26</v>
      </c>
      <c r="V623">
        <v>340.26</v>
      </c>
      <c r="X623">
        <v>381.91</v>
      </c>
      <c r="Y623">
        <v>549</v>
      </c>
      <c r="Z623" t="s">
        <v>5922</v>
      </c>
    </row>
    <row r="624" spans="1:26" x14ac:dyDescent="0.2">
      <c r="A624" t="s">
        <v>1125</v>
      </c>
      <c r="B624" t="s">
        <v>1156</v>
      </c>
      <c r="C624" t="s">
        <v>1157</v>
      </c>
      <c r="D624" t="s">
        <v>105</v>
      </c>
      <c r="E624">
        <v>599.99</v>
      </c>
      <c r="F624" t="s">
        <v>7092</v>
      </c>
      <c r="G624">
        <v>599.99</v>
      </c>
      <c r="H624">
        <v>391.3</v>
      </c>
      <c r="L624" t="s">
        <v>5922</v>
      </c>
      <c r="Q624">
        <v>391.3</v>
      </c>
      <c r="R624">
        <v>391.3</v>
      </c>
      <c r="U624">
        <v>365.21</v>
      </c>
      <c r="V624">
        <v>365.21</v>
      </c>
      <c r="W624">
        <v>417.38</v>
      </c>
      <c r="X624">
        <v>417.38</v>
      </c>
      <c r="Y624">
        <v>599.99</v>
      </c>
      <c r="Z624" t="s">
        <v>5922</v>
      </c>
    </row>
    <row r="625" spans="1:26" x14ac:dyDescent="0.2">
      <c r="A625" t="s">
        <v>1125</v>
      </c>
      <c r="B625" t="s">
        <v>1158</v>
      </c>
      <c r="C625" t="s">
        <v>1159</v>
      </c>
      <c r="D625" t="s">
        <v>105</v>
      </c>
      <c r="E625">
        <v>649.99</v>
      </c>
      <c r="F625" t="s">
        <v>7080</v>
      </c>
      <c r="G625">
        <v>649.99</v>
      </c>
      <c r="H625">
        <v>423.91</v>
      </c>
      <c r="L625" t="s">
        <v>5922</v>
      </c>
      <c r="Q625">
        <v>423.91</v>
      </c>
      <c r="R625">
        <v>423.91</v>
      </c>
      <c r="U625">
        <v>395.65</v>
      </c>
      <c r="V625">
        <v>395.65</v>
      </c>
      <c r="W625">
        <v>452.17</v>
      </c>
      <c r="X625">
        <v>452.17</v>
      </c>
      <c r="Y625">
        <v>649.99</v>
      </c>
      <c r="Z625" t="s">
        <v>5922</v>
      </c>
    </row>
    <row r="626" spans="1:26" x14ac:dyDescent="0.2">
      <c r="A626" t="s">
        <v>1160</v>
      </c>
      <c r="B626" t="s">
        <v>1161</v>
      </c>
      <c r="C626" t="s">
        <v>1162</v>
      </c>
      <c r="D626" t="s">
        <v>105</v>
      </c>
      <c r="E626">
        <v>299</v>
      </c>
      <c r="F626" t="s">
        <v>6946</v>
      </c>
      <c r="H626">
        <v>221</v>
      </c>
      <c r="I626">
        <v>216.52</v>
      </c>
      <c r="J626">
        <v>194.87</v>
      </c>
      <c r="L626" t="s">
        <v>5922</v>
      </c>
      <c r="Q626">
        <v>221</v>
      </c>
      <c r="R626">
        <v>221</v>
      </c>
      <c r="U626">
        <v>223.6</v>
      </c>
      <c r="V626">
        <v>221</v>
      </c>
      <c r="X626">
        <v>221</v>
      </c>
      <c r="Y626">
        <v>299</v>
      </c>
      <c r="Z626" t="s">
        <v>5922</v>
      </c>
    </row>
    <row r="627" spans="1:26" x14ac:dyDescent="0.2">
      <c r="A627" t="s">
        <v>1160</v>
      </c>
      <c r="B627" t="s">
        <v>1163</v>
      </c>
      <c r="C627" t="s">
        <v>1164</v>
      </c>
      <c r="D627" t="s">
        <v>98</v>
      </c>
      <c r="E627">
        <v>499</v>
      </c>
      <c r="F627" t="s">
        <v>5922</v>
      </c>
      <c r="G627">
        <v>499</v>
      </c>
      <c r="H627">
        <v>368.83</v>
      </c>
      <c r="I627">
        <v>373.04</v>
      </c>
      <c r="J627">
        <v>317.08999999999997</v>
      </c>
      <c r="K627">
        <v>298.43</v>
      </c>
      <c r="L627" t="s">
        <v>5922</v>
      </c>
      <c r="M627">
        <v>0</v>
      </c>
      <c r="N627">
        <v>0</v>
      </c>
      <c r="O627">
        <v>0</v>
      </c>
      <c r="P627">
        <v>0</v>
      </c>
      <c r="Q627">
        <v>368.83</v>
      </c>
      <c r="R627">
        <v>368.83</v>
      </c>
      <c r="S627">
        <v>0</v>
      </c>
      <c r="T627">
        <v>0</v>
      </c>
      <c r="U627">
        <v>373.17</v>
      </c>
      <c r="V627">
        <v>355.81</v>
      </c>
      <c r="W627">
        <v>399.2</v>
      </c>
      <c r="X627">
        <v>355.81</v>
      </c>
      <c r="Y627">
        <v>499</v>
      </c>
      <c r="Z627" t="s">
        <v>5922</v>
      </c>
    </row>
    <row r="628" spans="1:26" x14ac:dyDescent="0.2">
      <c r="A628" t="s">
        <v>1160</v>
      </c>
      <c r="B628" t="s">
        <v>1165</v>
      </c>
      <c r="C628" t="s">
        <v>1166</v>
      </c>
      <c r="D628" t="s">
        <v>105</v>
      </c>
      <c r="E628">
        <v>849</v>
      </c>
      <c r="F628" t="s">
        <v>7093</v>
      </c>
      <c r="H628">
        <v>627.52</v>
      </c>
      <c r="L628" t="s">
        <v>5922</v>
      </c>
      <c r="Q628">
        <v>627.52</v>
      </c>
      <c r="R628">
        <v>627.52</v>
      </c>
      <c r="U628">
        <v>634.9</v>
      </c>
      <c r="V628">
        <v>627.52</v>
      </c>
      <c r="X628">
        <v>627.52</v>
      </c>
      <c r="Y628">
        <v>849</v>
      </c>
      <c r="Z628" t="s">
        <v>5922</v>
      </c>
    </row>
    <row r="629" spans="1:26" x14ac:dyDescent="0.2">
      <c r="A629" t="s">
        <v>1160</v>
      </c>
      <c r="B629" t="s">
        <v>1167</v>
      </c>
      <c r="C629" t="s">
        <v>1168</v>
      </c>
      <c r="D629" t="s">
        <v>105</v>
      </c>
      <c r="E629">
        <v>1199</v>
      </c>
      <c r="F629" t="s">
        <v>6953</v>
      </c>
      <c r="H629">
        <v>886.22</v>
      </c>
      <c r="L629" t="s">
        <v>5922</v>
      </c>
      <c r="Q629">
        <v>886.22</v>
      </c>
      <c r="R629">
        <v>886.22</v>
      </c>
      <c r="U629">
        <v>896.64</v>
      </c>
      <c r="V629">
        <v>886.22</v>
      </c>
      <c r="X629">
        <v>886.22</v>
      </c>
      <c r="Y629">
        <v>1199</v>
      </c>
      <c r="Z629" t="s">
        <v>5922</v>
      </c>
    </row>
    <row r="630" spans="1:26" x14ac:dyDescent="0.2">
      <c r="A630" t="s">
        <v>1160</v>
      </c>
      <c r="B630" t="s">
        <v>1169</v>
      </c>
      <c r="C630" t="s">
        <v>1170</v>
      </c>
      <c r="D630" t="s">
        <v>98</v>
      </c>
      <c r="E630">
        <v>99999</v>
      </c>
      <c r="F630" t="s">
        <v>5922</v>
      </c>
      <c r="L630" t="s">
        <v>5922</v>
      </c>
      <c r="Y630">
        <v>99999</v>
      </c>
      <c r="Z630" t="s">
        <v>5922</v>
      </c>
    </row>
    <row r="631" spans="1:26" x14ac:dyDescent="0.2">
      <c r="A631" t="s">
        <v>1160</v>
      </c>
      <c r="B631" t="s">
        <v>1171</v>
      </c>
      <c r="C631" t="s">
        <v>1172</v>
      </c>
      <c r="D631" t="s">
        <v>105</v>
      </c>
      <c r="E631">
        <v>399</v>
      </c>
      <c r="F631" t="s">
        <v>6948</v>
      </c>
      <c r="H631">
        <v>294.91000000000003</v>
      </c>
      <c r="I631">
        <v>286.08999999999997</v>
      </c>
      <c r="J631">
        <v>257.48</v>
      </c>
      <c r="L631" t="s">
        <v>5922</v>
      </c>
      <c r="Q631">
        <v>294.91000000000003</v>
      </c>
      <c r="R631">
        <v>294.91000000000003</v>
      </c>
      <c r="U631">
        <v>298.38</v>
      </c>
      <c r="V631">
        <v>294.91000000000003</v>
      </c>
      <c r="X631">
        <v>294.91000000000003</v>
      </c>
      <c r="Y631">
        <v>399</v>
      </c>
      <c r="Z631" t="s">
        <v>5922</v>
      </c>
    </row>
    <row r="632" spans="1:26" x14ac:dyDescent="0.2">
      <c r="A632" t="s">
        <v>1160</v>
      </c>
      <c r="B632" t="s">
        <v>1173</v>
      </c>
      <c r="C632" t="s">
        <v>1174</v>
      </c>
      <c r="D632" t="s">
        <v>98</v>
      </c>
      <c r="E632">
        <v>399</v>
      </c>
      <c r="F632" t="s">
        <v>6948</v>
      </c>
      <c r="H632">
        <v>294.91000000000003</v>
      </c>
      <c r="I632">
        <v>286.08999999999997</v>
      </c>
      <c r="J632">
        <v>257.48</v>
      </c>
      <c r="L632" t="s">
        <v>5922</v>
      </c>
      <c r="Q632">
        <v>294.91000000000003</v>
      </c>
      <c r="R632">
        <v>294.91000000000003</v>
      </c>
      <c r="U632">
        <v>298.38</v>
      </c>
      <c r="V632">
        <v>294.91000000000003</v>
      </c>
      <c r="X632">
        <v>294.91000000000003</v>
      </c>
      <c r="Y632">
        <v>399</v>
      </c>
      <c r="Z632" t="s">
        <v>5922</v>
      </c>
    </row>
    <row r="633" spans="1:26" x14ac:dyDescent="0.2">
      <c r="A633" t="s">
        <v>1160</v>
      </c>
      <c r="B633" t="s">
        <v>1175</v>
      </c>
      <c r="C633" t="s">
        <v>1176</v>
      </c>
      <c r="D633" t="s">
        <v>98</v>
      </c>
      <c r="E633">
        <v>399</v>
      </c>
      <c r="F633" t="s">
        <v>6948</v>
      </c>
      <c r="G633">
        <v>399</v>
      </c>
      <c r="H633">
        <v>294.91000000000003</v>
      </c>
      <c r="I633">
        <v>286.08999999999997</v>
      </c>
      <c r="J633">
        <v>257.48</v>
      </c>
      <c r="L633" t="s">
        <v>5922</v>
      </c>
      <c r="Q633">
        <v>294.91000000000003</v>
      </c>
      <c r="R633">
        <v>294.91000000000003</v>
      </c>
      <c r="U633">
        <v>298.38</v>
      </c>
      <c r="V633">
        <v>294.91000000000003</v>
      </c>
      <c r="W633">
        <v>319.2</v>
      </c>
      <c r="X633">
        <v>294.91000000000003</v>
      </c>
      <c r="Y633">
        <v>399</v>
      </c>
      <c r="Z633" t="s">
        <v>5922</v>
      </c>
    </row>
    <row r="634" spans="1:26" x14ac:dyDescent="0.2">
      <c r="A634" t="s">
        <v>1160</v>
      </c>
      <c r="B634" t="s">
        <v>1177</v>
      </c>
      <c r="C634" t="s">
        <v>1178</v>
      </c>
      <c r="D634" t="s">
        <v>98</v>
      </c>
      <c r="E634">
        <v>499</v>
      </c>
      <c r="F634" t="s">
        <v>5922</v>
      </c>
      <c r="G634">
        <v>433.91</v>
      </c>
      <c r="H634">
        <v>368.83</v>
      </c>
      <c r="I634">
        <v>433.91</v>
      </c>
      <c r="J634">
        <v>368.83</v>
      </c>
      <c r="K634">
        <v>347.13</v>
      </c>
      <c r="L634" t="s">
        <v>5922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347.13</v>
      </c>
      <c r="S634">
        <v>0</v>
      </c>
      <c r="T634">
        <v>0</v>
      </c>
      <c r="U634">
        <v>355.81</v>
      </c>
      <c r="V634">
        <v>355.81</v>
      </c>
      <c r="W634">
        <v>394.86</v>
      </c>
      <c r="X634">
        <v>355.81</v>
      </c>
      <c r="Y634">
        <v>499</v>
      </c>
      <c r="Z634" t="s">
        <v>5922</v>
      </c>
    </row>
    <row r="635" spans="1:26" x14ac:dyDescent="0.2">
      <c r="A635" t="s">
        <v>1160</v>
      </c>
      <c r="B635" t="s">
        <v>1179</v>
      </c>
      <c r="C635" t="s">
        <v>1180</v>
      </c>
      <c r="D635" t="s">
        <v>98</v>
      </c>
      <c r="E635">
        <v>499</v>
      </c>
      <c r="F635" t="s">
        <v>5922</v>
      </c>
      <c r="G635">
        <v>433.91</v>
      </c>
      <c r="H635">
        <v>368.83</v>
      </c>
      <c r="I635">
        <v>0</v>
      </c>
      <c r="J635">
        <v>368.83</v>
      </c>
      <c r="K635">
        <v>347.13</v>
      </c>
      <c r="L635" t="s">
        <v>5922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347.13</v>
      </c>
      <c r="S635">
        <v>0</v>
      </c>
      <c r="T635">
        <v>0</v>
      </c>
      <c r="U635">
        <v>355.81</v>
      </c>
      <c r="V635">
        <v>0</v>
      </c>
      <c r="W635">
        <v>394.86</v>
      </c>
      <c r="X635">
        <v>355.81</v>
      </c>
      <c r="Y635">
        <v>499</v>
      </c>
      <c r="Z635" t="s">
        <v>5922</v>
      </c>
    </row>
    <row r="636" spans="1:26" x14ac:dyDescent="0.2">
      <c r="A636" t="s">
        <v>1160</v>
      </c>
      <c r="B636" t="s">
        <v>1181</v>
      </c>
      <c r="C636" t="s">
        <v>1182</v>
      </c>
      <c r="D636" t="s">
        <v>98</v>
      </c>
      <c r="E636">
        <v>499</v>
      </c>
      <c r="F636" t="s">
        <v>5922</v>
      </c>
      <c r="G636">
        <v>433.91</v>
      </c>
      <c r="H636">
        <v>368.83</v>
      </c>
      <c r="I636">
        <v>433.91</v>
      </c>
      <c r="J636">
        <v>368.83</v>
      </c>
      <c r="K636">
        <v>347.13</v>
      </c>
      <c r="L636" t="s">
        <v>5922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347.13</v>
      </c>
      <c r="S636">
        <v>0</v>
      </c>
      <c r="T636">
        <v>0</v>
      </c>
      <c r="U636">
        <v>355.81</v>
      </c>
      <c r="V636">
        <v>355.81</v>
      </c>
      <c r="W636">
        <v>394.86</v>
      </c>
      <c r="X636">
        <v>355.81</v>
      </c>
      <c r="Y636">
        <v>499</v>
      </c>
      <c r="Z636" t="s">
        <v>5922</v>
      </c>
    </row>
    <row r="637" spans="1:26" x14ac:dyDescent="0.2">
      <c r="A637" t="s">
        <v>1160</v>
      </c>
      <c r="B637" t="s">
        <v>1183</v>
      </c>
      <c r="C637" t="s">
        <v>1184</v>
      </c>
      <c r="D637" t="s">
        <v>98</v>
      </c>
      <c r="E637">
        <v>599</v>
      </c>
      <c r="F637" t="s">
        <v>5922</v>
      </c>
      <c r="G637">
        <v>599</v>
      </c>
      <c r="H637">
        <v>442.74</v>
      </c>
      <c r="I637">
        <v>416.52</v>
      </c>
      <c r="J637">
        <v>374.87</v>
      </c>
      <c r="L637" t="s">
        <v>5922</v>
      </c>
      <c r="Q637">
        <v>442.74</v>
      </c>
      <c r="R637">
        <v>442.74</v>
      </c>
      <c r="U637">
        <v>447.95</v>
      </c>
      <c r="V637">
        <v>442.74</v>
      </c>
      <c r="W637">
        <v>479.2</v>
      </c>
      <c r="X637">
        <v>442.74</v>
      </c>
      <c r="Y637">
        <v>599</v>
      </c>
      <c r="Z637" t="s">
        <v>5922</v>
      </c>
    </row>
    <row r="638" spans="1:26" x14ac:dyDescent="0.2">
      <c r="A638" t="s">
        <v>1160</v>
      </c>
      <c r="B638" t="s">
        <v>1185</v>
      </c>
      <c r="C638" t="s">
        <v>1186</v>
      </c>
      <c r="D638" t="s">
        <v>98</v>
      </c>
      <c r="E638">
        <v>599</v>
      </c>
      <c r="F638" t="s">
        <v>5922</v>
      </c>
      <c r="G638">
        <v>599</v>
      </c>
      <c r="H638">
        <v>442.74</v>
      </c>
      <c r="I638">
        <v>416.52</v>
      </c>
      <c r="J638">
        <v>374.87</v>
      </c>
      <c r="L638" t="s">
        <v>5922</v>
      </c>
      <c r="Q638">
        <v>442.74</v>
      </c>
      <c r="R638">
        <v>442.74</v>
      </c>
      <c r="U638">
        <v>447.95</v>
      </c>
      <c r="V638">
        <v>442.74</v>
      </c>
      <c r="W638">
        <v>479.2</v>
      </c>
      <c r="X638">
        <v>442.74</v>
      </c>
      <c r="Y638">
        <v>599</v>
      </c>
      <c r="Z638" t="s">
        <v>5922</v>
      </c>
    </row>
    <row r="639" spans="1:26" x14ac:dyDescent="0.2">
      <c r="A639" t="s">
        <v>1160</v>
      </c>
      <c r="B639" t="s">
        <v>1187</v>
      </c>
      <c r="C639" t="s">
        <v>1188</v>
      </c>
      <c r="D639" t="s">
        <v>98</v>
      </c>
      <c r="E639">
        <v>599</v>
      </c>
      <c r="F639" t="s">
        <v>5922</v>
      </c>
      <c r="G639">
        <v>599</v>
      </c>
      <c r="H639">
        <v>442.74</v>
      </c>
      <c r="I639">
        <v>416.52</v>
      </c>
      <c r="J639">
        <v>374.87</v>
      </c>
      <c r="L639" t="s">
        <v>5922</v>
      </c>
      <c r="Q639">
        <v>442.74</v>
      </c>
      <c r="R639">
        <v>442.74</v>
      </c>
      <c r="U639">
        <v>447.95</v>
      </c>
      <c r="V639">
        <v>442.74</v>
      </c>
      <c r="W639">
        <v>479.2</v>
      </c>
      <c r="X639">
        <v>442.74</v>
      </c>
      <c r="Y639">
        <v>599</v>
      </c>
      <c r="Z639" t="s">
        <v>5922</v>
      </c>
    </row>
    <row r="640" spans="1:26" x14ac:dyDescent="0.2">
      <c r="A640" t="s">
        <v>1160</v>
      </c>
      <c r="B640" t="s">
        <v>1189</v>
      </c>
      <c r="C640" t="s">
        <v>1190</v>
      </c>
      <c r="D640" t="s">
        <v>105</v>
      </c>
      <c r="E640">
        <v>629</v>
      </c>
      <c r="F640" t="s">
        <v>7070</v>
      </c>
      <c r="L640" t="s">
        <v>5922</v>
      </c>
      <c r="Z640" t="s">
        <v>5922</v>
      </c>
    </row>
    <row r="641" spans="1:26" x14ac:dyDescent="0.2">
      <c r="A641" t="s">
        <v>1160</v>
      </c>
      <c r="B641" t="s">
        <v>1191</v>
      </c>
      <c r="C641" t="s">
        <v>1192</v>
      </c>
      <c r="D641" t="s">
        <v>98</v>
      </c>
      <c r="E641">
        <v>999</v>
      </c>
      <c r="F641" t="s">
        <v>6952</v>
      </c>
      <c r="H641">
        <v>738.39</v>
      </c>
      <c r="I641">
        <v>746.96</v>
      </c>
      <c r="J641">
        <v>634.91</v>
      </c>
      <c r="K641">
        <v>597.57000000000005</v>
      </c>
      <c r="L641" t="s">
        <v>5922</v>
      </c>
      <c r="Q641">
        <v>738.39</v>
      </c>
      <c r="R641">
        <v>738.39</v>
      </c>
      <c r="U641">
        <v>747.08</v>
      </c>
      <c r="V641">
        <v>712.33</v>
      </c>
      <c r="X641">
        <v>712.33</v>
      </c>
      <c r="Y641">
        <v>999</v>
      </c>
      <c r="Z641" t="s">
        <v>5922</v>
      </c>
    </row>
    <row r="642" spans="1:26" x14ac:dyDescent="0.2">
      <c r="A642" t="s">
        <v>1160</v>
      </c>
      <c r="B642" t="s">
        <v>1193</v>
      </c>
      <c r="C642" t="s">
        <v>1194</v>
      </c>
      <c r="D642" t="s">
        <v>98</v>
      </c>
      <c r="E642">
        <v>999</v>
      </c>
      <c r="F642" t="s">
        <v>5922</v>
      </c>
      <c r="G642">
        <v>999</v>
      </c>
      <c r="H642">
        <v>738.39</v>
      </c>
      <c r="I642">
        <v>746.96</v>
      </c>
      <c r="J642">
        <v>634.91</v>
      </c>
      <c r="K642">
        <v>597.57000000000005</v>
      </c>
      <c r="L642" t="s">
        <v>5922</v>
      </c>
      <c r="M642">
        <v>0</v>
      </c>
      <c r="N642">
        <v>0</v>
      </c>
      <c r="O642">
        <v>0</v>
      </c>
      <c r="P642">
        <v>0</v>
      </c>
      <c r="Q642">
        <v>738.39</v>
      </c>
      <c r="R642">
        <v>738.39</v>
      </c>
      <c r="S642">
        <v>0</v>
      </c>
      <c r="T642">
        <v>0</v>
      </c>
      <c r="U642">
        <v>747.08</v>
      </c>
      <c r="V642">
        <v>712.33</v>
      </c>
      <c r="W642">
        <v>799.2</v>
      </c>
      <c r="X642">
        <v>712.33</v>
      </c>
      <c r="Y642">
        <v>999</v>
      </c>
      <c r="Z642" t="s">
        <v>5922</v>
      </c>
    </row>
    <row r="643" spans="1:26" x14ac:dyDescent="0.2">
      <c r="A643" t="s">
        <v>1160</v>
      </c>
      <c r="B643" t="s">
        <v>1195</v>
      </c>
      <c r="C643" t="s">
        <v>1196</v>
      </c>
      <c r="D643" t="s">
        <v>105</v>
      </c>
      <c r="E643">
        <v>1299</v>
      </c>
      <c r="F643" t="s">
        <v>7049</v>
      </c>
      <c r="H643">
        <v>960.13</v>
      </c>
      <c r="L643" t="s">
        <v>5922</v>
      </c>
      <c r="Q643">
        <v>960.13</v>
      </c>
      <c r="R643">
        <v>960.13</v>
      </c>
      <c r="U643">
        <v>971.43</v>
      </c>
      <c r="V643">
        <v>960.13</v>
      </c>
      <c r="X643">
        <v>960.13</v>
      </c>
      <c r="Y643">
        <v>1299</v>
      </c>
      <c r="Z643" t="s">
        <v>5922</v>
      </c>
    </row>
    <row r="644" spans="1:26" x14ac:dyDescent="0.2">
      <c r="A644" t="s">
        <v>1160</v>
      </c>
      <c r="B644" t="s">
        <v>1197</v>
      </c>
      <c r="C644" t="s">
        <v>1198</v>
      </c>
      <c r="D644" t="s">
        <v>105</v>
      </c>
      <c r="E644">
        <v>1299</v>
      </c>
      <c r="F644" t="s">
        <v>7049</v>
      </c>
      <c r="H644">
        <v>960.13</v>
      </c>
      <c r="L644" t="s">
        <v>5922</v>
      </c>
      <c r="Q644">
        <v>960.13</v>
      </c>
      <c r="R644">
        <v>960.13</v>
      </c>
      <c r="U644">
        <v>971.43</v>
      </c>
      <c r="V644">
        <v>960.13</v>
      </c>
      <c r="X644">
        <v>960.13</v>
      </c>
      <c r="Y644">
        <v>1299</v>
      </c>
      <c r="Z644" t="s">
        <v>5922</v>
      </c>
    </row>
    <row r="645" spans="1:26" x14ac:dyDescent="0.2">
      <c r="A645" t="s">
        <v>1160</v>
      </c>
      <c r="B645" t="s">
        <v>1199</v>
      </c>
      <c r="C645" t="s">
        <v>1200</v>
      </c>
      <c r="D645" t="s">
        <v>105</v>
      </c>
      <c r="E645">
        <v>1399</v>
      </c>
      <c r="F645" t="s">
        <v>7050</v>
      </c>
      <c r="H645">
        <v>1034.04</v>
      </c>
      <c r="L645" t="s">
        <v>5922</v>
      </c>
      <c r="Q645">
        <v>1034.04</v>
      </c>
      <c r="R645">
        <v>1034.04</v>
      </c>
      <c r="U645">
        <v>1046.21</v>
      </c>
      <c r="V645">
        <v>1034.04</v>
      </c>
      <c r="X645">
        <v>1034.04</v>
      </c>
      <c r="Y645">
        <v>1399</v>
      </c>
      <c r="Z645" t="s">
        <v>5922</v>
      </c>
    </row>
    <row r="646" spans="1:26" x14ac:dyDescent="0.2">
      <c r="A646" t="s">
        <v>1160</v>
      </c>
      <c r="B646" t="s">
        <v>1201</v>
      </c>
      <c r="C646" t="s">
        <v>1202</v>
      </c>
      <c r="D646" t="s">
        <v>105</v>
      </c>
      <c r="E646">
        <v>799</v>
      </c>
      <c r="F646" t="s">
        <v>7047</v>
      </c>
      <c r="L646" t="s">
        <v>5922</v>
      </c>
      <c r="U646">
        <v>597.51</v>
      </c>
      <c r="V646">
        <v>590.57000000000005</v>
      </c>
      <c r="Y646">
        <v>799</v>
      </c>
      <c r="Z646" t="s">
        <v>5922</v>
      </c>
    </row>
    <row r="647" spans="1:26" x14ac:dyDescent="0.2">
      <c r="A647" t="s">
        <v>1160</v>
      </c>
      <c r="B647" t="s">
        <v>1203</v>
      </c>
      <c r="C647" t="s">
        <v>1204</v>
      </c>
      <c r="D647" t="s">
        <v>105</v>
      </c>
      <c r="E647">
        <v>1249</v>
      </c>
      <c r="F647" t="s">
        <v>7094</v>
      </c>
      <c r="H647">
        <v>923.17</v>
      </c>
      <c r="I647">
        <v>912.17</v>
      </c>
      <c r="J647">
        <v>775.35</v>
      </c>
      <c r="K647">
        <v>729.74</v>
      </c>
      <c r="L647" t="s">
        <v>5922</v>
      </c>
      <c r="Q647">
        <v>923.17</v>
      </c>
      <c r="R647">
        <v>923.17</v>
      </c>
      <c r="U647">
        <v>934.03</v>
      </c>
      <c r="V647">
        <v>890.59</v>
      </c>
      <c r="X647">
        <v>890.59</v>
      </c>
      <c r="Y647">
        <v>1249</v>
      </c>
      <c r="Z647" t="s">
        <v>5922</v>
      </c>
    </row>
    <row r="648" spans="1:26" x14ac:dyDescent="0.2">
      <c r="A648" t="s">
        <v>1160</v>
      </c>
      <c r="B648" t="s">
        <v>1205</v>
      </c>
      <c r="C648" t="s">
        <v>1206</v>
      </c>
      <c r="D648" t="s">
        <v>98</v>
      </c>
      <c r="E648">
        <v>119</v>
      </c>
      <c r="F648" t="s">
        <v>5922</v>
      </c>
      <c r="G648">
        <v>103.48</v>
      </c>
      <c r="H648">
        <v>87.96</v>
      </c>
      <c r="I648">
        <v>103.48</v>
      </c>
      <c r="J648">
        <v>87.96</v>
      </c>
      <c r="L648" t="s">
        <v>5922</v>
      </c>
      <c r="R648">
        <v>87.96</v>
      </c>
      <c r="U648">
        <v>87.96</v>
      </c>
      <c r="V648">
        <v>87.96</v>
      </c>
      <c r="W648">
        <v>95.2</v>
      </c>
      <c r="X648">
        <v>87.96</v>
      </c>
      <c r="Y648">
        <v>119</v>
      </c>
      <c r="Z648" t="s">
        <v>5922</v>
      </c>
    </row>
    <row r="649" spans="1:26" x14ac:dyDescent="0.2">
      <c r="A649" t="s">
        <v>1160</v>
      </c>
      <c r="B649" t="s">
        <v>1207</v>
      </c>
      <c r="C649" t="s">
        <v>1208</v>
      </c>
      <c r="D649" t="s">
        <v>105</v>
      </c>
      <c r="E649">
        <v>579</v>
      </c>
      <c r="F649" t="s">
        <v>6944</v>
      </c>
      <c r="H649">
        <v>453.13</v>
      </c>
      <c r="L649" t="s">
        <v>5922</v>
      </c>
      <c r="U649">
        <v>453.13</v>
      </c>
      <c r="V649">
        <v>453.13</v>
      </c>
      <c r="X649">
        <v>453.13</v>
      </c>
      <c r="Y649">
        <v>579</v>
      </c>
      <c r="Z649" t="s">
        <v>5922</v>
      </c>
    </row>
    <row r="650" spans="1:26" x14ac:dyDescent="0.2">
      <c r="A650" t="s">
        <v>1160</v>
      </c>
      <c r="B650" t="s">
        <v>1209</v>
      </c>
      <c r="C650" t="s">
        <v>1210</v>
      </c>
      <c r="D650" t="s">
        <v>105</v>
      </c>
      <c r="E650">
        <v>579</v>
      </c>
      <c r="F650" t="s">
        <v>6944</v>
      </c>
      <c r="H650">
        <v>453.13</v>
      </c>
      <c r="L650" t="s">
        <v>5922</v>
      </c>
      <c r="U650">
        <v>453.13</v>
      </c>
      <c r="V650">
        <v>453.13</v>
      </c>
      <c r="X650">
        <v>453.13</v>
      </c>
      <c r="Y650">
        <v>579</v>
      </c>
      <c r="Z650" t="s">
        <v>5922</v>
      </c>
    </row>
    <row r="651" spans="1:26" x14ac:dyDescent="0.2">
      <c r="A651" t="s">
        <v>1160</v>
      </c>
      <c r="B651" t="s">
        <v>1211</v>
      </c>
      <c r="C651" t="s">
        <v>1212</v>
      </c>
      <c r="D651" t="s">
        <v>105</v>
      </c>
      <c r="E651">
        <v>579</v>
      </c>
      <c r="F651" t="s">
        <v>6944</v>
      </c>
      <c r="H651">
        <v>453.13</v>
      </c>
      <c r="L651" t="s">
        <v>5922</v>
      </c>
      <c r="U651">
        <v>453.13</v>
      </c>
      <c r="V651">
        <v>453.13</v>
      </c>
      <c r="X651">
        <v>453.13</v>
      </c>
      <c r="Y651">
        <v>579</v>
      </c>
      <c r="Z651" t="s">
        <v>5922</v>
      </c>
    </row>
    <row r="652" spans="1:26" x14ac:dyDescent="0.2">
      <c r="A652" t="s">
        <v>1160</v>
      </c>
      <c r="B652" t="s">
        <v>1213</v>
      </c>
      <c r="C652" t="s">
        <v>1214</v>
      </c>
      <c r="D652" t="s">
        <v>105</v>
      </c>
      <c r="E652">
        <v>1999</v>
      </c>
      <c r="F652" t="s">
        <v>7095</v>
      </c>
      <c r="H652">
        <v>1564.43</v>
      </c>
      <c r="I652">
        <v>1564.35</v>
      </c>
      <c r="J652">
        <v>1329.7</v>
      </c>
      <c r="L652" t="s">
        <v>5922</v>
      </c>
      <c r="Q652">
        <v>1564.43</v>
      </c>
      <c r="R652">
        <v>1564.43</v>
      </c>
      <c r="U652">
        <v>1564.43</v>
      </c>
      <c r="V652">
        <v>1477.52</v>
      </c>
      <c r="X652">
        <v>1425.37</v>
      </c>
      <c r="Y652">
        <v>1999</v>
      </c>
      <c r="Z652" t="s">
        <v>5922</v>
      </c>
    </row>
    <row r="653" spans="1:26" x14ac:dyDescent="0.2">
      <c r="A653" t="s">
        <v>1160</v>
      </c>
      <c r="B653" t="s">
        <v>1215</v>
      </c>
      <c r="C653" t="s">
        <v>1216</v>
      </c>
      <c r="D653" t="s">
        <v>98</v>
      </c>
      <c r="E653">
        <v>42</v>
      </c>
      <c r="F653" t="s">
        <v>5922</v>
      </c>
      <c r="G653">
        <v>42</v>
      </c>
      <c r="H653">
        <v>31.04</v>
      </c>
      <c r="L653" t="s">
        <v>5922</v>
      </c>
      <c r="Q653">
        <v>31.04</v>
      </c>
      <c r="R653">
        <v>31.04</v>
      </c>
      <c r="U653">
        <v>31.04</v>
      </c>
      <c r="V653">
        <v>31.04</v>
      </c>
      <c r="W653">
        <v>33.6</v>
      </c>
      <c r="X653">
        <v>31.04</v>
      </c>
      <c r="Y653">
        <v>42</v>
      </c>
      <c r="Z653" t="s">
        <v>5922</v>
      </c>
    </row>
    <row r="654" spans="1:26" x14ac:dyDescent="0.2">
      <c r="A654" t="s">
        <v>1160</v>
      </c>
      <c r="B654" t="s">
        <v>1217</v>
      </c>
      <c r="C654" t="s">
        <v>1218</v>
      </c>
      <c r="D654" t="s">
        <v>98</v>
      </c>
      <c r="E654">
        <v>249</v>
      </c>
      <c r="F654" t="s">
        <v>5922</v>
      </c>
      <c r="G654">
        <v>216.52</v>
      </c>
      <c r="H654">
        <v>184.04</v>
      </c>
      <c r="I654">
        <v>216.52</v>
      </c>
      <c r="J654">
        <v>184.04</v>
      </c>
      <c r="L654" t="s">
        <v>5922</v>
      </c>
      <c r="R654">
        <v>184.04</v>
      </c>
      <c r="U654">
        <v>199.87</v>
      </c>
      <c r="V654">
        <v>194.87</v>
      </c>
      <c r="W654">
        <v>197.03</v>
      </c>
      <c r="X654">
        <v>184.04</v>
      </c>
      <c r="Y654">
        <v>249</v>
      </c>
      <c r="Z654" t="s">
        <v>5922</v>
      </c>
    </row>
    <row r="655" spans="1:26" x14ac:dyDescent="0.2">
      <c r="A655" t="s">
        <v>1160</v>
      </c>
      <c r="B655" t="s">
        <v>1219</v>
      </c>
      <c r="C655" t="s">
        <v>1220</v>
      </c>
      <c r="D655" t="s">
        <v>98</v>
      </c>
      <c r="E655">
        <v>339</v>
      </c>
      <c r="F655" t="s">
        <v>5922</v>
      </c>
      <c r="H655">
        <v>265.3</v>
      </c>
      <c r="I655">
        <v>260</v>
      </c>
      <c r="J655">
        <v>234</v>
      </c>
      <c r="L655" t="s">
        <v>5922</v>
      </c>
      <c r="Q655">
        <v>265.3</v>
      </c>
      <c r="R655">
        <v>265.3</v>
      </c>
      <c r="U655">
        <v>265.3</v>
      </c>
      <c r="V655">
        <v>265.3</v>
      </c>
      <c r="W655">
        <v>280.04000000000002</v>
      </c>
      <c r="X655">
        <v>265.3</v>
      </c>
      <c r="Y655">
        <v>339</v>
      </c>
      <c r="Z655" t="s">
        <v>5922</v>
      </c>
    </row>
    <row r="656" spans="1:26" x14ac:dyDescent="0.2">
      <c r="A656" t="s">
        <v>1160</v>
      </c>
      <c r="B656" t="s">
        <v>1221</v>
      </c>
      <c r="C656" t="s">
        <v>1222</v>
      </c>
      <c r="D656" t="s">
        <v>98</v>
      </c>
      <c r="E656">
        <v>449</v>
      </c>
      <c r="F656" t="s">
        <v>5922</v>
      </c>
      <c r="H656">
        <v>351.39</v>
      </c>
      <c r="I656">
        <v>286.08999999999997</v>
      </c>
      <c r="J656">
        <v>257.48</v>
      </c>
      <c r="L656" t="s">
        <v>5922</v>
      </c>
      <c r="Q656">
        <v>351.39</v>
      </c>
      <c r="R656">
        <v>351.39</v>
      </c>
      <c r="U656">
        <v>351.39</v>
      </c>
      <c r="V656">
        <v>351.39</v>
      </c>
      <c r="W656">
        <v>370.91</v>
      </c>
      <c r="X656">
        <v>351.39</v>
      </c>
      <c r="Y656">
        <v>449</v>
      </c>
      <c r="Z656" t="s">
        <v>5922</v>
      </c>
    </row>
    <row r="657" spans="1:26" x14ac:dyDescent="0.2">
      <c r="A657" t="s">
        <v>1160</v>
      </c>
      <c r="B657" t="s">
        <v>1223</v>
      </c>
      <c r="C657" t="s">
        <v>1224</v>
      </c>
      <c r="D657" t="s">
        <v>98</v>
      </c>
      <c r="E657">
        <v>519</v>
      </c>
      <c r="F657" t="s">
        <v>5922</v>
      </c>
      <c r="H657">
        <v>406.17</v>
      </c>
      <c r="I657">
        <v>346.96</v>
      </c>
      <c r="J657">
        <v>312.26</v>
      </c>
      <c r="L657" t="s">
        <v>5922</v>
      </c>
      <c r="Q657">
        <v>406.17</v>
      </c>
      <c r="R657">
        <v>406.17</v>
      </c>
      <c r="U657">
        <v>406.17</v>
      </c>
      <c r="V657">
        <v>406.17</v>
      </c>
      <c r="W657">
        <v>428.74</v>
      </c>
      <c r="X657">
        <v>406.17</v>
      </c>
      <c r="Y657">
        <v>519</v>
      </c>
      <c r="Z657" t="s">
        <v>5922</v>
      </c>
    </row>
    <row r="658" spans="1:26" x14ac:dyDescent="0.2">
      <c r="A658" t="s">
        <v>1160</v>
      </c>
      <c r="B658" t="s">
        <v>1225</v>
      </c>
      <c r="C658" t="s">
        <v>1226</v>
      </c>
      <c r="D658" t="s">
        <v>98</v>
      </c>
      <c r="E658">
        <v>219</v>
      </c>
      <c r="F658" t="s">
        <v>5922</v>
      </c>
      <c r="G658">
        <v>190.43</v>
      </c>
      <c r="H658">
        <v>161.87</v>
      </c>
      <c r="I658">
        <v>190.43</v>
      </c>
      <c r="J658">
        <v>161.87</v>
      </c>
      <c r="K658">
        <v>156.16</v>
      </c>
      <c r="L658" t="s">
        <v>5922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156.16</v>
      </c>
      <c r="S658">
        <v>0</v>
      </c>
      <c r="T658">
        <v>0</v>
      </c>
      <c r="U658">
        <v>171.39</v>
      </c>
      <c r="V658">
        <v>171.39</v>
      </c>
      <c r="W658">
        <v>173.3</v>
      </c>
      <c r="X658">
        <v>161.87</v>
      </c>
      <c r="Y658">
        <v>219</v>
      </c>
      <c r="Z658" t="s">
        <v>5922</v>
      </c>
    </row>
    <row r="659" spans="1:26" x14ac:dyDescent="0.2">
      <c r="A659" t="s">
        <v>1160</v>
      </c>
      <c r="B659" t="s">
        <v>1227</v>
      </c>
      <c r="C659" t="s">
        <v>1228</v>
      </c>
      <c r="D659" t="s">
        <v>98</v>
      </c>
      <c r="E659">
        <v>259</v>
      </c>
      <c r="F659" t="s">
        <v>5922</v>
      </c>
      <c r="H659">
        <v>202.7</v>
      </c>
      <c r="I659">
        <v>190.43</v>
      </c>
      <c r="J659">
        <v>171.39</v>
      </c>
      <c r="L659" t="s">
        <v>5922</v>
      </c>
      <c r="Q659">
        <v>202.7</v>
      </c>
      <c r="R659">
        <v>202.7</v>
      </c>
      <c r="U659">
        <v>202.7</v>
      </c>
      <c r="V659">
        <v>202.7</v>
      </c>
      <c r="W659">
        <v>213.96</v>
      </c>
      <c r="X659">
        <v>202.7</v>
      </c>
      <c r="Y659">
        <v>259</v>
      </c>
      <c r="Z659" t="s">
        <v>5922</v>
      </c>
    </row>
    <row r="660" spans="1:26" x14ac:dyDescent="0.2">
      <c r="A660" t="s">
        <v>1160</v>
      </c>
      <c r="B660" t="s">
        <v>1229</v>
      </c>
      <c r="C660" t="s">
        <v>1230</v>
      </c>
      <c r="D660" t="s">
        <v>105</v>
      </c>
      <c r="E660">
        <v>299</v>
      </c>
      <c r="F660" t="s">
        <v>6946</v>
      </c>
      <c r="H660">
        <v>234</v>
      </c>
      <c r="L660" t="s">
        <v>5922</v>
      </c>
      <c r="Q660">
        <v>234</v>
      </c>
      <c r="R660">
        <v>234</v>
      </c>
      <c r="U660">
        <v>234</v>
      </c>
      <c r="V660">
        <v>234</v>
      </c>
      <c r="X660">
        <v>234</v>
      </c>
      <c r="Y660">
        <v>299</v>
      </c>
      <c r="Z660" t="s">
        <v>5922</v>
      </c>
    </row>
    <row r="661" spans="1:26" x14ac:dyDescent="0.2">
      <c r="A661" t="s">
        <v>1160</v>
      </c>
      <c r="B661" t="s">
        <v>1231</v>
      </c>
      <c r="C661" t="s">
        <v>1232</v>
      </c>
      <c r="D661" t="s">
        <v>98</v>
      </c>
      <c r="E661">
        <v>599</v>
      </c>
      <c r="F661" t="s">
        <v>6941</v>
      </c>
      <c r="H661">
        <v>468.78</v>
      </c>
      <c r="I661">
        <v>477.39</v>
      </c>
      <c r="J661">
        <v>405.78</v>
      </c>
      <c r="K661">
        <v>391.46</v>
      </c>
      <c r="L661" t="s">
        <v>5922</v>
      </c>
      <c r="Q661">
        <v>468.78</v>
      </c>
      <c r="R661">
        <v>468.78</v>
      </c>
      <c r="U661">
        <v>468.78</v>
      </c>
      <c r="V661">
        <v>468.78</v>
      </c>
      <c r="X661">
        <v>442.74</v>
      </c>
      <c r="Y661">
        <v>599</v>
      </c>
      <c r="Z661" t="s">
        <v>5922</v>
      </c>
    </row>
    <row r="662" spans="1:26" x14ac:dyDescent="0.2">
      <c r="A662" t="s">
        <v>1160</v>
      </c>
      <c r="B662" t="s">
        <v>1233</v>
      </c>
      <c r="C662" t="s">
        <v>1234</v>
      </c>
      <c r="D662" t="s">
        <v>105</v>
      </c>
      <c r="E662">
        <v>399</v>
      </c>
      <c r="F662" t="s">
        <v>6948</v>
      </c>
      <c r="H662">
        <v>312.26</v>
      </c>
      <c r="L662" t="s">
        <v>5922</v>
      </c>
      <c r="Q662">
        <v>312.26</v>
      </c>
      <c r="R662">
        <v>312.26</v>
      </c>
      <c r="U662">
        <v>312.26</v>
      </c>
      <c r="V662">
        <v>312.26</v>
      </c>
      <c r="X662">
        <v>312.26</v>
      </c>
      <c r="Y662">
        <v>399</v>
      </c>
      <c r="Z662" t="s">
        <v>5922</v>
      </c>
    </row>
    <row r="663" spans="1:26" x14ac:dyDescent="0.2">
      <c r="A663" t="s">
        <v>1160</v>
      </c>
      <c r="B663" t="s">
        <v>1235</v>
      </c>
      <c r="C663" t="s">
        <v>1236</v>
      </c>
      <c r="D663" t="s">
        <v>105</v>
      </c>
      <c r="E663">
        <v>599</v>
      </c>
      <c r="F663" t="s">
        <v>6941</v>
      </c>
      <c r="H663">
        <v>468.78</v>
      </c>
      <c r="L663" t="s">
        <v>5922</v>
      </c>
      <c r="Q663">
        <v>468.78</v>
      </c>
      <c r="R663">
        <v>468.78</v>
      </c>
      <c r="U663">
        <v>468.78</v>
      </c>
      <c r="V663">
        <v>468.78</v>
      </c>
      <c r="X663">
        <v>468.78</v>
      </c>
      <c r="Y663">
        <v>599</v>
      </c>
      <c r="Z663" t="s">
        <v>5922</v>
      </c>
    </row>
    <row r="664" spans="1:26" x14ac:dyDescent="0.2">
      <c r="A664" t="s">
        <v>1160</v>
      </c>
      <c r="B664" t="s">
        <v>1237</v>
      </c>
      <c r="C664" t="s">
        <v>1238</v>
      </c>
      <c r="D664" t="s">
        <v>105</v>
      </c>
      <c r="E664">
        <v>799</v>
      </c>
      <c r="F664" t="s">
        <v>7047</v>
      </c>
      <c r="H664">
        <v>625.29999999999995</v>
      </c>
      <c r="L664" t="s">
        <v>5922</v>
      </c>
      <c r="Q664">
        <v>625.29999999999995</v>
      </c>
      <c r="R664">
        <v>625.29999999999995</v>
      </c>
      <c r="U664">
        <v>625.29999999999995</v>
      </c>
      <c r="V664">
        <v>625.29999999999995</v>
      </c>
      <c r="X664">
        <v>625.29999999999995</v>
      </c>
      <c r="Y664">
        <v>799</v>
      </c>
      <c r="Z664" t="s">
        <v>5922</v>
      </c>
    </row>
    <row r="665" spans="1:26" x14ac:dyDescent="0.2">
      <c r="A665" t="s">
        <v>1160</v>
      </c>
      <c r="B665" t="s">
        <v>1239</v>
      </c>
      <c r="C665" t="s">
        <v>1240</v>
      </c>
      <c r="D665" t="s">
        <v>98</v>
      </c>
      <c r="E665">
        <v>2699</v>
      </c>
      <c r="F665" t="s">
        <v>5922</v>
      </c>
      <c r="G665">
        <v>2699</v>
      </c>
      <c r="H665">
        <v>1994.91</v>
      </c>
      <c r="I665">
        <v>1999.13</v>
      </c>
      <c r="J665">
        <v>1699.26</v>
      </c>
      <c r="L665" t="s">
        <v>5922</v>
      </c>
      <c r="Q665">
        <v>1994.91</v>
      </c>
      <c r="R665">
        <v>1994.91</v>
      </c>
      <c r="U665">
        <v>2018.38</v>
      </c>
      <c r="V665">
        <v>1994.91</v>
      </c>
      <c r="W665">
        <v>2159.1999999999998</v>
      </c>
      <c r="X665">
        <v>1994.91</v>
      </c>
      <c r="Y665">
        <v>2699</v>
      </c>
      <c r="Z665" t="s">
        <v>5922</v>
      </c>
    </row>
    <row r="666" spans="1:26" x14ac:dyDescent="0.2">
      <c r="A666" t="s">
        <v>1160</v>
      </c>
      <c r="B666" t="s">
        <v>1241</v>
      </c>
      <c r="C666" t="s">
        <v>1242</v>
      </c>
      <c r="D666" t="s">
        <v>98</v>
      </c>
      <c r="E666">
        <v>3799</v>
      </c>
      <c r="F666" t="s">
        <v>5922</v>
      </c>
      <c r="G666">
        <v>3039.2</v>
      </c>
      <c r="H666">
        <v>2807.96</v>
      </c>
      <c r="I666">
        <v>2694.78</v>
      </c>
      <c r="J666">
        <v>2290.5700000000002</v>
      </c>
      <c r="L666" t="s">
        <v>5922</v>
      </c>
      <c r="Q666">
        <v>2807.96</v>
      </c>
      <c r="R666">
        <v>2807.96</v>
      </c>
      <c r="U666">
        <v>2840.99</v>
      </c>
      <c r="V666">
        <v>2807.96</v>
      </c>
      <c r="W666">
        <v>3039.2</v>
      </c>
      <c r="X666">
        <v>2807.96</v>
      </c>
      <c r="Y666">
        <v>3799</v>
      </c>
      <c r="Z666" t="s">
        <v>5922</v>
      </c>
    </row>
    <row r="667" spans="1:26" x14ac:dyDescent="0.2">
      <c r="A667" t="s">
        <v>1160</v>
      </c>
      <c r="B667" t="s">
        <v>1243</v>
      </c>
      <c r="C667" t="s">
        <v>1244</v>
      </c>
      <c r="D667" t="s">
        <v>98</v>
      </c>
      <c r="E667">
        <v>4199</v>
      </c>
      <c r="F667" t="s">
        <v>5922</v>
      </c>
      <c r="G667">
        <v>4199</v>
      </c>
      <c r="H667">
        <v>3103.61</v>
      </c>
      <c r="I667">
        <v>3042.61</v>
      </c>
      <c r="J667">
        <v>2586.2199999999998</v>
      </c>
      <c r="L667" t="s">
        <v>5922</v>
      </c>
      <c r="Q667">
        <v>3103.61</v>
      </c>
      <c r="R667">
        <v>3103.61</v>
      </c>
      <c r="U667">
        <v>3140.12</v>
      </c>
      <c r="V667">
        <v>3103.61</v>
      </c>
      <c r="W667">
        <v>3359.2</v>
      </c>
      <c r="X667">
        <v>3103.61</v>
      </c>
      <c r="Y667">
        <v>4199</v>
      </c>
      <c r="Z667" t="s">
        <v>5922</v>
      </c>
    </row>
    <row r="668" spans="1:26" x14ac:dyDescent="0.2">
      <c r="A668" t="s">
        <v>1160</v>
      </c>
      <c r="B668" t="s">
        <v>1245</v>
      </c>
      <c r="C668" t="s">
        <v>1246</v>
      </c>
      <c r="D668" t="s">
        <v>98</v>
      </c>
      <c r="E668">
        <v>2999</v>
      </c>
      <c r="F668" t="s">
        <v>5922</v>
      </c>
      <c r="G668">
        <v>2999</v>
      </c>
      <c r="H668">
        <v>2216.65</v>
      </c>
      <c r="I668">
        <v>2303.48</v>
      </c>
      <c r="J668">
        <v>1957.96</v>
      </c>
      <c r="L668" t="s">
        <v>5922</v>
      </c>
      <c r="Q668">
        <v>2216.65</v>
      </c>
      <c r="R668">
        <v>2216.65</v>
      </c>
      <c r="U668">
        <v>2242.73</v>
      </c>
      <c r="V668">
        <v>2216.65</v>
      </c>
      <c r="W668">
        <v>2399.1999999999998</v>
      </c>
      <c r="X668">
        <v>2216.65</v>
      </c>
      <c r="Y668">
        <v>2999</v>
      </c>
      <c r="Z668" t="s">
        <v>5922</v>
      </c>
    </row>
    <row r="669" spans="1:26" x14ac:dyDescent="0.2">
      <c r="A669" t="s">
        <v>1160</v>
      </c>
      <c r="B669" t="s">
        <v>1247</v>
      </c>
      <c r="C669" t="s">
        <v>1248</v>
      </c>
      <c r="D669" t="s">
        <v>98</v>
      </c>
      <c r="E669">
        <v>2049</v>
      </c>
      <c r="F669" t="s">
        <v>5922</v>
      </c>
      <c r="G669">
        <v>2049</v>
      </c>
      <c r="H669">
        <v>1514.48</v>
      </c>
      <c r="I669">
        <v>1433.91</v>
      </c>
      <c r="J669">
        <v>1218.83</v>
      </c>
      <c r="L669" t="s">
        <v>5922</v>
      </c>
      <c r="Q669">
        <v>1514.48</v>
      </c>
      <c r="R669">
        <v>1514.48</v>
      </c>
      <c r="U669">
        <v>1532.3</v>
      </c>
      <c r="V669">
        <v>1514.48</v>
      </c>
      <c r="W669">
        <v>1639.2</v>
      </c>
      <c r="X669">
        <v>1514.48</v>
      </c>
      <c r="Y669">
        <v>2049</v>
      </c>
      <c r="Z669" t="s">
        <v>5922</v>
      </c>
    </row>
    <row r="670" spans="1:26" x14ac:dyDescent="0.2">
      <c r="A670" t="s">
        <v>1160</v>
      </c>
      <c r="B670" t="s">
        <v>1249</v>
      </c>
      <c r="C670" t="s">
        <v>1250</v>
      </c>
      <c r="D670" t="s">
        <v>98</v>
      </c>
      <c r="E670">
        <v>2049</v>
      </c>
      <c r="F670" t="s">
        <v>5922</v>
      </c>
      <c r="G670">
        <v>2049</v>
      </c>
      <c r="H670">
        <v>1514.48</v>
      </c>
      <c r="I670">
        <v>1433.91</v>
      </c>
      <c r="J670">
        <v>1218.83</v>
      </c>
      <c r="L670" t="s">
        <v>5922</v>
      </c>
      <c r="Q670">
        <v>1514.48</v>
      </c>
      <c r="R670">
        <v>1514.48</v>
      </c>
      <c r="U670">
        <v>1532.3</v>
      </c>
      <c r="V670">
        <v>1514.48</v>
      </c>
      <c r="W670">
        <v>1639.2</v>
      </c>
      <c r="X670">
        <v>1514.48</v>
      </c>
      <c r="Y670">
        <v>2049</v>
      </c>
      <c r="Z670" t="s">
        <v>5922</v>
      </c>
    </row>
    <row r="671" spans="1:26" x14ac:dyDescent="0.2">
      <c r="A671" t="s">
        <v>1160</v>
      </c>
      <c r="B671" t="s">
        <v>1251</v>
      </c>
      <c r="C671" t="s">
        <v>1252</v>
      </c>
      <c r="D671" t="s">
        <v>98</v>
      </c>
      <c r="E671">
        <v>2049</v>
      </c>
      <c r="F671" t="s">
        <v>5922</v>
      </c>
      <c r="G671">
        <v>2049</v>
      </c>
      <c r="H671">
        <v>1514.48</v>
      </c>
      <c r="I671">
        <v>1433.91</v>
      </c>
      <c r="J671">
        <v>1218.83</v>
      </c>
      <c r="L671" t="s">
        <v>5922</v>
      </c>
      <c r="Q671">
        <v>1514.48</v>
      </c>
      <c r="R671">
        <v>1514.48</v>
      </c>
      <c r="U671">
        <v>1532.3</v>
      </c>
      <c r="V671">
        <v>1514.48</v>
      </c>
      <c r="W671">
        <v>1639.2</v>
      </c>
      <c r="X671">
        <v>1514.48</v>
      </c>
      <c r="Y671">
        <v>2049</v>
      </c>
      <c r="Z671" t="s">
        <v>5922</v>
      </c>
    </row>
    <row r="672" spans="1:26" x14ac:dyDescent="0.2">
      <c r="A672" t="s">
        <v>1160</v>
      </c>
      <c r="B672" t="s">
        <v>1253</v>
      </c>
      <c r="C672" t="s">
        <v>1254</v>
      </c>
      <c r="D672" t="s">
        <v>98</v>
      </c>
      <c r="E672">
        <v>499</v>
      </c>
      <c r="F672" t="s">
        <v>5922</v>
      </c>
      <c r="H672">
        <v>368.83</v>
      </c>
      <c r="L672" t="s">
        <v>5922</v>
      </c>
      <c r="U672">
        <v>373.83</v>
      </c>
      <c r="W672">
        <v>399.2</v>
      </c>
      <c r="X672">
        <v>368.83</v>
      </c>
      <c r="Y672">
        <v>499</v>
      </c>
      <c r="Z672" t="s">
        <v>5922</v>
      </c>
    </row>
    <row r="673" spans="1:26" x14ac:dyDescent="0.2">
      <c r="A673" t="s">
        <v>1160</v>
      </c>
      <c r="B673" t="s">
        <v>7753</v>
      </c>
      <c r="C673" t="s">
        <v>7754</v>
      </c>
      <c r="D673" t="s">
        <v>105</v>
      </c>
      <c r="E673">
        <v>1199</v>
      </c>
      <c r="F673" t="s">
        <v>6953</v>
      </c>
      <c r="H673">
        <v>938.35</v>
      </c>
      <c r="L673" t="s">
        <v>5922</v>
      </c>
      <c r="U673">
        <v>896.64</v>
      </c>
      <c r="V673">
        <v>938.35</v>
      </c>
      <c r="X673">
        <v>938.35</v>
      </c>
      <c r="Y673">
        <v>1199</v>
      </c>
      <c r="Z673" t="s">
        <v>5922</v>
      </c>
    </row>
    <row r="674" spans="1:26" x14ac:dyDescent="0.2">
      <c r="A674" t="s">
        <v>1160</v>
      </c>
      <c r="B674" t="s">
        <v>7755</v>
      </c>
      <c r="C674" t="s">
        <v>7756</v>
      </c>
      <c r="D674" t="s">
        <v>105</v>
      </c>
      <c r="E674">
        <v>1899</v>
      </c>
      <c r="F674" t="s">
        <v>7111</v>
      </c>
      <c r="H674">
        <v>1486.17</v>
      </c>
      <c r="L674" t="s">
        <v>5922</v>
      </c>
      <c r="U674">
        <v>1420.12</v>
      </c>
      <c r="V674">
        <v>1486.17</v>
      </c>
      <c r="X674">
        <v>1486.17</v>
      </c>
      <c r="Y674">
        <v>1899</v>
      </c>
      <c r="Z674" t="s">
        <v>5922</v>
      </c>
    </row>
    <row r="675" spans="1:26" x14ac:dyDescent="0.2">
      <c r="A675" t="s">
        <v>1160</v>
      </c>
      <c r="B675" t="s">
        <v>7757</v>
      </c>
      <c r="C675" t="s">
        <v>7758</v>
      </c>
      <c r="D675" t="s">
        <v>105</v>
      </c>
      <c r="E675">
        <v>699</v>
      </c>
      <c r="F675" t="s">
        <v>6951</v>
      </c>
      <c r="H675">
        <v>547.04</v>
      </c>
      <c r="L675" t="s">
        <v>5922</v>
      </c>
      <c r="U675">
        <v>522.73</v>
      </c>
      <c r="V675">
        <v>547.04</v>
      </c>
      <c r="X675">
        <v>547.04</v>
      </c>
      <c r="Y675">
        <v>699</v>
      </c>
      <c r="Z675" t="s">
        <v>5922</v>
      </c>
    </row>
    <row r="676" spans="1:26" x14ac:dyDescent="0.2">
      <c r="A676" t="s">
        <v>1160</v>
      </c>
      <c r="B676" t="s">
        <v>7759</v>
      </c>
      <c r="C676" t="s">
        <v>7760</v>
      </c>
      <c r="D676" t="s">
        <v>105</v>
      </c>
      <c r="E676">
        <v>899</v>
      </c>
      <c r="F676" t="s">
        <v>7046</v>
      </c>
      <c r="H676">
        <v>703.57</v>
      </c>
      <c r="L676" t="s">
        <v>5922</v>
      </c>
      <c r="U676">
        <v>672.3</v>
      </c>
      <c r="V676">
        <v>703.57</v>
      </c>
      <c r="X676">
        <v>703.57</v>
      </c>
      <c r="Y676">
        <v>899</v>
      </c>
      <c r="Z676" t="s">
        <v>5922</v>
      </c>
    </row>
    <row r="677" spans="1:26" x14ac:dyDescent="0.2">
      <c r="A677" t="s">
        <v>1160</v>
      </c>
      <c r="B677" t="s">
        <v>7761</v>
      </c>
      <c r="C677" t="s">
        <v>7762</v>
      </c>
      <c r="D677" t="s">
        <v>105</v>
      </c>
      <c r="E677">
        <v>1399</v>
      </c>
      <c r="F677" t="s">
        <v>7050</v>
      </c>
      <c r="H677">
        <v>1094.8699999999999</v>
      </c>
      <c r="L677" t="s">
        <v>5922</v>
      </c>
      <c r="U677">
        <v>1046.21</v>
      </c>
      <c r="V677">
        <v>1094.8699999999999</v>
      </c>
      <c r="X677">
        <v>1094.8699999999999</v>
      </c>
      <c r="Y677">
        <v>1399</v>
      </c>
      <c r="Z677" t="s">
        <v>5922</v>
      </c>
    </row>
    <row r="678" spans="1:26" x14ac:dyDescent="0.2">
      <c r="A678" t="s">
        <v>1160</v>
      </c>
      <c r="B678" t="s">
        <v>1255</v>
      </c>
      <c r="C678" t="s">
        <v>1256</v>
      </c>
      <c r="D678" t="s">
        <v>98</v>
      </c>
      <c r="E678">
        <v>199</v>
      </c>
      <c r="F678" t="s">
        <v>5922</v>
      </c>
      <c r="G678">
        <v>173.04</v>
      </c>
      <c r="H678">
        <v>147.09</v>
      </c>
      <c r="I678">
        <v>173.04</v>
      </c>
      <c r="J678">
        <v>147.09</v>
      </c>
      <c r="K678">
        <v>147.09</v>
      </c>
      <c r="L678" t="s">
        <v>5922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147.09</v>
      </c>
      <c r="S678">
        <v>0</v>
      </c>
      <c r="T678">
        <v>0</v>
      </c>
      <c r="U678">
        <v>160.74</v>
      </c>
      <c r="V678">
        <v>155.74</v>
      </c>
      <c r="W678">
        <v>157.47</v>
      </c>
      <c r="X678">
        <v>147.09</v>
      </c>
      <c r="Y678">
        <v>199</v>
      </c>
      <c r="Z678" t="s">
        <v>5922</v>
      </c>
    </row>
    <row r="679" spans="1:26" x14ac:dyDescent="0.2">
      <c r="A679" t="s">
        <v>1160</v>
      </c>
      <c r="B679" t="s">
        <v>1257</v>
      </c>
      <c r="C679" t="s">
        <v>1258</v>
      </c>
      <c r="D679" t="s">
        <v>98</v>
      </c>
      <c r="E679">
        <v>219</v>
      </c>
      <c r="F679" t="s">
        <v>5922</v>
      </c>
      <c r="G679">
        <v>299</v>
      </c>
      <c r="H679">
        <v>161.87</v>
      </c>
      <c r="I679">
        <v>190.43</v>
      </c>
      <c r="J679">
        <v>161.87</v>
      </c>
      <c r="K679">
        <v>161.87</v>
      </c>
      <c r="L679" t="s">
        <v>5922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161.87</v>
      </c>
      <c r="S679">
        <v>0</v>
      </c>
      <c r="T679">
        <v>0</v>
      </c>
      <c r="U679">
        <v>234</v>
      </c>
      <c r="V679">
        <v>234</v>
      </c>
      <c r="W679">
        <v>236.6</v>
      </c>
      <c r="X679">
        <v>221</v>
      </c>
      <c r="Y679">
        <v>299</v>
      </c>
      <c r="Z679" t="s">
        <v>5922</v>
      </c>
    </row>
    <row r="680" spans="1:26" x14ac:dyDescent="0.2">
      <c r="A680" t="s">
        <v>1160</v>
      </c>
      <c r="B680" t="s">
        <v>1259</v>
      </c>
      <c r="C680" t="s">
        <v>1260</v>
      </c>
      <c r="D680" t="s">
        <v>105</v>
      </c>
      <c r="E680">
        <v>319</v>
      </c>
      <c r="F680" t="s">
        <v>6940</v>
      </c>
      <c r="H680">
        <v>249.65</v>
      </c>
      <c r="L680" t="s">
        <v>5922</v>
      </c>
      <c r="Q680">
        <v>249.65</v>
      </c>
      <c r="R680">
        <v>249.65</v>
      </c>
      <c r="U680">
        <v>249.65</v>
      </c>
      <c r="V680">
        <v>235.78</v>
      </c>
      <c r="X680">
        <v>235.78</v>
      </c>
      <c r="Y680">
        <v>319</v>
      </c>
      <c r="Z680" t="s">
        <v>5922</v>
      </c>
    </row>
    <row r="681" spans="1:26" x14ac:dyDescent="0.2">
      <c r="A681" t="s">
        <v>1160</v>
      </c>
      <c r="B681" t="s">
        <v>1261</v>
      </c>
      <c r="C681" t="s">
        <v>1262</v>
      </c>
      <c r="D681" t="s">
        <v>98</v>
      </c>
      <c r="E681">
        <v>259</v>
      </c>
      <c r="F681" t="s">
        <v>5922</v>
      </c>
      <c r="G681">
        <v>225.22</v>
      </c>
      <c r="H681">
        <v>191.43</v>
      </c>
      <c r="I681">
        <v>225.22</v>
      </c>
      <c r="J681">
        <v>191.43</v>
      </c>
      <c r="K681">
        <v>191.43</v>
      </c>
      <c r="L681" t="s">
        <v>5922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191.43</v>
      </c>
      <c r="S681">
        <v>0</v>
      </c>
      <c r="T681">
        <v>0</v>
      </c>
      <c r="U681">
        <v>207.7</v>
      </c>
      <c r="V681">
        <v>202.7</v>
      </c>
      <c r="W681">
        <v>204.95</v>
      </c>
      <c r="X681">
        <v>191.43</v>
      </c>
      <c r="Y681">
        <v>259</v>
      </c>
      <c r="Z681" t="s">
        <v>5922</v>
      </c>
    </row>
    <row r="682" spans="1:26" x14ac:dyDescent="0.2">
      <c r="A682" t="s">
        <v>1160</v>
      </c>
      <c r="B682" t="s">
        <v>1263</v>
      </c>
      <c r="C682" t="s">
        <v>1264</v>
      </c>
      <c r="D682" t="s">
        <v>98</v>
      </c>
      <c r="E682">
        <v>289</v>
      </c>
      <c r="F682" t="s">
        <v>5922</v>
      </c>
      <c r="G682">
        <v>251.3</v>
      </c>
      <c r="H682">
        <v>213.61</v>
      </c>
      <c r="I682">
        <v>251.3</v>
      </c>
      <c r="J682">
        <v>213.61</v>
      </c>
      <c r="K682">
        <v>213.61</v>
      </c>
      <c r="L682" t="s">
        <v>5922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213.61</v>
      </c>
      <c r="S682">
        <v>0</v>
      </c>
      <c r="T682">
        <v>0</v>
      </c>
      <c r="U682">
        <v>231.17</v>
      </c>
      <c r="V682">
        <v>226.17</v>
      </c>
      <c r="W682">
        <v>228.69</v>
      </c>
      <c r="X682">
        <v>213.61</v>
      </c>
      <c r="Y682">
        <v>289</v>
      </c>
      <c r="Z682" t="s">
        <v>5922</v>
      </c>
    </row>
    <row r="683" spans="1:26" x14ac:dyDescent="0.2">
      <c r="A683" t="s">
        <v>1160</v>
      </c>
      <c r="B683" t="s">
        <v>1265</v>
      </c>
      <c r="C683" t="s">
        <v>1266</v>
      </c>
      <c r="D683" t="s">
        <v>98</v>
      </c>
      <c r="E683">
        <v>449</v>
      </c>
      <c r="F683" t="s">
        <v>5922</v>
      </c>
      <c r="G683">
        <v>390.43</v>
      </c>
      <c r="H683">
        <v>331.87</v>
      </c>
      <c r="I683">
        <v>390.43</v>
      </c>
      <c r="J683">
        <v>331.87</v>
      </c>
      <c r="K683">
        <v>331.87</v>
      </c>
      <c r="L683" t="s">
        <v>5922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331.87</v>
      </c>
      <c r="S683">
        <v>0</v>
      </c>
      <c r="T683">
        <v>0</v>
      </c>
      <c r="U683">
        <v>356.39</v>
      </c>
      <c r="V683">
        <v>351.39</v>
      </c>
      <c r="W683">
        <v>355.3</v>
      </c>
      <c r="X683">
        <v>331.87</v>
      </c>
      <c r="Y683">
        <v>449</v>
      </c>
      <c r="Z683" t="s">
        <v>5922</v>
      </c>
    </row>
    <row r="684" spans="1:26" x14ac:dyDescent="0.2">
      <c r="A684" t="s">
        <v>1160</v>
      </c>
      <c r="B684" t="s">
        <v>1267</v>
      </c>
      <c r="C684" t="s">
        <v>1268</v>
      </c>
      <c r="D684" t="s">
        <v>105</v>
      </c>
      <c r="E684">
        <v>899</v>
      </c>
      <c r="F684" t="s">
        <v>7046</v>
      </c>
      <c r="H684">
        <v>703.57</v>
      </c>
      <c r="L684" t="s">
        <v>5922</v>
      </c>
      <c r="Q684">
        <v>703.57</v>
      </c>
      <c r="R684">
        <v>703.57</v>
      </c>
      <c r="U684">
        <v>703.57</v>
      </c>
      <c r="V684">
        <v>664.48</v>
      </c>
      <c r="X684">
        <v>664.48</v>
      </c>
      <c r="Y684">
        <v>899</v>
      </c>
      <c r="Z684" t="s">
        <v>5922</v>
      </c>
    </row>
    <row r="685" spans="1:26" x14ac:dyDescent="0.2">
      <c r="A685" t="s">
        <v>1160</v>
      </c>
      <c r="B685" t="s">
        <v>1269</v>
      </c>
      <c r="C685" t="s">
        <v>1270</v>
      </c>
      <c r="D685" t="s">
        <v>98</v>
      </c>
      <c r="E685">
        <v>289</v>
      </c>
      <c r="F685" t="s">
        <v>5922</v>
      </c>
      <c r="G685">
        <v>251.3</v>
      </c>
      <c r="H685">
        <v>213.61</v>
      </c>
      <c r="I685">
        <v>0</v>
      </c>
      <c r="J685">
        <v>213.61</v>
      </c>
      <c r="K685">
        <v>213.61</v>
      </c>
      <c r="L685" t="s">
        <v>5922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213.61</v>
      </c>
      <c r="S685">
        <v>0</v>
      </c>
      <c r="T685">
        <v>0</v>
      </c>
      <c r="U685">
        <v>226.17</v>
      </c>
      <c r="V685">
        <v>0</v>
      </c>
      <c r="W685">
        <v>228.69</v>
      </c>
      <c r="X685">
        <v>213.61</v>
      </c>
      <c r="Y685">
        <v>289</v>
      </c>
      <c r="Z685" t="s">
        <v>5922</v>
      </c>
    </row>
    <row r="686" spans="1:26" x14ac:dyDescent="0.2">
      <c r="A686" t="s">
        <v>1160</v>
      </c>
      <c r="B686" t="s">
        <v>1271</v>
      </c>
      <c r="C686" t="s">
        <v>1272</v>
      </c>
      <c r="D686" t="s">
        <v>98</v>
      </c>
      <c r="E686">
        <v>359</v>
      </c>
      <c r="F686" t="s">
        <v>5922</v>
      </c>
      <c r="G686">
        <v>312.17</v>
      </c>
      <c r="H686">
        <v>265.35000000000002</v>
      </c>
      <c r="I686">
        <v>312.17</v>
      </c>
      <c r="J686">
        <v>265.35000000000002</v>
      </c>
      <c r="K686">
        <v>265.35000000000002</v>
      </c>
      <c r="L686" t="s">
        <v>5922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265.35000000000002</v>
      </c>
      <c r="S686">
        <v>0</v>
      </c>
      <c r="T686">
        <v>0</v>
      </c>
      <c r="U686">
        <v>280.95999999999998</v>
      </c>
      <c r="V686">
        <v>280.95999999999998</v>
      </c>
      <c r="W686">
        <v>284.08</v>
      </c>
      <c r="X686">
        <v>265.35000000000002</v>
      </c>
      <c r="Y686">
        <v>359</v>
      </c>
      <c r="Z686" t="s">
        <v>5922</v>
      </c>
    </row>
    <row r="687" spans="1:26" x14ac:dyDescent="0.2">
      <c r="A687" t="s">
        <v>1160</v>
      </c>
      <c r="B687" t="s">
        <v>1273</v>
      </c>
      <c r="C687" t="s">
        <v>1274</v>
      </c>
      <c r="D687" t="s">
        <v>98</v>
      </c>
      <c r="E687">
        <v>389</v>
      </c>
      <c r="F687" t="s">
        <v>5922</v>
      </c>
      <c r="G687">
        <v>529</v>
      </c>
      <c r="H687">
        <v>287.52</v>
      </c>
      <c r="I687">
        <v>338.26</v>
      </c>
      <c r="J687">
        <v>287.52</v>
      </c>
      <c r="K687">
        <v>287.52</v>
      </c>
      <c r="L687" t="s">
        <v>5922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287.52</v>
      </c>
      <c r="S687">
        <v>0</v>
      </c>
      <c r="T687">
        <v>0</v>
      </c>
      <c r="U687">
        <v>414</v>
      </c>
      <c r="V687">
        <v>414</v>
      </c>
      <c r="W687">
        <v>418.6</v>
      </c>
      <c r="X687">
        <v>391</v>
      </c>
      <c r="Y687">
        <v>529</v>
      </c>
      <c r="Z687" t="s">
        <v>5922</v>
      </c>
    </row>
    <row r="688" spans="1:26" x14ac:dyDescent="0.2">
      <c r="A688" t="s">
        <v>1160</v>
      </c>
      <c r="B688" t="s">
        <v>1275</v>
      </c>
      <c r="C688" t="s">
        <v>1276</v>
      </c>
      <c r="D688" t="s">
        <v>105</v>
      </c>
      <c r="E688">
        <v>499</v>
      </c>
      <c r="F688" t="s">
        <v>7062</v>
      </c>
      <c r="H688">
        <v>390.52</v>
      </c>
      <c r="L688" t="s">
        <v>5922</v>
      </c>
      <c r="Q688">
        <v>390.52</v>
      </c>
      <c r="R688">
        <v>390.52</v>
      </c>
      <c r="U688">
        <v>390.52</v>
      </c>
      <c r="V688">
        <v>390.52</v>
      </c>
      <c r="X688">
        <v>390.52</v>
      </c>
      <c r="Y688">
        <v>499</v>
      </c>
      <c r="Z688" t="s">
        <v>5922</v>
      </c>
    </row>
    <row r="689" spans="1:26" x14ac:dyDescent="0.2">
      <c r="A689" t="s">
        <v>1160</v>
      </c>
      <c r="B689" t="s">
        <v>1277</v>
      </c>
      <c r="C689" t="s">
        <v>1278</v>
      </c>
      <c r="D689" t="s">
        <v>105</v>
      </c>
      <c r="E689">
        <v>599</v>
      </c>
      <c r="F689" t="s">
        <v>6941</v>
      </c>
      <c r="H689">
        <v>468.78</v>
      </c>
      <c r="L689" t="s">
        <v>5922</v>
      </c>
      <c r="Q689">
        <v>468.78</v>
      </c>
      <c r="R689">
        <v>468.78</v>
      </c>
      <c r="U689">
        <v>468.78</v>
      </c>
      <c r="V689">
        <v>468.78</v>
      </c>
      <c r="X689">
        <v>468.78</v>
      </c>
      <c r="Y689">
        <v>599</v>
      </c>
      <c r="Z689" t="s">
        <v>5922</v>
      </c>
    </row>
    <row r="690" spans="1:26" x14ac:dyDescent="0.2">
      <c r="A690" t="s">
        <v>1160</v>
      </c>
      <c r="B690" t="s">
        <v>1279</v>
      </c>
      <c r="C690" t="s">
        <v>1280</v>
      </c>
      <c r="D690" t="s">
        <v>105</v>
      </c>
      <c r="E690">
        <v>699</v>
      </c>
      <c r="F690" t="s">
        <v>6951</v>
      </c>
      <c r="H690">
        <v>547.04</v>
      </c>
      <c r="L690" t="s">
        <v>5922</v>
      </c>
      <c r="Q690">
        <v>547.04</v>
      </c>
      <c r="R690">
        <v>547.04</v>
      </c>
      <c r="U690">
        <v>547.04</v>
      </c>
      <c r="V690">
        <v>547.04</v>
      </c>
      <c r="X690">
        <v>547.04</v>
      </c>
      <c r="Y690">
        <v>699</v>
      </c>
      <c r="Z690" t="s">
        <v>5922</v>
      </c>
    </row>
    <row r="691" spans="1:26" x14ac:dyDescent="0.2">
      <c r="A691" t="s">
        <v>1160</v>
      </c>
      <c r="B691" t="s">
        <v>1281</v>
      </c>
      <c r="C691" t="s">
        <v>1282</v>
      </c>
      <c r="D691" t="s">
        <v>98</v>
      </c>
      <c r="E691">
        <v>549</v>
      </c>
      <c r="F691" t="s">
        <v>5922</v>
      </c>
      <c r="H691">
        <v>395.66</v>
      </c>
      <c r="L691" t="s">
        <v>5922</v>
      </c>
      <c r="U691">
        <v>410.78</v>
      </c>
      <c r="W691">
        <v>439.2</v>
      </c>
      <c r="X691">
        <v>405.78</v>
      </c>
      <c r="Y691">
        <v>549</v>
      </c>
      <c r="Z691" t="s">
        <v>5922</v>
      </c>
    </row>
    <row r="692" spans="1:26" x14ac:dyDescent="0.2">
      <c r="A692" t="s">
        <v>1160</v>
      </c>
      <c r="B692" t="s">
        <v>1283</v>
      </c>
      <c r="C692" t="s">
        <v>1284</v>
      </c>
      <c r="D692" t="s">
        <v>98</v>
      </c>
      <c r="E692">
        <v>749</v>
      </c>
      <c r="F692" t="s">
        <v>5922</v>
      </c>
      <c r="G692">
        <v>749</v>
      </c>
      <c r="H692">
        <v>553.61</v>
      </c>
      <c r="I692">
        <v>520.87</v>
      </c>
      <c r="J692">
        <v>442.74</v>
      </c>
      <c r="K692">
        <v>416.7</v>
      </c>
      <c r="L692" t="s">
        <v>5922</v>
      </c>
      <c r="M692">
        <v>0</v>
      </c>
      <c r="N692">
        <v>0</v>
      </c>
      <c r="O692">
        <v>0</v>
      </c>
      <c r="P692">
        <v>0</v>
      </c>
      <c r="Q692">
        <v>553.61</v>
      </c>
      <c r="R692">
        <v>553.61</v>
      </c>
      <c r="S692">
        <v>0</v>
      </c>
      <c r="T692">
        <v>0</v>
      </c>
      <c r="U692">
        <v>534.07000000000005</v>
      </c>
      <c r="V692">
        <v>553.61</v>
      </c>
      <c r="W692">
        <v>592.69000000000005</v>
      </c>
      <c r="X692">
        <v>553.61</v>
      </c>
      <c r="Y692">
        <v>749</v>
      </c>
      <c r="Z692" t="s">
        <v>5922</v>
      </c>
    </row>
    <row r="693" spans="1:26" x14ac:dyDescent="0.2">
      <c r="A693" t="s">
        <v>1160</v>
      </c>
      <c r="B693" t="s">
        <v>1285</v>
      </c>
      <c r="C693" t="s">
        <v>1286</v>
      </c>
      <c r="D693" t="s">
        <v>105</v>
      </c>
      <c r="E693">
        <v>699</v>
      </c>
      <c r="F693" t="s">
        <v>6951</v>
      </c>
      <c r="H693">
        <v>516.65</v>
      </c>
      <c r="L693" t="s">
        <v>5922</v>
      </c>
      <c r="Q693">
        <v>516.65</v>
      </c>
      <c r="R693">
        <v>516.65</v>
      </c>
      <c r="U693">
        <v>522.73</v>
      </c>
      <c r="V693">
        <v>516.65</v>
      </c>
      <c r="X693">
        <v>516.65</v>
      </c>
      <c r="Y693">
        <v>699</v>
      </c>
      <c r="Z693" t="s">
        <v>5922</v>
      </c>
    </row>
    <row r="694" spans="1:26" x14ac:dyDescent="0.2">
      <c r="A694" t="s">
        <v>1160</v>
      </c>
      <c r="B694" t="s">
        <v>1287</v>
      </c>
      <c r="C694" t="s">
        <v>1288</v>
      </c>
      <c r="D694" t="s">
        <v>98</v>
      </c>
      <c r="E694">
        <v>899</v>
      </c>
      <c r="F694" t="s">
        <v>7046</v>
      </c>
      <c r="H694">
        <v>664.48</v>
      </c>
      <c r="L694" t="s">
        <v>5922</v>
      </c>
      <c r="Q694">
        <v>664.48</v>
      </c>
      <c r="R694">
        <v>664.48</v>
      </c>
      <c r="U694">
        <v>672.3</v>
      </c>
      <c r="V694">
        <v>664.48</v>
      </c>
      <c r="X694">
        <v>664.48</v>
      </c>
      <c r="Y694">
        <v>899</v>
      </c>
      <c r="Z694" t="s">
        <v>5922</v>
      </c>
    </row>
    <row r="695" spans="1:26" x14ac:dyDescent="0.2">
      <c r="A695" t="s">
        <v>1160</v>
      </c>
      <c r="B695" t="s">
        <v>1289</v>
      </c>
      <c r="C695" t="s">
        <v>1290</v>
      </c>
      <c r="D695" t="s">
        <v>105</v>
      </c>
      <c r="E695">
        <v>899</v>
      </c>
      <c r="F695" t="s">
        <v>7046</v>
      </c>
      <c r="H695">
        <v>664.48</v>
      </c>
      <c r="L695" t="s">
        <v>5922</v>
      </c>
      <c r="Q695">
        <v>664.48</v>
      </c>
      <c r="R695">
        <v>664.48</v>
      </c>
      <c r="U695">
        <v>672.3</v>
      </c>
      <c r="V695">
        <v>664.48</v>
      </c>
      <c r="X695">
        <v>664.48</v>
      </c>
      <c r="Y695">
        <v>899</v>
      </c>
      <c r="Z695" t="s">
        <v>5922</v>
      </c>
    </row>
    <row r="696" spans="1:26" x14ac:dyDescent="0.2">
      <c r="A696" t="s">
        <v>1160</v>
      </c>
      <c r="B696" t="s">
        <v>1291</v>
      </c>
      <c r="C696" t="s">
        <v>1292</v>
      </c>
      <c r="D696" t="s">
        <v>98</v>
      </c>
      <c r="E696">
        <v>949</v>
      </c>
      <c r="F696" t="s">
        <v>5922</v>
      </c>
      <c r="G696">
        <v>949</v>
      </c>
      <c r="H696">
        <v>553.61</v>
      </c>
      <c r="I696">
        <v>651.29999999999995</v>
      </c>
      <c r="J696">
        <v>553.61</v>
      </c>
      <c r="K696">
        <v>521.04</v>
      </c>
      <c r="L696" t="s">
        <v>5922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521.04</v>
      </c>
      <c r="S696">
        <v>0</v>
      </c>
      <c r="T696">
        <v>0</v>
      </c>
      <c r="U696">
        <v>676.68</v>
      </c>
      <c r="V696">
        <v>701.43</v>
      </c>
      <c r="W696">
        <v>750.95</v>
      </c>
      <c r="X696">
        <v>701.43</v>
      </c>
      <c r="Y696">
        <v>949</v>
      </c>
      <c r="Z696" t="s">
        <v>5922</v>
      </c>
    </row>
    <row r="697" spans="1:26" x14ac:dyDescent="0.2">
      <c r="A697" t="s">
        <v>1160</v>
      </c>
      <c r="B697" t="s">
        <v>1293</v>
      </c>
      <c r="C697" t="s">
        <v>1294</v>
      </c>
      <c r="D697" t="s">
        <v>105</v>
      </c>
      <c r="E697">
        <v>899</v>
      </c>
      <c r="F697" t="s">
        <v>7046</v>
      </c>
      <c r="H697">
        <v>664.48</v>
      </c>
      <c r="L697" t="s">
        <v>5922</v>
      </c>
      <c r="Q697">
        <v>664.48</v>
      </c>
      <c r="R697">
        <v>664.48</v>
      </c>
      <c r="U697">
        <v>672.3</v>
      </c>
      <c r="V697">
        <v>664.48</v>
      </c>
      <c r="X697">
        <v>664.48</v>
      </c>
      <c r="Y697">
        <v>899</v>
      </c>
      <c r="Z697" t="s">
        <v>5922</v>
      </c>
    </row>
    <row r="698" spans="1:26" x14ac:dyDescent="0.2">
      <c r="A698" t="s">
        <v>1160</v>
      </c>
      <c r="B698" t="s">
        <v>1295</v>
      </c>
      <c r="C698" t="s">
        <v>1296</v>
      </c>
      <c r="D698" t="s">
        <v>98</v>
      </c>
      <c r="E698">
        <v>1049</v>
      </c>
      <c r="F698" t="s">
        <v>7096</v>
      </c>
      <c r="H698">
        <v>775.35</v>
      </c>
      <c r="L698" t="s">
        <v>5922</v>
      </c>
      <c r="Q698">
        <v>775.35</v>
      </c>
      <c r="R698">
        <v>775.35</v>
      </c>
      <c r="U698">
        <v>784.47</v>
      </c>
      <c r="V698">
        <v>775.35</v>
      </c>
      <c r="X698">
        <v>775.35</v>
      </c>
      <c r="Y698">
        <v>1049</v>
      </c>
      <c r="Z698" t="s">
        <v>5922</v>
      </c>
    </row>
    <row r="699" spans="1:26" x14ac:dyDescent="0.2">
      <c r="A699" t="s">
        <v>1160</v>
      </c>
      <c r="B699" t="s">
        <v>1297</v>
      </c>
      <c r="C699" t="s">
        <v>1298</v>
      </c>
      <c r="D699" t="s">
        <v>105</v>
      </c>
      <c r="E699">
        <v>1049</v>
      </c>
      <c r="F699" t="s">
        <v>7096</v>
      </c>
      <c r="H699">
        <v>775.35</v>
      </c>
      <c r="L699" t="s">
        <v>5922</v>
      </c>
      <c r="Q699">
        <v>775.35</v>
      </c>
      <c r="R699">
        <v>775.35</v>
      </c>
      <c r="U699">
        <v>784.47</v>
      </c>
      <c r="V699">
        <v>775.35</v>
      </c>
      <c r="X699">
        <v>775.35</v>
      </c>
      <c r="Y699">
        <v>1049</v>
      </c>
      <c r="Z699" t="s">
        <v>5922</v>
      </c>
    </row>
    <row r="700" spans="1:26" x14ac:dyDescent="0.2">
      <c r="A700" t="s">
        <v>1160</v>
      </c>
      <c r="B700" t="s">
        <v>1299</v>
      </c>
      <c r="C700" t="s">
        <v>1300</v>
      </c>
      <c r="D700" t="s">
        <v>98</v>
      </c>
      <c r="E700">
        <v>1799</v>
      </c>
      <c r="F700" t="s">
        <v>5922</v>
      </c>
      <c r="G700">
        <v>1799</v>
      </c>
      <c r="H700">
        <v>1107.96</v>
      </c>
      <c r="I700">
        <v>1303.48</v>
      </c>
      <c r="J700">
        <v>1107.96</v>
      </c>
      <c r="L700" t="s">
        <v>5922</v>
      </c>
      <c r="R700">
        <v>1107.96</v>
      </c>
      <c r="U700">
        <v>1329.7</v>
      </c>
      <c r="V700">
        <v>1329.7</v>
      </c>
      <c r="W700">
        <v>1439.2</v>
      </c>
      <c r="X700">
        <v>1329.7</v>
      </c>
      <c r="Y700">
        <v>1799</v>
      </c>
      <c r="Z700" t="s">
        <v>5922</v>
      </c>
    </row>
    <row r="701" spans="1:26" x14ac:dyDescent="0.2">
      <c r="A701" t="s">
        <v>1160</v>
      </c>
      <c r="B701" t="s">
        <v>1301</v>
      </c>
      <c r="C701" t="s">
        <v>1302</v>
      </c>
      <c r="D701" t="s">
        <v>98</v>
      </c>
      <c r="E701">
        <v>1599</v>
      </c>
      <c r="F701" t="s">
        <v>5922</v>
      </c>
      <c r="G701">
        <v>1599</v>
      </c>
      <c r="H701">
        <v>997.09</v>
      </c>
      <c r="I701">
        <v>1173.04</v>
      </c>
      <c r="J701">
        <v>997.09</v>
      </c>
      <c r="L701" t="s">
        <v>5922</v>
      </c>
      <c r="R701">
        <v>997.09</v>
      </c>
      <c r="U701">
        <v>1181.8699999999999</v>
      </c>
      <c r="V701">
        <v>1181.8699999999999</v>
      </c>
      <c r="W701">
        <v>1279.2</v>
      </c>
      <c r="X701">
        <v>1181.8699999999999</v>
      </c>
      <c r="Y701">
        <v>1599</v>
      </c>
      <c r="Z701" t="s">
        <v>5922</v>
      </c>
    </row>
    <row r="702" spans="1:26" x14ac:dyDescent="0.2">
      <c r="A702" t="s">
        <v>1160</v>
      </c>
      <c r="B702" t="s">
        <v>1303</v>
      </c>
      <c r="C702" t="s">
        <v>1304</v>
      </c>
      <c r="D702" t="s">
        <v>98</v>
      </c>
      <c r="E702">
        <v>2229</v>
      </c>
      <c r="F702" t="s">
        <v>7097</v>
      </c>
      <c r="H702">
        <v>1647.52</v>
      </c>
      <c r="L702" t="s">
        <v>5922</v>
      </c>
      <c r="Q702">
        <v>1647.52</v>
      </c>
      <c r="R702">
        <v>1647.52</v>
      </c>
      <c r="U702">
        <v>1666.9</v>
      </c>
      <c r="V702">
        <v>1647.52</v>
      </c>
      <c r="X702">
        <v>1647.52</v>
      </c>
      <c r="Y702">
        <v>2229</v>
      </c>
      <c r="Z702" t="s">
        <v>5922</v>
      </c>
    </row>
    <row r="703" spans="1:26" x14ac:dyDescent="0.2">
      <c r="A703" t="s">
        <v>1160</v>
      </c>
      <c r="B703" t="s">
        <v>1305</v>
      </c>
      <c r="C703" t="s">
        <v>1306</v>
      </c>
      <c r="D703" t="s">
        <v>105</v>
      </c>
      <c r="E703">
        <v>1849</v>
      </c>
      <c r="F703" t="s">
        <v>7098</v>
      </c>
      <c r="H703">
        <v>1366.65</v>
      </c>
      <c r="L703" t="s">
        <v>5922</v>
      </c>
      <c r="Q703">
        <v>1366.65</v>
      </c>
      <c r="R703">
        <v>1366.65</v>
      </c>
      <c r="U703">
        <v>1382.73</v>
      </c>
      <c r="V703">
        <v>1366.65</v>
      </c>
      <c r="X703">
        <v>1366.65</v>
      </c>
      <c r="Y703">
        <v>1849</v>
      </c>
      <c r="Z703" t="s">
        <v>5922</v>
      </c>
    </row>
    <row r="704" spans="1:26" x14ac:dyDescent="0.2">
      <c r="A704" t="s">
        <v>1160</v>
      </c>
      <c r="B704" t="s">
        <v>1307</v>
      </c>
      <c r="C704" t="s">
        <v>1308</v>
      </c>
      <c r="D704" t="s">
        <v>98</v>
      </c>
      <c r="E704">
        <v>2199</v>
      </c>
      <c r="F704" t="s">
        <v>5922</v>
      </c>
      <c r="G704">
        <v>1598</v>
      </c>
      <c r="H704">
        <v>1625.35</v>
      </c>
      <c r="I704">
        <v>1433.91</v>
      </c>
      <c r="J704">
        <v>1218.83</v>
      </c>
      <c r="L704" t="s">
        <v>5922</v>
      </c>
      <c r="Q704">
        <v>1625.35</v>
      </c>
      <c r="R704">
        <v>1625.35</v>
      </c>
      <c r="U704">
        <v>1644.47</v>
      </c>
      <c r="V704">
        <v>1625.35</v>
      </c>
      <c r="W704">
        <v>1759.2</v>
      </c>
      <c r="X704">
        <v>1625.35</v>
      </c>
      <c r="Y704">
        <v>2199</v>
      </c>
      <c r="Z704" t="s">
        <v>5922</v>
      </c>
    </row>
    <row r="705" spans="1:26" x14ac:dyDescent="0.2">
      <c r="A705" t="s">
        <v>1160</v>
      </c>
      <c r="B705" t="s">
        <v>1309</v>
      </c>
      <c r="C705" t="s">
        <v>1310</v>
      </c>
      <c r="D705" t="s">
        <v>98</v>
      </c>
      <c r="E705">
        <v>1999</v>
      </c>
      <c r="F705" t="s">
        <v>5922</v>
      </c>
      <c r="G705">
        <v>1999</v>
      </c>
      <c r="H705">
        <v>1477.52</v>
      </c>
      <c r="I705">
        <v>1390.43</v>
      </c>
      <c r="J705">
        <v>1181.8699999999999</v>
      </c>
      <c r="L705" t="s">
        <v>5922</v>
      </c>
      <c r="Q705">
        <v>1477.52</v>
      </c>
      <c r="R705">
        <v>1477.52</v>
      </c>
      <c r="U705">
        <v>1494.9</v>
      </c>
      <c r="V705">
        <v>1477.52</v>
      </c>
      <c r="W705">
        <v>1599.2</v>
      </c>
      <c r="X705">
        <v>1477.52</v>
      </c>
      <c r="Y705">
        <v>1999</v>
      </c>
      <c r="Z705" t="s">
        <v>5922</v>
      </c>
    </row>
    <row r="706" spans="1:26" x14ac:dyDescent="0.2">
      <c r="A706" t="s">
        <v>1160</v>
      </c>
      <c r="B706" t="s">
        <v>1311</v>
      </c>
      <c r="C706" t="s">
        <v>1312</v>
      </c>
      <c r="D706" t="s">
        <v>98</v>
      </c>
      <c r="E706">
        <v>1999</v>
      </c>
      <c r="F706" t="s">
        <v>5922</v>
      </c>
      <c r="G706">
        <v>1999</v>
      </c>
      <c r="H706">
        <v>1477.52</v>
      </c>
      <c r="I706">
        <v>1390.43</v>
      </c>
      <c r="J706">
        <v>1181.8699999999999</v>
      </c>
      <c r="L706" t="s">
        <v>5922</v>
      </c>
      <c r="Q706">
        <v>1477.52</v>
      </c>
      <c r="R706">
        <v>1477.52</v>
      </c>
      <c r="U706">
        <v>1494.9</v>
      </c>
      <c r="V706">
        <v>1477.52</v>
      </c>
      <c r="W706">
        <v>1599.2</v>
      </c>
      <c r="X706">
        <v>1477.52</v>
      </c>
      <c r="Y706">
        <v>1999</v>
      </c>
      <c r="Z706" t="s">
        <v>5922</v>
      </c>
    </row>
    <row r="707" spans="1:26" x14ac:dyDescent="0.2">
      <c r="A707" t="s">
        <v>1160</v>
      </c>
      <c r="B707" t="s">
        <v>1313</v>
      </c>
      <c r="C707" t="s">
        <v>1314</v>
      </c>
      <c r="D707" t="s">
        <v>98</v>
      </c>
      <c r="E707">
        <v>1799</v>
      </c>
      <c r="F707" t="s">
        <v>5922</v>
      </c>
      <c r="G707">
        <v>1023</v>
      </c>
      <c r="H707">
        <v>1329.7</v>
      </c>
      <c r="I707">
        <v>1303.48</v>
      </c>
      <c r="J707">
        <v>1107.96</v>
      </c>
      <c r="L707" t="s">
        <v>5922</v>
      </c>
      <c r="Q707">
        <v>1329.7</v>
      </c>
      <c r="R707">
        <v>1329.7</v>
      </c>
      <c r="U707">
        <v>1345.34</v>
      </c>
      <c r="V707">
        <v>1329.7</v>
      </c>
      <c r="W707">
        <v>1439.2</v>
      </c>
      <c r="X707">
        <v>1329.7</v>
      </c>
      <c r="Y707">
        <v>1799</v>
      </c>
      <c r="Z707" t="s">
        <v>5922</v>
      </c>
    </row>
    <row r="708" spans="1:26" x14ac:dyDescent="0.2">
      <c r="A708" t="s">
        <v>1160</v>
      </c>
      <c r="B708" t="s">
        <v>1315</v>
      </c>
      <c r="C708" t="s">
        <v>1316</v>
      </c>
      <c r="D708" t="s">
        <v>105</v>
      </c>
      <c r="E708">
        <v>1799</v>
      </c>
      <c r="F708" t="s">
        <v>7099</v>
      </c>
      <c r="H708">
        <v>1329.7</v>
      </c>
      <c r="L708" t="s">
        <v>5922</v>
      </c>
      <c r="Q708">
        <v>1329.7</v>
      </c>
      <c r="R708">
        <v>1329.7</v>
      </c>
      <c r="U708">
        <v>1345.34</v>
      </c>
      <c r="V708">
        <v>1329.7</v>
      </c>
      <c r="X708">
        <v>1329.7</v>
      </c>
      <c r="Y708">
        <v>1799</v>
      </c>
      <c r="Z708" t="s">
        <v>5922</v>
      </c>
    </row>
    <row r="709" spans="1:26" x14ac:dyDescent="0.2">
      <c r="A709" t="s">
        <v>1160</v>
      </c>
      <c r="B709" t="s">
        <v>1317</v>
      </c>
      <c r="C709" t="s">
        <v>1318</v>
      </c>
      <c r="D709" t="s">
        <v>105</v>
      </c>
      <c r="E709">
        <v>1999</v>
      </c>
      <c r="F709" t="s">
        <v>7095</v>
      </c>
      <c r="H709">
        <v>1477.52</v>
      </c>
      <c r="L709" t="s">
        <v>5922</v>
      </c>
      <c r="Q709">
        <v>1477.52</v>
      </c>
      <c r="R709">
        <v>1477.52</v>
      </c>
      <c r="U709">
        <v>1494.9</v>
      </c>
      <c r="V709">
        <v>1477.52</v>
      </c>
      <c r="X709">
        <v>1477.52</v>
      </c>
      <c r="Y709">
        <v>1999</v>
      </c>
      <c r="Z709" t="s">
        <v>5922</v>
      </c>
    </row>
    <row r="710" spans="1:26" x14ac:dyDescent="0.2">
      <c r="A710" t="s">
        <v>1160</v>
      </c>
      <c r="B710" t="s">
        <v>1319</v>
      </c>
      <c r="C710" t="s">
        <v>1320</v>
      </c>
      <c r="D710" t="s">
        <v>98</v>
      </c>
      <c r="E710">
        <v>1999</v>
      </c>
      <c r="F710" t="s">
        <v>7095</v>
      </c>
      <c r="H710">
        <v>1477.52</v>
      </c>
      <c r="L710" t="s">
        <v>5922</v>
      </c>
      <c r="Q710">
        <v>1477.52</v>
      </c>
      <c r="R710">
        <v>1477.52</v>
      </c>
      <c r="U710">
        <v>1494.9</v>
      </c>
      <c r="V710">
        <v>1477.52</v>
      </c>
      <c r="X710">
        <v>1477.52</v>
      </c>
      <c r="Y710">
        <v>1999</v>
      </c>
      <c r="Z710" t="s">
        <v>5922</v>
      </c>
    </row>
    <row r="711" spans="1:26" x14ac:dyDescent="0.2">
      <c r="A711" t="s">
        <v>1160</v>
      </c>
      <c r="B711" t="s">
        <v>1321</v>
      </c>
      <c r="C711" t="s">
        <v>1322</v>
      </c>
      <c r="D711" t="s">
        <v>105</v>
      </c>
      <c r="E711">
        <v>2399</v>
      </c>
      <c r="F711" t="s">
        <v>7100</v>
      </c>
      <c r="H711">
        <v>1773.17</v>
      </c>
      <c r="L711" t="s">
        <v>5922</v>
      </c>
      <c r="Q711">
        <v>1773.17</v>
      </c>
      <c r="R711">
        <v>1773.17</v>
      </c>
      <c r="U711">
        <v>1794.03</v>
      </c>
      <c r="V711">
        <v>1773.17</v>
      </c>
      <c r="X711">
        <v>1773.17</v>
      </c>
      <c r="Y711">
        <v>2399</v>
      </c>
      <c r="Z711" t="s">
        <v>5922</v>
      </c>
    </row>
    <row r="712" spans="1:26" x14ac:dyDescent="0.2">
      <c r="A712" t="s">
        <v>1160</v>
      </c>
      <c r="B712" t="s">
        <v>1323</v>
      </c>
      <c r="C712" t="s">
        <v>1324</v>
      </c>
      <c r="D712" t="s">
        <v>105</v>
      </c>
      <c r="E712">
        <v>1799</v>
      </c>
      <c r="F712" t="s">
        <v>7099</v>
      </c>
      <c r="H712">
        <v>1329.7</v>
      </c>
      <c r="L712" t="s">
        <v>5922</v>
      </c>
      <c r="Q712">
        <v>1329.7</v>
      </c>
      <c r="R712">
        <v>1329.7</v>
      </c>
      <c r="U712">
        <v>1345.34</v>
      </c>
      <c r="V712">
        <v>1329.7</v>
      </c>
      <c r="X712">
        <v>1329.7</v>
      </c>
      <c r="Y712">
        <v>1799</v>
      </c>
      <c r="Z712" t="s">
        <v>5922</v>
      </c>
    </row>
    <row r="713" spans="1:26" x14ac:dyDescent="0.2">
      <c r="A713" t="s">
        <v>1160</v>
      </c>
      <c r="B713" t="s">
        <v>1325</v>
      </c>
      <c r="C713" t="s">
        <v>1326</v>
      </c>
      <c r="D713" t="s">
        <v>105</v>
      </c>
      <c r="E713">
        <v>1999</v>
      </c>
      <c r="F713" t="s">
        <v>7095</v>
      </c>
      <c r="L713" t="s">
        <v>5922</v>
      </c>
      <c r="Q713">
        <v>1477.52</v>
      </c>
      <c r="R713">
        <v>1477.52</v>
      </c>
      <c r="U713">
        <v>1494.9</v>
      </c>
      <c r="V713">
        <v>1477.52</v>
      </c>
      <c r="X713">
        <v>1477.52</v>
      </c>
      <c r="Y713">
        <v>1999</v>
      </c>
      <c r="Z713" t="s">
        <v>5922</v>
      </c>
    </row>
    <row r="714" spans="1:26" x14ac:dyDescent="0.2">
      <c r="A714" t="s">
        <v>1160</v>
      </c>
      <c r="B714" t="s">
        <v>1327</v>
      </c>
      <c r="C714" t="s">
        <v>1328</v>
      </c>
      <c r="D714" t="s">
        <v>98</v>
      </c>
      <c r="E714">
        <v>2399</v>
      </c>
      <c r="F714" t="s">
        <v>7100</v>
      </c>
      <c r="H714">
        <v>1773.17</v>
      </c>
      <c r="L714" t="s">
        <v>5922</v>
      </c>
      <c r="Q714">
        <v>1773.17</v>
      </c>
      <c r="R714">
        <v>1773.17</v>
      </c>
      <c r="U714">
        <v>1794.03</v>
      </c>
      <c r="V714">
        <v>1773.17</v>
      </c>
      <c r="X714">
        <v>1773.17</v>
      </c>
      <c r="Y714">
        <v>2399</v>
      </c>
      <c r="Z714" t="s">
        <v>5922</v>
      </c>
    </row>
    <row r="715" spans="1:26" x14ac:dyDescent="0.2">
      <c r="A715" t="s">
        <v>1160</v>
      </c>
      <c r="B715" t="s">
        <v>1329</v>
      </c>
      <c r="C715" t="s">
        <v>1330</v>
      </c>
      <c r="D715" t="s">
        <v>105</v>
      </c>
      <c r="E715">
        <v>1999</v>
      </c>
      <c r="F715" t="s">
        <v>7095</v>
      </c>
      <c r="H715">
        <v>1477.52</v>
      </c>
      <c r="L715" t="s">
        <v>5922</v>
      </c>
      <c r="Q715">
        <v>1477.52</v>
      </c>
      <c r="R715">
        <v>1477.52</v>
      </c>
      <c r="U715">
        <v>1494.9</v>
      </c>
      <c r="V715">
        <v>1477.52</v>
      </c>
      <c r="X715">
        <v>1477.52</v>
      </c>
      <c r="Y715">
        <v>1999</v>
      </c>
      <c r="Z715" t="s">
        <v>5922</v>
      </c>
    </row>
    <row r="716" spans="1:26" x14ac:dyDescent="0.2">
      <c r="A716" t="s">
        <v>1160</v>
      </c>
      <c r="B716" t="s">
        <v>1331</v>
      </c>
      <c r="C716" t="s">
        <v>1332</v>
      </c>
      <c r="D716" t="s">
        <v>105</v>
      </c>
      <c r="E716">
        <v>1999</v>
      </c>
      <c r="F716" t="s">
        <v>7095</v>
      </c>
      <c r="H716">
        <v>1477.52</v>
      </c>
      <c r="L716" t="s">
        <v>5922</v>
      </c>
      <c r="Q716">
        <v>1477.52</v>
      </c>
      <c r="R716">
        <v>1477.52</v>
      </c>
      <c r="U716">
        <v>1494.9</v>
      </c>
      <c r="V716">
        <v>1477.52</v>
      </c>
      <c r="X716">
        <v>1477.52</v>
      </c>
      <c r="Y716">
        <v>1999</v>
      </c>
      <c r="Z716" t="s">
        <v>5922</v>
      </c>
    </row>
    <row r="717" spans="1:26" x14ac:dyDescent="0.2">
      <c r="A717" t="s">
        <v>1160</v>
      </c>
      <c r="B717" t="s">
        <v>1333</v>
      </c>
      <c r="C717" t="s">
        <v>1334</v>
      </c>
      <c r="D717" t="s">
        <v>105</v>
      </c>
      <c r="E717">
        <v>2199</v>
      </c>
      <c r="F717" t="s">
        <v>7101</v>
      </c>
      <c r="H717">
        <v>1625.35</v>
      </c>
      <c r="L717" t="s">
        <v>5922</v>
      </c>
      <c r="Q717">
        <v>1625.35</v>
      </c>
      <c r="R717">
        <v>1625.35</v>
      </c>
      <c r="U717">
        <v>1644.47</v>
      </c>
      <c r="V717">
        <v>1625.35</v>
      </c>
      <c r="X717">
        <v>1625.35</v>
      </c>
      <c r="Y717">
        <v>2199</v>
      </c>
      <c r="Z717" t="s">
        <v>5922</v>
      </c>
    </row>
    <row r="718" spans="1:26" x14ac:dyDescent="0.2">
      <c r="A718" t="s">
        <v>1160</v>
      </c>
      <c r="B718" t="s">
        <v>1335</v>
      </c>
      <c r="C718" t="s">
        <v>1336</v>
      </c>
      <c r="D718" t="s">
        <v>105</v>
      </c>
      <c r="E718">
        <v>2599</v>
      </c>
      <c r="F718" t="s">
        <v>6900</v>
      </c>
      <c r="H718">
        <v>1921</v>
      </c>
      <c r="L718" t="s">
        <v>5922</v>
      </c>
      <c r="Q718">
        <v>1921</v>
      </c>
      <c r="R718">
        <v>1921</v>
      </c>
      <c r="U718">
        <v>1943.6</v>
      </c>
      <c r="V718">
        <v>1921</v>
      </c>
      <c r="X718">
        <v>1921</v>
      </c>
      <c r="Y718">
        <v>2599</v>
      </c>
      <c r="Z718" t="s">
        <v>5922</v>
      </c>
    </row>
    <row r="719" spans="1:26" x14ac:dyDescent="0.2">
      <c r="A719" t="s">
        <v>1160</v>
      </c>
      <c r="B719" t="s">
        <v>1337</v>
      </c>
      <c r="C719" t="s">
        <v>1338</v>
      </c>
      <c r="D719" t="s">
        <v>105</v>
      </c>
      <c r="E719">
        <v>2199</v>
      </c>
      <c r="F719" t="s">
        <v>7101</v>
      </c>
      <c r="H719">
        <v>1625.35</v>
      </c>
      <c r="L719" t="s">
        <v>5922</v>
      </c>
      <c r="Q719">
        <v>1625.35</v>
      </c>
      <c r="R719">
        <v>1625.35</v>
      </c>
      <c r="U719">
        <v>1644.47</v>
      </c>
      <c r="V719">
        <v>1625.35</v>
      </c>
      <c r="X719">
        <v>1625.35</v>
      </c>
      <c r="Y719">
        <v>2199</v>
      </c>
      <c r="Z719" t="s">
        <v>5922</v>
      </c>
    </row>
    <row r="720" spans="1:26" x14ac:dyDescent="0.2">
      <c r="A720" t="s">
        <v>1160</v>
      </c>
      <c r="B720" t="s">
        <v>1339</v>
      </c>
      <c r="C720" t="s">
        <v>1340</v>
      </c>
      <c r="D720" t="s">
        <v>105</v>
      </c>
      <c r="E720">
        <v>519</v>
      </c>
      <c r="F720" t="s">
        <v>7102</v>
      </c>
      <c r="L720" t="s">
        <v>5922</v>
      </c>
      <c r="Q720">
        <v>0</v>
      </c>
      <c r="V720">
        <v>429.65</v>
      </c>
      <c r="Z720" t="s">
        <v>5922</v>
      </c>
    </row>
    <row r="721" spans="1:26" x14ac:dyDescent="0.2">
      <c r="A721" t="s">
        <v>1160</v>
      </c>
      <c r="B721" t="s">
        <v>1341</v>
      </c>
      <c r="C721" t="s">
        <v>1342</v>
      </c>
      <c r="D721" t="s">
        <v>105</v>
      </c>
      <c r="E721">
        <v>279</v>
      </c>
      <c r="F721" t="s">
        <v>7064</v>
      </c>
      <c r="H721">
        <v>206.22</v>
      </c>
      <c r="L721" t="s">
        <v>5922</v>
      </c>
      <c r="Q721">
        <v>206.22</v>
      </c>
      <c r="R721">
        <v>206.22</v>
      </c>
      <c r="U721">
        <v>208.64</v>
      </c>
      <c r="V721">
        <v>206.22</v>
      </c>
      <c r="X721">
        <v>206.22</v>
      </c>
      <c r="Y721">
        <v>279</v>
      </c>
      <c r="Z721" t="s">
        <v>5922</v>
      </c>
    </row>
    <row r="722" spans="1:26" x14ac:dyDescent="0.2">
      <c r="A722" t="s">
        <v>1160</v>
      </c>
      <c r="B722" t="s">
        <v>1343</v>
      </c>
      <c r="C722" t="s">
        <v>1344</v>
      </c>
      <c r="D722" t="s">
        <v>105</v>
      </c>
      <c r="E722">
        <v>499</v>
      </c>
      <c r="F722" t="s">
        <v>7062</v>
      </c>
      <c r="H722">
        <v>368.83</v>
      </c>
      <c r="L722" t="s">
        <v>5922</v>
      </c>
      <c r="Q722">
        <v>368.83</v>
      </c>
      <c r="R722">
        <v>368.83</v>
      </c>
      <c r="U722">
        <v>373.17</v>
      </c>
      <c r="V722">
        <v>368.83</v>
      </c>
      <c r="X722">
        <v>368.83</v>
      </c>
      <c r="Y722">
        <v>499</v>
      </c>
      <c r="Z722" t="s">
        <v>5922</v>
      </c>
    </row>
    <row r="723" spans="1:26" x14ac:dyDescent="0.2">
      <c r="A723" t="s">
        <v>1160</v>
      </c>
      <c r="B723" t="s">
        <v>1345</v>
      </c>
      <c r="C723" t="s">
        <v>1346</v>
      </c>
      <c r="D723" t="s">
        <v>105</v>
      </c>
      <c r="E723">
        <v>849</v>
      </c>
      <c r="F723" t="s">
        <v>7093</v>
      </c>
      <c r="H723">
        <v>627.52</v>
      </c>
      <c r="L723" t="s">
        <v>5922</v>
      </c>
      <c r="U723">
        <v>634.9</v>
      </c>
      <c r="V723">
        <v>627.52</v>
      </c>
      <c r="X723">
        <v>627.52</v>
      </c>
      <c r="Y723">
        <v>849</v>
      </c>
      <c r="Z723" t="s">
        <v>5922</v>
      </c>
    </row>
    <row r="724" spans="1:26" x14ac:dyDescent="0.2">
      <c r="A724" t="s">
        <v>1160</v>
      </c>
      <c r="B724" t="s">
        <v>1347</v>
      </c>
      <c r="C724" t="s">
        <v>1348</v>
      </c>
      <c r="D724" t="s">
        <v>98</v>
      </c>
      <c r="E724">
        <v>899</v>
      </c>
      <c r="F724" t="s">
        <v>5922</v>
      </c>
      <c r="G724">
        <v>781.74</v>
      </c>
      <c r="H724">
        <v>664.48</v>
      </c>
      <c r="I724">
        <v>781.74</v>
      </c>
      <c r="J724">
        <v>664.48</v>
      </c>
      <c r="K724">
        <v>625.39</v>
      </c>
      <c r="L724" t="s">
        <v>5922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625.39</v>
      </c>
      <c r="S724">
        <v>0</v>
      </c>
      <c r="T724">
        <v>0</v>
      </c>
      <c r="U724">
        <v>646.03</v>
      </c>
      <c r="V724">
        <v>641.03</v>
      </c>
      <c r="W724">
        <v>711.38</v>
      </c>
      <c r="X724">
        <v>641.03</v>
      </c>
      <c r="Y724">
        <v>899</v>
      </c>
      <c r="Z724" t="s">
        <v>5922</v>
      </c>
    </row>
    <row r="725" spans="1:26" x14ac:dyDescent="0.2">
      <c r="A725" t="s">
        <v>1160</v>
      </c>
      <c r="B725" t="s">
        <v>1349</v>
      </c>
      <c r="C725" t="s">
        <v>1350</v>
      </c>
      <c r="D725" t="s">
        <v>98</v>
      </c>
      <c r="E725">
        <v>1629</v>
      </c>
      <c r="F725" t="s">
        <v>5922</v>
      </c>
      <c r="G725">
        <v>1416.52</v>
      </c>
      <c r="H725">
        <v>1204.04</v>
      </c>
      <c r="I725">
        <v>1416.52</v>
      </c>
      <c r="J725">
        <v>1204.04</v>
      </c>
      <c r="K725">
        <v>1133.22</v>
      </c>
      <c r="L725" t="s">
        <v>5922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1133.22</v>
      </c>
      <c r="S725">
        <v>0</v>
      </c>
      <c r="T725">
        <v>0</v>
      </c>
      <c r="U725">
        <v>1166.55</v>
      </c>
      <c r="V725">
        <v>1161.55</v>
      </c>
      <c r="W725">
        <v>1289.03</v>
      </c>
      <c r="X725">
        <v>1161.55</v>
      </c>
      <c r="Y725">
        <v>1629</v>
      </c>
      <c r="Z725" t="s">
        <v>5922</v>
      </c>
    </row>
    <row r="726" spans="1:26" x14ac:dyDescent="0.2">
      <c r="A726" t="s">
        <v>1160</v>
      </c>
      <c r="B726" t="s">
        <v>1351</v>
      </c>
      <c r="C726" t="s">
        <v>1352</v>
      </c>
      <c r="D726" t="s">
        <v>98</v>
      </c>
      <c r="E726">
        <v>1279</v>
      </c>
      <c r="F726" t="s">
        <v>5922</v>
      </c>
      <c r="G726">
        <v>1112.17</v>
      </c>
      <c r="H726">
        <v>945.35</v>
      </c>
      <c r="I726">
        <v>1112.17</v>
      </c>
      <c r="J726">
        <v>945.35</v>
      </c>
      <c r="K726">
        <v>889.74</v>
      </c>
      <c r="L726" t="s">
        <v>5922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889.74</v>
      </c>
      <c r="S726">
        <v>0</v>
      </c>
      <c r="T726">
        <v>0</v>
      </c>
      <c r="U726">
        <v>926.24</v>
      </c>
      <c r="V726">
        <v>926.24</v>
      </c>
      <c r="W726">
        <v>1027.9000000000001</v>
      </c>
      <c r="X726">
        <v>926.24</v>
      </c>
      <c r="Y726">
        <v>1299</v>
      </c>
      <c r="Z726" t="s">
        <v>5922</v>
      </c>
    </row>
    <row r="727" spans="1:26" x14ac:dyDescent="0.2">
      <c r="A727" t="s">
        <v>1160</v>
      </c>
      <c r="B727" t="s">
        <v>1353</v>
      </c>
      <c r="C727" t="s">
        <v>1354</v>
      </c>
      <c r="D727" t="s">
        <v>98</v>
      </c>
      <c r="E727">
        <v>1829</v>
      </c>
      <c r="F727" t="s">
        <v>5922</v>
      </c>
      <c r="G727">
        <v>1399</v>
      </c>
      <c r="H727">
        <v>1551.43</v>
      </c>
      <c r="I727">
        <v>1590.43</v>
      </c>
      <c r="J727">
        <v>1351.87</v>
      </c>
      <c r="K727">
        <v>1272.3499999999999</v>
      </c>
      <c r="L727" t="s">
        <v>5922</v>
      </c>
      <c r="M727">
        <v>0</v>
      </c>
      <c r="N727">
        <v>0</v>
      </c>
      <c r="O727">
        <v>0</v>
      </c>
      <c r="P727">
        <v>0</v>
      </c>
      <c r="Q727">
        <v>1551.43</v>
      </c>
      <c r="R727">
        <v>1551.43</v>
      </c>
      <c r="S727">
        <v>0</v>
      </c>
      <c r="T727">
        <v>0</v>
      </c>
      <c r="U727">
        <v>1304.1600000000001</v>
      </c>
      <c r="V727">
        <v>1304.1600000000001</v>
      </c>
      <c r="W727">
        <v>1447.3</v>
      </c>
      <c r="X727">
        <v>1304.1600000000001</v>
      </c>
      <c r="Y727">
        <v>2099</v>
      </c>
      <c r="Z727" t="s">
        <v>5922</v>
      </c>
    </row>
    <row r="728" spans="1:26" x14ac:dyDescent="0.2">
      <c r="A728" t="s">
        <v>1160</v>
      </c>
      <c r="B728" t="s">
        <v>1355</v>
      </c>
      <c r="C728" t="s">
        <v>1356</v>
      </c>
      <c r="D728" t="s">
        <v>98</v>
      </c>
      <c r="E728">
        <v>2099</v>
      </c>
      <c r="F728" t="s">
        <v>5922</v>
      </c>
      <c r="H728">
        <v>1551.43</v>
      </c>
      <c r="I728">
        <v>1416.52</v>
      </c>
      <c r="J728">
        <v>1204.04</v>
      </c>
      <c r="K728">
        <v>1133.22</v>
      </c>
      <c r="L728" t="s">
        <v>5922</v>
      </c>
      <c r="M728">
        <v>0</v>
      </c>
      <c r="N728">
        <v>0</v>
      </c>
      <c r="O728">
        <v>0</v>
      </c>
      <c r="P728">
        <v>0</v>
      </c>
      <c r="Q728">
        <v>1551.43</v>
      </c>
      <c r="R728">
        <v>1551.43</v>
      </c>
      <c r="S728">
        <v>0</v>
      </c>
      <c r="T728">
        <v>0</v>
      </c>
      <c r="U728">
        <v>1161.55</v>
      </c>
      <c r="V728">
        <v>1161.55</v>
      </c>
      <c r="W728">
        <v>1289.03</v>
      </c>
      <c r="X728">
        <v>1161.55</v>
      </c>
      <c r="Y728">
        <v>2099</v>
      </c>
      <c r="Z728" t="s">
        <v>5922</v>
      </c>
    </row>
    <row r="729" spans="1:26" x14ac:dyDescent="0.2">
      <c r="A729" t="s">
        <v>1160</v>
      </c>
      <c r="B729" t="s">
        <v>1357</v>
      </c>
      <c r="C729" t="s">
        <v>1358</v>
      </c>
      <c r="D729" t="s">
        <v>98</v>
      </c>
      <c r="E729">
        <v>2099</v>
      </c>
      <c r="F729" t="s">
        <v>5922</v>
      </c>
      <c r="H729">
        <v>1551.43</v>
      </c>
      <c r="I729">
        <v>1825.22</v>
      </c>
      <c r="J729">
        <v>1551.43</v>
      </c>
      <c r="K729">
        <v>1460.17</v>
      </c>
      <c r="L729" t="s">
        <v>5922</v>
      </c>
      <c r="M729">
        <v>0</v>
      </c>
      <c r="N729">
        <v>0</v>
      </c>
      <c r="O729">
        <v>0</v>
      </c>
      <c r="P729">
        <v>0</v>
      </c>
      <c r="Q729">
        <v>1551.43</v>
      </c>
      <c r="R729">
        <v>1551.43</v>
      </c>
      <c r="S729">
        <v>0</v>
      </c>
      <c r="T729">
        <v>0</v>
      </c>
      <c r="U729">
        <v>1496.68</v>
      </c>
      <c r="V729">
        <v>1496.68</v>
      </c>
      <c r="W729">
        <v>1660.95</v>
      </c>
      <c r="X729">
        <v>1496.68</v>
      </c>
      <c r="Y729">
        <v>2099</v>
      </c>
      <c r="Z729" t="s">
        <v>5922</v>
      </c>
    </row>
    <row r="730" spans="1:26" x14ac:dyDescent="0.2">
      <c r="A730" t="s">
        <v>1160</v>
      </c>
      <c r="B730" t="s">
        <v>1359</v>
      </c>
      <c r="C730" t="s">
        <v>1360</v>
      </c>
      <c r="D730" t="s">
        <v>98</v>
      </c>
      <c r="E730">
        <v>1499</v>
      </c>
      <c r="F730" t="s">
        <v>5922</v>
      </c>
      <c r="G730">
        <v>1303.48</v>
      </c>
      <c r="H730">
        <v>1107.96</v>
      </c>
      <c r="I730">
        <v>1303.48</v>
      </c>
      <c r="J730">
        <v>1107.96</v>
      </c>
      <c r="K730">
        <v>1042.78</v>
      </c>
      <c r="L730" t="s">
        <v>5922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1042.78</v>
      </c>
      <c r="S730">
        <v>0</v>
      </c>
      <c r="T730">
        <v>0</v>
      </c>
      <c r="U730">
        <v>1282.77</v>
      </c>
      <c r="V730">
        <v>1282.77</v>
      </c>
      <c r="W730">
        <v>1423.56</v>
      </c>
      <c r="X730">
        <v>1282.77</v>
      </c>
      <c r="Y730">
        <v>1799</v>
      </c>
      <c r="Z730" t="s">
        <v>5922</v>
      </c>
    </row>
    <row r="731" spans="1:26" x14ac:dyDescent="0.2">
      <c r="A731" t="s">
        <v>1160</v>
      </c>
      <c r="B731" t="s">
        <v>1361</v>
      </c>
      <c r="C731" t="s">
        <v>1362</v>
      </c>
      <c r="D731" t="s">
        <v>98</v>
      </c>
      <c r="E731">
        <v>1449</v>
      </c>
      <c r="F731" t="s">
        <v>5922</v>
      </c>
      <c r="G731">
        <v>1260</v>
      </c>
      <c r="H731">
        <v>1071</v>
      </c>
      <c r="I731">
        <v>1260</v>
      </c>
      <c r="J731">
        <v>1071</v>
      </c>
      <c r="K731">
        <v>1008</v>
      </c>
      <c r="L731" t="s">
        <v>5922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1008</v>
      </c>
      <c r="S731">
        <v>0</v>
      </c>
      <c r="T731">
        <v>0</v>
      </c>
      <c r="U731">
        <v>1068.8499999999999</v>
      </c>
      <c r="V731">
        <v>1068.8499999999999</v>
      </c>
      <c r="W731">
        <v>1186.17</v>
      </c>
      <c r="X731">
        <v>1068.8499999999999</v>
      </c>
      <c r="Y731">
        <v>1499</v>
      </c>
      <c r="Z731" t="s">
        <v>5922</v>
      </c>
    </row>
    <row r="732" spans="1:26" x14ac:dyDescent="0.2">
      <c r="A732" t="s">
        <v>1160</v>
      </c>
      <c r="B732" t="s">
        <v>1363</v>
      </c>
      <c r="C732" t="s">
        <v>1364</v>
      </c>
      <c r="D732" t="s">
        <v>98</v>
      </c>
      <c r="E732">
        <v>1499</v>
      </c>
      <c r="F732" t="s">
        <v>5922</v>
      </c>
      <c r="G732">
        <v>1303.48</v>
      </c>
      <c r="H732">
        <v>1107.96</v>
      </c>
      <c r="I732">
        <v>1303.48</v>
      </c>
      <c r="J732">
        <v>1107.96</v>
      </c>
      <c r="K732">
        <v>1042.78</v>
      </c>
      <c r="L732" t="s">
        <v>5922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1042.78</v>
      </c>
      <c r="S732">
        <v>0</v>
      </c>
      <c r="T732">
        <v>0</v>
      </c>
      <c r="U732">
        <v>1282.77</v>
      </c>
      <c r="V732">
        <v>1282.77</v>
      </c>
      <c r="W732">
        <v>1423.56</v>
      </c>
      <c r="X732">
        <v>1282.77</v>
      </c>
      <c r="Y732">
        <v>1799</v>
      </c>
      <c r="Z732" t="s">
        <v>5922</v>
      </c>
    </row>
    <row r="733" spans="1:26" x14ac:dyDescent="0.2">
      <c r="A733" t="s">
        <v>1160</v>
      </c>
      <c r="B733" t="s">
        <v>1365</v>
      </c>
      <c r="C733" t="s">
        <v>1366</v>
      </c>
      <c r="D733" t="s">
        <v>98</v>
      </c>
      <c r="E733">
        <v>1999</v>
      </c>
      <c r="F733" t="s">
        <v>5922</v>
      </c>
      <c r="G733">
        <v>1999</v>
      </c>
      <c r="H733">
        <v>1218.83</v>
      </c>
      <c r="I733">
        <v>1433.91</v>
      </c>
      <c r="J733">
        <v>1218.83</v>
      </c>
      <c r="K733">
        <v>1147.1300000000001</v>
      </c>
      <c r="L733" t="s">
        <v>5922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1147.1300000000001</v>
      </c>
      <c r="S733">
        <v>0</v>
      </c>
      <c r="T733">
        <v>0</v>
      </c>
      <c r="U733">
        <v>1425.37</v>
      </c>
      <c r="V733">
        <v>1425.37</v>
      </c>
      <c r="W733">
        <v>1581.82</v>
      </c>
      <c r="X733">
        <v>1425.37</v>
      </c>
      <c r="Y733">
        <v>1999</v>
      </c>
      <c r="Z733" t="s">
        <v>5922</v>
      </c>
    </row>
    <row r="734" spans="1:26" x14ac:dyDescent="0.2">
      <c r="A734" t="s">
        <v>1160</v>
      </c>
      <c r="B734" t="s">
        <v>1367</v>
      </c>
      <c r="C734" t="s">
        <v>1368</v>
      </c>
      <c r="D734" t="s">
        <v>98</v>
      </c>
      <c r="E734">
        <v>1299</v>
      </c>
      <c r="F734" t="s">
        <v>5922</v>
      </c>
      <c r="G734">
        <v>1299</v>
      </c>
      <c r="H734">
        <v>812.3</v>
      </c>
      <c r="I734">
        <v>955.65</v>
      </c>
      <c r="J734">
        <v>812.3</v>
      </c>
      <c r="K734">
        <v>764.52</v>
      </c>
      <c r="L734" t="s">
        <v>5922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764.52</v>
      </c>
      <c r="S734">
        <v>0</v>
      </c>
      <c r="T734">
        <v>0</v>
      </c>
      <c r="U734">
        <v>926.24</v>
      </c>
      <c r="V734">
        <v>926.24</v>
      </c>
      <c r="W734">
        <v>1027.9000000000001</v>
      </c>
      <c r="X734">
        <v>926.24</v>
      </c>
      <c r="Y734">
        <v>1299</v>
      </c>
      <c r="Z734" t="s">
        <v>5922</v>
      </c>
    </row>
    <row r="735" spans="1:26" x14ac:dyDescent="0.2">
      <c r="A735" t="s">
        <v>1160</v>
      </c>
      <c r="B735" t="s">
        <v>1369</v>
      </c>
      <c r="C735" t="s">
        <v>1370</v>
      </c>
      <c r="D735" t="s">
        <v>98</v>
      </c>
      <c r="E735">
        <v>1279</v>
      </c>
      <c r="F735" t="s">
        <v>5922</v>
      </c>
      <c r="G735">
        <v>1112.17</v>
      </c>
      <c r="H735">
        <v>945.35</v>
      </c>
      <c r="I735">
        <v>1112.17</v>
      </c>
      <c r="J735">
        <v>945.35</v>
      </c>
      <c r="K735">
        <v>889.74</v>
      </c>
      <c r="L735" t="s">
        <v>5922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889.74</v>
      </c>
      <c r="S735">
        <v>0</v>
      </c>
      <c r="T735">
        <v>0</v>
      </c>
      <c r="U735">
        <v>926.24</v>
      </c>
      <c r="V735">
        <v>926.24</v>
      </c>
      <c r="W735">
        <v>1027.9000000000001</v>
      </c>
      <c r="X735">
        <v>926.24</v>
      </c>
      <c r="Y735">
        <v>1299</v>
      </c>
      <c r="Z735" t="s">
        <v>5922</v>
      </c>
    </row>
    <row r="736" spans="1:26" x14ac:dyDescent="0.2">
      <c r="A736" t="s">
        <v>1160</v>
      </c>
      <c r="B736" t="s">
        <v>1371</v>
      </c>
      <c r="C736" t="s">
        <v>1372</v>
      </c>
      <c r="D736" t="s">
        <v>98</v>
      </c>
      <c r="E736">
        <v>1279</v>
      </c>
      <c r="F736" t="s">
        <v>5922</v>
      </c>
      <c r="G736">
        <v>1112.17</v>
      </c>
      <c r="H736">
        <v>945.35</v>
      </c>
      <c r="I736">
        <v>1112.17</v>
      </c>
      <c r="J736">
        <v>945.35</v>
      </c>
      <c r="K736">
        <v>889.74</v>
      </c>
      <c r="L736" t="s">
        <v>5922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889.74</v>
      </c>
      <c r="S736">
        <v>0</v>
      </c>
      <c r="T736">
        <v>0</v>
      </c>
      <c r="U736">
        <v>926.24</v>
      </c>
      <c r="V736">
        <v>926.24</v>
      </c>
      <c r="W736">
        <v>1027.9000000000001</v>
      </c>
      <c r="X736">
        <v>926.24</v>
      </c>
      <c r="Y736">
        <v>1299</v>
      </c>
      <c r="Z736" t="s">
        <v>5922</v>
      </c>
    </row>
    <row r="737" spans="1:26" x14ac:dyDescent="0.2">
      <c r="A737" t="s">
        <v>1160</v>
      </c>
      <c r="B737" t="s">
        <v>1373</v>
      </c>
      <c r="C737" t="s">
        <v>1374</v>
      </c>
      <c r="D737" t="s">
        <v>98</v>
      </c>
      <c r="E737">
        <v>1629</v>
      </c>
      <c r="F737" t="s">
        <v>5922</v>
      </c>
      <c r="G737">
        <v>1416.52</v>
      </c>
      <c r="H737">
        <v>1204.04</v>
      </c>
      <c r="I737">
        <v>1416.52</v>
      </c>
      <c r="J737">
        <v>1204.04</v>
      </c>
      <c r="K737">
        <v>1133.22</v>
      </c>
      <c r="L737" t="s">
        <v>5922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1133.22</v>
      </c>
      <c r="S737">
        <v>0</v>
      </c>
      <c r="T737">
        <v>0</v>
      </c>
      <c r="U737">
        <v>1166.55</v>
      </c>
      <c r="V737">
        <v>1161.55</v>
      </c>
      <c r="W737">
        <v>1289.03</v>
      </c>
      <c r="X737">
        <v>1161.55</v>
      </c>
      <c r="Y737">
        <v>1629</v>
      </c>
      <c r="Z737" t="s">
        <v>5922</v>
      </c>
    </row>
    <row r="738" spans="1:26" x14ac:dyDescent="0.2">
      <c r="A738" t="s">
        <v>1160</v>
      </c>
      <c r="B738" t="s">
        <v>1375</v>
      </c>
      <c r="C738" t="s">
        <v>1376</v>
      </c>
      <c r="D738" t="s">
        <v>98</v>
      </c>
      <c r="E738">
        <v>1629</v>
      </c>
      <c r="F738" t="s">
        <v>5922</v>
      </c>
      <c r="G738">
        <v>1416.52</v>
      </c>
      <c r="H738">
        <v>1204.04</v>
      </c>
      <c r="I738">
        <v>1416.52</v>
      </c>
      <c r="J738">
        <v>1204.04</v>
      </c>
      <c r="K738">
        <v>1133.22</v>
      </c>
      <c r="L738" t="s">
        <v>5922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1133.22</v>
      </c>
      <c r="S738">
        <v>0</v>
      </c>
      <c r="T738">
        <v>0</v>
      </c>
      <c r="U738">
        <v>1161.55</v>
      </c>
      <c r="V738">
        <v>1161.55</v>
      </c>
      <c r="W738">
        <v>1289.03</v>
      </c>
      <c r="X738">
        <v>1161.55</v>
      </c>
      <c r="Y738">
        <v>1629</v>
      </c>
      <c r="Z738" t="s">
        <v>5922</v>
      </c>
    </row>
    <row r="739" spans="1:26" x14ac:dyDescent="0.2">
      <c r="A739" t="s">
        <v>1160</v>
      </c>
      <c r="B739" t="s">
        <v>1377</v>
      </c>
      <c r="C739" t="s">
        <v>1378</v>
      </c>
      <c r="D739" t="s">
        <v>98</v>
      </c>
      <c r="E739">
        <v>1449</v>
      </c>
      <c r="F739" t="s">
        <v>5922</v>
      </c>
      <c r="G739">
        <v>1260</v>
      </c>
      <c r="H739">
        <v>1071</v>
      </c>
      <c r="I739">
        <v>1260</v>
      </c>
      <c r="J739">
        <v>1071</v>
      </c>
      <c r="K739">
        <v>1008</v>
      </c>
      <c r="L739" t="s">
        <v>5922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1008</v>
      </c>
      <c r="S739">
        <v>0</v>
      </c>
      <c r="T739">
        <v>0</v>
      </c>
      <c r="U739">
        <v>1038.2</v>
      </c>
      <c r="V739">
        <v>1033.2</v>
      </c>
      <c r="W739">
        <v>1146.5999999999999</v>
      </c>
      <c r="X739">
        <v>1033.2</v>
      </c>
      <c r="Y739">
        <v>1449</v>
      </c>
      <c r="Z739" t="s">
        <v>5922</v>
      </c>
    </row>
    <row r="740" spans="1:26" x14ac:dyDescent="0.2">
      <c r="A740" t="s">
        <v>1160</v>
      </c>
      <c r="B740" t="s">
        <v>1379</v>
      </c>
      <c r="C740" t="s">
        <v>1380</v>
      </c>
      <c r="D740" t="s">
        <v>98</v>
      </c>
      <c r="E740">
        <v>1499</v>
      </c>
      <c r="F740" t="s">
        <v>5922</v>
      </c>
      <c r="G740">
        <v>1303.48</v>
      </c>
      <c r="H740">
        <v>1107.96</v>
      </c>
      <c r="I740">
        <v>1303.48</v>
      </c>
      <c r="J740">
        <v>1107.96</v>
      </c>
      <c r="K740">
        <v>1042.78</v>
      </c>
      <c r="L740" t="s">
        <v>5922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1042.78</v>
      </c>
      <c r="S740">
        <v>0</v>
      </c>
      <c r="T740">
        <v>0</v>
      </c>
      <c r="U740">
        <v>1282.77</v>
      </c>
      <c r="V740">
        <v>1282.77</v>
      </c>
      <c r="W740">
        <v>1423.56</v>
      </c>
      <c r="X740">
        <v>1282.77</v>
      </c>
      <c r="Y740">
        <v>1799</v>
      </c>
      <c r="Z740" t="s">
        <v>5922</v>
      </c>
    </row>
    <row r="741" spans="1:26" x14ac:dyDescent="0.2">
      <c r="A741" t="s">
        <v>1160</v>
      </c>
      <c r="B741" t="s">
        <v>1381</v>
      </c>
      <c r="C741" t="s">
        <v>1382</v>
      </c>
      <c r="D741" t="s">
        <v>98</v>
      </c>
      <c r="E741">
        <v>1499</v>
      </c>
      <c r="F741" t="s">
        <v>5922</v>
      </c>
      <c r="G741">
        <v>1303.48</v>
      </c>
      <c r="H741">
        <v>1107.96</v>
      </c>
      <c r="I741">
        <v>1303.48</v>
      </c>
      <c r="J741">
        <v>1107.96</v>
      </c>
      <c r="K741">
        <v>1042.78</v>
      </c>
      <c r="L741" t="s">
        <v>5922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1042.78</v>
      </c>
      <c r="S741">
        <v>0</v>
      </c>
      <c r="T741">
        <v>0</v>
      </c>
      <c r="U741">
        <v>1073.8499999999999</v>
      </c>
      <c r="V741">
        <v>1068.8499999999999</v>
      </c>
      <c r="W741">
        <v>1186.17</v>
      </c>
      <c r="X741">
        <v>1068.8499999999999</v>
      </c>
      <c r="Y741">
        <v>1499</v>
      </c>
      <c r="Z741" t="s">
        <v>5922</v>
      </c>
    </row>
    <row r="742" spans="1:26" x14ac:dyDescent="0.2">
      <c r="A742" t="s">
        <v>1160</v>
      </c>
      <c r="B742" t="s">
        <v>1383</v>
      </c>
      <c r="C742" t="s">
        <v>1384</v>
      </c>
      <c r="D742" t="s">
        <v>98</v>
      </c>
      <c r="E742">
        <v>1449</v>
      </c>
      <c r="F742" t="s">
        <v>5922</v>
      </c>
      <c r="G742">
        <v>899</v>
      </c>
      <c r="H742">
        <v>1071</v>
      </c>
      <c r="I742">
        <v>1260</v>
      </c>
      <c r="J742">
        <v>1071</v>
      </c>
      <c r="K742">
        <v>1008</v>
      </c>
      <c r="L742" t="s">
        <v>5922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1008</v>
      </c>
      <c r="S742">
        <v>0</v>
      </c>
      <c r="T742">
        <v>0</v>
      </c>
      <c r="U742">
        <v>1068.8499999999999</v>
      </c>
      <c r="V742">
        <v>1068.8499999999999</v>
      </c>
      <c r="W742">
        <v>1186.17</v>
      </c>
      <c r="X742">
        <v>1068.8499999999999</v>
      </c>
      <c r="Y742">
        <v>1499</v>
      </c>
      <c r="Z742" t="s">
        <v>5922</v>
      </c>
    </row>
    <row r="743" spans="1:26" x14ac:dyDescent="0.2">
      <c r="A743" t="s">
        <v>1160</v>
      </c>
      <c r="B743" t="s">
        <v>1385</v>
      </c>
      <c r="C743" t="s">
        <v>1386</v>
      </c>
      <c r="D743" t="s">
        <v>98</v>
      </c>
      <c r="E743">
        <v>1099</v>
      </c>
      <c r="F743" t="s">
        <v>5922</v>
      </c>
      <c r="G743">
        <v>955.65</v>
      </c>
      <c r="H743">
        <v>812.3</v>
      </c>
      <c r="I743">
        <v>955.65</v>
      </c>
      <c r="J743">
        <v>812.3</v>
      </c>
      <c r="K743">
        <v>764.52</v>
      </c>
      <c r="L743" t="s">
        <v>5922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764.52</v>
      </c>
      <c r="S743">
        <v>0</v>
      </c>
      <c r="T743">
        <v>0</v>
      </c>
      <c r="U743">
        <v>854.94</v>
      </c>
      <c r="V743">
        <v>854.94</v>
      </c>
      <c r="W743">
        <v>948.77</v>
      </c>
      <c r="X743">
        <v>854.94</v>
      </c>
      <c r="Y743">
        <v>1199</v>
      </c>
      <c r="Z743" t="s">
        <v>5922</v>
      </c>
    </row>
    <row r="744" spans="1:26" x14ac:dyDescent="0.2">
      <c r="A744" t="s">
        <v>1160</v>
      </c>
      <c r="B744" t="s">
        <v>1387</v>
      </c>
      <c r="C744" t="s">
        <v>1388</v>
      </c>
      <c r="D744" t="s">
        <v>98</v>
      </c>
      <c r="E744">
        <v>1099</v>
      </c>
      <c r="F744" t="s">
        <v>5922</v>
      </c>
      <c r="G744">
        <v>1099</v>
      </c>
      <c r="H744">
        <v>812.3</v>
      </c>
      <c r="I744">
        <v>955.65</v>
      </c>
      <c r="J744">
        <v>812.3</v>
      </c>
      <c r="K744">
        <v>764.52</v>
      </c>
      <c r="L744" t="s">
        <v>5922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764.52</v>
      </c>
      <c r="S744">
        <v>0</v>
      </c>
      <c r="T744">
        <v>0</v>
      </c>
      <c r="U744">
        <v>783.63</v>
      </c>
      <c r="V744">
        <v>783.63</v>
      </c>
      <c r="W744">
        <v>869.64</v>
      </c>
      <c r="X744">
        <v>783.63</v>
      </c>
      <c r="Y744">
        <v>1099</v>
      </c>
      <c r="Z744" t="s">
        <v>5922</v>
      </c>
    </row>
    <row r="745" spans="1:26" x14ac:dyDescent="0.2">
      <c r="A745" t="s">
        <v>1160</v>
      </c>
      <c r="B745" t="s">
        <v>1389</v>
      </c>
      <c r="C745" t="s">
        <v>1390</v>
      </c>
      <c r="D745" t="s">
        <v>98</v>
      </c>
      <c r="E745">
        <v>1899</v>
      </c>
      <c r="F745" t="s">
        <v>5922</v>
      </c>
      <c r="G745">
        <v>1651.3</v>
      </c>
      <c r="H745">
        <v>1403.61</v>
      </c>
      <c r="I745">
        <v>1651.3</v>
      </c>
      <c r="J745">
        <v>1403.61</v>
      </c>
      <c r="K745">
        <v>1321.04</v>
      </c>
      <c r="L745" t="s">
        <v>5922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1321.04</v>
      </c>
      <c r="S745">
        <v>0</v>
      </c>
      <c r="T745">
        <v>0</v>
      </c>
      <c r="U745">
        <v>1639.29</v>
      </c>
      <c r="V745">
        <v>1639.29</v>
      </c>
      <c r="W745">
        <v>1819.21</v>
      </c>
      <c r="X745">
        <v>1639.29</v>
      </c>
      <c r="Y745">
        <v>2299</v>
      </c>
      <c r="Z745" t="s">
        <v>5922</v>
      </c>
    </row>
    <row r="746" spans="1:26" x14ac:dyDescent="0.2">
      <c r="A746" t="s">
        <v>1160</v>
      </c>
      <c r="B746" t="s">
        <v>1391</v>
      </c>
      <c r="C746" t="s">
        <v>1392</v>
      </c>
      <c r="D746" t="s">
        <v>98</v>
      </c>
      <c r="E746">
        <v>1899</v>
      </c>
      <c r="F746" t="s">
        <v>5922</v>
      </c>
      <c r="H746">
        <v>1403.61</v>
      </c>
      <c r="I746">
        <v>1564.35</v>
      </c>
      <c r="J746">
        <v>1329.7</v>
      </c>
      <c r="K746">
        <v>1251.48</v>
      </c>
      <c r="L746" t="s">
        <v>5922</v>
      </c>
      <c r="M746">
        <v>0</v>
      </c>
      <c r="N746">
        <v>0</v>
      </c>
      <c r="O746">
        <v>0</v>
      </c>
      <c r="P746">
        <v>0</v>
      </c>
      <c r="Q746">
        <v>1403.61</v>
      </c>
      <c r="R746">
        <v>1403.61</v>
      </c>
      <c r="S746">
        <v>0</v>
      </c>
      <c r="T746">
        <v>0</v>
      </c>
      <c r="U746">
        <v>1354.07</v>
      </c>
      <c r="V746">
        <v>1354.07</v>
      </c>
      <c r="W746">
        <v>1502.69</v>
      </c>
      <c r="X746">
        <v>1354.07</v>
      </c>
      <c r="Y746">
        <v>1899</v>
      </c>
      <c r="Z746" t="s">
        <v>5922</v>
      </c>
    </row>
    <row r="747" spans="1:26" x14ac:dyDescent="0.2">
      <c r="A747" t="s">
        <v>1160</v>
      </c>
      <c r="B747" t="s">
        <v>1393</v>
      </c>
      <c r="C747" t="s">
        <v>1394</v>
      </c>
      <c r="D747" t="s">
        <v>98</v>
      </c>
      <c r="E747">
        <v>1399</v>
      </c>
      <c r="F747" t="s">
        <v>5922</v>
      </c>
      <c r="G747">
        <v>1399</v>
      </c>
      <c r="H747">
        <v>997.09</v>
      </c>
      <c r="I747">
        <v>1173.04</v>
      </c>
      <c r="J747">
        <v>997.09</v>
      </c>
      <c r="K747">
        <v>938.43</v>
      </c>
      <c r="L747" t="s">
        <v>5922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938.43</v>
      </c>
      <c r="S747">
        <v>0</v>
      </c>
      <c r="T747">
        <v>0</v>
      </c>
      <c r="U747">
        <v>997.55</v>
      </c>
      <c r="V747">
        <v>997.55</v>
      </c>
      <c r="W747">
        <v>1107.03</v>
      </c>
      <c r="X747">
        <v>997.55</v>
      </c>
      <c r="Y747">
        <v>1399</v>
      </c>
      <c r="Z747" t="s">
        <v>5922</v>
      </c>
    </row>
    <row r="748" spans="1:26" x14ac:dyDescent="0.2">
      <c r="A748" t="s">
        <v>1160</v>
      </c>
      <c r="B748" t="s">
        <v>1395</v>
      </c>
      <c r="C748" t="s">
        <v>1396</v>
      </c>
      <c r="D748" t="s">
        <v>98</v>
      </c>
      <c r="E748">
        <v>1599</v>
      </c>
      <c r="F748" t="s">
        <v>5922</v>
      </c>
      <c r="G748">
        <v>1390.43</v>
      </c>
      <c r="H748">
        <v>1181.8699999999999</v>
      </c>
      <c r="I748">
        <v>1390.43</v>
      </c>
      <c r="J748">
        <v>1181.8699999999999</v>
      </c>
      <c r="K748">
        <v>1112.3499999999999</v>
      </c>
      <c r="L748" t="s">
        <v>5922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1112.3499999999999</v>
      </c>
      <c r="S748">
        <v>0</v>
      </c>
      <c r="T748">
        <v>0</v>
      </c>
      <c r="U748">
        <v>1354.07</v>
      </c>
      <c r="V748">
        <v>1354.07</v>
      </c>
      <c r="W748">
        <v>1502.69</v>
      </c>
      <c r="X748">
        <v>1354.07</v>
      </c>
      <c r="Y748">
        <v>1899</v>
      </c>
      <c r="Z748" t="s">
        <v>5922</v>
      </c>
    </row>
    <row r="749" spans="1:26" x14ac:dyDescent="0.2">
      <c r="A749" t="s">
        <v>1160</v>
      </c>
      <c r="B749" t="s">
        <v>1397</v>
      </c>
      <c r="C749" t="s">
        <v>1398</v>
      </c>
      <c r="D749" t="s">
        <v>98</v>
      </c>
      <c r="E749">
        <v>1549</v>
      </c>
      <c r="F749" t="s">
        <v>5922</v>
      </c>
      <c r="G749">
        <v>1346.96</v>
      </c>
      <c r="H749">
        <v>1144.9100000000001</v>
      </c>
      <c r="I749">
        <v>1346.96</v>
      </c>
      <c r="J749">
        <v>1144.9100000000001</v>
      </c>
      <c r="K749">
        <v>1077.57</v>
      </c>
      <c r="L749" t="s">
        <v>5922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1077.57</v>
      </c>
      <c r="S749">
        <v>0</v>
      </c>
      <c r="T749">
        <v>0</v>
      </c>
      <c r="U749">
        <v>1140.1600000000001</v>
      </c>
      <c r="V749">
        <v>1140.1600000000001</v>
      </c>
      <c r="W749">
        <v>1265.3</v>
      </c>
      <c r="X749">
        <v>1140.1600000000001</v>
      </c>
      <c r="Y749">
        <v>1599</v>
      </c>
      <c r="Z749" t="s">
        <v>5922</v>
      </c>
    </row>
    <row r="750" spans="1:26" x14ac:dyDescent="0.2">
      <c r="A750" t="s">
        <v>1160</v>
      </c>
      <c r="B750" t="s">
        <v>1399</v>
      </c>
      <c r="C750" t="s">
        <v>1400</v>
      </c>
      <c r="D750" t="s">
        <v>98</v>
      </c>
      <c r="E750">
        <v>1399</v>
      </c>
      <c r="F750" t="s">
        <v>5922</v>
      </c>
      <c r="H750">
        <v>1034.04</v>
      </c>
      <c r="I750">
        <v>955.65</v>
      </c>
      <c r="J750">
        <v>812.3</v>
      </c>
      <c r="L750" t="s">
        <v>5922</v>
      </c>
      <c r="Q750">
        <v>1034.04</v>
      </c>
      <c r="R750">
        <v>1034.04</v>
      </c>
      <c r="U750">
        <v>1046.21</v>
      </c>
      <c r="V750">
        <v>1034.04</v>
      </c>
      <c r="W750">
        <v>1119.2</v>
      </c>
      <c r="X750">
        <v>1034.04</v>
      </c>
      <c r="Y750">
        <v>1399</v>
      </c>
      <c r="Z750" t="s">
        <v>5922</v>
      </c>
    </row>
    <row r="751" spans="1:26" x14ac:dyDescent="0.2">
      <c r="A751" t="s">
        <v>1160</v>
      </c>
      <c r="B751" t="s">
        <v>1401</v>
      </c>
      <c r="C751" t="s">
        <v>1402</v>
      </c>
      <c r="D751" t="s">
        <v>98</v>
      </c>
      <c r="E751">
        <v>1819</v>
      </c>
      <c r="F751" t="s">
        <v>7103</v>
      </c>
      <c r="H751">
        <v>1344.48</v>
      </c>
      <c r="L751" t="s">
        <v>5922</v>
      </c>
      <c r="Q751">
        <v>1344.48</v>
      </c>
      <c r="R751">
        <v>1344.48</v>
      </c>
      <c r="U751">
        <v>1360.3</v>
      </c>
      <c r="V751">
        <v>1344.48</v>
      </c>
      <c r="X751">
        <v>1344.48</v>
      </c>
      <c r="Y751">
        <v>1819</v>
      </c>
      <c r="Z751" t="s">
        <v>5922</v>
      </c>
    </row>
    <row r="752" spans="1:26" x14ac:dyDescent="0.2">
      <c r="A752" t="s">
        <v>1160</v>
      </c>
      <c r="B752" t="s">
        <v>1403</v>
      </c>
      <c r="C752" t="s">
        <v>1404</v>
      </c>
      <c r="D752" t="s">
        <v>98</v>
      </c>
      <c r="E752">
        <v>2049</v>
      </c>
      <c r="F752" t="s">
        <v>7104</v>
      </c>
      <c r="G752">
        <v>2049</v>
      </c>
      <c r="H752">
        <v>1514.48</v>
      </c>
      <c r="L752" t="s">
        <v>5922</v>
      </c>
      <c r="Q752">
        <v>1514.48</v>
      </c>
      <c r="R752">
        <v>1514.48</v>
      </c>
      <c r="U752">
        <v>1532.3</v>
      </c>
      <c r="V752">
        <v>1514.48</v>
      </c>
      <c r="W752">
        <v>1639.2</v>
      </c>
      <c r="X752">
        <v>1514.48</v>
      </c>
      <c r="Y752">
        <v>2049</v>
      </c>
      <c r="Z752" t="s">
        <v>5922</v>
      </c>
    </row>
    <row r="753" spans="1:26" x14ac:dyDescent="0.2">
      <c r="A753" t="s">
        <v>1160</v>
      </c>
      <c r="B753" t="s">
        <v>1405</v>
      </c>
      <c r="C753" t="s">
        <v>1406</v>
      </c>
      <c r="D753" t="s">
        <v>98</v>
      </c>
      <c r="E753">
        <v>1819</v>
      </c>
      <c r="F753" t="s">
        <v>7103</v>
      </c>
      <c r="H753">
        <v>1344.48</v>
      </c>
      <c r="L753" t="s">
        <v>5922</v>
      </c>
      <c r="Q753">
        <v>1344.48</v>
      </c>
      <c r="R753">
        <v>1344.48</v>
      </c>
      <c r="U753">
        <v>1360.3</v>
      </c>
      <c r="V753">
        <v>1344.48</v>
      </c>
      <c r="X753">
        <v>1344.48</v>
      </c>
      <c r="Y753">
        <v>1819</v>
      </c>
      <c r="Z753" t="s">
        <v>5922</v>
      </c>
    </row>
    <row r="754" spans="1:26" x14ac:dyDescent="0.2">
      <c r="A754" t="s">
        <v>1160</v>
      </c>
      <c r="B754" t="s">
        <v>1407</v>
      </c>
      <c r="C754" t="s">
        <v>1408</v>
      </c>
      <c r="D754" t="s">
        <v>98</v>
      </c>
      <c r="E754">
        <v>1619</v>
      </c>
      <c r="F754" t="s">
        <v>7105</v>
      </c>
      <c r="H754">
        <v>1196.6500000000001</v>
      </c>
      <c r="L754" t="s">
        <v>5922</v>
      </c>
      <c r="Q754">
        <v>1196.6500000000001</v>
      </c>
      <c r="R754">
        <v>1196.6500000000001</v>
      </c>
      <c r="U754">
        <v>1210.73</v>
      </c>
      <c r="V754">
        <v>1196.6500000000001</v>
      </c>
      <c r="X754">
        <v>1196.6500000000001</v>
      </c>
      <c r="Y754">
        <v>1619</v>
      </c>
      <c r="Z754" t="s">
        <v>5922</v>
      </c>
    </row>
    <row r="755" spans="1:26" x14ac:dyDescent="0.2">
      <c r="A755" t="s">
        <v>1160</v>
      </c>
      <c r="B755" t="s">
        <v>1409</v>
      </c>
      <c r="C755" t="s">
        <v>1410</v>
      </c>
      <c r="D755" t="s">
        <v>98</v>
      </c>
      <c r="E755">
        <v>1799</v>
      </c>
      <c r="F755" t="s">
        <v>5922</v>
      </c>
      <c r="G755">
        <v>1799</v>
      </c>
      <c r="H755">
        <v>1107.96</v>
      </c>
      <c r="I755">
        <v>1303.48</v>
      </c>
      <c r="J755">
        <v>1107.96</v>
      </c>
      <c r="L755" t="s">
        <v>5922</v>
      </c>
      <c r="R755">
        <v>1107.96</v>
      </c>
      <c r="U755">
        <v>1329.7</v>
      </c>
      <c r="V755">
        <v>1329.7</v>
      </c>
      <c r="W755">
        <v>1439.2</v>
      </c>
      <c r="X755">
        <v>1329.7</v>
      </c>
      <c r="Y755">
        <v>1799</v>
      </c>
      <c r="Z755" t="s">
        <v>5922</v>
      </c>
    </row>
    <row r="756" spans="1:26" x14ac:dyDescent="0.2">
      <c r="A756" t="s">
        <v>1160</v>
      </c>
      <c r="B756" t="s">
        <v>1411</v>
      </c>
      <c r="C756" t="s">
        <v>1412</v>
      </c>
      <c r="D756" t="s">
        <v>98</v>
      </c>
      <c r="E756">
        <v>1799</v>
      </c>
      <c r="F756" t="s">
        <v>5922</v>
      </c>
      <c r="G756">
        <v>1298</v>
      </c>
      <c r="H756">
        <v>1329.7</v>
      </c>
      <c r="I756">
        <v>1303.48</v>
      </c>
      <c r="J756">
        <v>1107.96</v>
      </c>
      <c r="L756" t="s">
        <v>5922</v>
      </c>
      <c r="Q756">
        <v>1329.7</v>
      </c>
      <c r="R756">
        <v>1329.7</v>
      </c>
      <c r="U756">
        <v>1329.7</v>
      </c>
      <c r="V756">
        <v>1329.7</v>
      </c>
      <c r="W756">
        <v>1439.2</v>
      </c>
      <c r="X756">
        <v>1329.7</v>
      </c>
      <c r="Y756">
        <v>1799</v>
      </c>
      <c r="Z756" t="s">
        <v>5922</v>
      </c>
    </row>
    <row r="757" spans="1:26" x14ac:dyDescent="0.2">
      <c r="A757" t="s">
        <v>1160</v>
      </c>
      <c r="B757" t="s">
        <v>1413</v>
      </c>
      <c r="C757" t="s">
        <v>1414</v>
      </c>
      <c r="D757" t="s">
        <v>98</v>
      </c>
      <c r="E757">
        <v>2299</v>
      </c>
      <c r="F757" t="s">
        <v>5922</v>
      </c>
      <c r="G757">
        <v>1798</v>
      </c>
      <c r="H757">
        <v>1699.26</v>
      </c>
      <c r="L757" t="s">
        <v>5922</v>
      </c>
      <c r="Q757">
        <v>1699.26</v>
      </c>
      <c r="R757">
        <v>1699.26</v>
      </c>
      <c r="U757">
        <v>1719.25</v>
      </c>
      <c r="V757">
        <v>1699.26</v>
      </c>
      <c r="W757">
        <v>1839.2</v>
      </c>
      <c r="X757">
        <v>1699.26</v>
      </c>
      <c r="Y757">
        <v>2299</v>
      </c>
      <c r="Z757" t="s">
        <v>5922</v>
      </c>
    </row>
    <row r="758" spans="1:26" x14ac:dyDescent="0.2">
      <c r="A758" t="s">
        <v>1160</v>
      </c>
      <c r="B758" t="s">
        <v>1415</v>
      </c>
      <c r="C758" t="s">
        <v>1416</v>
      </c>
      <c r="D758" t="s">
        <v>98</v>
      </c>
      <c r="E758">
        <v>1799</v>
      </c>
      <c r="F758" t="s">
        <v>5922</v>
      </c>
      <c r="G758">
        <v>1298</v>
      </c>
      <c r="H758">
        <v>1329.7</v>
      </c>
      <c r="I758">
        <v>1303.48</v>
      </c>
      <c r="J758">
        <v>1107.96</v>
      </c>
      <c r="L758" t="s">
        <v>5922</v>
      </c>
      <c r="Q758">
        <v>1329.7</v>
      </c>
      <c r="R758">
        <v>1329.7</v>
      </c>
      <c r="U758">
        <v>1345.34</v>
      </c>
      <c r="V758">
        <v>1329.7</v>
      </c>
      <c r="W758">
        <v>1439.2</v>
      </c>
      <c r="X758">
        <v>1329.7</v>
      </c>
      <c r="Y758">
        <v>1799</v>
      </c>
      <c r="Z758" t="s">
        <v>5922</v>
      </c>
    </row>
    <row r="759" spans="1:26" x14ac:dyDescent="0.2">
      <c r="A759" t="s">
        <v>1160</v>
      </c>
      <c r="B759" t="s">
        <v>1417</v>
      </c>
      <c r="C759" t="s">
        <v>1418</v>
      </c>
      <c r="D759" t="s">
        <v>98</v>
      </c>
      <c r="E759">
        <v>1999</v>
      </c>
      <c r="F759" t="s">
        <v>5922</v>
      </c>
      <c r="G759">
        <v>1498</v>
      </c>
      <c r="H759">
        <v>1477.52</v>
      </c>
      <c r="L759" t="s">
        <v>5922</v>
      </c>
      <c r="Q759">
        <v>1477.52</v>
      </c>
      <c r="R759">
        <v>1477.52</v>
      </c>
      <c r="U759">
        <v>1494.9</v>
      </c>
      <c r="V759">
        <v>1477.52</v>
      </c>
      <c r="W759">
        <v>1599.2</v>
      </c>
      <c r="X759">
        <v>1477.52</v>
      </c>
      <c r="Y759">
        <v>1999</v>
      </c>
      <c r="Z759" t="s">
        <v>5922</v>
      </c>
    </row>
    <row r="760" spans="1:26" x14ac:dyDescent="0.2">
      <c r="A760" t="s">
        <v>1160</v>
      </c>
      <c r="B760" t="s">
        <v>1419</v>
      </c>
      <c r="C760" t="s">
        <v>1420</v>
      </c>
      <c r="D760" t="s">
        <v>98</v>
      </c>
      <c r="E760">
        <v>1599</v>
      </c>
      <c r="F760" t="s">
        <v>5922</v>
      </c>
      <c r="G760">
        <v>1098</v>
      </c>
      <c r="H760">
        <v>1181.8699999999999</v>
      </c>
      <c r="I760">
        <v>1086.0899999999999</v>
      </c>
      <c r="J760">
        <v>923.17</v>
      </c>
      <c r="L760" t="s">
        <v>5922</v>
      </c>
      <c r="Q760">
        <v>1181.8699999999999</v>
      </c>
      <c r="R760">
        <v>1181.8699999999999</v>
      </c>
      <c r="U760">
        <v>1181.8699999999999</v>
      </c>
      <c r="V760">
        <v>1181.8699999999999</v>
      </c>
      <c r="W760">
        <v>1279.2</v>
      </c>
      <c r="X760">
        <v>1181.8699999999999</v>
      </c>
      <c r="Y760">
        <v>1599</v>
      </c>
      <c r="Z760" t="s">
        <v>5922</v>
      </c>
    </row>
    <row r="761" spans="1:26" x14ac:dyDescent="0.2">
      <c r="A761" t="s">
        <v>1160</v>
      </c>
      <c r="B761" t="s">
        <v>1421</v>
      </c>
      <c r="C761" t="s">
        <v>1422</v>
      </c>
      <c r="D761" t="s">
        <v>98</v>
      </c>
      <c r="E761">
        <v>1399</v>
      </c>
      <c r="F761" t="s">
        <v>5922</v>
      </c>
      <c r="G761">
        <v>898</v>
      </c>
      <c r="H761">
        <v>1034.04</v>
      </c>
      <c r="I761">
        <v>955.65</v>
      </c>
      <c r="J761">
        <v>812.3</v>
      </c>
      <c r="L761" t="s">
        <v>5922</v>
      </c>
      <c r="Q761">
        <v>1034.04</v>
      </c>
      <c r="R761">
        <v>1034.04</v>
      </c>
      <c r="U761">
        <v>1046.21</v>
      </c>
      <c r="V761">
        <v>1034.04</v>
      </c>
      <c r="W761">
        <v>1119.2</v>
      </c>
      <c r="X761">
        <v>1034.04</v>
      </c>
      <c r="Y761">
        <v>1399</v>
      </c>
      <c r="Z761" t="s">
        <v>5922</v>
      </c>
    </row>
    <row r="762" spans="1:26" x14ac:dyDescent="0.2">
      <c r="A762" t="s">
        <v>1160</v>
      </c>
      <c r="B762" t="s">
        <v>1423</v>
      </c>
      <c r="C762" t="s">
        <v>1424</v>
      </c>
      <c r="D762" t="s">
        <v>98</v>
      </c>
      <c r="E762">
        <v>1399</v>
      </c>
      <c r="F762" t="s">
        <v>5922</v>
      </c>
      <c r="G762">
        <v>898</v>
      </c>
      <c r="H762">
        <v>1034.04</v>
      </c>
      <c r="I762">
        <v>955.65</v>
      </c>
      <c r="J762">
        <v>812.3</v>
      </c>
      <c r="L762" t="s">
        <v>5922</v>
      </c>
      <c r="Q762">
        <v>1034.04</v>
      </c>
      <c r="R762">
        <v>1034.04</v>
      </c>
      <c r="U762">
        <v>1046.21</v>
      </c>
      <c r="V762">
        <v>1034.04</v>
      </c>
      <c r="W762">
        <v>1119.2</v>
      </c>
      <c r="X762">
        <v>1034.04</v>
      </c>
      <c r="Y762">
        <v>1399</v>
      </c>
      <c r="Z762" t="s">
        <v>5922</v>
      </c>
    </row>
    <row r="763" spans="1:26" x14ac:dyDescent="0.2">
      <c r="A763" t="s">
        <v>1160</v>
      </c>
      <c r="B763" t="s">
        <v>1425</v>
      </c>
      <c r="C763" t="s">
        <v>1426</v>
      </c>
      <c r="D763" t="s">
        <v>98</v>
      </c>
      <c r="E763">
        <v>1819</v>
      </c>
      <c r="F763" t="s">
        <v>7103</v>
      </c>
      <c r="H763">
        <v>1344.48</v>
      </c>
      <c r="L763" t="s">
        <v>5922</v>
      </c>
      <c r="Q763">
        <v>1344.48</v>
      </c>
      <c r="R763">
        <v>1344.48</v>
      </c>
      <c r="U763">
        <v>1360.3</v>
      </c>
      <c r="V763">
        <v>1344.48</v>
      </c>
      <c r="X763">
        <v>1344.48</v>
      </c>
      <c r="Y763">
        <v>1819</v>
      </c>
      <c r="Z763" t="s">
        <v>5922</v>
      </c>
    </row>
    <row r="764" spans="1:26" x14ac:dyDescent="0.2">
      <c r="A764" t="s">
        <v>1160</v>
      </c>
      <c r="B764" t="s">
        <v>1427</v>
      </c>
      <c r="C764" t="s">
        <v>1428</v>
      </c>
      <c r="D764" t="s">
        <v>98</v>
      </c>
      <c r="E764">
        <v>1819</v>
      </c>
      <c r="F764" t="s">
        <v>7103</v>
      </c>
      <c r="H764">
        <v>1344.48</v>
      </c>
      <c r="L764" t="s">
        <v>5922</v>
      </c>
      <c r="Q764">
        <v>1344.48</v>
      </c>
      <c r="R764">
        <v>1344.48</v>
      </c>
      <c r="U764">
        <v>1360.3</v>
      </c>
      <c r="V764">
        <v>1344.48</v>
      </c>
      <c r="X764">
        <v>1344.48</v>
      </c>
      <c r="Y764">
        <v>1819</v>
      </c>
      <c r="Z764" t="s">
        <v>5922</v>
      </c>
    </row>
    <row r="765" spans="1:26" x14ac:dyDescent="0.2">
      <c r="A765" t="s">
        <v>1160</v>
      </c>
      <c r="B765" t="s">
        <v>1429</v>
      </c>
      <c r="C765" t="s">
        <v>1430</v>
      </c>
      <c r="D765" t="s">
        <v>98</v>
      </c>
      <c r="E765">
        <v>2049</v>
      </c>
      <c r="F765" t="s">
        <v>7104</v>
      </c>
      <c r="H765">
        <v>1514.48</v>
      </c>
      <c r="L765" t="s">
        <v>5922</v>
      </c>
      <c r="Q765">
        <v>1514.48</v>
      </c>
      <c r="R765">
        <v>1514.48</v>
      </c>
      <c r="U765">
        <v>1532.3</v>
      </c>
      <c r="V765">
        <v>1514.48</v>
      </c>
      <c r="X765">
        <v>1514.48</v>
      </c>
      <c r="Y765">
        <v>2049</v>
      </c>
      <c r="Z765" t="s">
        <v>5922</v>
      </c>
    </row>
    <row r="766" spans="1:26" x14ac:dyDescent="0.2">
      <c r="A766" t="s">
        <v>1160</v>
      </c>
      <c r="B766" t="s">
        <v>1431</v>
      </c>
      <c r="C766" t="s">
        <v>1432</v>
      </c>
      <c r="D766" t="s">
        <v>98</v>
      </c>
      <c r="E766">
        <v>1619</v>
      </c>
      <c r="F766" t="s">
        <v>7105</v>
      </c>
      <c r="H766">
        <v>1196.6500000000001</v>
      </c>
      <c r="L766" t="s">
        <v>5922</v>
      </c>
      <c r="Q766">
        <v>1196.6500000000001</v>
      </c>
      <c r="R766">
        <v>1196.6500000000001</v>
      </c>
      <c r="U766">
        <v>1210.73</v>
      </c>
      <c r="V766">
        <v>1196.6500000000001</v>
      </c>
      <c r="X766">
        <v>1196.6500000000001</v>
      </c>
      <c r="Y766">
        <v>1619</v>
      </c>
      <c r="Z766" t="s">
        <v>5922</v>
      </c>
    </row>
    <row r="767" spans="1:26" x14ac:dyDescent="0.2">
      <c r="A767" t="s">
        <v>1160</v>
      </c>
      <c r="B767" t="s">
        <v>1433</v>
      </c>
      <c r="C767" t="s">
        <v>1434</v>
      </c>
      <c r="D767" t="s">
        <v>98</v>
      </c>
      <c r="E767">
        <v>1799</v>
      </c>
      <c r="F767" t="s">
        <v>5922</v>
      </c>
      <c r="G767">
        <v>1298</v>
      </c>
      <c r="H767">
        <v>1329.7</v>
      </c>
      <c r="I767">
        <v>1303.48</v>
      </c>
      <c r="J767">
        <v>1107.96</v>
      </c>
      <c r="L767" t="s">
        <v>5922</v>
      </c>
      <c r="Q767">
        <v>1329.7</v>
      </c>
      <c r="R767">
        <v>1329.7</v>
      </c>
      <c r="U767">
        <v>1345.34</v>
      </c>
      <c r="V767">
        <v>1329.7</v>
      </c>
      <c r="W767">
        <v>1439.2</v>
      </c>
      <c r="X767">
        <v>1329.7</v>
      </c>
      <c r="Y767">
        <v>1799</v>
      </c>
      <c r="Z767" t="s">
        <v>5922</v>
      </c>
    </row>
    <row r="768" spans="1:26" x14ac:dyDescent="0.2">
      <c r="A768" t="s">
        <v>1160</v>
      </c>
      <c r="B768" t="s">
        <v>1435</v>
      </c>
      <c r="C768" t="s">
        <v>1436</v>
      </c>
      <c r="D768" t="s">
        <v>98</v>
      </c>
      <c r="E768">
        <v>99999</v>
      </c>
      <c r="F768" t="s">
        <v>5922</v>
      </c>
      <c r="H768">
        <v>1107.96</v>
      </c>
      <c r="I768">
        <v>1303.48</v>
      </c>
      <c r="J768">
        <v>1107.96</v>
      </c>
      <c r="L768" t="s">
        <v>5922</v>
      </c>
      <c r="R768">
        <v>1107.96</v>
      </c>
      <c r="U768">
        <v>1112.96</v>
      </c>
      <c r="V768">
        <v>1107.96</v>
      </c>
      <c r="W768">
        <v>1199.2</v>
      </c>
      <c r="X768">
        <v>1107.96</v>
      </c>
      <c r="Y768">
        <v>1499</v>
      </c>
      <c r="Z768" t="s">
        <v>5922</v>
      </c>
    </row>
    <row r="769" spans="1:26" x14ac:dyDescent="0.2">
      <c r="A769" t="s">
        <v>1160</v>
      </c>
      <c r="B769" t="s">
        <v>1437</v>
      </c>
      <c r="C769" t="s">
        <v>1438</v>
      </c>
      <c r="D769" t="s">
        <v>98</v>
      </c>
      <c r="E769">
        <v>1799</v>
      </c>
      <c r="F769" t="s">
        <v>5922</v>
      </c>
      <c r="G769">
        <v>1799</v>
      </c>
      <c r="H769">
        <v>1107.96</v>
      </c>
      <c r="I769">
        <v>1303.48</v>
      </c>
      <c r="J769">
        <v>1107.96</v>
      </c>
      <c r="L769" t="s">
        <v>5922</v>
      </c>
      <c r="R769">
        <v>1107.96</v>
      </c>
      <c r="U769">
        <v>1329.7</v>
      </c>
      <c r="V769">
        <v>1329.7</v>
      </c>
      <c r="W769">
        <v>1439.2</v>
      </c>
      <c r="X769">
        <v>1329.7</v>
      </c>
      <c r="Y769">
        <v>1799</v>
      </c>
      <c r="Z769" t="s">
        <v>5922</v>
      </c>
    </row>
    <row r="770" spans="1:26" x14ac:dyDescent="0.2">
      <c r="A770" t="s">
        <v>1160</v>
      </c>
      <c r="B770" t="s">
        <v>1439</v>
      </c>
      <c r="C770" t="s">
        <v>1440</v>
      </c>
      <c r="D770" t="s">
        <v>98</v>
      </c>
      <c r="E770">
        <v>1999</v>
      </c>
      <c r="F770" t="s">
        <v>5922</v>
      </c>
      <c r="G770">
        <v>1999</v>
      </c>
      <c r="H770">
        <v>1477.52</v>
      </c>
      <c r="L770" t="s">
        <v>5922</v>
      </c>
      <c r="Q770">
        <v>1477.52</v>
      </c>
      <c r="R770">
        <v>1477.52</v>
      </c>
      <c r="U770">
        <v>1494.9</v>
      </c>
      <c r="V770">
        <v>1477.52</v>
      </c>
      <c r="W770">
        <v>1599.2</v>
      </c>
      <c r="X770">
        <v>1477.52</v>
      </c>
      <c r="Y770">
        <v>1999</v>
      </c>
      <c r="Z770" t="s">
        <v>5922</v>
      </c>
    </row>
    <row r="771" spans="1:26" x14ac:dyDescent="0.2">
      <c r="A771" t="s">
        <v>1160</v>
      </c>
      <c r="B771" t="s">
        <v>1441</v>
      </c>
      <c r="C771" t="s">
        <v>1442</v>
      </c>
      <c r="D771" t="s">
        <v>98</v>
      </c>
      <c r="E771">
        <v>1599</v>
      </c>
      <c r="F771" t="s">
        <v>5922</v>
      </c>
      <c r="G771">
        <v>0</v>
      </c>
      <c r="H771">
        <v>1181.8699999999999</v>
      </c>
      <c r="L771" t="s">
        <v>5922</v>
      </c>
      <c r="Q771">
        <v>1181.8699999999999</v>
      </c>
      <c r="R771">
        <v>1181.8699999999999</v>
      </c>
      <c r="U771">
        <v>1181.8699999999999</v>
      </c>
      <c r="V771">
        <v>1181.8699999999999</v>
      </c>
      <c r="W771">
        <v>1279.2</v>
      </c>
      <c r="X771">
        <v>1181.8699999999999</v>
      </c>
      <c r="Y771">
        <v>1599</v>
      </c>
      <c r="Z771" t="s">
        <v>5922</v>
      </c>
    </row>
    <row r="772" spans="1:26" x14ac:dyDescent="0.2">
      <c r="A772" t="s">
        <v>1160</v>
      </c>
      <c r="B772" t="s">
        <v>1443</v>
      </c>
      <c r="C772" t="s">
        <v>1444</v>
      </c>
      <c r="D772" t="s">
        <v>98</v>
      </c>
      <c r="E772">
        <v>1599</v>
      </c>
      <c r="F772" t="s">
        <v>5922</v>
      </c>
      <c r="H772">
        <v>1181.8699999999999</v>
      </c>
      <c r="I772">
        <v>1086.0899999999999</v>
      </c>
      <c r="J772">
        <v>923.17</v>
      </c>
      <c r="L772" t="s">
        <v>5922</v>
      </c>
      <c r="Q772">
        <v>1181.8699999999999</v>
      </c>
      <c r="R772">
        <v>1181.8699999999999</v>
      </c>
      <c r="U772">
        <v>1195.77</v>
      </c>
      <c r="V772">
        <v>1181.8699999999999</v>
      </c>
      <c r="W772">
        <v>1279.2</v>
      </c>
      <c r="X772">
        <v>1181.8699999999999</v>
      </c>
      <c r="Y772">
        <v>1599</v>
      </c>
      <c r="Z772" t="s">
        <v>5922</v>
      </c>
    </row>
    <row r="773" spans="1:26" x14ac:dyDescent="0.2">
      <c r="A773" t="s">
        <v>1160</v>
      </c>
      <c r="B773" t="s">
        <v>1445</v>
      </c>
      <c r="C773" t="s">
        <v>1446</v>
      </c>
      <c r="D773" t="s">
        <v>98</v>
      </c>
      <c r="E773">
        <v>1599</v>
      </c>
      <c r="F773" t="s">
        <v>5922</v>
      </c>
      <c r="G773">
        <v>1599</v>
      </c>
      <c r="H773">
        <v>923.17</v>
      </c>
      <c r="I773">
        <v>1086.0899999999999</v>
      </c>
      <c r="J773">
        <v>923.17</v>
      </c>
      <c r="L773" t="s">
        <v>5922</v>
      </c>
      <c r="R773">
        <v>923.17</v>
      </c>
      <c r="U773">
        <v>1181.8699999999999</v>
      </c>
      <c r="V773">
        <v>1181.8699999999999</v>
      </c>
      <c r="W773">
        <v>1279.2</v>
      </c>
      <c r="X773">
        <v>1181.8699999999999</v>
      </c>
      <c r="Y773">
        <v>1599</v>
      </c>
      <c r="Z773" t="s">
        <v>5922</v>
      </c>
    </row>
    <row r="774" spans="1:26" x14ac:dyDescent="0.2">
      <c r="A774" t="s">
        <v>1160</v>
      </c>
      <c r="B774" t="s">
        <v>1447</v>
      </c>
      <c r="C774" t="s">
        <v>1448</v>
      </c>
      <c r="D774" t="s">
        <v>98</v>
      </c>
      <c r="E774">
        <v>2019</v>
      </c>
      <c r="F774" t="s">
        <v>7106</v>
      </c>
      <c r="H774">
        <v>1492.3</v>
      </c>
      <c r="L774" t="s">
        <v>5922</v>
      </c>
      <c r="Q774">
        <v>1492.3</v>
      </c>
      <c r="R774">
        <v>1492.3</v>
      </c>
      <c r="U774">
        <v>1509.86</v>
      </c>
      <c r="V774">
        <v>1492.3</v>
      </c>
      <c r="X774">
        <v>1492.3</v>
      </c>
      <c r="Y774">
        <v>2019</v>
      </c>
      <c r="Z774" t="s">
        <v>5922</v>
      </c>
    </row>
    <row r="775" spans="1:26" x14ac:dyDescent="0.2">
      <c r="A775" t="s">
        <v>1160</v>
      </c>
      <c r="B775" t="s">
        <v>1449</v>
      </c>
      <c r="C775" t="s">
        <v>1450</v>
      </c>
      <c r="D775" t="s">
        <v>105</v>
      </c>
      <c r="E775">
        <v>2449</v>
      </c>
      <c r="F775" t="s">
        <v>7107</v>
      </c>
      <c r="H775">
        <v>1810.13</v>
      </c>
      <c r="L775" t="s">
        <v>5922</v>
      </c>
      <c r="Q775">
        <v>1810.13</v>
      </c>
      <c r="R775">
        <v>1810.13</v>
      </c>
      <c r="U775">
        <v>1831.43</v>
      </c>
      <c r="V775">
        <v>1810.13</v>
      </c>
      <c r="X775">
        <v>1810.13</v>
      </c>
      <c r="Y775">
        <v>2449</v>
      </c>
      <c r="Z775" t="s">
        <v>5922</v>
      </c>
    </row>
    <row r="776" spans="1:26" x14ac:dyDescent="0.2">
      <c r="A776" t="s">
        <v>1160</v>
      </c>
      <c r="B776" t="s">
        <v>1451</v>
      </c>
      <c r="C776" t="s">
        <v>1452</v>
      </c>
      <c r="D776" t="s">
        <v>98</v>
      </c>
      <c r="E776">
        <v>2019</v>
      </c>
      <c r="F776" t="s">
        <v>7106</v>
      </c>
      <c r="H776">
        <v>1492.3</v>
      </c>
      <c r="L776" t="s">
        <v>5922</v>
      </c>
      <c r="Q776">
        <v>1492.3</v>
      </c>
      <c r="R776">
        <v>1492.3</v>
      </c>
      <c r="U776">
        <v>1509.86</v>
      </c>
      <c r="V776">
        <v>1492.3</v>
      </c>
      <c r="X776">
        <v>1492.3</v>
      </c>
      <c r="Y776">
        <v>2019</v>
      </c>
      <c r="Z776" t="s">
        <v>5922</v>
      </c>
    </row>
    <row r="777" spans="1:26" x14ac:dyDescent="0.2">
      <c r="A777" t="s">
        <v>1160</v>
      </c>
      <c r="B777" t="s">
        <v>1453</v>
      </c>
      <c r="C777" t="s">
        <v>1454</v>
      </c>
      <c r="D777" t="s">
        <v>98</v>
      </c>
      <c r="E777">
        <v>1819</v>
      </c>
      <c r="F777" t="s">
        <v>7103</v>
      </c>
      <c r="H777">
        <v>1344.48</v>
      </c>
      <c r="L777" t="s">
        <v>5922</v>
      </c>
      <c r="Q777">
        <v>1344.48</v>
      </c>
      <c r="R777">
        <v>1344.48</v>
      </c>
      <c r="U777">
        <v>1360.3</v>
      </c>
      <c r="V777">
        <v>1344.48</v>
      </c>
      <c r="X777">
        <v>1344.48</v>
      </c>
      <c r="Y777">
        <v>1819</v>
      </c>
      <c r="Z777" t="s">
        <v>5922</v>
      </c>
    </row>
    <row r="778" spans="1:26" x14ac:dyDescent="0.2">
      <c r="A778" t="s">
        <v>1160</v>
      </c>
      <c r="B778" t="s">
        <v>1455</v>
      </c>
      <c r="C778" t="s">
        <v>1456</v>
      </c>
      <c r="D778" t="s">
        <v>98</v>
      </c>
      <c r="E778">
        <v>1999</v>
      </c>
      <c r="F778" t="s">
        <v>5922</v>
      </c>
      <c r="G778">
        <v>1999</v>
      </c>
      <c r="H778">
        <v>1181.8699999999999</v>
      </c>
      <c r="I778">
        <v>1390.43</v>
      </c>
      <c r="J778">
        <v>1181.8699999999999</v>
      </c>
      <c r="L778" t="s">
        <v>5922</v>
      </c>
      <c r="R778">
        <v>1181.8699999999999</v>
      </c>
      <c r="U778">
        <v>1477.52</v>
      </c>
      <c r="V778">
        <v>1477.52</v>
      </c>
      <c r="W778">
        <v>1599.2</v>
      </c>
      <c r="X778">
        <v>1477.52</v>
      </c>
      <c r="Y778">
        <v>1999</v>
      </c>
      <c r="Z778" t="s">
        <v>5922</v>
      </c>
    </row>
    <row r="779" spans="1:26" x14ac:dyDescent="0.2">
      <c r="A779" t="s">
        <v>1160</v>
      </c>
      <c r="B779" t="s">
        <v>1457</v>
      </c>
      <c r="C779" t="s">
        <v>1458</v>
      </c>
      <c r="D779" t="s">
        <v>98</v>
      </c>
      <c r="E779">
        <v>1999</v>
      </c>
      <c r="F779" t="s">
        <v>5922</v>
      </c>
      <c r="G779">
        <v>1999</v>
      </c>
      <c r="H779">
        <v>1477.52</v>
      </c>
      <c r="I779">
        <v>1390.43</v>
      </c>
      <c r="J779">
        <v>1181.8699999999999</v>
      </c>
      <c r="L779" t="s">
        <v>5922</v>
      </c>
      <c r="Q779">
        <v>1477.52</v>
      </c>
      <c r="R779">
        <v>1477.52</v>
      </c>
      <c r="U779">
        <v>1494.9</v>
      </c>
      <c r="V779">
        <v>1477.52</v>
      </c>
      <c r="W779">
        <v>1599.2</v>
      </c>
      <c r="X779">
        <v>1477.52</v>
      </c>
      <c r="Y779">
        <v>1999</v>
      </c>
      <c r="Z779" t="s">
        <v>5922</v>
      </c>
    </row>
    <row r="780" spans="1:26" x14ac:dyDescent="0.2">
      <c r="A780" t="s">
        <v>1160</v>
      </c>
      <c r="B780" t="s">
        <v>1459</v>
      </c>
      <c r="C780" t="s">
        <v>1460</v>
      </c>
      <c r="D780" t="s">
        <v>98</v>
      </c>
      <c r="E780">
        <v>2399</v>
      </c>
      <c r="F780" t="s">
        <v>5922</v>
      </c>
      <c r="G780">
        <v>2399</v>
      </c>
      <c r="H780">
        <v>1773.17</v>
      </c>
      <c r="L780" t="s">
        <v>5922</v>
      </c>
      <c r="Q780">
        <v>1773.17</v>
      </c>
      <c r="R780">
        <v>1773.17</v>
      </c>
      <c r="U780">
        <v>1794.03</v>
      </c>
      <c r="V780">
        <v>1773.17</v>
      </c>
      <c r="W780">
        <v>1919.2</v>
      </c>
      <c r="X780">
        <v>1793.29</v>
      </c>
      <c r="Y780">
        <v>2399</v>
      </c>
      <c r="Z780" t="s">
        <v>5922</v>
      </c>
    </row>
    <row r="781" spans="1:26" x14ac:dyDescent="0.2">
      <c r="A781" t="s">
        <v>1160</v>
      </c>
      <c r="B781" t="s">
        <v>1461</v>
      </c>
      <c r="C781" t="s">
        <v>1462</v>
      </c>
      <c r="D781" t="s">
        <v>98</v>
      </c>
      <c r="E781">
        <v>1999</v>
      </c>
      <c r="F781" t="s">
        <v>5922</v>
      </c>
      <c r="G781">
        <v>1999</v>
      </c>
      <c r="H781">
        <v>1181.8699999999999</v>
      </c>
      <c r="I781">
        <v>1390.43</v>
      </c>
      <c r="J781">
        <v>1181.8699999999999</v>
      </c>
      <c r="L781" t="s">
        <v>5922</v>
      </c>
      <c r="R781">
        <v>1181.8699999999999</v>
      </c>
      <c r="U781">
        <v>1477.52</v>
      </c>
      <c r="V781">
        <v>1477.52</v>
      </c>
      <c r="W781">
        <v>1599.2</v>
      </c>
      <c r="X781">
        <v>1477.52</v>
      </c>
      <c r="Y781">
        <v>1999</v>
      </c>
      <c r="Z781" t="s">
        <v>5922</v>
      </c>
    </row>
    <row r="782" spans="1:26" x14ac:dyDescent="0.2">
      <c r="A782" t="s">
        <v>1160</v>
      </c>
      <c r="B782" t="s">
        <v>1463</v>
      </c>
      <c r="C782" t="s">
        <v>1464</v>
      </c>
      <c r="D782" t="s">
        <v>98</v>
      </c>
      <c r="E782">
        <v>2199</v>
      </c>
      <c r="F782" t="s">
        <v>5922</v>
      </c>
      <c r="G782">
        <v>1698</v>
      </c>
      <c r="H782">
        <v>1625.35</v>
      </c>
      <c r="L782" t="s">
        <v>5922</v>
      </c>
      <c r="Q782">
        <v>1625.35</v>
      </c>
      <c r="R782">
        <v>1625.35</v>
      </c>
      <c r="U782">
        <v>1644.47</v>
      </c>
      <c r="V782">
        <v>1625.35</v>
      </c>
      <c r="W782">
        <v>1759.2</v>
      </c>
      <c r="X782">
        <v>1625.35</v>
      </c>
      <c r="Y782">
        <v>2199</v>
      </c>
      <c r="Z782" t="s">
        <v>5922</v>
      </c>
    </row>
    <row r="783" spans="1:26" x14ac:dyDescent="0.2">
      <c r="A783" t="s">
        <v>1160</v>
      </c>
      <c r="B783" t="s">
        <v>1465</v>
      </c>
      <c r="C783" t="s">
        <v>1466</v>
      </c>
      <c r="D783" t="s">
        <v>98</v>
      </c>
      <c r="E783">
        <v>1799</v>
      </c>
      <c r="F783" t="s">
        <v>5922</v>
      </c>
      <c r="H783">
        <v>1329.7</v>
      </c>
      <c r="I783">
        <v>1303.48</v>
      </c>
      <c r="J783">
        <v>1107.96</v>
      </c>
      <c r="L783" t="s">
        <v>5922</v>
      </c>
      <c r="Q783">
        <v>1329.7</v>
      </c>
      <c r="R783">
        <v>1329.7</v>
      </c>
      <c r="U783">
        <v>1345.34</v>
      </c>
      <c r="V783">
        <v>1329.7</v>
      </c>
      <c r="W783">
        <v>1439.2</v>
      </c>
      <c r="X783">
        <v>1329.7</v>
      </c>
      <c r="Y783">
        <v>1799</v>
      </c>
      <c r="Z783" t="s">
        <v>5922</v>
      </c>
    </row>
    <row r="784" spans="1:26" x14ac:dyDescent="0.2">
      <c r="A784" t="s">
        <v>1160</v>
      </c>
      <c r="B784" t="s">
        <v>1467</v>
      </c>
      <c r="C784" t="s">
        <v>1468</v>
      </c>
      <c r="D784" t="s">
        <v>105</v>
      </c>
      <c r="E784">
        <v>1999</v>
      </c>
      <c r="F784" t="s">
        <v>7095</v>
      </c>
      <c r="H784">
        <v>1477.52</v>
      </c>
      <c r="L784" t="s">
        <v>5922</v>
      </c>
      <c r="Q784">
        <v>1477.52</v>
      </c>
      <c r="R784">
        <v>1477.52</v>
      </c>
      <c r="U784">
        <v>1494.9</v>
      </c>
      <c r="V784">
        <v>1477.52</v>
      </c>
      <c r="X784">
        <v>1477.52</v>
      </c>
      <c r="Y784">
        <v>1999</v>
      </c>
      <c r="Z784" t="s">
        <v>5922</v>
      </c>
    </row>
    <row r="785" spans="1:26" x14ac:dyDescent="0.2">
      <c r="A785" t="s">
        <v>1160</v>
      </c>
      <c r="B785" t="s">
        <v>1469</v>
      </c>
      <c r="C785" t="s">
        <v>1470</v>
      </c>
      <c r="D785" t="s">
        <v>105</v>
      </c>
      <c r="E785">
        <v>2199</v>
      </c>
      <c r="F785" t="s">
        <v>7101</v>
      </c>
      <c r="H785">
        <v>1625.35</v>
      </c>
      <c r="L785" t="s">
        <v>5922</v>
      </c>
      <c r="Q785">
        <v>1625.35</v>
      </c>
      <c r="R785">
        <v>1625.35</v>
      </c>
      <c r="U785">
        <v>1644.47</v>
      </c>
      <c r="V785">
        <v>1625.35</v>
      </c>
      <c r="X785">
        <v>1625.35</v>
      </c>
      <c r="Y785">
        <v>2199</v>
      </c>
      <c r="Z785" t="s">
        <v>5922</v>
      </c>
    </row>
    <row r="786" spans="1:26" x14ac:dyDescent="0.2">
      <c r="A786" t="s">
        <v>1160</v>
      </c>
      <c r="B786" t="s">
        <v>1471</v>
      </c>
      <c r="C786" t="s">
        <v>1472</v>
      </c>
      <c r="D786" t="s">
        <v>105</v>
      </c>
      <c r="E786">
        <v>2199</v>
      </c>
      <c r="F786" t="s">
        <v>7101</v>
      </c>
      <c r="H786">
        <v>1625.35</v>
      </c>
      <c r="L786" t="s">
        <v>5922</v>
      </c>
      <c r="Q786">
        <v>1625.35</v>
      </c>
      <c r="R786">
        <v>1625.35</v>
      </c>
      <c r="U786">
        <v>1644.47</v>
      </c>
      <c r="V786">
        <v>1625.35</v>
      </c>
      <c r="X786">
        <v>1625.35</v>
      </c>
      <c r="Y786">
        <v>2199</v>
      </c>
      <c r="Z786" t="s">
        <v>5922</v>
      </c>
    </row>
    <row r="787" spans="1:26" x14ac:dyDescent="0.2">
      <c r="A787" t="s">
        <v>1160</v>
      </c>
      <c r="B787" t="s">
        <v>1473</v>
      </c>
      <c r="C787" t="s">
        <v>1474</v>
      </c>
      <c r="D787" t="s">
        <v>105</v>
      </c>
      <c r="E787">
        <v>1999</v>
      </c>
      <c r="F787" t="s">
        <v>7095</v>
      </c>
      <c r="H787">
        <v>1477.52</v>
      </c>
      <c r="L787" t="s">
        <v>5922</v>
      </c>
      <c r="Q787">
        <v>1477.52</v>
      </c>
      <c r="R787">
        <v>1477.52</v>
      </c>
      <c r="U787">
        <v>1494.9</v>
      </c>
      <c r="V787">
        <v>1477.52</v>
      </c>
      <c r="X787">
        <v>1477.52</v>
      </c>
      <c r="Y787">
        <v>1999</v>
      </c>
      <c r="Z787" t="s">
        <v>5922</v>
      </c>
    </row>
    <row r="788" spans="1:26" x14ac:dyDescent="0.2">
      <c r="A788" t="s">
        <v>1160</v>
      </c>
      <c r="B788" t="s">
        <v>1475</v>
      </c>
      <c r="C788" t="s">
        <v>1476</v>
      </c>
      <c r="D788" t="s">
        <v>105</v>
      </c>
      <c r="E788">
        <v>2199</v>
      </c>
      <c r="F788" t="s">
        <v>7101</v>
      </c>
      <c r="H788">
        <v>1625.35</v>
      </c>
      <c r="L788" t="s">
        <v>5922</v>
      </c>
      <c r="Q788">
        <v>1625.35</v>
      </c>
      <c r="R788">
        <v>1625.35</v>
      </c>
      <c r="U788">
        <v>1644.47</v>
      </c>
      <c r="V788">
        <v>1625.35</v>
      </c>
      <c r="X788">
        <v>1625.35</v>
      </c>
      <c r="Y788">
        <v>2199</v>
      </c>
      <c r="Z788" t="s">
        <v>5922</v>
      </c>
    </row>
    <row r="789" spans="1:26" x14ac:dyDescent="0.2">
      <c r="A789" t="s">
        <v>1160</v>
      </c>
      <c r="B789" t="s">
        <v>1477</v>
      </c>
      <c r="C789" t="s">
        <v>1478</v>
      </c>
      <c r="D789" t="s">
        <v>105</v>
      </c>
      <c r="E789">
        <v>2199</v>
      </c>
      <c r="F789" t="s">
        <v>7101</v>
      </c>
      <c r="H789">
        <v>1625.35</v>
      </c>
      <c r="L789" t="s">
        <v>5922</v>
      </c>
      <c r="Q789">
        <v>1625.35</v>
      </c>
      <c r="R789">
        <v>1625.35</v>
      </c>
      <c r="U789">
        <v>1644.47</v>
      </c>
      <c r="V789">
        <v>1625.35</v>
      </c>
      <c r="X789">
        <v>1625.35</v>
      </c>
      <c r="Y789">
        <v>2199</v>
      </c>
      <c r="Z789" t="s">
        <v>5922</v>
      </c>
    </row>
    <row r="790" spans="1:26" x14ac:dyDescent="0.2">
      <c r="A790" t="s">
        <v>1160</v>
      </c>
      <c r="B790" t="s">
        <v>1479</v>
      </c>
      <c r="C790" t="s">
        <v>1480</v>
      </c>
      <c r="D790" t="s">
        <v>105</v>
      </c>
      <c r="E790">
        <v>2199</v>
      </c>
      <c r="F790" t="s">
        <v>7101</v>
      </c>
      <c r="H790">
        <v>1625.35</v>
      </c>
      <c r="L790" t="s">
        <v>5922</v>
      </c>
      <c r="Q790">
        <v>1625.35</v>
      </c>
      <c r="R790">
        <v>1625.35</v>
      </c>
      <c r="U790">
        <v>1644.47</v>
      </c>
      <c r="V790">
        <v>1625.35</v>
      </c>
      <c r="X790">
        <v>1625.35</v>
      </c>
      <c r="Y790">
        <v>2199</v>
      </c>
      <c r="Z790" t="s">
        <v>5922</v>
      </c>
    </row>
    <row r="791" spans="1:26" x14ac:dyDescent="0.2">
      <c r="A791" t="s">
        <v>1160</v>
      </c>
      <c r="B791" t="s">
        <v>1481</v>
      </c>
      <c r="C791" t="s">
        <v>1482</v>
      </c>
      <c r="D791" t="s">
        <v>105</v>
      </c>
      <c r="E791">
        <v>2199</v>
      </c>
      <c r="F791" t="s">
        <v>7101</v>
      </c>
      <c r="H791">
        <v>1625.35</v>
      </c>
      <c r="L791" t="s">
        <v>5922</v>
      </c>
      <c r="Q791">
        <v>1625.35</v>
      </c>
      <c r="R791">
        <v>1625.35</v>
      </c>
      <c r="U791">
        <v>1644.47</v>
      </c>
      <c r="V791">
        <v>1625.35</v>
      </c>
      <c r="X791">
        <v>1625.35</v>
      </c>
      <c r="Y791">
        <v>2199</v>
      </c>
      <c r="Z791" t="s">
        <v>5922</v>
      </c>
    </row>
    <row r="792" spans="1:26" x14ac:dyDescent="0.2">
      <c r="A792" t="s">
        <v>1160</v>
      </c>
      <c r="B792" t="s">
        <v>1483</v>
      </c>
      <c r="C792" t="s">
        <v>1484</v>
      </c>
      <c r="D792" t="s">
        <v>105</v>
      </c>
      <c r="E792">
        <v>2199</v>
      </c>
      <c r="F792" t="s">
        <v>7101</v>
      </c>
      <c r="H792">
        <v>1625.35</v>
      </c>
      <c r="L792" t="s">
        <v>5922</v>
      </c>
      <c r="Q792">
        <v>1625.35</v>
      </c>
      <c r="R792">
        <v>1625.35</v>
      </c>
      <c r="U792">
        <v>1644.47</v>
      </c>
      <c r="V792">
        <v>1625.35</v>
      </c>
      <c r="X792">
        <v>1625.35</v>
      </c>
      <c r="Y792">
        <v>2199</v>
      </c>
      <c r="Z792" t="s">
        <v>5922</v>
      </c>
    </row>
    <row r="793" spans="1:26" x14ac:dyDescent="0.2">
      <c r="A793" t="s">
        <v>1160</v>
      </c>
      <c r="B793" t="s">
        <v>1485</v>
      </c>
      <c r="C793" t="s">
        <v>1486</v>
      </c>
      <c r="D793" t="s">
        <v>105</v>
      </c>
      <c r="E793">
        <v>2399</v>
      </c>
      <c r="F793" t="s">
        <v>7100</v>
      </c>
      <c r="H793">
        <v>1773.17</v>
      </c>
      <c r="L793" t="s">
        <v>5922</v>
      </c>
      <c r="Q793">
        <v>1773.17</v>
      </c>
      <c r="R793">
        <v>1773.17</v>
      </c>
      <c r="U793">
        <v>1794.03</v>
      </c>
      <c r="V793">
        <v>1773.17</v>
      </c>
      <c r="X793">
        <v>1773.17</v>
      </c>
      <c r="Y793">
        <v>2399</v>
      </c>
      <c r="Z793" t="s">
        <v>5922</v>
      </c>
    </row>
    <row r="794" spans="1:26" x14ac:dyDescent="0.2">
      <c r="A794" t="s">
        <v>1160</v>
      </c>
      <c r="B794" t="s">
        <v>1487</v>
      </c>
      <c r="C794" t="s">
        <v>1488</v>
      </c>
      <c r="D794" t="s">
        <v>105</v>
      </c>
      <c r="E794">
        <v>2399</v>
      </c>
      <c r="F794" t="s">
        <v>7100</v>
      </c>
      <c r="H794">
        <v>1773.17</v>
      </c>
      <c r="L794" t="s">
        <v>5922</v>
      </c>
      <c r="Q794">
        <v>1773.17</v>
      </c>
      <c r="R794">
        <v>1773.17</v>
      </c>
      <c r="U794">
        <v>1794.03</v>
      </c>
      <c r="V794">
        <v>1773.17</v>
      </c>
      <c r="X794">
        <v>1773.17</v>
      </c>
      <c r="Y794">
        <v>2399</v>
      </c>
      <c r="Z794" t="s">
        <v>5922</v>
      </c>
    </row>
    <row r="795" spans="1:26" x14ac:dyDescent="0.2">
      <c r="A795" t="s">
        <v>1160</v>
      </c>
      <c r="B795" t="s">
        <v>1489</v>
      </c>
      <c r="C795" t="s">
        <v>1490</v>
      </c>
      <c r="D795" t="s">
        <v>105</v>
      </c>
      <c r="E795">
        <v>2399</v>
      </c>
      <c r="F795" t="s">
        <v>7100</v>
      </c>
      <c r="H795">
        <v>1773.17</v>
      </c>
      <c r="L795" t="s">
        <v>5922</v>
      </c>
      <c r="Q795">
        <v>1773.17</v>
      </c>
      <c r="R795">
        <v>1773.17</v>
      </c>
      <c r="U795">
        <v>1794.03</v>
      </c>
      <c r="V795">
        <v>1773.17</v>
      </c>
      <c r="X795">
        <v>1773.17</v>
      </c>
      <c r="Y795">
        <v>2399</v>
      </c>
      <c r="Z795" t="s">
        <v>5922</v>
      </c>
    </row>
    <row r="796" spans="1:26" x14ac:dyDescent="0.2">
      <c r="A796" t="s">
        <v>1160</v>
      </c>
      <c r="B796" t="s">
        <v>1491</v>
      </c>
      <c r="C796" t="s">
        <v>1492</v>
      </c>
      <c r="D796" t="s">
        <v>105</v>
      </c>
      <c r="E796">
        <v>2399</v>
      </c>
      <c r="F796" t="s">
        <v>7100</v>
      </c>
      <c r="H796">
        <v>1773.17</v>
      </c>
      <c r="L796" t="s">
        <v>5922</v>
      </c>
      <c r="Q796">
        <v>1773.17</v>
      </c>
      <c r="R796">
        <v>1773.17</v>
      </c>
      <c r="U796">
        <v>1794.03</v>
      </c>
      <c r="V796">
        <v>1773.17</v>
      </c>
      <c r="X796">
        <v>1773.17</v>
      </c>
      <c r="Y796">
        <v>2399</v>
      </c>
      <c r="Z796" t="s">
        <v>5922</v>
      </c>
    </row>
    <row r="797" spans="1:26" x14ac:dyDescent="0.2">
      <c r="A797" t="s">
        <v>1160</v>
      </c>
      <c r="B797" t="s">
        <v>1493</v>
      </c>
      <c r="C797" t="s">
        <v>1494</v>
      </c>
      <c r="D797" t="s">
        <v>98</v>
      </c>
      <c r="E797">
        <v>1849</v>
      </c>
      <c r="F797" t="s">
        <v>5922</v>
      </c>
      <c r="G797">
        <v>1607.83</v>
      </c>
      <c r="H797">
        <v>1366.65</v>
      </c>
      <c r="I797">
        <v>1607.83</v>
      </c>
      <c r="J797">
        <v>1366.65</v>
      </c>
      <c r="K797">
        <v>1286.26</v>
      </c>
      <c r="L797" t="s">
        <v>5922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1286.26</v>
      </c>
      <c r="S797">
        <v>0</v>
      </c>
      <c r="T797">
        <v>0</v>
      </c>
      <c r="U797">
        <v>1323.42</v>
      </c>
      <c r="V797">
        <v>1318.42</v>
      </c>
      <c r="W797">
        <v>1463.12</v>
      </c>
      <c r="X797">
        <v>1318.42</v>
      </c>
      <c r="Y797">
        <v>1849</v>
      </c>
      <c r="Z797" t="s">
        <v>5922</v>
      </c>
    </row>
    <row r="798" spans="1:26" x14ac:dyDescent="0.2">
      <c r="A798" t="s">
        <v>1160</v>
      </c>
      <c r="B798" t="s">
        <v>1495</v>
      </c>
      <c r="C798" t="s">
        <v>1496</v>
      </c>
      <c r="D798" t="s">
        <v>105</v>
      </c>
      <c r="E798">
        <v>1629</v>
      </c>
      <c r="F798" t="s">
        <v>7108</v>
      </c>
      <c r="H798">
        <v>1204.04</v>
      </c>
      <c r="L798" t="s">
        <v>5922</v>
      </c>
      <c r="Q798">
        <v>1204.04</v>
      </c>
      <c r="R798">
        <v>1204.04</v>
      </c>
      <c r="U798">
        <v>1218.21</v>
      </c>
      <c r="V798">
        <v>1204.04</v>
      </c>
      <c r="X798">
        <v>1204.04</v>
      </c>
      <c r="Y798">
        <v>1629</v>
      </c>
      <c r="Z798" t="s">
        <v>5922</v>
      </c>
    </row>
    <row r="799" spans="1:26" x14ac:dyDescent="0.2">
      <c r="A799" t="s">
        <v>1160</v>
      </c>
      <c r="B799" t="s">
        <v>1497</v>
      </c>
      <c r="C799" t="s">
        <v>1498</v>
      </c>
      <c r="D799" t="s">
        <v>105</v>
      </c>
      <c r="E799">
        <v>1629</v>
      </c>
      <c r="F799" t="s">
        <v>7108</v>
      </c>
      <c r="H799">
        <v>1204.04</v>
      </c>
      <c r="L799" t="s">
        <v>5922</v>
      </c>
      <c r="Q799">
        <v>1204.04</v>
      </c>
      <c r="R799">
        <v>1204.04</v>
      </c>
      <c r="U799">
        <v>1218.21</v>
      </c>
      <c r="V799">
        <v>1204.04</v>
      </c>
      <c r="X799">
        <v>1204.04</v>
      </c>
      <c r="Y799">
        <v>1629</v>
      </c>
      <c r="Z799" t="s">
        <v>5922</v>
      </c>
    </row>
    <row r="800" spans="1:26" x14ac:dyDescent="0.2">
      <c r="A800" t="s">
        <v>1160</v>
      </c>
      <c r="B800" t="s">
        <v>1499</v>
      </c>
      <c r="C800" t="s">
        <v>1500</v>
      </c>
      <c r="D800" t="s">
        <v>105</v>
      </c>
      <c r="E800">
        <v>499</v>
      </c>
      <c r="F800" t="s">
        <v>7062</v>
      </c>
      <c r="H800">
        <v>368.83</v>
      </c>
      <c r="L800" t="s">
        <v>5922</v>
      </c>
      <c r="Q800">
        <v>368.83</v>
      </c>
      <c r="R800">
        <v>368.83</v>
      </c>
      <c r="U800">
        <v>373.17</v>
      </c>
      <c r="V800">
        <v>368.83</v>
      </c>
      <c r="X800">
        <v>368.83</v>
      </c>
      <c r="Y800">
        <v>499</v>
      </c>
      <c r="Z800" t="s">
        <v>5922</v>
      </c>
    </row>
    <row r="801" spans="1:26" x14ac:dyDescent="0.2">
      <c r="A801" t="s">
        <v>1160</v>
      </c>
      <c r="B801" t="s">
        <v>1501</v>
      </c>
      <c r="C801" t="s">
        <v>1502</v>
      </c>
      <c r="D801" t="s">
        <v>105</v>
      </c>
      <c r="E801">
        <v>499</v>
      </c>
      <c r="F801" t="s">
        <v>7062</v>
      </c>
      <c r="H801">
        <v>368.83</v>
      </c>
      <c r="L801" t="s">
        <v>5922</v>
      </c>
      <c r="Q801">
        <v>368.83</v>
      </c>
      <c r="R801">
        <v>368.83</v>
      </c>
      <c r="U801">
        <v>373.17</v>
      </c>
      <c r="V801">
        <v>368.83</v>
      </c>
      <c r="X801">
        <v>368.83</v>
      </c>
      <c r="Y801">
        <v>499</v>
      </c>
      <c r="Z801" t="s">
        <v>5922</v>
      </c>
    </row>
    <row r="802" spans="1:26" x14ac:dyDescent="0.2">
      <c r="A802" t="s">
        <v>1160</v>
      </c>
      <c r="B802" t="s">
        <v>1503</v>
      </c>
      <c r="C802" t="s">
        <v>1504</v>
      </c>
      <c r="D802" t="s">
        <v>105</v>
      </c>
      <c r="E802">
        <v>599</v>
      </c>
      <c r="F802" t="s">
        <v>6941</v>
      </c>
      <c r="H802">
        <v>442.74</v>
      </c>
      <c r="L802" t="s">
        <v>5922</v>
      </c>
      <c r="Q802">
        <v>442.74</v>
      </c>
      <c r="R802">
        <v>442.74</v>
      </c>
      <c r="U802">
        <v>447.95</v>
      </c>
      <c r="V802">
        <v>442.74</v>
      </c>
      <c r="X802">
        <v>442.74</v>
      </c>
      <c r="Y802">
        <v>599</v>
      </c>
      <c r="Z802" t="s">
        <v>5922</v>
      </c>
    </row>
    <row r="803" spans="1:26" x14ac:dyDescent="0.2">
      <c r="A803" t="s">
        <v>1160</v>
      </c>
      <c r="B803" t="s">
        <v>1505</v>
      </c>
      <c r="C803" t="s">
        <v>1506</v>
      </c>
      <c r="D803" t="s">
        <v>105</v>
      </c>
      <c r="E803">
        <v>599</v>
      </c>
      <c r="F803" t="s">
        <v>6941</v>
      </c>
      <c r="H803">
        <v>442.74</v>
      </c>
      <c r="L803" t="s">
        <v>5922</v>
      </c>
      <c r="Q803">
        <v>442.74</v>
      </c>
      <c r="R803">
        <v>442.74</v>
      </c>
      <c r="U803">
        <v>447.95</v>
      </c>
      <c r="V803">
        <v>442.74</v>
      </c>
      <c r="X803">
        <v>442.74</v>
      </c>
      <c r="Y803">
        <v>599</v>
      </c>
      <c r="Z803" t="s">
        <v>5922</v>
      </c>
    </row>
    <row r="804" spans="1:26" x14ac:dyDescent="0.2">
      <c r="A804" t="s">
        <v>1160</v>
      </c>
      <c r="B804" t="s">
        <v>1507</v>
      </c>
      <c r="C804" t="s">
        <v>1508</v>
      </c>
      <c r="D804" t="s">
        <v>105</v>
      </c>
      <c r="E804">
        <v>599</v>
      </c>
      <c r="F804" t="s">
        <v>6941</v>
      </c>
      <c r="H804">
        <v>442.74</v>
      </c>
      <c r="L804" t="s">
        <v>5922</v>
      </c>
      <c r="Q804">
        <v>442.74</v>
      </c>
      <c r="R804">
        <v>442.74</v>
      </c>
      <c r="U804">
        <v>447.95</v>
      </c>
      <c r="V804">
        <v>442.74</v>
      </c>
      <c r="X804">
        <v>442.74</v>
      </c>
      <c r="Y804">
        <v>599</v>
      </c>
      <c r="Z804" t="s">
        <v>5922</v>
      </c>
    </row>
    <row r="805" spans="1:26" x14ac:dyDescent="0.2">
      <c r="A805" t="s">
        <v>1160</v>
      </c>
      <c r="B805" t="s">
        <v>1509</v>
      </c>
      <c r="C805" t="s">
        <v>1510</v>
      </c>
      <c r="D805" t="s">
        <v>105</v>
      </c>
      <c r="E805">
        <v>599</v>
      </c>
      <c r="F805" t="s">
        <v>6941</v>
      </c>
      <c r="H805">
        <v>442.74</v>
      </c>
      <c r="L805" t="s">
        <v>5922</v>
      </c>
      <c r="Q805">
        <v>442.74</v>
      </c>
      <c r="R805">
        <v>442.74</v>
      </c>
      <c r="U805">
        <v>447.95</v>
      </c>
      <c r="V805">
        <v>442.74</v>
      </c>
      <c r="X805">
        <v>442.74</v>
      </c>
      <c r="Y805">
        <v>599</v>
      </c>
      <c r="Z805" t="s">
        <v>5922</v>
      </c>
    </row>
    <row r="806" spans="1:26" x14ac:dyDescent="0.2">
      <c r="A806" t="s">
        <v>1160</v>
      </c>
      <c r="B806" t="s">
        <v>1511</v>
      </c>
      <c r="C806" t="s">
        <v>1512</v>
      </c>
      <c r="D806" t="s">
        <v>98</v>
      </c>
      <c r="E806">
        <v>699</v>
      </c>
      <c r="F806" t="s">
        <v>5922</v>
      </c>
      <c r="G806">
        <v>699</v>
      </c>
      <c r="H806">
        <v>472.3</v>
      </c>
      <c r="I806">
        <v>555.65</v>
      </c>
      <c r="J806">
        <v>472.3</v>
      </c>
      <c r="K806">
        <v>444.52</v>
      </c>
      <c r="L806" t="s">
        <v>5922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444.52</v>
      </c>
      <c r="S806">
        <v>0</v>
      </c>
      <c r="T806">
        <v>0</v>
      </c>
      <c r="U806">
        <v>498.42</v>
      </c>
      <c r="V806">
        <v>498.42</v>
      </c>
      <c r="W806">
        <v>553.12</v>
      </c>
      <c r="X806">
        <v>498.42</v>
      </c>
      <c r="Y806">
        <v>699</v>
      </c>
      <c r="Z806" t="s">
        <v>5922</v>
      </c>
    </row>
    <row r="807" spans="1:26" x14ac:dyDescent="0.2">
      <c r="A807" t="s">
        <v>1160</v>
      </c>
      <c r="B807" t="s">
        <v>1513</v>
      </c>
      <c r="C807" t="s">
        <v>1514</v>
      </c>
      <c r="D807" t="s">
        <v>98</v>
      </c>
      <c r="E807">
        <v>699</v>
      </c>
      <c r="F807" t="s">
        <v>5922</v>
      </c>
      <c r="G807">
        <v>349.99</v>
      </c>
      <c r="H807">
        <v>472.3</v>
      </c>
      <c r="I807">
        <v>555.65</v>
      </c>
      <c r="J807">
        <v>472.3</v>
      </c>
      <c r="K807">
        <v>444.52</v>
      </c>
      <c r="L807" t="s">
        <v>5922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444.52</v>
      </c>
      <c r="S807">
        <v>0</v>
      </c>
      <c r="T807">
        <v>0</v>
      </c>
      <c r="U807">
        <v>498.42</v>
      </c>
      <c r="V807">
        <v>498.42</v>
      </c>
      <c r="W807">
        <v>553.12</v>
      </c>
      <c r="X807">
        <v>498.42</v>
      </c>
      <c r="Y807">
        <v>699</v>
      </c>
      <c r="Z807" t="s">
        <v>5922</v>
      </c>
    </row>
    <row r="808" spans="1:26" x14ac:dyDescent="0.2">
      <c r="A808" t="s">
        <v>1160</v>
      </c>
      <c r="B808" t="s">
        <v>1515</v>
      </c>
      <c r="C808" t="s">
        <v>1516</v>
      </c>
      <c r="D808" t="s">
        <v>98</v>
      </c>
      <c r="E808">
        <v>639</v>
      </c>
      <c r="F808" t="s">
        <v>5922</v>
      </c>
      <c r="G808">
        <v>555.65</v>
      </c>
      <c r="H808">
        <v>472.3</v>
      </c>
      <c r="I808">
        <v>555.65</v>
      </c>
      <c r="J808">
        <v>472.3</v>
      </c>
      <c r="K808">
        <v>444.52</v>
      </c>
      <c r="L808" t="s">
        <v>5922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444.52</v>
      </c>
      <c r="S808">
        <v>0</v>
      </c>
      <c r="T808">
        <v>0</v>
      </c>
      <c r="U808">
        <v>498.42</v>
      </c>
      <c r="V808">
        <v>498.42</v>
      </c>
      <c r="W808">
        <v>553.12</v>
      </c>
      <c r="X808">
        <v>498.42</v>
      </c>
      <c r="Y808">
        <v>699</v>
      </c>
      <c r="Z808" t="s">
        <v>5922</v>
      </c>
    </row>
    <row r="809" spans="1:26" x14ac:dyDescent="0.2">
      <c r="A809" t="s">
        <v>1160</v>
      </c>
      <c r="B809" t="s">
        <v>1517</v>
      </c>
      <c r="C809" t="s">
        <v>1518</v>
      </c>
      <c r="D809" t="s">
        <v>98</v>
      </c>
      <c r="E809">
        <v>729</v>
      </c>
      <c r="F809" t="s">
        <v>5922</v>
      </c>
      <c r="H809">
        <v>538.83000000000004</v>
      </c>
      <c r="L809" t="s">
        <v>5922</v>
      </c>
      <c r="Q809">
        <v>538.83000000000004</v>
      </c>
      <c r="R809">
        <v>538.83000000000004</v>
      </c>
      <c r="U809">
        <v>545.16999999999996</v>
      </c>
      <c r="V809">
        <v>545.16999999999996</v>
      </c>
      <c r="W809">
        <v>583.20000000000005</v>
      </c>
      <c r="X809">
        <v>545.16999999999996</v>
      </c>
      <c r="Y809">
        <v>729</v>
      </c>
      <c r="Z809" t="s">
        <v>5922</v>
      </c>
    </row>
    <row r="810" spans="1:26" x14ac:dyDescent="0.2">
      <c r="A810" t="s">
        <v>1160</v>
      </c>
      <c r="B810" t="s">
        <v>1519</v>
      </c>
      <c r="C810" t="s">
        <v>1520</v>
      </c>
      <c r="D810" t="s">
        <v>98</v>
      </c>
      <c r="E810">
        <v>729</v>
      </c>
      <c r="F810" t="s">
        <v>5922</v>
      </c>
      <c r="H810">
        <v>538.83000000000004</v>
      </c>
      <c r="L810" t="s">
        <v>5922</v>
      </c>
      <c r="Q810">
        <v>538.83000000000004</v>
      </c>
      <c r="R810">
        <v>538.83000000000004</v>
      </c>
      <c r="U810">
        <v>545.16999999999996</v>
      </c>
      <c r="V810">
        <v>545.16999999999996</v>
      </c>
      <c r="W810">
        <v>583.20000000000005</v>
      </c>
      <c r="X810">
        <v>545.16999999999996</v>
      </c>
      <c r="Y810">
        <v>729</v>
      </c>
      <c r="Z810" t="s">
        <v>5922</v>
      </c>
    </row>
    <row r="811" spans="1:26" x14ac:dyDescent="0.2">
      <c r="A811" t="s">
        <v>1160</v>
      </c>
      <c r="B811" t="s">
        <v>1521</v>
      </c>
      <c r="C811" t="s">
        <v>1522</v>
      </c>
      <c r="D811" t="s">
        <v>98</v>
      </c>
      <c r="E811">
        <v>829</v>
      </c>
      <c r="F811" t="s">
        <v>7109</v>
      </c>
      <c r="H811">
        <v>612.74</v>
      </c>
      <c r="L811" t="s">
        <v>5922</v>
      </c>
      <c r="Q811">
        <v>612.74</v>
      </c>
      <c r="R811">
        <v>612.74</v>
      </c>
      <c r="U811">
        <v>619.95000000000005</v>
      </c>
      <c r="V811">
        <v>619.95000000000005</v>
      </c>
      <c r="X811">
        <v>619.95000000000005</v>
      </c>
      <c r="Y811">
        <v>829</v>
      </c>
      <c r="Z811" t="s">
        <v>5922</v>
      </c>
    </row>
    <row r="812" spans="1:26" x14ac:dyDescent="0.2">
      <c r="A812" t="s">
        <v>1160</v>
      </c>
      <c r="B812" t="s">
        <v>1523</v>
      </c>
      <c r="C812" t="s">
        <v>1524</v>
      </c>
      <c r="D812" t="s">
        <v>98</v>
      </c>
      <c r="E812">
        <v>829</v>
      </c>
      <c r="F812" t="s">
        <v>7109</v>
      </c>
      <c r="G812">
        <v>829</v>
      </c>
      <c r="H812">
        <v>612.74</v>
      </c>
      <c r="L812" t="s">
        <v>5922</v>
      </c>
      <c r="Q812">
        <v>612.74</v>
      </c>
      <c r="R812">
        <v>612.74</v>
      </c>
      <c r="U812">
        <v>619.95000000000005</v>
      </c>
      <c r="V812">
        <v>619.95000000000005</v>
      </c>
      <c r="W812">
        <v>663.2</v>
      </c>
      <c r="X812">
        <v>619.95000000000005</v>
      </c>
      <c r="Y812">
        <v>829</v>
      </c>
      <c r="Z812" t="s">
        <v>5922</v>
      </c>
    </row>
    <row r="813" spans="1:26" x14ac:dyDescent="0.2">
      <c r="A813" t="s">
        <v>1160</v>
      </c>
      <c r="B813" t="s">
        <v>1525</v>
      </c>
      <c r="C813" t="s">
        <v>1526</v>
      </c>
      <c r="D813" t="s">
        <v>98</v>
      </c>
      <c r="E813">
        <v>729</v>
      </c>
      <c r="F813" t="s">
        <v>5922</v>
      </c>
      <c r="H813">
        <v>538.83000000000004</v>
      </c>
      <c r="L813" t="s">
        <v>5922</v>
      </c>
      <c r="Q813">
        <v>538.83000000000004</v>
      </c>
      <c r="R813">
        <v>538.83000000000004</v>
      </c>
      <c r="U813">
        <v>545.16999999999996</v>
      </c>
      <c r="V813">
        <v>545.16999999999996</v>
      </c>
      <c r="W813">
        <v>583.20000000000005</v>
      </c>
      <c r="X813">
        <v>545.16999999999996</v>
      </c>
      <c r="Y813">
        <v>729</v>
      </c>
      <c r="Z813" t="s">
        <v>5922</v>
      </c>
    </row>
    <row r="814" spans="1:26" x14ac:dyDescent="0.2">
      <c r="A814" t="s">
        <v>1160</v>
      </c>
      <c r="B814" t="s">
        <v>1527</v>
      </c>
      <c r="C814" t="s">
        <v>1528</v>
      </c>
      <c r="D814" t="s">
        <v>98</v>
      </c>
      <c r="E814">
        <v>729</v>
      </c>
      <c r="F814" t="s">
        <v>5922</v>
      </c>
      <c r="H814">
        <v>538.83000000000004</v>
      </c>
      <c r="L814" t="s">
        <v>5922</v>
      </c>
      <c r="Q814">
        <v>538.83000000000004</v>
      </c>
      <c r="R814">
        <v>538.83000000000004</v>
      </c>
      <c r="U814">
        <v>545.16999999999996</v>
      </c>
      <c r="V814">
        <v>545.16999999999996</v>
      </c>
      <c r="W814">
        <v>583.20000000000005</v>
      </c>
      <c r="X814">
        <v>545.16999999999996</v>
      </c>
      <c r="Y814">
        <v>729</v>
      </c>
      <c r="Z814" t="s">
        <v>5922</v>
      </c>
    </row>
    <row r="815" spans="1:26" x14ac:dyDescent="0.2">
      <c r="A815" t="s">
        <v>1160</v>
      </c>
      <c r="B815" t="s">
        <v>1529</v>
      </c>
      <c r="C815" t="s">
        <v>1530</v>
      </c>
      <c r="D815" t="s">
        <v>98</v>
      </c>
      <c r="E815">
        <v>829</v>
      </c>
      <c r="F815" t="s">
        <v>5922</v>
      </c>
      <c r="G815">
        <v>829</v>
      </c>
      <c r="H815">
        <v>612.74</v>
      </c>
      <c r="L815" t="s">
        <v>5922</v>
      </c>
      <c r="Q815">
        <v>612.74</v>
      </c>
      <c r="R815">
        <v>612.74</v>
      </c>
      <c r="U815">
        <v>619.95000000000005</v>
      </c>
      <c r="V815">
        <v>619.95000000000005</v>
      </c>
      <c r="W815">
        <v>663.2</v>
      </c>
      <c r="X815">
        <v>619.95000000000005</v>
      </c>
      <c r="Y815">
        <v>829</v>
      </c>
      <c r="Z815" t="s">
        <v>5922</v>
      </c>
    </row>
    <row r="816" spans="1:26" x14ac:dyDescent="0.2">
      <c r="A816" t="s">
        <v>1160</v>
      </c>
      <c r="B816" t="s">
        <v>1531</v>
      </c>
      <c r="C816" t="s">
        <v>1532</v>
      </c>
      <c r="D816" t="s">
        <v>98</v>
      </c>
      <c r="E816">
        <v>829</v>
      </c>
      <c r="F816" t="s">
        <v>5922</v>
      </c>
      <c r="G816">
        <v>829</v>
      </c>
      <c r="H816">
        <v>612.74</v>
      </c>
      <c r="L816" t="s">
        <v>5922</v>
      </c>
      <c r="Q816">
        <v>612.74</v>
      </c>
      <c r="R816">
        <v>612.74</v>
      </c>
      <c r="U816">
        <v>619.95000000000005</v>
      </c>
      <c r="V816">
        <v>619.95000000000005</v>
      </c>
      <c r="W816">
        <v>663.2</v>
      </c>
      <c r="X816">
        <v>619.95000000000005</v>
      </c>
      <c r="Y816">
        <v>829</v>
      </c>
      <c r="Z816" t="s">
        <v>5922</v>
      </c>
    </row>
    <row r="817" spans="1:26" x14ac:dyDescent="0.2">
      <c r="A817" t="s">
        <v>1160</v>
      </c>
      <c r="B817" t="s">
        <v>1533</v>
      </c>
      <c r="C817" t="s">
        <v>1534</v>
      </c>
      <c r="D817" t="s">
        <v>105</v>
      </c>
      <c r="E817">
        <v>899</v>
      </c>
      <c r="F817" t="s">
        <v>7046</v>
      </c>
      <c r="H817">
        <v>664.48</v>
      </c>
      <c r="L817" t="s">
        <v>5922</v>
      </c>
      <c r="Q817">
        <v>664.48</v>
      </c>
      <c r="R817">
        <v>664.48</v>
      </c>
      <c r="U817">
        <v>672.3</v>
      </c>
      <c r="V817">
        <v>664.48</v>
      </c>
      <c r="X817">
        <v>664.48</v>
      </c>
      <c r="Y817">
        <v>899</v>
      </c>
      <c r="Z817" t="s">
        <v>5922</v>
      </c>
    </row>
    <row r="818" spans="1:26" x14ac:dyDescent="0.2">
      <c r="A818" t="s">
        <v>1160</v>
      </c>
      <c r="B818" t="s">
        <v>1535</v>
      </c>
      <c r="C818" t="s">
        <v>1536</v>
      </c>
      <c r="D818" t="s">
        <v>105</v>
      </c>
      <c r="E818">
        <v>899</v>
      </c>
      <c r="F818" t="s">
        <v>7046</v>
      </c>
      <c r="H818">
        <v>664.48</v>
      </c>
      <c r="L818" t="s">
        <v>5922</v>
      </c>
      <c r="Q818">
        <v>664.48</v>
      </c>
      <c r="R818">
        <v>664.48</v>
      </c>
      <c r="U818">
        <v>672.3</v>
      </c>
      <c r="V818">
        <v>664.48</v>
      </c>
      <c r="X818">
        <v>664.48</v>
      </c>
      <c r="Y818">
        <v>899</v>
      </c>
      <c r="Z818" t="s">
        <v>5922</v>
      </c>
    </row>
    <row r="819" spans="1:26" x14ac:dyDescent="0.2">
      <c r="A819" t="s">
        <v>1160</v>
      </c>
      <c r="B819" t="s">
        <v>1537</v>
      </c>
      <c r="C819" t="s">
        <v>1538</v>
      </c>
      <c r="D819" t="s">
        <v>105</v>
      </c>
      <c r="E819">
        <v>899</v>
      </c>
      <c r="F819" t="s">
        <v>7046</v>
      </c>
      <c r="H819">
        <v>664.48</v>
      </c>
      <c r="L819" t="s">
        <v>5922</v>
      </c>
      <c r="Q819">
        <v>664.48</v>
      </c>
      <c r="R819">
        <v>664.48</v>
      </c>
      <c r="U819">
        <v>672.3</v>
      </c>
      <c r="V819">
        <v>664.48</v>
      </c>
      <c r="X819">
        <v>664.48</v>
      </c>
      <c r="Y819">
        <v>899</v>
      </c>
      <c r="Z819" t="s">
        <v>5922</v>
      </c>
    </row>
    <row r="820" spans="1:26" x14ac:dyDescent="0.2">
      <c r="A820" t="s">
        <v>1160</v>
      </c>
      <c r="B820" t="s">
        <v>1539</v>
      </c>
      <c r="C820" t="s">
        <v>1540</v>
      </c>
      <c r="D820" t="s">
        <v>105</v>
      </c>
      <c r="E820">
        <v>899</v>
      </c>
      <c r="F820" t="s">
        <v>7046</v>
      </c>
      <c r="H820">
        <v>664.48</v>
      </c>
      <c r="L820" t="s">
        <v>5922</v>
      </c>
      <c r="Q820">
        <v>664.48</v>
      </c>
      <c r="R820">
        <v>664.48</v>
      </c>
      <c r="U820">
        <v>672.3</v>
      </c>
      <c r="V820">
        <v>664.48</v>
      </c>
      <c r="X820">
        <v>664.48</v>
      </c>
      <c r="Y820">
        <v>899</v>
      </c>
      <c r="Z820" t="s">
        <v>5922</v>
      </c>
    </row>
    <row r="821" spans="1:26" x14ac:dyDescent="0.2">
      <c r="A821" t="s">
        <v>1160</v>
      </c>
      <c r="B821" t="s">
        <v>1541</v>
      </c>
      <c r="C821" t="s">
        <v>1542</v>
      </c>
      <c r="D821" t="s">
        <v>105</v>
      </c>
      <c r="E821">
        <v>899</v>
      </c>
      <c r="F821" t="s">
        <v>7046</v>
      </c>
      <c r="H821">
        <v>664.48</v>
      </c>
      <c r="L821" t="s">
        <v>5922</v>
      </c>
      <c r="Q821">
        <v>664.48</v>
      </c>
      <c r="R821">
        <v>664.48</v>
      </c>
      <c r="U821">
        <v>672.3</v>
      </c>
      <c r="V821">
        <v>664.48</v>
      </c>
      <c r="X821">
        <v>664.48</v>
      </c>
      <c r="Y821">
        <v>899</v>
      </c>
      <c r="Z821" t="s">
        <v>5922</v>
      </c>
    </row>
    <row r="822" spans="1:26" x14ac:dyDescent="0.2">
      <c r="A822" t="s">
        <v>1160</v>
      </c>
      <c r="B822" t="s">
        <v>1543</v>
      </c>
      <c r="C822" t="s">
        <v>1544</v>
      </c>
      <c r="D822" t="s">
        <v>105</v>
      </c>
      <c r="E822">
        <v>899</v>
      </c>
      <c r="F822" t="s">
        <v>7046</v>
      </c>
      <c r="H822">
        <v>664.48</v>
      </c>
      <c r="L822" t="s">
        <v>5922</v>
      </c>
      <c r="Q822">
        <v>664.48</v>
      </c>
      <c r="R822">
        <v>664.48</v>
      </c>
      <c r="U822">
        <v>672.3</v>
      </c>
      <c r="V822">
        <v>664.48</v>
      </c>
      <c r="X822">
        <v>664.48</v>
      </c>
      <c r="Y822">
        <v>899</v>
      </c>
      <c r="Z822" t="s">
        <v>5922</v>
      </c>
    </row>
    <row r="823" spans="1:26" x14ac:dyDescent="0.2">
      <c r="A823" t="s">
        <v>1160</v>
      </c>
      <c r="B823" t="s">
        <v>1545</v>
      </c>
      <c r="C823" t="s">
        <v>1546</v>
      </c>
      <c r="D823" t="s">
        <v>98</v>
      </c>
      <c r="E823">
        <v>369</v>
      </c>
      <c r="F823" t="s">
        <v>5922</v>
      </c>
      <c r="G823">
        <v>320.87</v>
      </c>
      <c r="H823">
        <v>272.74</v>
      </c>
      <c r="I823">
        <v>272.74</v>
      </c>
      <c r="J823">
        <v>272.74</v>
      </c>
      <c r="K823">
        <v>256.7</v>
      </c>
      <c r="L823" t="s">
        <v>5922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256.7</v>
      </c>
      <c r="S823">
        <v>0</v>
      </c>
      <c r="T823">
        <v>0</v>
      </c>
      <c r="U823">
        <v>263.11</v>
      </c>
      <c r="V823">
        <v>263.11</v>
      </c>
      <c r="W823">
        <v>291.99</v>
      </c>
      <c r="X823">
        <v>263.11</v>
      </c>
      <c r="Y823">
        <v>369</v>
      </c>
      <c r="Z823" t="s">
        <v>5922</v>
      </c>
    </row>
    <row r="824" spans="1:26" x14ac:dyDescent="0.2">
      <c r="A824" t="s">
        <v>1160</v>
      </c>
      <c r="B824" t="s">
        <v>1547</v>
      </c>
      <c r="C824" t="s">
        <v>1548</v>
      </c>
      <c r="D824" t="s">
        <v>98</v>
      </c>
      <c r="E824">
        <v>369</v>
      </c>
      <c r="F824" t="s">
        <v>5922</v>
      </c>
      <c r="G824">
        <v>320.87</v>
      </c>
      <c r="H824">
        <v>272.74</v>
      </c>
      <c r="I824">
        <v>272.74</v>
      </c>
      <c r="J824">
        <v>272.74</v>
      </c>
      <c r="K824">
        <v>256.7</v>
      </c>
      <c r="L824" t="s">
        <v>5922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256.7</v>
      </c>
      <c r="S824">
        <v>0</v>
      </c>
      <c r="T824">
        <v>0</v>
      </c>
      <c r="U824">
        <v>263.11</v>
      </c>
      <c r="V824">
        <v>263.11</v>
      </c>
      <c r="W824">
        <v>291.99</v>
      </c>
      <c r="X824">
        <v>263.11</v>
      </c>
      <c r="Y824">
        <v>369</v>
      </c>
      <c r="Z824" t="s">
        <v>5922</v>
      </c>
    </row>
    <row r="825" spans="1:26" x14ac:dyDescent="0.2">
      <c r="A825" t="s">
        <v>1160</v>
      </c>
      <c r="B825" t="s">
        <v>1549</v>
      </c>
      <c r="C825" t="s">
        <v>1550</v>
      </c>
      <c r="D825" t="s">
        <v>98</v>
      </c>
      <c r="E825">
        <v>369</v>
      </c>
      <c r="F825" t="s">
        <v>5922</v>
      </c>
      <c r="G825">
        <v>320.87</v>
      </c>
      <c r="H825">
        <v>272.74</v>
      </c>
      <c r="I825">
        <v>320.87</v>
      </c>
      <c r="J825">
        <v>272.74</v>
      </c>
      <c r="K825">
        <v>256.7</v>
      </c>
      <c r="L825" t="s">
        <v>5922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256.7</v>
      </c>
      <c r="S825">
        <v>0</v>
      </c>
      <c r="T825">
        <v>0</v>
      </c>
      <c r="U825">
        <v>263.11</v>
      </c>
      <c r="V825">
        <v>263.11</v>
      </c>
      <c r="W825">
        <v>291.99</v>
      </c>
      <c r="X825">
        <v>263.11</v>
      </c>
      <c r="Y825">
        <v>369</v>
      </c>
      <c r="Z825" t="s">
        <v>5922</v>
      </c>
    </row>
    <row r="826" spans="1:26" x14ac:dyDescent="0.2">
      <c r="A826" t="s">
        <v>1160</v>
      </c>
      <c r="B826" t="s">
        <v>1551</v>
      </c>
      <c r="C826" t="s">
        <v>1552</v>
      </c>
      <c r="D826" t="s">
        <v>98</v>
      </c>
      <c r="E826">
        <v>369</v>
      </c>
      <c r="F826" t="s">
        <v>5922</v>
      </c>
      <c r="G826">
        <v>320.87</v>
      </c>
      <c r="H826">
        <v>272.74</v>
      </c>
      <c r="I826">
        <v>320.87</v>
      </c>
      <c r="J826">
        <v>272.74</v>
      </c>
      <c r="K826">
        <v>256.7</v>
      </c>
      <c r="L826" t="s">
        <v>5922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256.7</v>
      </c>
      <c r="S826">
        <v>0</v>
      </c>
      <c r="T826">
        <v>0</v>
      </c>
      <c r="U826">
        <v>263.11</v>
      </c>
      <c r="V826">
        <v>263.11</v>
      </c>
      <c r="W826">
        <v>291.99</v>
      </c>
      <c r="X826">
        <v>263.11</v>
      </c>
      <c r="Y826">
        <v>369</v>
      </c>
      <c r="Z826" t="s">
        <v>5922</v>
      </c>
    </row>
    <row r="827" spans="1:26" x14ac:dyDescent="0.2">
      <c r="A827" t="s">
        <v>1160</v>
      </c>
      <c r="B827" t="s">
        <v>1553</v>
      </c>
      <c r="C827" t="s">
        <v>1554</v>
      </c>
      <c r="D827" t="s">
        <v>98</v>
      </c>
      <c r="E827">
        <v>369</v>
      </c>
      <c r="F827" t="s">
        <v>5922</v>
      </c>
      <c r="G827">
        <v>320.87</v>
      </c>
      <c r="H827">
        <v>272.74</v>
      </c>
      <c r="I827">
        <v>272.74</v>
      </c>
      <c r="J827">
        <v>272.74</v>
      </c>
      <c r="K827">
        <v>256.7</v>
      </c>
      <c r="L827" t="s">
        <v>5922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256.7</v>
      </c>
      <c r="S827">
        <v>0</v>
      </c>
      <c r="T827">
        <v>0</v>
      </c>
      <c r="U827">
        <v>263.11</v>
      </c>
      <c r="V827">
        <v>263.11</v>
      </c>
      <c r="W827">
        <v>291.99</v>
      </c>
      <c r="X827">
        <v>263.11</v>
      </c>
      <c r="Y827">
        <v>369</v>
      </c>
      <c r="Z827" t="s">
        <v>5922</v>
      </c>
    </row>
    <row r="828" spans="1:26" x14ac:dyDescent="0.2">
      <c r="A828" t="s">
        <v>1160</v>
      </c>
      <c r="B828" t="s">
        <v>1555</v>
      </c>
      <c r="C828" t="s">
        <v>1556</v>
      </c>
      <c r="D828" t="s">
        <v>98</v>
      </c>
      <c r="E828">
        <v>399</v>
      </c>
      <c r="F828" t="s">
        <v>5922</v>
      </c>
      <c r="G828">
        <v>298</v>
      </c>
      <c r="H828">
        <v>294.91000000000003</v>
      </c>
      <c r="I828">
        <v>320.87</v>
      </c>
      <c r="J828">
        <v>272.74</v>
      </c>
      <c r="L828" t="s">
        <v>5922</v>
      </c>
      <c r="Q828">
        <v>294.91000000000003</v>
      </c>
      <c r="R828">
        <v>294.91000000000003</v>
      </c>
      <c r="U828">
        <v>298.38</v>
      </c>
      <c r="V828">
        <v>294.91000000000003</v>
      </c>
      <c r="W828">
        <v>319.2</v>
      </c>
      <c r="X828">
        <v>294.91000000000003</v>
      </c>
      <c r="Y828">
        <v>399</v>
      </c>
      <c r="Z828" t="s">
        <v>5922</v>
      </c>
    </row>
    <row r="829" spans="1:26" x14ac:dyDescent="0.2">
      <c r="A829" t="s">
        <v>1160</v>
      </c>
      <c r="B829" t="s">
        <v>1557</v>
      </c>
      <c r="C829" t="s">
        <v>1558</v>
      </c>
      <c r="D829" t="s">
        <v>98</v>
      </c>
      <c r="E829">
        <v>399</v>
      </c>
      <c r="F829" t="s">
        <v>5922</v>
      </c>
      <c r="G829">
        <v>298</v>
      </c>
      <c r="H829">
        <v>294.91000000000003</v>
      </c>
      <c r="I829">
        <v>320.87</v>
      </c>
      <c r="J829">
        <v>272.74</v>
      </c>
      <c r="L829" t="s">
        <v>5922</v>
      </c>
      <c r="Q829">
        <v>294.91000000000003</v>
      </c>
      <c r="R829">
        <v>294.91000000000003</v>
      </c>
      <c r="U829">
        <v>298.38</v>
      </c>
      <c r="V829">
        <v>294.91000000000003</v>
      </c>
      <c r="W829">
        <v>319.2</v>
      </c>
      <c r="X829">
        <v>294.91000000000003</v>
      </c>
      <c r="Y829">
        <v>399</v>
      </c>
      <c r="Z829" t="s">
        <v>5922</v>
      </c>
    </row>
    <row r="830" spans="1:26" x14ac:dyDescent="0.2">
      <c r="A830" t="s">
        <v>1160</v>
      </c>
      <c r="B830" t="s">
        <v>1559</v>
      </c>
      <c r="C830" t="s">
        <v>1560</v>
      </c>
      <c r="D830" t="s">
        <v>98</v>
      </c>
      <c r="E830">
        <v>399</v>
      </c>
      <c r="F830" t="s">
        <v>5922</v>
      </c>
      <c r="G830">
        <v>298</v>
      </c>
      <c r="H830">
        <v>294.91000000000003</v>
      </c>
      <c r="I830">
        <v>320.87</v>
      </c>
      <c r="J830">
        <v>272.74</v>
      </c>
      <c r="L830" t="s">
        <v>5922</v>
      </c>
      <c r="Q830">
        <v>294.91000000000003</v>
      </c>
      <c r="R830">
        <v>294.91000000000003</v>
      </c>
      <c r="U830">
        <v>298.38</v>
      </c>
      <c r="V830">
        <v>294.91000000000003</v>
      </c>
      <c r="W830">
        <v>319.2</v>
      </c>
      <c r="X830">
        <v>294.91000000000003</v>
      </c>
      <c r="Y830">
        <v>399</v>
      </c>
      <c r="Z830" t="s">
        <v>5922</v>
      </c>
    </row>
    <row r="831" spans="1:26" x14ac:dyDescent="0.2">
      <c r="A831" t="s">
        <v>1160</v>
      </c>
      <c r="B831" t="s">
        <v>1561</v>
      </c>
      <c r="C831" t="s">
        <v>1562</v>
      </c>
      <c r="D831" t="s">
        <v>98</v>
      </c>
      <c r="E831">
        <v>999</v>
      </c>
      <c r="F831" t="s">
        <v>5922</v>
      </c>
      <c r="G831">
        <v>999</v>
      </c>
      <c r="H831">
        <v>738.39</v>
      </c>
      <c r="I831">
        <v>807.83</v>
      </c>
      <c r="J831">
        <v>686.65</v>
      </c>
      <c r="L831" t="s">
        <v>5922</v>
      </c>
      <c r="M831">
        <v>0</v>
      </c>
      <c r="N831">
        <v>0</v>
      </c>
      <c r="O831">
        <v>0</v>
      </c>
      <c r="P831">
        <v>0</v>
      </c>
      <c r="Q831">
        <v>738.39</v>
      </c>
      <c r="R831">
        <v>738.39</v>
      </c>
      <c r="S831">
        <v>0</v>
      </c>
      <c r="T831">
        <v>0</v>
      </c>
      <c r="U831">
        <v>712.33</v>
      </c>
      <c r="V831">
        <v>712.33</v>
      </c>
      <c r="W831">
        <v>799.2</v>
      </c>
      <c r="X831">
        <v>712.33</v>
      </c>
      <c r="Y831">
        <v>999</v>
      </c>
      <c r="Z831" t="s">
        <v>5922</v>
      </c>
    </row>
    <row r="832" spans="1:26" x14ac:dyDescent="0.2">
      <c r="A832" t="s">
        <v>1160</v>
      </c>
      <c r="B832" t="s">
        <v>1563</v>
      </c>
      <c r="C832" t="s">
        <v>1564</v>
      </c>
      <c r="D832" t="s">
        <v>98</v>
      </c>
      <c r="E832">
        <v>999</v>
      </c>
      <c r="F832" t="s">
        <v>5922</v>
      </c>
      <c r="G832">
        <v>999</v>
      </c>
      <c r="H832">
        <v>738.39</v>
      </c>
      <c r="I832">
        <v>807.83</v>
      </c>
      <c r="J832">
        <v>686.65</v>
      </c>
      <c r="L832" t="s">
        <v>5922</v>
      </c>
      <c r="M832">
        <v>0</v>
      </c>
      <c r="N832">
        <v>0</v>
      </c>
      <c r="O832">
        <v>0</v>
      </c>
      <c r="P832">
        <v>0</v>
      </c>
      <c r="Q832">
        <v>738.39</v>
      </c>
      <c r="R832">
        <v>738.39</v>
      </c>
      <c r="S832">
        <v>0</v>
      </c>
      <c r="T832">
        <v>0</v>
      </c>
      <c r="U832">
        <v>712.33</v>
      </c>
      <c r="V832">
        <v>712.33</v>
      </c>
      <c r="W832">
        <v>799.2</v>
      </c>
      <c r="X832">
        <v>712.33</v>
      </c>
      <c r="Y832">
        <v>999</v>
      </c>
      <c r="Z832" t="s">
        <v>5922</v>
      </c>
    </row>
    <row r="833" spans="1:26" x14ac:dyDescent="0.2">
      <c r="A833" t="s">
        <v>1160</v>
      </c>
      <c r="B833" t="s">
        <v>1565</v>
      </c>
      <c r="C833" t="s">
        <v>1566</v>
      </c>
      <c r="D833" t="s">
        <v>98</v>
      </c>
      <c r="E833">
        <v>999</v>
      </c>
      <c r="F833" t="s">
        <v>5922</v>
      </c>
      <c r="G833">
        <v>999</v>
      </c>
      <c r="H833">
        <v>738.39</v>
      </c>
      <c r="I833">
        <v>807.83</v>
      </c>
      <c r="J833">
        <v>686.65</v>
      </c>
      <c r="L833" t="s">
        <v>5922</v>
      </c>
      <c r="M833">
        <v>0</v>
      </c>
      <c r="N833">
        <v>0</v>
      </c>
      <c r="O833">
        <v>0</v>
      </c>
      <c r="P833">
        <v>0</v>
      </c>
      <c r="Q833">
        <v>738.39</v>
      </c>
      <c r="R833">
        <v>738.39</v>
      </c>
      <c r="S833">
        <v>0</v>
      </c>
      <c r="T833">
        <v>0</v>
      </c>
      <c r="U833">
        <v>712.33</v>
      </c>
      <c r="V833">
        <v>712.33</v>
      </c>
      <c r="W833">
        <v>799.2</v>
      </c>
      <c r="X833">
        <v>712.33</v>
      </c>
      <c r="Y833">
        <v>999</v>
      </c>
      <c r="Z833" t="s">
        <v>5922</v>
      </c>
    </row>
    <row r="834" spans="1:26" x14ac:dyDescent="0.2">
      <c r="A834" t="s">
        <v>1160</v>
      </c>
      <c r="B834" t="s">
        <v>1567</v>
      </c>
      <c r="C834" t="s">
        <v>1568</v>
      </c>
      <c r="D834" t="s">
        <v>98</v>
      </c>
      <c r="E834">
        <v>999</v>
      </c>
      <c r="F834" t="s">
        <v>5922</v>
      </c>
      <c r="G834">
        <v>999</v>
      </c>
      <c r="H834">
        <v>738.39</v>
      </c>
      <c r="I834">
        <v>807.83</v>
      </c>
      <c r="J834">
        <v>686.65</v>
      </c>
      <c r="L834" t="s">
        <v>5922</v>
      </c>
      <c r="M834">
        <v>0</v>
      </c>
      <c r="N834">
        <v>0</v>
      </c>
      <c r="O834">
        <v>0</v>
      </c>
      <c r="P834">
        <v>0</v>
      </c>
      <c r="Q834">
        <v>738.39</v>
      </c>
      <c r="R834">
        <v>738.39</v>
      </c>
      <c r="S834">
        <v>0</v>
      </c>
      <c r="T834">
        <v>0</v>
      </c>
      <c r="U834">
        <v>712.33</v>
      </c>
      <c r="V834">
        <v>712.33</v>
      </c>
      <c r="W834">
        <v>799.2</v>
      </c>
      <c r="X834">
        <v>712.33</v>
      </c>
      <c r="Y834">
        <v>999</v>
      </c>
      <c r="Z834" t="s">
        <v>5922</v>
      </c>
    </row>
    <row r="835" spans="1:26" x14ac:dyDescent="0.2">
      <c r="A835" t="s">
        <v>1160</v>
      </c>
      <c r="B835" t="s">
        <v>1569</v>
      </c>
      <c r="C835" t="s">
        <v>1570</v>
      </c>
      <c r="D835" t="s">
        <v>98</v>
      </c>
      <c r="E835">
        <v>899</v>
      </c>
      <c r="F835" t="s">
        <v>5922</v>
      </c>
      <c r="G835">
        <v>781.74</v>
      </c>
      <c r="H835">
        <v>664.48</v>
      </c>
      <c r="I835">
        <v>781.74</v>
      </c>
      <c r="J835">
        <v>664.48</v>
      </c>
      <c r="K835">
        <v>625.39</v>
      </c>
      <c r="L835" t="s">
        <v>5922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664.48</v>
      </c>
      <c r="S835">
        <v>0</v>
      </c>
      <c r="T835">
        <v>0</v>
      </c>
      <c r="U835">
        <v>669.48</v>
      </c>
      <c r="V835">
        <v>664.48</v>
      </c>
      <c r="W835">
        <v>719.2</v>
      </c>
      <c r="X835">
        <v>664.48</v>
      </c>
      <c r="Y835">
        <v>899</v>
      </c>
      <c r="Z835" t="s">
        <v>5922</v>
      </c>
    </row>
    <row r="836" spans="1:26" x14ac:dyDescent="0.2">
      <c r="A836" t="s">
        <v>1160</v>
      </c>
      <c r="B836" t="s">
        <v>1571</v>
      </c>
      <c r="C836" t="s">
        <v>1572</v>
      </c>
      <c r="D836" t="s">
        <v>98</v>
      </c>
      <c r="E836">
        <v>1099</v>
      </c>
      <c r="F836" t="s">
        <v>5922</v>
      </c>
      <c r="G836">
        <v>659.4</v>
      </c>
      <c r="H836">
        <v>812.3</v>
      </c>
      <c r="I836">
        <v>955.65</v>
      </c>
      <c r="J836">
        <v>812.3</v>
      </c>
      <c r="K836">
        <v>625.39</v>
      </c>
      <c r="L836" t="s">
        <v>5922</v>
      </c>
      <c r="M836">
        <v>0</v>
      </c>
      <c r="N836">
        <v>0</v>
      </c>
      <c r="O836">
        <v>0</v>
      </c>
      <c r="P836">
        <v>0</v>
      </c>
      <c r="Q836">
        <v>812.3</v>
      </c>
      <c r="R836">
        <v>812.3</v>
      </c>
      <c r="S836">
        <v>0</v>
      </c>
      <c r="T836">
        <v>0</v>
      </c>
      <c r="U836">
        <v>812.3</v>
      </c>
      <c r="V836">
        <v>812.3</v>
      </c>
      <c r="W836">
        <v>879.2</v>
      </c>
      <c r="X836">
        <v>812.3</v>
      </c>
      <c r="Y836">
        <v>1099</v>
      </c>
      <c r="Z836" t="s">
        <v>5922</v>
      </c>
    </row>
    <row r="837" spans="1:26" x14ac:dyDescent="0.2">
      <c r="A837" t="s">
        <v>1160</v>
      </c>
      <c r="B837" t="s">
        <v>1573</v>
      </c>
      <c r="C837" t="s">
        <v>1574</v>
      </c>
      <c r="D837" t="s">
        <v>98</v>
      </c>
      <c r="E837">
        <v>1199</v>
      </c>
      <c r="F837" t="s">
        <v>5922</v>
      </c>
      <c r="G837">
        <v>1199</v>
      </c>
      <c r="H837">
        <v>886.22</v>
      </c>
      <c r="L837" t="s">
        <v>5922</v>
      </c>
      <c r="Q837">
        <v>886.22</v>
      </c>
      <c r="R837">
        <v>886.22</v>
      </c>
      <c r="U837">
        <v>886.22</v>
      </c>
      <c r="V837">
        <v>886.22</v>
      </c>
      <c r="W837">
        <v>959.2</v>
      </c>
      <c r="X837">
        <v>886.22</v>
      </c>
      <c r="Y837">
        <v>1199</v>
      </c>
      <c r="Z837" t="s">
        <v>5922</v>
      </c>
    </row>
    <row r="838" spans="1:26" x14ac:dyDescent="0.2">
      <c r="A838" t="s">
        <v>1160</v>
      </c>
      <c r="B838" t="s">
        <v>1575</v>
      </c>
      <c r="C838" t="s">
        <v>1576</v>
      </c>
      <c r="D838" t="s">
        <v>98</v>
      </c>
      <c r="E838">
        <v>1149</v>
      </c>
      <c r="F838" t="s">
        <v>5922</v>
      </c>
      <c r="G838">
        <v>999.13</v>
      </c>
      <c r="H838">
        <v>849.26</v>
      </c>
      <c r="I838">
        <v>999.13</v>
      </c>
      <c r="J838">
        <v>849.26</v>
      </c>
      <c r="L838" t="s">
        <v>5922</v>
      </c>
      <c r="R838">
        <v>849.26</v>
      </c>
      <c r="U838">
        <v>854.26</v>
      </c>
      <c r="V838">
        <v>849.26</v>
      </c>
      <c r="W838">
        <v>919.2</v>
      </c>
      <c r="X838">
        <v>849.26</v>
      </c>
      <c r="Y838">
        <v>1149</v>
      </c>
      <c r="Z838" t="s">
        <v>5922</v>
      </c>
    </row>
    <row r="839" spans="1:26" x14ac:dyDescent="0.2">
      <c r="A839" t="s">
        <v>1160</v>
      </c>
      <c r="B839" t="s">
        <v>1577</v>
      </c>
      <c r="C839" t="s">
        <v>1578</v>
      </c>
      <c r="D839" t="s">
        <v>98</v>
      </c>
      <c r="E839">
        <v>1149</v>
      </c>
      <c r="F839" t="s">
        <v>5922</v>
      </c>
      <c r="G839">
        <v>999.13</v>
      </c>
      <c r="H839">
        <v>849.26</v>
      </c>
      <c r="I839">
        <v>999.13</v>
      </c>
      <c r="J839">
        <v>849.26</v>
      </c>
      <c r="L839" t="s">
        <v>5922</v>
      </c>
      <c r="R839">
        <v>849.26</v>
      </c>
      <c r="U839">
        <v>854.26</v>
      </c>
      <c r="V839">
        <v>849.26</v>
      </c>
      <c r="W839">
        <v>919.2</v>
      </c>
      <c r="X839">
        <v>849.26</v>
      </c>
      <c r="Y839">
        <v>1149</v>
      </c>
      <c r="Z839" t="s">
        <v>5922</v>
      </c>
    </row>
    <row r="840" spans="1:26" x14ac:dyDescent="0.2">
      <c r="A840" t="s">
        <v>1160</v>
      </c>
      <c r="B840" t="s">
        <v>1579</v>
      </c>
      <c r="C840" t="s">
        <v>1580</v>
      </c>
      <c r="D840" t="s">
        <v>98</v>
      </c>
      <c r="E840">
        <v>999</v>
      </c>
      <c r="F840" t="s">
        <v>6952</v>
      </c>
      <c r="H840">
        <v>738.39</v>
      </c>
      <c r="L840" t="s">
        <v>5922</v>
      </c>
      <c r="Q840">
        <v>738.39</v>
      </c>
      <c r="R840">
        <v>738.39</v>
      </c>
      <c r="U840">
        <v>747.08</v>
      </c>
      <c r="V840">
        <v>747.08</v>
      </c>
      <c r="X840">
        <v>747.08</v>
      </c>
      <c r="Y840">
        <v>999</v>
      </c>
      <c r="Z840" t="s">
        <v>5922</v>
      </c>
    </row>
    <row r="841" spans="1:26" x14ac:dyDescent="0.2">
      <c r="A841" t="s">
        <v>1160</v>
      </c>
      <c r="B841" t="s">
        <v>1581</v>
      </c>
      <c r="C841" t="s">
        <v>1582</v>
      </c>
      <c r="D841" t="s">
        <v>98</v>
      </c>
      <c r="E841">
        <v>999</v>
      </c>
      <c r="F841" t="s">
        <v>6952</v>
      </c>
      <c r="H841">
        <v>738.39</v>
      </c>
      <c r="L841" t="s">
        <v>5922</v>
      </c>
      <c r="Q841">
        <v>738.39</v>
      </c>
      <c r="R841">
        <v>738.39</v>
      </c>
      <c r="U841">
        <v>747.08</v>
      </c>
      <c r="V841">
        <v>747.08</v>
      </c>
      <c r="X841">
        <v>747.08</v>
      </c>
      <c r="Y841">
        <v>999</v>
      </c>
      <c r="Z841" t="s">
        <v>5922</v>
      </c>
    </row>
    <row r="842" spans="1:26" x14ac:dyDescent="0.2">
      <c r="A842" t="s">
        <v>1160</v>
      </c>
      <c r="B842" t="s">
        <v>1583</v>
      </c>
      <c r="C842" t="s">
        <v>1584</v>
      </c>
      <c r="D842" t="s">
        <v>98</v>
      </c>
      <c r="E842">
        <v>1199</v>
      </c>
      <c r="F842" t="s">
        <v>6953</v>
      </c>
      <c r="H842">
        <v>886.22</v>
      </c>
      <c r="L842" t="s">
        <v>5922</v>
      </c>
      <c r="Q842">
        <v>886.22</v>
      </c>
      <c r="R842">
        <v>886.22</v>
      </c>
      <c r="U842">
        <v>896.64</v>
      </c>
      <c r="V842">
        <v>896.64</v>
      </c>
      <c r="X842">
        <v>896.64</v>
      </c>
      <c r="Y842">
        <v>1199</v>
      </c>
      <c r="Z842" t="s">
        <v>5922</v>
      </c>
    </row>
    <row r="843" spans="1:26" x14ac:dyDescent="0.2">
      <c r="A843" t="s">
        <v>1160</v>
      </c>
      <c r="B843" t="s">
        <v>1585</v>
      </c>
      <c r="C843" t="s">
        <v>1586</v>
      </c>
      <c r="D843" t="s">
        <v>98</v>
      </c>
      <c r="E843">
        <v>1199</v>
      </c>
      <c r="F843" t="s">
        <v>6953</v>
      </c>
      <c r="H843">
        <v>886.22</v>
      </c>
      <c r="L843" t="s">
        <v>5922</v>
      </c>
      <c r="Q843">
        <v>886.22</v>
      </c>
      <c r="R843">
        <v>886.22</v>
      </c>
      <c r="U843">
        <v>896.64</v>
      </c>
      <c r="V843">
        <v>896.64</v>
      </c>
      <c r="X843">
        <v>896.64</v>
      </c>
      <c r="Y843">
        <v>1199</v>
      </c>
      <c r="Z843" t="s">
        <v>5922</v>
      </c>
    </row>
    <row r="844" spans="1:26" x14ac:dyDescent="0.2">
      <c r="A844" t="s">
        <v>1160</v>
      </c>
      <c r="B844" t="s">
        <v>1587</v>
      </c>
      <c r="C844" t="s">
        <v>1588</v>
      </c>
      <c r="D844" t="s">
        <v>105</v>
      </c>
      <c r="E844">
        <v>1199</v>
      </c>
      <c r="F844" t="s">
        <v>6953</v>
      </c>
      <c r="H844">
        <v>886.22</v>
      </c>
      <c r="L844" t="s">
        <v>5922</v>
      </c>
      <c r="Q844">
        <v>886.22</v>
      </c>
      <c r="R844">
        <v>886.22</v>
      </c>
      <c r="U844">
        <v>896.64</v>
      </c>
      <c r="V844">
        <v>886.22</v>
      </c>
      <c r="X844">
        <v>886.22</v>
      </c>
      <c r="Y844">
        <v>1199</v>
      </c>
      <c r="Z844" t="s">
        <v>5922</v>
      </c>
    </row>
    <row r="845" spans="1:26" x14ac:dyDescent="0.2">
      <c r="A845" t="s">
        <v>1160</v>
      </c>
      <c r="B845" t="s">
        <v>1589</v>
      </c>
      <c r="C845" t="s">
        <v>1590</v>
      </c>
      <c r="D845" t="s">
        <v>105</v>
      </c>
      <c r="E845">
        <v>1199</v>
      </c>
      <c r="F845" t="s">
        <v>6953</v>
      </c>
      <c r="H845">
        <v>886.22</v>
      </c>
      <c r="L845" t="s">
        <v>5922</v>
      </c>
      <c r="Q845">
        <v>886.22</v>
      </c>
      <c r="R845">
        <v>886.22</v>
      </c>
      <c r="U845">
        <v>896.64</v>
      </c>
      <c r="V845">
        <v>886.22</v>
      </c>
      <c r="X845">
        <v>886.22</v>
      </c>
      <c r="Y845">
        <v>1199</v>
      </c>
      <c r="Z845" t="s">
        <v>5922</v>
      </c>
    </row>
    <row r="846" spans="1:26" x14ac:dyDescent="0.2">
      <c r="A846" t="s">
        <v>1160</v>
      </c>
      <c r="B846" t="s">
        <v>1591</v>
      </c>
      <c r="C846" t="s">
        <v>1592</v>
      </c>
      <c r="D846" t="s">
        <v>105</v>
      </c>
      <c r="E846">
        <v>1199</v>
      </c>
      <c r="F846" t="s">
        <v>6953</v>
      </c>
      <c r="H846">
        <v>886.22</v>
      </c>
      <c r="L846" t="s">
        <v>5922</v>
      </c>
      <c r="Q846">
        <v>886.22</v>
      </c>
      <c r="R846">
        <v>886.22</v>
      </c>
      <c r="U846">
        <v>896.64</v>
      </c>
      <c r="V846">
        <v>886.22</v>
      </c>
      <c r="X846">
        <v>886.22</v>
      </c>
      <c r="Y846">
        <v>1199</v>
      </c>
      <c r="Z846" t="s">
        <v>5922</v>
      </c>
    </row>
    <row r="847" spans="1:26" x14ac:dyDescent="0.2">
      <c r="A847" t="s">
        <v>1160</v>
      </c>
      <c r="B847" t="s">
        <v>1593</v>
      </c>
      <c r="C847" t="s">
        <v>1594</v>
      </c>
      <c r="D847" t="s">
        <v>105</v>
      </c>
      <c r="E847">
        <v>499</v>
      </c>
      <c r="F847" t="s">
        <v>7062</v>
      </c>
      <c r="H847">
        <v>368.83</v>
      </c>
      <c r="L847" t="s">
        <v>5922</v>
      </c>
      <c r="Q847">
        <v>368.83</v>
      </c>
      <c r="R847">
        <v>368.83</v>
      </c>
      <c r="U847">
        <v>373.17</v>
      </c>
      <c r="V847">
        <v>368.83</v>
      </c>
      <c r="X847">
        <v>368.83</v>
      </c>
      <c r="Y847">
        <v>499</v>
      </c>
      <c r="Z847" t="s">
        <v>5922</v>
      </c>
    </row>
    <row r="848" spans="1:26" x14ac:dyDescent="0.2">
      <c r="A848" t="s">
        <v>1160</v>
      </c>
      <c r="B848" t="s">
        <v>1595</v>
      </c>
      <c r="C848" t="s">
        <v>1596</v>
      </c>
      <c r="D848" t="s">
        <v>105</v>
      </c>
      <c r="E848">
        <v>1199</v>
      </c>
      <c r="F848" t="s">
        <v>6953</v>
      </c>
      <c r="H848">
        <v>886.22</v>
      </c>
      <c r="L848" t="s">
        <v>5922</v>
      </c>
      <c r="Q848">
        <v>886.22</v>
      </c>
      <c r="R848">
        <v>886.22</v>
      </c>
      <c r="U848">
        <v>896.64</v>
      </c>
      <c r="V848">
        <v>886.22</v>
      </c>
      <c r="X848">
        <v>886.22</v>
      </c>
      <c r="Y848">
        <v>1199</v>
      </c>
      <c r="Z848" t="s">
        <v>5922</v>
      </c>
    </row>
    <row r="849" spans="1:26" x14ac:dyDescent="0.2">
      <c r="A849" t="s">
        <v>1160</v>
      </c>
      <c r="B849" t="s">
        <v>7763</v>
      </c>
      <c r="C849" t="s">
        <v>7764</v>
      </c>
      <c r="D849" t="s">
        <v>105</v>
      </c>
      <c r="E849">
        <v>218.99</v>
      </c>
      <c r="F849" t="s">
        <v>7058</v>
      </c>
      <c r="L849" t="s">
        <v>5922</v>
      </c>
      <c r="U849">
        <v>171.25</v>
      </c>
      <c r="Z849" t="s">
        <v>5922</v>
      </c>
    </row>
    <row r="850" spans="1:26" x14ac:dyDescent="0.2">
      <c r="A850" t="s">
        <v>1160</v>
      </c>
      <c r="B850" t="s">
        <v>1597</v>
      </c>
      <c r="C850" t="s">
        <v>1598</v>
      </c>
      <c r="D850" t="s">
        <v>98</v>
      </c>
      <c r="E850">
        <v>999</v>
      </c>
      <c r="F850" t="s">
        <v>6952</v>
      </c>
      <c r="H850">
        <v>738.39</v>
      </c>
      <c r="L850" t="s">
        <v>5922</v>
      </c>
      <c r="Q850">
        <v>738.39</v>
      </c>
      <c r="R850">
        <v>738.39</v>
      </c>
      <c r="U850">
        <v>747.08</v>
      </c>
      <c r="V850">
        <v>738.39</v>
      </c>
      <c r="X850">
        <v>738.39</v>
      </c>
      <c r="Y850">
        <v>999</v>
      </c>
      <c r="Z850" t="s">
        <v>5922</v>
      </c>
    </row>
    <row r="851" spans="1:26" x14ac:dyDescent="0.2">
      <c r="A851" t="s">
        <v>1160</v>
      </c>
      <c r="B851" t="s">
        <v>1599</v>
      </c>
      <c r="C851" t="s">
        <v>1600</v>
      </c>
      <c r="D851" t="s">
        <v>98</v>
      </c>
      <c r="E851">
        <v>1149</v>
      </c>
      <c r="F851" t="s">
        <v>7110</v>
      </c>
      <c r="G851">
        <v>1149</v>
      </c>
      <c r="H851">
        <v>849.26</v>
      </c>
      <c r="L851" t="s">
        <v>5922</v>
      </c>
      <c r="Q851">
        <v>849.26</v>
      </c>
      <c r="R851">
        <v>849.26</v>
      </c>
      <c r="U851">
        <v>859.25</v>
      </c>
      <c r="V851">
        <v>849.26</v>
      </c>
      <c r="W851">
        <v>919.2</v>
      </c>
      <c r="X851">
        <v>849.26</v>
      </c>
      <c r="Y851">
        <v>1149</v>
      </c>
      <c r="Z851" t="s">
        <v>5922</v>
      </c>
    </row>
    <row r="852" spans="1:26" x14ac:dyDescent="0.2">
      <c r="A852" t="s">
        <v>1160</v>
      </c>
      <c r="B852" t="s">
        <v>1601</v>
      </c>
      <c r="C852" t="s">
        <v>1602</v>
      </c>
      <c r="D852" t="s">
        <v>105</v>
      </c>
      <c r="E852">
        <v>1249</v>
      </c>
      <c r="F852" t="s">
        <v>7094</v>
      </c>
      <c r="H852">
        <v>923.17</v>
      </c>
      <c r="L852" t="s">
        <v>5922</v>
      </c>
      <c r="U852">
        <v>934.03</v>
      </c>
      <c r="V852">
        <v>923.17</v>
      </c>
      <c r="X852">
        <v>923.17</v>
      </c>
      <c r="Z852" t="s">
        <v>5922</v>
      </c>
    </row>
    <row r="853" spans="1:26" x14ac:dyDescent="0.2">
      <c r="A853" t="s">
        <v>1160</v>
      </c>
      <c r="B853" t="s">
        <v>1603</v>
      </c>
      <c r="C853" t="s">
        <v>5796</v>
      </c>
      <c r="D853" t="s">
        <v>105</v>
      </c>
      <c r="E853">
        <v>1899</v>
      </c>
      <c r="F853" t="s">
        <v>7111</v>
      </c>
      <c r="H853">
        <v>1403.61</v>
      </c>
      <c r="L853" t="s">
        <v>5922</v>
      </c>
      <c r="U853">
        <v>1420.12</v>
      </c>
      <c r="V853">
        <v>1403.61</v>
      </c>
      <c r="X853">
        <v>1403.61</v>
      </c>
      <c r="Z853" t="s">
        <v>5922</v>
      </c>
    </row>
    <row r="854" spans="1:26" x14ac:dyDescent="0.2">
      <c r="A854" t="s">
        <v>1160</v>
      </c>
      <c r="B854" t="s">
        <v>1604</v>
      </c>
      <c r="C854" t="s">
        <v>1605</v>
      </c>
      <c r="D854" t="s">
        <v>105</v>
      </c>
      <c r="E854">
        <v>169</v>
      </c>
      <c r="F854" t="s">
        <v>6937</v>
      </c>
      <c r="H854">
        <v>124.91</v>
      </c>
      <c r="L854" t="s">
        <v>5922</v>
      </c>
      <c r="Q854">
        <v>124.91</v>
      </c>
      <c r="R854">
        <v>124.91</v>
      </c>
      <c r="U854">
        <v>126.38</v>
      </c>
      <c r="V854">
        <v>124.91</v>
      </c>
      <c r="X854">
        <v>124.91</v>
      </c>
      <c r="Y854">
        <v>169</v>
      </c>
      <c r="Z854" t="s">
        <v>5922</v>
      </c>
    </row>
    <row r="855" spans="1:26" x14ac:dyDescent="0.2">
      <c r="A855" t="s">
        <v>1160</v>
      </c>
      <c r="B855" t="s">
        <v>1606</v>
      </c>
      <c r="C855" t="s">
        <v>1607</v>
      </c>
      <c r="D855" t="s">
        <v>105</v>
      </c>
      <c r="E855">
        <v>169</v>
      </c>
      <c r="F855" t="s">
        <v>6937</v>
      </c>
      <c r="H855">
        <v>124.91</v>
      </c>
      <c r="L855" t="s">
        <v>5922</v>
      </c>
      <c r="Q855">
        <v>124.91</v>
      </c>
      <c r="R855">
        <v>124.91</v>
      </c>
      <c r="U855">
        <v>126.38</v>
      </c>
      <c r="V855">
        <v>124.91</v>
      </c>
      <c r="X855">
        <v>124.91</v>
      </c>
      <c r="Y855">
        <v>169</v>
      </c>
      <c r="Z855" t="s">
        <v>5922</v>
      </c>
    </row>
    <row r="856" spans="1:26" x14ac:dyDescent="0.2">
      <c r="A856" t="s">
        <v>1160</v>
      </c>
      <c r="B856" t="s">
        <v>1608</v>
      </c>
      <c r="C856" t="s">
        <v>1609</v>
      </c>
      <c r="D856" t="s">
        <v>105</v>
      </c>
      <c r="E856">
        <v>349</v>
      </c>
      <c r="F856" t="s">
        <v>7112</v>
      </c>
      <c r="H856">
        <v>257.95999999999998</v>
      </c>
      <c r="L856" t="s">
        <v>5922</v>
      </c>
      <c r="U856">
        <v>260.99</v>
      </c>
      <c r="V856">
        <v>257.95999999999998</v>
      </c>
      <c r="X856">
        <v>257.95999999999998</v>
      </c>
      <c r="Y856">
        <v>349</v>
      </c>
      <c r="Z856" t="s">
        <v>5922</v>
      </c>
    </row>
    <row r="857" spans="1:26" x14ac:dyDescent="0.2">
      <c r="A857" t="s">
        <v>1160</v>
      </c>
      <c r="B857" t="s">
        <v>1610</v>
      </c>
      <c r="C857" t="s">
        <v>1611</v>
      </c>
      <c r="D857" t="s">
        <v>105</v>
      </c>
      <c r="E857">
        <v>349</v>
      </c>
      <c r="F857" t="s">
        <v>7112</v>
      </c>
      <c r="H857">
        <v>257.95999999999998</v>
      </c>
      <c r="L857" t="s">
        <v>5922</v>
      </c>
      <c r="U857">
        <v>260.99</v>
      </c>
      <c r="V857">
        <v>257.95999999999998</v>
      </c>
      <c r="X857">
        <v>257.95999999999998</v>
      </c>
      <c r="Y857">
        <v>349</v>
      </c>
      <c r="Z857" t="s">
        <v>5922</v>
      </c>
    </row>
    <row r="858" spans="1:26" x14ac:dyDescent="0.2">
      <c r="A858" t="s">
        <v>1160</v>
      </c>
      <c r="B858" t="s">
        <v>1612</v>
      </c>
      <c r="C858" t="s">
        <v>1613</v>
      </c>
      <c r="D858" t="s">
        <v>105</v>
      </c>
      <c r="E858">
        <v>119</v>
      </c>
      <c r="F858" t="s">
        <v>6950</v>
      </c>
      <c r="H858">
        <v>87.96</v>
      </c>
      <c r="L858" t="s">
        <v>5922</v>
      </c>
      <c r="Q858">
        <v>87.96</v>
      </c>
      <c r="R858">
        <v>87.96</v>
      </c>
      <c r="U858">
        <v>93.13</v>
      </c>
      <c r="V858">
        <v>87.96</v>
      </c>
      <c r="X858">
        <v>87.96</v>
      </c>
      <c r="Y858">
        <v>119</v>
      </c>
      <c r="Z858" t="s">
        <v>5922</v>
      </c>
    </row>
    <row r="859" spans="1:26" x14ac:dyDescent="0.2">
      <c r="A859" t="s">
        <v>1160</v>
      </c>
      <c r="B859" t="s">
        <v>1614</v>
      </c>
      <c r="C859" t="s">
        <v>1615</v>
      </c>
      <c r="D859" t="s">
        <v>105</v>
      </c>
      <c r="E859">
        <v>299</v>
      </c>
      <c r="F859" t="s">
        <v>6946</v>
      </c>
      <c r="H859">
        <v>221</v>
      </c>
      <c r="L859" t="s">
        <v>5922</v>
      </c>
      <c r="Q859">
        <v>221</v>
      </c>
      <c r="R859">
        <v>221</v>
      </c>
      <c r="U859">
        <v>234</v>
      </c>
      <c r="V859">
        <v>234</v>
      </c>
      <c r="X859">
        <v>221</v>
      </c>
      <c r="Y859">
        <v>299</v>
      </c>
      <c r="Z859" t="s">
        <v>5922</v>
      </c>
    </row>
    <row r="860" spans="1:26" x14ac:dyDescent="0.2">
      <c r="A860" t="s">
        <v>1160</v>
      </c>
      <c r="B860" t="s">
        <v>1616</v>
      </c>
      <c r="C860" t="s">
        <v>1617</v>
      </c>
      <c r="D860" t="s">
        <v>98</v>
      </c>
      <c r="E860">
        <v>179</v>
      </c>
      <c r="F860" t="s">
        <v>7072</v>
      </c>
      <c r="H860">
        <v>132.30000000000001</v>
      </c>
      <c r="I860">
        <v>155.65</v>
      </c>
      <c r="J860">
        <v>132.30000000000001</v>
      </c>
      <c r="L860" t="s">
        <v>5922</v>
      </c>
      <c r="Q860">
        <v>132.30000000000001</v>
      </c>
      <c r="R860">
        <v>132.30000000000001</v>
      </c>
      <c r="U860">
        <v>140.09</v>
      </c>
      <c r="V860">
        <v>132.30000000000001</v>
      </c>
      <c r="X860">
        <v>132.30000000000001</v>
      </c>
      <c r="Y860">
        <v>179</v>
      </c>
      <c r="Z860" t="s">
        <v>5922</v>
      </c>
    </row>
    <row r="861" spans="1:26" x14ac:dyDescent="0.2">
      <c r="A861" t="s">
        <v>1160</v>
      </c>
      <c r="B861" t="s">
        <v>1618</v>
      </c>
      <c r="C861" t="s">
        <v>1619</v>
      </c>
      <c r="D861" t="s">
        <v>98</v>
      </c>
      <c r="E861">
        <v>169</v>
      </c>
      <c r="F861" t="s">
        <v>5922</v>
      </c>
      <c r="G861">
        <v>169</v>
      </c>
      <c r="H861">
        <v>124.91</v>
      </c>
      <c r="L861" t="s">
        <v>5922</v>
      </c>
      <c r="Q861">
        <v>124.91</v>
      </c>
      <c r="R861">
        <v>124.91</v>
      </c>
      <c r="U861">
        <v>132.26</v>
      </c>
      <c r="V861">
        <v>124.91</v>
      </c>
      <c r="W861">
        <v>139.61000000000001</v>
      </c>
      <c r="X861">
        <v>124.91</v>
      </c>
      <c r="Y861">
        <v>169</v>
      </c>
      <c r="Z861" t="s">
        <v>5922</v>
      </c>
    </row>
    <row r="862" spans="1:26" x14ac:dyDescent="0.2">
      <c r="A862" t="s">
        <v>1160</v>
      </c>
      <c r="B862" t="s">
        <v>1620</v>
      </c>
      <c r="C862" t="s">
        <v>1621</v>
      </c>
      <c r="D862" t="s">
        <v>105</v>
      </c>
      <c r="E862">
        <v>299</v>
      </c>
      <c r="F862" t="s">
        <v>6946</v>
      </c>
      <c r="H862">
        <v>221</v>
      </c>
      <c r="I862">
        <v>242.61</v>
      </c>
      <c r="J862">
        <v>206.22</v>
      </c>
      <c r="L862" t="s">
        <v>5922</v>
      </c>
      <c r="Q862">
        <v>221</v>
      </c>
      <c r="R862">
        <v>221</v>
      </c>
      <c r="U862">
        <v>223.6</v>
      </c>
      <c r="V862">
        <v>221</v>
      </c>
      <c r="X862">
        <v>213.2</v>
      </c>
      <c r="Y862">
        <v>299</v>
      </c>
      <c r="Z862" t="s">
        <v>5922</v>
      </c>
    </row>
    <row r="863" spans="1:26" x14ac:dyDescent="0.2">
      <c r="A863" t="s">
        <v>1160</v>
      </c>
      <c r="B863" t="s">
        <v>1622</v>
      </c>
      <c r="C863" t="s">
        <v>1623</v>
      </c>
      <c r="D863" t="s">
        <v>105</v>
      </c>
      <c r="E863">
        <v>299</v>
      </c>
      <c r="F863" t="s">
        <v>6946</v>
      </c>
      <c r="H863">
        <v>221</v>
      </c>
      <c r="I863">
        <v>242.61</v>
      </c>
      <c r="J863">
        <v>206.22</v>
      </c>
      <c r="L863" t="s">
        <v>5922</v>
      </c>
      <c r="Q863">
        <v>221</v>
      </c>
      <c r="R863">
        <v>221</v>
      </c>
      <c r="U863">
        <v>223.6</v>
      </c>
      <c r="V863">
        <v>221</v>
      </c>
      <c r="X863">
        <v>213.2</v>
      </c>
      <c r="Y863">
        <v>299</v>
      </c>
      <c r="Z863" t="s">
        <v>5922</v>
      </c>
    </row>
    <row r="864" spans="1:26" x14ac:dyDescent="0.2">
      <c r="A864" t="s">
        <v>1160</v>
      </c>
      <c r="B864" t="s">
        <v>1624</v>
      </c>
      <c r="C864" t="s">
        <v>1625</v>
      </c>
      <c r="D864" t="s">
        <v>105</v>
      </c>
      <c r="E864">
        <v>299</v>
      </c>
      <c r="F864" t="s">
        <v>6946</v>
      </c>
      <c r="H864">
        <v>221</v>
      </c>
      <c r="L864" t="s">
        <v>5922</v>
      </c>
      <c r="Q864">
        <v>221</v>
      </c>
      <c r="R864">
        <v>221</v>
      </c>
      <c r="U864">
        <v>231.08</v>
      </c>
      <c r="V864">
        <v>228.39</v>
      </c>
      <c r="X864">
        <v>221</v>
      </c>
      <c r="Y864">
        <v>299</v>
      </c>
      <c r="Z864" t="s">
        <v>5922</v>
      </c>
    </row>
    <row r="865" spans="1:26" x14ac:dyDescent="0.2">
      <c r="A865" t="s">
        <v>1160</v>
      </c>
      <c r="B865" t="s">
        <v>1626</v>
      </c>
      <c r="C865" t="s">
        <v>1627</v>
      </c>
      <c r="D865" t="s">
        <v>98</v>
      </c>
      <c r="E865">
        <v>769</v>
      </c>
      <c r="F865" t="s">
        <v>5922</v>
      </c>
      <c r="G865">
        <v>668.7</v>
      </c>
      <c r="H865">
        <v>568.39</v>
      </c>
      <c r="I865">
        <v>668.7</v>
      </c>
      <c r="J865">
        <v>568.39</v>
      </c>
      <c r="L865" t="s">
        <v>5922</v>
      </c>
      <c r="R865">
        <v>568.39</v>
      </c>
      <c r="U865">
        <v>573.39</v>
      </c>
      <c r="V865">
        <v>568.39</v>
      </c>
      <c r="W865">
        <v>615.20000000000005</v>
      </c>
      <c r="X865">
        <v>548.33000000000004</v>
      </c>
      <c r="Y865">
        <v>769</v>
      </c>
      <c r="Z865" t="s">
        <v>5922</v>
      </c>
    </row>
    <row r="866" spans="1:26" x14ac:dyDescent="0.2">
      <c r="A866" t="s">
        <v>1160</v>
      </c>
      <c r="B866" t="s">
        <v>1628</v>
      </c>
      <c r="C866" t="s">
        <v>1629</v>
      </c>
      <c r="D866" t="s">
        <v>105</v>
      </c>
      <c r="E866">
        <v>549</v>
      </c>
      <c r="F866" t="s">
        <v>7060</v>
      </c>
      <c r="H866">
        <v>405.78</v>
      </c>
      <c r="L866" t="s">
        <v>5922</v>
      </c>
      <c r="Q866">
        <v>405.78</v>
      </c>
      <c r="R866">
        <v>405.78</v>
      </c>
      <c r="U866">
        <v>410.56</v>
      </c>
      <c r="V866">
        <v>405.78</v>
      </c>
      <c r="X866">
        <v>405.78</v>
      </c>
      <c r="Y866">
        <v>549</v>
      </c>
      <c r="Z866" t="s">
        <v>5922</v>
      </c>
    </row>
    <row r="867" spans="1:26" x14ac:dyDescent="0.2">
      <c r="A867" t="s">
        <v>1160</v>
      </c>
      <c r="B867" t="s">
        <v>1630</v>
      </c>
      <c r="C867" t="s">
        <v>1631</v>
      </c>
      <c r="D867" t="s">
        <v>105</v>
      </c>
      <c r="E867">
        <v>999</v>
      </c>
      <c r="F867" t="s">
        <v>6952</v>
      </c>
      <c r="H867">
        <v>781.83</v>
      </c>
      <c r="L867" t="s">
        <v>5922</v>
      </c>
      <c r="Q867">
        <v>781.83</v>
      </c>
      <c r="R867">
        <v>781.83</v>
      </c>
      <c r="U867">
        <v>747.08</v>
      </c>
      <c r="V867">
        <v>781.83</v>
      </c>
      <c r="X867">
        <v>781.83</v>
      </c>
      <c r="Y867">
        <v>999</v>
      </c>
      <c r="Z867" t="s">
        <v>5922</v>
      </c>
    </row>
    <row r="868" spans="1:26" x14ac:dyDescent="0.2">
      <c r="A868" t="s">
        <v>1160</v>
      </c>
      <c r="B868" t="s">
        <v>1632</v>
      </c>
      <c r="C868" t="s">
        <v>1633</v>
      </c>
      <c r="D868" t="s">
        <v>98</v>
      </c>
      <c r="E868">
        <v>599</v>
      </c>
      <c r="F868" t="s">
        <v>5922</v>
      </c>
      <c r="G868">
        <v>520.87</v>
      </c>
      <c r="H868">
        <v>442.74</v>
      </c>
      <c r="I868">
        <v>520.87</v>
      </c>
      <c r="J868">
        <v>442.74</v>
      </c>
      <c r="L868" t="s">
        <v>5922</v>
      </c>
      <c r="R868">
        <v>442.74</v>
      </c>
      <c r="U868">
        <v>442.74</v>
      </c>
      <c r="V868">
        <v>442.74</v>
      </c>
      <c r="W868">
        <v>479.2</v>
      </c>
      <c r="X868">
        <v>427.11</v>
      </c>
      <c r="Y868">
        <v>599</v>
      </c>
      <c r="Z868" t="s">
        <v>5922</v>
      </c>
    </row>
    <row r="869" spans="1:26" x14ac:dyDescent="0.2">
      <c r="A869" t="s">
        <v>1160</v>
      </c>
      <c r="B869" t="s">
        <v>1634</v>
      </c>
      <c r="C869" t="s">
        <v>1635</v>
      </c>
      <c r="D869" t="s">
        <v>98</v>
      </c>
      <c r="E869">
        <v>599</v>
      </c>
      <c r="F869" t="s">
        <v>5922</v>
      </c>
      <c r="G869">
        <v>520.87</v>
      </c>
      <c r="H869">
        <v>442.74</v>
      </c>
      <c r="I869">
        <v>520.87</v>
      </c>
      <c r="J869">
        <v>442.74</v>
      </c>
      <c r="L869" t="s">
        <v>5922</v>
      </c>
      <c r="R869">
        <v>442.74</v>
      </c>
      <c r="U869">
        <v>447.74</v>
      </c>
      <c r="V869">
        <v>442.74</v>
      </c>
      <c r="W869">
        <v>479.2</v>
      </c>
      <c r="X869">
        <v>427.11</v>
      </c>
      <c r="Y869">
        <v>599</v>
      </c>
      <c r="Z869" t="s">
        <v>5922</v>
      </c>
    </row>
    <row r="870" spans="1:26" x14ac:dyDescent="0.2">
      <c r="A870" t="s">
        <v>1160</v>
      </c>
      <c r="B870" t="s">
        <v>1636</v>
      </c>
      <c r="C870" t="s">
        <v>1637</v>
      </c>
      <c r="D870" t="s">
        <v>98</v>
      </c>
      <c r="E870">
        <v>829</v>
      </c>
      <c r="F870" t="s">
        <v>7109</v>
      </c>
      <c r="H870">
        <v>612.74</v>
      </c>
      <c r="L870" t="s">
        <v>5922</v>
      </c>
      <c r="Q870">
        <v>612.74</v>
      </c>
      <c r="R870">
        <v>612.74</v>
      </c>
      <c r="U870">
        <v>619.95000000000005</v>
      </c>
      <c r="V870">
        <v>650.84</v>
      </c>
      <c r="X870">
        <v>613.51</v>
      </c>
      <c r="Y870">
        <v>829</v>
      </c>
      <c r="Z870" t="s">
        <v>5922</v>
      </c>
    </row>
    <row r="871" spans="1:26" x14ac:dyDescent="0.2">
      <c r="A871" t="s">
        <v>1160</v>
      </c>
      <c r="B871" t="s">
        <v>1638</v>
      </c>
      <c r="C871" t="s">
        <v>1639</v>
      </c>
      <c r="D871" t="s">
        <v>105</v>
      </c>
      <c r="E871">
        <v>829</v>
      </c>
      <c r="F871" t="s">
        <v>7109</v>
      </c>
      <c r="H871">
        <v>612.74</v>
      </c>
      <c r="L871" t="s">
        <v>5922</v>
      </c>
      <c r="Q871">
        <v>612.74</v>
      </c>
      <c r="R871">
        <v>612.74</v>
      </c>
      <c r="U871">
        <v>619.95000000000005</v>
      </c>
      <c r="V871">
        <v>659.08</v>
      </c>
      <c r="X871">
        <v>616.6</v>
      </c>
      <c r="Y871">
        <v>829</v>
      </c>
      <c r="Z871" t="s">
        <v>5922</v>
      </c>
    </row>
    <row r="872" spans="1:26" x14ac:dyDescent="0.2">
      <c r="A872" t="s">
        <v>1160</v>
      </c>
      <c r="B872" t="s">
        <v>1640</v>
      </c>
      <c r="C872" t="s">
        <v>1641</v>
      </c>
      <c r="D872" t="s">
        <v>105</v>
      </c>
      <c r="E872">
        <v>859</v>
      </c>
      <c r="F872" t="s">
        <v>7113</v>
      </c>
      <c r="H872">
        <v>634.91</v>
      </c>
      <c r="L872" t="s">
        <v>5922</v>
      </c>
      <c r="Q872">
        <v>634.91</v>
      </c>
      <c r="R872">
        <v>634.91</v>
      </c>
      <c r="U872">
        <v>642.38</v>
      </c>
      <c r="V872">
        <v>634.91</v>
      </c>
      <c r="X872">
        <v>634.91</v>
      </c>
      <c r="Y872">
        <v>859</v>
      </c>
      <c r="Z872" t="s">
        <v>5922</v>
      </c>
    </row>
    <row r="873" spans="1:26" x14ac:dyDescent="0.2">
      <c r="A873" t="s">
        <v>1160</v>
      </c>
      <c r="B873" t="s">
        <v>1642</v>
      </c>
      <c r="C873" t="s">
        <v>1643</v>
      </c>
      <c r="D873" t="s">
        <v>98</v>
      </c>
      <c r="E873">
        <v>649</v>
      </c>
      <c r="F873" t="s">
        <v>5922</v>
      </c>
      <c r="G873">
        <v>599</v>
      </c>
      <c r="H873">
        <v>479.7</v>
      </c>
      <c r="I873">
        <v>564.35</v>
      </c>
      <c r="J873">
        <v>479.7</v>
      </c>
      <c r="L873" t="s">
        <v>5922</v>
      </c>
      <c r="R873">
        <v>479.7</v>
      </c>
      <c r="U873">
        <v>479.7</v>
      </c>
      <c r="V873">
        <v>479.7</v>
      </c>
      <c r="W873">
        <v>519.20000000000005</v>
      </c>
      <c r="X873">
        <v>462.77</v>
      </c>
      <c r="Y873">
        <v>649</v>
      </c>
      <c r="Z873" t="s">
        <v>5922</v>
      </c>
    </row>
    <row r="874" spans="1:26" x14ac:dyDescent="0.2">
      <c r="A874" t="s">
        <v>1160</v>
      </c>
      <c r="B874" t="s">
        <v>1644</v>
      </c>
      <c r="C874" t="s">
        <v>1645</v>
      </c>
      <c r="D874" t="s">
        <v>98</v>
      </c>
      <c r="E874">
        <v>769</v>
      </c>
      <c r="F874" t="s">
        <v>5922</v>
      </c>
      <c r="G874">
        <v>769</v>
      </c>
      <c r="H874">
        <v>568.39</v>
      </c>
      <c r="I874">
        <v>581.74</v>
      </c>
      <c r="J874">
        <v>494.48</v>
      </c>
      <c r="L874" t="s">
        <v>5922</v>
      </c>
      <c r="Q874">
        <v>568.39</v>
      </c>
      <c r="R874">
        <v>568.39</v>
      </c>
      <c r="U874">
        <v>575.08000000000004</v>
      </c>
      <c r="V874">
        <v>568.39</v>
      </c>
      <c r="W874">
        <v>615.20000000000005</v>
      </c>
      <c r="X874">
        <v>548.33000000000004</v>
      </c>
      <c r="Y874">
        <v>769</v>
      </c>
      <c r="Z874" t="s">
        <v>5922</v>
      </c>
    </row>
    <row r="875" spans="1:26" x14ac:dyDescent="0.2">
      <c r="A875" t="s">
        <v>1160</v>
      </c>
      <c r="B875" t="s">
        <v>1646</v>
      </c>
      <c r="C875" t="s">
        <v>1647</v>
      </c>
      <c r="D875" t="s">
        <v>98</v>
      </c>
      <c r="E875">
        <v>449</v>
      </c>
      <c r="F875" t="s">
        <v>5922</v>
      </c>
      <c r="G875">
        <v>390.43</v>
      </c>
      <c r="H875">
        <v>331.87</v>
      </c>
      <c r="I875">
        <v>390.43</v>
      </c>
      <c r="J875">
        <v>331.87</v>
      </c>
      <c r="K875">
        <v>312.35000000000002</v>
      </c>
      <c r="L875" t="s">
        <v>5922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312.35000000000002</v>
      </c>
      <c r="S875">
        <v>0</v>
      </c>
      <c r="T875">
        <v>0</v>
      </c>
      <c r="U875">
        <v>325.16000000000003</v>
      </c>
      <c r="V875">
        <v>320.16000000000003</v>
      </c>
      <c r="W875">
        <v>355.3</v>
      </c>
      <c r="X875">
        <v>320.16000000000003</v>
      </c>
      <c r="Y875">
        <v>348</v>
      </c>
      <c r="Z875" t="s">
        <v>5922</v>
      </c>
    </row>
    <row r="876" spans="1:26" x14ac:dyDescent="0.2">
      <c r="A876" t="s">
        <v>1160</v>
      </c>
      <c r="B876" t="s">
        <v>1648</v>
      </c>
      <c r="C876" t="s">
        <v>1649</v>
      </c>
      <c r="D876" t="s">
        <v>98</v>
      </c>
      <c r="E876">
        <v>449</v>
      </c>
      <c r="F876" t="s">
        <v>5922</v>
      </c>
      <c r="G876">
        <v>390.43</v>
      </c>
      <c r="H876">
        <v>331.87</v>
      </c>
      <c r="I876">
        <v>390.43</v>
      </c>
      <c r="J876">
        <v>331.87</v>
      </c>
      <c r="K876">
        <v>312.35000000000002</v>
      </c>
      <c r="L876" t="s">
        <v>5922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312.35000000000002</v>
      </c>
      <c r="S876">
        <v>0</v>
      </c>
      <c r="T876">
        <v>0</v>
      </c>
      <c r="U876">
        <v>325.16000000000003</v>
      </c>
      <c r="V876">
        <v>320.16000000000003</v>
      </c>
      <c r="W876">
        <v>355.3</v>
      </c>
      <c r="X876">
        <v>320.16000000000003</v>
      </c>
      <c r="Y876">
        <v>449</v>
      </c>
      <c r="Z876" t="s">
        <v>5922</v>
      </c>
    </row>
    <row r="877" spans="1:26" x14ac:dyDescent="0.2">
      <c r="A877" t="s">
        <v>1160</v>
      </c>
      <c r="B877" t="s">
        <v>1650</v>
      </c>
      <c r="C877" t="s">
        <v>1651</v>
      </c>
      <c r="D877" t="s">
        <v>98</v>
      </c>
      <c r="E877">
        <v>449</v>
      </c>
      <c r="F877" t="s">
        <v>5922</v>
      </c>
      <c r="G877">
        <v>390.43</v>
      </c>
      <c r="H877">
        <v>331.87</v>
      </c>
      <c r="I877">
        <v>390.43</v>
      </c>
      <c r="J877">
        <v>331.87</v>
      </c>
      <c r="K877">
        <v>312.35000000000002</v>
      </c>
      <c r="L877" t="s">
        <v>5922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312.35000000000002</v>
      </c>
      <c r="S877">
        <v>0</v>
      </c>
      <c r="T877">
        <v>0</v>
      </c>
      <c r="U877">
        <v>325.16000000000003</v>
      </c>
      <c r="V877">
        <v>320.16000000000003</v>
      </c>
      <c r="W877">
        <v>355.3</v>
      </c>
      <c r="X877">
        <v>320.16000000000003</v>
      </c>
      <c r="Y877">
        <v>449</v>
      </c>
      <c r="Z877" t="s">
        <v>5922</v>
      </c>
    </row>
    <row r="878" spans="1:26" x14ac:dyDescent="0.2">
      <c r="A878" t="s">
        <v>1160</v>
      </c>
      <c r="B878" t="s">
        <v>1652</v>
      </c>
      <c r="C878" t="s">
        <v>1653</v>
      </c>
      <c r="D878" t="s">
        <v>98</v>
      </c>
      <c r="E878">
        <v>449</v>
      </c>
      <c r="F878" t="s">
        <v>5922</v>
      </c>
      <c r="G878">
        <v>390.43</v>
      </c>
      <c r="H878">
        <v>331.87</v>
      </c>
      <c r="I878">
        <v>390.43</v>
      </c>
      <c r="J878">
        <v>331.87</v>
      </c>
      <c r="K878">
        <v>312.35000000000002</v>
      </c>
      <c r="L878" t="s">
        <v>5922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312.35000000000002</v>
      </c>
      <c r="S878">
        <v>0</v>
      </c>
      <c r="T878">
        <v>0</v>
      </c>
      <c r="U878">
        <v>325.16000000000003</v>
      </c>
      <c r="V878">
        <v>320.16000000000003</v>
      </c>
      <c r="W878">
        <v>355.3</v>
      </c>
      <c r="X878">
        <v>320.16000000000003</v>
      </c>
      <c r="Y878">
        <v>449</v>
      </c>
      <c r="Z878" t="s">
        <v>5922</v>
      </c>
    </row>
    <row r="879" spans="1:26" x14ac:dyDescent="0.2">
      <c r="A879" t="s">
        <v>1160</v>
      </c>
      <c r="B879" t="s">
        <v>1654</v>
      </c>
      <c r="C879" t="s">
        <v>1655</v>
      </c>
      <c r="D879" t="s">
        <v>98</v>
      </c>
      <c r="E879">
        <v>699</v>
      </c>
      <c r="F879" t="s">
        <v>5922</v>
      </c>
      <c r="G879">
        <v>448</v>
      </c>
      <c r="H879">
        <v>516.65</v>
      </c>
      <c r="L879" t="s">
        <v>5922</v>
      </c>
      <c r="Q879">
        <v>516.65</v>
      </c>
      <c r="R879">
        <v>516.65</v>
      </c>
      <c r="U879">
        <v>522.73</v>
      </c>
      <c r="V879">
        <v>516.65</v>
      </c>
      <c r="W879">
        <v>559.20000000000005</v>
      </c>
      <c r="X879">
        <v>516.65</v>
      </c>
      <c r="Y879">
        <v>699</v>
      </c>
      <c r="Z879" t="s">
        <v>5922</v>
      </c>
    </row>
    <row r="880" spans="1:26" x14ac:dyDescent="0.2">
      <c r="A880" t="s">
        <v>1160</v>
      </c>
      <c r="B880" t="s">
        <v>1656</v>
      </c>
      <c r="C880" t="s">
        <v>1657</v>
      </c>
      <c r="D880" t="s">
        <v>98</v>
      </c>
      <c r="E880">
        <v>799</v>
      </c>
      <c r="F880" t="s">
        <v>5922</v>
      </c>
      <c r="G880">
        <v>548</v>
      </c>
      <c r="H880">
        <v>590.57000000000005</v>
      </c>
      <c r="L880" t="s">
        <v>5922</v>
      </c>
      <c r="Q880">
        <v>590.57000000000005</v>
      </c>
      <c r="R880">
        <v>590.57000000000005</v>
      </c>
      <c r="U880">
        <v>597.51</v>
      </c>
      <c r="V880">
        <v>590.57000000000005</v>
      </c>
      <c r="W880">
        <v>639.20000000000005</v>
      </c>
      <c r="X880">
        <v>590.57000000000005</v>
      </c>
      <c r="Y880">
        <v>799</v>
      </c>
      <c r="Z880" t="s">
        <v>5922</v>
      </c>
    </row>
    <row r="881" spans="1:26" x14ac:dyDescent="0.2">
      <c r="A881" t="s">
        <v>1160</v>
      </c>
      <c r="B881" t="s">
        <v>1658</v>
      </c>
      <c r="C881" t="s">
        <v>1659</v>
      </c>
      <c r="D881" t="s">
        <v>98</v>
      </c>
      <c r="E881">
        <v>799</v>
      </c>
      <c r="F881" t="s">
        <v>5922</v>
      </c>
      <c r="G881">
        <v>799</v>
      </c>
      <c r="H881">
        <v>590.57000000000005</v>
      </c>
      <c r="L881" t="s">
        <v>5922</v>
      </c>
      <c r="Q881">
        <v>590.57000000000005</v>
      </c>
      <c r="R881">
        <v>590.57000000000005</v>
      </c>
      <c r="U881">
        <v>590.57000000000005</v>
      </c>
      <c r="V881">
        <v>590.57000000000005</v>
      </c>
      <c r="W881">
        <v>639.20000000000005</v>
      </c>
      <c r="X881">
        <v>590.57000000000005</v>
      </c>
      <c r="Y881">
        <v>799</v>
      </c>
      <c r="Z881" t="s">
        <v>5922</v>
      </c>
    </row>
    <row r="882" spans="1:26" x14ac:dyDescent="0.2">
      <c r="A882" t="s">
        <v>1160</v>
      </c>
      <c r="B882" t="s">
        <v>1660</v>
      </c>
      <c r="C882" t="s">
        <v>1661</v>
      </c>
      <c r="D882" t="s">
        <v>105</v>
      </c>
      <c r="E882">
        <v>899</v>
      </c>
      <c r="F882" t="s">
        <v>7046</v>
      </c>
      <c r="H882">
        <v>664.48</v>
      </c>
      <c r="L882" t="s">
        <v>5922</v>
      </c>
      <c r="Q882">
        <v>664.48</v>
      </c>
      <c r="R882">
        <v>664.48</v>
      </c>
      <c r="U882">
        <v>672.3</v>
      </c>
      <c r="V882">
        <v>664.48</v>
      </c>
      <c r="X882">
        <v>664.48</v>
      </c>
      <c r="Y882">
        <v>899</v>
      </c>
      <c r="Z882" t="s">
        <v>5922</v>
      </c>
    </row>
    <row r="883" spans="1:26" x14ac:dyDescent="0.2">
      <c r="A883" t="s">
        <v>1160</v>
      </c>
      <c r="B883" t="s">
        <v>7765</v>
      </c>
      <c r="C883" t="s">
        <v>1661</v>
      </c>
      <c r="D883" t="s">
        <v>98</v>
      </c>
      <c r="E883">
        <v>899</v>
      </c>
      <c r="F883" t="s">
        <v>7046</v>
      </c>
      <c r="G883">
        <v>648</v>
      </c>
      <c r="H883">
        <v>664.48</v>
      </c>
      <c r="L883" t="s">
        <v>5922</v>
      </c>
      <c r="Q883">
        <v>664.48</v>
      </c>
      <c r="R883">
        <v>664.48</v>
      </c>
      <c r="U883">
        <v>672.3</v>
      </c>
      <c r="V883">
        <v>664.48</v>
      </c>
      <c r="W883">
        <v>719.2</v>
      </c>
      <c r="X883">
        <v>664.48</v>
      </c>
      <c r="Y883">
        <v>899</v>
      </c>
      <c r="Z883" t="s">
        <v>5922</v>
      </c>
    </row>
    <row r="884" spans="1:26" x14ac:dyDescent="0.2">
      <c r="A884" t="s">
        <v>1160</v>
      </c>
      <c r="B884" t="s">
        <v>1662</v>
      </c>
      <c r="C884" t="s">
        <v>1663</v>
      </c>
      <c r="D884" t="s">
        <v>105</v>
      </c>
      <c r="E884">
        <v>899</v>
      </c>
      <c r="F884" t="s">
        <v>7046</v>
      </c>
      <c r="H884">
        <v>664.48</v>
      </c>
      <c r="L884" t="s">
        <v>5922</v>
      </c>
      <c r="Q884">
        <v>664.48</v>
      </c>
      <c r="R884">
        <v>664.48</v>
      </c>
      <c r="U884">
        <v>672.3</v>
      </c>
      <c r="V884">
        <v>664.48</v>
      </c>
      <c r="X884">
        <v>664.48</v>
      </c>
      <c r="Y884">
        <v>899</v>
      </c>
      <c r="Z884" t="s">
        <v>5922</v>
      </c>
    </row>
    <row r="885" spans="1:26" x14ac:dyDescent="0.2">
      <c r="A885" t="s">
        <v>1160</v>
      </c>
      <c r="B885" t="s">
        <v>1664</v>
      </c>
      <c r="C885" t="s">
        <v>1665</v>
      </c>
      <c r="D885" t="s">
        <v>98</v>
      </c>
      <c r="E885">
        <v>899</v>
      </c>
      <c r="F885" t="s">
        <v>5922</v>
      </c>
      <c r="G885">
        <v>648</v>
      </c>
      <c r="H885">
        <v>664.48</v>
      </c>
      <c r="L885" t="s">
        <v>5922</v>
      </c>
      <c r="Q885">
        <v>664.48</v>
      </c>
      <c r="R885">
        <v>664.48</v>
      </c>
      <c r="U885">
        <v>672.3</v>
      </c>
      <c r="V885">
        <v>664.48</v>
      </c>
      <c r="W885">
        <v>719.2</v>
      </c>
      <c r="X885">
        <v>664.48</v>
      </c>
      <c r="Y885">
        <v>899</v>
      </c>
      <c r="Z885" t="s">
        <v>5922</v>
      </c>
    </row>
    <row r="886" spans="1:26" x14ac:dyDescent="0.2">
      <c r="A886" t="s">
        <v>1160</v>
      </c>
      <c r="B886" t="s">
        <v>1666</v>
      </c>
      <c r="C886" t="s">
        <v>1667</v>
      </c>
      <c r="D886" t="s">
        <v>98</v>
      </c>
      <c r="E886">
        <v>899</v>
      </c>
      <c r="F886" t="s">
        <v>5922</v>
      </c>
      <c r="G886">
        <v>648</v>
      </c>
      <c r="H886">
        <v>664.48</v>
      </c>
      <c r="L886" t="s">
        <v>5922</v>
      </c>
      <c r="Q886">
        <v>664.48</v>
      </c>
      <c r="R886">
        <v>664.48</v>
      </c>
      <c r="U886">
        <v>672.3</v>
      </c>
      <c r="V886">
        <v>664.48</v>
      </c>
      <c r="W886">
        <v>719.2</v>
      </c>
      <c r="X886">
        <v>664.48</v>
      </c>
      <c r="Y886">
        <v>899</v>
      </c>
      <c r="Z886" t="s">
        <v>5922</v>
      </c>
    </row>
    <row r="887" spans="1:26" x14ac:dyDescent="0.2">
      <c r="A887" t="s">
        <v>1160</v>
      </c>
      <c r="B887" t="s">
        <v>1668</v>
      </c>
      <c r="C887" t="s">
        <v>1669</v>
      </c>
      <c r="D887" t="s">
        <v>98</v>
      </c>
      <c r="E887">
        <v>999</v>
      </c>
      <c r="F887" t="s">
        <v>5922</v>
      </c>
      <c r="G887">
        <v>748</v>
      </c>
      <c r="H887">
        <v>738.39</v>
      </c>
      <c r="L887" t="s">
        <v>5922</v>
      </c>
      <c r="Q887">
        <v>738.39</v>
      </c>
      <c r="R887">
        <v>738.39</v>
      </c>
      <c r="U887">
        <v>747.08</v>
      </c>
      <c r="V887">
        <v>738.39</v>
      </c>
      <c r="W887">
        <v>799.2</v>
      </c>
      <c r="X887">
        <v>738.39</v>
      </c>
      <c r="Y887">
        <v>999</v>
      </c>
      <c r="Z887" t="s">
        <v>5922</v>
      </c>
    </row>
    <row r="888" spans="1:26" x14ac:dyDescent="0.2">
      <c r="A888" t="s">
        <v>1160</v>
      </c>
      <c r="B888" t="s">
        <v>1670</v>
      </c>
      <c r="C888" t="s">
        <v>1671</v>
      </c>
      <c r="D888" t="s">
        <v>98</v>
      </c>
      <c r="E888">
        <v>699</v>
      </c>
      <c r="F888" t="s">
        <v>6951</v>
      </c>
      <c r="H888">
        <v>516.65</v>
      </c>
      <c r="L888" t="s">
        <v>5922</v>
      </c>
      <c r="Q888">
        <v>516.65</v>
      </c>
      <c r="R888">
        <v>516.65</v>
      </c>
      <c r="U888">
        <v>522.73</v>
      </c>
      <c r="V888">
        <v>516.65</v>
      </c>
      <c r="X888">
        <v>516.65</v>
      </c>
      <c r="Y888">
        <v>699</v>
      </c>
      <c r="Z888" t="s">
        <v>5922</v>
      </c>
    </row>
    <row r="889" spans="1:26" x14ac:dyDescent="0.2">
      <c r="A889" t="s">
        <v>1160</v>
      </c>
      <c r="B889" t="s">
        <v>1672</v>
      </c>
      <c r="C889" t="s">
        <v>1673</v>
      </c>
      <c r="D889" t="s">
        <v>98</v>
      </c>
      <c r="E889">
        <v>699</v>
      </c>
      <c r="F889" t="s">
        <v>5922</v>
      </c>
      <c r="G889">
        <v>448</v>
      </c>
      <c r="H889">
        <v>516.65</v>
      </c>
      <c r="L889" t="s">
        <v>5922</v>
      </c>
      <c r="Q889">
        <v>516.65</v>
      </c>
      <c r="R889">
        <v>516.65</v>
      </c>
      <c r="U889">
        <v>522.73</v>
      </c>
      <c r="V889">
        <v>516.65</v>
      </c>
      <c r="W889">
        <v>559.20000000000005</v>
      </c>
      <c r="X889">
        <v>516.65</v>
      </c>
      <c r="Y889">
        <v>699</v>
      </c>
      <c r="Z889" t="s">
        <v>5922</v>
      </c>
    </row>
    <row r="890" spans="1:26" x14ac:dyDescent="0.2">
      <c r="A890" t="s">
        <v>1160</v>
      </c>
      <c r="B890" t="s">
        <v>1674</v>
      </c>
      <c r="C890" t="s">
        <v>1675</v>
      </c>
      <c r="D890" t="s">
        <v>98</v>
      </c>
      <c r="E890">
        <v>699</v>
      </c>
      <c r="F890" t="s">
        <v>6951</v>
      </c>
      <c r="H890">
        <v>516.65</v>
      </c>
      <c r="L890" t="s">
        <v>5922</v>
      </c>
      <c r="Q890">
        <v>516.65</v>
      </c>
      <c r="R890">
        <v>516.65</v>
      </c>
      <c r="U890">
        <v>522.73</v>
      </c>
      <c r="V890">
        <v>516.65</v>
      </c>
      <c r="X890">
        <v>516.65</v>
      </c>
      <c r="Y890">
        <v>699</v>
      </c>
      <c r="Z890" t="s">
        <v>5922</v>
      </c>
    </row>
    <row r="891" spans="1:26" x14ac:dyDescent="0.2">
      <c r="A891" t="s">
        <v>1160</v>
      </c>
      <c r="B891" t="s">
        <v>1676</v>
      </c>
      <c r="C891" t="s">
        <v>1677</v>
      </c>
      <c r="D891" t="s">
        <v>98</v>
      </c>
      <c r="E891">
        <v>699</v>
      </c>
      <c r="F891" t="s">
        <v>5922</v>
      </c>
      <c r="G891">
        <v>448</v>
      </c>
      <c r="H891">
        <v>516.65</v>
      </c>
      <c r="L891" t="s">
        <v>5922</v>
      </c>
      <c r="Q891">
        <v>516.65</v>
      </c>
      <c r="R891">
        <v>516.65</v>
      </c>
      <c r="U891">
        <v>522.73</v>
      </c>
      <c r="V891">
        <v>516.65</v>
      </c>
      <c r="W891">
        <v>559.20000000000005</v>
      </c>
      <c r="X891">
        <v>516.65</v>
      </c>
      <c r="Y891">
        <v>699</v>
      </c>
      <c r="Z891" t="s">
        <v>5922</v>
      </c>
    </row>
    <row r="892" spans="1:26" x14ac:dyDescent="0.2">
      <c r="A892" t="s">
        <v>1160</v>
      </c>
      <c r="B892" t="s">
        <v>1678</v>
      </c>
      <c r="C892" t="s">
        <v>1679</v>
      </c>
      <c r="D892" t="s">
        <v>98</v>
      </c>
      <c r="E892">
        <v>799</v>
      </c>
      <c r="F892" t="s">
        <v>5922</v>
      </c>
      <c r="G892">
        <v>548</v>
      </c>
      <c r="H892">
        <v>590.57000000000005</v>
      </c>
      <c r="L892" t="s">
        <v>5922</v>
      </c>
      <c r="Q892">
        <v>590.57000000000005</v>
      </c>
      <c r="R892">
        <v>590.57000000000005</v>
      </c>
      <c r="U892">
        <v>597.51</v>
      </c>
      <c r="V892">
        <v>590.57000000000005</v>
      </c>
      <c r="W892">
        <v>639.20000000000005</v>
      </c>
      <c r="X892">
        <v>590.57000000000005</v>
      </c>
      <c r="Y892">
        <v>799</v>
      </c>
      <c r="Z892" t="s">
        <v>5922</v>
      </c>
    </row>
    <row r="893" spans="1:26" x14ac:dyDescent="0.2">
      <c r="A893" t="s">
        <v>1160</v>
      </c>
      <c r="B893" t="s">
        <v>1680</v>
      </c>
      <c r="C893" t="s">
        <v>1681</v>
      </c>
      <c r="D893" t="s">
        <v>98</v>
      </c>
      <c r="E893">
        <v>899</v>
      </c>
      <c r="F893" t="s">
        <v>5922</v>
      </c>
      <c r="G893">
        <v>648</v>
      </c>
      <c r="H893">
        <v>664.48</v>
      </c>
      <c r="L893" t="s">
        <v>5922</v>
      </c>
      <c r="Q893">
        <v>664.48</v>
      </c>
      <c r="R893">
        <v>664.48</v>
      </c>
      <c r="U893">
        <v>672.3</v>
      </c>
      <c r="V893">
        <v>664.48</v>
      </c>
      <c r="W893">
        <v>719.2</v>
      </c>
      <c r="X893">
        <v>664.48</v>
      </c>
      <c r="Y893">
        <v>899</v>
      </c>
      <c r="Z893" t="s">
        <v>5922</v>
      </c>
    </row>
    <row r="894" spans="1:26" x14ac:dyDescent="0.2">
      <c r="A894" t="s">
        <v>1160</v>
      </c>
      <c r="B894" t="s">
        <v>1682</v>
      </c>
      <c r="C894" t="s">
        <v>1683</v>
      </c>
      <c r="D894" t="s">
        <v>98</v>
      </c>
      <c r="E894">
        <v>899</v>
      </c>
      <c r="F894" t="s">
        <v>5922</v>
      </c>
      <c r="G894">
        <v>648</v>
      </c>
      <c r="H894">
        <v>664.48</v>
      </c>
      <c r="L894" t="s">
        <v>5922</v>
      </c>
      <c r="Q894">
        <v>664.48</v>
      </c>
      <c r="R894">
        <v>664.48</v>
      </c>
      <c r="U894">
        <v>672.3</v>
      </c>
      <c r="V894">
        <v>664.48</v>
      </c>
      <c r="W894">
        <v>719.2</v>
      </c>
      <c r="X894">
        <v>664.48</v>
      </c>
      <c r="Y894">
        <v>899</v>
      </c>
      <c r="Z894" t="s">
        <v>5922</v>
      </c>
    </row>
    <row r="895" spans="1:26" x14ac:dyDescent="0.2">
      <c r="A895" t="s">
        <v>1160</v>
      </c>
      <c r="B895" t="s">
        <v>1684</v>
      </c>
      <c r="C895" t="s">
        <v>1685</v>
      </c>
      <c r="D895" t="s">
        <v>98</v>
      </c>
      <c r="E895">
        <v>899</v>
      </c>
      <c r="F895" t="s">
        <v>5922</v>
      </c>
      <c r="G895">
        <v>648</v>
      </c>
      <c r="H895">
        <v>664.48</v>
      </c>
      <c r="L895" t="s">
        <v>5922</v>
      </c>
      <c r="Q895">
        <v>664.48</v>
      </c>
      <c r="R895">
        <v>664.48</v>
      </c>
      <c r="U895">
        <v>672.3</v>
      </c>
      <c r="V895">
        <v>664.48</v>
      </c>
      <c r="W895">
        <v>719.2</v>
      </c>
      <c r="X895">
        <v>664.48</v>
      </c>
      <c r="Y895">
        <v>899</v>
      </c>
      <c r="Z895" t="s">
        <v>5922</v>
      </c>
    </row>
    <row r="896" spans="1:26" x14ac:dyDescent="0.2">
      <c r="A896" t="s">
        <v>1160</v>
      </c>
      <c r="B896" t="s">
        <v>1686</v>
      </c>
      <c r="C896" t="s">
        <v>1687</v>
      </c>
      <c r="D896" t="s">
        <v>98</v>
      </c>
      <c r="E896">
        <v>899</v>
      </c>
      <c r="F896" t="s">
        <v>5922</v>
      </c>
      <c r="G896">
        <v>648</v>
      </c>
      <c r="H896">
        <v>664.48</v>
      </c>
      <c r="L896" t="s">
        <v>5922</v>
      </c>
      <c r="Q896">
        <v>664.48</v>
      </c>
      <c r="R896">
        <v>664.48</v>
      </c>
      <c r="U896">
        <v>672.3</v>
      </c>
      <c r="V896">
        <v>664.48</v>
      </c>
      <c r="W896">
        <v>719.2</v>
      </c>
      <c r="X896">
        <v>664.48</v>
      </c>
      <c r="Y896">
        <v>899</v>
      </c>
      <c r="Z896" t="s">
        <v>5922</v>
      </c>
    </row>
    <row r="897" spans="1:26" x14ac:dyDescent="0.2">
      <c r="A897" t="s">
        <v>1160</v>
      </c>
      <c r="B897" t="s">
        <v>1688</v>
      </c>
      <c r="C897" t="s">
        <v>1689</v>
      </c>
      <c r="D897" t="s">
        <v>98</v>
      </c>
      <c r="E897">
        <v>699</v>
      </c>
      <c r="F897" t="s">
        <v>5922</v>
      </c>
      <c r="G897">
        <v>448</v>
      </c>
      <c r="H897">
        <v>516.65</v>
      </c>
      <c r="L897" t="s">
        <v>5922</v>
      </c>
      <c r="Q897">
        <v>516.65</v>
      </c>
      <c r="R897">
        <v>516.65</v>
      </c>
      <c r="U897">
        <v>522.73</v>
      </c>
      <c r="V897">
        <v>516.65</v>
      </c>
      <c r="W897">
        <v>559.20000000000005</v>
      </c>
      <c r="X897">
        <v>516.65</v>
      </c>
      <c r="Y897">
        <v>699</v>
      </c>
      <c r="Z897" t="s">
        <v>5922</v>
      </c>
    </row>
    <row r="898" spans="1:26" x14ac:dyDescent="0.2">
      <c r="A898" t="s">
        <v>1160</v>
      </c>
      <c r="B898" t="s">
        <v>1690</v>
      </c>
      <c r="C898" t="s">
        <v>1691</v>
      </c>
      <c r="D898" t="s">
        <v>105</v>
      </c>
      <c r="E898">
        <v>899</v>
      </c>
      <c r="F898" t="s">
        <v>7046</v>
      </c>
      <c r="H898">
        <v>664.48</v>
      </c>
      <c r="L898" t="s">
        <v>5922</v>
      </c>
      <c r="Q898">
        <v>664.48</v>
      </c>
      <c r="R898">
        <v>664.48</v>
      </c>
      <c r="U898">
        <v>672.3</v>
      </c>
      <c r="V898">
        <v>664.48</v>
      </c>
      <c r="X898">
        <v>664.48</v>
      </c>
      <c r="Y898">
        <v>899</v>
      </c>
      <c r="Z898" t="s">
        <v>5922</v>
      </c>
    </row>
    <row r="899" spans="1:26" x14ac:dyDescent="0.2">
      <c r="A899" t="s">
        <v>1160</v>
      </c>
      <c r="B899" t="s">
        <v>1692</v>
      </c>
      <c r="C899" t="s">
        <v>1693</v>
      </c>
      <c r="D899" t="s">
        <v>105</v>
      </c>
      <c r="E899">
        <v>899</v>
      </c>
      <c r="F899" t="s">
        <v>7046</v>
      </c>
      <c r="H899">
        <v>664.48</v>
      </c>
      <c r="L899" t="s">
        <v>5922</v>
      </c>
      <c r="Q899">
        <v>664.48</v>
      </c>
      <c r="R899">
        <v>664.48</v>
      </c>
      <c r="U899">
        <v>672.3</v>
      </c>
      <c r="V899">
        <v>664.48</v>
      </c>
      <c r="X899">
        <v>664.48</v>
      </c>
      <c r="Y899">
        <v>899</v>
      </c>
      <c r="Z899" t="s">
        <v>5922</v>
      </c>
    </row>
    <row r="900" spans="1:26" x14ac:dyDescent="0.2">
      <c r="A900" t="s">
        <v>1160</v>
      </c>
      <c r="B900" t="s">
        <v>1694</v>
      </c>
      <c r="C900" t="s">
        <v>1695</v>
      </c>
      <c r="D900" t="s">
        <v>105</v>
      </c>
      <c r="E900">
        <v>899</v>
      </c>
      <c r="F900" t="s">
        <v>7046</v>
      </c>
      <c r="H900">
        <v>664.48</v>
      </c>
      <c r="L900" t="s">
        <v>5922</v>
      </c>
      <c r="Q900">
        <v>664.48</v>
      </c>
      <c r="R900">
        <v>664.48</v>
      </c>
      <c r="U900">
        <v>672.3</v>
      </c>
      <c r="V900">
        <v>664.48</v>
      </c>
      <c r="X900">
        <v>664.48</v>
      </c>
      <c r="Y900">
        <v>899</v>
      </c>
      <c r="Z900" t="s">
        <v>5922</v>
      </c>
    </row>
    <row r="901" spans="1:26" x14ac:dyDescent="0.2">
      <c r="A901" t="s">
        <v>1160</v>
      </c>
      <c r="B901" t="s">
        <v>1696</v>
      </c>
      <c r="C901" t="s">
        <v>1697</v>
      </c>
      <c r="D901" t="s">
        <v>105</v>
      </c>
      <c r="E901">
        <v>899</v>
      </c>
      <c r="F901" t="s">
        <v>7046</v>
      </c>
      <c r="H901">
        <v>664.48</v>
      </c>
      <c r="L901" t="s">
        <v>5922</v>
      </c>
      <c r="Q901">
        <v>664.48</v>
      </c>
      <c r="R901">
        <v>664.48</v>
      </c>
      <c r="U901">
        <v>672.3</v>
      </c>
      <c r="V901">
        <v>664.48</v>
      </c>
      <c r="X901">
        <v>664.48</v>
      </c>
      <c r="Y901">
        <v>899</v>
      </c>
      <c r="Z901" t="s">
        <v>5922</v>
      </c>
    </row>
    <row r="902" spans="1:26" x14ac:dyDescent="0.2">
      <c r="A902" t="s">
        <v>1160</v>
      </c>
      <c r="B902" t="s">
        <v>1698</v>
      </c>
      <c r="C902" t="s">
        <v>1699</v>
      </c>
      <c r="D902" t="s">
        <v>105</v>
      </c>
      <c r="E902">
        <v>999</v>
      </c>
      <c r="F902" t="s">
        <v>6952</v>
      </c>
      <c r="H902">
        <v>738.39</v>
      </c>
      <c r="L902" t="s">
        <v>5922</v>
      </c>
      <c r="Q902">
        <v>738.39</v>
      </c>
      <c r="R902">
        <v>738.39</v>
      </c>
      <c r="U902">
        <v>747.08</v>
      </c>
      <c r="V902">
        <v>738.39</v>
      </c>
      <c r="X902">
        <v>738.39</v>
      </c>
      <c r="Y902">
        <v>999</v>
      </c>
      <c r="Z902" t="s">
        <v>5922</v>
      </c>
    </row>
    <row r="903" spans="1:26" x14ac:dyDescent="0.2">
      <c r="A903" t="s">
        <v>1160</v>
      </c>
      <c r="B903" t="s">
        <v>1700</v>
      </c>
      <c r="C903" t="s">
        <v>1701</v>
      </c>
      <c r="D903" t="s">
        <v>98</v>
      </c>
      <c r="E903">
        <v>999</v>
      </c>
      <c r="F903" t="s">
        <v>6952</v>
      </c>
      <c r="H903">
        <v>738.39</v>
      </c>
      <c r="L903" t="s">
        <v>5922</v>
      </c>
      <c r="Q903">
        <v>738.39</v>
      </c>
      <c r="R903">
        <v>738.39</v>
      </c>
      <c r="U903">
        <v>747.08</v>
      </c>
      <c r="V903">
        <v>738.39</v>
      </c>
      <c r="X903">
        <v>738.39</v>
      </c>
      <c r="Y903">
        <v>999</v>
      </c>
      <c r="Z903" t="s">
        <v>5922</v>
      </c>
    </row>
    <row r="904" spans="1:26" x14ac:dyDescent="0.2">
      <c r="A904" t="s">
        <v>1160</v>
      </c>
      <c r="B904" t="s">
        <v>1702</v>
      </c>
      <c r="C904" t="s">
        <v>1703</v>
      </c>
      <c r="D904" t="s">
        <v>105</v>
      </c>
      <c r="E904">
        <v>949</v>
      </c>
      <c r="F904" t="s">
        <v>7114</v>
      </c>
      <c r="H904">
        <v>701.43</v>
      </c>
      <c r="L904" t="s">
        <v>5922</v>
      </c>
      <c r="Q904">
        <v>701.43</v>
      </c>
      <c r="R904">
        <v>701.43</v>
      </c>
      <c r="U904">
        <v>709.69</v>
      </c>
      <c r="V904">
        <v>701.43</v>
      </c>
      <c r="X904">
        <v>701.43</v>
      </c>
      <c r="Y904">
        <v>949</v>
      </c>
      <c r="Z904" t="s">
        <v>5922</v>
      </c>
    </row>
    <row r="905" spans="1:26" x14ac:dyDescent="0.2">
      <c r="A905" t="s">
        <v>1160</v>
      </c>
      <c r="B905" t="s">
        <v>1704</v>
      </c>
      <c r="C905" t="s">
        <v>1705</v>
      </c>
      <c r="D905" t="s">
        <v>105</v>
      </c>
      <c r="E905">
        <v>849</v>
      </c>
      <c r="F905" t="s">
        <v>7093</v>
      </c>
      <c r="H905">
        <v>627.52</v>
      </c>
      <c r="L905" t="s">
        <v>5922</v>
      </c>
      <c r="Q905">
        <v>627.52</v>
      </c>
      <c r="R905">
        <v>627.52</v>
      </c>
      <c r="U905">
        <v>634.9</v>
      </c>
      <c r="V905">
        <v>627.52</v>
      </c>
      <c r="X905">
        <v>627.52</v>
      </c>
      <c r="Y905">
        <v>849</v>
      </c>
      <c r="Z905" t="s">
        <v>5922</v>
      </c>
    </row>
    <row r="906" spans="1:26" x14ac:dyDescent="0.2">
      <c r="A906" t="s">
        <v>1160</v>
      </c>
      <c r="B906" t="s">
        <v>1706</v>
      </c>
      <c r="C906" t="s">
        <v>1707</v>
      </c>
      <c r="D906" t="s">
        <v>105</v>
      </c>
      <c r="E906">
        <v>1049</v>
      </c>
      <c r="F906" t="s">
        <v>7096</v>
      </c>
      <c r="H906">
        <v>775.35</v>
      </c>
      <c r="L906" t="s">
        <v>5922</v>
      </c>
      <c r="U906">
        <v>784.47</v>
      </c>
      <c r="V906">
        <v>775.35</v>
      </c>
      <c r="X906">
        <v>775.35</v>
      </c>
      <c r="Y906">
        <v>1049</v>
      </c>
      <c r="Z906" t="s">
        <v>5922</v>
      </c>
    </row>
    <row r="907" spans="1:26" x14ac:dyDescent="0.2">
      <c r="A907" t="s">
        <v>1160</v>
      </c>
      <c r="B907" t="s">
        <v>1708</v>
      </c>
      <c r="C907" t="s">
        <v>1709</v>
      </c>
      <c r="D907" t="s">
        <v>105</v>
      </c>
      <c r="E907">
        <v>1049</v>
      </c>
      <c r="F907" t="s">
        <v>7096</v>
      </c>
      <c r="H907">
        <v>775.35</v>
      </c>
      <c r="L907" t="s">
        <v>5922</v>
      </c>
      <c r="Q907">
        <v>775.35</v>
      </c>
      <c r="R907">
        <v>775.35</v>
      </c>
      <c r="U907">
        <v>784.47</v>
      </c>
      <c r="V907">
        <v>775.35</v>
      </c>
      <c r="X907">
        <v>775.35</v>
      </c>
      <c r="Y907">
        <v>1049</v>
      </c>
      <c r="Z907" t="s">
        <v>5922</v>
      </c>
    </row>
    <row r="908" spans="1:26" x14ac:dyDescent="0.2">
      <c r="A908" t="s">
        <v>1160</v>
      </c>
      <c r="B908" t="s">
        <v>1710</v>
      </c>
      <c r="C908" t="s">
        <v>1711</v>
      </c>
      <c r="D908" t="s">
        <v>105</v>
      </c>
      <c r="E908">
        <v>1249</v>
      </c>
      <c r="F908" t="s">
        <v>7094</v>
      </c>
      <c r="H908">
        <v>923.17</v>
      </c>
      <c r="L908" t="s">
        <v>5922</v>
      </c>
      <c r="U908">
        <v>934.03</v>
      </c>
      <c r="V908">
        <v>923.17</v>
      </c>
      <c r="X908">
        <v>923.17</v>
      </c>
      <c r="Y908">
        <v>1249</v>
      </c>
      <c r="Z908" t="s">
        <v>5922</v>
      </c>
    </row>
    <row r="909" spans="1:26" x14ac:dyDescent="0.2">
      <c r="A909" t="s">
        <v>1160</v>
      </c>
      <c r="B909" t="s">
        <v>7766</v>
      </c>
      <c r="C909" t="s">
        <v>1713</v>
      </c>
      <c r="D909" t="s">
        <v>98</v>
      </c>
      <c r="E909">
        <v>949</v>
      </c>
      <c r="F909" t="s">
        <v>7114</v>
      </c>
      <c r="G909">
        <v>949</v>
      </c>
      <c r="H909">
        <v>701.43</v>
      </c>
      <c r="L909" t="s">
        <v>5922</v>
      </c>
      <c r="Q909">
        <v>701.43</v>
      </c>
      <c r="R909">
        <v>701.43</v>
      </c>
      <c r="U909">
        <v>709.69</v>
      </c>
      <c r="V909">
        <v>701.43</v>
      </c>
      <c r="W909">
        <v>0</v>
      </c>
      <c r="X909">
        <v>701.43</v>
      </c>
      <c r="Y909">
        <v>949</v>
      </c>
      <c r="Z909" t="s">
        <v>5922</v>
      </c>
    </row>
    <row r="910" spans="1:26" x14ac:dyDescent="0.2">
      <c r="A910" t="s">
        <v>1160</v>
      </c>
      <c r="B910" t="s">
        <v>1712</v>
      </c>
      <c r="C910" t="s">
        <v>1713</v>
      </c>
      <c r="D910" t="s">
        <v>105</v>
      </c>
      <c r="E910">
        <v>949</v>
      </c>
      <c r="F910" t="s">
        <v>7114</v>
      </c>
      <c r="H910">
        <v>701.43</v>
      </c>
      <c r="L910" t="s">
        <v>5922</v>
      </c>
      <c r="Q910">
        <v>701.43</v>
      </c>
      <c r="R910">
        <v>701.43</v>
      </c>
      <c r="U910">
        <v>709.69</v>
      </c>
      <c r="V910">
        <v>701.43</v>
      </c>
      <c r="X910">
        <v>701.43</v>
      </c>
      <c r="Y910">
        <v>949</v>
      </c>
      <c r="Z910" t="s">
        <v>5922</v>
      </c>
    </row>
    <row r="911" spans="1:26" x14ac:dyDescent="0.2">
      <c r="A911" t="s">
        <v>1160</v>
      </c>
      <c r="B911" t="s">
        <v>1714</v>
      </c>
      <c r="C911" t="s">
        <v>1715</v>
      </c>
      <c r="D911" t="s">
        <v>105</v>
      </c>
      <c r="E911">
        <v>1149</v>
      </c>
      <c r="F911" t="s">
        <v>7110</v>
      </c>
      <c r="H911">
        <v>849.26</v>
      </c>
      <c r="L911" t="s">
        <v>5922</v>
      </c>
      <c r="U911">
        <v>859.25</v>
      </c>
      <c r="V911">
        <v>849.26</v>
      </c>
      <c r="X911">
        <v>849.26</v>
      </c>
      <c r="Y911">
        <v>1149</v>
      </c>
      <c r="Z911" t="s">
        <v>5922</v>
      </c>
    </row>
    <row r="912" spans="1:26" x14ac:dyDescent="0.2">
      <c r="A912" t="s">
        <v>1160</v>
      </c>
      <c r="B912" t="s">
        <v>1716</v>
      </c>
      <c r="C912" t="s">
        <v>1717</v>
      </c>
      <c r="D912" t="s">
        <v>105</v>
      </c>
      <c r="E912">
        <v>799</v>
      </c>
      <c r="F912" t="s">
        <v>7047</v>
      </c>
      <c r="H912">
        <v>590.57000000000005</v>
      </c>
      <c r="L912" t="s">
        <v>5922</v>
      </c>
      <c r="Q912">
        <v>590.57000000000005</v>
      </c>
      <c r="R912">
        <v>590.57000000000005</v>
      </c>
      <c r="U912">
        <v>597.51</v>
      </c>
      <c r="V912">
        <v>812.3</v>
      </c>
      <c r="X912">
        <v>590.57000000000005</v>
      </c>
      <c r="Y912">
        <v>799</v>
      </c>
      <c r="Z912" t="s">
        <v>5922</v>
      </c>
    </row>
    <row r="913" spans="1:26" x14ac:dyDescent="0.2">
      <c r="A913" t="s">
        <v>1160</v>
      </c>
      <c r="B913" t="s">
        <v>1718</v>
      </c>
      <c r="C913" t="s">
        <v>1719</v>
      </c>
      <c r="D913" t="s">
        <v>98</v>
      </c>
      <c r="E913">
        <v>799</v>
      </c>
      <c r="F913" t="s">
        <v>7047</v>
      </c>
      <c r="H913">
        <v>590.57000000000005</v>
      </c>
      <c r="L913" t="s">
        <v>5922</v>
      </c>
      <c r="Q913">
        <v>590.57000000000005</v>
      </c>
      <c r="R913">
        <v>590.57000000000005</v>
      </c>
      <c r="U913">
        <v>597.51</v>
      </c>
      <c r="V913">
        <v>812.3</v>
      </c>
      <c r="X913">
        <v>590.57000000000005</v>
      </c>
      <c r="Y913">
        <v>799</v>
      </c>
      <c r="Z913" t="s">
        <v>5922</v>
      </c>
    </row>
    <row r="914" spans="1:26" x14ac:dyDescent="0.2">
      <c r="A914" t="s">
        <v>1160</v>
      </c>
      <c r="B914" t="s">
        <v>1720</v>
      </c>
      <c r="C914" t="s">
        <v>1721</v>
      </c>
      <c r="D914" t="s">
        <v>105</v>
      </c>
      <c r="E914">
        <v>1199</v>
      </c>
      <c r="F914" t="s">
        <v>6953</v>
      </c>
      <c r="H914">
        <v>886.22</v>
      </c>
      <c r="L914" t="s">
        <v>5922</v>
      </c>
      <c r="U914">
        <v>896.64</v>
      </c>
      <c r="V914">
        <v>886.22</v>
      </c>
      <c r="X914">
        <v>886.22</v>
      </c>
      <c r="Y914">
        <v>1199</v>
      </c>
      <c r="Z914" t="s">
        <v>5922</v>
      </c>
    </row>
    <row r="915" spans="1:26" x14ac:dyDescent="0.2">
      <c r="A915" t="s">
        <v>1160</v>
      </c>
      <c r="B915" t="s">
        <v>1722</v>
      </c>
      <c r="C915" t="s">
        <v>1723</v>
      </c>
      <c r="D915" t="s">
        <v>105</v>
      </c>
      <c r="E915">
        <v>1199</v>
      </c>
      <c r="F915" t="s">
        <v>6953</v>
      </c>
      <c r="H915">
        <v>886.22</v>
      </c>
      <c r="L915" t="s">
        <v>5922</v>
      </c>
      <c r="U915">
        <v>896.64</v>
      </c>
      <c r="V915">
        <v>886.22</v>
      </c>
      <c r="X915">
        <v>886.22</v>
      </c>
      <c r="Y915">
        <v>1199</v>
      </c>
      <c r="Z915" t="s">
        <v>5922</v>
      </c>
    </row>
    <row r="916" spans="1:26" x14ac:dyDescent="0.2">
      <c r="A916" t="s">
        <v>1160</v>
      </c>
      <c r="B916" t="s">
        <v>1724</v>
      </c>
      <c r="C916" t="s">
        <v>1725</v>
      </c>
      <c r="D916" t="s">
        <v>105</v>
      </c>
      <c r="E916">
        <v>1399</v>
      </c>
      <c r="F916" t="s">
        <v>7050</v>
      </c>
      <c r="H916">
        <v>1034.04</v>
      </c>
      <c r="L916" t="s">
        <v>5922</v>
      </c>
      <c r="U916">
        <v>1046.21</v>
      </c>
      <c r="V916">
        <v>1034.04</v>
      </c>
      <c r="X916">
        <v>1034.04</v>
      </c>
      <c r="Y916">
        <v>1399</v>
      </c>
      <c r="Z916" t="s">
        <v>5922</v>
      </c>
    </row>
    <row r="917" spans="1:26" x14ac:dyDescent="0.2">
      <c r="A917" t="s">
        <v>1160</v>
      </c>
      <c r="B917" t="s">
        <v>1726</v>
      </c>
      <c r="C917" t="s">
        <v>1727</v>
      </c>
      <c r="D917" t="s">
        <v>105</v>
      </c>
      <c r="E917">
        <v>899</v>
      </c>
      <c r="F917" t="s">
        <v>7046</v>
      </c>
      <c r="H917">
        <v>664.48</v>
      </c>
      <c r="L917" t="s">
        <v>5922</v>
      </c>
      <c r="Q917">
        <v>664.48</v>
      </c>
      <c r="R917">
        <v>664.48</v>
      </c>
      <c r="U917">
        <v>672.3</v>
      </c>
      <c r="V917">
        <v>886.22</v>
      </c>
      <c r="X917">
        <v>664.48</v>
      </c>
      <c r="Y917">
        <v>899</v>
      </c>
      <c r="Z917" t="s">
        <v>5922</v>
      </c>
    </row>
    <row r="918" spans="1:26" x14ac:dyDescent="0.2">
      <c r="A918" t="s">
        <v>1160</v>
      </c>
      <c r="B918" t="s">
        <v>1728</v>
      </c>
      <c r="C918" t="s">
        <v>1729</v>
      </c>
      <c r="D918" t="s">
        <v>98</v>
      </c>
      <c r="E918">
        <v>899</v>
      </c>
      <c r="F918" t="s">
        <v>7046</v>
      </c>
      <c r="H918">
        <v>664.48</v>
      </c>
      <c r="L918" t="s">
        <v>5922</v>
      </c>
      <c r="Q918">
        <v>664.48</v>
      </c>
      <c r="R918">
        <v>664.48</v>
      </c>
      <c r="U918">
        <v>672.3</v>
      </c>
      <c r="V918">
        <v>886.22</v>
      </c>
      <c r="X918">
        <v>664.48</v>
      </c>
      <c r="Y918">
        <v>899</v>
      </c>
      <c r="Z918" t="s">
        <v>5922</v>
      </c>
    </row>
    <row r="919" spans="1:26" x14ac:dyDescent="0.2">
      <c r="A919" t="s">
        <v>1160</v>
      </c>
      <c r="B919" t="s">
        <v>1730</v>
      </c>
      <c r="C919" t="s">
        <v>1731</v>
      </c>
      <c r="D919" t="s">
        <v>105</v>
      </c>
      <c r="E919">
        <v>999</v>
      </c>
      <c r="F919" t="s">
        <v>6952</v>
      </c>
      <c r="H919">
        <v>738.39</v>
      </c>
      <c r="L919" t="s">
        <v>5922</v>
      </c>
      <c r="Q919">
        <v>738.39</v>
      </c>
      <c r="R919">
        <v>738.39</v>
      </c>
      <c r="U919">
        <v>747.08</v>
      </c>
      <c r="V919">
        <v>960.13</v>
      </c>
      <c r="X919">
        <v>738.39</v>
      </c>
      <c r="Y919">
        <v>999</v>
      </c>
      <c r="Z919" t="s">
        <v>5922</v>
      </c>
    </row>
    <row r="920" spans="1:26" x14ac:dyDescent="0.2">
      <c r="A920" t="s">
        <v>1160</v>
      </c>
      <c r="B920" t="s">
        <v>1732</v>
      </c>
      <c r="C920" t="s">
        <v>1733</v>
      </c>
      <c r="D920" t="s">
        <v>105</v>
      </c>
      <c r="E920">
        <v>629</v>
      </c>
      <c r="F920" t="s">
        <v>7070</v>
      </c>
      <c r="H920">
        <v>464.91</v>
      </c>
      <c r="L920" t="s">
        <v>5922</v>
      </c>
      <c r="Q920">
        <v>464.91</v>
      </c>
      <c r="R920">
        <v>464.91</v>
      </c>
      <c r="U920">
        <v>470.38</v>
      </c>
      <c r="V920">
        <v>464.91</v>
      </c>
      <c r="X920">
        <v>464.91</v>
      </c>
      <c r="Y920">
        <v>629</v>
      </c>
      <c r="Z920" t="s">
        <v>5922</v>
      </c>
    </row>
    <row r="921" spans="1:26" x14ac:dyDescent="0.2">
      <c r="A921" t="s">
        <v>1160</v>
      </c>
      <c r="B921" t="s">
        <v>1734</v>
      </c>
      <c r="C921" t="s">
        <v>1735</v>
      </c>
      <c r="D921" t="s">
        <v>105</v>
      </c>
      <c r="E921">
        <v>629</v>
      </c>
      <c r="F921" t="s">
        <v>7070</v>
      </c>
      <c r="H921">
        <v>464.91</v>
      </c>
      <c r="L921" t="s">
        <v>5922</v>
      </c>
      <c r="Q921">
        <v>464.91</v>
      </c>
      <c r="R921">
        <v>464.91</v>
      </c>
      <c r="U921">
        <v>470.38</v>
      </c>
      <c r="V921">
        <v>464.91</v>
      </c>
      <c r="X921">
        <v>464.91</v>
      </c>
      <c r="Y921">
        <v>629</v>
      </c>
      <c r="Z921" t="s">
        <v>5922</v>
      </c>
    </row>
    <row r="922" spans="1:26" x14ac:dyDescent="0.2">
      <c r="A922" t="s">
        <v>1160</v>
      </c>
      <c r="B922" t="s">
        <v>1736</v>
      </c>
      <c r="C922" t="s">
        <v>1737</v>
      </c>
      <c r="D922" t="s">
        <v>98</v>
      </c>
      <c r="E922">
        <v>549</v>
      </c>
      <c r="F922" t="s">
        <v>5922</v>
      </c>
      <c r="G922">
        <v>599</v>
      </c>
      <c r="H922">
        <v>405.78</v>
      </c>
      <c r="L922" t="s">
        <v>5922</v>
      </c>
      <c r="U922">
        <v>442.74</v>
      </c>
      <c r="V922">
        <v>442.74</v>
      </c>
      <c r="W922">
        <v>479.2</v>
      </c>
      <c r="X922">
        <v>442.74</v>
      </c>
      <c r="Y922">
        <v>599</v>
      </c>
      <c r="Z922" t="s">
        <v>5922</v>
      </c>
    </row>
    <row r="923" spans="1:26" x14ac:dyDescent="0.2">
      <c r="A923" t="s">
        <v>1160</v>
      </c>
      <c r="B923" t="s">
        <v>1738</v>
      </c>
      <c r="C923" t="s">
        <v>1739</v>
      </c>
      <c r="D923" t="s">
        <v>98</v>
      </c>
      <c r="E923">
        <v>769</v>
      </c>
      <c r="F923" t="s">
        <v>5922</v>
      </c>
      <c r="G923">
        <v>668.7</v>
      </c>
      <c r="H923">
        <v>568.39</v>
      </c>
      <c r="I923">
        <v>668.7</v>
      </c>
      <c r="J923">
        <v>568.39</v>
      </c>
      <c r="K923">
        <v>534.96</v>
      </c>
      <c r="L923" t="s">
        <v>5922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534.96</v>
      </c>
      <c r="S923">
        <v>0</v>
      </c>
      <c r="T923">
        <v>0</v>
      </c>
      <c r="U923">
        <v>553.33000000000004</v>
      </c>
      <c r="V923">
        <v>548.33000000000004</v>
      </c>
      <c r="W923">
        <v>608.51</v>
      </c>
      <c r="X923">
        <v>548.33000000000004</v>
      </c>
      <c r="Y923">
        <v>769</v>
      </c>
      <c r="Z923" t="s">
        <v>5922</v>
      </c>
    </row>
    <row r="924" spans="1:26" x14ac:dyDescent="0.2">
      <c r="A924" t="s">
        <v>1160</v>
      </c>
      <c r="B924" t="s">
        <v>1740</v>
      </c>
      <c r="C924" t="s">
        <v>1741</v>
      </c>
      <c r="D924" t="s">
        <v>98</v>
      </c>
      <c r="E924">
        <v>769</v>
      </c>
      <c r="F924" t="s">
        <v>5922</v>
      </c>
      <c r="G924">
        <v>668.7</v>
      </c>
      <c r="H924">
        <v>568.39</v>
      </c>
      <c r="I924">
        <v>668.7</v>
      </c>
      <c r="J924">
        <v>568.39</v>
      </c>
      <c r="K924">
        <v>534.96</v>
      </c>
      <c r="L924" t="s">
        <v>5922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534.96</v>
      </c>
      <c r="S924">
        <v>0</v>
      </c>
      <c r="T924">
        <v>0</v>
      </c>
      <c r="U924">
        <v>569.72</v>
      </c>
      <c r="V924">
        <v>569.72</v>
      </c>
      <c r="W924">
        <v>632.25</v>
      </c>
      <c r="X924">
        <v>569.72</v>
      </c>
      <c r="Y924">
        <v>799</v>
      </c>
      <c r="Z924" t="s">
        <v>5922</v>
      </c>
    </row>
    <row r="925" spans="1:26" x14ac:dyDescent="0.2">
      <c r="A925" t="s">
        <v>1160</v>
      </c>
      <c r="B925" t="s">
        <v>1742</v>
      </c>
      <c r="C925" t="s">
        <v>1743</v>
      </c>
      <c r="D925" t="s">
        <v>98</v>
      </c>
      <c r="E925">
        <v>769</v>
      </c>
      <c r="F925" t="s">
        <v>5922</v>
      </c>
      <c r="G925">
        <v>499</v>
      </c>
      <c r="H925">
        <v>568.39</v>
      </c>
      <c r="I925">
        <v>668.7</v>
      </c>
      <c r="J925">
        <v>568.39</v>
      </c>
      <c r="K925">
        <v>534.96</v>
      </c>
      <c r="L925" t="s">
        <v>5922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534.96</v>
      </c>
      <c r="S925">
        <v>0</v>
      </c>
      <c r="T925">
        <v>0</v>
      </c>
      <c r="U925">
        <v>569.72</v>
      </c>
      <c r="V925">
        <v>569.72</v>
      </c>
      <c r="W925">
        <v>632.25</v>
      </c>
      <c r="X925">
        <v>569.72</v>
      </c>
      <c r="Y925">
        <v>799</v>
      </c>
      <c r="Z925" t="s">
        <v>5922</v>
      </c>
    </row>
    <row r="926" spans="1:26" x14ac:dyDescent="0.2">
      <c r="A926" t="s">
        <v>1160</v>
      </c>
      <c r="B926" t="s">
        <v>1744</v>
      </c>
      <c r="C926" t="s">
        <v>1745</v>
      </c>
      <c r="D926" t="s">
        <v>98</v>
      </c>
      <c r="E926">
        <v>769</v>
      </c>
      <c r="F926" t="s">
        <v>5922</v>
      </c>
      <c r="G926">
        <v>668.7</v>
      </c>
      <c r="H926">
        <v>568.39</v>
      </c>
      <c r="I926">
        <v>668.7</v>
      </c>
      <c r="J926">
        <v>568.39</v>
      </c>
      <c r="K926">
        <v>534.96</v>
      </c>
      <c r="L926" t="s">
        <v>5922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534.96</v>
      </c>
      <c r="S926">
        <v>0</v>
      </c>
      <c r="T926">
        <v>0</v>
      </c>
      <c r="U926">
        <v>553.33000000000004</v>
      </c>
      <c r="V926">
        <v>548.33000000000004</v>
      </c>
      <c r="W926">
        <v>608.51</v>
      </c>
      <c r="X926">
        <v>548.33000000000004</v>
      </c>
      <c r="Y926">
        <v>769</v>
      </c>
      <c r="Z926" t="s">
        <v>5922</v>
      </c>
    </row>
    <row r="927" spans="1:26" x14ac:dyDescent="0.2">
      <c r="A927" t="s">
        <v>1160</v>
      </c>
      <c r="B927" t="s">
        <v>1746</v>
      </c>
      <c r="C927" t="s">
        <v>1747</v>
      </c>
      <c r="D927" t="s">
        <v>98</v>
      </c>
      <c r="E927">
        <v>769</v>
      </c>
      <c r="F927" t="s">
        <v>5922</v>
      </c>
      <c r="G927">
        <v>668.7</v>
      </c>
      <c r="H927">
        <v>568.39</v>
      </c>
      <c r="I927">
        <v>668.7</v>
      </c>
      <c r="J927">
        <v>568.39</v>
      </c>
      <c r="K927">
        <v>534.96</v>
      </c>
      <c r="L927" t="s">
        <v>5922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534.96</v>
      </c>
      <c r="S927">
        <v>0</v>
      </c>
      <c r="T927">
        <v>0</v>
      </c>
      <c r="U927">
        <v>553.33000000000004</v>
      </c>
      <c r="V927">
        <v>548.33000000000004</v>
      </c>
      <c r="W927">
        <v>608.51</v>
      </c>
      <c r="X927">
        <v>548.33000000000004</v>
      </c>
      <c r="Y927">
        <v>769</v>
      </c>
      <c r="Z927" t="s">
        <v>5922</v>
      </c>
    </row>
    <row r="928" spans="1:26" x14ac:dyDescent="0.2">
      <c r="A928" t="s">
        <v>1160</v>
      </c>
      <c r="B928" t="s">
        <v>1748</v>
      </c>
      <c r="C928" t="s">
        <v>1749</v>
      </c>
      <c r="D928" t="s">
        <v>98</v>
      </c>
      <c r="E928">
        <v>869</v>
      </c>
      <c r="F928" t="s">
        <v>5922</v>
      </c>
      <c r="G928">
        <v>755.65</v>
      </c>
      <c r="H928">
        <v>642.29999999999995</v>
      </c>
      <c r="I928">
        <v>755.65</v>
      </c>
      <c r="J928">
        <v>642.29999999999995</v>
      </c>
      <c r="K928">
        <v>604.52</v>
      </c>
      <c r="L928" t="s">
        <v>5922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604.52</v>
      </c>
      <c r="S928">
        <v>0</v>
      </c>
      <c r="T928">
        <v>0</v>
      </c>
      <c r="U928">
        <v>624.63</v>
      </c>
      <c r="V928">
        <v>619.63</v>
      </c>
      <c r="W928">
        <v>687.64</v>
      </c>
      <c r="X928">
        <v>619.63</v>
      </c>
      <c r="Y928">
        <v>869</v>
      </c>
      <c r="Z928" t="s">
        <v>5922</v>
      </c>
    </row>
    <row r="929" spans="1:26" x14ac:dyDescent="0.2">
      <c r="A929" t="s">
        <v>1160</v>
      </c>
      <c r="B929" t="s">
        <v>1750</v>
      </c>
      <c r="C929" t="s">
        <v>1751</v>
      </c>
      <c r="D929" t="s">
        <v>98</v>
      </c>
      <c r="E929">
        <v>869</v>
      </c>
      <c r="F929" t="s">
        <v>5922</v>
      </c>
      <c r="G929">
        <v>755.65</v>
      </c>
      <c r="H929">
        <v>642.29999999999995</v>
      </c>
      <c r="I929">
        <v>755.65</v>
      </c>
      <c r="J929">
        <v>642.29999999999995</v>
      </c>
      <c r="K929">
        <v>604.52</v>
      </c>
      <c r="L929" t="s">
        <v>5922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604.52</v>
      </c>
      <c r="S929">
        <v>0</v>
      </c>
      <c r="T929">
        <v>0</v>
      </c>
      <c r="U929">
        <v>619.63</v>
      </c>
      <c r="V929">
        <v>619.63</v>
      </c>
      <c r="W929">
        <v>687.64</v>
      </c>
      <c r="X929">
        <v>619.63</v>
      </c>
      <c r="Y929">
        <v>869</v>
      </c>
      <c r="Z929" t="s">
        <v>5922</v>
      </c>
    </row>
    <row r="930" spans="1:26" x14ac:dyDescent="0.2">
      <c r="A930" t="s">
        <v>1160</v>
      </c>
      <c r="B930" t="s">
        <v>1752</v>
      </c>
      <c r="C930" t="s">
        <v>1753</v>
      </c>
      <c r="D930" t="s">
        <v>98</v>
      </c>
      <c r="E930">
        <v>869</v>
      </c>
      <c r="F930" t="s">
        <v>5922</v>
      </c>
      <c r="G930">
        <v>755.65</v>
      </c>
      <c r="H930">
        <v>642.29999999999995</v>
      </c>
      <c r="I930">
        <v>755.65</v>
      </c>
      <c r="J930">
        <v>642.29999999999995</v>
      </c>
      <c r="K930">
        <v>604.52</v>
      </c>
      <c r="L930" t="s">
        <v>5922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604.52</v>
      </c>
      <c r="S930">
        <v>0</v>
      </c>
      <c r="T930">
        <v>0</v>
      </c>
      <c r="U930">
        <v>624.63</v>
      </c>
      <c r="V930">
        <v>619.63</v>
      </c>
      <c r="W930">
        <v>687.64</v>
      </c>
      <c r="X930">
        <v>619.63</v>
      </c>
      <c r="Y930">
        <v>869</v>
      </c>
      <c r="Z930" t="s">
        <v>5922</v>
      </c>
    </row>
    <row r="931" spans="1:26" x14ac:dyDescent="0.2">
      <c r="A931" t="s">
        <v>1160</v>
      </c>
      <c r="B931" t="s">
        <v>1754</v>
      </c>
      <c r="C931" t="s">
        <v>1755</v>
      </c>
      <c r="D931" t="s">
        <v>98</v>
      </c>
      <c r="E931">
        <v>869</v>
      </c>
      <c r="F931" t="s">
        <v>5922</v>
      </c>
      <c r="G931">
        <v>755.65</v>
      </c>
      <c r="H931">
        <v>642.29999999999995</v>
      </c>
      <c r="I931">
        <v>642.29999999999995</v>
      </c>
      <c r="J931">
        <v>642.29999999999995</v>
      </c>
      <c r="K931">
        <v>604.52</v>
      </c>
      <c r="L931" t="s">
        <v>5922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604.52</v>
      </c>
      <c r="S931">
        <v>0</v>
      </c>
      <c r="T931">
        <v>0</v>
      </c>
      <c r="U931">
        <v>619.63</v>
      </c>
      <c r="V931">
        <v>619.63</v>
      </c>
      <c r="W931">
        <v>687.64</v>
      </c>
      <c r="X931">
        <v>619.63</v>
      </c>
      <c r="Y931">
        <v>869</v>
      </c>
      <c r="Z931" t="s">
        <v>5922</v>
      </c>
    </row>
    <row r="932" spans="1:26" x14ac:dyDescent="0.2">
      <c r="A932" t="s">
        <v>1160</v>
      </c>
      <c r="B932" t="s">
        <v>1756</v>
      </c>
      <c r="C932" t="s">
        <v>1757</v>
      </c>
      <c r="D932" t="s">
        <v>98</v>
      </c>
      <c r="E932">
        <v>869</v>
      </c>
      <c r="F932" t="s">
        <v>5922</v>
      </c>
      <c r="G932">
        <v>755.65</v>
      </c>
      <c r="H932">
        <v>642.29999999999995</v>
      </c>
      <c r="I932">
        <v>755.65</v>
      </c>
      <c r="J932">
        <v>642.29999999999995</v>
      </c>
      <c r="K932">
        <v>604.52</v>
      </c>
      <c r="L932" t="s">
        <v>5922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604.52</v>
      </c>
      <c r="S932">
        <v>0</v>
      </c>
      <c r="T932">
        <v>0</v>
      </c>
      <c r="U932">
        <v>624.63</v>
      </c>
      <c r="V932">
        <v>619.63</v>
      </c>
      <c r="W932">
        <v>687.64</v>
      </c>
      <c r="X932">
        <v>619.63</v>
      </c>
      <c r="Y932">
        <v>869</v>
      </c>
      <c r="Z932" t="s">
        <v>5922</v>
      </c>
    </row>
    <row r="933" spans="1:26" x14ac:dyDescent="0.2">
      <c r="A933" t="s">
        <v>1160</v>
      </c>
      <c r="B933" t="s">
        <v>1758</v>
      </c>
      <c r="C933" t="s">
        <v>6032</v>
      </c>
      <c r="D933" t="s">
        <v>98</v>
      </c>
      <c r="E933">
        <v>869</v>
      </c>
      <c r="F933" t="s">
        <v>5922</v>
      </c>
      <c r="G933">
        <v>755.65</v>
      </c>
      <c r="H933">
        <v>642.29999999999995</v>
      </c>
      <c r="I933">
        <v>755.65</v>
      </c>
      <c r="J933">
        <v>642.29999999999995</v>
      </c>
      <c r="K933">
        <v>604.52</v>
      </c>
      <c r="L933" t="s">
        <v>5922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604.52</v>
      </c>
      <c r="S933">
        <v>0</v>
      </c>
      <c r="T933">
        <v>0</v>
      </c>
      <c r="U933">
        <v>624.63</v>
      </c>
      <c r="V933">
        <v>619.63</v>
      </c>
      <c r="W933">
        <v>687.64</v>
      </c>
      <c r="X933">
        <v>619.63</v>
      </c>
      <c r="Y933">
        <v>869</v>
      </c>
      <c r="Z933" t="s">
        <v>5922</v>
      </c>
    </row>
    <row r="934" spans="1:26" x14ac:dyDescent="0.2">
      <c r="A934" t="s">
        <v>1160</v>
      </c>
      <c r="B934" t="s">
        <v>1759</v>
      </c>
      <c r="C934" t="s">
        <v>1760</v>
      </c>
      <c r="D934" t="s">
        <v>98</v>
      </c>
      <c r="E934">
        <v>599</v>
      </c>
      <c r="F934" t="s">
        <v>5922</v>
      </c>
      <c r="G934">
        <v>520.87</v>
      </c>
      <c r="H934">
        <v>442.74</v>
      </c>
      <c r="I934">
        <v>520.87</v>
      </c>
      <c r="J934">
        <v>442.74</v>
      </c>
      <c r="K934">
        <v>416.7</v>
      </c>
      <c r="L934" t="s">
        <v>5922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416.7</v>
      </c>
      <c r="S934">
        <v>0</v>
      </c>
      <c r="T934">
        <v>0</v>
      </c>
      <c r="U934">
        <v>432.11</v>
      </c>
      <c r="V934">
        <v>427.11</v>
      </c>
      <c r="W934">
        <v>473.99</v>
      </c>
      <c r="X934">
        <v>427.11</v>
      </c>
      <c r="Y934">
        <v>599</v>
      </c>
      <c r="Z934" t="s">
        <v>5922</v>
      </c>
    </row>
    <row r="935" spans="1:26" x14ac:dyDescent="0.2">
      <c r="A935" t="s">
        <v>1160</v>
      </c>
      <c r="B935" t="s">
        <v>1761</v>
      </c>
      <c r="C935" t="s">
        <v>6033</v>
      </c>
      <c r="D935" t="s">
        <v>98</v>
      </c>
      <c r="E935">
        <v>599</v>
      </c>
      <c r="F935" t="s">
        <v>5922</v>
      </c>
      <c r="G935">
        <v>520.87</v>
      </c>
      <c r="H935">
        <v>442.74</v>
      </c>
      <c r="I935">
        <v>520.87</v>
      </c>
      <c r="J935">
        <v>442.74</v>
      </c>
      <c r="K935">
        <v>416.7</v>
      </c>
      <c r="L935" t="s">
        <v>5922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416.7</v>
      </c>
      <c r="S935">
        <v>0</v>
      </c>
      <c r="T935">
        <v>0</v>
      </c>
      <c r="U935">
        <v>432.11</v>
      </c>
      <c r="V935">
        <v>427.11</v>
      </c>
      <c r="W935">
        <v>473.99</v>
      </c>
      <c r="X935">
        <v>427.11</v>
      </c>
      <c r="Y935">
        <v>599</v>
      </c>
      <c r="Z935" t="s">
        <v>5922</v>
      </c>
    </row>
    <row r="936" spans="1:26" x14ac:dyDescent="0.2">
      <c r="A936" t="s">
        <v>1160</v>
      </c>
      <c r="B936" t="s">
        <v>1762</v>
      </c>
      <c r="C936" t="s">
        <v>1763</v>
      </c>
      <c r="D936" t="s">
        <v>98</v>
      </c>
      <c r="E936">
        <v>449</v>
      </c>
      <c r="F936" t="s">
        <v>5922</v>
      </c>
      <c r="G936">
        <v>390.43</v>
      </c>
      <c r="H936">
        <v>331.87</v>
      </c>
      <c r="I936">
        <v>0</v>
      </c>
      <c r="J936">
        <v>331.87</v>
      </c>
      <c r="K936">
        <v>312.35000000000002</v>
      </c>
      <c r="L936" t="s">
        <v>5922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312.35000000000002</v>
      </c>
      <c r="S936">
        <v>0</v>
      </c>
      <c r="T936">
        <v>0</v>
      </c>
      <c r="U936">
        <v>320.16000000000003</v>
      </c>
      <c r="V936">
        <v>0</v>
      </c>
      <c r="W936">
        <v>355.3</v>
      </c>
      <c r="X936">
        <v>320.16000000000003</v>
      </c>
      <c r="Y936">
        <v>449</v>
      </c>
      <c r="Z936" t="s">
        <v>5922</v>
      </c>
    </row>
    <row r="937" spans="1:26" x14ac:dyDescent="0.2">
      <c r="A937" t="s">
        <v>1160</v>
      </c>
      <c r="B937" t="s">
        <v>1764</v>
      </c>
      <c r="C937" t="s">
        <v>1765</v>
      </c>
      <c r="D937" t="s">
        <v>98</v>
      </c>
      <c r="E937">
        <v>699</v>
      </c>
      <c r="F937" t="s">
        <v>5922</v>
      </c>
      <c r="H937">
        <v>511.38</v>
      </c>
      <c r="L937" t="s">
        <v>5922</v>
      </c>
      <c r="U937">
        <v>590.57000000000005</v>
      </c>
      <c r="V937">
        <v>590.57000000000005</v>
      </c>
      <c r="W937">
        <v>639.20000000000005</v>
      </c>
      <c r="X937">
        <v>590.57000000000005</v>
      </c>
      <c r="Y937">
        <v>799</v>
      </c>
      <c r="Z937" t="s">
        <v>5922</v>
      </c>
    </row>
    <row r="938" spans="1:26" x14ac:dyDescent="0.2">
      <c r="A938" t="s">
        <v>1160</v>
      </c>
      <c r="B938" t="s">
        <v>1766</v>
      </c>
      <c r="C938" t="s">
        <v>1767</v>
      </c>
      <c r="D938" t="s">
        <v>98</v>
      </c>
      <c r="E938">
        <v>699</v>
      </c>
      <c r="F938" t="s">
        <v>5922</v>
      </c>
      <c r="H938">
        <v>509.69</v>
      </c>
      <c r="L938" t="s">
        <v>5922</v>
      </c>
      <c r="U938">
        <v>521.65</v>
      </c>
      <c r="W938">
        <v>559.20000000000005</v>
      </c>
      <c r="X938">
        <v>516.65</v>
      </c>
      <c r="Y938">
        <v>699</v>
      </c>
      <c r="Z938" t="s">
        <v>5922</v>
      </c>
    </row>
    <row r="939" spans="1:26" x14ac:dyDescent="0.2">
      <c r="A939" t="s">
        <v>1160</v>
      </c>
      <c r="B939" t="s">
        <v>1768</v>
      </c>
      <c r="C939" t="s">
        <v>1769</v>
      </c>
      <c r="D939" t="s">
        <v>98</v>
      </c>
      <c r="E939">
        <v>699</v>
      </c>
      <c r="F939" t="s">
        <v>5922</v>
      </c>
      <c r="H939">
        <v>508.84</v>
      </c>
      <c r="L939" t="s">
        <v>5922</v>
      </c>
      <c r="U939">
        <v>521.65</v>
      </c>
      <c r="W939">
        <v>559.20000000000005</v>
      </c>
      <c r="X939">
        <v>516.65</v>
      </c>
      <c r="Y939">
        <v>699</v>
      </c>
      <c r="Z939" t="s">
        <v>5922</v>
      </c>
    </row>
    <row r="940" spans="1:26" x14ac:dyDescent="0.2">
      <c r="A940" t="s">
        <v>1160</v>
      </c>
      <c r="B940" t="s">
        <v>1770</v>
      </c>
      <c r="C940" t="s">
        <v>1771</v>
      </c>
      <c r="D940" t="s">
        <v>98</v>
      </c>
      <c r="E940">
        <v>699</v>
      </c>
      <c r="F940" t="s">
        <v>5922</v>
      </c>
      <c r="H940">
        <v>510.54</v>
      </c>
      <c r="L940" t="s">
        <v>5922</v>
      </c>
      <c r="U940">
        <v>590.57000000000005</v>
      </c>
      <c r="V940">
        <v>590.57000000000005</v>
      </c>
      <c r="W940">
        <v>639.20000000000005</v>
      </c>
      <c r="X940">
        <v>590.57000000000005</v>
      </c>
      <c r="Y940">
        <v>799</v>
      </c>
      <c r="Z940" t="s">
        <v>5922</v>
      </c>
    </row>
    <row r="941" spans="1:26" x14ac:dyDescent="0.2">
      <c r="A941" t="s">
        <v>1160</v>
      </c>
      <c r="B941" t="s">
        <v>1772</v>
      </c>
      <c r="C941" t="s">
        <v>1773</v>
      </c>
      <c r="D941" t="s">
        <v>105</v>
      </c>
      <c r="E941">
        <v>499</v>
      </c>
      <c r="F941" t="s">
        <v>7062</v>
      </c>
      <c r="H941">
        <v>368.83</v>
      </c>
      <c r="L941" t="s">
        <v>5922</v>
      </c>
      <c r="Q941">
        <v>368.83</v>
      </c>
      <c r="R941">
        <v>368.83</v>
      </c>
      <c r="U941">
        <v>373.17</v>
      </c>
      <c r="V941">
        <v>368.83</v>
      </c>
      <c r="X941">
        <v>368.83</v>
      </c>
      <c r="Y941">
        <v>499</v>
      </c>
      <c r="Z941" t="s">
        <v>5922</v>
      </c>
    </row>
    <row r="942" spans="1:26" x14ac:dyDescent="0.2">
      <c r="A942" t="s">
        <v>1160</v>
      </c>
      <c r="B942" t="s">
        <v>1774</v>
      </c>
      <c r="C942" t="s">
        <v>1775</v>
      </c>
      <c r="D942" t="s">
        <v>105</v>
      </c>
      <c r="E942">
        <v>499</v>
      </c>
      <c r="F942" t="s">
        <v>7062</v>
      </c>
      <c r="H942">
        <v>368.83</v>
      </c>
      <c r="L942" t="s">
        <v>5922</v>
      </c>
      <c r="Q942">
        <v>368.83</v>
      </c>
      <c r="R942">
        <v>368.83</v>
      </c>
      <c r="U942">
        <v>373.17</v>
      </c>
      <c r="V942">
        <v>368.83</v>
      </c>
      <c r="X942">
        <v>368.83</v>
      </c>
      <c r="Y942">
        <v>499</v>
      </c>
      <c r="Z942" t="s">
        <v>5922</v>
      </c>
    </row>
    <row r="943" spans="1:26" x14ac:dyDescent="0.2">
      <c r="A943" t="s">
        <v>1160</v>
      </c>
      <c r="B943" t="s">
        <v>1776</v>
      </c>
      <c r="C943" t="s">
        <v>1777</v>
      </c>
      <c r="D943" t="s">
        <v>105</v>
      </c>
      <c r="E943">
        <v>599</v>
      </c>
      <c r="F943" t="s">
        <v>6941</v>
      </c>
      <c r="H943">
        <v>442.74</v>
      </c>
      <c r="L943" t="s">
        <v>5922</v>
      </c>
      <c r="Q943">
        <v>442.74</v>
      </c>
      <c r="R943">
        <v>442.74</v>
      </c>
      <c r="U943">
        <v>447.95</v>
      </c>
      <c r="V943">
        <v>442.74</v>
      </c>
      <c r="X943">
        <v>442.74</v>
      </c>
      <c r="Y943">
        <v>599</v>
      </c>
      <c r="Z943" t="s">
        <v>5922</v>
      </c>
    </row>
    <row r="944" spans="1:26" x14ac:dyDescent="0.2">
      <c r="A944" t="s">
        <v>1160</v>
      </c>
      <c r="B944" t="s">
        <v>1778</v>
      </c>
      <c r="C944" t="s">
        <v>1779</v>
      </c>
      <c r="D944" t="s">
        <v>105</v>
      </c>
      <c r="E944">
        <v>599</v>
      </c>
      <c r="F944" t="s">
        <v>6941</v>
      </c>
      <c r="H944">
        <v>442.74</v>
      </c>
      <c r="L944" t="s">
        <v>5922</v>
      </c>
      <c r="Q944">
        <v>442.74</v>
      </c>
      <c r="R944">
        <v>442.74</v>
      </c>
      <c r="U944">
        <v>447.95</v>
      </c>
      <c r="V944">
        <v>442.74</v>
      </c>
      <c r="X944">
        <v>442.74</v>
      </c>
      <c r="Y944">
        <v>599</v>
      </c>
      <c r="Z944" t="s">
        <v>5922</v>
      </c>
    </row>
    <row r="945" spans="1:26" x14ac:dyDescent="0.2">
      <c r="A945" t="s">
        <v>1160</v>
      </c>
      <c r="B945" t="s">
        <v>1780</v>
      </c>
      <c r="C945" t="s">
        <v>1781</v>
      </c>
      <c r="D945" t="s">
        <v>105</v>
      </c>
      <c r="E945">
        <v>599</v>
      </c>
      <c r="F945" t="s">
        <v>6941</v>
      </c>
      <c r="H945">
        <v>442.74</v>
      </c>
      <c r="L945" t="s">
        <v>5922</v>
      </c>
      <c r="Q945">
        <v>442.74</v>
      </c>
      <c r="R945">
        <v>442.74</v>
      </c>
      <c r="U945">
        <v>447.95</v>
      </c>
      <c r="V945">
        <v>442.74</v>
      </c>
      <c r="X945">
        <v>442.74</v>
      </c>
      <c r="Y945">
        <v>599</v>
      </c>
      <c r="Z945" t="s">
        <v>5922</v>
      </c>
    </row>
    <row r="946" spans="1:26" x14ac:dyDescent="0.2">
      <c r="A946" t="s">
        <v>1160</v>
      </c>
      <c r="B946" t="s">
        <v>1782</v>
      </c>
      <c r="C946" t="s">
        <v>1783</v>
      </c>
      <c r="D946" t="s">
        <v>105</v>
      </c>
      <c r="E946">
        <v>599</v>
      </c>
      <c r="F946" t="s">
        <v>6941</v>
      </c>
      <c r="H946">
        <v>442.74</v>
      </c>
      <c r="L946" t="s">
        <v>5922</v>
      </c>
      <c r="Q946">
        <v>442.74</v>
      </c>
      <c r="R946">
        <v>442.74</v>
      </c>
      <c r="U946">
        <v>447.95</v>
      </c>
      <c r="V946">
        <v>442.74</v>
      </c>
      <c r="X946">
        <v>442.74</v>
      </c>
      <c r="Y946">
        <v>599</v>
      </c>
      <c r="Z946" t="s">
        <v>5922</v>
      </c>
    </row>
    <row r="947" spans="1:26" x14ac:dyDescent="0.2">
      <c r="A947" t="s">
        <v>1160</v>
      </c>
      <c r="B947" t="s">
        <v>1784</v>
      </c>
      <c r="C947" t="s">
        <v>1785</v>
      </c>
      <c r="D947" t="s">
        <v>105</v>
      </c>
      <c r="E947">
        <v>599</v>
      </c>
      <c r="F947" t="s">
        <v>6941</v>
      </c>
      <c r="H947">
        <v>442.74</v>
      </c>
      <c r="L947" t="s">
        <v>5922</v>
      </c>
      <c r="Q947">
        <v>442.74</v>
      </c>
      <c r="R947">
        <v>442.74</v>
      </c>
      <c r="U947">
        <v>447.95</v>
      </c>
      <c r="V947">
        <v>442.74</v>
      </c>
      <c r="X947">
        <v>442.74</v>
      </c>
      <c r="Y947">
        <v>599</v>
      </c>
      <c r="Z947" t="s">
        <v>5922</v>
      </c>
    </row>
    <row r="948" spans="1:26" x14ac:dyDescent="0.2">
      <c r="A948" t="s">
        <v>1160</v>
      </c>
      <c r="B948" t="s">
        <v>1786</v>
      </c>
      <c r="C948" t="s">
        <v>1787</v>
      </c>
      <c r="D948" t="s">
        <v>105</v>
      </c>
      <c r="E948">
        <v>569</v>
      </c>
      <c r="F948" t="s">
        <v>7115</v>
      </c>
      <c r="H948">
        <v>420.57</v>
      </c>
      <c r="L948" t="s">
        <v>5922</v>
      </c>
      <c r="Q948">
        <v>420.57</v>
      </c>
      <c r="R948">
        <v>420.57</v>
      </c>
      <c r="U948">
        <v>425.51</v>
      </c>
      <c r="V948">
        <v>420.57</v>
      </c>
      <c r="X948">
        <v>420.57</v>
      </c>
      <c r="Y948">
        <v>569</v>
      </c>
      <c r="Z948" t="s">
        <v>5922</v>
      </c>
    </row>
    <row r="949" spans="1:26" x14ac:dyDescent="0.2">
      <c r="A949" t="s">
        <v>1160</v>
      </c>
      <c r="B949" t="s">
        <v>1788</v>
      </c>
      <c r="C949" t="s">
        <v>1789</v>
      </c>
      <c r="D949" t="s">
        <v>105</v>
      </c>
      <c r="E949">
        <v>569</v>
      </c>
      <c r="F949" t="s">
        <v>7115</v>
      </c>
      <c r="H949">
        <v>420.57</v>
      </c>
      <c r="L949" t="s">
        <v>5922</v>
      </c>
      <c r="Q949">
        <v>420.57</v>
      </c>
      <c r="R949">
        <v>420.57</v>
      </c>
      <c r="U949">
        <v>425.51</v>
      </c>
      <c r="V949">
        <v>420.57</v>
      </c>
      <c r="X949">
        <v>420.57</v>
      </c>
      <c r="Y949">
        <v>569</v>
      </c>
      <c r="Z949" t="s">
        <v>5922</v>
      </c>
    </row>
    <row r="950" spans="1:26" x14ac:dyDescent="0.2">
      <c r="A950" t="s">
        <v>1160</v>
      </c>
      <c r="B950" t="s">
        <v>1790</v>
      </c>
      <c r="C950" t="s">
        <v>1791</v>
      </c>
      <c r="D950" t="s">
        <v>98</v>
      </c>
      <c r="E950">
        <v>499</v>
      </c>
      <c r="F950" t="s">
        <v>5922</v>
      </c>
      <c r="G950">
        <v>499</v>
      </c>
      <c r="H950">
        <v>368.83</v>
      </c>
      <c r="I950">
        <v>364.35</v>
      </c>
      <c r="J950">
        <v>309.7</v>
      </c>
      <c r="L950" t="s">
        <v>5922</v>
      </c>
      <c r="M950">
        <v>0</v>
      </c>
      <c r="N950">
        <v>0</v>
      </c>
      <c r="O950">
        <v>0</v>
      </c>
      <c r="P950">
        <v>0</v>
      </c>
      <c r="Q950">
        <v>368.83</v>
      </c>
      <c r="R950">
        <v>368.83</v>
      </c>
      <c r="S950">
        <v>0</v>
      </c>
      <c r="T950">
        <v>0</v>
      </c>
      <c r="U950">
        <v>373.17</v>
      </c>
      <c r="V950">
        <v>368.83</v>
      </c>
      <c r="W950">
        <v>399.2</v>
      </c>
      <c r="X950">
        <v>355.81</v>
      </c>
      <c r="Y950">
        <v>499</v>
      </c>
      <c r="Z950" t="s">
        <v>5922</v>
      </c>
    </row>
    <row r="951" spans="1:26" x14ac:dyDescent="0.2">
      <c r="A951" t="s">
        <v>1160</v>
      </c>
      <c r="B951" t="s">
        <v>1792</v>
      </c>
      <c r="C951" t="s">
        <v>1793</v>
      </c>
      <c r="D951" t="s">
        <v>98</v>
      </c>
      <c r="E951">
        <v>499</v>
      </c>
      <c r="F951" t="s">
        <v>5922</v>
      </c>
      <c r="G951">
        <v>499</v>
      </c>
      <c r="H951">
        <v>368.83</v>
      </c>
      <c r="L951" t="s">
        <v>5922</v>
      </c>
      <c r="Q951">
        <v>368.83</v>
      </c>
      <c r="R951">
        <v>368.83</v>
      </c>
      <c r="U951">
        <v>373.17</v>
      </c>
      <c r="V951">
        <v>368.83</v>
      </c>
      <c r="W951">
        <v>399.2</v>
      </c>
      <c r="X951">
        <v>355.81</v>
      </c>
      <c r="Y951">
        <v>499</v>
      </c>
      <c r="Z951" t="s">
        <v>5922</v>
      </c>
    </row>
    <row r="952" spans="1:26" x14ac:dyDescent="0.2">
      <c r="A952" t="s">
        <v>1160</v>
      </c>
      <c r="B952" t="s">
        <v>1794</v>
      </c>
      <c r="C952" t="s">
        <v>1795</v>
      </c>
      <c r="D952" t="s">
        <v>98</v>
      </c>
      <c r="E952">
        <v>499</v>
      </c>
      <c r="F952" t="s">
        <v>5922</v>
      </c>
      <c r="G952">
        <v>499</v>
      </c>
      <c r="H952">
        <v>368.83</v>
      </c>
      <c r="I952">
        <v>364.35</v>
      </c>
      <c r="J952">
        <v>309.7</v>
      </c>
      <c r="L952" t="s">
        <v>5922</v>
      </c>
      <c r="M952">
        <v>0</v>
      </c>
      <c r="N952">
        <v>0</v>
      </c>
      <c r="O952">
        <v>0</v>
      </c>
      <c r="P952">
        <v>0</v>
      </c>
      <c r="Q952">
        <v>368.83</v>
      </c>
      <c r="R952">
        <v>368.83</v>
      </c>
      <c r="S952">
        <v>0</v>
      </c>
      <c r="T952">
        <v>0</v>
      </c>
      <c r="U952">
        <v>373.17</v>
      </c>
      <c r="V952">
        <v>368.83</v>
      </c>
      <c r="W952">
        <v>399.2</v>
      </c>
      <c r="X952">
        <v>355.81</v>
      </c>
      <c r="Y952">
        <v>499</v>
      </c>
      <c r="Z952" t="s">
        <v>5922</v>
      </c>
    </row>
    <row r="953" spans="1:26" x14ac:dyDescent="0.2">
      <c r="A953" t="s">
        <v>1160</v>
      </c>
      <c r="B953" t="s">
        <v>1796</v>
      </c>
      <c r="C953" t="s">
        <v>1797</v>
      </c>
      <c r="D953" t="s">
        <v>98</v>
      </c>
      <c r="E953">
        <v>499</v>
      </c>
      <c r="F953" t="s">
        <v>5922</v>
      </c>
      <c r="G953">
        <v>499</v>
      </c>
      <c r="H953">
        <v>368.83</v>
      </c>
      <c r="I953">
        <v>364.35</v>
      </c>
      <c r="J953">
        <v>309.7</v>
      </c>
      <c r="L953" t="s">
        <v>5922</v>
      </c>
      <c r="M953">
        <v>0</v>
      </c>
      <c r="N953">
        <v>0</v>
      </c>
      <c r="O953">
        <v>0</v>
      </c>
      <c r="P953">
        <v>0</v>
      </c>
      <c r="Q953">
        <v>368.83</v>
      </c>
      <c r="R953">
        <v>368.83</v>
      </c>
      <c r="S953">
        <v>0</v>
      </c>
      <c r="T953">
        <v>0</v>
      </c>
      <c r="U953">
        <v>373.17</v>
      </c>
      <c r="V953">
        <v>368.83</v>
      </c>
      <c r="W953">
        <v>399.2</v>
      </c>
      <c r="X953">
        <v>355.81</v>
      </c>
      <c r="Y953">
        <v>499</v>
      </c>
      <c r="Z953" t="s">
        <v>5922</v>
      </c>
    </row>
    <row r="954" spans="1:26" x14ac:dyDescent="0.2">
      <c r="A954" t="s">
        <v>1160</v>
      </c>
      <c r="B954" t="s">
        <v>1798</v>
      </c>
      <c r="C954" t="s">
        <v>1799</v>
      </c>
      <c r="D954" t="s">
        <v>98</v>
      </c>
      <c r="E954">
        <v>399</v>
      </c>
      <c r="F954" t="s">
        <v>5922</v>
      </c>
      <c r="G954">
        <v>399</v>
      </c>
      <c r="H954">
        <v>294.91000000000003</v>
      </c>
      <c r="L954" t="s">
        <v>5922</v>
      </c>
      <c r="Q954">
        <v>294.91000000000003</v>
      </c>
      <c r="R954">
        <v>294.91000000000003</v>
      </c>
      <c r="U954">
        <v>298.38</v>
      </c>
      <c r="V954">
        <v>294.91000000000003</v>
      </c>
      <c r="W954">
        <v>319.2</v>
      </c>
      <c r="X954">
        <v>284.5</v>
      </c>
      <c r="Y954">
        <v>399</v>
      </c>
      <c r="Z954" t="s">
        <v>5922</v>
      </c>
    </row>
    <row r="955" spans="1:26" x14ac:dyDescent="0.2">
      <c r="A955" t="s">
        <v>1160</v>
      </c>
      <c r="B955" t="s">
        <v>1800</v>
      </c>
      <c r="C955" t="s">
        <v>1801</v>
      </c>
      <c r="D955" t="s">
        <v>98</v>
      </c>
      <c r="E955">
        <v>399</v>
      </c>
      <c r="F955" t="s">
        <v>5922</v>
      </c>
      <c r="G955">
        <v>399</v>
      </c>
      <c r="H955">
        <v>294.91000000000003</v>
      </c>
      <c r="I955">
        <v>277.39</v>
      </c>
      <c r="J955">
        <v>235.78</v>
      </c>
      <c r="L955" t="s">
        <v>5922</v>
      </c>
      <c r="M955">
        <v>0</v>
      </c>
      <c r="N955">
        <v>0</v>
      </c>
      <c r="O955">
        <v>0</v>
      </c>
      <c r="P955">
        <v>0</v>
      </c>
      <c r="Q955">
        <v>294.91000000000003</v>
      </c>
      <c r="R955">
        <v>294.91000000000003</v>
      </c>
      <c r="S955">
        <v>0</v>
      </c>
      <c r="T955">
        <v>0</v>
      </c>
      <c r="U955">
        <v>298.38</v>
      </c>
      <c r="V955">
        <v>294.91000000000003</v>
      </c>
      <c r="W955">
        <v>319.2</v>
      </c>
      <c r="X955">
        <v>284.5</v>
      </c>
      <c r="Y955">
        <v>399</v>
      </c>
      <c r="Z955" t="s">
        <v>5922</v>
      </c>
    </row>
    <row r="956" spans="1:26" x14ac:dyDescent="0.2">
      <c r="A956" t="s">
        <v>1160</v>
      </c>
      <c r="B956" t="s">
        <v>1802</v>
      </c>
      <c r="C956" t="s">
        <v>1803</v>
      </c>
      <c r="D956" t="s">
        <v>98</v>
      </c>
      <c r="E956">
        <v>399</v>
      </c>
      <c r="F956" t="s">
        <v>5922</v>
      </c>
      <c r="G956">
        <v>399</v>
      </c>
      <c r="H956">
        <v>294.91000000000003</v>
      </c>
      <c r="I956">
        <v>277.39</v>
      </c>
      <c r="J956">
        <v>235.78</v>
      </c>
      <c r="L956" t="s">
        <v>5922</v>
      </c>
      <c r="M956">
        <v>0</v>
      </c>
      <c r="N956">
        <v>0</v>
      </c>
      <c r="O956">
        <v>0</v>
      </c>
      <c r="P956">
        <v>0</v>
      </c>
      <c r="Q956">
        <v>294.91000000000003</v>
      </c>
      <c r="R956">
        <v>294.91000000000003</v>
      </c>
      <c r="S956">
        <v>0</v>
      </c>
      <c r="T956">
        <v>0</v>
      </c>
      <c r="U956">
        <v>298.38</v>
      </c>
      <c r="V956">
        <v>294.91000000000003</v>
      </c>
      <c r="W956">
        <v>319.2</v>
      </c>
      <c r="X956">
        <v>284.5</v>
      </c>
      <c r="Y956">
        <v>399</v>
      </c>
      <c r="Z956" t="s">
        <v>5922</v>
      </c>
    </row>
    <row r="957" spans="1:26" x14ac:dyDescent="0.2">
      <c r="A957" t="s">
        <v>1160</v>
      </c>
      <c r="B957" t="s">
        <v>1804</v>
      </c>
      <c r="C957" t="s">
        <v>1805</v>
      </c>
      <c r="D957" t="s">
        <v>98</v>
      </c>
      <c r="E957">
        <v>399</v>
      </c>
      <c r="F957" t="s">
        <v>5922</v>
      </c>
      <c r="G957">
        <v>399</v>
      </c>
      <c r="H957">
        <v>294.91000000000003</v>
      </c>
      <c r="I957">
        <v>277.39</v>
      </c>
      <c r="J957">
        <v>235.78</v>
      </c>
      <c r="L957" t="s">
        <v>5922</v>
      </c>
      <c r="M957">
        <v>0</v>
      </c>
      <c r="N957">
        <v>0</v>
      </c>
      <c r="O957">
        <v>0</v>
      </c>
      <c r="P957">
        <v>0</v>
      </c>
      <c r="Q957">
        <v>294.91000000000003</v>
      </c>
      <c r="R957">
        <v>294.91000000000003</v>
      </c>
      <c r="S957">
        <v>0</v>
      </c>
      <c r="T957">
        <v>0</v>
      </c>
      <c r="U957">
        <v>298.38</v>
      </c>
      <c r="V957">
        <v>294.91000000000003</v>
      </c>
      <c r="W957">
        <v>319.2</v>
      </c>
      <c r="X957">
        <v>284.5</v>
      </c>
      <c r="Y957">
        <v>399</v>
      </c>
      <c r="Z957" t="s">
        <v>5922</v>
      </c>
    </row>
    <row r="958" spans="1:26" x14ac:dyDescent="0.2">
      <c r="A958" t="s">
        <v>1160</v>
      </c>
      <c r="B958" t="s">
        <v>7767</v>
      </c>
      <c r="C958" t="s">
        <v>7768</v>
      </c>
      <c r="D958" t="s">
        <v>105</v>
      </c>
      <c r="E958">
        <v>949</v>
      </c>
      <c r="F958" t="s">
        <v>7114</v>
      </c>
      <c r="H958">
        <v>701.43</v>
      </c>
      <c r="L958" t="s">
        <v>5922</v>
      </c>
      <c r="U958">
        <v>709.69</v>
      </c>
      <c r="V958">
        <v>701.43</v>
      </c>
      <c r="X958">
        <v>701.43</v>
      </c>
      <c r="Y958">
        <v>949</v>
      </c>
      <c r="Z958" t="s">
        <v>5922</v>
      </c>
    </row>
    <row r="959" spans="1:26" x14ac:dyDescent="0.2">
      <c r="A959" t="s">
        <v>1160</v>
      </c>
      <c r="B959" t="s">
        <v>7769</v>
      </c>
      <c r="C959" t="s">
        <v>7770</v>
      </c>
      <c r="D959" t="s">
        <v>105</v>
      </c>
      <c r="E959">
        <v>849</v>
      </c>
      <c r="F959" t="s">
        <v>7093</v>
      </c>
      <c r="H959">
        <v>627.52</v>
      </c>
      <c r="L959" t="s">
        <v>5922</v>
      </c>
      <c r="U959">
        <v>634.9</v>
      </c>
      <c r="V959">
        <v>627.52</v>
      </c>
      <c r="X959">
        <v>627.52</v>
      </c>
      <c r="Y959">
        <v>849</v>
      </c>
      <c r="Z959" t="s">
        <v>5922</v>
      </c>
    </row>
    <row r="960" spans="1:26" x14ac:dyDescent="0.2">
      <c r="A960" t="s">
        <v>1160</v>
      </c>
      <c r="B960" t="s">
        <v>7771</v>
      </c>
      <c r="C960" t="s">
        <v>7772</v>
      </c>
      <c r="D960" t="s">
        <v>105</v>
      </c>
      <c r="E960">
        <v>1049</v>
      </c>
      <c r="F960" t="s">
        <v>7096</v>
      </c>
      <c r="H960">
        <v>775.35</v>
      </c>
      <c r="L960" t="s">
        <v>5922</v>
      </c>
      <c r="U960">
        <v>784.47</v>
      </c>
      <c r="V960">
        <v>775.35</v>
      </c>
      <c r="X960">
        <v>775.35</v>
      </c>
      <c r="Y960">
        <v>1049</v>
      </c>
      <c r="Z960" t="s">
        <v>5922</v>
      </c>
    </row>
    <row r="961" spans="1:26" x14ac:dyDescent="0.2">
      <c r="A961" t="s">
        <v>1160</v>
      </c>
      <c r="B961" t="s">
        <v>7773</v>
      </c>
      <c r="C961" t="s">
        <v>7774</v>
      </c>
      <c r="D961" t="s">
        <v>105</v>
      </c>
      <c r="E961">
        <v>949</v>
      </c>
      <c r="F961" t="s">
        <v>7114</v>
      </c>
      <c r="H961">
        <v>701.43</v>
      </c>
      <c r="L961" t="s">
        <v>5922</v>
      </c>
      <c r="U961">
        <v>709.69</v>
      </c>
      <c r="V961">
        <v>701.43</v>
      </c>
      <c r="X961">
        <v>701.43</v>
      </c>
      <c r="Y961">
        <v>949</v>
      </c>
      <c r="Z961" t="s">
        <v>5922</v>
      </c>
    </row>
    <row r="962" spans="1:26" x14ac:dyDescent="0.2">
      <c r="A962" t="s">
        <v>1160</v>
      </c>
      <c r="B962" t="s">
        <v>1806</v>
      </c>
      <c r="C962" t="s">
        <v>1807</v>
      </c>
      <c r="D962" t="s">
        <v>98</v>
      </c>
      <c r="E962">
        <v>3550</v>
      </c>
      <c r="F962" t="s">
        <v>5922</v>
      </c>
      <c r="G962">
        <v>3550</v>
      </c>
      <c r="H962">
        <v>2623.91</v>
      </c>
      <c r="I962">
        <v>2608.6999999999998</v>
      </c>
      <c r="J962">
        <v>2217.39</v>
      </c>
      <c r="K962">
        <v>2086.96</v>
      </c>
      <c r="L962" t="s">
        <v>5922</v>
      </c>
      <c r="M962">
        <v>0</v>
      </c>
      <c r="N962">
        <v>0</v>
      </c>
      <c r="O962">
        <v>0</v>
      </c>
      <c r="P962">
        <v>0</v>
      </c>
      <c r="Q962">
        <v>2623.91</v>
      </c>
      <c r="R962">
        <v>2623.91</v>
      </c>
      <c r="S962">
        <v>0</v>
      </c>
      <c r="T962">
        <v>0</v>
      </c>
      <c r="U962">
        <v>2593.04</v>
      </c>
      <c r="V962">
        <v>2593.04</v>
      </c>
      <c r="W962">
        <v>2809.13</v>
      </c>
      <c r="X962">
        <v>2531.3000000000002</v>
      </c>
      <c r="Y962">
        <v>3550</v>
      </c>
      <c r="Z962" t="s">
        <v>5922</v>
      </c>
    </row>
    <row r="963" spans="1:26" x14ac:dyDescent="0.2">
      <c r="A963" t="s">
        <v>1160</v>
      </c>
      <c r="B963" t="s">
        <v>1808</v>
      </c>
      <c r="C963" t="s">
        <v>1809</v>
      </c>
      <c r="D963" t="s">
        <v>98</v>
      </c>
      <c r="E963">
        <v>2550</v>
      </c>
      <c r="F963" t="s">
        <v>5922</v>
      </c>
      <c r="G963">
        <v>2217.39</v>
      </c>
      <c r="H963">
        <v>1884.78</v>
      </c>
      <c r="I963">
        <v>2217.39</v>
      </c>
      <c r="J963">
        <v>1884.78</v>
      </c>
      <c r="K963">
        <v>1773.91</v>
      </c>
      <c r="L963" t="s">
        <v>5922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1773.91</v>
      </c>
      <c r="S963">
        <v>0</v>
      </c>
      <c r="T963">
        <v>0</v>
      </c>
      <c r="U963">
        <v>1867.61</v>
      </c>
      <c r="V963">
        <v>1862.61</v>
      </c>
      <c r="W963">
        <v>2017.83</v>
      </c>
      <c r="X963">
        <v>1818.26</v>
      </c>
      <c r="Y963">
        <v>2550</v>
      </c>
      <c r="Z963" t="s">
        <v>5922</v>
      </c>
    </row>
    <row r="964" spans="1:26" x14ac:dyDescent="0.2">
      <c r="A964" t="s">
        <v>1160</v>
      </c>
      <c r="B964" t="s">
        <v>1810</v>
      </c>
      <c r="C964" t="s">
        <v>1811</v>
      </c>
      <c r="D964" t="s">
        <v>98</v>
      </c>
      <c r="E964">
        <v>3300</v>
      </c>
      <c r="F964" t="s">
        <v>5922</v>
      </c>
      <c r="G964">
        <v>2869.57</v>
      </c>
      <c r="H964">
        <v>2439.13</v>
      </c>
      <c r="I964">
        <v>2434.7800000000002</v>
      </c>
      <c r="J964">
        <v>2439.13</v>
      </c>
      <c r="K964">
        <v>2295.65</v>
      </c>
      <c r="L964" t="s">
        <v>5922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2295.65</v>
      </c>
      <c r="S964">
        <v>0</v>
      </c>
      <c r="T964">
        <v>0</v>
      </c>
      <c r="U964">
        <v>2410.4299999999998</v>
      </c>
      <c r="V964">
        <v>2410.4299999999998</v>
      </c>
      <c r="W964">
        <v>2611.3000000000002</v>
      </c>
      <c r="X964">
        <v>2353.04</v>
      </c>
      <c r="Y964">
        <v>3300</v>
      </c>
      <c r="Z964" t="s">
        <v>5922</v>
      </c>
    </row>
    <row r="965" spans="1:26" x14ac:dyDescent="0.2">
      <c r="A965" t="s">
        <v>1160</v>
      </c>
      <c r="B965" t="s">
        <v>1812</v>
      </c>
      <c r="C965" t="s">
        <v>1813</v>
      </c>
      <c r="D965" t="s">
        <v>98</v>
      </c>
      <c r="E965">
        <v>3300</v>
      </c>
      <c r="F965" t="s">
        <v>5922</v>
      </c>
      <c r="G965">
        <v>2869.57</v>
      </c>
      <c r="H965">
        <v>2439.13</v>
      </c>
      <c r="I965">
        <v>2434.7800000000002</v>
      </c>
      <c r="J965">
        <v>2439.13</v>
      </c>
      <c r="K965">
        <v>2295.65</v>
      </c>
      <c r="L965" t="s">
        <v>5922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2295.65</v>
      </c>
      <c r="S965">
        <v>0</v>
      </c>
      <c r="T965">
        <v>0</v>
      </c>
      <c r="U965">
        <v>2410.4299999999998</v>
      </c>
      <c r="V965">
        <v>2410.4299999999998</v>
      </c>
      <c r="W965">
        <v>2611.3000000000002</v>
      </c>
      <c r="X965">
        <v>2353.04</v>
      </c>
      <c r="Y965">
        <v>3300</v>
      </c>
      <c r="Z965" t="s">
        <v>5922</v>
      </c>
    </row>
    <row r="966" spans="1:26" x14ac:dyDescent="0.2">
      <c r="A966" t="s">
        <v>1160</v>
      </c>
      <c r="B966" t="s">
        <v>1814</v>
      </c>
      <c r="C966" t="s">
        <v>1815</v>
      </c>
      <c r="D966" t="s">
        <v>98</v>
      </c>
      <c r="E966">
        <v>4250</v>
      </c>
      <c r="F966" t="s">
        <v>5922</v>
      </c>
      <c r="G966">
        <v>3695.65</v>
      </c>
      <c r="H966">
        <v>3141.3</v>
      </c>
      <c r="I966">
        <v>3695.65</v>
      </c>
      <c r="J966">
        <v>3141.3</v>
      </c>
      <c r="K966">
        <v>2956.52</v>
      </c>
      <c r="L966" t="s">
        <v>5922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2956.52</v>
      </c>
      <c r="S966">
        <v>0</v>
      </c>
      <c r="T966">
        <v>0</v>
      </c>
      <c r="U966">
        <v>3109.35</v>
      </c>
      <c r="V966">
        <v>3104.35</v>
      </c>
      <c r="W966">
        <v>3363.04</v>
      </c>
      <c r="X966">
        <v>3030.43</v>
      </c>
      <c r="Y966">
        <v>4250</v>
      </c>
      <c r="Z966" t="s">
        <v>5922</v>
      </c>
    </row>
    <row r="967" spans="1:26" x14ac:dyDescent="0.2">
      <c r="A967" t="s">
        <v>1160</v>
      </c>
      <c r="B967" t="s">
        <v>1816</v>
      </c>
      <c r="C967" t="s">
        <v>1817</v>
      </c>
      <c r="D967" t="s">
        <v>98</v>
      </c>
      <c r="E967">
        <v>3150</v>
      </c>
      <c r="F967" t="s">
        <v>5922</v>
      </c>
      <c r="G967">
        <v>2739.13</v>
      </c>
      <c r="H967">
        <v>2328.2600000000002</v>
      </c>
      <c r="I967">
        <v>2739.13</v>
      </c>
      <c r="J967">
        <v>2328.2600000000002</v>
      </c>
      <c r="K967">
        <v>2191.3000000000002</v>
      </c>
      <c r="L967" t="s">
        <v>5922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2191.3000000000002</v>
      </c>
      <c r="S967">
        <v>0</v>
      </c>
      <c r="T967">
        <v>0</v>
      </c>
      <c r="U967">
        <v>2305.87</v>
      </c>
      <c r="V967">
        <v>2300.87</v>
      </c>
      <c r="W967">
        <v>2492.61</v>
      </c>
      <c r="X967">
        <v>2246.09</v>
      </c>
      <c r="Y967">
        <v>3150</v>
      </c>
      <c r="Z967" t="s">
        <v>5922</v>
      </c>
    </row>
    <row r="968" spans="1:26" x14ac:dyDescent="0.2">
      <c r="A968" t="s">
        <v>1160</v>
      </c>
      <c r="B968" t="s">
        <v>1818</v>
      </c>
      <c r="C968" t="s">
        <v>1819</v>
      </c>
      <c r="D968" t="s">
        <v>105</v>
      </c>
      <c r="E968">
        <v>1299</v>
      </c>
      <c r="F968" t="s">
        <v>7049</v>
      </c>
      <c r="H968">
        <v>1016.61</v>
      </c>
      <c r="L968" t="s">
        <v>5922</v>
      </c>
      <c r="Q968">
        <v>1016.61</v>
      </c>
      <c r="R968">
        <v>1016.61</v>
      </c>
      <c r="U968">
        <v>971.43</v>
      </c>
      <c r="V968">
        <v>960.13</v>
      </c>
      <c r="X968">
        <v>960.13</v>
      </c>
      <c r="Y968">
        <v>1299</v>
      </c>
      <c r="Z968" t="s">
        <v>5922</v>
      </c>
    </row>
    <row r="969" spans="1:26" x14ac:dyDescent="0.2">
      <c r="A969" t="s">
        <v>1160</v>
      </c>
      <c r="B969" t="s">
        <v>1820</v>
      </c>
      <c r="C969" t="s">
        <v>1821</v>
      </c>
      <c r="D969" t="s">
        <v>105</v>
      </c>
      <c r="E969">
        <v>1599</v>
      </c>
      <c r="F969" t="s">
        <v>7116</v>
      </c>
      <c r="H969">
        <v>1251.3900000000001</v>
      </c>
      <c r="L969" t="s">
        <v>5922</v>
      </c>
      <c r="Q969">
        <v>1251.3900000000001</v>
      </c>
      <c r="R969">
        <v>1251.3900000000001</v>
      </c>
      <c r="U969">
        <v>1195.77</v>
      </c>
      <c r="V969">
        <v>1181.8699999999999</v>
      </c>
      <c r="X969">
        <v>1181.8699999999999</v>
      </c>
      <c r="Y969">
        <v>1599</v>
      </c>
      <c r="Z969" t="s">
        <v>5922</v>
      </c>
    </row>
    <row r="970" spans="1:26" x14ac:dyDescent="0.2">
      <c r="A970" t="s">
        <v>1160</v>
      </c>
      <c r="B970" t="s">
        <v>1822</v>
      </c>
      <c r="C970" t="s">
        <v>1823</v>
      </c>
      <c r="D970" t="s">
        <v>105</v>
      </c>
      <c r="E970">
        <v>1799</v>
      </c>
      <c r="F970" t="s">
        <v>7099</v>
      </c>
      <c r="H970">
        <v>1407.91</v>
      </c>
      <c r="L970" t="s">
        <v>5922</v>
      </c>
      <c r="Q970">
        <v>1407.91</v>
      </c>
      <c r="R970">
        <v>1407.91</v>
      </c>
      <c r="U970">
        <v>1345.34</v>
      </c>
      <c r="V970">
        <v>1329.7</v>
      </c>
      <c r="X970">
        <v>1329.7</v>
      </c>
      <c r="Y970">
        <v>1799</v>
      </c>
      <c r="Z970" t="s">
        <v>5922</v>
      </c>
    </row>
    <row r="971" spans="1:26" x14ac:dyDescent="0.2">
      <c r="A971" t="s">
        <v>1160</v>
      </c>
      <c r="B971" t="s">
        <v>1824</v>
      </c>
      <c r="C971" t="s">
        <v>1825</v>
      </c>
      <c r="D971" t="s">
        <v>98</v>
      </c>
      <c r="E971">
        <v>19</v>
      </c>
      <c r="F971" t="s">
        <v>5922</v>
      </c>
      <c r="G971">
        <v>19</v>
      </c>
      <c r="H971">
        <v>14.04</v>
      </c>
      <c r="I971">
        <v>16.52</v>
      </c>
      <c r="J971">
        <v>14.04</v>
      </c>
      <c r="L971" t="s">
        <v>5922</v>
      </c>
      <c r="R971">
        <v>14.04</v>
      </c>
      <c r="U971">
        <v>14.04</v>
      </c>
      <c r="V971">
        <v>14.04</v>
      </c>
      <c r="W971">
        <v>15.2</v>
      </c>
      <c r="X971">
        <v>14.04</v>
      </c>
      <c r="Y971">
        <v>19</v>
      </c>
      <c r="Z971" t="s">
        <v>5922</v>
      </c>
    </row>
    <row r="972" spans="1:26" x14ac:dyDescent="0.2">
      <c r="A972" t="s">
        <v>1160</v>
      </c>
      <c r="B972" t="s">
        <v>7775</v>
      </c>
      <c r="C972" t="s">
        <v>7776</v>
      </c>
      <c r="D972" t="s">
        <v>105</v>
      </c>
      <c r="E972">
        <v>1899</v>
      </c>
      <c r="F972" t="s">
        <v>7111</v>
      </c>
      <c r="H972">
        <v>1403.61</v>
      </c>
      <c r="L972" t="s">
        <v>5922</v>
      </c>
      <c r="U972">
        <v>1420.12</v>
      </c>
      <c r="V972">
        <v>1403.61</v>
      </c>
      <c r="X972">
        <v>1403.61</v>
      </c>
      <c r="Y972">
        <v>1899</v>
      </c>
      <c r="Z972" t="s">
        <v>5922</v>
      </c>
    </row>
    <row r="973" spans="1:26" x14ac:dyDescent="0.2">
      <c r="A973" t="s">
        <v>1160</v>
      </c>
      <c r="B973" t="s">
        <v>7777</v>
      </c>
      <c r="C973" t="s">
        <v>7778</v>
      </c>
      <c r="D973" t="s">
        <v>105</v>
      </c>
      <c r="E973">
        <v>2149</v>
      </c>
      <c r="F973" t="s">
        <v>7779</v>
      </c>
      <c r="H973">
        <v>1588.39</v>
      </c>
      <c r="L973" t="s">
        <v>5922</v>
      </c>
      <c r="U973">
        <v>1607.08</v>
      </c>
      <c r="V973">
        <v>1588.39</v>
      </c>
      <c r="X973">
        <v>1588.39</v>
      </c>
      <c r="Y973">
        <v>2149</v>
      </c>
      <c r="Z973" t="s">
        <v>5922</v>
      </c>
    </row>
    <row r="974" spans="1:26" x14ac:dyDescent="0.2">
      <c r="A974" t="s">
        <v>1160</v>
      </c>
      <c r="B974" t="s">
        <v>1826</v>
      </c>
      <c r="C974" t="s">
        <v>1827</v>
      </c>
      <c r="D974" t="s">
        <v>105</v>
      </c>
      <c r="E974">
        <v>2499</v>
      </c>
      <c r="F974" t="s">
        <v>7117</v>
      </c>
      <c r="H974">
        <v>1847.09</v>
      </c>
      <c r="L974" t="s">
        <v>5922</v>
      </c>
      <c r="U974">
        <v>1868.82</v>
      </c>
      <c r="V974">
        <v>1847.09</v>
      </c>
      <c r="X974">
        <v>1847.09</v>
      </c>
      <c r="Y974">
        <v>2499</v>
      </c>
      <c r="Z974" t="s">
        <v>5922</v>
      </c>
    </row>
    <row r="975" spans="1:26" x14ac:dyDescent="0.2">
      <c r="A975" t="s">
        <v>1160</v>
      </c>
      <c r="B975" t="s">
        <v>7780</v>
      </c>
      <c r="C975" t="s">
        <v>1827</v>
      </c>
      <c r="D975" t="s">
        <v>98</v>
      </c>
      <c r="E975">
        <v>2499</v>
      </c>
      <c r="F975" t="s">
        <v>7117</v>
      </c>
      <c r="H975">
        <v>1847.09</v>
      </c>
      <c r="L975" t="s">
        <v>5922</v>
      </c>
      <c r="U975">
        <v>1868.82</v>
      </c>
      <c r="V975">
        <v>1847.09</v>
      </c>
      <c r="X975">
        <v>1847.09</v>
      </c>
      <c r="Y975">
        <v>2499</v>
      </c>
      <c r="Z975" t="s">
        <v>5922</v>
      </c>
    </row>
    <row r="976" spans="1:26" x14ac:dyDescent="0.2">
      <c r="A976" t="s">
        <v>1160</v>
      </c>
      <c r="B976" t="s">
        <v>1828</v>
      </c>
      <c r="C976" t="s">
        <v>1829</v>
      </c>
      <c r="D976" t="s">
        <v>105</v>
      </c>
      <c r="E976">
        <v>2699</v>
      </c>
      <c r="F976" t="s">
        <v>7118</v>
      </c>
      <c r="H976">
        <v>1994.91</v>
      </c>
      <c r="L976" t="s">
        <v>5922</v>
      </c>
      <c r="U976">
        <v>2018.38</v>
      </c>
      <c r="V976">
        <v>1994.91</v>
      </c>
      <c r="X976">
        <v>1994.91</v>
      </c>
      <c r="Y976">
        <v>2699</v>
      </c>
      <c r="Z976" t="s">
        <v>5922</v>
      </c>
    </row>
    <row r="977" spans="1:26" x14ac:dyDescent="0.2">
      <c r="A977" t="s">
        <v>1160</v>
      </c>
      <c r="B977" t="s">
        <v>1830</v>
      </c>
      <c r="C977" t="s">
        <v>1831</v>
      </c>
      <c r="D977" t="s">
        <v>98</v>
      </c>
      <c r="E977">
        <v>649</v>
      </c>
      <c r="F977" t="s">
        <v>5922</v>
      </c>
      <c r="H977">
        <v>479.7</v>
      </c>
      <c r="L977" t="s">
        <v>5922</v>
      </c>
      <c r="U977">
        <v>484.7</v>
      </c>
      <c r="W977">
        <v>519.20000000000005</v>
      </c>
      <c r="X977">
        <v>479.7</v>
      </c>
      <c r="Y977">
        <v>649</v>
      </c>
      <c r="Z977" t="s">
        <v>5922</v>
      </c>
    </row>
    <row r="978" spans="1:26" x14ac:dyDescent="0.2">
      <c r="A978" t="s">
        <v>1160</v>
      </c>
      <c r="B978" t="s">
        <v>1832</v>
      </c>
      <c r="C978" t="s">
        <v>1833</v>
      </c>
      <c r="D978" t="s">
        <v>98</v>
      </c>
      <c r="E978">
        <v>849</v>
      </c>
      <c r="F978" t="s">
        <v>5922</v>
      </c>
      <c r="H978">
        <v>627.52</v>
      </c>
      <c r="L978" t="s">
        <v>5922</v>
      </c>
      <c r="U978">
        <v>632.52</v>
      </c>
      <c r="W978">
        <v>679.2</v>
      </c>
      <c r="X978">
        <v>627.52</v>
      </c>
      <c r="Y978">
        <v>849</v>
      </c>
      <c r="Z978" t="s">
        <v>5922</v>
      </c>
    </row>
    <row r="979" spans="1:26" x14ac:dyDescent="0.2">
      <c r="A979" t="s">
        <v>1160</v>
      </c>
      <c r="B979" t="s">
        <v>1834</v>
      </c>
      <c r="C979" t="s">
        <v>1835</v>
      </c>
      <c r="D979" t="s">
        <v>105</v>
      </c>
      <c r="E979">
        <v>1799</v>
      </c>
      <c r="F979" t="s">
        <v>7099</v>
      </c>
      <c r="H979">
        <v>1407.91</v>
      </c>
      <c r="L979" t="s">
        <v>5922</v>
      </c>
      <c r="Q979">
        <v>1407.91</v>
      </c>
      <c r="R979">
        <v>1407.91</v>
      </c>
      <c r="U979">
        <v>1407.91</v>
      </c>
      <c r="V979">
        <v>1329.7</v>
      </c>
      <c r="X979">
        <v>1329.7</v>
      </c>
      <c r="Y979">
        <v>1799</v>
      </c>
      <c r="Z979" t="s">
        <v>5922</v>
      </c>
    </row>
    <row r="980" spans="1:26" x14ac:dyDescent="0.2">
      <c r="A980" t="s">
        <v>1160</v>
      </c>
      <c r="B980" t="s">
        <v>1836</v>
      </c>
      <c r="C980" t="s">
        <v>1837</v>
      </c>
      <c r="D980" t="s">
        <v>105</v>
      </c>
      <c r="E980">
        <v>899</v>
      </c>
      <c r="F980" t="s">
        <v>7046</v>
      </c>
      <c r="H980">
        <v>703.57</v>
      </c>
      <c r="L980" t="s">
        <v>5922</v>
      </c>
      <c r="Q980">
        <v>703.57</v>
      </c>
      <c r="R980">
        <v>703.57</v>
      </c>
      <c r="U980">
        <v>703.57</v>
      </c>
      <c r="V980">
        <v>664.48</v>
      </c>
      <c r="X980">
        <v>664.48</v>
      </c>
      <c r="Y980">
        <v>899</v>
      </c>
      <c r="Z980" t="s">
        <v>5922</v>
      </c>
    </row>
    <row r="981" spans="1:26" x14ac:dyDescent="0.2">
      <c r="A981" t="s">
        <v>1160</v>
      </c>
      <c r="B981" t="s">
        <v>1838</v>
      </c>
      <c r="C981" t="s">
        <v>1839</v>
      </c>
      <c r="D981" t="s">
        <v>98</v>
      </c>
      <c r="E981">
        <v>1399</v>
      </c>
      <c r="F981" t="s">
        <v>7050</v>
      </c>
      <c r="G981">
        <v>1399</v>
      </c>
      <c r="H981">
        <v>1094.8699999999999</v>
      </c>
      <c r="L981" t="s">
        <v>5922</v>
      </c>
      <c r="Q981">
        <v>1094.8699999999999</v>
      </c>
      <c r="R981">
        <v>1094.8699999999999</v>
      </c>
      <c r="U981">
        <v>1094.8699999999999</v>
      </c>
      <c r="V981">
        <v>1034.04</v>
      </c>
      <c r="W981">
        <v>1155.7</v>
      </c>
      <c r="X981">
        <v>1034.04</v>
      </c>
      <c r="Y981">
        <v>1399</v>
      </c>
      <c r="Z981" t="s">
        <v>5922</v>
      </c>
    </row>
    <row r="982" spans="1:26" x14ac:dyDescent="0.2">
      <c r="A982" t="s">
        <v>1160</v>
      </c>
      <c r="B982" t="s">
        <v>1840</v>
      </c>
      <c r="C982" t="s">
        <v>1841</v>
      </c>
      <c r="D982" t="s">
        <v>105</v>
      </c>
      <c r="E982">
        <v>1099</v>
      </c>
      <c r="F982" t="s">
        <v>7119</v>
      </c>
      <c r="H982">
        <v>860.09</v>
      </c>
      <c r="L982" t="s">
        <v>5922</v>
      </c>
      <c r="Q982">
        <v>860.09</v>
      </c>
      <c r="R982">
        <v>860.09</v>
      </c>
      <c r="U982">
        <v>860.09</v>
      </c>
      <c r="V982">
        <v>812.3</v>
      </c>
      <c r="X982">
        <v>812.3</v>
      </c>
      <c r="Y982">
        <v>1099</v>
      </c>
      <c r="Z982" t="s">
        <v>5922</v>
      </c>
    </row>
    <row r="983" spans="1:26" x14ac:dyDescent="0.2">
      <c r="A983" t="s">
        <v>1160</v>
      </c>
      <c r="B983" t="s">
        <v>7781</v>
      </c>
      <c r="C983" t="s">
        <v>1843</v>
      </c>
      <c r="D983" t="s">
        <v>98</v>
      </c>
      <c r="E983">
        <v>499</v>
      </c>
      <c r="F983" t="s">
        <v>7062</v>
      </c>
      <c r="G983">
        <v>499</v>
      </c>
      <c r="H983">
        <v>368.83</v>
      </c>
      <c r="I983">
        <v>390.43</v>
      </c>
      <c r="J983">
        <v>331.87</v>
      </c>
      <c r="L983" t="s">
        <v>5922</v>
      </c>
      <c r="Q983">
        <v>368.83</v>
      </c>
      <c r="R983">
        <v>368.83</v>
      </c>
      <c r="U983">
        <v>373.17</v>
      </c>
      <c r="V983">
        <v>368.83</v>
      </c>
      <c r="W983">
        <v>399.2</v>
      </c>
      <c r="X983">
        <v>368.83</v>
      </c>
      <c r="Y983">
        <v>499</v>
      </c>
      <c r="Z983" t="s">
        <v>5922</v>
      </c>
    </row>
    <row r="984" spans="1:26" x14ac:dyDescent="0.2">
      <c r="A984" t="s">
        <v>1160</v>
      </c>
      <c r="B984" t="s">
        <v>1842</v>
      </c>
      <c r="C984" t="s">
        <v>1843</v>
      </c>
      <c r="D984" t="s">
        <v>98</v>
      </c>
      <c r="E984">
        <v>499</v>
      </c>
      <c r="F984" t="s">
        <v>7062</v>
      </c>
      <c r="H984">
        <v>368.83</v>
      </c>
      <c r="I984">
        <v>390.43</v>
      </c>
      <c r="J984">
        <v>331.87</v>
      </c>
      <c r="L984" t="s">
        <v>5922</v>
      </c>
      <c r="Q984">
        <v>368.83</v>
      </c>
      <c r="R984">
        <v>368.83</v>
      </c>
      <c r="U984">
        <v>373.17</v>
      </c>
      <c r="V984">
        <v>368.83</v>
      </c>
      <c r="X984">
        <v>368.83</v>
      </c>
      <c r="Y984">
        <v>499</v>
      </c>
      <c r="Z984" t="s">
        <v>5922</v>
      </c>
    </row>
    <row r="985" spans="1:26" x14ac:dyDescent="0.2">
      <c r="A985" t="s">
        <v>1160</v>
      </c>
      <c r="B985" t="s">
        <v>1844</v>
      </c>
      <c r="C985" t="s">
        <v>1845</v>
      </c>
      <c r="D985" t="s">
        <v>98</v>
      </c>
      <c r="E985">
        <v>499</v>
      </c>
      <c r="F985" t="s">
        <v>7062</v>
      </c>
      <c r="G985">
        <v>499</v>
      </c>
      <c r="H985">
        <v>368.83</v>
      </c>
      <c r="I985">
        <v>390.43</v>
      </c>
      <c r="J985">
        <v>331.87</v>
      </c>
      <c r="L985" t="s">
        <v>5922</v>
      </c>
      <c r="Q985">
        <v>368.83</v>
      </c>
      <c r="R985">
        <v>368.83</v>
      </c>
      <c r="U985">
        <v>373.17</v>
      </c>
      <c r="V985">
        <v>368.83</v>
      </c>
      <c r="W985">
        <v>399.2</v>
      </c>
      <c r="X985">
        <v>368.83</v>
      </c>
      <c r="Y985">
        <v>499</v>
      </c>
      <c r="Z985" t="s">
        <v>5922</v>
      </c>
    </row>
    <row r="986" spans="1:26" x14ac:dyDescent="0.2">
      <c r="A986" t="s">
        <v>1160</v>
      </c>
      <c r="B986" t="s">
        <v>1846</v>
      </c>
      <c r="C986" t="s">
        <v>1847</v>
      </c>
      <c r="D986" t="s">
        <v>98</v>
      </c>
      <c r="E986">
        <v>2799</v>
      </c>
      <c r="F986" t="s">
        <v>5922</v>
      </c>
      <c r="G986">
        <v>2799</v>
      </c>
      <c r="H986">
        <v>2068.83</v>
      </c>
      <c r="L986" t="s">
        <v>5922</v>
      </c>
      <c r="Q986">
        <v>2068.83</v>
      </c>
      <c r="R986">
        <v>2068.83</v>
      </c>
      <c r="U986">
        <v>2093.17</v>
      </c>
      <c r="V986">
        <v>2068.83</v>
      </c>
      <c r="W986">
        <v>2239.1999999999998</v>
      </c>
      <c r="X986">
        <v>2068.83</v>
      </c>
      <c r="Y986">
        <v>2799</v>
      </c>
      <c r="Z986" t="s">
        <v>5922</v>
      </c>
    </row>
    <row r="987" spans="1:26" x14ac:dyDescent="0.2">
      <c r="A987" t="s">
        <v>1160</v>
      </c>
      <c r="B987" t="s">
        <v>1848</v>
      </c>
      <c r="C987" t="s">
        <v>1849</v>
      </c>
      <c r="D987" t="s">
        <v>98</v>
      </c>
      <c r="E987">
        <v>2649</v>
      </c>
      <c r="F987" t="s">
        <v>7120</v>
      </c>
      <c r="H987">
        <v>1957.96</v>
      </c>
      <c r="L987" t="s">
        <v>5922</v>
      </c>
      <c r="Q987">
        <v>1957.96</v>
      </c>
      <c r="R987">
        <v>1957.96</v>
      </c>
      <c r="U987">
        <v>1980.99</v>
      </c>
      <c r="V987">
        <v>1957.96</v>
      </c>
      <c r="X987">
        <v>1957.96</v>
      </c>
      <c r="Y987">
        <v>2649</v>
      </c>
      <c r="Z987" t="s">
        <v>5922</v>
      </c>
    </row>
    <row r="988" spans="1:26" x14ac:dyDescent="0.2">
      <c r="A988" t="s">
        <v>1160</v>
      </c>
      <c r="B988" t="s">
        <v>1850</v>
      </c>
      <c r="C988" t="s">
        <v>1851</v>
      </c>
      <c r="D988" t="s">
        <v>98</v>
      </c>
      <c r="E988">
        <v>2249</v>
      </c>
      <c r="F988" t="s">
        <v>7121</v>
      </c>
      <c r="H988">
        <v>1662.3</v>
      </c>
      <c r="L988" t="s">
        <v>5922</v>
      </c>
      <c r="Q988">
        <v>1662.3</v>
      </c>
      <c r="R988">
        <v>1662.3</v>
      </c>
      <c r="U988">
        <v>1681.86</v>
      </c>
      <c r="V988">
        <v>1662.3</v>
      </c>
      <c r="X988">
        <v>1662.3</v>
      </c>
      <c r="Y988">
        <v>2249</v>
      </c>
      <c r="Z988" t="s">
        <v>5922</v>
      </c>
    </row>
    <row r="989" spans="1:26" x14ac:dyDescent="0.2">
      <c r="A989" t="s">
        <v>1160</v>
      </c>
      <c r="B989" t="s">
        <v>1852</v>
      </c>
      <c r="C989" t="s">
        <v>1853</v>
      </c>
      <c r="D989" t="s">
        <v>105</v>
      </c>
      <c r="E989">
        <v>2599</v>
      </c>
      <c r="F989" t="s">
        <v>6900</v>
      </c>
      <c r="H989">
        <v>2034</v>
      </c>
      <c r="L989" t="s">
        <v>5922</v>
      </c>
      <c r="Q989">
        <v>2034</v>
      </c>
      <c r="R989">
        <v>2034</v>
      </c>
      <c r="U989">
        <v>1943.6</v>
      </c>
      <c r="V989">
        <v>1921</v>
      </c>
      <c r="X989">
        <v>1921</v>
      </c>
      <c r="Y989">
        <v>2599</v>
      </c>
      <c r="Z989" t="s">
        <v>5922</v>
      </c>
    </row>
    <row r="990" spans="1:26" x14ac:dyDescent="0.2">
      <c r="A990" t="s">
        <v>1160</v>
      </c>
      <c r="B990" t="s">
        <v>1854</v>
      </c>
      <c r="C990" t="s">
        <v>1855</v>
      </c>
      <c r="D990" t="s">
        <v>105</v>
      </c>
      <c r="E990">
        <v>2799</v>
      </c>
      <c r="F990" t="s">
        <v>7122</v>
      </c>
      <c r="H990">
        <v>2190.52</v>
      </c>
      <c r="L990" t="s">
        <v>5922</v>
      </c>
      <c r="Q990">
        <v>2190.52</v>
      </c>
      <c r="R990">
        <v>2190.52</v>
      </c>
      <c r="U990">
        <v>2093.17</v>
      </c>
      <c r="V990">
        <v>2068.83</v>
      </c>
      <c r="X990">
        <v>2068.83</v>
      </c>
      <c r="Y990">
        <v>2799</v>
      </c>
      <c r="Z990" t="s">
        <v>5922</v>
      </c>
    </row>
    <row r="991" spans="1:26" x14ac:dyDescent="0.2">
      <c r="A991" t="s">
        <v>1160</v>
      </c>
      <c r="B991" t="s">
        <v>1856</v>
      </c>
      <c r="C991" t="s">
        <v>1857</v>
      </c>
      <c r="D991" t="s">
        <v>105</v>
      </c>
      <c r="E991">
        <v>3199</v>
      </c>
      <c r="F991" t="s">
        <v>7123</v>
      </c>
      <c r="H991">
        <v>2503.5700000000002</v>
      </c>
      <c r="L991" t="s">
        <v>5922</v>
      </c>
      <c r="Q991">
        <v>2503.5700000000002</v>
      </c>
      <c r="R991">
        <v>2503.5700000000002</v>
      </c>
      <c r="U991">
        <v>2392.3000000000002</v>
      </c>
      <c r="V991">
        <v>2364.48</v>
      </c>
      <c r="X991">
        <v>2364.48</v>
      </c>
      <c r="Y991">
        <v>3199</v>
      </c>
      <c r="Z991" t="s">
        <v>5922</v>
      </c>
    </row>
    <row r="992" spans="1:26" x14ac:dyDescent="0.2">
      <c r="A992" t="s">
        <v>1160</v>
      </c>
      <c r="B992" t="s">
        <v>1858</v>
      </c>
      <c r="C992" t="s">
        <v>1859</v>
      </c>
      <c r="D992" t="s">
        <v>105</v>
      </c>
      <c r="E992">
        <v>2799</v>
      </c>
      <c r="F992" t="s">
        <v>7122</v>
      </c>
      <c r="H992">
        <v>2190.52</v>
      </c>
      <c r="L992" t="s">
        <v>5922</v>
      </c>
      <c r="Q992">
        <v>2190.52</v>
      </c>
      <c r="R992">
        <v>2190.52</v>
      </c>
      <c r="U992">
        <v>2093.17</v>
      </c>
      <c r="V992">
        <v>2068.83</v>
      </c>
      <c r="X992">
        <v>2068.83</v>
      </c>
      <c r="Y992">
        <v>2799</v>
      </c>
      <c r="Z992" t="s">
        <v>5922</v>
      </c>
    </row>
    <row r="993" spans="1:26" x14ac:dyDescent="0.2">
      <c r="A993" t="s">
        <v>1160</v>
      </c>
      <c r="B993" t="s">
        <v>1860</v>
      </c>
      <c r="C993" t="s">
        <v>1861</v>
      </c>
      <c r="D993" t="s">
        <v>105</v>
      </c>
      <c r="E993">
        <v>1599</v>
      </c>
      <c r="F993" t="s">
        <v>7116</v>
      </c>
      <c r="H993">
        <v>1181.8699999999999</v>
      </c>
      <c r="I993">
        <v>912.17</v>
      </c>
      <c r="J993">
        <v>775.35</v>
      </c>
      <c r="L993" t="s">
        <v>5922</v>
      </c>
      <c r="Q993">
        <v>1181.8699999999999</v>
      </c>
      <c r="R993">
        <v>1181.8699999999999</v>
      </c>
      <c r="U993">
        <v>1195.77</v>
      </c>
      <c r="V993">
        <v>1181.8699999999999</v>
      </c>
      <c r="X993">
        <v>1181.8699999999999</v>
      </c>
      <c r="Y993">
        <v>1599</v>
      </c>
      <c r="Z993" t="s">
        <v>5922</v>
      </c>
    </row>
    <row r="994" spans="1:26" x14ac:dyDescent="0.2">
      <c r="A994" t="s">
        <v>1160</v>
      </c>
      <c r="B994" t="s">
        <v>1862</v>
      </c>
      <c r="C994" t="s">
        <v>1863</v>
      </c>
      <c r="D994" t="s">
        <v>105</v>
      </c>
      <c r="E994">
        <v>1419</v>
      </c>
      <c r="F994" t="s">
        <v>7124</v>
      </c>
      <c r="H994">
        <v>1110.52</v>
      </c>
      <c r="L994" t="s">
        <v>5922</v>
      </c>
      <c r="Q994">
        <v>1110.52</v>
      </c>
      <c r="R994">
        <v>1110.52</v>
      </c>
      <c r="U994">
        <v>1061.17</v>
      </c>
      <c r="V994">
        <v>1110.52</v>
      </c>
      <c r="X994">
        <v>1110.52</v>
      </c>
      <c r="Y994">
        <v>1419</v>
      </c>
      <c r="Z994" t="s">
        <v>5922</v>
      </c>
    </row>
    <row r="995" spans="1:26" x14ac:dyDescent="0.2">
      <c r="A995" t="s">
        <v>1160</v>
      </c>
      <c r="B995" t="s">
        <v>7782</v>
      </c>
      <c r="C995" t="s">
        <v>7783</v>
      </c>
      <c r="D995" t="s">
        <v>105</v>
      </c>
      <c r="E995">
        <v>2049</v>
      </c>
      <c r="F995" t="s">
        <v>7104</v>
      </c>
      <c r="H995">
        <v>1603.57</v>
      </c>
      <c r="L995" t="s">
        <v>5922</v>
      </c>
      <c r="U995">
        <v>1532.3</v>
      </c>
      <c r="V995">
        <v>1603.57</v>
      </c>
      <c r="X995">
        <v>1603.57</v>
      </c>
      <c r="Y995">
        <v>2049</v>
      </c>
      <c r="Z995" t="s">
        <v>5922</v>
      </c>
    </row>
    <row r="996" spans="1:26" x14ac:dyDescent="0.2">
      <c r="A996" t="s">
        <v>1160</v>
      </c>
      <c r="B996" t="s">
        <v>1864</v>
      </c>
      <c r="C996" t="s">
        <v>1865</v>
      </c>
      <c r="D996" t="s">
        <v>98</v>
      </c>
      <c r="E996">
        <v>729</v>
      </c>
      <c r="F996" t="s">
        <v>5922</v>
      </c>
      <c r="G996">
        <v>633.91</v>
      </c>
      <c r="H996">
        <v>538.83000000000004</v>
      </c>
      <c r="I996">
        <v>0</v>
      </c>
      <c r="J996">
        <v>538.83000000000004</v>
      </c>
      <c r="L996" t="s">
        <v>5922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538.83000000000004</v>
      </c>
      <c r="S996">
        <v>0</v>
      </c>
      <c r="T996">
        <v>0</v>
      </c>
      <c r="U996">
        <v>538.83000000000004</v>
      </c>
      <c r="V996">
        <v>0</v>
      </c>
      <c r="W996">
        <v>583.20000000000005</v>
      </c>
      <c r="X996">
        <v>519.80999999999995</v>
      </c>
      <c r="Y996">
        <v>729</v>
      </c>
      <c r="Z996" t="s">
        <v>5922</v>
      </c>
    </row>
    <row r="997" spans="1:26" x14ac:dyDescent="0.2">
      <c r="A997" t="s">
        <v>1160</v>
      </c>
      <c r="B997" t="s">
        <v>1866</v>
      </c>
      <c r="C997" t="s">
        <v>1867</v>
      </c>
      <c r="D997" t="s">
        <v>98</v>
      </c>
      <c r="E997">
        <v>579</v>
      </c>
      <c r="F997" t="s">
        <v>5922</v>
      </c>
      <c r="G997">
        <v>503.48</v>
      </c>
      <c r="H997">
        <v>427.96</v>
      </c>
      <c r="I997">
        <v>503.48</v>
      </c>
      <c r="J997">
        <v>427.96</v>
      </c>
      <c r="L997" t="s">
        <v>5922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427.96</v>
      </c>
      <c r="S997">
        <v>0</v>
      </c>
      <c r="T997">
        <v>0</v>
      </c>
      <c r="U997">
        <v>427.96</v>
      </c>
      <c r="V997">
        <v>427.96</v>
      </c>
      <c r="W997">
        <v>463.2</v>
      </c>
      <c r="X997">
        <v>412.85</v>
      </c>
      <c r="Y997">
        <v>579</v>
      </c>
      <c r="Z997" t="s">
        <v>5922</v>
      </c>
    </row>
    <row r="998" spans="1:26" x14ac:dyDescent="0.2">
      <c r="A998" t="s">
        <v>1160</v>
      </c>
      <c r="B998" t="s">
        <v>1868</v>
      </c>
      <c r="C998" t="s">
        <v>1869</v>
      </c>
      <c r="D998" t="s">
        <v>98</v>
      </c>
      <c r="E998">
        <v>579</v>
      </c>
      <c r="F998" t="s">
        <v>5922</v>
      </c>
      <c r="G998">
        <v>503.48</v>
      </c>
      <c r="H998">
        <v>427.96</v>
      </c>
      <c r="I998">
        <v>503.48</v>
      </c>
      <c r="J998">
        <v>427.96</v>
      </c>
      <c r="L998" t="s">
        <v>5922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427.96</v>
      </c>
      <c r="S998">
        <v>0</v>
      </c>
      <c r="T998">
        <v>0</v>
      </c>
      <c r="U998">
        <v>427.96</v>
      </c>
      <c r="V998">
        <v>427.96</v>
      </c>
      <c r="W998">
        <v>463.2</v>
      </c>
      <c r="X998">
        <v>412.85</v>
      </c>
      <c r="Y998">
        <v>579</v>
      </c>
      <c r="Z998" t="s">
        <v>5922</v>
      </c>
    </row>
    <row r="999" spans="1:26" x14ac:dyDescent="0.2">
      <c r="A999" t="s">
        <v>1160</v>
      </c>
      <c r="B999" t="s">
        <v>1870</v>
      </c>
      <c r="C999" t="s">
        <v>1871</v>
      </c>
      <c r="D999" t="s">
        <v>98</v>
      </c>
      <c r="E999">
        <v>729</v>
      </c>
      <c r="F999" t="s">
        <v>5922</v>
      </c>
      <c r="G999">
        <v>633.91</v>
      </c>
      <c r="H999">
        <v>538.83000000000004</v>
      </c>
      <c r="I999">
        <v>538.83000000000004</v>
      </c>
      <c r="J999">
        <v>538.83000000000004</v>
      </c>
      <c r="L999" t="s">
        <v>5922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538.83000000000004</v>
      </c>
      <c r="S999">
        <v>0</v>
      </c>
      <c r="T999">
        <v>0</v>
      </c>
      <c r="U999">
        <v>538.83000000000004</v>
      </c>
      <c r="V999">
        <v>538.83000000000004</v>
      </c>
      <c r="W999">
        <v>583.20000000000005</v>
      </c>
      <c r="X999">
        <v>519.80999999999995</v>
      </c>
      <c r="Y999">
        <v>729</v>
      </c>
      <c r="Z999" t="s">
        <v>5922</v>
      </c>
    </row>
    <row r="1000" spans="1:26" x14ac:dyDescent="0.2">
      <c r="A1000" t="s">
        <v>1160</v>
      </c>
      <c r="B1000" t="s">
        <v>1872</v>
      </c>
      <c r="C1000" t="s">
        <v>1873</v>
      </c>
      <c r="D1000" t="s">
        <v>98</v>
      </c>
      <c r="E1000">
        <v>799</v>
      </c>
      <c r="F1000" t="s">
        <v>5922</v>
      </c>
      <c r="G1000">
        <v>799</v>
      </c>
      <c r="H1000">
        <v>590.57000000000005</v>
      </c>
      <c r="I1000">
        <v>607.83000000000004</v>
      </c>
      <c r="J1000">
        <v>516.65</v>
      </c>
      <c r="L1000" t="s">
        <v>5922</v>
      </c>
      <c r="Q1000">
        <v>590.57000000000005</v>
      </c>
      <c r="R1000">
        <v>590.57000000000005</v>
      </c>
      <c r="U1000">
        <v>597.51</v>
      </c>
      <c r="V1000">
        <v>590.57000000000005</v>
      </c>
      <c r="W1000">
        <v>639.20000000000005</v>
      </c>
      <c r="X1000">
        <v>590.57000000000005</v>
      </c>
      <c r="Y1000">
        <v>799</v>
      </c>
      <c r="Z1000" t="s">
        <v>5922</v>
      </c>
    </row>
    <row r="1001" spans="1:26" x14ac:dyDescent="0.2">
      <c r="A1001" t="s">
        <v>1160</v>
      </c>
      <c r="B1001" t="s">
        <v>1874</v>
      </c>
      <c r="C1001" t="s">
        <v>1875</v>
      </c>
      <c r="D1001" t="s">
        <v>98</v>
      </c>
      <c r="E1001">
        <v>799</v>
      </c>
      <c r="F1001" t="s">
        <v>5922</v>
      </c>
      <c r="G1001">
        <v>799</v>
      </c>
      <c r="H1001">
        <v>590.57000000000005</v>
      </c>
      <c r="I1001">
        <v>607.83000000000004</v>
      </c>
      <c r="J1001">
        <v>516.65</v>
      </c>
      <c r="L1001" t="s">
        <v>5922</v>
      </c>
      <c r="Q1001">
        <v>590.57000000000005</v>
      </c>
      <c r="R1001">
        <v>590.57000000000005</v>
      </c>
      <c r="U1001">
        <v>597.51</v>
      </c>
      <c r="V1001">
        <v>590.57000000000005</v>
      </c>
      <c r="W1001">
        <v>639.20000000000005</v>
      </c>
      <c r="X1001">
        <v>590.57000000000005</v>
      </c>
      <c r="Y1001">
        <v>799</v>
      </c>
      <c r="Z1001" t="s">
        <v>5922</v>
      </c>
    </row>
    <row r="1002" spans="1:26" x14ac:dyDescent="0.2">
      <c r="A1002" t="s">
        <v>1160</v>
      </c>
      <c r="B1002" t="s">
        <v>1876</v>
      </c>
      <c r="C1002" t="s">
        <v>1877</v>
      </c>
      <c r="D1002" t="s">
        <v>98</v>
      </c>
      <c r="E1002">
        <v>899</v>
      </c>
      <c r="F1002" t="s">
        <v>5922</v>
      </c>
      <c r="G1002">
        <v>899</v>
      </c>
      <c r="H1002">
        <v>664.48</v>
      </c>
      <c r="I1002">
        <v>677.39</v>
      </c>
      <c r="J1002">
        <v>575.78</v>
      </c>
      <c r="L1002" t="s">
        <v>5922</v>
      </c>
      <c r="Q1002">
        <v>664.48</v>
      </c>
      <c r="R1002">
        <v>664.48</v>
      </c>
      <c r="U1002">
        <v>664.48</v>
      </c>
      <c r="V1002">
        <v>664.48</v>
      </c>
      <c r="W1002">
        <v>719.2</v>
      </c>
      <c r="X1002">
        <v>664.48</v>
      </c>
      <c r="Y1002">
        <v>899</v>
      </c>
      <c r="Z1002" t="s">
        <v>5922</v>
      </c>
    </row>
    <row r="1003" spans="1:26" x14ac:dyDescent="0.2">
      <c r="A1003" t="s">
        <v>1160</v>
      </c>
      <c r="B1003" t="s">
        <v>1878</v>
      </c>
      <c r="C1003" t="s">
        <v>1879</v>
      </c>
      <c r="D1003" t="s">
        <v>98</v>
      </c>
      <c r="E1003">
        <v>899</v>
      </c>
      <c r="F1003" t="s">
        <v>5922</v>
      </c>
      <c r="G1003">
        <v>899</v>
      </c>
      <c r="H1003">
        <v>664.48</v>
      </c>
      <c r="I1003">
        <v>677.39</v>
      </c>
      <c r="J1003">
        <v>575.78</v>
      </c>
      <c r="L1003" t="s">
        <v>5922</v>
      </c>
      <c r="Q1003">
        <v>664.48</v>
      </c>
      <c r="R1003">
        <v>664.48</v>
      </c>
      <c r="U1003">
        <v>672.3</v>
      </c>
      <c r="V1003">
        <v>664.48</v>
      </c>
      <c r="W1003">
        <v>719.2</v>
      </c>
      <c r="X1003">
        <v>664.48</v>
      </c>
      <c r="Y1003">
        <v>899</v>
      </c>
      <c r="Z1003" t="s">
        <v>5922</v>
      </c>
    </row>
    <row r="1004" spans="1:26" x14ac:dyDescent="0.2">
      <c r="A1004" t="s">
        <v>1160</v>
      </c>
      <c r="B1004" t="s">
        <v>1880</v>
      </c>
      <c r="C1004" t="s">
        <v>1881</v>
      </c>
      <c r="D1004" t="s">
        <v>98</v>
      </c>
      <c r="E1004">
        <v>899</v>
      </c>
      <c r="F1004" t="s">
        <v>5922</v>
      </c>
      <c r="G1004">
        <v>899</v>
      </c>
      <c r="H1004">
        <v>664.48</v>
      </c>
      <c r="I1004">
        <v>677.39</v>
      </c>
      <c r="J1004">
        <v>575.78</v>
      </c>
      <c r="L1004" t="s">
        <v>5922</v>
      </c>
      <c r="Q1004">
        <v>664.48</v>
      </c>
      <c r="R1004">
        <v>664.48</v>
      </c>
      <c r="U1004">
        <v>664.48</v>
      </c>
      <c r="V1004">
        <v>664.48</v>
      </c>
      <c r="W1004">
        <v>719.2</v>
      </c>
      <c r="X1004">
        <v>664.48</v>
      </c>
      <c r="Y1004">
        <v>899</v>
      </c>
      <c r="Z1004" t="s">
        <v>5922</v>
      </c>
    </row>
    <row r="1005" spans="1:26" x14ac:dyDescent="0.2">
      <c r="A1005" t="s">
        <v>1160</v>
      </c>
      <c r="B1005" t="s">
        <v>1882</v>
      </c>
      <c r="C1005" t="s">
        <v>1883</v>
      </c>
      <c r="D1005" t="s">
        <v>98</v>
      </c>
      <c r="E1005">
        <v>799</v>
      </c>
      <c r="F1005" t="s">
        <v>5922</v>
      </c>
      <c r="G1005">
        <v>799</v>
      </c>
      <c r="H1005">
        <v>590.57000000000005</v>
      </c>
      <c r="I1005">
        <v>607.83000000000004</v>
      </c>
      <c r="J1005">
        <v>516.65</v>
      </c>
      <c r="L1005" t="s">
        <v>5922</v>
      </c>
      <c r="Q1005">
        <v>590.57000000000005</v>
      </c>
      <c r="R1005">
        <v>590.57000000000005</v>
      </c>
      <c r="U1005">
        <v>597.51</v>
      </c>
      <c r="V1005">
        <v>590.57000000000005</v>
      </c>
      <c r="W1005">
        <v>639.20000000000005</v>
      </c>
      <c r="X1005">
        <v>590.57000000000005</v>
      </c>
      <c r="Y1005">
        <v>799</v>
      </c>
      <c r="Z1005" t="s">
        <v>5922</v>
      </c>
    </row>
    <row r="1006" spans="1:26" x14ac:dyDescent="0.2">
      <c r="A1006" t="s">
        <v>1160</v>
      </c>
      <c r="B1006" t="s">
        <v>1884</v>
      </c>
      <c r="C1006" t="s">
        <v>1885</v>
      </c>
      <c r="D1006" t="s">
        <v>98</v>
      </c>
      <c r="E1006">
        <v>799</v>
      </c>
      <c r="F1006" t="s">
        <v>5922</v>
      </c>
      <c r="G1006">
        <v>498</v>
      </c>
      <c r="H1006">
        <v>590.57000000000005</v>
      </c>
      <c r="I1006">
        <v>607.83000000000004</v>
      </c>
      <c r="J1006">
        <v>516.65</v>
      </c>
      <c r="L1006" t="s">
        <v>5922</v>
      </c>
      <c r="Q1006">
        <v>590.57000000000005</v>
      </c>
      <c r="R1006">
        <v>590.57000000000005</v>
      </c>
      <c r="U1006">
        <v>590.57000000000005</v>
      </c>
      <c r="V1006">
        <v>590.57000000000005</v>
      </c>
      <c r="W1006">
        <v>639.20000000000005</v>
      </c>
      <c r="X1006">
        <v>590.57000000000005</v>
      </c>
      <c r="Y1006">
        <v>799</v>
      </c>
      <c r="Z1006" t="s">
        <v>5922</v>
      </c>
    </row>
    <row r="1007" spans="1:26" x14ac:dyDescent="0.2">
      <c r="A1007" t="s">
        <v>1160</v>
      </c>
      <c r="B1007" t="s">
        <v>1886</v>
      </c>
      <c r="C1007" t="s">
        <v>1887</v>
      </c>
      <c r="D1007" t="s">
        <v>98</v>
      </c>
      <c r="E1007">
        <v>799</v>
      </c>
      <c r="F1007" t="s">
        <v>5922</v>
      </c>
      <c r="G1007">
        <v>799</v>
      </c>
      <c r="H1007">
        <v>590.57000000000005</v>
      </c>
      <c r="I1007">
        <v>607.83000000000004</v>
      </c>
      <c r="J1007">
        <v>516.65</v>
      </c>
      <c r="L1007" t="s">
        <v>5922</v>
      </c>
      <c r="Q1007">
        <v>590.57000000000005</v>
      </c>
      <c r="R1007">
        <v>590.57000000000005</v>
      </c>
      <c r="U1007">
        <v>597.51</v>
      </c>
      <c r="V1007">
        <v>590.57000000000005</v>
      </c>
      <c r="W1007">
        <v>639.20000000000005</v>
      </c>
      <c r="X1007">
        <v>590.57000000000005</v>
      </c>
      <c r="Y1007">
        <v>799</v>
      </c>
      <c r="Z1007" t="s">
        <v>5922</v>
      </c>
    </row>
    <row r="1008" spans="1:26" x14ac:dyDescent="0.2">
      <c r="A1008" t="s">
        <v>1160</v>
      </c>
      <c r="B1008" t="s">
        <v>1888</v>
      </c>
      <c r="C1008" t="s">
        <v>1889</v>
      </c>
      <c r="D1008" t="s">
        <v>98</v>
      </c>
      <c r="E1008">
        <v>799</v>
      </c>
      <c r="F1008" t="s">
        <v>5922</v>
      </c>
      <c r="G1008">
        <v>799</v>
      </c>
      <c r="H1008">
        <v>590.57000000000005</v>
      </c>
      <c r="I1008">
        <v>607.83000000000004</v>
      </c>
      <c r="J1008">
        <v>516.65</v>
      </c>
      <c r="L1008" t="s">
        <v>5922</v>
      </c>
      <c r="Q1008">
        <v>590.57000000000005</v>
      </c>
      <c r="R1008">
        <v>590.57000000000005</v>
      </c>
      <c r="U1008">
        <v>597.51</v>
      </c>
      <c r="V1008">
        <v>590.57000000000005</v>
      </c>
      <c r="W1008">
        <v>639.20000000000005</v>
      </c>
      <c r="X1008">
        <v>590.57000000000005</v>
      </c>
      <c r="Y1008">
        <v>799</v>
      </c>
      <c r="Z1008" t="s">
        <v>5922</v>
      </c>
    </row>
    <row r="1009" spans="1:26" x14ac:dyDescent="0.2">
      <c r="A1009" t="s">
        <v>1160</v>
      </c>
      <c r="B1009" t="s">
        <v>1890</v>
      </c>
      <c r="C1009" t="s">
        <v>1891</v>
      </c>
      <c r="D1009" t="s">
        <v>105</v>
      </c>
      <c r="E1009">
        <v>899</v>
      </c>
      <c r="F1009" t="s">
        <v>7046</v>
      </c>
      <c r="H1009">
        <v>664.48</v>
      </c>
      <c r="L1009" t="s">
        <v>5922</v>
      </c>
      <c r="Q1009">
        <v>664.48</v>
      </c>
      <c r="R1009">
        <v>664.48</v>
      </c>
      <c r="U1009">
        <v>672.3</v>
      </c>
      <c r="V1009">
        <v>664.48</v>
      </c>
      <c r="X1009">
        <v>664.48</v>
      </c>
      <c r="Y1009">
        <v>899</v>
      </c>
      <c r="Z1009" t="s">
        <v>5922</v>
      </c>
    </row>
    <row r="1010" spans="1:26" x14ac:dyDescent="0.2">
      <c r="A1010" t="s">
        <v>1160</v>
      </c>
      <c r="B1010" t="s">
        <v>1892</v>
      </c>
      <c r="C1010" t="s">
        <v>1893</v>
      </c>
      <c r="D1010" t="s">
        <v>105</v>
      </c>
      <c r="E1010">
        <v>899</v>
      </c>
      <c r="F1010" t="s">
        <v>7046</v>
      </c>
      <c r="H1010">
        <v>664.48</v>
      </c>
      <c r="L1010" t="s">
        <v>5922</v>
      </c>
      <c r="Q1010">
        <v>664.48</v>
      </c>
      <c r="R1010">
        <v>664.48</v>
      </c>
      <c r="U1010">
        <v>672.3</v>
      </c>
      <c r="V1010">
        <v>664.48</v>
      </c>
      <c r="X1010">
        <v>664.48</v>
      </c>
      <c r="Y1010">
        <v>899</v>
      </c>
      <c r="Z1010" t="s">
        <v>5922</v>
      </c>
    </row>
    <row r="1011" spans="1:26" x14ac:dyDescent="0.2">
      <c r="A1011" t="s">
        <v>1160</v>
      </c>
      <c r="B1011" t="s">
        <v>1894</v>
      </c>
      <c r="C1011" t="s">
        <v>1895</v>
      </c>
      <c r="D1011" t="s">
        <v>105</v>
      </c>
      <c r="E1011">
        <v>899</v>
      </c>
      <c r="F1011" t="s">
        <v>7046</v>
      </c>
      <c r="H1011">
        <v>664.48</v>
      </c>
      <c r="L1011" t="s">
        <v>5922</v>
      </c>
      <c r="Q1011">
        <v>664.48</v>
      </c>
      <c r="R1011">
        <v>664.48</v>
      </c>
      <c r="U1011">
        <v>672.3</v>
      </c>
      <c r="V1011">
        <v>664.48</v>
      </c>
      <c r="X1011">
        <v>664.48</v>
      </c>
      <c r="Y1011">
        <v>899</v>
      </c>
      <c r="Z1011" t="s">
        <v>5922</v>
      </c>
    </row>
    <row r="1012" spans="1:26" x14ac:dyDescent="0.2">
      <c r="A1012" t="s">
        <v>1160</v>
      </c>
      <c r="B1012" t="s">
        <v>1896</v>
      </c>
      <c r="C1012" t="s">
        <v>1897</v>
      </c>
      <c r="D1012" t="s">
        <v>105</v>
      </c>
      <c r="E1012">
        <v>899</v>
      </c>
      <c r="F1012" t="s">
        <v>7046</v>
      </c>
      <c r="H1012">
        <v>664.48</v>
      </c>
      <c r="L1012" t="s">
        <v>5922</v>
      </c>
      <c r="Q1012">
        <v>664.48</v>
      </c>
      <c r="R1012">
        <v>664.48</v>
      </c>
      <c r="U1012">
        <v>672.3</v>
      </c>
      <c r="V1012">
        <v>664.48</v>
      </c>
      <c r="X1012">
        <v>664.48</v>
      </c>
      <c r="Y1012">
        <v>899</v>
      </c>
      <c r="Z1012" t="s">
        <v>5922</v>
      </c>
    </row>
    <row r="1013" spans="1:26" x14ac:dyDescent="0.2">
      <c r="A1013" t="s">
        <v>1160</v>
      </c>
      <c r="B1013" t="s">
        <v>1898</v>
      </c>
      <c r="C1013" t="s">
        <v>1899</v>
      </c>
      <c r="D1013" t="s">
        <v>105</v>
      </c>
      <c r="E1013">
        <v>899</v>
      </c>
      <c r="F1013" t="s">
        <v>7046</v>
      </c>
      <c r="H1013">
        <v>664.48</v>
      </c>
      <c r="L1013" t="s">
        <v>5922</v>
      </c>
      <c r="Q1013">
        <v>664.48</v>
      </c>
      <c r="R1013">
        <v>664.48</v>
      </c>
      <c r="U1013">
        <v>672.3</v>
      </c>
      <c r="V1013">
        <v>664.48</v>
      </c>
      <c r="X1013">
        <v>664.48</v>
      </c>
      <c r="Y1013">
        <v>899</v>
      </c>
      <c r="Z1013" t="s">
        <v>5922</v>
      </c>
    </row>
    <row r="1014" spans="1:26" x14ac:dyDescent="0.2">
      <c r="A1014" t="s">
        <v>1160</v>
      </c>
      <c r="B1014" t="s">
        <v>1900</v>
      </c>
      <c r="C1014" t="s">
        <v>1901</v>
      </c>
      <c r="D1014" t="s">
        <v>105</v>
      </c>
      <c r="E1014">
        <v>899</v>
      </c>
      <c r="F1014" t="s">
        <v>7046</v>
      </c>
      <c r="H1014">
        <v>664.48</v>
      </c>
      <c r="L1014" t="s">
        <v>5922</v>
      </c>
      <c r="Q1014">
        <v>664.48</v>
      </c>
      <c r="R1014">
        <v>664.48</v>
      </c>
      <c r="U1014">
        <v>672.3</v>
      </c>
      <c r="V1014">
        <v>664.48</v>
      </c>
      <c r="X1014">
        <v>664.48</v>
      </c>
      <c r="Y1014">
        <v>899</v>
      </c>
      <c r="Z1014" t="s">
        <v>5922</v>
      </c>
    </row>
    <row r="1015" spans="1:26" x14ac:dyDescent="0.2">
      <c r="A1015" t="s">
        <v>1160</v>
      </c>
      <c r="B1015" t="s">
        <v>1902</v>
      </c>
      <c r="C1015" t="s">
        <v>1903</v>
      </c>
      <c r="D1015" t="s">
        <v>105</v>
      </c>
      <c r="E1015">
        <v>899</v>
      </c>
      <c r="F1015" t="s">
        <v>7046</v>
      </c>
      <c r="H1015">
        <v>664.48</v>
      </c>
      <c r="L1015" t="s">
        <v>5922</v>
      </c>
      <c r="Q1015">
        <v>664.48</v>
      </c>
      <c r="R1015">
        <v>664.48</v>
      </c>
      <c r="U1015">
        <v>672.3</v>
      </c>
      <c r="V1015">
        <v>664.48</v>
      </c>
      <c r="X1015">
        <v>664.48</v>
      </c>
      <c r="Y1015">
        <v>899</v>
      </c>
      <c r="Z1015" t="s">
        <v>5922</v>
      </c>
    </row>
    <row r="1016" spans="1:26" x14ac:dyDescent="0.2">
      <c r="A1016" t="s">
        <v>1160</v>
      </c>
      <c r="B1016" t="s">
        <v>1904</v>
      </c>
      <c r="C1016" t="s">
        <v>1905</v>
      </c>
      <c r="D1016" t="s">
        <v>105</v>
      </c>
      <c r="E1016">
        <v>1099</v>
      </c>
      <c r="F1016" t="s">
        <v>7119</v>
      </c>
      <c r="H1016">
        <v>812.3</v>
      </c>
      <c r="L1016" t="s">
        <v>5922</v>
      </c>
      <c r="U1016">
        <v>821.86</v>
      </c>
      <c r="V1016">
        <v>812.3</v>
      </c>
      <c r="X1016">
        <v>812.3</v>
      </c>
      <c r="Y1016">
        <v>1099</v>
      </c>
      <c r="Z1016" t="s">
        <v>5922</v>
      </c>
    </row>
    <row r="1017" spans="1:26" x14ac:dyDescent="0.2">
      <c r="A1017" t="s">
        <v>1160</v>
      </c>
      <c r="B1017" t="s">
        <v>1906</v>
      </c>
      <c r="C1017" t="s">
        <v>1907</v>
      </c>
      <c r="D1017" t="s">
        <v>105</v>
      </c>
      <c r="E1017">
        <v>1099</v>
      </c>
      <c r="F1017" t="s">
        <v>7119</v>
      </c>
      <c r="H1017">
        <v>812.3</v>
      </c>
      <c r="L1017" t="s">
        <v>5922</v>
      </c>
      <c r="U1017">
        <v>821.86</v>
      </c>
      <c r="V1017">
        <v>812.3</v>
      </c>
      <c r="X1017">
        <v>812.3</v>
      </c>
      <c r="Y1017">
        <v>1099</v>
      </c>
      <c r="Z1017" t="s">
        <v>5922</v>
      </c>
    </row>
    <row r="1018" spans="1:26" x14ac:dyDescent="0.2">
      <c r="A1018" t="s">
        <v>1160</v>
      </c>
      <c r="B1018" t="s">
        <v>1908</v>
      </c>
      <c r="C1018" t="s">
        <v>1909</v>
      </c>
      <c r="D1018" t="s">
        <v>105</v>
      </c>
      <c r="E1018">
        <v>1099</v>
      </c>
      <c r="F1018" t="s">
        <v>7119</v>
      </c>
      <c r="H1018">
        <v>812.3</v>
      </c>
      <c r="L1018" t="s">
        <v>5922</v>
      </c>
      <c r="U1018">
        <v>821.86</v>
      </c>
      <c r="V1018">
        <v>812.3</v>
      </c>
      <c r="X1018">
        <v>812.3</v>
      </c>
      <c r="Y1018">
        <v>1099</v>
      </c>
      <c r="Z1018" t="s">
        <v>5922</v>
      </c>
    </row>
    <row r="1019" spans="1:26" x14ac:dyDescent="0.2">
      <c r="A1019" t="s">
        <v>1160</v>
      </c>
      <c r="B1019" t="s">
        <v>1910</v>
      </c>
      <c r="C1019" t="s">
        <v>1911</v>
      </c>
      <c r="D1019" t="s">
        <v>105</v>
      </c>
      <c r="E1019">
        <v>1099</v>
      </c>
      <c r="F1019" t="s">
        <v>7119</v>
      </c>
      <c r="H1019">
        <v>812.3</v>
      </c>
      <c r="L1019" t="s">
        <v>5922</v>
      </c>
      <c r="U1019">
        <v>821.86</v>
      </c>
      <c r="V1019">
        <v>812.3</v>
      </c>
      <c r="X1019">
        <v>812.3</v>
      </c>
      <c r="Y1019">
        <v>1099</v>
      </c>
      <c r="Z1019" t="s">
        <v>5922</v>
      </c>
    </row>
    <row r="1020" spans="1:26" x14ac:dyDescent="0.2">
      <c r="A1020" t="s">
        <v>1160</v>
      </c>
      <c r="B1020" t="s">
        <v>1912</v>
      </c>
      <c r="C1020" t="s">
        <v>1913</v>
      </c>
      <c r="D1020" t="s">
        <v>105</v>
      </c>
      <c r="E1020">
        <v>1099</v>
      </c>
      <c r="F1020" t="s">
        <v>7119</v>
      </c>
      <c r="H1020">
        <v>812.3</v>
      </c>
      <c r="L1020" t="s">
        <v>5922</v>
      </c>
      <c r="U1020">
        <v>821.86</v>
      </c>
      <c r="V1020">
        <v>812.3</v>
      </c>
      <c r="X1020">
        <v>812.3</v>
      </c>
      <c r="Y1020">
        <v>1099</v>
      </c>
      <c r="Z1020" t="s">
        <v>5922</v>
      </c>
    </row>
    <row r="1021" spans="1:26" x14ac:dyDescent="0.2">
      <c r="A1021" t="s">
        <v>1160</v>
      </c>
      <c r="B1021" t="s">
        <v>1914</v>
      </c>
      <c r="C1021" t="s">
        <v>1915</v>
      </c>
      <c r="D1021" t="s">
        <v>105</v>
      </c>
      <c r="E1021">
        <v>1099</v>
      </c>
      <c r="F1021" t="s">
        <v>7119</v>
      </c>
      <c r="H1021">
        <v>812.3</v>
      </c>
      <c r="L1021" t="s">
        <v>5922</v>
      </c>
      <c r="U1021">
        <v>821.86</v>
      </c>
      <c r="V1021">
        <v>812.3</v>
      </c>
      <c r="X1021">
        <v>812.3</v>
      </c>
      <c r="Y1021">
        <v>1099</v>
      </c>
      <c r="Z1021" t="s">
        <v>5922</v>
      </c>
    </row>
    <row r="1022" spans="1:26" x14ac:dyDescent="0.2">
      <c r="A1022" t="s">
        <v>1160</v>
      </c>
      <c r="B1022" t="s">
        <v>1916</v>
      </c>
      <c r="C1022" t="s">
        <v>1917</v>
      </c>
      <c r="D1022" t="s">
        <v>98</v>
      </c>
      <c r="E1022">
        <v>319</v>
      </c>
      <c r="F1022" t="s">
        <v>5922</v>
      </c>
      <c r="G1022">
        <v>277.39</v>
      </c>
      <c r="H1022">
        <v>235.78</v>
      </c>
      <c r="I1022">
        <v>173.04</v>
      </c>
      <c r="J1022">
        <v>235.78</v>
      </c>
      <c r="L1022" t="s">
        <v>5922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221.91</v>
      </c>
      <c r="S1022">
        <v>0</v>
      </c>
      <c r="T1022">
        <v>0</v>
      </c>
      <c r="U1022">
        <v>227.46</v>
      </c>
      <c r="V1022">
        <v>227.46</v>
      </c>
      <c r="W1022">
        <v>255.2</v>
      </c>
      <c r="X1022">
        <v>227.46</v>
      </c>
      <c r="Y1022">
        <v>319</v>
      </c>
      <c r="Z1022" t="s">
        <v>5922</v>
      </c>
    </row>
    <row r="1023" spans="1:26" x14ac:dyDescent="0.2">
      <c r="A1023" t="s">
        <v>1160</v>
      </c>
      <c r="B1023" t="s">
        <v>1918</v>
      </c>
      <c r="C1023" t="s">
        <v>1919</v>
      </c>
      <c r="D1023" t="s">
        <v>98</v>
      </c>
      <c r="E1023">
        <v>319</v>
      </c>
      <c r="F1023" t="s">
        <v>5922</v>
      </c>
      <c r="G1023">
        <v>277.39</v>
      </c>
      <c r="H1023">
        <v>235.78</v>
      </c>
      <c r="I1023">
        <v>216.52</v>
      </c>
      <c r="J1023">
        <v>235.78</v>
      </c>
      <c r="L1023" t="s">
        <v>5922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221.91</v>
      </c>
      <c r="S1023">
        <v>0</v>
      </c>
      <c r="T1023">
        <v>0</v>
      </c>
      <c r="U1023">
        <v>227.46</v>
      </c>
      <c r="V1023">
        <v>227.46</v>
      </c>
      <c r="W1023">
        <v>255.2</v>
      </c>
      <c r="X1023">
        <v>227.46</v>
      </c>
      <c r="Y1023">
        <v>319</v>
      </c>
      <c r="Z1023" t="s">
        <v>5922</v>
      </c>
    </row>
    <row r="1024" spans="1:26" x14ac:dyDescent="0.2">
      <c r="A1024" t="s">
        <v>1160</v>
      </c>
      <c r="B1024" t="s">
        <v>1920</v>
      </c>
      <c r="C1024" t="s">
        <v>1921</v>
      </c>
      <c r="D1024" t="s">
        <v>98</v>
      </c>
      <c r="E1024">
        <v>319</v>
      </c>
      <c r="F1024" t="s">
        <v>5922</v>
      </c>
      <c r="G1024">
        <v>277.39</v>
      </c>
      <c r="H1024">
        <v>235.78</v>
      </c>
      <c r="I1024">
        <v>173.04</v>
      </c>
      <c r="J1024">
        <v>235.78</v>
      </c>
      <c r="L1024" t="s">
        <v>5922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221.91</v>
      </c>
      <c r="S1024">
        <v>0</v>
      </c>
      <c r="T1024">
        <v>0</v>
      </c>
      <c r="U1024">
        <v>227.46</v>
      </c>
      <c r="V1024">
        <v>227.46</v>
      </c>
      <c r="W1024">
        <v>255.2</v>
      </c>
      <c r="X1024">
        <v>227.46</v>
      </c>
      <c r="Y1024">
        <v>319</v>
      </c>
      <c r="Z1024" t="s">
        <v>5922</v>
      </c>
    </row>
    <row r="1025" spans="1:26" x14ac:dyDescent="0.2">
      <c r="A1025" t="s">
        <v>1160</v>
      </c>
      <c r="B1025" t="s">
        <v>1922</v>
      </c>
      <c r="C1025" t="s">
        <v>1923</v>
      </c>
      <c r="D1025" t="s">
        <v>98</v>
      </c>
      <c r="E1025">
        <v>499</v>
      </c>
      <c r="F1025" t="s">
        <v>5922</v>
      </c>
      <c r="G1025">
        <v>413</v>
      </c>
      <c r="H1025">
        <v>368.83</v>
      </c>
      <c r="L1025" t="s">
        <v>5922</v>
      </c>
      <c r="Q1025">
        <v>368.83</v>
      </c>
      <c r="R1025">
        <v>368.83</v>
      </c>
      <c r="U1025">
        <v>373.17</v>
      </c>
      <c r="V1025">
        <v>368.83</v>
      </c>
      <c r="W1025">
        <v>399.2</v>
      </c>
      <c r="X1025">
        <v>368.83</v>
      </c>
      <c r="Y1025">
        <v>499</v>
      </c>
      <c r="Z1025" t="s">
        <v>5922</v>
      </c>
    </row>
    <row r="1026" spans="1:26" x14ac:dyDescent="0.2">
      <c r="A1026" t="s">
        <v>1160</v>
      </c>
      <c r="B1026" t="s">
        <v>1924</v>
      </c>
      <c r="C1026" t="s">
        <v>1925</v>
      </c>
      <c r="D1026" t="s">
        <v>98</v>
      </c>
      <c r="E1026">
        <v>499</v>
      </c>
      <c r="F1026" t="s">
        <v>5922</v>
      </c>
      <c r="G1026">
        <v>413</v>
      </c>
      <c r="H1026">
        <v>368.83</v>
      </c>
      <c r="L1026" t="s">
        <v>5922</v>
      </c>
      <c r="Q1026">
        <v>368.83</v>
      </c>
      <c r="R1026">
        <v>368.83</v>
      </c>
      <c r="U1026">
        <v>373.17</v>
      </c>
      <c r="V1026">
        <v>368.83</v>
      </c>
      <c r="W1026">
        <v>399.2</v>
      </c>
      <c r="X1026">
        <v>368.83</v>
      </c>
      <c r="Y1026">
        <v>499</v>
      </c>
      <c r="Z1026" t="s">
        <v>5922</v>
      </c>
    </row>
    <row r="1027" spans="1:26" x14ac:dyDescent="0.2">
      <c r="A1027" t="s">
        <v>1160</v>
      </c>
      <c r="B1027" t="s">
        <v>1926</v>
      </c>
      <c r="C1027" t="s">
        <v>1927</v>
      </c>
      <c r="D1027" t="s">
        <v>98</v>
      </c>
      <c r="E1027">
        <v>499</v>
      </c>
      <c r="F1027" t="s">
        <v>5922</v>
      </c>
      <c r="G1027">
        <v>413</v>
      </c>
      <c r="H1027">
        <v>368.83</v>
      </c>
      <c r="L1027" t="s">
        <v>5922</v>
      </c>
      <c r="Q1027">
        <v>368.83</v>
      </c>
      <c r="R1027">
        <v>368.83</v>
      </c>
      <c r="U1027">
        <v>373.17</v>
      </c>
      <c r="V1027">
        <v>368.83</v>
      </c>
      <c r="W1027">
        <v>399.2</v>
      </c>
      <c r="X1027">
        <v>368.83</v>
      </c>
      <c r="Y1027">
        <v>499</v>
      </c>
      <c r="Z1027" t="s">
        <v>5922</v>
      </c>
    </row>
    <row r="1028" spans="1:26" x14ac:dyDescent="0.2">
      <c r="A1028" t="s">
        <v>1160</v>
      </c>
      <c r="B1028" t="s">
        <v>1928</v>
      </c>
      <c r="C1028" t="s">
        <v>1929</v>
      </c>
      <c r="D1028" t="s">
        <v>98</v>
      </c>
      <c r="E1028">
        <v>599</v>
      </c>
      <c r="F1028" t="s">
        <v>5922</v>
      </c>
      <c r="G1028">
        <v>478</v>
      </c>
      <c r="H1028">
        <v>442.74</v>
      </c>
      <c r="L1028" t="s">
        <v>5922</v>
      </c>
      <c r="Q1028">
        <v>442.74</v>
      </c>
      <c r="R1028">
        <v>442.74</v>
      </c>
      <c r="U1028">
        <v>447.95</v>
      </c>
      <c r="V1028">
        <v>442.74</v>
      </c>
      <c r="W1028">
        <v>479.2</v>
      </c>
      <c r="X1028">
        <v>442.74</v>
      </c>
      <c r="Y1028">
        <v>599</v>
      </c>
      <c r="Z1028" t="s">
        <v>5922</v>
      </c>
    </row>
    <row r="1029" spans="1:26" x14ac:dyDescent="0.2">
      <c r="A1029" t="s">
        <v>1160</v>
      </c>
      <c r="B1029" t="s">
        <v>1930</v>
      </c>
      <c r="C1029" t="s">
        <v>1931</v>
      </c>
      <c r="D1029" t="s">
        <v>98</v>
      </c>
      <c r="E1029">
        <v>599</v>
      </c>
      <c r="F1029" t="s">
        <v>5922</v>
      </c>
      <c r="G1029">
        <v>478</v>
      </c>
      <c r="H1029">
        <v>442.74</v>
      </c>
      <c r="L1029" t="s">
        <v>5922</v>
      </c>
      <c r="Q1029">
        <v>442.74</v>
      </c>
      <c r="R1029">
        <v>442.74</v>
      </c>
      <c r="U1029">
        <v>447.95</v>
      </c>
      <c r="V1029">
        <v>442.74</v>
      </c>
      <c r="W1029">
        <v>479.2</v>
      </c>
      <c r="X1029">
        <v>442.74</v>
      </c>
      <c r="Y1029">
        <v>599</v>
      </c>
      <c r="Z1029" t="s">
        <v>5922</v>
      </c>
    </row>
    <row r="1030" spans="1:26" x14ac:dyDescent="0.2">
      <c r="A1030" t="s">
        <v>1160</v>
      </c>
      <c r="B1030" t="s">
        <v>1932</v>
      </c>
      <c r="C1030" t="s">
        <v>1933</v>
      </c>
      <c r="D1030" t="s">
        <v>98</v>
      </c>
      <c r="E1030">
        <v>599</v>
      </c>
      <c r="F1030" t="s">
        <v>5922</v>
      </c>
      <c r="G1030">
        <v>478</v>
      </c>
      <c r="H1030">
        <v>442.74</v>
      </c>
      <c r="L1030" t="s">
        <v>5922</v>
      </c>
      <c r="Q1030">
        <v>442.74</v>
      </c>
      <c r="R1030">
        <v>442.74</v>
      </c>
      <c r="U1030">
        <v>447.95</v>
      </c>
      <c r="V1030">
        <v>442.74</v>
      </c>
      <c r="W1030">
        <v>479.2</v>
      </c>
      <c r="X1030">
        <v>442.74</v>
      </c>
      <c r="Y1030">
        <v>599</v>
      </c>
      <c r="Z1030" t="s">
        <v>5922</v>
      </c>
    </row>
    <row r="1031" spans="1:26" x14ac:dyDescent="0.2">
      <c r="A1031" t="s">
        <v>1160</v>
      </c>
      <c r="B1031" t="s">
        <v>1934</v>
      </c>
      <c r="C1031" t="s">
        <v>1935</v>
      </c>
      <c r="D1031" t="s">
        <v>98</v>
      </c>
      <c r="E1031">
        <v>409</v>
      </c>
      <c r="F1031" t="s">
        <v>5922</v>
      </c>
      <c r="G1031">
        <v>355.65</v>
      </c>
      <c r="H1031">
        <v>302.3</v>
      </c>
      <c r="I1031">
        <v>355.65</v>
      </c>
      <c r="J1031">
        <v>302.3</v>
      </c>
      <c r="L1031" t="s">
        <v>5922</v>
      </c>
      <c r="R1031">
        <v>302.3</v>
      </c>
      <c r="U1031">
        <v>368.83</v>
      </c>
      <c r="V1031">
        <v>368.83</v>
      </c>
      <c r="W1031">
        <v>399.2</v>
      </c>
      <c r="X1031">
        <v>368.83</v>
      </c>
      <c r="Y1031">
        <v>499</v>
      </c>
      <c r="Z1031" t="s">
        <v>5922</v>
      </c>
    </row>
    <row r="1032" spans="1:26" x14ac:dyDescent="0.2">
      <c r="A1032" t="s">
        <v>1160</v>
      </c>
      <c r="B1032" t="s">
        <v>1936</v>
      </c>
      <c r="C1032" t="s">
        <v>1937</v>
      </c>
      <c r="D1032" t="s">
        <v>98</v>
      </c>
      <c r="E1032">
        <v>409</v>
      </c>
      <c r="F1032" t="s">
        <v>5922</v>
      </c>
      <c r="G1032">
        <v>355.65</v>
      </c>
      <c r="H1032">
        <v>302.3</v>
      </c>
      <c r="I1032">
        <v>355.65</v>
      </c>
      <c r="J1032">
        <v>302.3</v>
      </c>
      <c r="L1032" t="s">
        <v>5922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284.52</v>
      </c>
      <c r="S1032">
        <v>0</v>
      </c>
      <c r="T1032">
        <v>0</v>
      </c>
      <c r="U1032">
        <v>355.81</v>
      </c>
      <c r="V1032">
        <v>355.81</v>
      </c>
      <c r="W1032">
        <v>399.2</v>
      </c>
      <c r="X1032">
        <v>355.81</v>
      </c>
      <c r="Y1032">
        <v>499</v>
      </c>
      <c r="Z1032" t="s">
        <v>5922</v>
      </c>
    </row>
    <row r="1033" spans="1:26" x14ac:dyDescent="0.2">
      <c r="A1033" t="s">
        <v>1160</v>
      </c>
      <c r="B1033" t="s">
        <v>1938</v>
      </c>
      <c r="C1033" t="s">
        <v>1939</v>
      </c>
      <c r="D1033" t="s">
        <v>98</v>
      </c>
      <c r="E1033">
        <v>409</v>
      </c>
      <c r="F1033" t="s">
        <v>5922</v>
      </c>
      <c r="G1033">
        <v>355.65</v>
      </c>
      <c r="H1033">
        <v>302.3</v>
      </c>
      <c r="I1033">
        <v>355.65</v>
      </c>
      <c r="J1033">
        <v>302.3</v>
      </c>
      <c r="L1033" t="s">
        <v>5922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284.52</v>
      </c>
      <c r="S1033">
        <v>0</v>
      </c>
      <c r="T1033">
        <v>0</v>
      </c>
      <c r="U1033">
        <v>355.81</v>
      </c>
      <c r="V1033">
        <v>355.81</v>
      </c>
      <c r="W1033">
        <v>399.2</v>
      </c>
      <c r="X1033">
        <v>355.81</v>
      </c>
      <c r="Y1033">
        <v>499</v>
      </c>
      <c r="Z1033" t="s">
        <v>5922</v>
      </c>
    </row>
    <row r="1034" spans="1:26" x14ac:dyDescent="0.2">
      <c r="A1034" t="s">
        <v>1160</v>
      </c>
      <c r="B1034" t="s">
        <v>1940</v>
      </c>
      <c r="C1034" t="s">
        <v>1941</v>
      </c>
      <c r="D1034" t="s">
        <v>98</v>
      </c>
      <c r="E1034">
        <v>409</v>
      </c>
      <c r="F1034" t="s">
        <v>5922</v>
      </c>
      <c r="G1034">
        <v>355.65</v>
      </c>
      <c r="H1034">
        <v>302.3</v>
      </c>
      <c r="I1034">
        <v>355.65</v>
      </c>
      <c r="J1034">
        <v>302.3</v>
      </c>
      <c r="L1034" t="s">
        <v>5922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284.52</v>
      </c>
      <c r="S1034">
        <v>0</v>
      </c>
      <c r="T1034">
        <v>0</v>
      </c>
      <c r="U1034">
        <v>355.81</v>
      </c>
      <c r="V1034">
        <v>355.81</v>
      </c>
      <c r="W1034">
        <v>399.2</v>
      </c>
      <c r="X1034">
        <v>355.81</v>
      </c>
      <c r="Y1034">
        <v>499</v>
      </c>
      <c r="Z1034" t="s">
        <v>5922</v>
      </c>
    </row>
    <row r="1035" spans="1:26" x14ac:dyDescent="0.2">
      <c r="A1035" t="s">
        <v>1160</v>
      </c>
      <c r="B1035" t="s">
        <v>1942</v>
      </c>
      <c r="C1035" t="s">
        <v>1943</v>
      </c>
      <c r="D1035" t="s">
        <v>98</v>
      </c>
      <c r="E1035">
        <v>409</v>
      </c>
      <c r="F1035" t="s">
        <v>5922</v>
      </c>
      <c r="G1035">
        <v>355.65</v>
      </c>
      <c r="H1035">
        <v>302.3</v>
      </c>
      <c r="I1035">
        <v>355.65</v>
      </c>
      <c r="J1035">
        <v>302.3</v>
      </c>
      <c r="L1035" t="s">
        <v>5922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284.52</v>
      </c>
      <c r="S1035">
        <v>0</v>
      </c>
      <c r="T1035">
        <v>0</v>
      </c>
      <c r="U1035">
        <v>355.81</v>
      </c>
      <c r="V1035">
        <v>355.81</v>
      </c>
      <c r="W1035">
        <v>399.2</v>
      </c>
      <c r="X1035">
        <v>355.81</v>
      </c>
      <c r="Y1035">
        <v>499</v>
      </c>
      <c r="Z1035" t="s">
        <v>5922</v>
      </c>
    </row>
    <row r="1036" spans="1:26" x14ac:dyDescent="0.2">
      <c r="A1036" t="s">
        <v>1160</v>
      </c>
      <c r="B1036" t="s">
        <v>1944</v>
      </c>
      <c r="C1036" t="s">
        <v>1945</v>
      </c>
      <c r="D1036" t="s">
        <v>98</v>
      </c>
      <c r="E1036">
        <v>409</v>
      </c>
      <c r="F1036" t="s">
        <v>5922</v>
      </c>
      <c r="G1036">
        <v>355.65</v>
      </c>
      <c r="H1036">
        <v>302.3</v>
      </c>
      <c r="I1036">
        <v>355.65</v>
      </c>
      <c r="J1036">
        <v>302.3</v>
      </c>
      <c r="L1036" t="s">
        <v>5922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302.3</v>
      </c>
      <c r="S1036">
        <v>0</v>
      </c>
      <c r="T1036">
        <v>0</v>
      </c>
      <c r="U1036">
        <v>302.3</v>
      </c>
      <c r="V1036">
        <v>302.3</v>
      </c>
      <c r="W1036">
        <v>327.2</v>
      </c>
      <c r="X1036">
        <v>291.63</v>
      </c>
      <c r="Y1036">
        <v>409</v>
      </c>
      <c r="Z1036" t="s">
        <v>5922</v>
      </c>
    </row>
    <row r="1037" spans="1:26" x14ac:dyDescent="0.2">
      <c r="A1037" t="s">
        <v>1160</v>
      </c>
      <c r="B1037" t="s">
        <v>1946</v>
      </c>
      <c r="C1037" t="s">
        <v>1947</v>
      </c>
      <c r="D1037" t="s">
        <v>105</v>
      </c>
      <c r="E1037">
        <v>1699</v>
      </c>
      <c r="F1037" t="s">
        <v>7125</v>
      </c>
      <c r="H1037">
        <v>1255.78</v>
      </c>
      <c r="L1037" t="s">
        <v>5922</v>
      </c>
      <c r="U1037">
        <v>1270.56</v>
      </c>
      <c r="V1037">
        <v>1255.78</v>
      </c>
      <c r="X1037">
        <v>1255.78</v>
      </c>
      <c r="Y1037">
        <v>1699</v>
      </c>
      <c r="Z1037" t="s">
        <v>5922</v>
      </c>
    </row>
    <row r="1038" spans="1:26" x14ac:dyDescent="0.2">
      <c r="A1038" t="s">
        <v>1160</v>
      </c>
      <c r="B1038" t="s">
        <v>1948</v>
      </c>
      <c r="C1038" t="s">
        <v>1949</v>
      </c>
      <c r="D1038" t="s">
        <v>105</v>
      </c>
      <c r="E1038">
        <v>1699</v>
      </c>
      <c r="F1038" t="s">
        <v>7125</v>
      </c>
      <c r="H1038">
        <v>1255.78</v>
      </c>
      <c r="L1038" t="s">
        <v>5922</v>
      </c>
      <c r="U1038">
        <v>1270.56</v>
      </c>
      <c r="V1038">
        <v>1255.78</v>
      </c>
      <c r="X1038">
        <v>1255.78</v>
      </c>
      <c r="Y1038">
        <v>1699</v>
      </c>
      <c r="Z1038" t="s">
        <v>5922</v>
      </c>
    </row>
    <row r="1039" spans="1:26" x14ac:dyDescent="0.2">
      <c r="A1039" t="s">
        <v>1160</v>
      </c>
      <c r="B1039" t="s">
        <v>1950</v>
      </c>
      <c r="C1039" t="s">
        <v>1951</v>
      </c>
      <c r="D1039" t="s">
        <v>105</v>
      </c>
      <c r="E1039">
        <v>1699</v>
      </c>
      <c r="F1039" t="s">
        <v>7125</v>
      </c>
      <c r="H1039">
        <v>1255.78</v>
      </c>
      <c r="L1039" t="s">
        <v>5922</v>
      </c>
      <c r="U1039">
        <v>1270.56</v>
      </c>
      <c r="V1039">
        <v>1255.78</v>
      </c>
      <c r="X1039">
        <v>1255.78</v>
      </c>
      <c r="Y1039">
        <v>1699</v>
      </c>
      <c r="Z1039" t="s">
        <v>5922</v>
      </c>
    </row>
    <row r="1040" spans="1:26" x14ac:dyDescent="0.2">
      <c r="A1040" t="s">
        <v>1160</v>
      </c>
      <c r="B1040" t="s">
        <v>1952</v>
      </c>
      <c r="C1040" t="s">
        <v>1953</v>
      </c>
      <c r="D1040" t="s">
        <v>98</v>
      </c>
      <c r="E1040">
        <v>569</v>
      </c>
      <c r="F1040" t="s">
        <v>5922</v>
      </c>
      <c r="G1040">
        <v>494.78</v>
      </c>
      <c r="H1040">
        <v>420.57</v>
      </c>
      <c r="I1040">
        <v>494.78</v>
      </c>
      <c r="J1040">
        <v>420.57</v>
      </c>
      <c r="K1040">
        <v>451.48</v>
      </c>
      <c r="L1040" t="s">
        <v>5922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405.72</v>
      </c>
      <c r="S1040">
        <v>0</v>
      </c>
      <c r="T1040">
        <v>0</v>
      </c>
      <c r="U1040">
        <v>498.42</v>
      </c>
      <c r="V1040">
        <v>498.42</v>
      </c>
      <c r="W1040">
        <v>553.12</v>
      </c>
      <c r="X1040">
        <v>498.42</v>
      </c>
      <c r="Y1040">
        <v>699</v>
      </c>
      <c r="Z1040" t="s">
        <v>5922</v>
      </c>
    </row>
    <row r="1041" spans="1:26" x14ac:dyDescent="0.2">
      <c r="A1041" t="s">
        <v>1160</v>
      </c>
      <c r="B1041" t="s">
        <v>1954</v>
      </c>
      <c r="C1041" t="s">
        <v>1955</v>
      </c>
      <c r="D1041" t="s">
        <v>98</v>
      </c>
      <c r="E1041">
        <v>569</v>
      </c>
      <c r="F1041" t="s">
        <v>5922</v>
      </c>
      <c r="G1041">
        <v>494.78</v>
      </c>
      <c r="H1041">
        <v>420.57</v>
      </c>
      <c r="I1041">
        <v>494.78</v>
      </c>
      <c r="J1041">
        <v>420.57</v>
      </c>
      <c r="K1041">
        <v>451.48</v>
      </c>
      <c r="L1041" t="s">
        <v>5922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405.72</v>
      </c>
      <c r="S1041">
        <v>0</v>
      </c>
      <c r="T1041">
        <v>0</v>
      </c>
      <c r="U1041">
        <v>498.42</v>
      </c>
      <c r="V1041">
        <v>498.42</v>
      </c>
      <c r="W1041">
        <v>553.12</v>
      </c>
      <c r="X1041">
        <v>498.42</v>
      </c>
      <c r="Y1041">
        <v>699</v>
      </c>
      <c r="Z1041" t="s">
        <v>5922</v>
      </c>
    </row>
    <row r="1042" spans="1:26" x14ac:dyDescent="0.2">
      <c r="A1042" t="s">
        <v>1160</v>
      </c>
      <c r="B1042" t="s">
        <v>1956</v>
      </c>
      <c r="C1042" t="s">
        <v>1957</v>
      </c>
      <c r="D1042" t="s">
        <v>98</v>
      </c>
      <c r="E1042">
        <v>569</v>
      </c>
      <c r="F1042" t="s">
        <v>5922</v>
      </c>
      <c r="G1042">
        <v>449</v>
      </c>
      <c r="H1042">
        <v>420.57</v>
      </c>
      <c r="I1042">
        <v>494.78</v>
      </c>
      <c r="J1042">
        <v>420.57</v>
      </c>
      <c r="K1042">
        <v>451.48</v>
      </c>
      <c r="L1042" t="s">
        <v>5922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405.72</v>
      </c>
      <c r="S1042">
        <v>0</v>
      </c>
      <c r="T1042">
        <v>0</v>
      </c>
      <c r="U1042">
        <v>498.42</v>
      </c>
      <c r="V1042">
        <v>498.42</v>
      </c>
      <c r="W1042">
        <v>553.12</v>
      </c>
      <c r="X1042">
        <v>498.42</v>
      </c>
      <c r="Y1042">
        <v>699</v>
      </c>
      <c r="Z1042" t="s">
        <v>5922</v>
      </c>
    </row>
    <row r="1043" spans="1:26" x14ac:dyDescent="0.2">
      <c r="A1043" t="s">
        <v>1160</v>
      </c>
      <c r="B1043" t="s">
        <v>1958</v>
      </c>
      <c r="C1043" t="s">
        <v>1959</v>
      </c>
      <c r="D1043" t="s">
        <v>98</v>
      </c>
      <c r="E1043">
        <v>569</v>
      </c>
      <c r="F1043" t="s">
        <v>5922</v>
      </c>
      <c r="G1043">
        <v>494.78</v>
      </c>
      <c r="H1043">
        <v>420.57</v>
      </c>
      <c r="I1043">
        <v>494.78</v>
      </c>
      <c r="J1043">
        <v>420.57</v>
      </c>
      <c r="K1043">
        <v>451.48</v>
      </c>
      <c r="L1043" t="s">
        <v>5922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405.72</v>
      </c>
      <c r="S1043">
        <v>0</v>
      </c>
      <c r="T1043">
        <v>0</v>
      </c>
      <c r="U1043">
        <v>498.42</v>
      </c>
      <c r="V1043">
        <v>498.42</v>
      </c>
      <c r="W1043">
        <v>553.12</v>
      </c>
      <c r="X1043">
        <v>498.42</v>
      </c>
      <c r="Y1043">
        <v>699</v>
      </c>
      <c r="Z1043" t="s">
        <v>5922</v>
      </c>
    </row>
    <row r="1044" spans="1:26" x14ac:dyDescent="0.2">
      <c r="A1044" t="s">
        <v>1160</v>
      </c>
      <c r="B1044" t="s">
        <v>1960</v>
      </c>
      <c r="C1044" t="s">
        <v>1961</v>
      </c>
      <c r="D1044" t="s">
        <v>98</v>
      </c>
      <c r="E1044">
        <v>569</v>
      </c>
      <c r="F1044" t="s">
        <v>5922</v>
      </c>
      <c r="G1044">
        <v>494.78</v>
      </c>
      <c r="H1044">
        <v>420.57</v>
      </c>
      <c r="I1044">
        <v>494.78</v>
      </c>
      <c r="J1044">
        <v>420.57</v>
      </c>
      <c r="K1044">
        <v>451.48</v>
      </c>
      <c r="L1044" t="s">
        <v>5922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405.72</v>
      </c>
      <c r="S1044">
        <v>0</v>
      </c>
      <c r="T1044">
        <v>0</v>
      </c>
      <c r="U1044">
        <v>498.42</v>
      </c>
      <c r="V1044">
        <v>498.42</v>
      </c>
      <c r="W1044">
        <v>553.12</v>
      </c>
      <c r="X1044">
        <v>498.42</v>
      </c>
      <c r="Y1044">
        <v>699</v>
      </c>
      <c r="Z1044" t="s">
        <v>5922</v>
      </c>
    </row>
    <row r="1045" spans="1:26" x14ac:dyDescent="0.2">
      <c r="A1045" t="s">
        <v>1160</v>
      </c>
      <c r="B1045" t="s">
        <v>1962</v>
      </c>
      <c r="C1045" t="s">
        <v>1963</v>
      </c>
      <c r="D1045" t="s">
        <v>98</v>
      </c>
      <c r="E1045">
        <v>569</v>
      </c>
      <c r="F1045" t="s">
        <v>5922</v>
      </c>
      <c r="G1045">
        <v>494.78</v>
      </c>
      <c r="H1045">
        <v>420.57</v>
      </c>
      <c r="I1045">
        <v>494.78</v>
      </c>
      <c r="J1045">
        <v>420.57</v>
      </c>
      <c r="K1045">
        <v>451.48</v>
      </c>
      <c r="L1045" t="s">
        <v>5922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405.72</v>
      </c>
      <c r="S1045">
        <v>0</v>
      </c>
      <c r="T1045">
        <v>0</v>
      </c>
      <c r="U1045">
        <v>498.42</v>
      </c>
      <c r="V1045">
        <v>498.42</v>
      </c>
      <c r="W1045">
        <v>553.12</v>
      </c>
      <c r="X1045">
        <v>498.42</v>
      </c>
      <c r="Y1045">
        <v>699</v>
      </c>
      <c r="Z1045" t="s">
        <v>5922</v>
      </c>
    </row>
    <row r="1046" spans="1:26" x14ac:dyDescent="0.2">
      <c r="A1046" t="s">
        <v>1160</v>
      </c>
      <c r="B1046" t="s">
        <v>1964</v>
      </c>
      <c r="C1046" t="s">
        <v>1965</v>
      </c>
      <c r="D1046" t="s">
        <v>105</v>
      </c>
      <c r="E1046">
        <v>599</v>
      </c>
      <c r="F1046" t="s">
        <v>6941</v>
      </c>
      <c r="H1046">
        <v>442.74</v>
      </c>
      <c r="L1046" t="s">
        <v>5922</v>
      </c>
      <c r="Q1046">
        <v>442.74</v>
      </c>
      <c r="R1046">
        <v>442.74</v>
      </c>
      <c r="U1046">
        <v>447.95</v>
      </c>
      <c r="V1046">
        <v>442.74</v>
      </c>
      <c r="X1046">
        <v>442.74</v>
      </c>
      <c r="Y1046">
        <v>599</v>
      </c>
      <c r="Z1046" t="s">
        <v>5922</v>
      </c>
    </row>
    <row r="1047" spans="1:26" x14ac:dyDescent="0.2">
      <c r="A1047" t="s">
        <v>1160</v>
      </c>
      <c r="B1047" t="s">
        <v>1966</v>
      </c>
      <c r="C1047" t="s">
        <v>1967</v>
      </c>
      <c r="D1047" t="s">
        <v>105</v>
      </c>
      <c r="E1047">
        <v>599</v>
      </c>
      <c r="F1047" t="s">
        <v>6941</v>
      </c>
      <c r="H1047">
        <v>442.74</v>
      </c>
      <c r="L1047" t="s">
        <v>5922</v>
      </c>
      <c r="Q1047">
        <v>442.74</v>
      </c>
      <c r="R1047">
        <v>442.74</v>
      </c>
      <c r="U1047">
        <v>447.95</v>
      </c>
      <c r="V1047">
        <v>442.74</v>
      </c>
      <c r="X1047">
        <v>442.74</v>
      </c>
      <c r="Y1047">
        <v>599</v>
      </c>
      <c r="Z1047" t="s">
        <v>5922</v>
      </c>
    </row>
    <row r="1048" spans="1:26" x14ac:dyDescent="0.2">
      <c r="A1048" t="s">
        <v>1160</v>
      </c>
      <c r="B1048" t="s">
        <v>1968</v>
      </c>
      <c r="C1048" t="s">
        <v>1969</v>
      </c>
      <c r="D1048" t="s">
        <v>105</v>
      </c>
      <c r="E1048">
        <v>599</v>
      </c>
      <c r="F1048" t="s">
        <v>6941</v>
      </c>
      <c r="H1048">
        <v>442.74</v>
      </c>
      <c r="L1048" t="s">
        <v>5922</v>
      </c>
      <c r="Q1048">
        <v>442.74</v>
      </c>
      <c r="R1048">
        <v>442.74</v>
      </c>
      <c r="U1048">
        <v>447.95</v>
      </c>
      <c r="V1048">
        <v>442.74</v>
      </c>
      <c r="X1048">
        <v>442.74</v>
      </c>
      <c r="Y1048">
        <v>599</v>
      </c>
      <c r="Z1048" t="s">
        <v>5922</v>
      </c>
    </row>
    <row r="1049" spans="1:26" x14ac:dyDescent="0.2">
      <c r="A1049" t="s">
        <v>1160</v>
      </c>
      <c r="B1049" t="s">
        <v>1970</v>
      </c>
      <c r="C1049" t="s">
        <v>1971</v>
      </c>
      <c r="D1049" t="s">
        <v>105</v>
      </c>
      <c r="E1049">
        <v>599</v>
      </c>
      <c r="F1049" t="s">
        <v>6941</v>
      </c>
      <c r="H1049">
        <v>442.74</v>
      </c>
      <c r="L1049" t="s">
        <v>5922</v>
      </c>
      <c r="Q1049">
        <v>442.74</v>
      </c>
      <c r="R1049">
        <v>442.74</v>
      </c>
      <c r="U1049">
        <v>447.95</v>
      </c>
      <c r="V1049">
        <v>442.74</v>
      </c>
      <c r="X1049">
        <v>442.74</v>
      </c>
      <c r="Y1049">
        <v>599</v>
      </c>
      <c r="Z1049" t="s">
        <v>5922</v>
      </c>
    </row>
    <row r="1050" spans="1:26" x14ac:dyDescent="0.2">
      <c r="A1050" t="s">
        <v>1160</v>
      </c>
      <c r="B1050" t="s">
        <v>1972</v>
      </c>
      <c r="C1050" t="s">
        <v>1973</v>
      </c>
      <c r="D1050" t="s">
        <v>105</v>
      </c>
      <c r="E1050">
        <v>629</v>
      </c>
      <c r="F1050" t="s">
        <v>7070</v>
      </c>
      <c r="H1050">
        <v>492.26</v>
      </c>
      <c r="L1050" t="s">
        <v>5922</v>
      </c>
      <c r="Q1050">
        <v>492.26</v>
      </c>
      <c r="R1050">
        <v>492.26</v>
      </c>
      <c r="U1050">
        <v>470.38</v>
      </c>
      <c r="V1050">
        <v>464.91</v>
      </c>
      <c r="X1050">
        <v>464.91</v>
      </c>
      <c r="Y1050">
        <v>629</v>
      </c>
      <c r="Z1050" t="s">
        <v>5922</v>
      </c>
    </row>
    <row r="1051" spans="1:26" x14ac:dyDescent="0.2">
      <c r="A1051" t="s">
        <v>1160</v>
      </c>
      <c r="B1051" t="s">
        <v>1974</v>
      </c>
      <c r="C1051" t="s">
        <v>1975</v>
      </c>
      <c r="D1051" t="s">
        <v>105</v>
      </c>
      <c r="E1051">
        <v>629</v>
      </c>
      <c r="F1051" t="s">
        <v>7070</v>
      </c>
      <c r="H1051">
        <v>492.26</v>
      </c>
      <c r="L1051" t="s">
        <v>5922</v>
      </c>
      <c r="Q1051">
        <v>492.26</v>
      </c>
      <c r="R1051">
        <v>492.26</v>
      </c>
      <c r="U1051">
        <v>470.38</v>
      </c>
      <c r="V1051">
        <v>464.91</v>
      </c>
      <c r="X1051">
        <v>464.91</v>
      </c>
      <c r="Y1051">
        <v>629</v>
      </c>
      <c r="Z1051" t="s">
        <v>5922</v>
      </c>
    </row>
    <row r="1052" spans="1:26" x14ac:dyDescent="0.2">
      <c r="A1052" t="s">
        <v>1160</v>
      </c>
      <c r="B1052" t="s">
        <v>1976</v>
      </c>
      <c r="C1052" t="s">
        <v>1977</v>
      </c>
      <c r="D1052" t="s">
        <v>105</v>
      </c>
      <c r="E1052">
        <v>629</v>
      </c>
      <c r="F1052" t="s">
        <v>7070</v>
      </c>
      <c r="H1052">
        <v>492.26</v>
      </c>
      <c r="L1052" t="s">
        <v>5922</v>
      </c>
      <c r="Q1052">
        <v>492.26</v>
      </c>
      <c r="R1052">
        <v>492.26</v>
      </c>
      <c r="U1052">
        <v>470.38</v>
      </c>
      <c r="V1052">
        <v>464.91</v>
      </c>
      <c r="X1052">
        <v>464.91</v>
      </c>
      <c r="Y1052">
        <v>629</v>
      </c>
      <c r="Z1052" t="s">
        <v>5922</v>
      </c>
    </row>
    <row r="1053" spans="1:26" x14ac:dyDescent="0.2">
      <c r="A1053" t="s">
        <v>1160</v>
      </c>
      <c r="B1053" t="s">
        <v>1978</v>
      </c>
      <c r="C1053" t="s">
        <v>1979</v>
      </c>
      <c r="D1053" t="s">
        <v>105</v>
      </c>
      <c r="E1053">
        <v>629</v>
      </c>
      <c r="F1053" t="s">
        <v>7070</v>
      </c>
      <c r="H1053">
        <v>492.26</v>
      </c>
      <c r="L1053" t="s">
        <v>5922</v>
      </c>
      <c r="Q1053">
        <v>492.26</v>
      </c>
      <c r="R1053">
        <v>492.26</v>
      </c>
      <c r="U1053">
        <v>470.38</v>
      </c>
      <c r="V1053">
        <v>464.91</v>
      </c>
      <c r="X1053">
        <v>464.91</v>
      </c>
      <c r="Y1053">
        <v>629</v>
      </c>
      <c r="Z1053" t="s">
        <v>5922</v>
      </c>
    </row>
    <row r="1054" spans="1:26" x14ac:dyDescent="0.2">
      <c r="A1054" t="s">
        <v>1160</v>
      </c>
      <c r="B1054" t="s">
        <v>1980</v>
      </c>
      <c r="C1054" t="s">
        <v>1981</v>
      </c>
      <c r="D1054" t="s">
        <v>98</v>
      </c>
      <c r="E1054">
        <v>159</v>
      </c>
      <c r="F1054" t="s">
        <v>5922</v>
      </c>
      <c r="G1054">
        <v>159</v>
      </c>
      <c r="H1054">
        <v>124.43</v>
      </c>
      <c r="I1054">
        <v>129.57</v>
      </c>
      <c r="J1054">
        <v>110.13</v>
      </c>
      <c r="K1054">
        <v>124.52</v>
      </c>
      <c r="L1054" t="s">
        <v>5922</v>
      </c>
      <c r="M1054">
        <v>0</v>
      </c>
      <c r="N1054">
        <v>0</v>
      </c>
      <c r="O1054">
        <v>0</v>
      </c>
      <c r="P1054">
        <v>0</v>
      </c>
      <c r="Q1054">
        <v>124.43</v>
      </c>
      <c r="R1054">
        <v>124.43</v>
      </c>
      <c r="S1054">
        <v>0</v>
      </c>
      <c r="T1054">
        <v>0</v>
      </c>
      <c r="U1054">
        <v>124.43</v>
      </c>
      <c r="V1054">
        <v>113.37</v>
      </c>
      <c r="W1054">
        <v>127.2</v>
      </c>
      <c r="X1054">
        <v>113.37</v>
      </c>
      <c r="Y1054">
        <v>159</v>
      </c>
      <c r="Z1054" t="s">
        <v>5922</v>
      </c>
    </row>
    <row r="1055" spans="1:26" x14ac:dyDescent="0.2">
      <c r="A1055" t="s">
        <v>1160</v>
      </c>
      <c r="B1055" t="s">
        <v>1982</v>
      </c>
      <c r="C1055" t="s">
        <v>1983</v>
      </c>
      <c r="D1055" t="s">
        <v>98</v>
      </c>
      <c r="E1055">
        <v>159</v>
      </c>
      <c r="F1055" t="s">
        <v>5922</v>
      </c>
      <c r="G1055">
        <v>159</v>
      </c>
      <c r="H1055">
        <v>124.43</v>
      </c>
      <c r="I1055">
        <v>129.57</v>
      </c>
      <c r="J1055">
        <v>110.13</v>
      </c>
      <c r="K1055">
        <v>124.52</v>
      </c>
      <c r="L1055" t="s">
        <v>5922</v>
      </c>
      <c r="M1055">
        <v>0</v>
      </c>
      <c r="N1055">
        <v>0</v>
      </c>
      <c r="O1055">
        <v>0</v>
      </c>
      <c r="P1055">
        <v>0</v>
      </c>
      <c r="Q1055">
        <v>124.43</v>
      </c>
      <c r="R1055">
        <v>124.43</v>
      </c>
      <c r="S1055">
        <v>0</v>
      </c>
      <c r="T1055">
        <v>0</v>
      </c>
      <c r="U1055">
        <v>124.43</v>
      </c>
      <c r="V1055">
        <v>113.37</v>
      </c>
      <c r="W1055">
        <v>127.2</v>
      </c>
      <c r="X1055">
        <v>113.37</v>
      </c>
      <c r="Y1055">
        <v>159</v>
      </c>
      <c r="Z1055" t="s">
        <v>5922</v>
      </c>
    </row>
    <row r="1056" spans="1:26" x14ac:dyDescent="0.2">
      <c r="A1056" t="s">
        <v>1160</v>
      </c>
      <c r="B1056" t="s">
        <v>1984</v>
      </c>
      <c r="C1056" t="s">
        <v>1985</v>
      </c>
      <c r="D1056" t="s">
        <v>98</v>
      </c>
      <c r="E1056">
        <v>99</v>
      </c>
      <c r="F1056" t="s">
        <v>5922</v>
      </c>
      <c r="G1056">
        <v>86.09</v>
      </c>
      <c r="H1056">
        <v>77.48</v>
      </c>
      <c r="I1056">
        <v>55.65</v>
      </c>
      <c r="J1056">
        <v>77.48</v>
      </c>
      <c r="K1056">
        <v>116.61</v>
      </c>
      <c r="L1056" t="s">
        <v>5922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77.48</v>
      </c>
      <c r="S1056">
        <v>0</v>
      </c>
      <c r="T1056">
        <v>0</v>
      </c>
      <c r="U1056">
        <v>77.48</v>
      </c>
      <c r="V1056">
        <v>77.48</v>
      </c>
      <c r="W1056">
        <v>82.64</v>
      </c>
      <c r="X1056">
        <v>77.48</v>
      </c>
      <c r="Y1056">
        <v>99</v>
      </c>
      <c r="Z1056" t="s">
        <v>5922</v>
      </c>
    </row>
    <row r="1057" spans="1:26" x14ac:dyDescent="0.2">
      <c r="A1057" t="s">
        <v>1160</v>
      </c>
      <c r="B1057" t="s">
        <v>1986</v>
      </c>
      <c r="C1057" t="s">
        <v>1987</v>
      </c>
      <c r="D1057" t="s">
        <v>98</v>
      </c>
      <c r="E1057">
        <v>119</v>
      </c>
      <c r="F1057" t="s">
        <v>5922</v>
      </c>
      <c r="G1057">
        <v>103.48</v>
      </c>
      <c r="H1057">
        <v>93.13</v>
      </c>
      <c r="I1057">
        <v>103.48</v>
      </c>
      <c r="J1057">
        <v>93.13</v>
      </c>
      <c r="K1057">
        <v>116.61</v>
      </c>
      <c r="L1057" t="s">
        <v>5922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93.13</v>
      </c>
      <c r="S1057">
        <v>0</v>
      </c>
      <c r="T1057">
        <v>0</v>
      </c>
      <c r="U1057">
        <v>98.13</v>
      </c>
      <c r="V1057">
        <v>93.13</v>
      </c>
      <c r="W1057">
        <v>99.34</v>
      </c>
      <c r="X1057">
        <v>93.13</v>
      </c>
      <c r="Y1057">
        <v>119</v>
      </c>
      <c r="Z1057" t="s">
        <v>5922</v>
      </c>
    </row>
    <row r="1058" spans="1:26" x14ac:dyDescent="0.2">
      <c r="A1058" t="s">
        <v>1160</v>
      </c>
      <c r="B1058" t="s">
        <v>1988</v>
      </c>
      <c r="C1058" t="s">
        <v>1989</v>
      </c>
      <c r="D1058" t="s">
        <v>98</v>
      </c>
      <c r="E1058">
        <v>119</v>
      </c>
      <c r="F1058" t="s">
        <v>5922</v>
      </c>
      <c r="G1058">
        <v>103.48</v>
      </c>
      <c r="H1058">
        <v>93.13</v>
      </c>
      <c r="I1058">
        <v>103.48</v>
      </c>
      <c r="J1058">
        <v>93.13</v>
      </c>
      <c r="K1058">
        <v>116.61</v>
      </c>
      <c r="L1058" t="s">
        <v>5922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93.13</v>
      </c>
      <c r="S1058">
        <v>0</v>
      </c>
      <c r="T1058">
        <v>0</v>
      </c>
      <c r="U1058">
        <v>93.13</v>
      </c>
      <c r="V1058">
        <v>93.13</v>
      </c>
      <c r="W1058">
        <v>99.34</v>
      </c>
      <c r="X1058">
        <v>93.13</v>
      </c>
      <c r="Y1058">
        <v>119</v>
      </c>
      <c r="Z1058" t="s">
        <v>5922</v>
      </c>
    </row>
    <row r="1059" spans="1:26" x14ac:dyDescent="0.2">
      <c r="A1059" t="s">
        <v>1160</v>
      </c>
      <c r="B1059" t="s">
        <v>1990</v>
      </c>
      <c r="C1059" t="s">
        <v>1991</v>
      </c>
      <c r="D1059" t="s">
        <v>98</v>
      </c>
      <c r="E1059">
        <v>119</v>
      </c>
      <c r="F1059" t="s">
        <v>5922</v>
      </c>
      <c r="G1059">
        <v>103.48</v>
      </c>
      <c r="H1059">
        <v>93.13</v>
      </c>
      <c r="I1059">
        <v>103.48</v>
      </c>
      <c r="J1059">
        <v>93.13</v>
      </c>
      <c r="K1059">
        <v>116.61</v>
      </c>
      <c r="L1059" t="s">
        <v>5922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93.13</v>
      </c>
      <c r="S1059">
        <v>0</v>
      </c>
      <c r="T1059">
        <v>0</v>
      </c>
      <c r="U1059">
        <v>93.13</v>
      </c>
      <c r="V1059">
        <v>93.13</v>
      </c>
      <c r="W1059">
        <v>99.34</v>
      </c>
      <c r="X1059">
        <v>93.13</v>
      </c>
      <c r="Y1059">
        <v>119</v>
      </c>
      <c r="Z1059" t="s">
        <v>5922</v>
      </c>
    </row>
    <row r="1060" spans="1:26" x14ac:dyDescent="0.2">
      <c r="A1060" t="s">
        <v>1160</v>
      </c>
      <c r="B1060" t="s">
        <v>1992</v>
      </c>
      <c r="C1060" t="s">
        <v>1993</v>
      </c>
      <c r="D1060" t="s">
        <v>98</v>
      </c>
      <c r="E1060">
        <v>119</v>
      </c>
      <c r="F1060" t="s">
        <v>5922</v>
      </c>
      <c r="G1060">
        <v>103.48</v>
      </c>
      <c r="H1060">
        <v>93.13</v>
      </c>
      <c r="I1060">
        <v>103.48</v>
      </c>
      <c r="J1060">
        <v>93.13</v>
      </c>
      <c r="K1060">
        <v>116.61</v>
      </c>
      <c r="L1060" t="s">
        <v>5922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93.13</v>
      </c>
      <c r="S1060">
        <v>0</v>
      </c>
      <c r="T1060">
        <v>0</v>
      </c>
      <c r="U1060">
        <v>93.13</v>
      </c>
      <c r="V1060">
        <v>93.13</v>
      </c>
      <c r="W1060">
        <v>99.34</v>
      </c>
      <c r="X1060">
        <v>93.13</v>
      </c>
      <c r="Y1060">
        <v>119</v>
      </c>
      <c r="Z1060" t="s">
        <v>5922</v>
      </c>
    </row>
    <row r="1061" spans="1:26" x14ac:dyDescent="0.2">
      <c r="A1061" t="s">
        <v>1160</v>
      </c>
      <c r="B1061" t="s">
        <v>1994</v>
      </c>
      <c r="C1061" t="s">
        <v>1995</v>
      </c>
      <c r="D1061" t="s">
        <v>98</v>
      </c>
      <c r="E1061">
        <v>119</v>
      </c>
      <c r="F1061" t="s">
        <v>5922</v>
      </c>
      <c r="G1061">
        <v>103.48</v>
      </c>
      <c r="H1061">
        <v>93.13</v>
      </c>
      <c r="I1061">
        <v>103.48</v>
      </c>
      <c r="J1061">
        <v>93.13</v>
      </c>
      <c r="K1061">
        <v>116.61</v>
      </c>
      <c r="L1061" t="s">
        <v>5922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93.13</v>
      </c>
      <c r="S1061">
        <v>0</v>
      </c>
      <c r="T1061">
        <v>0</v>
      </c>
      <c r="U1061">
        <v>98.13</v>
      </c>
      <c r="V1061">
        <v>93.13</v>
      </c>
      <c r="W1061">
        <v>99.34</v>
      </c>
      <c r="X1061">
        <v>93.13</v>
      </c>
      <c r="Y1061">
        <v>119</v>
      </c>
      <c r="Z1061" t="s">
        <v>5922</v>
      </c>
    </row>
    <row r="1062" spans="1:26" x14ac:dyDescent="0.2">
      <c r="A1062" t="s">
        <v>1160</v>
      </c>
      <c r="B1062" t="s">
        <v>1996</v>
      </c>
      <c r="C1062" t="s">
        <v>1997</v>
      </c>
      <c r="D1062" t="s">
        <v>98</v>
      </c>
      <c r="E1062">
        <v>119</v>
      </c>
      <c r="F1062" t="s">
        <v>5922</v>
      </c>
      <c r="G1062">
        <v>103.48</v>
      </c>
      <c r="H1062">
        <v>93.13</v>
      </c>
      <c r="I1062">
        <v>103.48</v>
      </c>
      <c r="J1062">
        <v>93.13</v>
      </c>
      <c r="K1062">
        <v>116.61</v>
      </c>
      <c r="L1062" t="s">
        <v>5922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93.13</v>
      </c>
      <c r="S1062">
        <v>0</v>
      </c>
      <c r="T1062">
        <v>0</v>
      </c>
      <c r="U1062">
        <v>98.13</v>
      </c>
      <c r="V1062">
        <v>93.13</v>
      </c>
      <c r="W1062">
        <v>99.34</v>
      </c>
      <c r="X1062">
        <v>93.13</v>
      </c>
      <c r="Y1062">
        <v>119</v>
      </c>
      <c r="Z1062" t="s">
        <v>5922</v>
      </c>
    </row>
    <row r="1063" spans="1:26" x14ac:dyDescent="0.2">
      <c r="A1063" t="s">
        <v>1160</v>
      </c>
      <c r="B1063" t="s">
        <v>1998</v>
      </c>
      <c r="C1063" t="s">
        <v>1999</v>
      </c>
      <c r="D1063" t="s">
        <v>98</v>
      </c>
      <c r="E1063">
        <v>119</v>
      </c>
      <c r="F1063" t="s">
        <v>5922</v>
      </c>
      <c r="G1063">
        <v>103.48</v>
      </c>
      <c r="H1063">
        <v>93.13</v>
      </c>
      <c r="I1063">
        <v>103.48</v>
      </c>
      <c r="J1063">
        <v>93.13</v>
      </c>
      <c r="K1063">
        <v>116.61</v>
      </c>
      <c r="L1063" t="s">
        <v>5922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93.13</v>
      </c>
      <c r="S1063">
        <v>0</v>
      </c>
      <c r="T1063">
        <v>0</v>
      </c>
      <c r="U1063">
        <v>98.13</v>
      </c>
      <c r="V1063">
        <v>93.13</v>
      </c>
      <c r="W1063">
        <v>99.34</v>
      </c>
      <c r="X1063">
        <v>93.13</v>
      </c>
      <c r="Y1063">
        <v>119</v>
      </c>
      <c r="Z1063" t="s">
        <v>5922</v>
      </c>
    </row>
    <row r="1064" spans="1:26" x14ac:dyDescent="0.2">
      <c r="A1064" t="s">
        <v>1160</v>
      </c>
      <c r="B1064" t="s">
        <v>2000</v>
      </c>
      <c r="C1064" t="s">
        <v>2001</v>
      </c>
      <c r="D1064" t="s">
        <v>98</v>
      </c>
      <c r="E1064">
        <v>149</v>
      </c>
      <c r="F1064" t="s">
        <v>5922</v>
      </c>
      <c r="G1064">
        <v>129.57</v>
      </c>
      <c r="H1064">
        <v>116.61</v>
      </c>
      <c r="I1064">
        <v>0</v>
      </c>
      <c r="J1064">
        <v>116.61</v>
      </c>
      <c r="K1064">
        <v>116.61</v>
      </c>
      <c r="L1064" t="s">
        <v>5922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116.61</v>
      </c>
      <c r="S1064">
        <v>0</v>
      </c>
      <c r="T1064">
        <v>0</v>
      </c>
      <c r="U1064">
        <v>116.61</v>
      </c>
      <c r="V1064">
        <v>0</v>
      </c>
      <c r="W1064">
        <v>124.38</v>
      </c>
      <c r="X1064">
        <v>116.61</v>
      </c>
      <c r="Y1064">
        <v>149</v>
      </c>
      <c r="Z1064" t="s">
        <v>5922</v>
      </c>
    </row>
    <row r="1065" spans="1:26" x14ac:dyDescent="0.2">
      <c r="A1065" t="s">
        <v>1160</v>
      </c>
      <c r="B1065" t="s">
        <v>2002</v>
      </c>
      <c r="C1065" t="s">
        <v>2003</v>
      </c>
      <c r="D1065" t="s">
        <v>98</v>
      </c>
      <c r="E1065">
        <v>119</v>
      </c>
      <c r="F1065" t="s">
        <v>5922</v>
      </c>
      <c r="G1065">
        <v>103.48</v>
      </c>
      <c r="H1065">
        <v>93.13</v>
      </c>
      <c r="I1065">
        <v>103.48</v>
      </c>
      <c r="J1065">
        <v>93.13</v>
      </c>
      <c r="K1065">
        <v>116.61</v>
      </c>
      <c r="L1065" t="s">
        <v>5922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93.13</v>
      </c>
      <c r="S1065">
        <v>0</v>
      </c>
      <c r="T1065">
        <v>0</v>
      </c>
      <c r="U1065">
        <v>98.13</v>
      </c>
      <c r="V1065">
        <v>93.13</v>
      </c>
      <c r="W1065">
        <v>99.34</v>
      </c>
      <c r="X1065">
        <v>93.13</v>
      </c>
      <c r="Y1065">
        <v>119</v>
      </c>
      <c r="Z1065" t="s">
        <v>5922</v>
      </c>
    </row>
    <row r="1066" spans="1:26" x14ac:dyDescent="0.2">
      <c r="A1066" t="s">
        <v>1160</v>
      </c>
      <c r="B1066" t="s">
        <v>2004</v>
      </c>
      <c r="C1066" t="s">
        <v>2005</v>
      </c>
      <c r="D1066" t="s">
        <v>98</v>
      </c>
      <c r="E1066">
        <v>119</v>
      </c>
      <c r="F1066" t="s">
        <v>5922</v>
      </c>
      <c r="G1066">
        <v>103.48</v>
      </c>
      <c r="H1066">
        <v>93.13</v>
      </c>
      <c r="I1066">
        <v>103.48</v>
      </c>
      <c r="J1066">
        <v>93.13</v>
      </c>
      <c r="K1066">
        <v>116.61</v>
      </c>
      <c r="L1066" t="s">
        <v>5922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93.13</v>
      </c>
      <c r="S1066">
        <v>0</v>
      </c>
      <c r="T1066">
        <v>0</v>
      </c>
      <c r="U1066">
        <v>98.13</v>
      </c>
      <c r="V1066">
        <v>93.13</v>
      </c>
      <c r="W1066">
        <v>99.34</v>
      </c>
      <c r="X1066">
        <v>93.13</v>
      </c>
      <c r="Y1066">
        <v>119</v>
      </c>
      <c r="Z1066" t="s">
        <v>5922</v>
      </c>
    </row>
    <row r="1067" spans="1:26" x14ac:dyDescent="0.2">
      <c r="A1067" t="s">
        <v>1160</v>
      </c>
      <c r="B1067" t="s">
        <v>2006</v>
      </c>
      <c r="C1067" t="s">
        <v>2007</v>
      </c>
      <c r="D1067" t="s">
        <v>98</v>
      </c>
      <c r="E1067">
        <v>149</v>
      </c>
      <c r="F1067" t="s">
        <v>5922</v>
      </c>
      <c r="G1067">
        <v>129.57</v>
      </c>
      <c r="H1067">
        <v>116.61</v>
      </c>
      <c r="I1067">
        <v>0</v>
      </c>
      <c r="J1067">
        <v>116.61</v>
      </c>
      <c r="K1067">
        <v>116.61</v>
      </c>
      <c r="L1067" t="s">
        <v>5922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116.61</v>
      </c>
      <c r="S1067">
        <v>0</v>
      </c>
      <c r="T1067">
        <v>0</v>
      </c>
      <c r="U1067">
        <v>116.61</v>
      </c>
      <c r="V1067">
        <v>0</v>
      </c>
      <c r="W1067">
        <v>124.38</v>
      </c>
      <c r="X1067">
        <v>116.61</v>
      </c>
      <c r="Y1067">
        <v>149</v>
      </c>
      <c r="Z1067" t="s">
        <v>5922</v>
      </c>
    </row>
    <row r="1068" spans="1:26" x14ac:dyDescent="0.2">
      <c r="A1068" t="s">
        <v>1160</v>
      </c>
      <c r="B1068" t="s">
        <v>2008</v>
      </c>
      <c r="C1068" t="s">
        <v>2009</v>
      </c>
      <c r="D1068" t="s">
        <v>98</v>
      </c>
      <c r="E1068">
        <v>149</v>
      </c>
      <c r="F1068" t="s">
        <v>5922</v>
      </c>
      <c r="G1068">
        <v>129.57</v>
      </c>
      <c r="H1068">
        <v>116.61</v>
      </c>
      <c r="I1068">
        <v>0</v>
      </c>
      <c r="J1068">
        <v>116.61</v>
      </c>
      <c r="K1068">
        <v>116.61</v>
      </c>
      <c r="L1068" t="s">
        <v>5922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116.61</v>
      </c>
      <c r="S1068">
        <v>0</v>
      </c>
      <c r="T1068">
        <v>0</v>
      </c>
      <c r="U1068">
        <v>116.61</v>
      </c>
      <c r="V1068">
        <v>0</v>
      </c>
      <c r="W1068">
        <v>124.38</v>
      </c>
      <c r="X1068">
        <v>116.61</v>
      </c>
      <c r="Y1068">
        <v>149</v>
      </c>
      <c r="Z1068" t="s">
        <v>5922</v>
      </c>
    </row>
    <row r="1069" spans="1:26" x14ac:dyDescent="0.2">
      <c r="A1069" t="s">
        <v>1160</v>
      </c>
      <c r="B1069" t="s">
        <v>2010</v>
      </c>
      <c r="C1069" t="s">
        <v>2011</v>
      </c>
      <c r="D1069" t="s">
        <v>105</v>
      </c>
      <c r="E1069">
        <v>179</v>
      </c>
      <c r="F1069" t="s">
        <v>7072</v>
      </c>
      <c r="H1069">
        <v>140.09</v>
      </c>
      <c r="L1069" t="s">
        <v>5922</v>
      </c>
      <c r="Q1069">
        <v>140.09</v>
      </c>
      <c r="R1069">
        <v>140.09</v>
      </c>
      <c r="U1069">
        <v>140.09</v>
      </c>
      <c r="V1069">
        <v>140.09</v>
      </c>
      <c r="X1069">
        <v>140.09</v>
      </c>
      <c r="Y1069">
        <v>179</v>
      </c>
      <c r="Z1069" t="s">
        <v>5922</v>
      </c>
    </row>
    <row r="1070" spans="1:26" x14ac:dyDescent="0.2">
      <c r="A1070" t="s">
        <v>1160</v>
      </c>
      <c r="B1070" t="s">
        <v>2012</v>
      </c>
      <c r="C1070" t="s">
        <v>2013</v>
      </c>
      <c r="D1070" t="s">
        <v>105</v>
      </c>
      <c r="E1070">
        <v>179</v>
      </c>
      <c r="F1070" t="s">
        <v>7072</v>
      </c>
      <c r="H1070">
        <v>140.09</v>
      </c>
      <c r="I1070">
        <v>120.87</v>
      </c>
      <c r="J1070">
        <v>108.78</v>
      </c>
      <c r="L1070" t="s">
        <v>5922</v>
      </c>
      <c r="Q1070">
        <v>140.09</v>
      </c>
      <c r="R1070">
        <v>140.09</v>
      </c>
      <c r="U1070">
        <v>140.09</v>
      </c>
      <c r="V1070">
        <v>140.09</v>
      </c>
      <c r="X1070">
        <v>140.09</v>
      </c>
      <c r="Y1070">
        <v>179</v>
      </c>
      <c r="Z1070" t="s">
        <v>5922</v>
      </c>
    </row>
    <row r="1071" spans="1:26" x14ac:dyDescent="0.2">
      <c r="A1071" t="s">
        <v>1160</v>
      </c>
      <c r="B1071" t="s">
        <v>2014</v>
      </c>
      <c r="C1071" t="s">
        <v>2015</v>
      </c>
      <c r="D1071" t="s">
        <v>105</v>
      </c>
      <c r="E1071">
        <v>179</v>
      </c>
      <c r="F1071" t="s">
        <v>7072</v>
      </c>
      <c r="H1071">
        <v>140.09</v>
      </c>
      <c r="I1071">
        <v>120.87</v>
      </c>
      <c r="J1071">
        <v>108.78</v>
      </c>
      <c r="L1071" t="s">
        <v>5922</v>
      </c>
      <c r="Q1071">
        <v>140.09</v>
      </c>
      <c r="R1071">
        <v>140.09</v>
      </c>
      <c r="U1071">
        <v>140.09</v>
      </c>
      <c r="V1071">
        <v>140.09</v>
      </c>
      <c r="X1071">
        <v>140.09</v>
      </c>
      <c r="Y1071">
        <v>179</v>
      </c>
      <c r="Z1071" t="s">
        <v>5922</v>
      </c>
    </row>
    <row r="1072" spans="1:26" x14ac:dyDescent="0.2">
      <c r="A1072" t="s">
        <v>1160</v>
      </c>
      <c r="B1072" t="s">
        <v>2016</v>
      </c>
      <c r="C1072" t="s">
        <v>2017</v>
      </c>
      <c r="D1072" t="s">
        <v>98</v>
      </c>
      <c r="E1072">
        <v>179</v>
      </c>
      <c r="F1072" t="s">
        <v>5922</v>
      </c>
      <c r="G1072">
        <v>179</v>
      </c>
      <c r="H1072">
        <v>140.09</v>
      </c>
      <c r="I1072">
        <v>120.87</v>
      </c>
      <c r="J1072">
        <v>108.78</v>
      </c>
      <c r="L1072" t="s">
        <v>5922</v>
      </c>
      <c r="M1072">
        <v>0</v>
      </c>
      <c r="N1072">
        <v>0</v>
      </c>
      <c r="O1072">
        <v>0</v>
      </c>
      <c r="P1072">
        <v>0</v>
      </c>
      <c r="Q1072">
        <v>140.09</v>
      </c>
      <c r="R1072">
        <v>140.09</v>
      </c>
      <c r="S1072">
        <v>0</v>
      </c>
      <c r="T1072">
        <v>0</v>
      </c>
      <c r="U1072">
        <v>140.09</v>
      </c>
      <c r="V1072">
        <v>140.09</v>
      </c>
      <c r="W1072">
        <v>149.43</v>
      </c>
      <c r="X1072">
        <v>140.09</v>
      </c>
      <c r="Y1072">
        <v>179</v>
      </c>
      <c r="Z1072" t="s">
        <v>5922</v>
      </c>
    </row>
    <row r="1073" spans="1:26" x14ac:dyDescent="0.2">
      <c r="A1073" t="s">
        <v>1160</v>
      </c>
      <c r="B1073" t="s">
        <v>2018</v>
      </c>
      <c r="C1073" t="s">
        <v>2019</v>
      </c>
      <c r="D1073" t="s">
        <v>98</v>
      </c>
      <c r="E1073">
        <v>179</v>
      </c>
      <c r="F1073" t="s">
        <v>5922</v>
      </c>
      <c r="G1073">
        <v>179</v>
      </c>
      <c r="H1073">
        <v>140.09</v>
      </c>
      <c r="I1073">
        <v>120.87</v>
      </c>
      <c r="J1073">
        <v>108.78</v>
      </c>
      <c r="L1073" t="s">
        <v>5922</v>
      </c>
      <c r="M1073">
        <v>0</v>
      </c>
      <c r="N1073">
        <v>0</v>
      </c>
      <c r="O1073">
        <v>0</v>
      </c>
      <c r="P1073">
        <v>0</v>
      </c>
      <c r="Q1073">
        <v>140.09</v>
      </c>
      <c r="R1073">
        <v>140.09</v>
      </c>
      <c r="S1073">
        <v>0</v>
      </c>
      <c r="T1073">
        <v>0</v>
      </c>
      <c r="U1073">
        <v>140.09</v>
      </c>
      <c r="V1073">
        <v>140.09</v>
      </c>
      <c r="W1073">
        <v>149.43</v>
      </c>
      <c r="X1073">
        <v>140.09</v>
      </c>
      <c r="Y1073">
        <v>179</v>
      </c>
      <c r="Z1073" t="s">
        <v>5922</v>
      </c>
    </row>
    <row r="1074" spans="1:26" x14ac:dyDescent="0.2">
      <c r="A1074" t="s">
        <v>1160</v>
      </c>
      <c r="B1074" t="s">
        <v>2020</v>
      </c>
      <c r="C1074" t="s">
        <v>2021</v>
      </c>
      <c r="D1074" t="s">
        <v>105</v>
      </c>
      <c r="E1074">
        <v>179</v>
      </c>
      <c r="F1074" t="s">
        <v>7072</v>
      </c>
      <c r="H1074">
        <v>140.09</v>
      </c>
      <c r="I1074">
        <v>120.87</v>
      </c>
      <c r="J1074">
        <v>108.78</v>
      </c>
      <c r="L1074" t="s">
        <v>5922</v>
      </c>
      <c r="Q1074">
        <v>140.09</v>
      </c>
      <c r="R1074">
        <v>140.09</v>
      </c>
      <c r="U1074">
        <v>140.09</v>
      </c>
      <c r="V1074">
        <v>140.09</v>
      </c>
      <c r="X1074">
        <v>140.09</v>
      </c>
      <c r="Y1074">
        <v>179</v>
      </c>
      <c r="Z1074" t="s">
        <v>5922</v>
      </c>
    </row>
    <row r="1075" spans="1:26" x14ac:dyDescent="0.2">
      <c r="A1075" t="s">
        <v>1160</v>
      </c>
      <c r="B1075" t="s">
        <v>2022</v>
      </c>
      <c r="C1075" t="s">
        <v>2023</v>
      </c>
      <c r="D1075" t="s">
        <v>98</v>
      </c>
      <c r="E1075">
        <v>179</v>
      </c>
      <c r="F1075" t="s">
        <v>5922</v>
      </c>
      <c r="G1075">
        <v>179</v>
      </c>
      <c r="H1075">
        <v>140.09</v>
      </c>
      <c r="I1075">
        <v>120.87</v>
      </c>
      <c r="J1075">
        <v>108.78</v>
      </c>
      <c r="L1075" t="s">
        <v>5922</v>
      </c>
      <c r="M1075">
        <v>0</v>
      </c>
      <c r="N1075">
        <v>0</v>
      </c>
      <c r="O1075">
        <v>0</v>
      </c>
      <c r="P1075">
        <v>0</v>
      </c>
      <c r="Q1075">
        <v>140.09</v>
      </c>
      <c r="R1075">
        <v>140.09</v>
      </c>
      <c r="S1075">
        <v>0</v>
      </c>
      <c r="T1075">
        <v>0</v>
      </c>
      <c r="U1075">
        <v>140.09</v>
      </c>
      <c r="V1075">
        <v>140.09</v>
      </c>
      <c r="W1075">
        <v>149.43</v>
      </c>
      <c r="X1075">
        <v>140.09</v>
      </c>
      <c r="Y1075">
        <v>179</v>
      </c>
      <c r="Z1075" t="s">
        <v>5922</v>
      </c>
    </row>
    <row r="1076" spans="1:26" x14ac:dyDescent="0.2">
      <c r="A1076" t="s">
        <v>1160</v>
      </c>
      <c r="B1076" t="s">
        <v>2024</v>
      </c>
      <c r="C1076" t="s">
        <v>2025</v>
      </c>
      <c r="D1076" t="s">
        <v>98</v>
      </c>
      <c r="E1076">
        <v>179</v>
      </c>
      <c r="F1076" t="s">
        <v>5922</v>
      </c>
      <c r="G1076">
        <v>179</v>
      </c>
      <c r="H1076">
        <v>140.09</v>
      </c>
      <c r="I1076">
        <v>120.87</v>
      </c>
      <c r="J1076">
        <v>108.78</v>
      </c>
      <c r="L1076" t="s">
        <v>5922</v>
      </c>
      <c r="M1076">
        <v>0</v>
      </c>
      <c r="N1076">
        <v>0</v>
      </c>
      <c r="O1076">
        <v>0</v>
      </c>
      <c r="P1076">
        <v>0</v>
      </c>
      <c r="Q1076">
        <v>140.09</v>
      </c>
      <c r="R1076">
        <v>140.09</v>
      </c>
      <c r="S1076">
        <v>0</v>
      </c>
      <c r="T1076">
        <v>0</v>
      </c>
      <c r="U1076">
        <v>140.09</v>
      </c>
      <c r="V1076">
        <v>140.09</v>
      </c>
      <c r="W1076">
        <v>149.43</v>
      </c>
      <c r="X1076">
        <v>140.09</v>
      </c>
      <c r="Y1076">
        <v>179</v>
      </c>
      <c r="Z1076" t="s">
        <v>5922</v>
      </c>
    </row>
    <row r="1077" spans="1:26" x14ac:dyDescent="0.2">
      <c r="A1077" t="s">
        <v>1160</v>
      </c>
      <c r="B1077" t="s">
        <v>2026</v>
      </c>
      <c r="C1077" t="s">
        <v>2027</v>
      </c>
      <c r="D1077" t="s">
        <v>105</v>
      </c>
      <c r="E1077">
        <v>179</v>
      </c>
      <c r="F1077" t="s">
        <v>7072</v>
      </c>
      <c r="H1077">
        <v>140.09</v>
      </c>
      <c r="L1077" t="s">
        <v>5922</v>
      </c>
      <c r="Q1077">
        <v>140.09</v>
      </c>
      <c r="R1077">
        <v>140.09</v>
      </c>
      <c r="U1077">
        <v>140.09</v>
      </c>
      <c r="V1077">
        <v>132.30000000000001</v>
      </c>
      <c r="X1077">
        <v>140.09</v>
      </c>
      <c r="Y1077">
        <v>179</v>
      </c>
      <c r="Z1077" t="s">
        <v>5922</v>
      </c>
    </row>
    <row r="1078" spans="1:26" x14ac:dyDescent="0.2">
      <c r="A1078" t="s">
        <v>1160</v>
      </c>
      <c r="B1078" t="s">
        <v>2028</v>
      </c>
      <c r="C1078" t="s">
        <v>2029</v>
      </c>
      <c r="D1078" t="s">
        <v>98</v>
      </c>
      <c r="E1078">
        <v>179</v>
      </c>
      <c r="F1078" t="s">
        <v>5922</v>
      </c>
      <c r="G1078">
        <v>179</v>
      </c>
      <c r="H1078">
        <v>140.09</v>
      </c>
      <c r="L1078" t="s">
        <v>5922</v>
      </c>
      <c r="Q1078">
        <v>140.09</v>
      </c>
      <c r="R1078">
        <v>140.09</v>
      </c>
      <c r="U1078">
        <v>140.09</v>
      </c>
      <c r="V1078">
        <v>140.09</v>
      </c>
      <c r="W1078">
        <v>149.43</v>
      </c>
      <c r="X1078">
        <v>140.09</v>
      </c>
      <c r="Y1078">
        <v>179</v>
      </c>
      <c r="Z1078" t="s">
        <v>5922</v>
      </c>
    </row>
    <row r="1079" spans="1:26" x14ac:dyDescent="0.2">
      <c r="A1079" t="s">
        <v>1160</v>
      </c>
      <c r="B1079" t="s">
        <v>2030</v>
      </c>
      <c r="C1079" t="s">
        <v>2031</v>
      </c>
      <c r="D1079" t="s">
        <v>98</v>
      </c>
      <c r="E1079">
        <v>179</v>
      </c>
      <c r="F1079" t="s">
        <v>5922</v>
      </c>
      <c r="G1079">
        <v>179</v>
      </c>
      <c r="H1079">
        <v>140.09</v>
      </c>
      <c r="L1079" t="s">
        <v>5922</v>
      </c>
      <c r="Q1079">
        <v>140.09</v>
      </c>
      <c r="R1079">
        <v>140.09</v>
      </c>
      <c r="U1079">
        <v>140.09</v>
      </c>
      <c r="V1079">
        <v>140.09</v>
      </c>
      <c r="W1079">
        <v>149.43</v>
      </c>
      <c r="X1079">
        <v>140.09</v>
      </c>
      <c r="Y1079">
        <v>179</v>
      </c>
      <c r="Z1079" t="s">
        <v>5922</v>
      </c>
    </row>
    <row r="1080" spans="1:26" x14ac:dyDescent="0.2">
      <c r="A1080" t="s">
        <v>1160</v>
      </c>
      <c r="B1080" t="s">
        <v>2032</v>
      </c>
      <c r="C1080" t="s">
        <v>2033</v>
      </c>
      <c r="D1080" t="s">
        <v>98</v>
      </c>
      <c r="E1080">
        <v>149</v>
      </c>
      <c r="F1080" t="s">
        <v>5922</v>
      </c>
      <c r="G1080">
        <v>129.57</v>
      </c>
      <c r="H1080">
        <v>116.61</v>
      </c>
      <c r="I1080">
        <v>0</v>
      </c>
      <c r="J1080">
        <v>116.61</v>
      </c>
      <c r="K1080">
        <v>116.61</v>
      </c>
      <c r="L1080" t="s">
        <v>5922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116.61</v>
      </c>
      <c r="S1080">
        <v>0</v>
      </c>
      <c r="T1080">
        <v>0</v>
      </c>
      <c r="U1080">
        <v>116.61</v>
      </c>
      <c r="V1080">
        <v>0</v>
      </c>
      <c r="W1080">
        <v>124.38</v>
      </c>
      <c r="X1080">
        <v>116.61</v>
      </c>
      <c r="Y1080">
        <v>149</v>
      </c>
      <c r="Z1080" t="s">
        <v>5922</v>
      </c>
    </row>
    <row r="1081" spans="1:26" x14ac:dyDescent="0.2">
      <c r="A1081" t="s">
        <v>1160</v>
      </c>
      <c r="B1081" t="s">
        <v>2034</v>
      </c>
      <c r="C1081" t="s">
        <v>2035</v>
      </c>
      <c r="D1081" t="s">
        <v>98</v>
      </c>
      <c r="E1081">
        <v>149</v>
      </c>
      <c r="F1081" t="s">
        <v>5922</v>
      </c>
      <c r="G1081">
        <v>129.57</v>
      </c>
      <c r="H1081">
        <v>116.61</v>
      </c>
      <c r="I1081">
        <v>0</v>
      </c>
      <c r="J1081">
        <v>116.61</v>
      </c>
      <c r="K1081">
        <v>116.61</v>
      </c>
      <c r="L1081" t="s">
        <v>5922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116.61</v>
      </c>
      <c r="S1081">
        <v>0</v>
      </c>
      <c r="T1081">
        <v>0</v>
      </c>
      <c r="U1081">
        <v>116.61</v>
      </c>
      <c r="V1081">
        <v>0</v>
      </c>
      <c r="W1081">
        <v>124.38</v>
      </c>
      <c r="X1081">
        <v>116.61</v>
      </c>
      <c r="Y1081">
        <v>149</v>
      </c>
      <c r="Z1081" t="s">
        <v>5922</v>
      </c>
    </row>
    <row r="1082" spans="1:26" x14ac:dyDescent="0.2">
      <c r="A1082" t="s">
        <v>1160</v>
      </c>
      <c r="B1082" t="s">
        <v>2036</v>
      </c>
      <c r="C1082" t="s">
        <v>2037</v>
      </c>
      <c r="D1082" t="s">
        <v>98</v>
      </c>
      <c r="E1082">
        <v>369</v>
      </c>
      <c r="F1082" t="s">
        <v>5922</v>
      </c>
      <c r="G1082">
        <v>320.87</v>
      </c>
      <c r="H1082">
        <v>272.74</v>
      </c>
      <c r="I1082">
        <v>0</v>
      </c>
      <c r="J1082">
        <v>272.74</v>
      </c>
      <c r="K1082">
        <v>256.7</v>
      </c>
      <c r="L1082" t="s">
        <v>5922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256.7</v>
      </c>
      <c r="S1082">
        <v>0</v>
      </c>
      <c r="T1082">
        <v>0</v>
      </c>
      <c r="U1082">
        <v>263.11</v>
      </c>
      <c r="V1082">
        <v>0</v>
      </c>
      <c r="W1082">
        <v>291.99</v>
      </c>
      <c r="X1082">
        <v>263.11</v>
      </c>
      <c r="Y1082">
        <v>369</v>
      </c>
      <c r="Z1082" t="s">
        <v>5922</v>
      </c>
    </row>
    <row r="1083" spans="1:26" x14ac:dyDescent="0.2">
      <c r="A1083" t="s">
        <v>1160</v>
      </c>
      <c r="B1083" t="s">
        <v>2038</v>
      </c>
      <c r="C1083" t="s">
        <v>2039</v>
      </c>
      <c r="D1083" t="s">
        <v>98</v>
      </c>
      <c r="E1083">
        <v>369</v>
      </c>
      <c r="F1083" t="s">
        <v>5922</v>
      </c>
      <c r="G1083">
        <v>320.87</v>
      </c>
      <c r="H1083">
        <v>272.74</v>
      </c>
      <c r="I1083">
        <v>0</v>
      </c>
      <c r="J1083">
        <v>272.74</v>
      </c>
      <c r="K1083">
        <v>256.7</v>
      </c>
      <c r="L1083" t="s">
        <v>5922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256.7</v>
      </c>
      <c r="S1083">
        <v>0</v>
      </c>
      <c r="T1083">
        <v>0</v>
      </c>
      <c r="U1083">
        <v>263.11</v>
      </c>
      <c r="V1083">
        <v>0</v>
      </c>
      <c r="W1083">
        <v>291.99</v>
      </c>
      <c r="X1083">
        <v>263.11</v>
      </c>
      <c r="Y1083">
        <v>369</v>
      </c>
      <c r="Z1083" t="s">
        <v>5922</v>
      </c>
    </row>
    <row r="1084" spans="1:26" x14ac:dyDescent="0.2">
      <c r="A1084" t="s">
        <v>1160</v>
      </c>
      <c r="B1084" t="s">
        <v>2040</v>
      </c>
      <c r="C1084" t="s">
        <v>2041</v>
      </c>
      <c r="D1084" t="s">
        <v>98</v>
      </c>
      <c r="E1084">
        <v>849</v>
      </c>
      <c r="F1084" t="s">
        <v>5922</v>
      </c>
      <c r="G1084">
        <v>799.2</v>
      </c>
      <c r="H1084">
        <v>627.52</v>
      </c>
      <c r="I1084">
        <v>738.26</v>
      </c>
      <c r="J1084">
        <v>627.52</v>
      </c>
      <c r="K1084">
        <v>590.61</v>
      </c>
      <c r="L1084" t="s">
        <v>5922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605.37</v>
      </c>
      <c r="S1084">
        <v>0</v>
      </c>
      <c r="T1084">
        <v>0</v>
      </c>
      <c r="U1084">
        <v>738.39</v>
      </c>
      <c r="V1084">
        <v>738.39</v>
      </c>
      <c r="W1084">
        <v>799.2</v>
      </c>
      <c r="X1084">
        <v>738.39</v>
      </c>
      <c r="Y1084">
        <v>999</v>
      </c>
      <c r="Z1084" t="s">
        <v>5922</v>
      </c>
    </row>
    <row r="1085" spans="1:26" x14ac:dyDescent="0.2">
      <c r="A1085" t="s">
        <v>1160</v>
      </c>
      <c r="B1085" t="s">
        <v>2042</v>
      </c>
      <c r="C1085" t="s">
        <v>2043</v>
      </c>
      <c r="D1085" t="s">
        <v>98</v>
      </c>
      <c r="E1085">
        <v>899</v>
      </c>
      <c r="F1085" t="s">
        <v>5922</v>
      </c>
      <c r="G1085">
        <v>781.74</v>
      </c>
      <c r="H1085">
        <v>664.48</v>
      </c>
      <c r="I1085">
        <v>781.74</v>
      </c>
      <c r="J1085">
        <v>664.48</v>
      </c>
      <c r="K1085">
        <v>625.39</v>
      </c>
      <c r="L1085" t="s">
        <v>5922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641.03</v>
      </c>
      <c r="S1085">
        <v>0</v>
      </c>
      <c r="T1085">
        <v>0</v>
      </c>
      <c r="U1085">
        <v>646.03</v>
      </c>
      <c r="V1085">
        <v>641.03</v>
      </c>
      <c r="W1085">
        <v>711.38</v>
      </c>
      <c r="X1085">
        <v>641.03</v>
      </c>
      <c r="Y1085">
        <v>899</v>
      </c>
      <c r="Z1085" t="s">
        <v>5922</v>
      </c>
    </row>
    <row r="1086" spans="1:26" x14ac:dyDescent="0.2">
      <c r="A1086" t="s">
        <v>1160</v>
      </c>
      <c r="B1086" t="s">
        <v>2044</v>
      </c>
      <c r="C1086" t="s">
        <v>2045</v>
      </c>
      <c r="D1086" t="s">
        <v>98</v>
      </c>
      <c r="E1086">
        <v>849</v>
      </c>
      <c r="F1086" t="s">
        <v>5922</v>
      </c>
      <c r="G1086">
        <v>738.26</v>
      </c>
      <c r="H1086">
        <v>627.52</v>
      </c>
      <c r="I1086">
        <v>738.26</v>
      </c>
      <c r="J1086">
        <v>627.52</v>
      </c>
      <c r="K1086">
        <v>590.61</v>
      </c>
      <c r="L1086" t="s">
        <v>5922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605.37</v>
      </c>
      <c r="S1086">
        <v>0</v>
      </c>
      <c r="T1086">
        <v>0</v>
      </c>
      <c r="U1086">
        <v>605.37</v>
      </c>
      <c r="V1086">
        <v>605.37</v>
      </c>
      <c r="W1086">
        <v>671.82</v>
      </c>
      <c r="X1086">
        <v>605.37</v>
      </c>
      <c r="Y1086">
        <v>849</v>
      </c>
      <c r="Z1086" t="s">
        <v>5922</v>
      </c>
    </row>
    <row r="1087" spans="1:26" x14ac:dyDescent="0.2">
      <c r="A1087" t="s">
        <v>1160</v>
      </c>
      <c r="B1087" t="s">
        <v>2046</v>
      </c>
      <c r="C1087" t="s">
        <v>2047</v>
      </c>
      <c r="D1087" t="s">
        <v>98</v>
      </c>
      <c r="E1087">
        <v>899</v>
      </c>
      <c r="F1087" t="s">
        <v>5922</v>
      </c>
      <c r="G1087">
        <v>781.74</v>
      </c>
      <c r="H1087">
        <v>664.48</v>
      </c>
      <c r="I1087">
        <v>781.74</v>
      </c>
      <c r="J1087">
        <v>664.48</v>
      </c>
      <c r="K1087">
        <v>625.39</v>
      </c>
      <c r="L1087" t="s">
        <v>5922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641.03</v>
      </c>
      <c r="S1087">
        <v>0</v>
      </c>
      <c r="T1087">
        <v>0</v>
      </c>
      <c r="U1087">
        <v>646.03</v>
      </c>
      <c r="V1087">
        <v>641.03</v>
      </c>
      <c r="W1087">
        <v>711.38</v>
      </c>
      <c r="X1087">
        <v>641.03</v>
      </c>
      <c r="Y1087">
        <v>899</v>
      </c>
      <c r="Z1087" t="s">
        <v>5922</v>
      </c>
    </row>
    <row r="1088" spans="1:26" x14ac:dyDescent="0.2">
      <c r="A1088" t="s">
        <v>1160</v>
      </c>
      <c r="B1088" t="s">
        <v>2048</v>
      </c>
      <c r="C1088" t="s">
        <v>2049</v>
      </c>
      <c r="D1088" t="s">
        <v>98</v>
      </c>
      <c r="E1088">
        <v>849</v>
      </c>
      <c r="F1088" t="s">
        <v>5922</v>
      </c>
      <c r="G1088">
        <v>738.26</v>
      </c>
      <c r="H1088">
        <v>627.52</v>
      </c>
      <c r="I1088">
        <v>738.26</v>
      </c>
      <c r="J1088">
        <v>627.52</v>
      </c>
      <c r="K1088">
        <v>590.61</v>
      </c>
      <c r="L1088" t="s">
        <v>5922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605.37</v>
      </c>
      <c r="S1088">
        <v>0</v>
      </c>
      <c r="T1088">
        <v>0</v>
      </c>
      <c r="U1088">
        <v>610.37</v>
      </c>
      <c r="V1088">
        <v>605.37</v>
      </c>
      <c r="W1088">
        <v>671.82</v>
      </c>
      <c r="X1088">
        <v>605.37</v>
      </c>
      <c r="Y1088">
        <v>849</v>
      </c>
      <c r="Z1088" t="s">
        <v>5922</v>
      </c>
    </row>
    <row r="1089" spans="1:26" x14ac:dyDescent="0.2">
      <c r="A1089" t="s">
        <v>1160</v>
      </c>
      <c r="B1089" t="s">
        <v>2050</v>
      </c>
      <c r="C1089" t="s">
        <v>2051</v>
      </c>
      <c r="D1089" t="s">
        <v>98</v>
      </c>
      <c r="E1089">
        <v>1099</v>
      </c>
      <c r="F1089" t="s">
        <v>5922</v>
      </c>
      <c r="G1089">
        <v>719.2</v>
      </c>
      <c r="H1089">
        <v>664.48</v>
      </c>
      <c r="I1089">
        <v>781.74</v>
      </c>
      <c r="J1089">
        <v>664.48</v>
      </c>
      <c r="K1089">
        <v>625.39</v>
      </c>
      <c r="L1089" t="s">
        <v>5922</v>
      </c>
      <c r="M1089">
        <v>0</v>
      </c>
      <c r="N1089">
        <v>0</v>
      </c>
      <c r="O1089">
        <v>0</v>
      </c>
      <c r="P1089">
        <v>0</v>
      </c>
      <c r="Q1089">
        <v>664.48</v>
      </c>
      <c r="R1089">
        <v>664.48</v>
      </c>
      <c r="S1089">
        <v>0</v>
      </c>
      <c r="T1089">
        <v>0</v>
      </c>
      <c r="U1089">
        <v>812.3</v>
      </c>
      <c r="V1089">
        <v>812.3</v>
      </c>
      <c r="W1089">
        <v>879.2</v>
      </c>
      <c r="X1089">
        <v>812.3</v>
      </c>
      <c r="Y1089">
        <v>899</v>
      </c>
      <c r="Z1089" t="s">
        <v>5922</v>
      </c>
    </row>
    <row r="1090" spans="1:26" x14ac:dyDescent="0.2">
      <c r="A1090" t="s">
        <v>1160</v>
      </c>
      <c r="B1090" t="s">
        <v>2052</v>
      </c>
      <c r="C1090" t="s">
        <v>2053</v>
      </c>
      <c r="D1090" t="s">
        <v>98</v>
      </c>
      <c r="E1090">
        <v>369</v>
      </c>
      <c r="F1090" t="s">
        <v>7126</v>
      </c>
      <c r="H1090">
        <v>272.74</v>
      </c>
      <c r="I1090">
        <v>260</v>
      </c>
      <c r="J1090">
        <v>221</v>
      </c>
      <c r="L1090" t="s">
        <v>5922</v>
      </c>
      <c r="Q1090">
        <v>272.74</v>
      </c>
      <c r="R1090">
        <v>272.74</v>
      </c>
      <c r="U1090">
        <v>275.95</v>
      </c>
      <c r="V1090">
        <v>272.74</v>
      </c>
      <c r="X1090">
        <v>272.74</v>
      </c>
      <c r="Y1090">
        <v>369</v>
      </c>
      <c r="Z1090" t="s">
        <v>5922</v>
      </c>
    </row>
    <row r="1091" spans="1:26" x14ac:dyDescent="0.2">
      <c r="A1091" t="s">
        <v>1160</v>
      </c>
      <c r="B1091" t="s">
        <v>2054</v>
      </c>
      <c r="C1091" t="s">
        <v>2055</v>
      </c>
      <c r="D1091" t="s">
        <v>98</v>
      </c>
      <c r="E1091">
        <v>369</v>
      </c>
      <c r="F1091" t="s">
        <v>5922</v>
      </c>
      <c r="G1091">
        <v>369</v>
      </c>
      <c r="H1091">
        <v>272.74</v>
      </c>
      <c r="I1091">
        <v>260</v>
      </c>
      <c r="J1091">
        <v>221</v>
      </c>
      <c r="L1091" t="s">
        <v>5922</v>
      </c>
      <c r="Q1091">
        <v>272.74</v>
      </c>
      <c r="R1091">
        <v>272.74</v>
      </c>
      <c r="U1091">
        <v>275.95</v>
      </c>
      <c r="V1091">
        <v>272.74</v>
      </c>
      <c r="W1091">
        <v>295.2</v>
      </c>
      <c r="X1091">
        <v>272.74</v>
      </c>
      <c r="Y1091">
        <v>369</v>
      </c>
      <c r="Z1091" t="s">
        <v>5922</v>
      </c>
    </row>
    <row r="1092" spans="1:26" x14ac:dyDescent="0.2">
      <c r="A1092" t="s">
        <v>1160</v>
      </c>
      <c r="B1092" t="s">
        <v>2056</v>
      </c>
      <c r="C1092" t="s">
        <v>2057</v>
      </c>
      <c r="D1092" t="s">
        <v>98</v>
      </c>
      <c r="E1092">
        <v>369</v>
      </c>
      <c r="F1092" t="s">
        <v>5922</v>
      </c>
      <c r="G1092">
        <v>369</v>
      </c>
      <c r="H1092">
        <v>272.74</v>
      </c>
      <c r="I1092">
        <v>260</v>
      </c>
      <c r="J1092">
        <v>221</v>
      </c>
      <c r="L1092" t="s">
        <v>5922</v>
      </c>
      <c r="Q1092">
        <v>272.74</v>
      </c>
      <c r="R1092">
        <v>272.74</v>
      </c>
      <c r="U1092">
        <v>275.95</v>
      </c>
      <c r="V1092">
        <v>272.74</v>
      </c>
      <c r="W1092">
        <v>295.2</v>
      </c>
      <c r="X1092">
        <v>272.74</v>
      </c>
      <c r="Y1092">
        <v>369</v>
      </c>
      <c r="Z1092" t="s">
        <v>5922</v>
      </c>
    </row>
    <row r="1093" spans="1:26" x14ac:dyDescent="0.2">
      <c r="A1093" t="s">
        <v>1160</v>
      </c>
      <c r="B1093" t="s">
        <v>2058</v>
      </c>
      <c r="C1093" t="s">
        <v>2059</v>
      </c>
      <c r="D1093" t="s">
        <v>105</v>
      </c>
      <c r="E1093">
        <v>369</v>
      </c>
      <c r="F1093" t="s">
        <v>7126</v>
      </c>
      <c r="H1093">
        <v>272.74</v>
      </c>
      <c r="I1093">
        <v>260</v>
      </c>
      <c r="J1093">
        <v>221</v>
      </c>
      <c r="L1093" t="s">
        <v>5922</v>
      </c>
      <c r="Q1093">
        <v>272.74</v>
      </c>
      <c r="R1093">
        <v>272.74</v>
      </c>
      <c r="U1093">
        <v>275.95</v>
      </c>
      <c r="V1093">
        <v>272.74</v>
      </c>
      <c r="X1093">
        <v>272.74</v>
      </c>
      <c r="Y1093">
        <v>369</v>
      </c>
      <c r="Z1093" t="s">
        <v>5922</v>
      </c>
    </row>
    <row r="1094" spans="1:26" x14ac:dyDescent="0.2">
      <c r="A1094" t="s">
        <v>1160</v>
      </c>
      <c r="B1094" t="s">
        <v>2060</v>
      </c>
      <c r="C1094" t="s">
        <v>2061</v>
      </c>
      <c r="D1094" t="s">
        <v>105</v>
      </c>
      <c r="E1094">
        <v>599</v>
      </c>
      <c r="F1094" t="s">
        <v>6941</v>
      </c>
      <c r="H1094">
        <v>442.74</v>
      </c>
      <c r="L1094" t="s">
        <v>5922</v>
      </c>
      <c r="Q1094">
        <v>442.74</v>
      </c>
      <c r="R1094">
        <v>442.74</v>
      </c>
      <c r="U1094">
        <v>447.95</v>
      </c>
      <c r="V1094">
        <v>442.74</v>
      </c>
      <c r="X1094">
        <v>442.74</v>
      </c>
      <c r="Y1094">
        <v>599</v>
      </c>
      <c r="Z1094" t="s">
        <v>5922</v>
      </c>
    </row>
    <row r="1095" spans="1:26" x14ac:dyDescent="0.2">
      <c r="A1095" t="s">
        <v>1160</v>
      </c>
      <c r="B1095" t="s">
        <v>2062</v>
      </c>
      <c r="C1095" t="s">
        <v>2063</v>
      </c>
      <c r="D1095" t="s">
        <v>105</v>
      </c>
      <c r="E1095">
        <v>599</v>
      </c>
      <c r="F1095" t="s">
        <v>6941</v>
      </c>
      <c r="H1095">
        <v>442.74</v>
      </c>
      <c r="L1095" t="s">
        <v>5922</v>
      </c>
      <c r="Q1095">
        <v>442.74</v>
      </c>
      <c r="R1095">
        <v>442.74</v>
      </c>
      <c r="U1095">
        <v>447.95</v>
      </c>
      <c r="V1095">
        <v>442.74</v>
      </c>
      <c r="X1095">
        <v>442.74</v>
      </c>
      <c r="Y1095">
        <v>599</v>
      </c>
      <c r="Z1095" t="s">
        <v>5922</v>
      </c>
    </row>
    <row r="1096" spans="1:26" x14ac:dyDescent="0.2">
      <c r="A1096" t="s">
        <v>1160</v>
      </c>
      <c r="B1096" t="s">
        <v>2064</v>
      </c>
      <c r="C1096" t="s">
        <v>2065</v>
      </c>
      <c r="D1096" t="s">
        <v>105</v>
      </c>
      <c r="E1096">
        <v>549</v>
      </c>
      <c r="F1096" t="s">
        <v>7060</v>
      </c>
      <c r="H1096">
        <v>405.78</v>
      </c>
      <c r="L1096" t="s">
        <v>5922</v>
      </c>
      <c r="Q1096">
        <v>405.78</v>
      </c>
      <c r="R1096">
        <v>405.78</v>
      </c>
      <c r="U1096">
        <v>410.56</v>
      </c>
      <c r="V1096">
        <v>405.78</v>
      </c>
      <c r="X1096">
        <v>405.78</v>
      </c>
      <c r="Y1096">
        <v>549</v>
      </c>
      <c r="Z1096" t="s">
        <v>5922</v>
      </c>
    </row>
    <row r="1097" spans="1:26" x14ac:dyDescent="0.2">
      <c r="A1097" t="s">
        <v>1160</v>
      </c>
      <c r="B1097" t="s">
        <v>2066</v>
      </c>
      <c r="C1097" t="s">
        <v>2067</v>
      </c>
      <c r="D1097" t="s">
        <v>105</v>
      </c>
      <c r="E1097">
        <v>549</v>
      </c>
      <c r="F1097" t="s">
        <v>7060</v>
      </c>
      <c r="H1097">
        <v>405.78</v>
      </c>
      <c r="L1097" t="s">
        <v>5922</v>
      </c>
      <c r="Q1097">
        <v>405.78</v>
      </c>
      <c r="R1097">
        <v>405.78</v>
      </c>
      <c r="U1097">
        <v>410.56</v>
      </c>
      <c r="V1097">
        <v>405.78</v>
      </c>
      <c r="X1097">
        <v>405.78</v>
      </c>
      <c r="Y1097">
        <v>549</v>
      </c>
      <c r="Z1097" t="s">
        <v>5922</v>
      </c>
    </row>
    <row r="1098" spans="1:26" x14ac:dyDescent="0.2">
      <c r="A1098" t="s">
        <v>1160</v>
      </c>
      <c r="B1098" t="s">
        <v>2068</v>
      </c>
      <c r="C1098" t="s">
        <v>2069</v>
      </c>
      <c r="D1098" t="s">
        <v>98</v>
      </c>
      <c r="E1098">
        <v>229</v>
      </c>
      <c r="F1098" t="s">
        <v>5922</v>
      </c>
      <c r="G1098">
        <v>199.13</v>
      </c>
      <c r="H1098">
        <v>169.26</v>
      </c>
      <c r="I1098">
        <v>199.13</v>
      </c>
      <c r="J1098">
        <v>169.26</v>
      </c>
      <c r="K1098">
        <v>173.22</v>
      </c>
      <c r="L1098" t="s">
        <v>5922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159.30000000000001</v>
      </c>
      <c r="S1098">
        <v>0</v>
      </c>
      <c r="T1098">
        <v>0</v>
      </c>
      <c r="U1098">
        <v>168.29</v>
      </c>
      <c r="V1098">
        <v>163.29</v>
      </c>
      <c r="W1098">
        <v>181.21</v>
      </c>
      <c r="X1098">
        <v>163.29</v>
      </c>
      <c r="Y1098">
        <v>229</v>
      </c>
      <c r="Z1098" t="s">
        <v>5922</v>
      </c>
    </row>
    <row r="1099" spans="1:26" x14ac:dyDescent="0.2">
      <c r="A1099" t="s">
        <v>1160</v>
      </c>
      <c r="B1099" t="s">
        <v>2070</v>
      </c>
      <c r="C1099" t="s">
        <v>2071</v>
      </c>
      <c r="D1099" t="s">
        <v>98</v>
      </c>
      <c r="E1099">
        <v>229</v>
      </c>
      <c r="F1099" t="s">
        <v>5922</v>
      </c>
      <c r="G1099">
        <v>199.13</v>
      </c>
      <c r="H1099">
        <v>169.26</v>
      </c>
      <c r="I1099">
        <v>199.13</v>
      </c>
      <c r="J1099">
        <v>169.26</v>
      </c>
      <c r="K1099">
        <v>173.22</v>
      </c>
      <c r="L1099" t="s">
        <v>5922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159.30000000000001</v>
      </c>
      <c r="S1099">
        <v>0</v>
      </c>
      <c r="T1099">
        <v>0</v>
      </c>
      <c r="U1099">
        <v>168.29</v>
      </c>
      <c r="V1099">
        <v>163.29</v>
      </c>
      <c r="W1099">
        <v>181.21</v>
      </c>
      <c r="X1099">
        <v>163.29</v>
      </c>
      <c r="Y1099">
        <v>229</v>
      </c>
      <c r="Z1099" t="s">
        <v>5922</v>
      </c>
    </row>
    <row r="1100" spans="1:26" x14ac:dyDescent="0.2">
      <c r="A1100" t="s">
        <v>1160</v>
      </c>
      <c r="B1100" t="s">
        <v>2072</v>
      </c>
      <c r="C1100" t="s">
        <v>2073</v>
      </c>
      <c r="D1100" t="s">
        <v>98</v>
      </c>
      <c r="E1100">
        <v>229</v>
      </c>
      <c r="F1100" t="s">
        <v>5922</v>
      </c>
      <c r="G1100">
        <v>199.13</v>
      </c>
      <c r="H1100">
        <v>169.26</v>
      </c>
      <c r="I1100">
        <v>199.13</v>
      </c>
      <c r="J1100">
        <v>169.26</v>
      </c>
      <c r="K1100">
        <v>173.22</v>
      </c>
      <c r="L1100" t="s">
        <v>5922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159.30000000000001</v>
      </c>
      <c r="S1100">
        <v>0</v>
      </c>
      <c r="T1100">
        <v>0</v>
      </c>
      <c r="U1100">
        <v>168.29</v>
      </c>
      <c r="V1100">
        <v>163.29</v>
      </c>
      <c r="W1100">
        <v>181.21</v>
      </c>
      <c r="X1100">
        <v>163.29</v>
      </c>
      <c r="Y1100">
        <v>229</v>
      </c>
      <c r="Z1100" t="s">
        <v>5922</v>
      </c>
    </row>
    <row r="1101" spans="1:26" x14ac:dyDescent="0.2">
      <c r="A1101" t="s">
        <v>1160</v>
      </c>
      <c r="B1101" t="s">
        <v>2074</v>
      </c>
      <c r="C1101" t="s">
        <v>2075</v>
      </c>
      <c r="D1101" t="s">
        <v>98</v>
      </c>
      <c r="E1101">
        <v>229</v>
      </c>
      <c r="F1101" t="s">
        <v>5922</v>
      </c>
      <c r="G1101">
        <v>199.13</v>
      </c>
      <c r="H1101">
        <v>169.26</v>
      </c>
      <c r="I1101">
        <v>199.13</v>
      </c>
      <c r="J1101">
        <v>169.26</v>
      </c>
      <c r="K1101">
        <v>173.22</v>
      </c>
      <c r="L1101" t="s">
        <v>5922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159.30000000000001</v>
      </c>
      <c r="S1101">
        <v>0</v>
      </c>
      <c r="T1101">
        <v>0</v>
      </c>
      <c r="U1101">
        <v>168.29</v>
      </c>
      <c r="V1101">
        <v>163.29</v>
      </c>
      <c r="W1101">
        <v>181.21</v>
      </c>
      <c r="X1101">
        <v>163.29</v>
      </c>
      <c r="Y1101">
        <v>229</v>
      </c>
      <c r="Z1101" t="s">
        <v>5922</v>
      </c>
    </row>
    <row r="1102" spans="1:26" x14ac:dyDescent="0.2">
      <c r="A1102" t="s">
        <v>1160</v>
      </c>
      <c r="B1102" t="s">
        <v>2076</v>
      </c>
      <c r="C1102" t="s">
        <v>2077</v>
      </c>
      <c r="D1102" t="s">
        <v>98</v>
      </c>
      <c r="E1102">
        <v>229</v>
      </c>
      <c r="F1102" t="s">
        <v>5922</v>
      </c>
      <c r="G1102">
        <v>199.13</v>
      </c>
      <c r="H1102">
        <v>169.26</v>
      </c>
      <c r="I1102">
        <v>199.13</v>
      </c>
      <c r="J1102">
        <v>169.26</v>
      </c>
      <c r="K1102">
        <v>173.22</v>
      </c>
      <c r="L1102" t="s">
        <v>5922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159.30000000000001</v>
      </c>
      <c r="S1102">
        <v>0</v>
      </c>
      <c r="T1102">
        <v>0</v>
      </c>
      <c r="U1102">
        <v>168.29</v>
      </c>
      <c r="V1102">
        <v>163.29</v>
      </c>
      <c r="W1102">
        <v>181.21</v>
      </c>
      <c r="X1102">
        <v>163.29</v>
      </c>
      <c r="Y1102">
        <v>229</v>
      </c>
      <c r="Z1102" t="s">
        <v>5922</v>
      </c>
    </row>
    <row r="1103" spans="1:26" x14ac:dyDescent="0.2">
      <c r="A1103" t="s">
        <v>1160</v>
      </c>
      <c r="B1103" t="s">
        <v>2078</v>
      </c>
      <c r="C1103" t="s">
        <v>2079</v>
      </c>
      <c r="D1103" t="s">
        <v>98</v>
      </c>
      <c r="E1103">
        <v>299</v>
      </c>
      <c r="F1103" t="s">
        <v>5922</v>
      </c>
      <c r="G1103">
        <v>299</v>
      </c>
      <c r="H1103">
        <v>221</v>
      </c>
      <c r="L1103" t="s">
        <v>5922</v>
      </c>
      <c r="Q1103">
        <v>221</v>
      </c>
      <c r="R1103">
        <v>221</v>
      </c>
      <c r="U1103">
        <v>223.6</v>
      </c>
      <c r="V1103">
        <v>221</v>
      </c>
      <c r="W1103">
        <v>239.2</v>
      </c>
      <c r="X1103">
        <v>221</v>
      </c>
      <c r="Y1103">
        <v>299</v>
      </c>
      <c r="Z1103" t="s">
        <v>5922</v>
      </c>
    </row>
    <row r="1104" spans="1:26" x14ac:dyDescent="0.2">
      <c r="A1104" t="s">
        <v>1160</v>
      </c>
      <c r="B1104" t="s">
        <v>2080</v>
      </c>
      <c r="C1104" t="s">
        <v>2081</v>
      </c>
      <c r="D1104" t="s">
        <v>105</v>
      </c>
      <c r="E1104">
        <v>299</v>
      </c>
      <c r="F1104" t="s">
        <v>6946</v>
      </c>
      <c r="H1104">
        <v>221</v>
      </c>
      <c r="L1104" t="s">
        <v>5922</v>
      </c>
      <c r="Q1104">
        <v>221</v>
      </c>
      <c r="R1104">
        <v>221</v>
      </c>
      <c r="U1104">
        <v>223.6</v>
      </c>
      <c r="V1104">
        <v>221</v>
      </c>
      <c r="X1104">
        <v>221</v>
      </c>
      <c r="Y1104">
        <v>299</v>
      </c>
      <c r="Z1104" t="s">
        <v>5922</v>
      </c>
    </row>
    <row r="1105" spans="1:26" x14ac:dyDescent="0.2">
      <c r="A1105" t="s">
        <v>1160</v>
      </c>
      <c r="B1105" t="s">
        <v>2082</v>
      </c>
      <c r="C1105" t="s">
        <v>2083</v>
      </c>
      <c r="D1105" t="s">
        <v>105</v>
      </c>
      <c r="E1105">
        <v>299</v>
      </c>
      <c r="F1105" t="s">
        <v>6946</v>
      </c>
      <c r="H1105">
        <v>221</v>
      </c>
      <c r="L1105" t="s">
        <v>5922</v>
      </c>
      <c r="Q1105">
        <v>221</v>
      </c>
      <c r="R1105">
        <v>221</v>
      </c>
      <c r="U1105">
        <v>223.6</v>
      </c>
      <c r="V1105">
        <v>221</v>
      </c>
      <c r="X1105">
        <v>221</v>
      </c>
      <c r="Y1105">
        <v>299</v>
      </c>
      <c r="Z1105" t="s">
        <v>5922</v>
      </c>
    </row>
    <row r="1106" spans="1:26" x14ac:dyDescent="0.2">
      <c r="A1106" t="s">
        <v>1160</v>
      </c>
      <c r="B1106" t="s">
        <v>2084</v>
      </c>
      <c r="C1106" t="s">
        <v>2085</v>
      </c>
      <c r="D1106" t="s">
        <v>105</v>
      </c>
      <c r="E1106">
        <v>299</v>
      </c>
      <c r="F1106" t="s">
        <v>6946</v>
      </c>
      <c r="H1106">
        <v>221</v>
      </c>
      <c r="L1106" t="s">
        <v>5922</v>
      </c>
      <c r="Q1106">
        <v>221</v>
      </c>
      <c r="R1106">
        <v>221</v>
      </c>
      <c r="U1106">
        <v>223.6</v>
      </c>
      <c r="V1106">
        <v>221</v>
      </c>
      <c r="X1106">
        <v>221</v>
      </c>
      <c r="Y1106">
        <v>299</v>
      </c>
      <c r="Z1106" t="s">
        <v>5922</v>
      </c>
    </row>
    <row r="1107" spans="1:26" x14ac:dyDescent="0.2">
      <c r="A1107" t="s">
        <v>1160</v>
      </c>
      <c r="B1107" t="s">
        <v>2086</v>
      </c>
      <c r="C1107" t="s">
        <v>2087</v>
      </c>
      <c r="D1107" t="s">
        <v>98</v>
      </c>
      <c r="E1107">
        <v>699</v>
      </c>
      <c r="F1107" t="s">
        <v>5922</v>
      </c>
      <c r="H1107">
        <v>516.65</v>
      </c>
      <c r="L1107" t="s">
        <v>5922</v>
      </c>
      <c r="U1107">
        <v>521.65</v>
      </c>
      <c r="W1107">
        <v>559.20000000000005</v>
      </c>
      <c r="X1107">
        <v>516.65</v>
      </c>
      <c r="Y1107">
        <v>699</v>
      </c>
      <c r="Z1107" t="s">
        <v>5922</v>
      </c>
    </row>
    <row r="1108" spans="1:26" x14ac:dyDescent="0.2">
      <c r="A1108" t="s">
        <v>1160</v>
      </c>
      <c r="B1108" t="s">
        <v>2088</v>
      </c>
      <c r="C1108" t="s">
        <v>2089</v>
      </c>
      <c r="D1108" t="s">
        <v>105</v>
      </c>
      <c r="E1108">
        <v>1249</v>
      </c>
      <c r="F1108" t="s">
        <v>7094</v>
      </c>
      <c r="H1108">
        <v>977.48</v>
      </c>
      <c r="L1108" t="s">
        <v>5922</v>
      </c>
      <c r="Q1108">
        <v>977.48</v>
      </c>
      <c r="R1108">
        <v>977.48</v>
      </c>
      <c r="U1108">
        <v>977.48</v>
      </c>
      <c r="V1108">
        <v>977.48</v>
      </c>
      <c r="X1108">
        <v>977.48</v>
      </c>
      <c r="Y1108">
        <v>1249</v>
      </c>
      <c r="Z1108" t="s">
        <v>5922</v>
      </c>
    </row>
    <row r="1109" spans="1:26" x14ac:dyDescent="0.2">
      <c r="A1109" t="s">
        <v>1160</v>
      </c>
      <c r="B1109" t="s">
        <v>2090</v>
      </c>
      <c r="C1109" t="s">
        <v>2091</v>
      </c>
      <c r="D1109" t="s">
        <v>98</v>
      </c>
      <c r="E1109">
        <v>899</v>
      </c>
      <c r="F1109" t="s">
        <v>5922</v>
      </c>
      <c r="H1109">
        <v>664.48</v>
      </c>
      <c r="L1109" t="s">
        <v>5922</v>
      </c>
      <c r="U1109">
        <v>669.48</v>
      </c>
      <c r="W1109">
        <v>719.2</v>
      </c>
      <c r="X1109">
        <v>664.48</v>
      </c>
      <c r="Y1109">
        <v>899</v>
      </c>
      <c r="Z1109" t="s">
        <v>5922</v>
      </c>
    </row>
    <row r="1110" spans="1:26" x14ac:dyDescent="0.2">
      <c r="A1110" t="s">
        <v>1160</v>
      </c>
      <c r="B1110" t="s">
        <v>2092</v>
      </c>
      <c r="C1110" t="s">
        <v>2093</v>
      </c>
      <c r="D1110" t="s">
        <v>105</v>
      </c>
      <c r="E1110">
        <v>1199</v>
      </c>
      <c r="F1110" t="s">
        <v>6953</v>
      </c>
      <c r="H1110">
        <v>938.35</v>
      </c>
      <c r="L1110" t="s">
        <v>5922</v>
      </c>
      <c r="Q1110">
        <v>938.35</v>
      </c>
      <c r="R1110">
        <v>938.35</v>
      </c>
      <c r="U1110">
        <v>938.35</v>
      </c>
      <c r="V1110">
        <v>886.22</v>
      </c>
      <c r="X1110">
        <v>886.22</v>
      </c>
      <c r="Y1110">
        <v>1199</v>
      </c>
      <c r="Z1110" t="s">
        <v>5922</v>
      </c>
    </row>
    <row r="1111" spans="1:26" x14ac:dyDescent="0.2">
      <c r="A1111" t="s">
        <v>2094</v>
      </c>
      <c r="B1111" t="s">
        <v>2095</v>
      </c>
      <c r="C1111" t="s">
        <v>2096</v>
      </c>
      <c r="D1111" t="s">
        <v>98</v>
      </c>
      <c r="E1111">
        <v>119.99</v>
      </c>
      <c r="F1111" t="s">
        <v>5922</v>
      </c>
      <c r="H1111">
        <v>73.040000000000006</v>
      </c>
      <c r="I1111">
        <v>83.47</v>
      </c>
      <c r="J1111">
        <v>83.47</v>
      </c>
      <c r="K1111">
        <v>78.25</v>
      </c>
      <c r="L1111" t="s">
        <v>5922</v>
      </c>
      <c r="M1111">
        <v>91.82</v>
      </c>
      <c r="N1111">
        <v>93.91</v>
      </c>
      <c r="O1111">
        <v>73.040000000000006</v>
      </c>
      <c r="P1111">
        <v>78.25</v>
      </c>
      <c r="Q1111">
        <v>78.25</v>
      </c>
      <c r="R1111">
        <v>78.25</v>
      </c>
      <c r="S1111">
        <v>84.51</v>
      </c>
      <c r="T1111">
        <v>73.040000000000006</v>
      </c>
      <c r="U1111">
        <v>73.040000000000006</v>
      </c>
      <c r="V1111">
        <v>73.040000000000006</v>
      </c>
      <c r="W1111">
        <v>88.69</v>
      </c>
      <c r="X1111">
        <v>78.25</v>
      </c>
      <c r="Y1111">
        <v>119.99</v>
      </c>
      <c r="Z1111" t="s">
        <v>5922</v>
      </c>
    </row>
    <row r="1112" spans="1:26" x14ac:dyDescent="0.2">
      <c r="A1112" t="s">
        <v>2094</v>
      </c>
      <c r="B1112" t="s">
        <v>2101</v>
      </c>
      <c r="C1112" t="s">
        <v>2102</v>
      </c>
      <c r="D1112" t="s">
        <v>138</v>
      </c>
      <c r="E1112">
        <v>219.99</v>
      </c>
      <c r="F1112" t="s">
        <v>5922</v>
      </c>
      <c r="H1112">
        <v>133.91</v>
      </c>
      <c r="I1112">
        <v>153.04</v>
      </c>
      <c r="J1112">
        <v>111.3</v>
      </c>
      <c r="K1112">
        <v>104.34</v>
      </c>
      <c r="L1112" t="s">
        <v>5922</v>
      </c>
      <c r="M1112">
        <v>168.34</v>
      </c>
      <c r="N1112">
        <v>172.17</v>
      </c>
      <c r="O1112">
        <v>97.39</v>
      </c>
      <c r="P1112">
        <v>143.47</v>
      </c>
      <c r="Q1112">
        <v>143.47</v>
      </c>
      <c r="R1112">
        <v>143.47</v>
      </c>
      <c r="S1112">
        <v>154.94999999999999</v>
      </c>
      <c r="T1112">
        <v>133.91</v>
      </c>
      <c r="U1112">
        <v>121.73</v>
      </c>
      <c r="V1112">
        <v>133.91</v>
      </c>
      <c r="W1112">
        <v>162.6</v>
      </c>
      <c r="X1112">
        <v>143.47</v>
      </c>
      <c r="Y1112">
        <v>219.99</v>
      </c>
      <c r="Z1112" t="s">
        <v>5922</v>
      </c>
    </row>
    <row r="1113" spans="1:26" x14ac:dyDescent="0.2">
      <c r="A1113" t="s">
        <v>2105</v>
      </c>
      <c r="B1113" t="s">
        <v>7130</v>
      </c>
      <c r="C1113" t="s">
        <v>7131</v>
      </c>
      <c r="D1113" t="s">
        <v>105</v>
      </c>
      <c r="E1113">
        <v>99.99</v>
      </c>
      <c r="F1113" t="s">
        <v>6903</v>
      </c>
      <c r="H1113">
        <v>69.56</v>
      </c>
      <c r="L1113" t="s">
        <v>5922</v>
      </c>
      <c r="U1113">
        <v>65.209999999999994</v>
      </c>
      <c r="V1113">
        <v>69.56</v>
      </c>
      <c r="X1113">
        <v>69.56</v>
      </c>
      <c r="Y1113">
        <v>99.99</v>
      </c>
      <c r="Z1113" t="s">
        <v>5922</v>
      </c>
    </row>
    <row r="1114" spans="1:26" x14ac:dyDescent="0.2">
      <c r="A1114" t="s">
        <v>2105</v>
      </c>
      <c r="B1114" t="s">
        <v>7132</v>
      </c>
      <c r="C1114" t="s">
        <v>7133</v>
      </c>
      <c r="D1114" t="s">
        <v>105</v>
      </c>
      <c r="E1114">
        <v>99.99</v>
      </c>
      <c r="F1114" t="s">
        <v>6903</v>
      </c>
      <c r="H1114">
        <v>69.56</v>
      </c>
      <c r="L1114" t="s">
        <v>5922</v>
      </c>
      <c r="U1114">
        <v>65.209999999999994</v>
      </c>
      <c r="V1114">
        <v>69.56</v>
      </c>
      <c r="X1114">
        <v>69.56</v>
      </c>
      <c r="Y1114">
        <v>99.99</v>
      </c>
      <c r="Z1114" t="s">
        <v>5922</v>
      </c>
    </row>
    <row r="1115" spans="1:26" x14ac:dyDescent="0.2">
      <c r="A1115" t="s">
        <v>2105</v>
      </c>
      <c r="B1115" t="s">
        <v>2106</v>
      </c>
      <c r="C1115" t="s">
        <v>2107</v>
      </c>
      <c r="D1115" t="s">
        <v>105</v>
      </c>
      <c r="E1115">
        <v>299.99</v>
      </c>
      <c r="F1115" t="s">
        <v>6918</v>
      </c>
      <c r="H1115">
        <v>221.73</v>
      </c>
      <c r="L1115" t="s">
        <v>5922</v>
      </c>
      <c r="U1115">
        <v>215.21</v>
      </c>
      <c r="V1115">
        <v>229.56</v>
      </c>
      <c r="X1115">
        <v>229.56</v>
      </c>
      <c r="Y1115">
        <v>299.99</v>
      </c>
      <c r="Z1115" t="s">
        <v>5922</v>
      </c>
    </row>
    <row r="1116" spans="1:26" x14ac:dyDescent="0.2">
      <c r="A1116" t="s">
        <v>2105</v>
      </c>
      <c r="B1116" t="s">
        <v>2108</v>
      </c>
      <c r="C1116" t="s">
        <v>2109</v>
      </c>
      <c r="D1116" t="s">
        <v>105</v>
      </c>
      <c r="E1116">
        <v>299.99</v>
      </c>
      <c r="F1116" t="s">
        <v>6918</v>
      </c>
      <c r="H1116">
        <v>221.73</v>
      </c>
      <c r="L1116" t="s">
        <v>5922</v>
      </c>
      <c r="U1116">
        <v>215.21</v>
      </c>
      <c r="V1116">
        <v>229.56</v>
      </c>
      <c r="X1116">
        <v>229.56</v>
      </c>
      <c r="Y1116">
        <v>299.99</v>
      </c>
      <c r="Z1116" t="s">
        <v>5922</v>
      </c>
    </row>
    <row r="1117" spans="1:26" x14ac:dyDescent="0.2">
      <c r="A1117" t="s">
        <v>2105</v>
      </c>
      <c r="B1117" t="s">
        <v>2110</v>
      </c>
      <c r="C1117" t="s">
        <v>2111</v>
      </c>
      <c r="D1117" t="s">
        <v>105</v>
      </c>
      <c r="E1117">
        <v>299.99</v>
      </c>
      <c r="F1117" t="s">
        <v>6918</v>
      </c>
      <c r="H1117">
        <v>221.73</v>
      </c>
      <c r="L1117" t="s">
        <v>5922</v>
      </c>
      <c r="U1117">
        <v>215.21</v>
      </c>
      <c r="V1117">
        <v>229.56</v>
      </c>
      <c r="X1117">
        <v>229.56</v>
      </c>
      <c r="Y1117">
        <v>299.99</v>
      </c>
      <c r="Z1117" t="s">
        <v>5922</v>
      </c>
    </row>
    <row r="1118" spans="1:26" x14ac:dyDescent="0.2">
      <c r="A1118" t="s">
        <v>2105</v>
      </c>
      <c r="B1118" t="s">
        <v>2112</v>
      </c>
      <c r="C1118" t="s">
        <v>2113</v>
      </c>
      <c r="D1118" t="s">
        <v>105</v>
      </c>
      <c r="E1118">
        <v>299.99</v>
      </c>
      <c r="F1118" t="s">
        <v>6918</v>
      </c>
      <c r="G1118">
        <v>299.99</v>
      </c>
      <c r="H1118">
        <v>221.73</v>
      </c>
      <c r="L1118" t="s">
        <v>5922</v>
      </c>
      <c r="Q1118">
        <v>221.73</v>
      </c>
      <c r="R1118">
        <v>221.73</v>
      </c>
      <c r="U1118">
        <v>215.21</v>
      </c>
      <c r="V1118">
        <v>229.56</v>
      </c>
      <c r="W1118">
        <v>0</v>
      </c>
      <c r="X1118">
        <v>229.56</v>
      </c>
      <c r="Y1118">
        <v>299.99</v>
      </c>
      <c r="Z1118" t="s">
        <v>5922</v>
      </c>
    </row>
    <row r="1119" spans="1:26" x14ac:dyDescent="0.2">
      <c r="A1119" t="s">
        <v>2105</v>
      </c>
      <c r="B1119" t="s">
        <v>2114</v>
      </c>
      <c r="C1119" t="s">
        <v>2115</v>
      </c>
      <c r="D1119" t="s">
        <v>105</v>
      </c>
      <c r="E1119">
        <v>299.99</v>
      </c>
      <c r="F1119" t="s">
        <v>6918</v>
      </c>
      <c r="H1119">
        <v>221.73</v>
      </c>
      <c r="L1119" t="s">
        <v>5922</v>
      </c>
      <c r="U1119">
        <v>215.21</v>
      </c>
      <c r="V1119">
        <v>229.56</v>
      </c>
      <c r="X1119">
        <v>229.56</v>
      </c>
      <c r="Y1119">
        <v>299.99</v>
      </c>
      <c r="Z1119" t="s">
        <v>5922</v>
      </c>
    </row>
    <row r="1120" spans="1:26" x14ac:dyDescent="0.2">
      <c r="A1120" t="s">
        <v>2105</v>
      </c>
      <c r="B1120" t="s">
        <v>2116</v>
      </c>
      <c r="C1120" t="s">
        <v>2117</v>
      </c>
      <c r="D1120" t="s">
        <v>105</v>
      </c>
      <c r="E1120">
        <v>299.99</v>
      </c>
      <c r="F1120" t="s">
        <v>6918</v>
      </c>
      <c r="G1120">
        <v>299.99</v>
      </c>
      <c r="H1120">
        <v>221.73</v>
      </c>
      <c r="L1120" t="s">
        <v>5922</v>
      </c>
      <c r="Q1120">
        <v>221.73</v>
      </c>
      <c r="R1120">
        <v>221.73</v>
      </c>
      <c r="U1120">
        <v>215.21</v>
      </c>
      <c r="V1120">
        <v>229.56</v>
      </c>
      <c r="W1120">
        <v>0</v>
      </c>
      <c r="X1120">
        <v>229.56</v>
      </c>
      <c r="Y1120">
        <v>299.99</v>
      </c>
      <c r="Z1120" t="s">
        <v>5922</v>
      </c>
    </row>
    <row r="1121" spans="1:26" x14ac:dyDescent="0.2">
      <c r="A1121" t="s">
        <v>2105</v>
      </c>
      <c r="B1121" t="s">
        <v>2118</v>
      </c>
      <c r="C1121" t="s">
        <v>2119</v>
      </c>
      <c r="D1121" t="s">
        <v>105</v>
      </c>
      <c r="E1121">
        <v>299.99</v>
      </c>
      <c r="F1121" t="s">
        <v>6918</v>
      </c>
      <c r="H1121">
        <v>221.73</v>
      </c>
      <c r="L1121" t="s">
        <v>5922</v>
      </c>
      <c r="U1121">
        <v>215.21</v>
      </c>
      <c r="V1121">
        <v>229.56</v>
      </c>
      <c r="X1121">
        <v>229.56</v>
      </c>
      <c r="Y1121">
        <v>299.99</v>
      </c>
      <c r="Z1121" t="s">
        <v>5922</v>
      </c>
    </row>
    <row r="1122" spans="1:26" x14ac:dyDescent="0.2">
      <c r="A1122" t="s">
        <v>2105</v>
      </c>
      <c r="B1122" t="s">
        <v>2120</v>
      </c>
      <c r="C1122" t="s">
        <v>2121</v>
      </c>
      <c r="D1122" t="s">
        <v>105</v>
      </c>
      <c r="E1122">
        <v>299.99</v>
      </c>
      <c r="F1122" t="s">
        <v>6918</v>
      </c>
      <c r="G1122">
        <v>299.99</v>
      </c>
      <c r="H1122">
        <v>221.73</v>
      </c>
      <c r="L1122" t="s">
        <v>5922</v>
      </c>
      <c r="Q1122">
        <v>221.73</v>
      </c>
      <c r="R1122">
        <v>221.73</v>
      </c>
      <c r="U1122">
        <v>215.21</v>
      </c>
      <c r="V1122">
        <v>229.56</v>
      </c>
      <c r="W1122">
        <v>0</v>
      </c>
      <c r="X1122">
        <v>229.56</v>
      </c>
      <c r="Y1122">
        <v>299.99</v>
      </c>
      <c r="Z1122" t="s">
        <v>5922</v>
      </c>
    </row>
    <row r="1123" spans="1:26" x14ac:dyDescent="0.2">
      <c r="A1123" t="s">
        <v>2105</v>
      </c>
      <c r="B1123" t="s">
        <v>2122</v>
      </c>
      <c r="C1123" t="s">
        <v>2123</v>
      </c>
      <c r="D1123" t="s">
        <v>105</v>
      </c>
      <c r="E1123">
        <v>249.99</v>
      </c>
      <c r="F1123" t="s">
        <v>7134</v>
      </c>
      <c r="H1123">
        <v>221.73</v>
      </c>
      <c r="L1123" t="s">
        <v>5922</v>
      </c>
      <c r="U1123">
        <v>215.21</v>
      </c>
      <c r="V1123">
        <v>229.56</v>
      </c>
      <c r="X1123">
        <v>229.56</v>
      </c>
      <c r="Y1123">
        <v>249.99</v>
      </c>
      <c r="Z1123" t="s">
        <v>5922</v>
      </c>
    </row>
    <row r="1124" spans="1:26" x14ac:dyDescent="0.2">
      <c r="A1124" t="s">
        <v>2105</v>
      </c>
      <c r="B1124" t="s">
        <v>2124</v>
      </c>
      <c r="C1124" t="s">
        <v>2125</v>
      </c>
      <c r="D1124" t="s">
        <v>105</v>
      </c>
      <c r="E1124">
        <v>249.99</v>
      </c>
      <c r="F1124" t="s">
        <v>7134</v>
      </c>
      <c r="H1124">
        <v>221.73</v>
      </c>
      <c r="L1124" t="s">
        <v>5922</v>
      </c>
      <c r="U1124">
        <v>215.21</v>
      </c>
      <c r="V1124">
        <v>229.56</v>
      </c>
      <c r="X1124">
        <v>229.56</v>
      </c>
      <c r="Y1124">
        <v>249.99</v>
      </c>
      <c r="Z1124" t="s">
        <v>5922</v>
      </c>
    </row>
    <row r="1125" spans="1:26" x14ac:dyDescent="0.2">
      <c r="A1125" t="s">
        <v>2105</v>
      </c>
      <c r="B1125" t="s">
        <v>2126</v>
      </c>
      <c r="C1125" t="s">
        <v>2127</v>
      </c>
      <c r="D1125" t="s">
        <v>98</v>
      </c>
      <c r="E1125">
        <v>429.99</v>
      </c>
      <c r="F1125" t="s">
        <v>7135</v>
      </c>
      <c r="G1125">
        <v>429.99</v>
      </c>
      <c r="H1125">
        <v>317.82</v>
      </c>
      <c r="L1125" t="s">
        <v>5922</v>
      </c>
      <c r="Q1125">
        <v>317.82</v>
      </c>
      <c r="R1125">
        <v>317.82</v>
      </c>
      <c r="U1125">
        <v>306.52</v>
      </c>
      <c r="V1125">
        <v>326.95</v>
      </c>
      <c r="W1125">
        <v>0</v>
      </c>
      <c r="X1125">
        <v>326.95</v>
      </c>
      <c r="Y1125">
        <v>429.99</v>
      </c>
      <c r="Z1125" t="s">
        <v>5922</v>
      </c>
    </row>
    <row r="1126" spans="1:26" x14ac:dyDescent="0.2">
      <c r="A1126" t="s">
        <v>2105</v>
      </c>
      <c r="B1126" t="s">
        <v>2128</v>
      </c>
      <c r="C1126" t="s">
        <v>2129</v>
      </c>
      <c r="D1126" t="s">
        <v>105</v>
      </c>
      <c r="E1126">
        <v>429.99</v>
      </c>
      <c r="F1126" t="s">
        <v>7135</v>
      </c>
      <c r="G1126">
        <v>429.99</v>
      </c>
      <c r="H1126">
        <v>317.82</v>
      </c>
      <c r="L1126" t="s">
        <v>5922</v>
      </c>
      <c r="Q1126">
        <v>317.82</v>
      </c>
      <c r="R1126">
        <v>317.82</v>
      </c>
      <c r="U1126">
        <v>306.52</v>
      </c>
      <c r="V1126">
        <v>326.95</v>
      </c>
      <c r="W1126">
        <v>0</v>
      </c>
      <c r="X1126">
        <v>326.95</v>
      </c>
      <c r="Y1126">
        <v>429.99</v>
      </c>
      <c r="Z1126" t="s">
        <v>5922</v>
      </c>
    </row>
    <row r="1127" spans="1:26" x14ac:dyDescent="0.2">
      <c r="A1127" t="s">
        <v>2105</v>
      </c>
      <c r="B1127" t="s">
        <v>2130</v>
      </c>
      <c r="C1127" t="s">
        <v>2131</v>
      </c>
      <c r="D1127" t="s">
        <v>105</v>
      </c>
      <c r="E1127">
        <v>99.99</v>
      </c>
      <c r="F1127" t="s">
        <v>6903</v>
      </c>
      <c r="H1127">
        <v>88.69</v>
      </c>
      <c r="L1127" t="s">
        <v>5922</v>
      </c>
      <c r="U1127">
        <v>81.52</v>
      </c>
      <c r="V1127">
        <v>83.47</v>
      </c>
      <c r="X1127">
        <v>83.47</v>
      </c>
      <c r="Y1127">
        <v>99.99</v>
      </c>
      <c r="Z1127" t="s">
        <v>5922</v>
      </c>
    </row>
    <row r="1128" spans="1:26" x14ac:dyDescent="0.2">
      <c r="A1128" t="s">
        <v>2105</v>
      </c>
      <c r="B1128" t="s">
        <v>7136</v>
      </c>
      <c r="C1128" t="s">
        <v>7137</v>
      </c>
      <c r="D1128" t="s">
        <v>105</v>
      </c>
      <c r="E1128">
        <v>119.99</v>
      </c>
      <c r="F1128" t="s">
        <v>6905</v>
      </c>
      <c r="H1128">
        <v>83.47</v>
      </c>
      <c r="L1128" t="s">
        <v>5922</v>
      </c>
      <c r="U1128">
        <v>78.25</v>
      </c>
      <c r="V1128">
        <v>83.47</v>
      </c>
      <c r="X1128">
        <v>83.47</v>
      </c>
      <c r="Y1128">
        <v>119.99</v>
      </c>
      <c r="Z1128" t="s">
        <v>5922</v>
      </c>
    </row>
    <row r="1129" spans="1:26" x14ac:dyDescent="0.2">
      <c r="A1129" t="s">
        <v>2105</v>
      </c>
      <c r="B1129" t="s">
        <v>7138</v>
      </c>
      <c r="C1129" t="s">
        <v>7139</v>
      </c>
      <c r="D1129" t="s">
        <v>105</v>
      </c>
      <c r="E1129">
        <v>119.99</v>
      </c>
      <c r="F1129" t="s">
        <v>6905</v>
      </c>
      <c r="H1129">
        <v>83.47</v>
      </c>
      <c r="L1129" t="s">
        <v>5922</v>
      </c>
      <c r="U1129">
        <v>78.25</v>
      </c>
      <c r="V1129">
        <v>83.47</v>
      </c>
      <c r="X1129">
        <v>83.47</v>
      </c>
      <c r="Y1129">
        <v>119.99</v>
      </c>
      <c r="Z1129" t="s">
        <v>5922</v>
      </c>
    </row>
    <row r="1130" spans="1:26" x14ac:dyDescent="0.2">
      <c r="A1130" t="s">
        <v>2105</v>
      </c>
      <c r="B1130" t="s">
        <v>2132</v>
      </c>
      <c r="C1130" t="s">
        <v>2133</v>
      </c>
      <c r="D1130" t="s">
        <v>105</v>
      </c>
      <c r="E1130">
        <v>549</v>
      </c>
      <c r="F1130" t="s">
        <v>7060</v>
      </c>
      <c r="H1130">
        <v>479.7</v>
      </c>
      <c r="L1130" t="s">
        <v>5922</v>
      </c>
      <c r="U1130">
        <v>452.17</v>
      </c>
      <c r="V1130">
        <v>452.17</v>
      </c>
      <c r="X1130">
        <v>451.48</v>
      </c>
      <c r="Y1130">
        <v>549</v>
      </c>
      <c r="Z1130" t="s">
        <v>5922</v>
      </c>
    </row>
    <row r="1131" spans="1:26" x14ac:dyDescent="0.2">
      <c r="A1131" t="s">
        <v>2105</v>
      </c>
      <c r="B1131" t="s">
        <v>7140</v>
      </c>
      <c r="C1131" t="s">
        <v>7141</v>
      </c>
      <c r="D1131" t="s">
        <v>105</v>
      </c>
      <c r="E1131">
        <v>109.99</v>
      </c>
      <c r="F1131" t="s">
        <v>7025</v>
      </c>
      <c r="H1131">
        <v>75.83</v>
      </c>
      <c r="L1131" t="s">
        <v>5922</v>
      </c>
      <c r="U1131">
        <v>71.73</v>
      </c>
      <c r="V1131">
        <v>76.510000000000005</v>
      </c>
      <c r="X1131">
        <v>76.510000000000005</v>
      </c>
      <c r="Y1131">
        <v>109.99</v>
      </c>
      <c r="Z1131" t="s">
        <v>5922</v>
      </c>
    </row>
    <row r="1132" spans="1:26" x14ac:dyDescent="0.2">
      <c r="A1132" t="s">
        <v>2105</v>
      </c>
      <c r="B1132" t="s">
        <v>7142</v>
      </c>
      <c r="C1132" t="s">
        <v>7143</v>
      </c>
      <c r="D1132" t="s">
        <v>105</v>
      </c>
      <c r="E1132">
        <v>109.99</v>
      </c>
      <c r="F1132" t="s">
        <v>7025</v>
      </c>
      <c r="H1132">
        <v>75.83</v>
      </c>
      <c r="L1132" t="s">
        <v>5922</v>
      </c>
      <c r="U1132">
        <v>71.73</v>
      </c>
      <c r="V1132">
        <v>76.510000000000005</v>
      </c>
      <c r="X1132">
        <v>76.510000000000005</v>
      </c>
      <c r="Y1132">
        <v>109.99</v>
      </c>
      <c r="Z1132" t="s">
        <v>5922</v>
      </c>
    </row>
    <row r="1133" spans="1:26" x14ac:dyDescent="0.2">
      <c r="A1133" t="s">
        <v>2105</v>
      </c>
      <c r="B1133" t="s">
        <v>7144</v>
      </c>
      <c r="C1133" t="s">
        <v>7145</v>
      </c>
      <c r="D1133" t="s">
        <v>105</v>
      </c>
      <c r="E1133">
        <v>949.99</v>
      </c>
      <c r="F1133" t="s">
        <v>7146</v>
      </c>
      <c r="H1133">
        <v>660.86</v>
      </c>
      <c r="L1133" t="s">
        <v>5922</v>
      </c>
      <c r="U1133">
        <v>619.55999999999995</v>
      </c>
      <c r="V1133">
        <v>660.86</v>
      </c>
      <c r="X1133">
        <v>660.86</v>
      </c>
      <c r="Y1133">
        <v>949.99</v>
      </c>
      <c r="Z1133" t="s">
        <v>5922</v>
      </c>
    </row>
    <row r="1134" spans="1:26" x14ac:dyDescent="0.2">
      <c r="A1134" t="s">
        <v>2105</v>
      </c>
      <c r="B1134" t="s">
        <v>7147</v>
      </c>
      <c r="C1134" t="s">
        <v>7148</v>
      </c>
      <c r="D1134" t="s">
        <v>105</v>
      </c>
      <c r="E1134">
        <v>949.99</v>
      </c>
      <c r="F1134" t="s">
        <v>7146</v>
      </c>
      <c r="H1134">
        <v>660.86</v>
      </c>
      <c r="L1134" t="s">
        <v>5922</v>
      </c>
      <c r="U1134">
        <v>619.55999999999995</v>
      </c>
      <c r="V1134">
        <v>660.86</v>
      </c>
      <c r="X1134">
        <v>660.86</v>
      </c>
      <c r="Y1134">
        <v>949.99</v>
      </c>
      <c r="Z1134" t="s">
        <v>5922</v>
      </c>
    </row>
    <row r="1135" spans="1:26" x14ac:dyDescent="0.2">
      <c r="A1135" t="s">
        <v>2105</v>
      </c>
      <c r="B1135" t="s">
        <v>7149</v>
      </c>
      <c r="C1135" t="s">
        <v>7150</v>
      </c>
      <c r="D1135" t="s">
        <v>105</v>
      </c>
      <c r="E1135">
        <v>949.99</v>
      </c>
      <c r="F1135" t="s">
        <v>7146</v>
      </c>
      <c r="H1135">
        <v>660.86</v>
      </c>
      <c r="L1135" t="s">
        <v>5922</v>
      </c>
      <c r="U1135">
        <v>619.55999999999995</v>
      </c>
      <c r="V1135">
        <v>660.86</v>
      </c>
      <c r="X1135">
        <v>660.86</v>
      </c>
      <c r="Y1135">
        <v>949.99</v>
      </c>
      <c r="Z1135" t="s">
        <v>5922</v>
      </c>
    </row>
    <row r="1136" spans="1:26" x14ac:dyDescent="0.2">
      <c r="A1136" t="s">
        <v>2105</v>
      </c>
      <c r="B1136" t="s">
        <v>7151</v>
      </c>
      <c r="C1136" t="s">
        <v>7152</v>
      </c>
      <c r="D1136" t="s">
        <v>105</v>
      </c>
      <c r="E1136">
        <v>399.99</v>
      </c>
      <c r="F1136" t="s">
        <v>7153</v>
      </c>
      <c r="H1136">
        <v>278.25</v>
      </c>
      <c r="L1136" t="s">
        <v>5922</v>
      </c>
      <c r="U1136">
        <v>260.86</v>
      </c>
      <c r="V1136">
        <v>278.25</v>
      </c>
      <c r="X1136">
        <v>278.25</v>
      </c>
      <c r="Y1136">
        <v>399.99</v>
      </c>
      <c r="Z1136" t="s">
        <v>5922</v>
      </c>
    </row>
    <row r="1137" spans="1:26" x14ac:dyDescent="0.2">
      <c r="A1137" t="s">
        <v>2105</v>
      </c>
      <c r="B1137" t="s">
        <v>7154</v>
      </c>
      <c r="C1137" t="s">
        <v>7155</v>
      </c>
      <c r="D1137" t="s">
        <v>105</v>
      </c>
      <c r="E1137">
        <v>399.99</v>
      </c>
      <c r="F1137" t="s">
        <v>7153</v>
      </c>
      <c r="H1137">
        <v>278.25</v>
      </c>
      <c r="L1137" t="s">
        <v>5922</v>
      </c>
      <c r="U1137">
        <v>260.86</v>
      </c>
      <c r="V1137">
        <v>278.25</v>
      </c>
      <c r="X1137">
        <v>278.25</v>
      </c>
      <c r="Y1137">
        <v>399.99</v>
      </c>
      <c r="Z1137" t="s">
        <v>5922</v>
      </c>
    </row>
    <row r="1138" spans="1:26" x14ac:dyDescent="0.2">
      <c r="A1138" t="s">
        <v>2105</v>
      </c>
      <c r="B1138" t="s">
        <v>7156</v>
      </c>
      <c r="C1138" t="s">
        <v>7157</v>
      </c>
      <c r="D1138" t="s">
        <v>105</v>
      </c>
      <c r="E1138">
        <v>399.99</v>
      </c>
      <c r="F1138" t="s">
        <v>7153</v>
      </c>
      <c r="H1138">
        <v>278.25</v>
      </c>
      <c r="L1138" t="s">
        <v>5922</v>
      </c>
      <c r="U1138">
        <v>260.86</v>
      </c>
      <c r="V1138">
        <v>278.25</v>
      </c>
      <c r="X1138">
        <v>278.25</v>
      </c>
      <c r="Y1138">
        <v>399.99</v>
      </c>
      <c r="Z1138" t="s">
        <v>5922</v>
      </c>
    </row>
    <row r="1139" spans="1:26" x14ac:dyDescent="0.2">
      <c r="A1139" t="s">
        <v>2105</v>
      </c>
      <c r="B1139" t="s">
        <v>7158</v>
      </c>
      <c r="C1139" t="s">
        <v>7159</v>
      </c>
      <c r="D1139" t="s">
        <v>105</v>
      </c>
      <c r="E1139">
        <v>289.99</v>
      </c>
      <c r="F1139" t="s">
        <v>7160</v>
      </c>
      <c r="H1139">
        <v>201.73</v>
      </c>
      <c r="L1139" t="s">
        <v>5922</v>
      </c>
      <c r="U1139">
        <v>189.12</v>
      </c>
      <c r="V1139">
        <v>201.73</v>
      </c>
      <c r="X1139">
        <v>201.73</v>
      </c>
      <c r="Y1139">
        <v>289.99</v>
      </c>
      <c r="Z1139" t="s">
        <v>5922</v>
      </c>
    </row>
    <row r="1140" spans="1:26" x14ac:dyDescent="0.2">
      <c r="A1140" t="s">
        <v>2105</v>
      </c>
      <c r="B1140" t="s">
        <v>7161</v>
      </c>
      <c r="C1140" t="s">
        <v>7162</v>
      </c>
      <c r="D1140" t="s">
        <v>105</v>
      </c>
      <c r="E1140">
        <v>224.99</v>
      </c>
      <c r="F1140" t="s">
        <v>7163</v>
      </c>
      <c r="H1140">
        <v>156.51</v>
      </c>
      <c r="L1140" t="s">
        <v>5922</v>
      </c>
      <c r="U1140">
        <v>146.72999999999999</v>
      </c>
      <c r="V1140">
        <v>156.51</v>
      </c>
      <c r="X1140">
        <v>156.51</v>
      </c>
      <c r="Y1140">
        <v>224.99</v>
      </c>
      <c r="Z1140" t="s">
        <v>5922</v>
      </c>
    </row>
    <row r="1141" spans="1:26" x14ac:dyDescent="0.2">
      <c r="A1141" t="s">
        <v>2105</v>
      </c>
      <c r="B1141" t="s">
        <v>7164</v>
      </c>
      <c r="C1141" t="s">
        <v>7165</v>
      </c>
      <c r="D1141" t="s">
        <v>105</v>
      </c>
      <c r="E1141">
        <v>299.99</v>
      </c>
      <c r="F1141" t="s">
        <v>6918</v>
      </c>
      <c r="H1141">
        <v>208.69</v>
      </c>
      <c r="L1141" t="s">
        <v>5922</v>
      </c>
      <c r="U1141">
        <v>195.65</v>
      </c>
      <c r="V1141">
        <v>208.69</v>
      </c>
      <c r="X1141">
        <v>208.69</v>
      </c>
      <c r="Y1141">
        <v>299.99</v>
      </c>
      <c r="Z1141" t="s">
        <v>5922</v>
      </c>
    </row>
    <row r="1142" spans="1:26" x14ac:dyDescent="0.2">
      <c r="A1142" t="s">
        <v>2105</v>
      </c>
      <c r="B1142" t="s">
        <v>7166</v>
      </c>
      <c r="C1142" t="s">
        <v>7167</v>
      </c>
      <c r="D1142" t="s">
        <v>105</v>
      </c>
      <c r="E1142">
        <v>319.99</v>
      </c>
      <c r="F1142" t="s">
        <v>7168</v>
      </c>
      <c r="H1142">
        <v>222.6</v>
      </c>
      <c r="L1142" t="s">
        <v>5922</v>
      </c>
      <c r="U1142">
        <v>208.69</v>
      </c>
      <c r="V1142">
        <v>222.6</v>
      </c>
      <c r="X1142">
        <v>222.6</v>
      </c>
      <c r="Y1142">
        <v>319.99</v>
      </c>
      <c r="Z1142" t="s">
        <v>5922</v>
      </c>
    </row>
    <row r="1143" spans="1:26" x14ac:dyDescent="0.2">
      <c r="A1143" t="s">
        <v>2105</v>
      </c>
      <c r="B1143" t="s">
        <v>7169</v>
      </c>
      <c r="C1143" t="s">
        <v>7170</v>
      </c>
      <c r="D1143" t="s">
        <v>105</v>
      </c>
      <c r="E1143">
        <v>179.99</v>
      </c>
      <c r="F1143" t="s">
        <v>7024</v>
      </c>
      <c r="H1143">
        <v>125.21</v>
      </c>
      <c r="L1143" t="s">
        <v>5922</v>
      </c>
      <c r="U1143">
        <v>117.38</v>
      </c>
      <c r="V1143">
        <v>125.21</v>
      </c>
      <c r="X1143">
        <v>125.21</v>
      </c>
      <c r="Y1143">
        <v>179.99</v>
      </c>
      <c r="Z1143" t="s">
        <v>5922</v>
      </c>
    </row>
    <row r="1144" spans="1:26" x14ac:dyDescent="0.2">
      <c r="A1144" t="s">
        <v>2105</v>
      </c>
      <c r="B1144" t="s">
        <v>7171</v>
      </c>
      <c r="C1144" t="s">
        <v>7172</v>
      </c>
      <c r="D1144" t="s">
        <v>105</v>
      </c>
      <c r="E1144">
        <v>184.99</v>
      </c>
      <c r="F1144" t="s">
        <v>7173</v>
      </c>
      <c r="H1144">
        <v>128.69</v>
      </c>
      <c r="L1144" t="s">
        <v>5922</v>
      </c>
      <c r="U1144">
        <v>120.65</v>
      </c>
      <c r="V1144">
        <v>128.69</v>
      </c>
      <c r="X1144">
        <v>128.69</v>
      </c>
      <c r="Y1144">
        <v>184.99</v>
      </c>
      <c r="Z1144" t="s">
        <v>5922</v>
      </c>
    </row>
    <row r="1145" spans="1:26" x14ac:dyDescent="0.2">
      <c r="A1145" t="s">
        <v>2105</v>
      </c>
      <c r="B1145" t="s">
        <v>7174</v>
      </c>
      <c r="C1145" t="s">
        <v>7175</v>
      </c>
      <c r="D1145" t="s">
        <v>105</v>
      </c>
      <c r="E1145">
        <v>194.99</v>
      </c>
      <c r="F1145" t="s">
        <v>7176</v>
      </c>
      <c r="H1145">
        <v>135.65</v>
      </c>
      <c r="L1145" t="s">
        <v>5922</v>
      </c>
      <c r="U1145">
        <v>127.17</v>
      </c>
      <c r="V1145">
        <v>135.65</v>
      </c>
      <c r="X1145">
        <v>135.65</v>
      </c>
      <c r="Y1145">
        <v>194.99</v>
      </c>
      <c r="Z1145" t="s">
        <v>5922</v>
      </c>
    </row>
    <row r="1146" spans="1:26" x14ac:dyDescent="0.2">
      <c r="A1146" t="s">
        <v>2105</v>
      </c>
      <c r="B1146" t="s">
        <v>7177</v>
      </c>
      <c r="C1146" t="s">
        <v>7178</v>
      </c>
      <c r="D1146" t="s">
        <v>105</v>
      </c>
      <c r="E1146">
        <v>314.99</v>
      </c>
      <c r="F1146" t="s">
        <v>7179</v>
      </c>
      <c r="H1146">
        <v>219.12</v>
      </c>
      <c r="L1146" t="s">
        <v>5922</v>
      </c>
      <c r="U1146">
        <v>205.43</v>
      </c>
      <c r="V1146">
        <v>219.12</v>
      </c>
      <c r="X1146">
        <v>219.12</v>
      </c>
      <c r="Y1146">
        <v>314.99</v>
      </c>
      <c r="Z1146" t="s">
        <v>5922</v>
      </c>
    </row>
    <row r="1147" spans="1:26" x14ac:dyDescent="0.2">
      <c r="A1147" t="s">
        <v>2105</v>
      </c>
      <c r="B1147" t="s">
        <v>2134</v>
      </c>
      <c r="C1147" t="s">
        <v>2135</v>
      </c>
      <c r="D1147" t="s">
        <v>105</v>
      </c>
      <c r="E1147">
        <v>299.99</v>
      </c>
      <c r="F1147" t="s">
        <v>6918</v>
      </c>
      <c r="H1147">
        <v>208.69</v>
      </c>
      <c r="L1147" t="s">
        <v>5922</v>
      </c>
      <c r="U1147">
        <v>195.65</v>
      </c>
      <c r="V1147">
        <v>208.69</v>
      </c>
      <c r="X1147">
        <v>208.69</v>
      </c>
      <c r="Y1147">
        <v>299.99</v>
      </c>
      <c r="Z1147" t="s">
        <v>5922</v>
      </c>
    </row>
    <row r="1148" spans="1:26" x14ac:dyDescent="0.2">
      <c r="A1148" t="s">
        <v>2105</v>
      </c>
      <c r="B1148" t="s">
        <v>2136</v>
      </c>
      <c r="C1148" t="s">
        <v>2137</v>
      </c>
      <c r="D1148" t="s">
        <v>105</v>
      </c>
      <c r="E1148">
        <v>289.99</v>
      </c>
      <c r="F1148" t="s">
        <v>5922</v>
      </c>
      <c r="G1148">
        <v>289.99</v>
      </c>
      <c r="H1148">
        <v>201.73</v>
      </c>
      <c r="L1148" t="s">
        <v>5922</v>
      </c>
      <c r="Q1148">
        <v>201.73</v>
      </c>
      <c r="R1148">
        <v>201.73</v>
      </c>
      <c r="U1148">
        <v>189.12</v>
      </c>
      <c r="V1148">
        <v>201.73</v>
      </c>
      <c r="W1148">
        <v>0</v>
      </c>
      <c r="X1148">
        <v>201.73</v>
      </c>
      <c r="Y1148">
        <v>289.99</v>
      </c>
      <c r="Z1148" t="s">
        <v>5922</v>
      </c>
    </row>
    <row r="1149" spans="1:26" x14ac:dyDescent="0.2">
      <c r="A1149" t="s">
        <v>2105</v>
      </c>
      <c r="B1149" t="s">
        <v>2138</v>
      </c>
      <c r="C1149" t="s">
        <v>2139</v>
      </c>
      <c r="D1149" t="s">
        <v>105</v>
      </c>
      <c r="E1149">
        <v>224.99</v>
      </c>
      <c r="F1149" t="s">
        <v>5922</v>
      </c>
      <c r="G1149">
        <v>224.99</v>
      </c>
      <c r="H1149">
        <v>156.51</v>
      </c>
      <c r="L1149" t="s">
        <v>5922</v>
      </c>
      <c r="Q1149">
        <v>156.51</v>
      </c>
      <c r="R1149">
        <v>156.51</v>
      </c>
      <c r="U1149">
        <v>146.72999999999999</v>
      </c>
      <c r="V1149">
        <v>156.51</v>
      </c>
      <c r="W1149">
        <v>0</v>
      </c>
      <c r="X1149">
        <v>156.51</v>
      </c>
      <c r="Y1149">
        <v>224.99</v>
      </c>
      <c r="Z1149" t="s">
        <v>5922</v>
      </c>
    </row>
    <row r="1150" spans="1:26" x14ac:dyDescent="0.2">
      <c r="A1150" t="s">
        <v>2105</v>
      </c>
      <c r="B1150" t="s">
        <v>2140</v>
      </c>
      <c r="C1150" t="s">
        <v>2141</v>
      </c>
      <c r="D1150" t="s">
        <v>98</v>
      </c>
      <c r="E1150">
        <v>184.99</v>
      </c>
      <c r="F1150" t="s">
        <v>5922</v>
      </c>
      <c r="G1150">
        <v>184.99</v>
      </c>
      <c r="H1150">
        <v>128.69</v>
      </c>
      <c r="L1150" t="s">
        <v>5922</v>
      </c>
      <c r="Q1150">
        <v>128.69</v>
      </c>
      <c r="R1150">
        <v>128.69</v>
      </c>
      <c r="U1150">
        <v>120.65</v>
      </c>
      <c r="V1150">
        <v>128.69</v>
      </c>
      <c r="W1150">
        <v>0</v>
      </c>
      <c r="X1150">
        <v>128.69</v>
      </c>
      <c r="Y1150">
        <v>184.99</v>
      </c>
      <c r="Z1150" t="s">
        <v>5922</v>
      </c>
    </row>
    <row r="1151" spans="1:26" x14ac:dyDescent="0.2">
      <c r="A1151" t="s">
        <v>2105</v>
      </c>
      <c r="B1151" t="s">
        <v>2142</v>
      </c>
      <c r="C1151" t="s">
        <v>2143</v>
      </c>
      <c r="D1151" t="s">
        <v>105</v>
      </c>
      <c r="E1151">
        <v>219.99</v>
      </c>
      <c r="F1151" t="s">
        <v>5922</v>
      </c>
      <c r="G1151">
        <v>219.99</v>
      </c>
      <c r="H1151">
        <v>153.04</v>
      </c>
      <c r="L1151" t="s">
        <v>5922</v>
      </c>
      <c r="Q1151">
        <v>153.04</v>
      </c>
      <c r="R1151">
        <v>153.04</v>
      </c>
      <c r="U1151">
        <v>143.47</v>
      </c>
      <c r="V1151">
        <v>153.04</v>
      </c>
      <c r="W1151">
        <v>0</v>
      </c>
      <c r="X1151">
        <v>153.04</v>
      </c>
      <c r="Y1151">
        <v>219.99</v>
      </c>
      <c r="Z1151" t="s">
        <v>5922</v>
      </c>
    </row>
    <row r="1152" spans="1:26" x14ac:dyDescent="0.2">
      <c r="A1152" t="s">
        <v>2105</v>
      </c>
      <c r="B1152" t="s">
        <v>2144</v>
      </c>
      <c r="C1152" t="s">
        <v>2145</v>
      </c>
      <c r="D1152" t="s">
        <v>105</v>
      </c>
      <c r="E1152">
        <v>289.99</v>
      </c>
      <c r="F1152" t="s">
        <v>5922</v>
      </c>
      <c r="G1152">
        <v>289.99</v>
      </c>
      <c r="H1152">
        <v>201.73</v>
      </c>
      <c r="L1152" t="s">
        <v>5922</v>
      </c>
      <c r="Q1152">
        <v>201.73</v>
      </c>
      <c r="R1152">
        <v>201.73</v>
      </c>
      <c r="U1152">
        <v>189.12</v>
      </c>
      <c r="V1152">
        <v>201.73</v>
      </c>
      <c r="W1152">
        <v>0</v>
      </c>
      <c r="X1152">
        <v>201.73</v>
      </c>
      <c r="Y1152">
        <v>289.99</v>
      </c>
      <c r="Z1152" t="s">
        <v>5922</v>
      </c>
    </row>
    <row r="1153" spans="1:26" x14ac:dyDescent="0.2">
      <c r="A1153" t="s">
        <v>2105</v>
      </c>
      <c r="B1153" t="s">
        <v>2146</v>
      </c>
      <c r="C1153" t="s">
        <v>2147</v>
      </c>
      <c r="D1153" t="s">
        <v>105</v>
      </c>
      <c r="E1153">
        <v>224.99</v>
      </c>
      <c r="F1153" t="s">
        <v>5922</v>
      </c>
      <c r="G1153">
        <v>224.99</v>
      </c>
      <c r="H1153">
        <v>156.51</v>
      </c>
      <c r="L1153" t="s">
        <v>5922</v>
      </c>
      <c r="Q1153">
        <v>156.51</v>
      </c>
      <c r="R1153">
        <v>156.51</v>
      </c>
      <c r="U1153">
        <v>146.72999999999999</v>
      </c>
      <c r="V1153">
        <v>156.51</v>
      </c>
      <c r="X1153">
        <v>156.51</v>
      </c>
      <c r="Y1153">
        <v>224.99</v>
      </c>
      <c r="Z1153" t="s">
        <v>5922</v>
      </c>
    </row>
    <row r="1154" spans="1:26" x14ac:dyDescent="0.2">
      <c r="A1154" t="s">
        <v>2105</v>
      </c>
      <c r="B1154" t="s">
        <v>2148</v>
      </c>
      <c r="C1154" t="s">
        <v>2149</v>
      </c>
      <c r="D1154" t="s">
        <v>105</v>
      </c>
      <c r="E1154">
        <v>299.99</v>
      </c>
      <c r="F1154" t="s">
        <v>5922</v>
      </c>
      <c r="G1154">
        <v>299.99</v>
      </c>
      <c r="H1154">
        <v>208.69</v>
      </c>
      <c r="L1154" t="s">
        <v>5922</v>
      </c>
      <c r="Q1154">
        <v>208.69</v>
      </c>
      <c r="R1154">
        <v>208.69</v>
      </c>
      <c r="U1154">
        <v>195.65</v>
      </c>
      <c r="V1154">
        <v>208.69</v>
      </c>
      <c r="X1154">
        <v>208.69</v>
      </c>
      <c r="Y1154">
        <v>299.99</v>
      </c>
      <c r="Z1154" t="s">
        <v>5922</v>
      </c>
    </row>
    <row r="1155" spans="1:26" x14ac:dyDescent="0.2">
      <c r="A1155" t="s">
        <v>2105</v>
      </c>
      <c r="B1155" t="s">
        <v>2150</v>
      </c>
      <c r="C1155" t="s">
        <v>2151</v>
      </c>
      <c r="D1155" t="s">
        <v>105</v>
      </c>
      <c r="E1155">
        <v>289.99</v>
      </c>
      <c r="F1155" t="s">
        <v>5922</v>
      </c>
      <c r="G1155">
        <v>289.99</v>
      </c>
      <c r="H1155">
        <v>201.73</v>
      </c>
      <c r="L1155" t="s">
        <v>5922</v>
      </c>
      <c r="Q1155">
        <v>201.73</v>
      </c>
      <c r="R1155">
        <v>201.73</v>
      </c>
      <c r="U1155">
        <v>189.12</v>
      </c>
      <c r="V1155">
        <v>201.73</v>
      </c>
      <c r="X1155">
        <v>201.73</v>
      </c>
      <c r="Y1155">
        <v>289.99</v>
      </c>
      <c r="Z1155" t="s">
        <v>5922</v>
      </c>
    </row>
    <row r="1156" spans="1:26" x14ac:dyDescent="0.2">
      <c r="A1156" t="s">
        <v>2105</v>
      </c>
      <c r="B1156" t="s">
        <v>2152</v>
      </c>
      <c r="C1156" t="s">
        <v>2153</v>
      </c>
      <c r="D1156" t="s">
        <v>105</v>
      </c>
      <c r="E1156">
        <v>179.99</v>
      </c>
      <c r="F1156" t="s">
        <v>5922</v>
      </c>
      <c r="G1156">
        <v>179.99</v>
      </c>
      <c r="H1156">
        <v>125.21</v>
      </c>
      <c r="L1156" t="s">
        <v>5922</v>
      </c>
      <c r="Q1156">
        <v>125.21</v>
      </c>
      <c r="R1156">
        <v>125.21</v>
      </c>
      <c r="U1156">
        <v>117.38</v>
      </c>
      <c r="V1156">
        <v>125.21</v>
      </c>
      <c r="X1156">
        <v>125.21</v>
      </c>
      <c r="Y1156">
        <v>179.99</v>
      </c>
      <c r="Z1156" t="s">
        <v>5922</v>
      </c>
    </row>
    <row r="1157" spans="1:26" x14ac:dyDescent="0.2">
      <c r="A1157" t="s">
        <v>2105</v>
      </c>
      <c r="B1157" t="s">
        <v>2154</v>
      </c>
      <c r="C1157" t="s">
        <v>2155</v>
      </c>
      <c r="D1157" t="s">
        <v>105</v>
      </c>
      <c r="E1157">
        <v>184.99</v>
      </c>
      <c r="F1157" t="s">
        <v>5922</v>
      </c>
      <c r="G1157">
        <v>184.99</v>
      </c>
      <c r="H1157">
        <v>128.69</v>
      </c>
      <c r="L1157" t="s">
        <v>5922</v>
      </c>
      <c r="Q1157">
        <v>128.69</v>
      </c>
      <c r="R1157">
        <v>128.69</v>
      </c>
      <c r="U1157">
        <v>120.65</v>
      </c>
      <c r="V1157">
        <v>128.69</v>
      </c>
      <c r="X1157">
        <v>128.69</v>
      </c>
      <c r="Y1157">
        <v>184.99</v>
      </c>
      <c r="Z1157" t="s">
        <v>5922</v>
      </c>
    </row>
    <row r="1158" spans="1:26" x14ac:dyDescent="0.2">
      <c r="A1158" t="s">
        <v>2105</v>
      </c>
      <c r="B1158" t="s">
        <v>2156</v>
      </c>
      <c r="C1158" t="s">
        <v>2157</v>
      </c>
      <c r="D1158" t="s">
        <v>98</v>
      </c>
      <c r="E1158">
        <v>194.99</v>
      </c>
      <c r="F1158" t="s">
        <v>5922</v>
      </c>
      <c r="G1158">
        <v>194.99</v>
      </c>
      <c r="H1158">
        <v>135.65</v>
      </c>
      <c r="L1158" t="s">
        <v>5922</v>
      </c>
      <c r="Q1158">
        <v>135.65</v>
      </c>
      <c r="R1158">
        <v>135.65</v>
      </c>
      <c r="U1158">
        <v>127.17</v>
      </c>
      <c r="V1158">
        <v>135.65</v>
      </c>
      <c r="X1158">
        <v>135.65</v>
      </c>
      <c r="Y1158">
        <v>194.99</v>
      </c>
      <c r="Z1158" t="s">
        <v>5922</v>
      </c>
    </row>
    <row r="1159" spans="1:26" x14ac:dyDescent="0.2">
      <c r="A1159" t="s">
        <v>2105</v>
      </c>
      <c r="B1159" t="s">
        <v>2158</v>
      </c>
      <c r="C1159" t="s">
        <v>2159</v>
      </c>
      <c r="D1159" t="s">
        <v>105</v>
      </c>
      <c r="E1159">
        <v>299.99</v>
      </c>
      <c r="F1159" t="s">
        <v>6918</v>
      </c>
      <c r="H1159">
        <v>208.69</v>
      </c>
      <c r="L1159" t="s">
        <v>5922</v>
      </c>
      <c r="U1159">
        <v>195.65</v>
      </c>
      <c r="V1159">
        <v>208.69</v>
      </c>
      <c r="X1159">
        <v>208.69</v>
      </c>
      <c r="Y1159">
        <v>299.99</v>
      </c>
      <c r="Z1159" t="s">
        <v>5922</v>
      </c>
    </row>
    <row r="1160" spans="1:26" x14ac:dyDescent="0.2">
      <c r="A1160" t="s">
        <v>2105</v>
      </c>
      <c r="B1160" t="s">
        <v>7180</v>
      </c>
      <c r="C1160" t="s">
        <v>7181</v>
      </c>
      <c r="D1160" t="s">
        <v>105</v>
      </c>
      <c r="E1160">
        <v>179.99</v>
      </c>
      <c r="F1160" t="s">
        <v>7024</v>
      </c>
      <c r="H1160">
        <v>125.21</v>
      </c>
      <c r="L1160" t="s">
        <v>5922</v>
      </c>
      <c r="U1160">
        <v>117.38</v>
      </c>
      <c r="V1160">
        <v>125.21</v>
      </c>
      <c r="X1160">
        <v>125.21</v>
      </c>
      <c r="Y1160">
        <v>179.99</v>
      </c>
      <c r="Z1160" t="s">
        <v>5922</v>
      </c>
    </row>
    <row r="1161" spans="1:26" x14ac:dyDescent="0.2">
      <c r="A1161" t="s">
        <v>2105</v>
      </c>
      <c r="B1161" t="s">
        <v>7182</v>
      </c>
      <c r="C1161" t="s">
        <v>7183</v>
      </c>
      <c r="D1161" t="s">
        <v>105</v>
      </c>
      <c r="E1161">
        <v>194.99</v>
      </c>
      <c r="F1161" t="s">
        <v>7176</v>
      </c>
      <c r="H1161">
        <v>135.65</v>
      </c>
      <c r="L1161" t="s">
        <v>5922</v>
      </c>
      <c r="U1161">
        <v>127.17</v>
      </c>
      <c r="V1161">
        <v>135.65</v>
      </c>
      <c r="X1161">
        <v>135.65</v>
      </c>
      <c r="Y1161">
        <v>194.99</v>
      </c>
      <c r="Z1161" t="s">
        <v>5922</v>
      </c>
    </row>
    <row r="1162" spans="1:26" x14ac:dyDescent="0.2">
      <c r="A1162" t="s">
        <v>2105</v>
      </c>
      <c r="B1162" t="s">
        <v>7184</v>
      </c>
      <c r="C1162" t="s">
        <v>7185</v>
      </c>
      <c r="D1162" t="s">
        <v>105</v>
      </c>
      <c r="E1162">
        <v>259.99</v>
      </c>
      <c r="F1162" t="s">
        <v>7186</v>
      </c>
      <c r="H1162">
        <v>180.86</v>
      </c>
      <c r="L1162" t="s">
        <v>5922</v>
      </c>
      <c r="U1162">
        <v>169.56</v>
      </c>
      <c r="V1162">
        <v>180.86</v>
      </c>
      <c r="X1162">
        <v>180.86</v>
      </c>
      <c r="Y1162">
        <v>259.99</v>
      </c>
      <c r="Z1162" t="s">
        <v>5922</v>
      </c>
    </row>
    <row r="1163" spans="1:26" x14ac:dyDescent="0.2">
      <c r="A1163" t="s">
        <v>2105</v>
      </c>
      <c r="B1163" t="s">
        <v>2160</v>
      </c>
      <c r="C1163" t="s">
        <v>2161</v>
      </c>
      <c r="D1163" t="s">
        <v>105</v>
      </c>
      <c r="E1163">
        <v>189.99</v>
      </c>
      <c r="F1163" t="s">
        <v>5922</v>
      </c>
      <c r="G1163">
        <v>189.99</v>
      </c>
      <c r="H1163">
        <v>132.16999999999999</v>
      </c>
      <c r="L1163" t="s">
        <v>5922</v>
      </c>
      <c r="Q1163">
        <v>132.16999999999999</v>
      </c>
      <c r="R1163">
        <v>132.16999999999999</v>
      </c>
      <c r="U1163">
        <v>123.91</v>
      </c>
      <c r="V1163">
        <v>132.16999999999999</v>
      </c>
      <c r="X1163">
        <v>132.16999999999999</v>
      </c>
      <c r="Y1163">
        <v>189.99</v>
      </c>
      <c r="Z1163" t="s">
        <v>5922</v>
      </c>
    </row>
    <row r="1164" spans="1:26" x14ac:dyDescent="0.2">
      <c r="A1164" t="s">
        <v>2105</v>
      </c>
      <c r="B1164" t="s">
        <v>2162</v>
      </c>
      <c r="C1164" t="s">
        <v>2163</v>
      </c>
      <c r="D1164" t="s">
        <v>105</v>
      </c>
      <c r="E1164">
        <v>199.99</v>
      </c>
      <c r="F1164" t="s">
        <v>5922</v>
      </c>
      <c r="G1164">
        <v>199.99</v>
      </c>
      <c r="H1164">
        <v>139.12</v>
      </c>
      <c r="L1164" t="s">
        <v>5922</v>
      </c>
      <c r="Q1164">
        <v>139.12</v>
      </c>
      <c r="R1164">
        <v>139.12</v>
      </c>
      <c r="U1164">
        <v>130.43</v>
      </c>
      <c r="V1164">
        <v>139.12</v>
      </c>
      <c r="X1164">
        <v>139.12</v>
      </c>
      <c r="Y1164">
        <v>199.99</v>
      </c>
      <c r="Z1164" t="s">
        <v>5922</v>
      </c>
    </row>
    <row r="1165" spans="1:26" x14ac:dyDescent="0.2">
      <c r="A1165" t="s">
        <v>2105</v>
      </c>
      <c r="B1165" t="s">
        <v>2164</v>
      </c>
      <c r="C1165" t="s">
        <v>2165</v>
      </c>
      <c r="D1165" t="s">
        <v>105</v>
      </c>
      <c r="E1165">
        <v>269.99</v>
      </c>
      <c r="F1165" t="s">
        <v>5922</v>
      </c>
      <c r="G1165">
        <v>269.99</v>
      </c>
      <c r="H1165">
        <v>187.82</v>
      </c>
      <c r="L1165" t="s">
        <v>5922</v>
      </c>
      <c r="Q1165">
        <v>187.82</v>
      </c>
      <c r="R1165">
        <v>187.82</v>
      </c>
      <c r="U1165">
        <v>176.08</v>
      </c>
      <c r="V1165">
        <v>187.82</v>
      </c>
      <c r="X1165">
        <v>187.82</v>
      </c>
      <c r="Y1165">
        <v>269.99</v>
      </c>
      <c r="Z1165" t="s">
        <v>5922</v>
      </c>
    </row>
    <row r="1166" spans="1:26" x14ac:dyDescent="0.2">
      <c r="A1166" t="s">
        <v>2105</v>
      </c>
      <c r="B1166" t="s">
        <v>7187</v>
      </c>
      <c r="C1166" t="s">
        <v>7188</v>
      </c>
      <c r="D1166" t="s">
        <v>105</v>
      </c>
      <c r="E1166">
        <v>129.99</v>
      </c>
      <c r="F1166" t="s">
        <v>7023</v>
      </c>
      <c r="H1166">
        <v>90.43</v>
      </c>
      <c r="L1166" t="s">
        <v>5922</v>
      </c>
      <c r="U1166">
        <v>84.78</v>
      </c>
      <c r="V1166">
        <v>90.43</v>
      </c>
      <c r="X1166">
        <v>90.43</v>
      </c>
      <c r="Y1166">
        <v>129.99</v>
      </c>
      <c r="Z1166" t="s">
        <v>5922</v>
      </c>
    </row>
    <row r="1167" spans="1:26" x14ac:dyDescent="0.2">
      <c r="A1167" t="s">
        <v>2105</v>
      </c>
      <c r="B1167" t="s">
        <v>7189</v>
      </c>
      <c r="C1167" t="s">
        <v>7190</v>
      </c>
      <c r="D1167" t="s">
        <v>105</v>
      </c>
      <c r="E1167">
        <v>129.99</v>
      </c>
      <c r="F1167" t="s">
        <v>7023</v>
      </c>
      <c r="H1167">
        <v>90.43</v>
      </c>
      <c r="L1167" t="s">
        <v>5922</v>
      </c>
      <c r="U1167">
        <v>84.78</v>
      </c>
      <c r="V1167">
        <v>90.43</v>
      </c>
      <c r="X1167">
        <v>90.43</v>
      </c>
      <c r="Y1167">
        <v>129.99</v>
      </c>
      <c r="Z1167" t="s">
        <v>5922</v>
      </c>
    </row>
    <row r="1168" spans="1:26" x14ac:dyDescent="0.2">
      <c r="A1168" t="s">
        <v>2105</v>
      </c>
      <c r="B1168" t="s">
        <v>2166</v>
      </c>
      <c r="C1168" t="s">
        <v>2167</v>
      </c>
      <c r="D1168" t="s">
        <v>105</v>
      </c>
      <c r="E1168">
        <v>299.99</v>
      </c>
      <c r="F1168" t="s">
        <v>6918</v>
      </c>
      <c r="H1168">
        <v>221.73</v>
      </c>
      <c r="L1168" t="s">
        <v>5922</v>
      </c>
      <c r="U1168">
        <v>215.21</v>
      </c>
      <c r="V1168">
        <v>229.56</v>
      </c>
      <c r="X1168">
        <v>229.56</v>
      </c>
      <c r="Y1168">
        <v>299.99</v>
      </c>
      <c r="Z1168" t="s">
        <v>5922</v>
      </c>
    </row>
    <row r="1169" spans="1:26" x14ac:dyDescent="0.2">
      <c r="A1169" t="s">
        <v>2105</v>
      </c>
      <c r="B1169" t="s">
        <v>7191</v>
      </c>
      <c r="C1169" t="s">
        <v>7192</v>
      </c>
      <c r="D1169" t="s">
        <v>105</v>
      </c>
      <c r="E1169">
        <v>59.99</v>
      </c>
      <c r="F1169" t="s">
        <v>6889</v>
      </c>
      <c r="H1169">
        <v>41.73</v>
      </c>
      <c r="L1169" t="s">
        <v>5922</v>
      </c>
      <c r="V1169">
        <v>41.73</v>
      </c>
      <c r="X1169">
        <v>41.73</v>
      </c>
      <c r="Y1169">
        <v>59.99</v>
      </c>
      <c r="Z1169" t="s">
        <v>5922</v>
      </c>
    </row>
    <row r="1170" spans="1:26" x14ac:dyDescent="0.2">
      <c r="A1170" t="s">
        <v>2105</v>
      </c>
      <c r="B1170" t="s">
        <v>7193</v>
      </c>
      <c r="C1170" t="s">
        <v>7194</v>
      </c>
      <c r="D1170" t="s">
        <v>105</v>
      </c>
      <c r="E1170">
        <v>59.99</v>
      </c>
      <c r="F1170" t="s">
        <v>6889</v>
      </c>
      <c r="H1170">
        <v>41.73</v>
      </c>
      <c r="L1170" t="s">
        <v>5922</v>
      </c>
      <c r="V1170">
        <v>41.73</v>
      </c>
      <c r="X1170">
        <v>41.73</v>
      </c>
      <c r="Y1170">
        <v>59.99</v>
      </c>
      <c r="Z1170" t="s">
        <v>5922</v>
      </c>
    </row>
    <row r="1171" spans="1:26" x14ac:dyDescent="0.2">
      <c r="A1171" t="s">
        <v>2105</v>
      </c>
      <c r="B1171" t="s">
        <v>2168</v>
      </c>
      <c r="C1171" t="s">
        <v>2169</v>
      </c>
      <c r="D1171" t="s">
        <v>105</v>
      </c>
      <c r="E1171">
        <v>399.99</v>
      </c>
      <c r="F1171" t="s">
        <v>7153</v>
      </c>
      <c r="G1171">
        <v>399.99</v>
      </c>
      <c r="H1171">
        <v>295.64</v>
      </c>
      <c r="L1171" t="s">
        <v>5922</v>
      </c>
      <c r="Q1171">
        <v>295.64</v>
      </c>
      <c r="R1171">
        <v>295.64</v>
      </c>
      <c r="U1171">
        <v>286.95</v>
      </c>
      <c r="V1171">
        <v>306.08</v>
      </c>
      <c r="W1171">
        <v>0</v>
      </c>
      <c r="X1171">
        <v>306.08</v>
      </c>
      <c r="Y1171">
        <v>399.99</v>
      </c>
      <c r="Z1171" t="s">
        <v>5922</v>
      </c>
    </row>
    <row r="1172" spans="1:26" x14ac:dyDescent="0.2">
      <c r="A1172" t="s">
        <v>2105</v>
      </c>
      <c r="B1172" t="s">
        <v>2170</v>
      </c>
      <c r="C1172" t="s">
        <v>2171</v>
      </c>
      <c r="D1172" t="s">
        <v>98</v>
      </c>
      <c r="E1172">
        <v>399.99</v>
      </c>
      <c r="F1172" t="s">
        <v>7153</v>
      </c>
      <c r="G1172">
        <v>399.99</v>
      </c>
      <c r="H1172">
        <v>295.64</v>
      </c>
      <c r="L1172" t="s">
        <v>5922</v>
      </c>
      <c r="Q1172">
        <v>295.64</v>
      </c>
      <c r="R1172">
        <v>295.64</v>
      </c>
      <c r="U1172">
        <v>286.95</v>
      </c>
      <c r="V1172">
        <v>306.08</v>
      </c>
      <c r="W1172">
        <v>0</v>
      </c>
      <c r="X1172">
        <v>306.08</v>
      </c>
      <c r="Y1172">
        <v>399.99</v>
      </c>
      <c r="Z1172" t="s">
        <v>5922</v>
      </c>
    </row>
    <row r="1173" spans="1:26" x14ac:dyDescent="0.2">
      <c r="A1173" t="s">
        <v>2105</v>
      </c>
      <c r="B1173" t="s">
        <v>2172</v>
      </c>
      <c r="C1173" t="s">
        <v>2173</v>
      </c>
      <c r="D1173" t="s">
        <v>105</v>
      </c>
      <c r="E1173">
        <v>399.99</v>
      </c>
      <c r="F1173" t="s">
        <v>7153</v>
      </c>
      <c r="G1173">
        <v>399.99</v>
      </c>
      <c r="H1173">
        <v>295.64</v>
      </c>
      <c r="L1173" t="s">
        <v>5922</v>
      </c>
      <c r="Q1173">
        <v>295.64</v>
      </c>
      <c r="R1173">
        <v>295.64</v>
      </c>
      <c r="U1173">
        <v>286.95</v>
      </c>
      <c r="V1173">
        <v>306.08</v>
      </c>
      <c r="W1173">
        <v>0</v>
      </c>
      <c r="X1173">
        <v>306.08</v>
      </c>
      <c r="Y1173">
        <v>399.99</v>
      </c>
      <c r="Z1173" t="s">
        <v>5922</v>
      </c>
    </row>
    <row r="1174" spans="1:26" x14ac:dyDescent="0.2">
      <c r="A1174" t="s">
        <v>2215</v>
      </c>
      <c r="B1174" t="s">
        <v>7784</v>
      </c>
      <c r="C1174" t="s">
        <v>7785</v>
      </c>
      <c r="D1174" t="s">
        <v>105</v>
      </c>
      <c r="F1174" t="s">
        <v>5922</v>
      </c>
      <c r="L1174" t="s">
        <v>5922</v>
      </c>
      <c r="N1174">
        <v>0</v>
      </c>
      <c r="Z1174" t="s">
        <v>5922</v>
      </c>
    </row>
    <row r="1175" spans="1:26" x14ac:dyDescent="0.2">
      <c r="A1175" t="s">
        <v>2215</v>
      </c>
      <c r="B1175" t="s">
        <v>2216</v>
      </c>
      <c r="C1175" t="s">
        <v>2217</v>
      </c>
      <c r="D1175" t="s">
        <v>105</v>
      </c>
      <c r="E1175">
        <v>1099</v>
      </c>
      <c r="F1175" t="s">
        <v>7119</v>
      </c>
      <c r="L1175" t="s">
        <v>5922</v>
      </c>
      <c r="N1175">
        <v>764.52</v>
      </c>
      <c r="S1175">
        <v>783.63</v>
      </c>
      <c r="Z1175" t="s">
        <v>5922</v>
      </c>
    </row>
    <row r="1176" spans="1:26" x14ac:dyDescent="0.2">
      <c r="A1176" t="s">
        <v>2215</v>
      </c>
      <c r="B1176" t="s">
        <v>2218</v>
      </c>
      <c r="C1176" t="s">
        <v>2219</v>
      </c>
      <c r="D1176" t="s">
        <v>105</v>
      </c>
      <c r="E1176">
        <v>1099</v>
      </c>
      <c r="F1176" t="s">
        <v>7119</v>
      </c>
      <c r="L1176" t="s">
        <v>5922</v>
      </c>
      <c r="N1176">
        <v>764.52</v>
      </c>
      <c r="S1176">
        <v>783.63</v>
      </c>
      <c r="Z1176" t="s">
        <v>5922</v>
      </c>
    </row>
    <row r="1177" spans="1:26" x14ac:dyDescent="0.2">
      <c r="A1177" t="s">
        <v>2215</v>
      </c>
      <c r="B1177" t="s">
        <v>2220</v>
      </c>
      <c r="C1177" t="s">
        <v>2221</v>
      </c>
      <c r="D1177" t="s">
        <v>105</v>
      </c>
      <c r="E1177">
        <v>0</v>
      </c>
      <c r="F1177" t="s">
        <v>6901</v>
      </c>
      <c r="L1177" t="s">
        <v>5922</v>
      </c>
      <c r="N1177">
        <v>0</v>
      </c>
      <c r="S1177">
        <v>0</v>
      </c>
      <c r="Z1177" t="s">
        <v>5922</v>
      </c>
    </row>
    <row r="1178" spans="1:26" x14ac:dyDescent="0.2">
      <c r="A1178" t="s">
        <v>2215</v>
      </c>
      <c r="B1178" t="s">
        <v>2222</v>
      </c>
      <c r="C1178" t="s">
        <v>2223</v>
      </c>
      <c r="D1178" t="s">
        <v>105</v>
      </c>
      <c r="E1178">
        <v>2899</v>
      </c>
      <c r="F1178" t="s">
        <v>7195</v>
      </c>
      <c r="L1178" t="s">
        <v>5922</v>
      </c>
      <c r="N1178">
        <v>2016.7</v>
      </c>
      <c r="S1178">
        <v>2067.11</v>
      </c>
      <c r="Z1178" t="s">
        <v>5922</v>
      </c>
    </row>
    <row r="1179" spans="1:26" x14ac:dyDescent="0.2">
      <c r="A1179" t="s">
        <v>2215</v>
      </c>
      <c r="B1179" t="s">
        <v>2224</v>
      </c>
      <c r="C1179" t="s">
        <v>2225</v>
      </c>
      <c r="D1179" t="s">
        <v>105</v>
      </c>
      <c r="E1179">
        <v>2899</v>
      </c>
      <c r="F1179" t="s">
        <v>7195</v>
      </c>
      <c r="L1179" t="s">
        <v>5922</v>
      </c>
      <c r="N1179">
        <v>2016.7</v>
      </c>
      <c r="S1179">
        <v>2067.11</v>
      </c>
      <c r="Z1179" t="s">
        <v>5922</v>
      </c>
    </row>
    <row r="1180" spans="1:26" x14ac:dyDescent="0.2">
      <c r="A1180" t="s">
        <v>2215</v>
      </c>
      <c r="B1180" t="s">
        <v>2226</v>
      </c>
      <c r="C1180" t="s">
        <v>2227</v>
      </c>
      <c r="D1180" t="s">
        <v>105</v>
      </c>
      <c r="E1180">
        <v>0</v>
      </c>
      <c r="F1180" t="s">
        <v>6901</v>
      </c>
      <c r="L1180" t="s">
        <v>5922</v>
      </c>
      <c r="N1180">
        <v>0</v>
      </c>
      <c r="S1180">
        <v>0</v>
      </c>
      <c r="Z1180" t="s">
        <v>5922</v>
      </c>
    </row>
    <row r="1181" spans="1:26" x14ac:dyDescent="0.2">
      <c r="A1181" t="s">
        <v>2215</v>
      </c>
      <c r="B1181" t="s">
        <v>2228</v>
      </c>
      <c r="C1181" t="s">
        <v>2229</v>
      </c>
      <c r="D1181" t="s">
        <v>105</v>
      </c>
      <c r="E1181">
        <v>2899</v>
      </c>
      <c r="F1181" t="s">
        <v>7195</v>
      </c>
      <c r="L1181" t="s">
        <v>5922</v>
      </c>
      <c r="N1181">
        <v>2016.7</v>
      </c>
      <c r="S1181">
        <v>2067.11</v>
      </c>
      <c r="Z1181" t="s">
        <v>5922</v>
      </c>
    </row>
    <row r="1182" spans="1:26" x14ac:dyDescent="0.2">
      <c r="A1182" t="s">
        <v>2215</v>
      </c>
      <c r="B1182" t="s">
        <v>7515</v>
      </c>
      <c r="C1182" t="s">
        <v>7516</v>
      </c>
      <c r="D1182" t="s">
        <v>105</v>
      </c>
      <c r="E1182">
        <v>2399</v>
      </c>
      <c r="F1182" t="s">
        <v>7100</v>
      </c>
      <c r="L1182" t="s">
        <v>5922</v>
      </c>
      <c r="M1182">
        <v>1710.59</v>
      </c>
      <c r="N1182">
        <v>1668.87</v>
      </c>
      <c r="S1182">
        <v>1710.59</v>
      </c>
      <c r="Z1182" t="s">
        <v>5922</v>
      </c>
    </row>
    <row r="1183" spans="1:26" x14ac:dyDescent="0.2">
      <c r="A1183" t="s">
        <v>2215</v>
      </c>
      <c r="B1183" t="s">
        <v>7519</v>
      </c>
      <c r="C1183" t="s">
        <v>7520</v>
      </c>
      <c r="D1183" t="s">
        <v>105</v>
      </c>
      <c r="F1183" t="s">
        <v>5922</v>
      </c>
      <c r="L1183" t="s">
        <v>5922</v>
      </c>
      <c r="M1183">
        <v>814.67</v>
      </c>
      <c r="N1183">
        <v>814.67</v>
      </c>
      <c r="Z1183" t="s">
        <v>5922</v>
      </c>
    </row>
    <row r="1184" spans="1:26" x14ac:dyDescent="0.2">
      <c r="A1184" t="s">
        <v>2215</v>
      </c>
      <c r="B1184" t="s">
        <v>7525</v>
      </c>
      <c r="C1184" t="s">
        <v>7526</v>
      </c>
      <c r="D1184" t="s">
        <v>105</v>
      </c>
      <c r="E1184">
        <v>2399</v>
      </c>
      <c r="F1184" t="s">
        <v>7100</v>
      </c>
      <c r="L1184" t="s">
        <v>5922</v>
      </c>
      <c r="M1184">
        <v>1710.59</v>
      </c>
      <c r="N1184">
        <v>1668.87</v>
      </c>
      <c r="S1184">
        <v>1710.59</v>
      </c>
      <c r="Z1184" t="s">
        <v>5922</v>
      </c>
    </row>
    <row r="1185" spans="1:26" x14ac:dyDescent="0.2">
      <c r="A1185" t="s">
        <v>2215</v>
      </c>
      <c r="B1185" t="s">
        <v>7522</v>
      </c>
      <c r="C1185" t="s">
        <v>7523</v>
      </c>
      <c r="D1185" t="s">
        <v>105</v>
      </c>
      <c r="E1185">
        <v>2399</v>
      </c>
      <c r="F1185" t="s">
        <v>7100</v>
      </c>
      <c r="L1185" t="s">
        <v>5922</v>
      </c>
      <c r="M1185">
        <v>1710.59</v>
      </c>
      <c r="N1185">
        <v>1668.87</v>
      </c>
      <c r="S1185">
        <v>1710.59</v>
      </c>
      <c r="Z1185" t="s">
        <v>5922</v>
      </c>
    </row>
    <row r="1186" spans="1:26" x14ac:dyDescent="0.2">
      <c r="A1186" t="s">
        <v>2215</v>
      </c>
      <c r="B1186" t="s">
        <v>2230</v>
      </c>
      <c r="C1186" t="s">
        <v>2231</v>
      </c>
      <c r="D1186" t="s">
        <v>105</v>
      </c>
      <c r="E1186">
        <v>649</v>
      </c>
      <c r="F1186" t="s">
        <v>7061</v>
      </c>
      <c r="L1186" t="s">
        <v>5922</v>
      </c>
      <c r="N1186">
        <v>386.58</v>
      </c>
      <c r="S1186">
        <v>471.23</v>
      </c>
      <c r="Z1186" t="s">
        <v>5922</v>
      </c>
    </row>
    <row r="1187" spans="1:26" x14ac:dyDescent="0.2">
      <c r="A1187" t="s">
        <v>2215</v>
      </c>
      <c r="B1187" t="s">
        <v>2232</v>
      </c>
      <c r="C1187" t="s">
        <v>2233</v>
      </c>
      <c r="D1187" t="s">
        <v>105</v>
      </c>
      <c r="F1187" t="s">
        <v>5922</v>
      </c>
      <c r="L1187" t="s">
        <v>5922</v>
      </c>
      <c r="N1187">
        <v>0</v>
      </c>
      <c r="Z1187" t="s">
        <v>5922</v>
      </c>
    </row>
    <row r="1188" spans="1:26" x14ac:dyDescent="0.2">
      <c r="A1188" t="s">
        <v>2215</v>
      </c>
      <c r="B1188" t="s">
        <v>2234</v>
      </c>
      <c r="C1188" t="s">
        <v>2235</v>
      </c>
      <c r="D1188" t="s">
        <v>105</v>
      </c>
      <c r="E1188">
        <v>299</v>
      </c>
      <c r="F1188" t="s">
        <v>6946</v>
      </c>
      <c r="L1188" t="s">
        <v>5922</v>
      </c>
      <c r="N1188">
        <v>178.1</v>
      </c>
      <c r="S1188">
        <v>217.1</v>
      </c>
      <c r="Z1188" t="s">
        <v>5922</v>
      </c>
    </row>
    <row r="1189" spans="1:26" x14ac:dyDescent="0.2">
      <c r="A1189" t="s">
        <v>2215</v>
      </c>
      <c r="B1189" t="s">
        <v>2236</v>
      </c>
      <c r="C1189" t="s">
        <v>2237</v>
      </c>
      <c r="D1189" t="s">
        <v>105</v>
      </c>
      <c r="F1189" t="s">
        <v>5922</v>
      </c>
      <c r="L1189" t="s">
        <v>5922</v>
      </c>
      <c r="N1189">
        <v>0</v>
      </c>
      <c r="Z1189" t="s">
        <v>5922</v>
      </c>
    </row>
    <row r="1190" spans="1:26" x14ac:dyDescent="0.2">
      <c r="A1190" t="s">
        <v>2215</v>
      </c>
      <c r="B1190" t="s">
        <v>7786</v>
      </c>
      <c r="C1190" t="s">
        <v>7787</v>
      </c>
      <c r="D1190" t="s">
        <v>98</v>
      </c>
      <c r="F1190" t="s">
        <v>5922</v>
      </c>
      <c r="L1190" t="s">
        <v>5922</v>
      </c>
      <c r="N1190">
        <v>0</v>
      </c>
      <c r="Z1190" t="s">
        <v>5922</v>
      </c>
    </row>
    <row r="1191" spans="1:26" x14ac:dyDescent="0.2">
      <c r="A1191" t="s">
        <v>2215</v>
      </c>
      <c r="B1191" t="s">
        <v>7529</v>
      </c>
      <c r="C1191" t="s">
        <v>7530</v>
      </c>
      <c r="D1191" t="s">
        <v>105</v>
      </c>
      <c r="E1191">
        <v>549</v>
      </c>
      <c r="F1191" t="s">
        <v>7060</v>
      </c>
      <c r="L1191" t="s">
        <v>5922</v>
      </c>
      <c r="S1191">
        <v>398.62</v>
      </c>
      <c r="Z1191" t="s">
        <v>5922</v>
      </c>
    </row>
    <row r="1192" spans="1:26" x14ac:dyDescent="0.2">
      <c r="A1192" t="s">
        <v>2215</v>
      </c>
      <c r="B1192" t="s">
        <v>7501</v>
      </c>
      <c r="C1192" t="s">
        <v>7502</v>
      </c>
      <c r="D1192" t="s">
        <v>105</v>
      </c>
      <c r="E1192">
        <v>799</v>
      </c>
      <c r="F1192" t="s">
        <v>7047</v>
      </c>
      <c r="L1192" t="s">
        <v>5922</v>
      </c>
      <c r="M1192">
        <v>569.72</v>
      </c>
      <c r="N1192">
        <v>555.83000000000004</v>
      </c>
      <c r="S1192">
        <v>569.72</v>
      </c>
      <c r="Z1192" t="s">
        <v>5922</v>
      </c>
    </row>
    <row r="1193" spans="1:26" x14ac:dyDescent="0.2">
      <c r="A1193" t="s">
        <v>2215</v>
      </c>
      <c r="B1193" t="s">
        <v>7505</v>
      </c>
      <c r="C1193" t="s">
        <v>7506</v>
      </c>
      <c r="D1193" t="s">
        <v>105</v>
      </c>
      <c r="F1193" t="s">
        <v>5922</v>
      </c>
      <c r="L1193" t="s">
        <v>5922</v>
      </c>
      <c r="M1193">
        <v>271.33</v>
      </c>
      <c r="N1193">
        <v>271.33</v>
      </c>
      <c r="Z1193" t="s">
        <v>5922</v>
      </c>
    </row>
    <row r="1194" spans="1:26" x14ac:dyDescent="0.2">
      <c r="A1194" t="s">
        <v>2215</v>
      </c>
      <c r="B1194" t="s">
        <v>7512</v>
      </c>
      <c r="C1194" t="s">
        <v>7513</v>
      </c>
      <c r="D1194" t="s">
        <v>105</v>
      </c>
      <c r="E1194">
        <v>799</v>
      </c>
      <c r="F1194" t="s">
        <v>7047</v>
      </c>
      <c r="L1194" t="s">
        <v>5922</v>
      </c>
      <c r="M1194">
        <v>569.72</v>
      </c>
      <c r="N1194">
        <v>555.83000000000004</v>
      </c>
      <c r="S1194">
        <v>569.72</v>
      </c>
      <c r="Z1194" t="s">
        <v>5922</v>
      </c>
    </row>
    <row r="1195" spans="1:26" x14ac:dyDescent="0.2">
      <c r="A1195" t="s">
        <v>2215</v>
      </c>
      <c r="B1195" t="s">
        <v>7508</v>
      </c>
      <c r="C1195" t="s">
        <v>7509</v>
      </c>
      <c r="D1195" t="s">
        <v>105</v>
      </c>
      <c r="E1195">
        <v>799</v>
      </c>
      <c r="F1195" t="s">
        <v>7047</v>
      </c>
      <c r="L1195" t="s">
        <v>5922</v>
      </c>
      <c r="M1195">
        <v>569.72</v>
      </c>
      <c r="N1195">
        <v>555.83000000000004</v>
      </c>
      <c r="S1195">
        <v>569.72</v>
      </c>
      <c r="Z1195" t="s">
        <v>5922</v>
      </c>
    </row>
    <row r="1196" spans="1:26" x14ac:dyDescent="0.2">
      <c r="A1196" t="s">
        <v>2238</v>
      </c>
      <c r="B1196" t="s">
        <v>7788</v>
      </c>
      <c r="C1196" t="s">
        <v>7789</v>
      </c>
      <c r="D1196" t="s">
        <v>105</v>
      </c>
      <c r="E1196">
        <v>20.99</v>
      </c>
      <c r="F1196" t="s">
        <v>7790</v>
      </c>
      <c r="H1196">
        <v>13.69</v>
      </c>
      <c r="I1196">
        <v>15.51</v>
      </c>
      <c r="L1196" t="s">
        <v>5922</v>
      </c>
      <c r="M1196">
        <v>15.21</v>
      </c>
      <c r="N1196">
        <v>15.21</v>
      </c>
      <c r="S1196">
        <v>14.88</v>
      </c>
      <c r="Z1196" t="s">
        <v>5922</v>
      </c>
    </row>
    <row r="1197" spans="1:26" x14ac:dyDescent="0.2">
      <c r="A1197" t="s">
        <v>2238</v>
      </c>
      <c r="B1197" t="s">
        <v>5733</v>
      </c>
      <c r="C1197" t="s">
        <v>2239</v>
      </c>
      <c r="D1197" t="s">
        <v>105</v>
      </c>
      <c r="E1197">
        <v>59.99</v>
      </c>
      <c r="F1197" t="s">
        <v>6889</v>
      </c>
      <c r="H1197">
        <v>39.130000000000003</v>
      </c>
      <c r="I1197">
        <v>41.74</v>
      </c>
      <c r="J1197">
        <v>46.95</v>
      </c>
      <c r="L1197" t="s">
        <v>5922</v>
      </c>
      <c r="M1197">
        <v>40.58</v>
      </c>
      <c r="N1197">
        <v>40.58</v>
      </c>
      <c r="P1197">
        <v>40.090000000000003</v>
      </c>
      <c r="R1197">
        <v>36.520000000000003</v>
      </c>
      <c r="S1197">
        <v>33.31</v>
      </c>
      <c r="U1197">
        <v>36.520000000000003</v>
      </c>
      <c r="Z1197" t="s">
        <v>5922</v>
      </c>
    </row>
    <row r="1198" spans="1:26" x14ac:dyDescent="0.2">
      <c r="A1198" t="s">
        <v>2238</v>
      </c>
      <c r="B1198" t="s">
        <v>5731</v>
      </c>
      <c r="C1198" t="s">
        <v>2240</v>
      </c>
      <c r="D1198" t="s">
        <v>105</v>
      </c>
      <c r="E1198">
        <v>54.99</v>
      </c>
      <c r="F1198" t="s">
        <v>7027</v>
      </c>
      <c r="H1198">
        <v>35.869999999999997</v>
      </c>
      <c r="I1198">
        <v>38.26</v>
      </c>
      <c r="J1198">
        <v>43.04</v>
      </c>
      <c r="L1198" t="s">
        <v>5922</v>
      </c>
      <c r="M1198">
        <v>37.19</v>
      </c>
      <c r="N1198">
        <v>37.19</v>
      </c>
      <c r="P1198">
        <v>36.75</v>
      </c>
      <c r="R1198">
        <v>33.47</v>
      </c>
      <c r="S1198">
        <v>33.31</v>
      </c>
      <c r="U1198">
        <v>33.47</v>
      </c>
      <c r="Z1198" t="s">
        <v>5922</v>
      </c>
    </row>
    <row r="1199" spans="1:26" x14ac:dyDescent="0.2">
      <c r="A1199" t="s">
        <v>2238</v>
      </c>
      <c r="B1199" t="s">
        <v>5748</v>
      </c>
      <c r="C1199" t="s">
        <v>2241</v>
      </c>
      <c r="D1199" t="s">
        <v>105</v>
      </c>
      <c r="E1199">
        <v>819.99</v>
      </c>
      <c r="F1199" t="s">
        <v>7196</v>
      </c>
      <c r="H1199">
        <v>598.95000000000005</v>
      </c>
      <c r="I1199">
        <v>606.08000000000004</v>
      </c>
      <c r="J1199">
        <v>641.73</v>
      </c>
      <c r="L1199" t="s">
        <v>5922</v>
      </c>
      <c r="M1199">
        <v>649.65</v>
      </c>
      <c r="N1199">
        <v>665.5</v>
      </c>
      <c r="P1199">
        <v>660.49</v>
      </c>
      <c r="R1199">
        <v>598.95000000000005</v>
      </c>
      <c r="S1199">
        <v>651.03</v>
      </c>
      <c r="U1199">
        <v>584.67999999999995</v>
      </c>
      <c r="Z1199" t="s">
        <v>5922</v>
      </c>
    </row>
    <row r="1200" spans="1:26" x14ac:dyDescent="0.2">
      <c r="A1200" t="s">
        <v>2238</v>
      </c>
      <c r="B1200" t="s">
        <v>7791</v>
      </c>
      <c r="C1200" t="s">
        <v>7792</v>
      </c>
      <c r="D1200" t="s">
        <v>105</v>
      </c>
      <c r="E1200">
        <v>1179</v>
      </c>
      <c r="F1200" t="s">
        <v>7793</v>
      </c>
      <c r="H1200">
        <v>861.18</v>
      </c>
      <c r="I1200">
        <v>871.43</v>
      </c>
      <c r="L1200" t="s">
        <v>5922</v>
      </c>
      <c r="M1200">
        <v>933.97</v>
      </c>
      <c r="N1200">
        <v>956.87</v>
      </c>
      <c r="S1200">
        <v>936.02</v>
      </c>
      <c r="Z1200" t="s">
        <v>5922</v>
      </c>
    </row>
    <row r="1201" spans="1:26" x14ac:dyDescent="0.2">
      <c r="A1201" t="s">
        <v>2238</v>
      </c>
      <c r="B1201" t="s">
        <v>7794</v>
      </c>
      <c r="C1201" t="s">
        <v>7795</v>
      </c>
      <c r="D1201" t="s">
        <v>105</v>
      </c>
      <c r="E1201">
        <v>209</v>
      </c>
      <c r="F1201" t="s">
        <v>6943</v>
      </c>
      <c r="H1201">
        <v>136.30000000000001</v>
      </c>
      <c r="I1201">
        <v>154.47999999999999</v>
      </c>
      <c r="L1201" t="s">
        <v>5922</v>
      </c>
      <c r="M1201">
        <v>151.44999999999999</v>
      </c>
      <c r="N1201">
        <v>151.44999999999999</v>
      </c>
      <c r="S1201">
        <v>148.16</v>
      </c>
      <c r="Z1201" t="s">
        <v>5922</v>
      </c>
    </row>
    <row r="1202" spans="1:26" x14ac:dyDescent="0.2">
      <c r="A1202" t="s">
        <v>2238</v>
      </c>
      <c r="B1202" t="s">
        <v>5761</v>
      </c>
      <c r="C1202" t="s">
        <v>2242</v>
      </c>
      <c r="D1202" t="s">
        <v>105</v>
      </c>
      <c r="E1202">
        <v>779.99</v>
      </c>
      <c r="F1202" t="s">
        <v>7197</v>
      </c>
      <c r="H1202">
        <v>569.73</v>
      </c>
      <c r="I1202">
        <v>576.51</v>
      </c>
      <c r="J1202">
        <v>610.42999999999995</v>
      </c>
      <c r="L1202" t="s">
        <v>5922</v>
      </c>
      <c r="M1202">
        <v>617.96</v>
      </c>
      <c r="N1202">
        <v>633.03</v>
      </c>
      <c r="P1202">
        <v>628.27</v>
      </c>
      <c r="R1202">
        <v>569.73</v>
      </c>
      <c r="S1202">
        <v>619.27</v>
      </c>
      <c r="U1202">
        <v>556.16999999999996</v>
      </c>
      <c r="Z1202" t="s">
        <v>5922</v>
      </c>
    </row>
    <row r="1203" spans="1:26" x14ac:dyDescent="0.2">
      <c r="A1203" t="s">
        <v>2238</v>
      </c>
      <c r="B1203" t="s">
        <v>7796</v>
      </c>
      <c r="C1203" t="s">
        <v>7797</v>
      </c>
      <c r="D1203" t="s">
        <v>105</v>
      </c>
      <c r="E1203">
        <v>1529</v>
      </c>
      <c r="F1203" t="s">
        <v>7798</v>
      </c>
      <c r="H1203">
        <v>1116.83</v>
      </c>
      <c r="I1203">
        <v>1130.1300000000001</v>
      </c>
      <c r="L1203" t="s">
        <v>5922</v>
      </c>
      <c r="M1203">
        <v>1211.23</v>
      </c>
      <c r="N1203">
        <v>1240.92</v>
      </c>
      <c r="S1203">
        <v>1213.8900000000001</v>
      </c>
      <c r="Z1203" t="s">
        <v>5922</v>
      </c>
    </row>
    <row r="1204" spans="1:26" x14ac:dyDescent="0.2">
      <c r="A1204" t="s">
        <v>2238</v>
      </c>
      <c r="B1204" t="s">
        <v>7799</v>
      </c>
      <c r="C1204" t="s">
        <v>7800</v>
      </c>
      <c r="D1204" t="s">
        <v>105</v>
      </c>
      <c r="E1204">
        <v>1199</v>
      </c>
      <c r="F1204" t="s">
        <v>6953</v>
      </c>
      <c r="H1204">
        <v>875.79</v>
      </c>
      <c r="I1204">
        <v>886.22</v>
      </c>
      <c r="L1204" t="s">
        <v>5922</v>
      </c>
      <c r="M1204">
        <v>949.82</v>
      </c>
      <c r="N1204">
        <v>973.1</v>
      </c>
      <c r="S1204">
        <v>951.9</v>
      </c>
      <c r="Z1204" t="s">
        <v>5922</v>
      </c>
    </row>
    <row r="1205" spans="1:26" x14ac:dyDescent="0.2">
      <c r="A1205" t="s">
        <v>2238</v>
      </c>
      <c r="B1205" t="s">
        <v>6036</v>
      </c>
      <c r="C1205" t="s">
        <v>2243</v>
      </c>
      <c r="D1205" t="s">
        <v>105</v>
      </c>
      <c r="E1205">
        <v>174.99</v>
      </c>
      <c r="F1205" t="s">
        <v>7198</v>
      </c>
      <c r="H1205">
        <v>114.13</v>
      </c>
      <c r="I1205">
        <v>114.13</v>
      </c>
      <c r="J1205">
        <v>114.13</v>
      </c>
      <c r="L1205" t="s">
        <v>5922</v>
      </c>
      <c r="M1205">
        <v>126.81</v>
      </c>
      <c r="N1205">
        <v>126.81</v>
      </c>
      <c r="P1205">
        <v>120.13</v>
      </c>
      <c r="R1205">
        <v>114.13</v>
      </c>
      <c r="S1205">
        <v>124.05</v>
      </c>
      <c r="U1205">
        <v>114.13</v>
      </c>
      <c r="Z1205" t="s">
        <v>5922</v>
      </c>
    </row>
    <row r="1206" spans="1:26" x14ac:dyDescent="0.2">
      <c r="A1206" t="s">
        <v>2238</v>
      </c>
      <c r="B1206" t="s">
        <v>6037</v>
      </c>
      <c r="C1206" t="s">
        <v>2244</v>
      </c>
      <c r="D1206" t="s">
        <v>98</v>
      </c>
      <c r="E1206">
        <v>174.99</v>
      </c>
      <c r="F1206" t="s">
        <v>7198</v>
      </c>
      <c r="H1206">
        <v>114.13</v>
      </c>
      <c r="I1206">
        <v>114.13</v>
      </c>
      <c r="J1206">
        <v>114.13</v>
      </c>
      <c r="L1206" t="s">
        <v>5922</v>
      </c>
      <c r="M1206">
        <v>126.81</v>
      </c>
      <c r="N1206">
        <v>126.81</v>
      </c>
      <c r="P1206">
        <v>120.13</v>
      </c>
      <c r="R1206">
        <v>114.13</v>
      </c>
      <c r="S1206">
        <v>124.05</v>
      </c>
      <c r="U1206">
        <v>114.13</v>
      </c>
      <c r="Z1206" t="s">
        <v>5922</v>
      </c>
    </row>
    <row r="1207" spans="1:26" x14ac:dyDescent="0.2">
      <c r="A1207" t="s">
        <v>2238</v>
      </c>
      <c r="B1207" t="s">
        <v>7199</v>
      </c>
      <c r="C1207" t="s">
        <v>2245</v>
      </c>
      <c r="D1207" t="s">
        <v>105</v>
      </c>
      <c r="E1207">
        <v>69.989999999999995</v>
      </c>
      <c r="F1207" t="s">
        <v>6890</v>
      </c>
      <c r="H1207">
        <v>45.65</v>
      </c>
      <c r="I1207">
        <v>51.73</v>
      </c>
      <c r="J1207">
        <v>54.77</v>
      </c>
      <c r="L1207" t="s">
        <v>5922</v>
      </c>
      <c r="M1207">
        <v>50.72</v>
      </c>
      <c r="N1207">
        <v>50.72</v>
      </c>
      <c r="P1207">
        <v>49.33</v>
      </c>
      <c r="R1207">
        <v>45.65</v>
      </c>
      <c r="S1207">
        <v>49.61</v>
      </c>
      <c r="U1207">
        <v>45.65</v>
      </c>
      <c r="Z1207" t="s">
        <v>5922</v>
      </c>
    </row>
    <row r="1208" spans="1:26" x14ac:dyDescent="0.2">
      <c r="A1208" t="s">
        <v>2238</v>
      </c>
      <c r="B1208" t="s">
        <v>7200</v>
      </c>
      <c r="C1208" t="s">
        <v>2246</v>
      </c>
      <c r="D1208" t="s">
        <v>98</v>
      </c>
      <c r="E1208">
        <v>30</v>
      </c>
      <c r="F1208" t="s">
        <v>7201</v>
      </c>
      <c r="H1208">
        <v>19.57</v>
      </c>
      <c r="I1208">
        <v>22.18</v>
      </c>
      <c r="J1208">
        <v>23.48</v>
      </c>
      <c r="L1208" t="s">
        <v>5922</v>
      </c>
      <c r="M1208">
        <v>21.74</v>
      </c>
      <c r="N1208">
        <v>21.74</v>
      </c>
      <c r="P1208">
        <v>21.15</v>
      </c>
      <c r="R1208">
        <v>19.57</v>
      </c>
      <c r="S1208">
        <v>21.27</v>
      </c>
      <c r="U1208">
        <v>19.57</v>
      </c>
      <c r="Z1208" t="s">
        <v>5922</v>
      </c>
    </row>
    <row r="1209" spans="1:26" x14ac:dyDescent="0.2">
      <c r="A1209" t="s">
        <v>2238</v>
      </c>
      <c r="B1209" t="s">
        <v>5763</v>
      </c>
      <c r="C1209" t="s">
        <v>2247</v>
      </c>
      <c r="D1209" t="s">
        <v>138</v>
      </c>
      <c r="E1209">
        <v>539.99</v>
      </c>
      <c r="F1209" t="s">
        <v>7202</v>
      </c>
      <c r="H1209">
        <v>394.43</v>
      </c>
      <c r="I1209">
        <v>399.13</v>
      </c>
      <c r="J1209">
        <v>422.6</v>
      </c>
      <c r="L1209" t="s">
        <v>5922</v>
      </c>
      <c r="M1209">
        <v>427.82</v>
      </c>
      <c r="N1209">
        <v>438.26</v>
      </c>
      <c r="P1209">
        <v>434.96</v>
      </c>
      <c r="R1209">
        <v>394.43</v>
      </c>
      <c r="S1209">
        <v>428.73</v>
      </c>
      <c r="U1209">
        <v>385.04</v>
      </c>
      <c r="Z1209" t="s">
        <v>5922</v>
      </c>
    </row>
    <row r="1210" spans="1:26" x14ac:dyDescent="0.2">
      <c r="A1210" t="s">
        <v>2238</v>
      </c>
      <c r="B1210" t="s">
        <v>5764</v>
      </c>
      <c r="C1210" t="s">
        <v>2248</v>
      </c>
      <c r="D1210" t="s">
        <v>105</v>
      </c>
      <c r="E1210">
        <v>69.989999999999995</v>
      </c>
      <c r="F1210" t="s">
        <v>6890</v>
      </c>
      <c r="H1210">
        <v>45.65</v>
      </c>
      <c r="I1210">
        <v>51.73</v>
      </c>
      <c r="J1210">
        <v>54.77</v>
      </c>
      <c r="L1210" t="s">
        <v>5922</v>
      </c>
      <c r="M1210">
        <v>50.72</v>
      </c>
      <c r="N1210">
        <v>50.72</v>
      </c>
      <c r="P1210">
        <v>48.05</v>
      </c>
      <c r="R1210">
        <v>45.65</v>
      </c>
      <c r="S1210">
        <v>49.61</v>
      </c>
      <c r="U1210">
        <v>45.65</v>
      </c>
      <c r="Z1210" t="s">
        <v>5922</v>
      </c>
    </row>
    <row r="1211" spans="1:26" x14ac:dyDescent="0.2">
      <c r="A1211" t="s">
        <v>2238</v>
      </c>
      <c r="B1211" t="s">
        <v>2249</v>
      </c>
      <c r="C1211" t="s">
        <v>2250</v>
      </c>
      <c r="D1211" t="s">
        <v>105</v>
      </c>
      <c r="E1211">
        <v>49.99</v>
      </c>
      <c r="F1211" t="s">
        <v>7203</v>
      </c>
      <c r="G1211">
        <v>49.99</v>
      </c>
      <c r="I1211">
        <v>36.950000000000003</v>
      </c>
      <c r="L1211" t="s">
        <v>5922</v>
      </c>
      <c r="Z1211" t="s">
        <v>5922</v>
      </c>
    </row>
    <row r="1212" spans="1:26" x14ac:dyDescent="0.2">
      <c r="A1212" t="s">
        <v>2238</v>
      </c>
      <c r="B1212" t="s">
        <v>6038</v>
      </c>
      <c r="C1212" t="s">
        <v>2251</v>
      </c>
      <c r="D1212" t="s">
        <v>105</v>
      </c>
      <c r="E1212">
        <v>99.99</v>
      </c>
      <c r="F1212" t="s">
        <v>6903</v>
      </c>
      <c r="H1212">
        <v>65.209999999999994</v>
      </c>
      <c r="I1212">
        <v>73.91</v>
      </c>
      <c r="J1212">
        <v>78.260000000000005</v>
      </c>
      <c r="L1212" t="s">
        <v>5922</v>
      </c>
      <c r="M1212">
        <v>72.459999999999994</v>
      </c>
      <c r="N1212">
        <v>72.459999999999994</v>
      </c>
      <c r="P1212">
        <v>73.22</v>
      </c>
      <c r="R1212">
        <v>65.209999999999994</v>
      </c>
      <c r="S1212">
        <v>70.88</v>
      </c>
      <c r="U1212">
        <v>65.209999999999994</v>
      </c>
      <c r="Z1212" t="s">
        <v>5922</v>
      </c>
    </row>
    <row r="1213" spans="1:26" x14ac:dyDescent="0.2">
      <c r="A1213" t="s">
        <v>2238</v>
      </c>
      <c r="B1213" t="s">
        <v>6035</v>
      </c>
      <c r="C1213" t="s">
        <v>2252</v>
      </c>
      <c r="D1213" t="s">
        <v>105</v>
      </c>
      <c r="E1213">
        <v>112.99</v>
      </c>
      <c r="F1213" t="s">
        <v>7204</v>
      </c>
      <c r="H1213">
        <v>73.69</v>
      </c>
      <c r="I1213">
        <v>83.51</v>
      </c>
      <c r="J1213">
        <v>88.43</v>
      </c>
      <c r="L1213" t="s">
        <v>5922</v>
      </c>
      <c r="M1213">
        <v>81.88</v>
      </c>
      <c r="N1213">
        <v>81.88</v>
      </c>
      <c r="P1213">
        <v>79.63</v>
      </c>
      <c r="R1213">
        <v>73.69</v>
      </c>
      <c r="S1213">
        <v>80.099999999999994</v>
      </c>
      <c r="U1213">
        <v>73.69</v>
      </c>
      <c r="Z1213" t="s">
        <v>5922</v>
      </c>
    </row>
    <row r="1214" spans="1:26" x14ac:dyDescent="0.2">
      <c r="A1214" t="s">
        <v>2238</v>
      </c>
      <c r="B1214" t="s">
        <v>6039</v>
      </c>
      <c r="C1214" t="s">
        <v>2253</v>
      </c>
      <c r="D1214" t="s">
        <v>105</v>
      </c>
      <c r="E1214">
        <v>38.99</v>
      </c>
      <c r="F1214" t="s">
        <v>7205</v>
      </c>
      <c r="H1214">
        <v>25.43</v>
      </c>
      <c r="I1214">
        <v>28.82</v>
      </c>
      <c r="J1214">
        <v>30.51</v>
      </c>
      <c r="L1214" t="s">
        <v>5922</v>
      </c>
      <c r="M1214">
        <v>28.25</v>
      </c>
      <c r="N1214">
        <v>28.25</v>
      </c>
      <c r="P1214">
        <v>27.48</v>
      </c>
      <c r="R1214">
        <v>25.43</v>
      </c>
      <c r="S1214">
        <v>27.64</v>
      </c>
      <c r="U1214">
        <v>25.43</v>
      </c>
      <c r="Z1214" t="s">
        <v>5922</v>
      </c>
    </row>
    <row r="1215" spans="1:26" x14ac:dyDescent="0.2">
      <c r="A1215" t="s">
        <v>2238</v>
      </c>
      <c r="B1215" t="s">
        <v>6040</v>
      </c>
      <c r="C1215" t="s">
        <v>2254</v>
      </c>
      <c r="D1215" t="s">
        <v>98</v>
      </c>
      <c r="E1215">
        <v>3999</v>
      </c>
      <c r="F1215" t="s">
        <v>7206</v>
      </c>
      <c r="H1215">
        <v>2921.01</v>
      </c>
      <c r="I1215">
        <v>2955.78</v>
      </c>
      <c r="J1215">
        <v>3129.65</v>
      </c>
      <c r="L1215" t="s">
        <v>5922</v>
      </c>
      <c r="M1215">
        <v>3168.29</v>
      </c>
      <c r="N1215">
        <v>3245.56</v>
      </c>
      <c r="P1215">
        <v>3111.35</v>
      </c>
      <c r="R1215">
        <v>2921.01</v>
      </c>
      <c r="S1215">
        <v>3175.01</v>
      </c>
      <c r="U1215">
        <v>2851.46</v>
      </c>
      <c r="Z1215" t="s">
        <v>5922</v>
      </c>
    </row>
    <row r="1216" spans="1:26" x14ac:dyDescent="0.2">
      <c r="A1216" t="s">
        <v>2238</v>
      </c>
      <c r="B1216" t="s">
        <v>7207</v>
      </c>
      <c r="C1216" t="s">
        <v>2255</v>
      </c>
      <c r="D1216" t="s">
        <v>98</v>
      </c>
      <c r="E1216">
        <v>95.99</v>
      </c>
      <c r="F1216" t="s">
        <v>7208</v>
      </c>
      <c r="H1216">
        <v>62.6</v>
      </c>
      <c r="I1216">
        <v>70.95</v>
      </c>
      <c r="J1216">
        <v>75.12</v>
      </c>
      <c r="L1216" t="s">
        <v>5922</v>
      </c>
      <c r="M1216">
        <v>69.56</v>
      </c>
      <c r="N1216">
        <v>69.56</v>
      </c>
      <c r="P1216">
        <v>67.650000000000006</v>
      </c>
      <c r="R1216">
        <v>62.6</v>
      </c>
      <c r="S1216">
        <v>68.05</v>
      </c>
      <c r="U1216">
        <v>62.6</v>
      </c>
      <c r="Z1216" t="s">
        <v>5922</v>
      </c>
    </row>
    <row r="1217" spans="1:26" x14ac:dyDescent="0.2">
      <c r="A1217" t="s">
        <v>2238</v>
      </c>
      <c r="B1217" t="s">
        <v>7209</v>
      </c>
      <c r="C1217" t="s">
        <v>2256</v>
      </c>
      <c r="D1217" t="s">
        <v>105</v>
      </c>
      <c r="E1217">
        <v>499.99</v>
      </c>
      <c r="F1217" t="s">
        <v>6921</v>
      </c>
      <c r="H1217">
        <v>326.08</v>
      </c>
      <c r="I1217">
        <v>369.55</v>
      </c>
      <c r="J1217">
        <v>391.29</v>
      </c>
      <c r="L1217" t="s">
        <v>5922</v>
      </c>
      <c r="M1217">
        <v>362.31</v>
      </c>
      <c r="N1217">
        <v>362.31</v>
      </c>
      <c r="P1217">
        <v>352.39</v>
      </c>
      <c r="R1217">
        <v>326.08</v>
      </c>
      <c r="S1217">
        <v>354.43</v>
      </c>
      <c r="U1217">
        <v>326.08</v>
      </c>
      <c r="Z1217" t="s">
        <v>5922</v>
      </c>
    </row>
    <row r="1218" spans="1:26" x14ac:dyDescent="0.2">
      <c r="A1218" t="s">
        <v>2238</v>
      </c>
      <c r="B1218" t="s">
        <v>5769</v>
      </c>
      <c r="C1218" t="s">
        <v>2257</v>
      </c>
      <c r="D1218" t="s">
        <v>105</v>
      </c>
      <c r="E1218">
        <v>199.99</v>
      </c>
      <c r="F1218" t="s">
        <v>6916</v>
      </c>
      <c r="H1218">
        <v>130.43</v>
      </c>
      <c r="I1218">
        <v>147.82</v>
      </c>
      <c r="J1218">
        <v>156.51</v>
      </c>
      <c r="L1218" t="s">
        <v>5922</v>
      </c>
      <c r="M1218">
        <v>144.82</v>
      </c>
      <c r="N1218">
        <v>144.82</v>
      </c>
      <c r="P1218">
        <v>137.29</v>
      </c>
      <c r="R1218">
        <v>130.43</v>
      </c>
      <c r="S1218">
        <v>141.77000000000001</v>
      </c>
      <c r="U1218">
        <v>130.43</v>
      </c>
      <c r="Z1218" t="s">
        <v>5922</v>
      </c>
    </row>
    <row r="1219" spans="1:26" x14ac:dyDescent="0.2">
      <c r="A1219" t="s">
        <v>2238</v>
      </c>
      <c r="B1219" t="s">
        <v>7210</v>
      </c>
      <c r="C1219" t="s">
        <v>2258</v>
      </c>
      <c r="D1219" t="s">
        <v>98</v>
      </c>
      <c r="E1219">
        <v>29.99</v>
      </c>
      <c r="F1219" t="s">
        <v>6886</v>
      </c>
      <c r="H1219">
        <v>19.559999999999999</v>
      </c>
      <c r="I1219">
        <v>22.17</v>
      </c>
      <c r="J1219">
        <v>23.47</v>
      </c>
      <c r="L1219" t="s">
        <v>5922</v>
      </c>
      <c r="M1219">
        <v>21.73</v>
      </c>
      <c r="N1219">
        <v>21.73</v>
      </c>
      <c r="P1219">
        <v>21.14</v>
      </c>
      <c r="R1219">
        <v>19.559999999999999</v>
      </c>
      <c r="S1219">
        <v>21.26</v>
      </c>
      <c r="U1219">
        <v>19.559999999999999</v>
      </c>
      <c r="Z1219" t="s">
        <v>5922</v>
      </c>
    </row>
    <row r="1220" spans="1:26" x14ac:dyDescent="0.2">
      <c r="A1220" t="s">
        <v>2238</v>
      </c>
      <c r="B1220" t="s">
        <v>7211</v>
      </c>
      <c r="C1220" t="s">
        <v>2259</v>
      </c>
      <c r="D1220" t="s">
        <v>105</v>
      </c>
      <c r="E1220">
        <v>19.989999999999998</v>
      </c>
      <c r="F1220" t="s">
        <v>6931</v>
      </c>
      <c r="H1220">
        <v>13.04</v>
      </c>
      <c r="I1220">
        <v>14.77</v>
      </c>
      <c r="J1220">
        <v>15.64</v>
      </c>
      <c r="L1220" t="s">
        <v>5922</v>
      </c>
      <c r="M1220">
        <v>14.48</v>
      </c>
      <c r="N1220">
        <v>14.48</v>
      </c>
      <c r="P1220">
        <v>14.09</v>
      </c>
      <c r="R1220">
        <v>13.04</v>
      </c>
      <c r="S1220">
        <v>14.17</v>
      </c>
      <c r="U1220">
        <v>13.04</v>
      </c>
      <c r="Z1220" t="s">
        <v>5922</v>
      </c>
    </row>
    <row r="1221" spans="1:26" x14ac:dyDescent="0.2">
      <c r="A1221" t="s">
        <v>2238</v>
      </c>
      <c r="B1221" t="s">
        <v>5791</v>
      </c>
      <c r="C1221" t="s">
        <v>2260</v>
      </c>
      <c r="D1221" t="s">
        <v>138</v>
      </c>
      <c r="E1221">
        <v>249.99</v>
      </c>
      <c r="F1221" t="s">
        <v>7134</v>
      </c>
      <c r="H1221">
        <v>182.6</v>
      </c>
      <c r="I1221">
        <v>184.77</v>
      </c>
      <c r="J1221">
        <v>195.64</v>
      </c>
      <c r="L1221" t="s">
        <v>5922</v>
      </c>
      <c r="M1221">
        <v>198.06</v>
      </c>
      <c r="N1221">
        <v>202.89</v>
      </c>
      <c r="P1221">
        <v>201.36</v>
      </c>
      <c r="R1221">
        <v>182.6</v>
      </c>
      <c r="S1221">
        <v>198.48</v>
      </c>
      <c r="U1221">
        <v>169.33</v>
      </c>
      <c r="Z1221" t="s">
        <v>5922</v>
      </c>
    </row>
    <row r="1222" spans="1:26" x14ac:dyDescent="0.2">
      <c r="A1222" t="s">
        <v>2238</v>
      </c>
      <c r="B1222" t="s">
        <v>5766</v>
      </c>
      <c r="C1222" t="s">
        <v>2261</v>
      </c>
      <c r="D1222" t="s">
        <v>105</v>
      </c>
      <c r="E1222">
        <v>249.99</v>
      </c>
      <c r="F1222" t="s">
        <v>7134</v>
      </c>
      <c r="H1222">
        <v>182.6</v>
      </c>
      <c r="I1222">
        <v>184.77</v>
      </c>
      <c r="J1222">
        <v>195.64</v>
      </c>
      <c r="L1222" t="s">
        <v>5922</v>
      </c>
      <c r="M1222">
        <v>198.06</v>
      </c>
      <c r="N1222">
        <v>202.89</v>
      </c>
      <c r="P1222">
        <v>201.36</v>
      </c>
      <c r="R1222">
        <v>182.6</v>
      </c>
      <c r="S1222">
        <v>198.48</v>
      </c>
      <c r="U1222">
        <v>178.25</v>
      </c>
      <c r="Z1222" t="s">
        <v>5922</v>
      </c>
    </row>
    <row r="1223" spans="1:26" x14ac:dyDescent="0.2">
      <c r="A1223" t="s">
        <v>2238</v>
      </c>
      <c r="B1223" t="s">
        <v>5745</v>
      </c>
      <c r="C1223" t="s">
        <v>2262</v>
      </c>
      <c r="D1223" t="s">
        <v>138</v>
      </c>
      <c r="E1223">
        <v>329.99</v>
      </c>
      <c r="F1223" t="s">
        <v>7212</v>
      </c>
      <c r="H1223">
        <v>241.04</v>
      </c>
      <c r="I1223">
        <v>243.91</v>
      </c>
      <c r="J1223">
        <v>258.26</v>
      </c>
      <c r="L1223" t="s">
        <v>5922</v>
      </c>
      <c r="M1223">
        <v>261.44</v>
      </c>
      <c r="N1223">
        <v>267.82</v>
      </c>
      <c r="P1223">
        <v>265.81</v>
      </c>
      <c r="R1223">
        <v>241.04</v>
      </c>
      <c r="S1223">
        <v>262</v>
      </c>
      <c r="U1223">
        <v>235.3</v>
      </c>
      <c r="Z1223" t="s">
        <v>5922</v>
      </c>
    </row>
    <row r="1224" spans="1:26" x14ac:dyDescent="0.2">
      <c r="A1224" t="s">
        <v>2238</v>
      </c>
      <c r="B1224" t="s">
        <v>5750</v>
      </c>
      <c r="C1224" t="s">
        <v>2263</v>
      </c>
      <c r="D1224" t="s">
        <v>138</v>
      </c>
      <c r="E1224">
        <v>329.99</v>
      </c>
      <c r="F1224" t="s">
        <v>7212</v>
      </c>
      <c r="H1224">
        <v>241.04</v>
      </c>
      <c r="I1224">
        <v>243.91</v>
      </c>
      <c r="J1224">
        <v>258.26</v>
      </c>
      <c r="L1224" t="s">
        <v>5922</v>
      </c>
      <c r="M1224">
        <v>261.44</v>
      </c>
      <c r="N1224">
        <v>267.82</v>
      </c>
      <c r="P1224">
        <v>265.81</v>
      </c>
      <c r="R1224">
        <v>241.04</v>
      </c>
      <c r="S1224">
        <v>262</v>
      </c>
      <c r="U1224">
        <v>235.3</v>
      </c>
      <c r="Z1224" t="s">
        <v>5922</v>
      </c>
    </row>
    <row r="1225" spans="1:26" x14ac:dyDescent="0.2">
      <c r="A1225" t="s">
        <v>2238</v>
      </c>
      <c r="B1225" t="s">
        <v>5751</v>
      </c>
      <c r="C1225" t="s">
        <v>2264</v>
      </c>
      <c r="D1225" t="s">
        <v>105</v>
      </c>
      <c r="E1225">
        <v>279.99</v>
      </c>
      <c r="F1225" t="s">
        <v>7213</v>
      </c>
      <c r="H1225">
        <v>204.51</v>
      </c>
      <c r="I1225">
        <v>206.95</v>
      </c>
      <c r="J1225">
        <v>219.12</v>
      </c>
      <c r="L1225" t="s">
        <v>5922</v>
      </c>
      <c r="M1225">
        <v>221.83</v>
      </c>
      <c r="N1225">
        <v>227.24</v>
      </c>
      <c r="P1225">
        <v>225.53</v>
      </c>
      <c r="R1225">
        <v>204.51</v>
      </c>
      <c r="S1225">
        <v>222.3</v>
      </c>
      <c r="U1225">
        <v>199.65</v>
      </c>
      <c r="Z1225" t="s">
        <v>5922</v>
      </c>
    </row>
    <row r="1226" spans="1:26" x14ac:dyDescent="0.2">
      <c r="A1226" t="s">
        <v>2238</v>
      </c>
      <c r="B1226" t="s">
        <v>5749</v>
      </c>
      <c r="C1226" t="s">
        <v>2265</v>
      </c>
      <c r="D1226" t="s">
        <v>105</v>
      </c>
      <c r="E1226">
        <v>279.99</v>
      </c>
      <c r="F1226" t="s">
        <v>7213</v>
      </c>
      <c r="H1226">
        <v>204.51</v>
      </c>
      <c r="I1226">
        <v>206.95</v>
      </c>
      <c r="J1226">
        <v>219.12</v>
      </c>
      <c r="L1226" t="s">
        <v>5922</v>
      </c>
      <c r="M1226">
        <v>221.83</v>
      </c>
      <c r="N1226">
        <v>227.24</v>
      </c>
      <c r="P1226">
        <v>225.53</v>
      </c>
      <c r="R1226">
        <v>204.51</v>
      </c>
      <c r="S1226">
        <v>222.3</v>
      </c>
      <c r="U1226">
        <v>199.65</v>
      </c>
      <c r="Z1226" t="s">
        <v>5922</v>
      </c>
    </row>
    <row r="1227" spans="1:26" x14ac:dyDescent="0.2">
      <c r="A1227" t="s">
        <v>2238</v>
      </c>
      <c r="B1227" t="s">
        <v>7214</v>
      </c>
      <c r="C1227" t="s">
        <v>2266</v>
      </c>
      <c r="D1227" t="s">
        <v>105</v>
      </c>
      <c r="E1227">
        <v>40.99</v>
      </c>
      <c r="F1227" t="s">
        <v>7215</v>
      </c>
      <c r="H1227">
        <v>26.73</v>
      </c>
      <c r="I1227">
        <v>30.29</v>
      </c>
      <c r="J1227">
        <v>32.08</v>
      </c>
      <c r="L1227" t="s">
        <v>5922</v>
      </c>
      <c r="M1227">
        <v>29.7</v>
      </c>
      <c r="N1227">
        <v>29.7</v>
      </c>
      <c r="P1227">
        <v>28.89</v>
      </c>
      <c r="R1227">
        <v>26.73</v>
      </c>
      <c r="S1227">
        <v>29.05</v>
      </c>
      <c r="U1227">
        <v>26.73</v>
      </c>
      <c r="Z1227" t="s">
        <v>5922</v>
      </c>
    </row>
    <row r="1228" spans="1:26" x14ac:dyDescent="0.2">
      <c r="A1228" t="s">
        <v>2238</v>
      </c>
      <c r="B1228" t="s">
        <v>5793</v>
      </c>
      <c r="C1228" t="s">
        <v>2267</v>
      </c>
      <c r="D1228" t="s">
        <v>138</v>
      </c>
      <c r="E1228">
        <v>219.99</v>
      </c>
      <c r="F1228" t="s">
        <v>7051</v>
      </c>
      <c r="H1228">
        <v>160.69</v>
      </c>
      <c r="I1228">
        <v>162.61000000000001</v>
      </c>
      <c r="J1228">
        <v>172.17</v>
      </c>
      <c r="L1228" t="s">
        <v>5922</v>
      </c>
      <c r="M1228">
        <v>174.3</v>
      </c>
      <c r="N1228">
        <v>150</v>
      </c>
      <c r="P1228">
        <v>177.2</v>
      </c>
      <c r="R1228">
        <v>160.69</v>
      </c>
      <c r="S1228">
        <v>174.67</v>
      </c>
      <c r="U1228">
        <v>156.87</v>
      </c>
      <c r="Z1228" t="s">
        <v>5922</v>
      </c>
    </row>
    <row r="1229" spans="1:26" x14ac:dyDescent="0.2">
      <c r="A1229" t="s">
        <v>2238</v>
      </c>
      <c r="B1229" t="s">
        <v>5762</v>
      </c>
      <c r="C1229" t="s">
        <v>2268</v>
      </c>
      <c r="D1229" t="s">
        <v>138</v>
      </c>
      <c r="E1229">
        <v>219.99</v>
      </c>
      <c r="F1229" t="s">
        <v>7051</v>
      </c>
      <c r="H1229">
        <v>160.69</v>
      </c>
      <c r="I1229">
        <v>162.61000000000001</v>
      </c>
      <c r="J1229">
        <v>172.17</v>
      </c>
      <c r="L1229" t="s">
        <v>5922</v>
      </c>
      <c r="M1229">
        <v>174.3</v>
      </c>
      <c r="N1229">
        <v>178.55</v>
      </c>
      <c r="P1229">
        <v>177.2</v>
      </c>
      <c r="R1229">
        <v>160.69</v>
      </c>
      <c r="S1229">
        <v>174.67</v>
      </c>
      <c r="U1229">
        <v>156.87</v>
      </c>
      <c r="Z1229" t="s">
        <v>5922</v>
      </c>
    </row>
    <row r="1230" spans="1:26" x14ac:dyDescent="0.2">
      <c r="A1230" t="s">
        <v>2238</v>
      </c>
      <c r="B1230" t="s">
        <v>7216</v>
      </c>
      <c r="C1230" t="s">
        <v>2269</v>
      </c>
      <c r="D1230" t="s">
        <v>98</v>
      </c>
      <c r="E1230">
        <v>69.989999999999995</v>
      </c>
      <c r="F1230" t="s">
        <v>6890</v>
      </c>
      <c r="H1230">
        <v>45.65</v>
      </c>
      <c r="I1230">
        <v>51.73</v>
      </c>
      <c r="J1230">
        <v>54.77</v>
      </c>
      <c r="L1230" t="s">
        <v>5922</v>
      </c>
      <c r="M1230">
        <v>50.72</v>
      </c>
      <c r="N1230">
        <v>50.72</v>
      </c>
      <c r="P1230">
        <v>49.33</v>
      </c>
      <c r="R1230">
        <v>45.65</v>
      </c>
      <c r="S1230">
        <v>49.61</v>
      </c>
      <c r="U1230">
        <v>45.65</v>
      </c>
      <c r="Z1230" t="s">
        <v>5922</v>
      </c>
    </row>
    <row r="1231" spans="1:26" x14ac:dyDescent="0.2">
      <c r="A1231" t="s">
        <v>2238</v>
      </c>
      <c r="B1231" t="s">
        <v>7217</v>
      </c>
      <c r="C1231" t="s">
        <v>2270</v>
      </c>
      <c r="D1231" t="s">
        <v>105</v>
      </c>
      <c r="E1231">
        <v>109.99</v>
      </c>
      <c r="F1231" t="s">
        <v>7025</v>
      </c>
      <c r="H1231">
        <v>71.73</v>
      </c>
      <c r="I1231">
        <v>81.290000000000006</v>
      </c>
      <c r="J1231">
        <v>86.08</v>
      </c>
      <c r="L1231" t="s">
        <v>5922</v>
      </c>
      <c r="M1231">
        <v>79.7</v>
      </c>
      <c r="N1231">
        <v>79.7</v>
      </c>
      <c r="P1231">
        <v>77.52</v>
      </c>
      <c r="R1231">
        <v>71.73</v>
      </c>
      <c r="S1231">
        <v>77.97</v>
      </c>
      <c r="U1231">
        <v>71.73</v>
      </c>
      <c r="Z1231" t="s">
        <v>5922</v>
      </c>
    </row>
    <row r="1232" spans="1:26" x14ac:dyDescent="0.2">
      <c r="A1232" t="s">
        <v>2238</v>
      </c>
      <c r="B1232" t="s">
        <v>6041</v>
      </c>
      <c r="C1232" t="s">
        <v>2271</v>
      </c>
      <c r="D1232" t="s">
        <v>98</v>
      </c>
      <c r="E1232">
        <v>18.989999999999998</v>
      </c>
      <c r="F1232" t="s">
        <v>7218</v>
      </c>
      <c r="H1232">
        <v>12.38</v>
      </c>
      <c r="I1232">
        <v>14.03</v>
      </c>
      <c r="J1232">
        <v>14.86</v>
      </c>
      <c r="L1232" t="s">
        <v>5922</v>
      </c>
      <c r="M1232">
        <v>13.76</v>
      </c>
      <c r="N1232">
        <v>13.76</v>
      </c>
      <c r="P1232">
        <v>13.38</v>
      </c>
      <c r="R1232">
        <v>12.38</v>
      </c>
      <c r="S1232">
        <v>13.46</v>
      </c>
      <c r="U1232">
        <v>12.38</v>
      </c>
      <c r="Z1232" t="s">
        <v>5922</v>
      </c>
    </row>
    <row r="1233" spans="1:26" x14ac:dyDescent="0.2">
      <c r="A1233" t="s">
        <v>2238</v>
      </c>
      <c r="B1233" t="s">
        <v>6042</v>
      </c>
      <c r="C1233" t="s">
        <v>2272</v>
      </c>
      <c r="D1233" t="s">
        <v>105</v>
      </c>
      <c r="E1233">
        <v>28.99</v>
      </c>
      <c r="F1233" t="s">
        <v>7219</v>
      </c>
      <c r="H1233">
        <v>18.91</v>
      </c>
      <c r="I1233">
        <v>21.43</v>
      </c>
      <c r="J1233">
        <v>22.69</v>
      </c>
      <c r="L1233" t="s">
        <v>5922</v>
      </c>
      <c r="M1233">
        <v>21.01</v>
      </c>
      <c r="N1233">
        <v>21.01</v>
      </c>
      <c r="P1233">
        <v>20.43</v>
      </c>
      <c r="R1233">
        <v>18.91</v>
      </c>
      <c r="S1233">
        <v>20.55</v>
      </c>
      <c r="U1233">
        <v>18.91</v>
      </c>
      <c r="Z1233" t="s">
        <v>5922</v>
      </c>
    </row>
    <row r="1234" spans="1:26" x14ac:dyDescent="0.2">
      <c r="A1234" t="s">
        <v>2238</v>
      </c>
      <c r="B1234" t="s">
        <v>6043</v>
      </c>
      <c r="C1234" t="s">
        <v>2273</v>
      </c>
      <c r="D1234" t="s">
        <v>105</v>
      </c>
      <c r="E1234">
        <v>13.99</v>
      </c>
      <c r="F1234" t="s">
        <v>7220</v>
      </c>
      <c r="H1234">
        <v>9.1300000000000008</v>
      </c>
      <c r="I1234">
        <v>10.34</v>
      </c>
      <c r="J1234">
        <v>10.95</v>
      </c>
      <c r="L1234" t="s">
        <v>5922</v>
      </c>
      <c r="M1234">
        <v>10.14</v>
      </c>
      <c r="N1234">
        <v>10.14</v>
      </c>
      <c r="P1234">
        <v>9.86</v>
      </c>
      <c r="R1234">
        <v>9.1300000000000008</v>
      </c>
      <c r="S1234">
        <v>9.92</v>
      </c>
      <c r="U1234">
        <v>9.1300000000000008</v>
      </c>
      <c r="Z1234" t="s">
        <v>5922</v>
      </c>
    </row>
    <row r="1235" spans="1:26" x14ac:dyDescent="0.2">
      <c r="A1235" t="s">
        <v>2238</v>
      </c>
      <c r="B1235" t="s">
        <v>6044</v>
      </c>
      <c r="C1235" t="s">
        <v>2274</v>
      </c>
      <c r="D1235" t="s">
        <v>98</v>
      </c>
      <c r="E1235">
        <v>13.99</v>
      </c>
      <c r="F1235" t="s">
        <v>7220</v>
      </c>
      <c r="H1235">
        <v>9.1300000000000008</v>
      </c>
      <c r="I1235">
        <v>10.34</v>
      </c>
      <c r="J1235">
        <v>10.95</v>
      </c>
      <c r="L1235" t="s">
        <v>5922</v>
      </c>
      <c r="M1235">
        <v>10.14</v>
      </c>
      <c r="N1235">
        <v>10.14</v>
      </c>
      <c r="P1235">
        <v>9.86</v>
      </c>
      <c r="R1235">
        <v>9.1300000000000008</v>
      </c>
      <c r="S1235">
        <v>9.92</v>
      </c>
      <c r="U1235">
        <v>9.1300000000000008</v>
      </c>
      <c r="Z1235" t="s">
        <v>5922</v>
      </c>
    </row>
    <row r="1236" spans="1:26" x14ac:dyDescent="0.2">
      <c r="A1236" t="s">
        <v>2238</v>
      </c>
      <c r="B1236" t="s">
        <v>7221</v>
      </c>
      <c r="C1236" t="s">
        <v>2275</v>
      </c>
      <c r="D1236" t="s">
        <v>105</v>
      </c>
      <c r="E1236">
        <v>85.99</v>
      </c>
      <c r="F1236" t="s">
        <v>7222</v>
      </c>
      <c r="H1236">
        <v>56.08</v>
      </c>
      <c r="I1236">
        <v>63.55</v>
      </c>
      <c r="J1236">
        <v>67.290000000000006</v>
      </c>
      <c r="L1236" t="s">
        <v>5922</v>
      </c>
      <c r="M1236">
        <v>62.31</v>
      </c>
      <c r="N1236">
        <v>62.31</v>
      </c>
      <c r="P1236">
        <v>60.6</v>
      </c>
      <c r="R1236">
        <v>56.08</v>
      </c>
      <c r="S1236">
        <v>60.95</v>
      </c>
      <c r="U1236">
        <v>56.08</v>
      </c>
      <c r="Z1236" t="s">
        <v>5922</v>
      </c>
    </row>
    <row r="1237" spans="1:26" x14ac:dyDescent="0.2">
      <c r="A1237" t="s">
        <v>2238</v>
      </c>
      <c r="B1237" t="s">
        <v>5789</v>
      </c>
      <c r="C1237" t="s">
        <v>2276</v>
      </c>
      <c r="D1237" t="s">
        <v>105</v>
      </c>
      <c r="E1237">
        <v>423.99</v>
      </c>
      <c r="F1237" t="s">
        <v>7223</v>
      </c>
      <c r="H1237">
        <v>309.7</v>
      </c>
      <c r="I1237">
        <v>313.39</v>
      </c>
      <c r="J1237">
        <v>331.82</v>
      </c>
      <c r="L1237" t="s">
        <v>5922</v>
      </c>
      <c r="M1237">
        <v>335.92</v>
      </c>
      <c r="N1237">
        <v>344.11</v>
      </c>
      <c r="P1237">
        <v>341.52</v>
      </c>
      <c r="R1237">
        <v>309.7</v>
      </c>
      <c r="S1237">
        <v>336.63</v>
      </c>
      <c r="U1237">
        <v>302.33</v>
      </c>
      <c r="Z1237" t="s">
        <v>5922</v>
      </c>
    </row>
    <row r="1238" spans="1:26" x14ac:dyDescent="0.2">
      <c r="A1238" t="s">
        <v>2238</v>
      </c>
      <c r="B1238" t="s">
        <v>5777</v>
      </c>
      <c r="C1238" t="s">
        <v>2277</v>
      </c>
      <c r="D1238" t="s">
        <v>105</v>
      </c>
      <c r="E1238">
        <v>374.99</v>
      </c>
      <c r="F1238" t="s">
        <v>7224</v>
      </c>
      <c r="H1238">
        <v>273.91000000000003</v>
      </c>
      <c r="I1238">
        <v>277.17</v>
      </c>
      <c r="J1238">
        <v>293.47000000000003</v>
      </c>
      <c r="L1238" t="s">
        <v>5922</v>
      </c>
      <c r="M1238">
        <v>297.10000000000002</v>
      </c>
      <c r="N1238">
        <v>304.33999999999997</v>
      </c>
      <c r="P1238">
        <v>302.05</v>
      </c>
      <c r="R1238">
        <v>273.91000000000003</v>
      </c>
      <c r="S1238">
        <v>297.73</v>
      </c>
      <c r="U1238">
        <v>267.39</v>
      </c>
      <c r="Z1238" t="s">
        <v>5922</v>
      </c>
    </row>
    <row r="1239" spans="1:26" x14ac:dyDescent="0.2">
      <c r="A1239" t="s">
        <v>2238</v>
      </c>
      <c r="B1239" t="s">
        <v>5743</v>
      </c>
      <c r="C1239" t="s">
        <v>2278</v>
      </c>
      <c r="D1239" t="s">
        <v>105</v>
      </c>
      <c r="E1239">
        <v>679.99</v>
      </c>
      <c r="F1239" t="s">
        <v>7225</v>
      </c>
      <c r="H1239">
        <v>496.69</v>
      </c>
      <c r="I1239">
        <v>502.61</v>
      </c>
      <c r="J1239">
        <v>532.16999999999996</v>
      </c>
      <c r="L1239" t="s">
        <v>5922</v>
      </c>
      <c r="M1239">
        <v>538.74</v>
      </c>
      <c r="N1239">
        <v>551.88</v>
      </c>
      <c r="P1239">
        <v>547.73</v>
      </c>
      <c r="R1239">
        <v>496.69</v>
      </c>
      <c r="S1239">
        <v>539.88</v>
      </c>
      <c r="U1239">
        <v>484.87</v>
      </c>
      <c r="Z1239" t="s">
        <v>5922</v>
      </c>
    </row>
    <row r="1240" spans="1:26" x14ac:dyDescent="0.2">
      <c r="A1240" t="s">
        <v>2238</v>
      </c>
      <c r="B1240" t="s">
        <v>5740</v>
      </c>
      <c r="C1240" t="s">
        <v>2279</v>
      </c>
      <c r="D1240" t="s">
        <v>105</v>
      </c>
      <c r="E1240">
        <v>679.99</v>
      </c>
      <c r="F1240" t="s">
        <v>7225</v>
      </c>
      <c r="H1240">
        <v>496.69</v>
      </c>
      <c r="I1240">
        <v>502.61</v>
      </c>
      <c r="J1240">
        <v>532.16999999999996</v>
      </c>
      <c r="L1240" t="s">
        <v>5922</v>
      </c>
      <c r="M1240">
        <v>538.74</v>
      </c>
      <c r="N1240">
        <v>551.88</v>
      </c>
      <c r="P1240">
        <v>547.73</v>
      </c>
      <c r="R1240">
        <v>496.69</v>
      </c>
      <c r="S1240">
        <v>539.88</v>
      </c>
      <c r="U1240">
        <v>484.87</v>
      </c>
      <c r="Z1240" t="s">
        <v>5922</v>
      </c>
    </row>
    <row r="1241" spans="1:26" x14ac:dyDescent="0.2">
      <c r="A1241" t="s">
        <v>2238</v>
      </c>
      <c r="B1241" t="s">
        <v>5756</v>
      </c>
      <c r="C1241" t="s">
        <v>2280</v>
      </c>
      <c r="D1241" t="s">
        <v>105</v>
      </c>
      <c r="E1241">
        <v>629.99</v>
      </c>
      <c r="F1241" t="s">
        <v>7226</v>
      </c>
      <c r="H1241">
        <v>460.17</v>
      </c>
      <c r="I1241">
        <v>465.65</v>
      </c>
      <c r="J1241">
        <v>493.04</v>
      </c>
      <c r="L1241" t="s">
        <v>5922</v>
      </c>
      <c r="M1241">
        <v>499.12</v>
      </c>
      <c r="N1241">
        <v>511.3</v>
      </c>
      <c r="P1241">
        <v>507.45</v>
      </c>
      <c r="R1241">
        <v>460.17</v>
      </c>
      <c r="S1241">
        <v>500.18</v>
      </c>
      <c r="U1241">
        <v>449.21</v>
      </c>
      <c r="Z1241" t="s">
        <v>5922</v>
      </c>
    </row>
    <row r="1242" spans="1:26" x14ac:dyDescent="0.2">
      <c r="A1242" t="s">
        <v>2238</v>
      </c>
      <c r="B1242" t="s">
        <v>5765</v>
      </c>
      <c r="C1242" t="s">
        <v>2281</v>
      </c>
      <c r="D1242" t="s">
        <v>105</v>
      </c>
      <c r="E1242">
        <v>629.99</v>
      </c>
      <c r="F1242" t="s">
        <v>7226</v>
      </c>
      <c r="H1242">
        <v>460.17</v>
      </c>
      <c r="I1242">
        <v>465.65</v>
      </c>
      <c r="J1242">
        <v>493.04</v>
      </c>
      <c r="L1242" t="s">
        <v>5922</v>
      </c>
      <c r="M1242">
        <v>499.12</v>
      </c>
      <c r="N1242">
        <v>511.3</v>
      </c>
      <c r="P1242">
        <v>507.45</v>
      </c>
      <c r="R1242">
        <v>460.17</v>
      </c>
      <c r="S1242">
        <v>500.18</v>
      </c>
      <c r="U1242">
        <v>449.21</v>
      </c>
      <c r="Z1242" t="s">
        <v>5922</v>
      </c>
    </row>
    <row r="1243" spans="1:26" x14ac:dyDescent="0.2">
      <c r="A1243" t="s">
        <v>2238</v>
      </c>
      <c r="B1243" t="s">
        <v>7227</v>
      </c>
      <c r="C1243" t="s">
        <v>2282</v>
      </c>
      <c r="D1243" t="s">
        <v>105</v>
      </c>
      <c r="E1243">
        <v>25.99</v>
      </c>
      <c r="F1243" t="s">
        <v>7228</v>
      </c>
      <c r="H1243">
        <v>16.95</v>
      </c>
      <c r="I1243">
        <v>19.21</v>
      </c>
      <c r="J1243">
        <v>20.34</v>
      </c>
      <c r="L1243" t="s">
        <v>5922</v>
      </c>
      <c r="M1243">
        <v>18.829999999999998</v>
      </c>
      <c r="N1243">
        <v>18.829999999999998</v>
      </c>
      <c r="P1243">
        <v>18.32</v>
      </c>
      <c r="R1243">
        <v>16.95</v>
      </c>
      <c r="S1243">
        <v>18.420000000000002</v>
      </c>
      <c r="U1243">
        <v>16.95</v>
      </c>
      <c r="Z1243" t="s">
        <v>5922</v>
      </c>
    </row>
    <row r="1244" spans="1:26" x14ac:dyDescent="0.2">
      <c r="A1244" t="s">
        <v>2238</v>
      </c>
      <c r="B1244" t="s">
        <v>7229</v>
      </c>
      <c r="C1244" t="s">
        <v>2283</v>
      </c>
      <c r="D1244" t="s">
        <v>98</v>
      </c>
      <c r="E1244">
        <v>25.99</v>
      </c>
      <c r="F1244" t="s">
        <v>7228</v>
      </c>
      <c r="H1244">
        <v>16.95</v>
      </c>
      <c r="I1244">
        <v>19.21</v>
      </c>
      <c r="J1244">
        <v>20.34</v>
      </c>
      <c r="L1244" t="s">
        <v>5922</v>
      </c>
      <c r="M1244">
        <v>18.829999999999998</v>
      </c>
      <c r="N1244">
        <v>18.829999999999998</v>
      </c>
      <c r="P1244">
        <v>18.32</v>
      </c>
      <c r="R1244">
        <v>16.95</v>
      </c>
      <c r="S1244">
        <v>18.420000000000002</v>
      </c>
      <c r="U1244">
        <v>16.95</v>
      </c>
      <c r="Z1244" t="s">
        <v>5922</v>
      </c>
    </row>
    <row r="1245" spans="1:26" x14ac:dyDescent="0.2">
      <c r="A1245" t="s">
        <v>2238</v>
      </c>
      <c r="B1245" t="s">
        <v>7230</v>
      </c>
      <c r="C1245" t="s">
        <v>2284</v>
      </c>
      <c r="D1245" t="s">
        <v>98</v>
      </c>
      <c r="E1245">
        <v>49.99</v>
      </c>
      <c r="F1245" t="s">
        <v>6969</v>
      </c>
      <c r="H1245">
        <v>32.6</v>
      </c>
      <c r="I1245">
        <v>36.950000000000003</v>
      </c>
      <c r="J1245">
        <v>39.119999999999997</v>
      </c>
      <c r="L1245" t="s">
        <v>5922</v>
      </c>
      <c r="M1245">
        <v>36.229999999999997</v>
      </c>
      <c r="N1245">
        <v>36.229999999999997</v>
      </c>
      <c r="P1245">
        <v>35.229999999999997</v>
      </c>
      <c r="R1245">
        <v>32.6</v>
      </c>
      <c r="S1245">
        <v>35.44</v>
      </c>
      <c r="U1245">
        <v>32.6</v>
      </c>
      <c r="Z1245" t="s">
        <v>5922</v>
      </c>
    </row>
    <row r="1246" spans="1:26" x14ac:dyDescent="0.2">
      <c r="A1246" t="s">
        <v>2238</v>
      </c>
      <c r="B1246" t="s">
        <v>5783</v>
      </c>
      <c r="C1246" t="s">
        <v>2285</v>
      </c>
      <c r="D1246" t="s">
        <v>105</v>
      </c>
      <c r="E1246">
        <v>849.99</v>
      </c>
      <c r="F1246" t="s">
        <v>7231</v>
      </c>
      <c r="H1246">
        <v>620.86</v>
      </c>
      <c r="I1246">
        <v>628.25</v>
      </c>
      <c r="J1246">
        <v>665.21</v>
      </c>
      <c r="L1246" t="s">
        <v>5922</v>
      </c>
      <c r="M1246">
        <v>673.42</v>
      </c>
      <c r="N1246">
        <v>689.85</v>
      </c>
      <c r="P1246">
        <v>684.66</v>
      </c>
      <c r="R1246">
        <v>620.86</v>
      </c>
      <c r="S1246">
        <v>674.85</v>
      </c>
      <c r="U1246">
        <v>606.08000000000004</v>
      </c>
      <c r="Z1246" t="s">
        <v>5922</v>
      </c>
    </row>
    <row r="1247" spans="1:26" x14ac:dyDescent="0.2">
      <c r="A1247" t="s">
        <v>2238</v>
      </c>
      <c r="B1247" t="s">
        <v>5776</v>
      </c>
      <c r="C1247" t="s">
        <v>2286</v>
      </c>
      <c r="D1247" t="s">
        <v>105</v>
      </c>
      <c r="E1247">
        <v>849.99</v>
      </c>
      <c r="F1247" t="s">
        <v>7231</v>
      </c>
      <c r="H1247">
        <v>620.86</v>
      </c>
      <c r="I1247">
        <v>628.25</v>
      </c>
      <c r="J1247">
        <v>665.21</v>
      </c>
      <c r="L1247" t="s">
        <v>5922</v>
      </c>
      <c r="M1247">
        <v>673.42</v>
      </c>
      <c r="N1247">
        <v>689.85</v>
      </c>
      <c r="P1247">
        <v>684.66</v>
      </c>
      <c r="R1247">
        <v>620.86</v>
      </c>
      <c r="S1247">
        <v>674.85</v>
      </c>
      <c r="U1247">
        <v>606.08000000000004</v>
      </c>
      <c r="Z1247" t="s">
        <v>5922</v>
      </c>
    </row>
    <row r="1248" spans="1:26" x14ac:dyDescent="0.2">
      <c r="A1248" t="s">
        <v>2238</v>
      </c>
      <c r="B1248" t="s">
        <v>7232</v>
      </c>
      <c r="C1248" t="s">
        <v>2287</v>
      </c>
      <c r="D1248" t="s">
        <v>98</v>
      </c>
      <c r="E1248">
        <v>118.99</v>
      </c>
      <c r="F1248" t="s">
        <v>7233</v>
      </c>
      <c r="H1248">
        <v>77.599999999999994</v>
      </c>
      <c r="I1248">
        <v>87.95</v>
      </c>
      <c r="J1248">
        <v>93.12</v>
      </c>
      <c r="L1248" t="s">
        <v>5922</v>
      </c>
      <c r="M1248">
        <v>86.23</v>
      </c>
      <c r="N1248">
        <v>86.23</v>
      </c>
      <c r="P1248">
        <v>83.87</v>
      </c>
      <c r="R1248">
        <v>77.599999999999994</v>
      </c>
      <c r="S1248">
        <v>84.35</v>
      </c>
      <c r="U1248">
        <v>77.599999999999994</v>
      </c>
      <c r="Z1248" t="s">
        <v>5922</v>
      </c>
    </row>
    <row r="1249" spans="1:26" x14ac:dyDescent="0.2">
      <c r="A1249" t="s">
        <v>2238</v>
      </c>
      <c r="B1249" t="s">
        <v>7234</v>
      </c>
      <c r="C1249" t="s">
        <v>2288</v>
      </c>
      <c r="D1249" t="s">
        <v>98</v>
      </c>
      <c r="E1249">
        <v>39.99</v>
      </c>
      <c r="F1249" t="s">
        <v>6887</v>
      </c>
      <c r="H1249">
        <v>26.08</v>
      </c>
      <c r="I1249">
        <v>29.55</v>
      </c>
      <c r="J1249">
        <v>31.29</v>
      </c>
      <c r="L1249" t="s">
        <v>5922</v>
      </c>
      <c r="M1249">
        <v>28.98</v>
      </c>
      <c r="N1249">
        <v>28.98</v>
      </c>
      <c r="P1249">
        <v>28.18</v>
      </c>
      <c r="R1249">
        <v>26.08</v>
      </c>
      <c r="S1249">
        <v>28.35</v>
      </c>
      <c r="U1249">
        <v>26.08</v>
      </c>
      <c r="Z1249" t="s">
        <v>5922</v>
      </c>
    </row>
    <row r="1250" spans="1:26" x14ac:dyDescent="0.2">
      <c r="A1250" t="s">
        <v>2238</v>
      </c>
      <c r="B1250" t="s">
        <v>7235</v>
      </c>
      <c r="C1250" t="s">
        <v>2289</v>
      </c>
      <c r="D1250" t="s">
        <v>105</v>
      </c>
      <c r="E1250">
        <v>58.99</v>
      </c>
      <c r="F1250" t="s">
        <v>7236</v>
      </c>
      <c r="H1250">
        <v>38.479999999999997</v>
      </c>
      <c r="I1250">
        <v>43.61</v>
      </c>
      <c r="J1250">
        <v>46.17</v>
      </c>
      <c r="L1250" t="s">
        <v>5922</v>
      </c>
      <c r="M1250">
        <v>42.75</v>
      </c>
      <c r="N1250">
        <v>42.75</v>
      </c>
      <c r="P1250">
        <v>41.58</v>
      </c>
      <c r="R1250">
        <v>38.479999999999997</v>
      </c>
      <c r="S1250">
        <v>41.82</v>
      </c>
      <c r="U1250">
        <v>38.479999999999997</v>
      </c>
      <c r="Z1250" t="s">
        <v>5922</v>
      </c>
    </row>
    <row r="1251" spans="1:26" x14ac:dyDescent="0.2">
      <c r="A1251" t="s">
        <v>2238</v>
      </c>
      <c r="B1251" t="s">
        <v>7237</v>
      </c>
      <c r="C1251" t="s">
        <v>2290</v>
      </c>
      <c r="D1251" t="s">
        <v>105</v>
      </c>
      <c r="E1251">
        <v>39.99</v>
      </c>
      <c r="F1251" t="s">
        <v>6887</v>
      </c>
      <c r="H1251">
        <v>26.08</v>
      </c>
      <c r="I1251">
        <v>29.55</v>
      </c>
      <c r="J1251">
        <v>31.29</v>
      </c>
      <c r="L1251" t="s">
        <v>5922</v>
      </c>
      <c r="M1251">
        <v>28.98</v>
      </c>
      <c r="N1251">
        <v>28.98</v>
      </c>
      <c r="P1251">
        <v>28.18</v>
      </c>
      <c r="R1251">
        <v>26.08</v>
      </c>
      <c r="S1251">
        <v>28.35</v>
      </c>
      <c r="U1251">
        <v>26.08</v>
      </c>
      <c r="Z1251" t="s">
        <v>5922</v>
      </c>
    </row>
    <row r="1252" spans="1:26" x14ac:dyDescent="0.2">
      <c r="A1252" t="s">
        <v>2238</v>
      </c>
      <c r="B1252" t="s">
        <v>7238</v>
      </c>
      <c r="C1252" t="s">
        <v>2291</v>
      </c>
      <c r="D1252" t="s">
        <v>98</v>
      </c>
      <c r="E1252">
        <v>33.99</v>
      </c>
      <c r="F1252" t="s">
        <v>7239</v>
      </c>
      <c r="H1252">
        <v>22.17</v>
      </c>
      <c r="I1252">
        <v>25.13</v>
      </c>
      <c r="J1252">
        <v>26.6</v>
      </c>
      <c r="L1252" t="s">
        <v>5922</v>
      </c>
      <c r="M1252">
        <v>24.63</v>
      </c>
      <c r="N1252">
        <v>24.63</v>
      </c>
      <c r="P1252">
        <v>23.96</v>
      </c>
      <c r="R1252">
        <v>22.17</v>
      </c>
      <c r="S1252">
        <v>24.1</v>
      </c>
      <c r="U1252">
        <v>22.17</v>
      </c>
      <c r="Z1252" t="s">
        <v>5922</v>
      </c>
    </row>
    <row r="1253" spans="1:26" x14ac:dyDescent="0.2">
      <c r="A1253" t="s">
        <v>2238</v>
      </c>
      <c r="B1253" t="s">
        <v>7240</v>
      </c>
      <c r="C1253" t="s">
        <v>2292</v>
      </c>
      <c r="D1253" t="s">
        <v>98</v>
      </c>
      <c r="E1253">
        <v>19.989999999999998</v>
      </c>
      <c r="F1253" t="s">
        <v>6931</v>
      </c>
      <c r="H1253">
        <v>13.04</v>
      </c>
      <c r="I1253">
        <v>14.77</v>
      </c>
      <c r="J1253">
        <v>15.64</v>
      </c>
      <c r="L1253" t="s">
        <v>5922</v>
      </c>
      <c r="M1253">
        <v>14.48</v>
      </c>
      <c r="N1253">
        <v>14.48</v>
      </c>
      <c r="P1253">
        <v>14.09</v>
      </c>
      <c r="R1253">
        <v>13.04</v>
      </c>
      <c r="S1253">
        <v>14.17</v>
      </c>
      <c r="U1253">
        <v>13.04</v>
      </c>
      <c r="Z1253" t="s">
        <v>5922</v>
      </c>
    </row>
    <row r="1254" spans="1:26" x14ac:dyDescent="0.2">
      <c r="A1254" t="s">
        <v>2238</v>
      </c>
      <c r="B1254" t="s">
        <v>7241</v>
      </c>
      <c r="C1254" t="s">
        <v>2293</v>
      </c>
      <c r="D1254" t="s">
        <v>98</v>
      </c>
      <c r="E1254">
        <v>118.99</v>
      </c>
      <c r="F1254" t="s">
        <v>7233</v>
      </c>
      <c r="H1254">
        <v>77.599999999999994</v>
      </c>
      <c r="I1254">
        <v>87.95</v>
      </c>
      <c r="J1254">
        <v>93.12</v>
      </c>
      <c r="L1254" t="s">
        <v>5922</v>
      </c>
      <c r="M1254">
        <v>86.23</v>
      </c>
      <c r="N1254">
        <v>86.23</v>
      </c>
      <c r="P1254">
        <v>83.87</v>
      </c>
      <c r="R1254">
        <v>77.599999999999994</v>
      </c>
      <c r="S1254">
        <v>84.35</v>
      </c>
      <c r="U1254">
        <v>77.599999999999994</v>
      </c>
      <c r="Z1254" t="s">
        <v>5922</v>
      </c>
    </row>
    <row r="1255" spans="1:26" x14ac:dyDescent="0.2">
      <c r="A1255" t="s">
        <v>2238</v>
      </c>
      <c r="B1255" t="s">
        <v>7242</v>
      </c>
      <c r="C1255" t="s">
        <v>2294</v>
      </c>
      <c r="D1255" t="s">
        <v>105</v>
      </c>
      <c r="E1255">
        <v>62.99</v>
      </c>
      <c r="F1255" t="s">
        <v>6912</v>
      </c>
      <c r="H1255">
        <v>41.08</v>
      </c>
      <c r="I1255">
        <v>46.55</v>
      </c>
      <c r="J1255">
        <v>49.29</v>
      </c>
      <c r="L1255" t="s">
        <v>5922</v>
      </c>
      <c r="M1255">
        <v>45.64</v>
      </c>
      <c r="N1255">
        <v>45.64</v>
      </c>
      <c r="P1255">
        <v>44.39</v>
      </c>
      <c r="R1255">
        <v>41.08</v>
      </c>
      <c r="S1255">
        <v>44.65</v>
      </c>
      <c r="U1255">
        <v>41.08</v>
      </c>
      <c r="Z1255" t="s">
        <v>5922</v>
      </c>
    </row>
    <row r="1256" spans="1:26" x14ac:dyDescent="0.2">
      <c r="A1256" t="s">
        <v>2238</v>
      </c>
      <c r="B1256" t="s">
        <v>7243</v>
      </c>
      <c r="C1256" t="s">
        <v>2295</v>
      </c>
      <c r="D1256" t="s">
        <v>105</v>
      </c>
      <c r="E1256">
        <v>39.99</v>
      </c>
      <c r="F1256" t="s">
        <v>6887</v>
      </c>
      <c r="H1256">
        <v>26.08</v>
      </c>
      <c r="I1256">
        <v>29.55</v>
      </c>
      <c r="J1256">
        <v>31.29</v>
      </c>
      <c r="L1256" t="s">
        <v>5922</v>
      </c>
      <c r="M1256">
        <v>28.98</v>
      </c>
      <c r="N1256">
        <v>28.98</v>
      </c>
      <c r="P1256">
        <v>28.18</v>
      </c>
      <c r="R1256">
        <v>26.08</v>
      </c>
      <c r="S1256">
        <v>28.35</v>
      </c>
      <c r="U1256">
        <v>26.08</v>
      </c>
      <c r="Z1256" t="s">
        <v>5922</v>
      </c>
    </row>
    <row r="1257" spans="1:26" x14ac:dyDescent="0.2">
      <c r="A1257" t="s">
        <v>2238</v>
      </c>
      <c r="B1257" t="s">
        <v>7244</v>
      </c>
      <c r="C1257" t="s">
        <v>2296</v>
      </c>
      <c r="D1257" t="s">
        <v>98</v>
      </c>
      <c r="E1257">
        <v>29.99</v>
      </c>
      <c r="F1257" t="s">
        <v>6886</v>
      </c>
      <c r="H1257">
        <v>19.559999999999999</v>
      </c>
      <c r="I1257">
        <v>22.17</v>
      </c>
      <c r="J1257">
        <v>23.47</v>
      </c>
      <c r="L1257" t="s">
        <v>5922</v>
      </c>
      <c r="M1257">
        <v>21.73</v>
      </c>
      <c r="N1257">
        <v>21.73</v>
      </c>
      <c r="P1257">
        <v>21.14</v>
      </c>
      <c r="R1257">
        <v>19.559999999999999</v>
      </c>
      <c r="S1257">
        <v>21.26</v>
      </c>
      <c r="U1257">
        <v>19.559999999999999</v>
      </c>
      <c r="Z1257" t="s">
        <v>5922</v>
      </c>
    </row>
    <row r="1258" spans="1:26" x14ac:dyDescent="0.2">
      <c r="A1258" t="s">
        <v>2238</v>
      </c>
      <c r="B1258" t="s">
        <v>7245</v>
      </c>
      <c r="C1258" t="s">
        <v>2297</v>
      </c>
      <c r="D1258" t="s">
        <v>105</v>
      </c>
      <c r="E1258">
        <v>19.989999999999998</v>
      </c>
      <c r="F1258" t="s">
        <v>6931</v>
      </c>
      <c r="H1258">
        <v>13.04</v>
      </c>
      <c r="I1258">
        <v>14.77</v>
      </c>
      <c r="J1258">
        <v>15.64</v>
      </c>
      <c r="L1258" t="s">
        <v>5922</v>
      </c>
      <c r="M1258">
        <v>14.48</v>
      </c>
      <c r="N1258">
        <v>14.48</v>
      </c>
      <c r="P1258">
        <v>14.09</v>
      </c>
      <c r="R1258">
        <v>13.04</v>
      </c>
      <c r="S1258">
        <v>14.17</v>
      </c>
      <c r="U1258">
        <v>13.04</v>
      </c>
      <c r="Z1258" t="s">
        <v>5922</v>
      </c>
    </row>
    <row r="1259" spans="1:26" x14ac:dyDescent="0.2">
      <c r="A1259" t="s">
        <v>2238</v>
      </c>
      <c r="B1259" t="s">
        <v>5788</v>
      </c>
      <c r="C1259" t="s">
        <v>2298</v>
      </c>
      <c r="D1259" t="s">
        <v>105</v>
      </c>
      <c r="E1259">
        <v>769.99</v>
      </c>
      <c r="F1259" t="s">
        <v>7246</v>
      </c>
      <c r="H1259">
        <v>562.42999999999995</v>
      </c>
      <c r="I1259">
        <v>569.13</v>
      </c>
      <c r="J1259">
        <v>602.6</v>
      </c>
      <c r="L1259" t="s">
        <v>5922</v>
      </c>
      <c r="M1259">
        <v>610.04</v>
      </c>
      <c r="N1259">
        <v>624.91999999999996</v>
      </c>
      <c r="P1259">
        <v>620.22</v>
      </c>
      <c r="R1259">
        <v>562.42999999999995</v>
      </c>
      <c r="S1259">
        <v>611.34</v>
      </c>
      <c r="U1259">
        <v>549.04</v>
      </c>
      <c r="Z1259" t="s">
        <v>5922</v>
      </c>
    </row>
    <row r="1260" spans="1:26" x14ac:dyDescent="0.2">
      <c r="A1260" t="s">
        <v>2238</v>
      </c>
      <c r="B1260" t="s">
        <v>5746</v>
      </c>
      <c r="C1260" t="s">
        <v>2299</v>
      </c>
      <c r="D1260" t="s">
        <v>105</v>
      </c>
      <c r="E1260">
        <v>769.99</v>
      </c>
      <c r="F1260" t="s">
        <v>7246</v>
      </c>
      <c r="H1260">
        <v>562.42999999999995</v>
      </c>
      <c r="I1260">
        <v>569.13</v>
      </c>
      <c r="J1260">
        <v>602.6</v>
      </c>
      <c r="L1260" t="s">
        <v>5922</v>
      </c>
      <c r="M1260">
        <v>610.04</v>
      </c>
      <c r="N1260">
        <v>624.91999999999996</v>
      </c>
      <c r="P1260">
        <v>620.22</v>
      </c>
      <c r="R1260">
        <v>562.42999999999995</v>
      </c>
      <c r="S1260">
        <v>611.34</v>
      </c>
      <c r="U1260">
        <v>549.04</v>
      </c>
      <c r="Z1260" t="s">
        <v>5922</v>
      </c>
    </row>
    <row r="1261" spans="1:26" x14ac:dyDescent="0.2">
      <c r="A1261" t="s">
        <v>2238</v>
      </c>
      <c r="B1261" t="s">
        <v>7247</v>
      </c>
      <c r="C1261" t="s">
        <v>2300</v>
      </c>
      <c r="D1261" t="s">
        <v>98</v>
      </c>
      <c r="E1261">
        <v>29.99</v>
      </c>
      <c r="F1261" t="s">
        <v>6886</v>
      </c>
      <c r="H1261">
        <v>19.559999999999999</v>
      </c>
      <c r="I1261">
        <v>22.17</v>
      </c>
      <c r="J1261">
        <v>23.47</v>
      </c>
      <c r="L1261" t="s">
        <v>5922</v>
      </c>
      <c r="M1261">
        <v>21.73</v>
      </c>
      <c r="N1261">
        <v>21.73</v>
      </c>
      <c r="P1261">
        <v>21.14</v>
      </c>
      <c r="R1261">
        <v>19.559999999999999</v>
      </c>
      <c r="S1261">
        <v>21.26</v>
      </c>
      <c r="U1261">
        <v>19.559999999999999</v>
      </c>
      <c r="Z1261" t="s">
        <v>5922</v>
      </c>
    </row>
    <row r="1262" spans="1:26" x14ac:dyDescent="0.2">
      <c r="A1262" t="s">
        <v>2238</v>
      </c>
      <c r="B1262" t="s">
        <v>7248</v>
      </c>
      <c r="C1262" t="s">
        <v>2301</v>
      </c>
      <c r="D1262" t="s">
        <v>105</v>
      </c>
      <c r="E1262">
        <v>36.99</v>
      </c>
      <c r="F1262" t="s">
        <v>7021</v>
      </c>
      <c r="H1262">
        <v>24.13</v>
      </c>
      <c r="I1262">
        <v>27.34</v>
      </c>
      <c r="J1262">
        <v>28.95</v>
      </c>
      <c r="L1262" t="s">
        <v>5922</v>
      </c>
      <c r="M1262">
        <v>26.81</v>
      </c>
      <c r="N1262">
        <v>26.81</v>
      </c>
      <c r="P1262">
        <v>26.07</v>
      </c>
      <c r="S1262">
        <v>26.23</v>
      </c>
      <c r="U1262">
        <v>24.13</v>
      </c>
      <c r="Z1262" t="s">
        <v>5922</v>
      </c>
    </row>
    <row r="1263" spans="1:26" x14ac:dyDescent="0.2">
      <c r="A1263" t="s">
        <v>2238</v>
      </c>
      <c r="B1263" t="s">
        <v>7249</v>
      </c>
      <c r="C1263" t="s">
        <v>2302</v>
      </c>
      <c r="D1263" t="s">
        <v>98</v>
      </c>
      <c r="E1263">
        <v>49.99</v>
      </c>
      <c r="F1263" t="s">
        <v>6969</v>
      </c>
      <c r="H1263">
        <v>32.6</v>
      </c>
      <c r="I1263">
        <v>36.950000000000003</v>
      </c>
      <c r="J1263">
        <v>39.119999999999997</v>
      </c>
      <c r="L1263" t="s">
        <v>5922</v>
      </c>
      <c r="M1263">
        <v>36.229999999999997</v>
      </c>
      <c r="N1263">
        <v>36.229999999999997</v>
      </c>
      <c r="P1263">
        <v>35.229999999999997</v>
      </c>
      <c r="R1263">
        <v>32.6</v>
      </c>
      <c r="S1263">
        <v>35.44</v>
      </c>
      <c r="U1263">
        <v>32.6</v>
      </c>
      <c r="Z1263" t="s">
        <v>5922</v>
      </c>
    </row>
    <row r="1264" spans="1:26" x14ac:dyDescent="0.2">
      <c r="A1264" t="s">
        <v>2238</v>
      </c>
      <c r="B1264" t="s">
        <v>7250</v>
      </c>
      <c r="C1264" t="s">
        <v>2303</v>
      </c>
      <c r="D1264" t="s">
        <v>98</v>
      </c>
      <c r="E1264">
        <v>56.99</v>
      </c>
      <c r="F1264" t="s">
        <v>7251</v>
      </c>
      <c r="H1264">
        <v>37.17</v>
      </c>
      <c r="I1264">
        <v>42.13</v>
      </c>
      <c r="J1264">
        <v>44.6</v>
      </c>
      <c r="L1264" t="s">
        <v>5922</v>
      </c>
      <c r="M1264">
        <v>41.3</v>
      </c>
      <c r="N1264">
        <v>41.3</v>
      </c>
      <c r="P1264">
        <v>40.17</v>
      </c>
      <c r="R1264">
        <v>37.17</v>
      </c>
      <c r="S1264">
        <v>40.4</v>
      </c>
      <c r="U1264">
        <v>37.17</v>
      </c>
      <c r="Z1264" t="s">
        <v>5922</v>
      </c>
    </row>
    <row r="1265" spans="1:26" x14ac:dyDescent="0.2">
      <c r="A1265" t="s">
        <v>2238</v>
      </c>
      <c r="B1265" t="s">
        <v>5779</v>
      </c>
      <c r="C1265" t="s">
        <v>2304</v>
      </c>
      <c r="D1265" t="s">
        <v>105</v>
      </c>
      <c r="E1265">
        <v>369.99</v>
      </c>
      <c r="F1265" t="s">
        <v>7252</v>
      </c>
      <c r="H1265">
        <v>270.25</v>
      </c>
      <c r="I1265">
        <v>273.47000000000003</v>
      </c>
      <c r="J1265">
        <v>289.56</v>
      </c>
      <c r="L1265" t="s">
        <v>5922</v>
      </c>
      <c r="M1265">
        <v>293.13</v>
      </c>
      <c r="N1265">
        <v>300.27999999999997</v>
      </c>
      <c r="P1265">
        <v>298.02</v>
      </c>
      <c r="R1265">
        <v>270.25</v>
      </c>
      <c r="S1265">
        <v>293.75</v>
      </c>
      <c r="U1265">
        <v>263.82</v>
      </c>
      <c r="Z1265" t="s">
        <v>5922</v>
      </c>
    </row>
    <row r="1266" spans="1:26" x14ac:dyDescent="0.2">
      <c r="A1266" t="s">
        <v>2238</v>
      </c>
      <c r="B1266" t="s">
        <v>5786</v>
      </c>
      <c r="C1266" t="s">
        <v>2305</v>
      </c>
      <c r="D1266" t="s">
        <v>105</v>
      </c>
      <c r="E1266">
        <v>279.99</v>
      </c>
      <c r="F1266" t="s">
        <v>7213</v>
      </c>
      <c r="H1266">
        <v>204.51</v>
      </c>
      <c r="I1266">
        <v>206.95</v>
      </c>
      <c r="J1266">
        <v>219.12</v>
      </c>
      <c r="L1266" t="s">
        <v>5922</v>
      </c>
      <c r="M1266">
        <v>221.83</v>
      </c>
      <c r="N1266">
        <v>227.24</v>
      </c>
      <c r="P1266">
        <v>225.53</v>
      </c>
      <c r="R1266">
        <v>204.51</v>
      </c>
      <c r="S1266">
        <v>222.3</v>
      </c>
      <c r="U1266">
        <v>199.65</v>
      </c>
      <c r="Z1266" t="s">
        <v>5922</v>
      </c>
    </row>
    <row r="1267" spans="1:26" x14ac:dyDescent="0.2">
      <c r="A1267" t="s">
        <v>2238</v>
      </c>
      <c r="B1267" t="s">
        <v>7801</v>
      </c>
      <c r="C1267" t="s">
        <v>7802</v>
      </c>
      <c r="D1267" t="s">
        <v>105</v>
      </c>
      <c r="E1267">
        <v>1899</v>
      </c>
      <c r="F1267" t="s">
        <v>7111</v>
      </c>
      <c r="H1267">
        <v>1387.1</v>
      </c>
      <c r="I1267">
        <v>1403.61</v>
      </c>
      <c r="L1267" t="s">
        <v>5922</v>
      </c>
      <c r="M1267">
        <v>1504.34</v>
      </c>
      <c r="N1267">
        <v>1541.21</v>
      </c>
      <c r="S1267">
        <v>1507.64</v>
      </c>
      <c r="Z1267" t="s">
        <v>5922</v>
      </c>
    </row>
    <row r="1268" spans="1:26" x14ac:dyDescent="0.2">
      <c r="A1268" t="s">
        <v>2238</v>
      </c>
      <c r="B1268" t="s">
        <v>7803</v>
      </c>
      <c r="C1268" t="s">
        <v>7804</v>
      </c>
      <c r="D1268" t="s">
        <v>98</v>
      </c>
      <c r="E1268">
        <v>1899</v>
      </c>
      <c r="F1268" t="s">
        <v>7111</v>
      </c>
      <c r="H1268">
        <v>1387.1</v>
      </c>
      <c r="I1268">
        <v>1403.61</v>
      </c>
      <c r="L1268" t="s">
        <v>5922</v>
      </c>
      <c r="M1268">
        <v>1504.34</v>
      </c>
      <c r="N1268">
        <v>1541.21</v>
      </c>
      <c r="S1268">
        <v>1507.64</v>
      </c>
      <c r="Z1268" t="s">
        <v>5922</v>
      </c>
    </row>
    <row r="1269" spans="1:26" x14ac:dyDescent="0.2">
      <c r="A1269" t="s">
        <v>2238</v>
      </c>
      <c r="B1269" t="s">
        <v>7805</v>
      </c>
      <c r="C1269" t="s">
        <v>7806</v>
      </c>
      <c r="D1269" t="s">
        <v>105</v>
      </c>
      <c r="E1269">
        <v>1499</v>
      </c>
      <c r="F1269" t="s">
        <v>7318</v>
      </c>
      <c r="H1269">
        <v>1094.92</v>
      </c>
      <c r="I1269">
        <v>1107.96</v>
      </c>
      <c r="L1269" t="s">
        <v>5922</v>
      </c>
      <c r="M1269">
        <v>1187.47</v>
      </c>
      <c r="N1269">
        <v>1216.58</v>
      </c>
      <c r="S1269">
        <v>1190.08</v>
      </c>
      <c r="Z1269" t="s">
        <v>5922</v>
      </c>
    </row>
    <row r="1270" spans="1:26" x14ac:dyDescent="0.2">
      <c r="A1270" t="s">
        <v>2238</v>
      </c>
      <c r="B1270" t="s">
        <v>7807</v>
      </c>
      <c r="C1270" t="s">
        <v>7808</v>
      </c>
      <c r="D1270" t="s">
        <v>98</v>
      </c>
      <c r="E1270">
        <v>1499</v>
      </c>
      <c r="F1270" t="s">
        <v>7318</v>
      </c>
      <c r="H1270">
        <v>1094.92</v>
      </c>
      <c r="I1270">
        <v>1107.96</v>
      </c>
      <c r="L1270" t="s">
        <v>5922</v>
      </c>
      <c r="M1270">
        <v>1187.47</v>
      </c>
      <c r="N1270">
        <v>1216.58</v>
      </c>
      <c r="S1270">
        <v>1190.08</v>
      </c>
      <c r="Z1270" t="s">
        <v>5922</v>
      </c>
    </row>
    <row r="1271" spans="1:26" x14ac:dyDescent="0.2">
      <c r="A1271" t="s">
        <v>2238</v>
      </c>
      <c r="B1271" t="s">
        <v>5760</v>
      </c>
      <c r="C1271" t="s">
        <v>2306</v>
      </c>
      <c r="D1271" t="s">
        <v>105</v>
      </c>
      <c r="E1271">
        <v>149.99</v>
      </c>
      <c r="F1271" t="s">
        <v>7022</v>
      </c>
      <c r="H1271">
        <v>104.34</v>
      </c>
      <c r="I1271">
        <v>110.87</v>
      </c>
      <c r="J1271">
        <v>117.39</v>
      </c>
      <c r="L1271" t="s">
        <v>5922</v>
      </c>
      <c r="M1271">
        <v>115.94</v>
      </c>
      <c r="N1271">
        <v>115.94</v>
      </c>
      <c r="P1271">
        <v>112.58</v>
      </c>
      <c r="R1271">
        <v>104.34</v>
      </c>
      <c r="S1271">
        <v>113.42</v>
      </c>
      <c r="U1271">
        <v>104.34</v>
      </c>
      <c r="Z1271" t="s">
        <v>5922</v>
      </c>
    </row>
    <row r="1272" spans="1:26" x14ac:dyDescent="0.2">
      <c r="A1272" t="s">
        <v>2238</v>
      </c>
      <c r="B1272" t="s">
        <v>5771</v>
      </c>
      <c r="C1272" t="s">
        <v>2307</v>
      </c>
      <c r="D1272" t="s">
        <v>105</v>
      </c>
      <c r="E1272">
        <v>105.99</v>
      </c>
      <c r="F1272" t="s">
        <v>6924</v>
      </c>
      <c r="H1272">
        <v>73.739999999999995</v>
      </c>
      <c r="I1272">
        <v>78.34</v>
      </c>
      <c r="J1272">
        <v>82.95</v>
      </c>
      <c r="L1272" t="s">
        <v>5922</v>
      </c>
      <c r="M1272">
        <v>81.93</v>
      </c>
      <c r="N1272">
        <v>81.93</v>
      </c>
      <c r="P1272">
        <v>79.56</v>
      </c>
      <c r="R1272">
        <v>73.739999999999995</v>
      </c>
      <c r="S1272">
        <v>80.150000000000006</v>
      </c>
      <c r="U1272">
        <v>73.739999999999995</v>
      </c>
      <c r="Z1272" t="s">
        <v>5922</v>
      </c>
    </row>
    <row r="1273" spans="1:26" x14ac:dyDescent="0.2">
      <c r="A1273" t="s">
        <v>2238</v>
      </c>
      <c r="B1273" t="s">
        <v>5757</v>
      </c>
      <c r="C1273" t="s">
        <v>2308</v>
      </c>
      <c r="D1273" t="s">
        <v>105</v>
      </c>
      <c r="E1273">
        <v>93.99</v>
      </c>
      <c r="F1273" t="s">
        <v>7253</v>
      </c>
      <c r="H1273">
        <v>61.3</v>
      </c>
      <c r="I1273">
        <v>69.47</v>
      </c>
      <c r="J1273">
        <v>73.56</v>
      </c>
      <c r="L1273" t="s">
        <v>5922</v>
      </c>
      <c r="M1273">
        <v>68.11</v>
      </c>
      <c r="N1273">
        <v>68.11</v>
      </c>
      <c r="P1273">
        <v>66.239999999999995</v>
      </c>
      <c r="R1273">
        <v>61.3</v>
      </c>
      <c r="S1273">
        <v>66.63</v>
      </c>
      <c r="U1273">
        <v>61.3</v>
      </c>
      <c r="Z1273" t="s">
        <v>5922</v>
      </c>
    </row>
    <row r="1274" spans="1:26" x14ac:dyDescent="0.2">
      <c r="A1274" t="s">
        <v>2238</v>
      </c>
      <c r="B1274" t="s">
        <v>7254</v>
      </c>
      <c r="C1274" t="s">
        <v>2309</v>
      </c>
      <c r="D1274" t="s">
        <v>105</v>
      </c>
      <c r="E1274">
        <v>142.99</v>
      </c>
      <c r="F1274" t="s">
        <v>7255</v>
      </c>
      <c r="H1274">
        <v>93.26</v>
      </c>
      <c r="I1274">
        <v>105.69</v>
      </c>
      <c r="J1274">
        <v>111.91</v>
      </c>
      <c r="L1274" t="s">
        <v>5922</v>
      </c>
      <c r="M1274">
        <v>103.62</v>
      </c>
      <c r="N1274">
        <v>103.62</v>
      </c>
      <c r="P1274">
        <v>100.78</v>
      </c>
      <c r="R1274">
        <v>93.26</v>
      </c>
      <c r="S1274">
        <v>101.36</v>
      </c>
      <c r="U1274">
        <v>93.26</v>
      </c>
      <c r="Z1274" t="s">
        <v>5922</v>
      </c>
    </row>
    <row r="1275" spans="1:26" x14ac:dyDescent="0.2">
      <c r="A1275" t="s">
        <v>2238</v>
      </c>
      <c r="B1275" t="s">
        <v>7256</v>
      </c>
      <c r="C1275" t="s">
        <v>2310</v>
      </c>
      <c r="D1275" t="s">
        <v>105</v>
      </c>
      <c r="E1275">
        <v>119.99</v>
      </c>
      <c r="F1275" t="s">
        <v>6905</v>
      </c>
      <c r="H1275">
        <v>78.260000000000005</v>
      </c>
      <c r="I1275">
        <v>88.69</v>
      </c>
      <c r="J1275">
        <v>93.91</v>
      </c>
      <c r="L1275" t="s">
        <v>5922</v>
      </c>
      <c r="M1275">
        <v>86.95</v>
      </c>
      <c r="N1275">
        <v>86.95</v>
      </c>
      <c r="P1275">
        <v>84.57</v>
      </c>
      <c r="R1275">
        <v>78.260000000000005</v>
      </c>
      <c r="S1275">
        <v>85.06</v>
      </c>
      <c r="U1275">
        <v>78.260000000000005</v>
      </c>
      <c r="Z1275" t="s">
        <v>5922</v>
      </c>
    </row>
    <row r="1276" spans="1:26" x14ac:dyDescent="0.2">
      <c r="A1276" t="s">
        <v>2238</v>
      </c>
      <c r="B1276" t="s">
        <v>7257</v>
      </c>
      <c r="C1276" t="s">
        <v>2311</v>
      </c>
      <c r="D1276" t="s">
        <v>105</v>
      </c>
      <c r="E1276">
        <v>142.99</v>
      </c>
      <c r="F1276" t="s">
        <v>6905</v>
      </c>
      <c r="H1276">
        <v>78.260000000000005</v>
      </c>
      <c r="I1276">
        <v>88.69</v>
      </c>
      <c r="J1276">
        <v>93.91</v>
      </c>
      <c r="L1276" t="s">
        <v>5922</v>
      </c>
      <c r="M1276">
        <v>86.95</v>
      </c>
      <c r="N1276">
        <v>86.95</v>
      </c>
      <c r="P1276">
        <v>84.57</v>
      </c>
      <c r="R1276">
        <v>78.260000000000005</v>
      </c>
      <c r="S1276">
        <v>85.06</v>
      </c>
      <c r="U1276">
        <v>78.260000000000005</v>
      </c>
      <c r="Z1276" t="s">
        <v>5922</v>
      </c>
    </row>
    <row r="1277" spans="1:26" x14ac:dyDescent="0.2">
      <c r="A1277" t="s">
        <v>2238</v>
      </c>
      <c r="B1277" t="s">
        <v>7258</v>
      </c>
      <c r="C1277" t="s">
        <v>2312</v>
      </c>
      <c r="D1277" t="s">
        <v>105</v>
      </c>
      <c r="E1277">
        <v>79.989999999999995</v>
      </c>
      <c r="F1277" t="s">
        <v>6934</v>
      </c>
      <c r="H1277">
        <v>52.17</v>
      </c>
      <c r="I1277">
        <v>59.13</v>
      </c>
      <c r="J1277">
        <v>62.6</v>
      </c>
      <c r="L1277" t="s">
        <v>5922</v>
      </c>
      <c r="M1277">
        <v>57.97</v>
      </c>
      <c r="N1277">
        <v>57.97</v>
      </c>
      <c r="P1277">
        <v>56.38</v>
      </c>
      <c r="R1277">
        <v>52.17</v>
      </c>
      <c r="S1277">
        <v>56.71</v>
      </c>
      <c r="U1277">
        <v>52.17</v>
      </c>
      <c r="Z1277" t="s">
        <v>5922</v>
      </c>
    </row>
    <row r="1278" spans="1:26" x14ac:dyDescent="0.2">
      <c r="A1278" t="s">
        <v>2238</v>
      </c>
      <c r="B1278" t="s">
        <v>2313</v>
      </c>
      <c r="C1278" t="s">
        <v>2314</v>
      </c>
      <c r="D1278" t="s">
        <v>105</v>
      </c>
      <c r="E1278">
        <v>279.99</v>
      </c>
      <c r="F1278" t="s">
        <v>7213</v>
      </c>
      <c r="L1278" t="s">
        <v>5922</v>
      </c>
      <c r="Z1278" t="s">
        <v>5922</v>
      </c>
    </row>
    <row r="1279" spans="1:26" x14ac:dyDescent="0.2">
      <c r="A1279" t="s">
        <v>2238</v>
      </c>
      <c r="B1279" t="s">
        <v>7809</v>
      </c>
      <c r="C1279" t="s">
        <v>7810</v>
      </c>
      <c r="D1279" t="s">
        <v>105</v>
      </c>
      <c r="E1279">
        <v>184.99</v>
      </c>
      <c r="F1279" t="s">
        <v>7173</v>
      </c>
      <c r="H1279">
        <v>135.13</v>
      </c>
      <c r="I1279">
        <v>136.74</v>
      </c>
      <c r="L1279" t="s">
        <v>5922</v>
      </c>
      <c r="M1279">
        <v>146.55000000000001</v>
      </c>
      <c r="N1279">
        <v>150.13999999999999</v>
      </c>
      <c r="S1279">
        <v>146.87</v>
      </c>
      <c r="Z1279" t="s">
        <v>5922</v>
      </c>
    </row>
    <row r="1280" spans="1:26" x14ac:dyDescent="0.2">
      <c r="A1280" t="s">
        <v>2238</v>
      </c>
      <c r="B1280" t="s">
        <v>5770</v>
      </c>
      <c r="C1280" t="s">
        <v>2315</v>
      </c>
      <c r="D1280" t="s">
        <v>105</v>
      </c>
      <c r="E1280">
        <v>99.99</v>
      </c>
      <c r="F1280" t="s">
        <v>6903</v>
      </c>
      <c r="H1280">
        <v>65.209999999999994</v>
      </c>
      <c r="I1280">
        <v>73.91</v>
      </c>
      <c r="J1280">
        <v>78.260000000000005</v>
      </c>
      <c r="L1280" t="s">
        <v>5922</v>
      </c>
      <c r="M1280">
        <v>72.459999999999994</v>
      </c>
      <c r="N1280">
        <v>72.459999999999994</v>
      </c>
      <c r="P1280">
        <v>73.22</v>
      </c>
      <c r="R1280">
        <v>65.209999999999994</v>
      </c>
      <c r="S1280">
        <v>70.88</v>
      </c>
      <c r="U1280">
        <v>65.209999999999994</v>
      </c>
      <c r="Z1280" t="s">
        <v>5922</v>
      </c>
    </row>
    <row r="1281" spans="1:26" x14ac:dyDescent="0.2">
      <c r="A1281" t="s">
        <v>2238</v>
      </c>
      <c r="B1281" t="s">
        <v>7259</v>
      </c>
      <c r="C1281" t="s">
        <v>2316</v>
      </c>
      <c r="D1281" t="s">
        <v>98</v>
      </c>
      <c r="E1281">
        <v>589.99</v>
      </c>
      <c r="F1281" t="s">
        <v>7260</v>
      </c>
      <c r="H1281">
        <v>430.95</v>
      </c>
      <c r="I1281">
        <v>436.08</v>
      </c>
      <c r="J1281">
        <v>461.73</v>
      </c>
      <c r="L1281" t="s">
        <v>5922</v>
      </c>
      <c r="M1281">
        <v>467.43</v>
      </c>
      <c r="N1281">
        <v>478.83</v>
      </c>
      <c r="P1281">
        <v>475.23</v>
      </c>
      <c r="R1281">
        <v>430.95</v>
      </c>
      <c r="S1281">
        <v>468.42</v>
      </c>
      <c r="U1281">
        <v>420.68</v>
      </c>
      <c r="Z1281" t="s">
        <v>5922</v>
      </c>
    </row>
    <row r="1282" spans="1:26" x14ac:dyDescent="0.2">
      <c r="A1282" t="s">
        <v>2238</v>
      </c>
      <c r="B1282" t="s">
        <v>7261</v>
      </c>
      <c r="C1282" t="s">
        <v>2317</v>
      </c>
      <c r="D1282" t="s">
        <v>105</v>
      </c>
      <c r="E1282">
        <v>589.99</v>
      </c>
      <c r="F1282" t="s">
        <v>7260</v>
      </c>
      <c r="H1282">
        <v>430.95</v>
      </c>
      <c r="I1282">
        <v>436.08</v>
      </c>
      <c r="J1282">
        <v>461.73</v>
      </c>
      <c r="L1282" t="s">
        <v>5922</v>
      </c>
      <c r="M1282">
        <v>467.43</v>
      </c>
      <c r="N1282">
        <v>478.83</v>
      </c>
      <c r="P1282">
        <v>475.23</v>
      </c>
      <c r="R1282">
        <v>430.95</v>
      </c>
      <c r="S1282">
        <v>468.42</v>
      </c>
      <c r="U1282">
        <v>420.68</v>
      </c>
      <c r="Z1282" t="s">
        <v>5922</v>
      </c>
    </row>
    <row r="1283" spans="1:26" x14ac:dyDescent="0.2">
      <c r="A1283" t="s">
        <v>2238</v>
      </c>
      <c r="B1283" t="s">
        <v>5787</v>
      </c>
      <c r="C1283" t="s">
        <v>2318</v>
      </c>
      <c r="D1283" t="s">
        <v>105</v>
      </c>
      <c r="E1283">
        <v>40.99</v>
      </c>
      <c r="F1283" t="s">
        <v>7215</v>
      </c>
      <c r="H1283">
        <v>26.73</v>
      </c>
      <c r="I1283">
        <v>30.29</v>
      </c>
      <c r="J1283">
        <v>32.08</v>
      </c>
      <c r="L1283" t="s">
        <v>5922</v>
      </c>
      <c r="M1283">
        <v>29.7</v>
      </c>
      <c r="N1283">
        <v>29.7</v>
      </c>
      <c r="P1283">
        <v>28.89</v>
      </c>
      <c r="R1283">
        <v>26.73</v>
      </c>
      <c r="S1283">
        <v>29.05</v>
      </c>
      <c r="U1283">
        <v>26.73</v>
      </c>
      <c r="Z1283" t="s">
        <v>5922</v>
      </c>
    </row>
    <row r="1284" spans="1:26" x14ac:dyDescent="0.2">
      <c r="A1284" t="s">
        <v>2238</v>
      </c>
      <c r="B1284" t="s">
        <v>7262</v>
      </c>
      <c r="C1284" t="s">
        <v>2319</v>
      </c>
      <c r="D1284" t="s">
        <v>105</v>
      </c>
      <c r="E1284">
        <v>65.989999999999995</v>
      </c>
      <c r="F1284" t="s">
        <v>7263</v>
      </c>
      <c r="H1284">
        <v>43.04</v>
      </c>
      <c r="I1284">
        <v>48.77</v>
      </c>
      <c r="J1284">
        <v>51.64</v>
      </c>
      <c r="L1284" t="s">
        <v>5922</v>
      </c>
      <c r="M1284">
        <v>47.82</v>
      </c>
      <c r="N1284">
        <v>47.82</v>
      </c>
      <c r="P1284">
        <v>46.51</v>
      </c>
      <c r="R1284">
        <v>43.04</v>
      </c>
      <c r="S1284">
        <v>46.78</v>
      </c>
      <c r="U1284">
        <v>43.04</v>
      </c>
      <c r="Z1284" t="s">
        <v>5922</v>
      </c>
    </row>
    <row r="1285" spans="1:26" x14ac:dyDescent="0.2">
      <c r="A1285" t="s">
        <v>2238</v>
      </c>
      <c r="B1285" t="s">
        <v>5741</v>
      </c>
      <c r="C1285" t="s">
        <v>2320</v>
      </c>
      <c r="D1285" t="s">
        <v>105</v>
      </c>
      <c r="E1285">
        <v>549.99</v>
      </c>
      <c r="F1285" t="s">
        <v>7089</v>
      </c>
      <c r="H1285">
        <v>401.73</v>
      </c>
      <c r="I1285">
        <v>406.51</v>
      </c>
      <c r="J1285">
        <v>430.43</v>
      </c>
      <c r="L1285" t="s">
        <v>5922</v>
      </c>
      <c r="M1285">
        <v>435.74</v>
      </c>
      <c r="N1285">
        <v>446.37</v>
      </c>
      <c r="P1285">
        <v>443.01</v>
      </c>
      <c r="R1285">
        <v>401.73</v>
      </c>
      <c r="S1285">
        <v>436.66</v>
      </c>
      <c r="U1285">
        <v>392.17</v>
      </c>
      <c r="Z1285" t="s">
        <v>5922</v>
      </c>
    </row>
    <row r="1286" spans="1:26" x14ac:dyDescent="0.2">
      <c r="A1286" t="s">
        <v>2238</v>
      </c>
      <c r="B1286" t="s">
        <v>5732</v>
      </c>
      <c r="C1286" t="s">
        <v>2321</v>
      </c>
      <c r="D1286" t="s">
        <v>138</v>
      </c>
      <c r="E1286">
        <v>829.99</v>
      </c>
      <c r="F1286" t="s">
        <v>7264</v>
      </c>
      <c r="H1286">
        <v>606.25</v>
      </c>
      <c r="I1286">
        <v>613.47</v>
      </c>
      <c r="J1286">
        <v>649.55999999999995</v>
      </c>
      <c r="L1286" t="s">
        <v>5922</v>
      </c>
      <c r="M1286">
        <v>657.58</v>
      </c>
      <c r="N1286">
        <v>673.61</v>
      </c>
      <c r="P1286">
        <v>668.55</v>
      </c>
      <c r="R1286">
        <v>606.25</v>
      </c>
      <c r="S1286">
        <v>658.97</v>
      </c>
      <c r="U1286">
        <v>591.82000000000005</v>
      </c>
      <c r="Z1286" t="s">
        <v>5922</v>
      </c>
    </row>
    <row r="1287" spans="1:26" x14ac:dyDescent="0.2">
      <c r="A1287" t="s">
        <v>2238</v>
      </c>
      <c r="B1287" t="s">
        <v>5774</v>
      </c>
      <c r="C1287" t="s">
        <v>2322</v>
      </c>
      <c r="D1287" t="s">
        <v>105</v>
      </c>
      <c r="E1287">
        <v>699.99</v>
      </c>
      <c r="F1287" t="s">
        <v>7265</v>
      </c>
      <c r="H1287">
        <v>511.3</v>
      </c>
      <c r="I1287">
        <v>517.39</v>
      </c>
      <c r="J1287">
        <v>547.82000000000005</v>
      </c>
      <c r="L1287" t="s">
        <v>5922</v>
      </c>
      <c r="M1287">
        <v>554.58000000000004</v>
      </c>
      <c r="N1287">
        <v>568.11</v>
      </c>
      <c r="P1287">
        <v>563.84</v>
      </c>
      <c r="R1287">
        <v>511.3</v>
      </c>
      <c r="S1287">
        <v>555.76</v>
      </c>
      <c r="U1287">
        <v>499.13</v>
      </c>
      <c r="Z1287" t="s">
        <v>5922</v>
      </c>
    </row>
    <row r="1288" spans="1:26" x14ac:dyDescent="0.2">
      <c r="A1288" t="s">
        <v>2238</v>
      </c>
      <c r="B1288" t="s">
        <v>7266</v>
      </c>
      <c r="C1288" t="s">
        <v>7267</v>
      </c>
      <c r="D1288" t="s">
        <v>105</v>
      </c>
      <c r="E1288">
        <v>699.99</v>
      </c>
      <c r="F1288" t="s">
        <v>7265</v>
      </c>
      <c r="H1288">
        <v>511.3</v>
      </c>
      <c r="I1288">
        <v>517.39</v>
      </c>
      <c r="J1288">
        <v>547.82000000000005</v>
      </c>
      <c r="L1288" t="s">
        <v>5922</v>
      </c>
      <c r="M1288">
        <v>554.58000000000004</v>
      </c>
      <c r="N1288">
        <v>568.11</v>
      </c>
      <c r="P1288">
        <v>563.84</v>
      </c>
      <c r="R1288">
        <v>511.3</v>
      </c>
      <c r="S1288">
        <v>555.76</v>
      </c>
      <c r="U1288">
        <v>499.13</v>
      </c>
      <c r="Z1288" t="s">
        <v>5922</v>
      </c>
    </row>
    <row r="1289" spans="1:26" x14ac:dyDescent="0.2">
      <c r="A1289" t="s">
        <v>2238</v>
      </c>
      <c r="B1289" t="s">
        <v>7268</v>
      </c>
      <c r="C1289" t="s">
        <v>2323</v>
      </c>
      <c r="D1289" t="s">
        <v>105</v>
      </c>
      <c r="E1289">
        <v>89.99</v>
      </c>
      <c r="F1289" t="s">
        <v>6914</v>
      </c>
      <c r="H1289">
        <v>56.73</v>
      </c>
      <c r="I1289">
        <v>64.290000000000006</v>
      </c>
      <c r="J1289">
        <v>68.08</v>
      </c>
      <c r="L1289" t="s">
        <v>5922</v>
      </c>
      <c r="M1289">
        <v>63.03</v>
      </c>
      <c r="N1289">
        <v>63.03</v>
      </c>
      <c r="P1289">
        <v>61.31</v>
      </c>
      <c r="R1289">
        <v>56.73</v>
      </c>
      <c r="S1289">
        <v>61.67</v>
      </c>
      <c r="U1289">
        <v>56.73</v>
      </c>
      <c r="Z1289" t="s">
        <v>5922</v>
      </c>
    </row>
    <row r="1290" spans="1:26" x14ac:dyDescent="0.2">
      <c r="A1290" t="s">
        <v>2238</v>
      </c>
      <c r="B1290" t="s">
        <v>7269</v>
      </c>
      <c r="C1290" t="s">
        <v>2324</v>
      </c>
      <c r="D1290" t="s">
        <v>98</v>
      </c>
      <c r="E1290">
        <v>769.99</v>
      </c>
      <c r="F1290" t="s">
        <v>7246</v>
      </c>
      <c r="H1290">
        <v>562.42999999999995</v>
      </c>
      <c r="I1290">
        <v>569.13</v>
      </c>
      <c r="J1290">
        <v>602.6</v>
      </c>
      <c r="L1290" t="s">
        <v>5922</v>
      </c>
      <c r="M1290">
        <v>610.04</v>
      </c>
      <c r="N1290">
        <v>624.91999999999996</v>
      </c>
      <c r="P1290">
        <v>620.22</v>
      </c>
      <c r="R1290">
        <v>562.42999999999995</v>
      </c>
      <c r="S1290">
        <v>611.34</v>
      </c>
      <c r="U1290">
        <v>549.04</v>
      </c>
      <c r="Z1290" t="s">
        <v>5922</v>
      </c>
    </row>
    <row r="1291" spans="1:26" x14ac:dyDescent="0.2">
      <c r="A1291" t="s">
        <v>2238</v>
      </c>
      <c r="B1291" t="s">
        <v>7270</v>
      </c>
      <c r="C1291" t="s">
        <v>2325</v>
      </c>
      <c r="D1291" t="s">
        <v>105</v>
      </c>
      <c r="E1291">
        <v>769.99</v>
      </c>
      <c r="F1291" t="s">
        <v>7246</v>
      </c>
      <c r="H1291">
        <v>562.42999999999995</v>
      </c>
      <c r="I1291">
        <v>569.13</v>
      </c>
      <c r="J1291">
        <v>602.6</v>
      </c>
      <c r="L1291" t="s">
        <v>5922</v>
      </c>
      <c r="M1291">
        <v>610.04</v>
      </c>
      <c r="N1291">
        <v>624.91999999999996</v>
      </c>
      <c r="P1291">
        <v>620.22</v>
      </c>
      <c r="R1291">
        <v>562.42999999999995</v>
      </c>
      <c r="S1291">
        <v>611.34</v>
      </c>
      <c r="U1291">
        <v>549.04</v>
      </c>
      <c r="Z1291" t="s">
        <v>5922</v>
      </c>
    </row>
    <row r="1292" spans="1:26" x14ac:dyDescent="0.2">
      <c r="A1292" t="s">
        <v>2238</v>
      </c>
      <c r="B1292" t="s">
        <v>5744</v>
      </c>
      <c r="C1292" t="s">
        <v>2326</v>
      </c>
      <c r="D1292" t="s">
        <v>138</v>
      </c>
      <c r="E1292">
        <v>86.99</v>
      </c>
      <c r="F1292" t="s">
        <v>7271</v>
      </c>
      <c r="H1292">
        <v>56.73</v>
      </c>
      <c r="I1292">
        <v>64.290000000000006</v>
      </c>
      <c r="J1292">
        <v>68.08</v>
      </c>
      <c r="L1292" t="s">
        <v>5922</v>
      </c>
      <c r="M1292">
        <v>63.03</v>
      </c>
      <c r="N1292">
        <v>63.03</v>
      </c>
      <c r="P1292">
        <v>61.31</v>
      </c>
      <c r="R1292">
        <v>56.73</v>
      </c>
      <c r="S1292">
        <v>61.67</v>
      </c>
      <c r="U1292">
        <v>56.73</v>
      </c>
      <c r="Z1292" t="s">
        <v>5922</v>
      </c>
    </row>
    <row r="1293" spans="1:26" x14ac:dyDescent="0.2">
      <c r="A1293" t="s">
        <v>2238</v>
      </c>
      <c r="B1293" t="s">
        <v>5754</v>
      </c>
      <c r="C1293" t="s">
        <v>2327</v>
      </c>
      <c r="D1293" t="s">
        <v>138</v>
      </c>
      <c r="E1293">
        <v>38.99</v>
      </c>
      <c r="F1293" t="s">
        <v>7205</v>
      </c>
      <c r="H1293">
        <v>25.43</v>
      </c>
      <c r="I1293">
        <v>28.82</v>
      </c>
      <c r="J1293">
        <v>30.51</v>
      </c>
      <c r="L1293" t="s">
        <v>5922</v>
      </c>
      <c r="M1293">
        <v>28.25</v>
      </c>
      <c r="N1293">
        <v>28.25</v>
      </c>
      <c r="P1293">
        <v>27.48</v>
      </c>
      <c r="R1293">
        <v>25.43</v>
      </c>
      <c r="S1293">
        <v>27.64</v>
      </c>
      <c r="U1293">
        <v>25.43</v>
      </c>
      <c r="Z1293" t="s">
        <v>5922</v>
      </c>
    </row>
    <row r="1294" spans="1:26" x14ac:dyDescent="0.2">
      <c r="A1294" t="s">
        <v>2238</v>
      </c>
      <c r="B1294" t="s">
        <v>5782</v>
      </c>
      <c r="C1294" t="s">
        <v>2328</v>
      </c>
      <c r="D1294" t="s">
        <v>138</v>
      </c>
      <c r="E1294">
        <v>95.99</v>
      </c>
      <c r="F1294" t="s">
        <v>7208</v>
      </c>
      <c r="H1294">
        <v>62.6</v>
      </c>
      <c r="I1294">
        <v>70.95</v>
      </c>
      <c r="J1294">
        <v>75.12</v>
      </c>
      <c r="L1294" t="s">
        <v>5922</v>
      </c>
      <c r="M1294">
        <v>69.56</v>
      </c>
      <c r="N1294">
        <v>69.56</v>
      </c>
      <c r="P1294">
        <v>67.650000000000006</v>
      </c>
      <c r="R1294">
        <v>62.6</v>
      </c>
      <c r="S1294">
        <v>68.05</v>
      </c>
      <c r="U1294">
        <v>62.6</v>
      </c>
      <c r="Z1294" t="s">
        <v>5922</v>
      </c>
    </row>
    <row r="1295" spans="1:26" x14ac:dyDescent="0.2">
      <c r="A1295" t="s">
        <v>2238</v>
      </c>
      <c r="B1295" t="s">
        <v>5747</v>
      </c>
      <c r="C1295" t="s">
        <v>2329</v>
      </c>
      <c r="D1295" t="s">
        <v>138</v>
      </c>
      <c r="E1295">
        <v>191.99</v>
      </c>
      <c r="F1295" t="s">
        <v>7272</v>
      </c>
      <c r="H1295">
        <v>125.21</v>
      </c>
      <c r="I1295">
        <v>141.91</v>
      </c>
      <c r="J1295">
        <v>150.26</v>
      </c>
      <c r="L1295" t="s">
        <v>5922</v>
      </c>
      <c r="M1295">
        <v>139.13</v>
      </c>
      <c r="N1295">
        <v>139.13</v>
      </c>
      <c r="P1295">
        <v>135.32</v>
      </c>
      <c r="R1295">
        <v>125.21</v>
      </c>
      <c r="S1295">
        <v>136.1</v>
      </c>
      <c r="U1295">
        <v>125.21</v>
      </c>
      <c r="Z1295" t="s">
        <v>5922</v>
      </c>
    </row>
    <row r="1296" spans="1:26" x14ac:dyDescent="0.2">
      <c r="A1296" t="s">
        <v>2238</v>
      </c>
      <c r="B1296" t="s">
        <v>5742</v>
      </c>
      <c r="C1296" t="s">
        <v>2330</v>
      </c>
      <c r="D1296" t="s">
        <v>138</v>
      </c>
      <c r="E1296">
        <v>69.989999999999995</v>
      </c>
      <c r="F1296" t="s">
        <v>6890</v>
      </c>
      <c r="H1296">
        <v>45.65</v>
      </c>
      <c r="I1296">
        <v>51.73</v>
      </c>
      <c r="J1296">
        <v>54.77</v>
      </c>
      <c r="L1296" t="s">
        <v>5922</v>
      </c>
      <c r="M1296">
        <v>50.72</v>
      </c>
      <c r="N1296">
        <v>50.72</v>
      </c>
      <c r="P1296">
        <v>49.33</v>
      </c>
      <c r="R1296">
        <v>45.65</v>
      </c>
      <c r="S1296">
        <v>49.61</v>
      </c>
      <c r="U1296">
        <v>45.65</v>
      </c>
      <c r="Z1296" t="s">
        <v>5922</v>
      </c>
    </row>
    <row r="1297" spans="1:26" x14ac:dyDescent="0.2">
      <c r="A1297" t="s">
        <v>2238</v>
      </c>
      <c r="B1297" t="s">
        <v>5758</v>
      </c>
      <c r="C1297" t="s">
        <v>2331</v>
      </c>
      <c r="D1297" t="s">
        <v>105</v>
      </c>
      <c r="E1297">
        <v>92.99</v>
      </c>
      <c r="F1297" t="s">
        <v>7273</v>
      </c>
      <c r="H1297">
        <v>60.65</v>
      </c>
      <c r="I1297">
        <v>68.73</v>
      </c>
      <c r="J1297">
        <v>72.77</v>
      </c>
      <c r="L1297" t="s">
        <v>5922</v>
      </c>
      <c r="M1297">
        <v>67.38</v>
      </c>
      <c r="N1297">
        <v>67.38</v>
      </c>
      <c r="P1297">
        <v>65.540000000000006</v>
      </c>
      <c r="R1297">
        <v>60.65</v>
      </c>
      <c r="S1297">
        <v>65.92</v>
      </c>
      <c r="U1297">
        <v>60.65</v>
      </c>
      <c r="Z1297" t="s">
        <v>5922</v>
      </c>
    </row>
    <row r="1298" spans="1:26" x14ac:dyDescent="0.2">
      <c r="A1298" t="s">
        <v>2238</v>
      </c>
      <c r="B1298" t="s">
        <v>6045</v>
      </c>
      <c r="C1298" t="s">
        <v>2332</v>
      </c>
      <c r="D1298" t="s">
        <v>105</v>
      </c>
      <c r="E1298">
        <v>1199</v>
      </c>
      <c r="F1298" t="s">
        <v>6953</v>
      </c>
      <c r="H1298">
        <v>875.79</v>
      </c>
      <c r="I1298">
        <v>886.22</v>
      </c>
      <c r="J1298">
        <v>938.35</v>
      </c>
      <c r="L1298" t="s">
        <v>5922</v>
      </c>
      <c r="M1298">
        <v>949.93</v>
      </c>
      <c r="N1298">
        <v>973.1</v>
      </c>
      <c r="P1298">
        <v>965.79</v>
      </c>
      <c r="R1298">
        <v>875.79</v>
      </c>
      <c r="S1298">
        <v>951.95</v>
      </c>
      <c r="U1298">
        <v>854.94</v>
      </c>
      <c r="Z1298" t="s">
        <v>5922</v>
      </c>
    </row>
    <row r="1299" spans="1:26" x14ac:dyDescent="0.2">
      <c r="A1299" t="s">
        <v>2238</v>
      </c>
      <c r="B1299" t="s">
        <v>5772</v>
      </c>
      <c r="C1299" t="s">
        <v>2333</v>
      </c>
      <c r="D1299" t="s">
        <v>105</v>
      </c>
      <c r="E1299">
        <v>50.99</v>
      </c>
      <c r="F1299" t="s">
        <v>7274</v>
      </c>
      <c r="H1299">
        <v>33.26</v>
      </c>
      <c r="I1299">
        <v>37.69</v>
      </c>
      <c r="J1299">
        <v>39.909999999999997</v>
      </c>
      <c r="L1299" t="s">
        <v>5922</v>
      </c>
      <c r="M1299">
        <v>36.950000000000003</v>
      </c>
      <c r="N1299">
        <v>36.950000000000003</v>
      </c>
      <c r="P1299">
        <v>35.94</v>
      </c>
      <c r="R1299">
        <v>33.26</v>
      </c>
      <c r="S1299">
        <v>36.15</v>
      </c>
      <c r="U1299">
        <v>33.26</v>
      </c>
      <c r="Z1299" t="s">
        <v>5922</v>
      </c>
    </row>
    <row r="1300" spans="1:26" x14ac:dyDescent="0.2">
      <c r="A1300" t="s">
        <v>2238</v>
      </c>
      <c r="B1300" t="s">
        <v>6046</v>
      </c>
      <c r="C1300" t="s">
        <v>2334</v>
      </c>
      <c r="D1300" t="s">
        <v>105</v>
      </c>
      <c r="E1300">
        <v>1269</v>
      </c>
      <c r="F1300" t="s">
        <v>5922</v>
      </c>
      <c r="L1300" t="s">
        <v>7275</v>
      </c>
      <c r="Z1300" t="s">
        <v>5922</v>
      </c>
    </row>
    <row r="1301" spans="1:26" x14ac:dyDescent="0.2">
      <c r="A1301" t="s">
        <v>2238</v>
      </c>
      <c r="B1301" t="s">
        <v>6047</v>
      </c>
      <c r="C1301" t="s">
        <v>2335</v>
      </c>
      <c r="D1301" t="s">
        <v>105</v>
      </c>
      <c r="E1301">
        <v>1199</v>
      </c>
      <c r="F1301" t="s">
        <v>6953</v>
      </c>
      <c r="H1301">
        <v>875.79</v>
      </c>
      <c r="I1301">
        <v>886.22</v>
      </c>
      <c r="J1301">
        <v>938.35</v>
      </c>
      <c r="L1301" t="s">
        <v>5922</v>
      </c>
      <c r="M1301">
        <v>949.93</v>
      </c>
      <c r="N1301">
        <v>973.1</v>
      </c>
      <c r="P1301">
        <v>965.79</v>
      </c>
      <c r="R1301">
        <v>875.79</v>
      </c>
      <c r="S1301">
        <v>951.95</v>
      </c>
      <c r="U1301">
        <v>854.94</v>
      </c>
      <c r="Z1301" t="s">
        <v>5922</v>
      </c>
    </row>
    <row r="1302" spans="1:26" x14ac:dyDescent="0.2">
      <c r="A1302" t="s">
        <v>2238</v>
      </c>
      <c r="B1302" t="s">
        <v>5734</v>
      </c>
      <c r="C1302" t="s">
        <v>2336</v>
      </c>
      <c r="D1302" t="s">
        <v>105</v>
      </c>
      <c r="E1302">
        <v>1239.99</v>
      </c>
      <c r="F1302" t="s">
        <v>7276</v>
      </c>
      <c r="H1302">
        <v>905.73</v>
      </c>
      <c r="I1302">
        <v>916.51</v>
      </c>
      <c r="J1302">
        <v>970.43</v>
      </c>
      <c r="L1302" t="s">
        <v>5922</v>
      </c>
      <c r="M1302">
        <v>982.41</v>
      </c>
      <c r="N1302">
        <v>1006.37</v>
      </c>
      <c r="P1302">
        <v>998.8</v>
      </c>
      <c r="R1302">
        <v>905.73</v>
      </c>
      <c r="S1302">
        <v>984.49</v>
      </c>
      <c r="U1302">
        <v>884.17</v>
      </c>
      <c r="Z1302" t="s">
        <v>5922</v>
      </c>
    </row>
    <row r="1303" spans="1:26" x14ac:dyDescent="0.2">
      <c r="A1303" t="s">
        <v>2238</v>
      </c>
      <c r="B1303" t="s">
        <v>5753</v>
      </c>
      <c r="C1303" t="s">
        <v>2337</v>
      </c>
      <c r="D1303" t="s">
        <v>105</v>
      </c>
      <c r="E1303">
        <v>209.99</v>
      </c>
      <c r="F1303" t="s">
        <v>7277</v>
      </c>
      <c r="H1303">
        <v>136.94999999999999</v>
      </c>
      <c r="I1303">
        <v>155.21</v>
      </c>
      <c r="J1303">
        <v>164.34</v>
      </c>
      <c r="L1303" t="s">
        <v>5922</v>
      </c>
      <c r="M1303">
        <v>152.16999999999999</v>
      </c>
      <c r="N1303">
        <v>152.16999999999999</v>
      </c>
      <c r="P1303">
        <v>148</v>
      </c>
      <c r="R1303">
        <v>136.94999999999999</v>
      </c>
      <c r="S1303">
        <v>148.86000000000001</v>
      </c>
      <c r="U1303">
        <v>136.94999999999999</v>
      </c>
      <c r="Z1303" t="s">
        <v>5922</v>
      </c>
    </row>
    <row r="1304" spans="1:26" x14ac:dyDescent="0.2">
      <c r="A1304" t="s">
        <v>2238</v>
      </c>
      <c r="B1304" t="s">
        <v>7278</v>
      </c>
      <c r="C1304" t="s">
        <v>2338</v>
      </c>
      <c r="D1304" t="s">
        <v>105</v>
      </c>
      <c r="E1304">
        <v>239.99</v>
      </c>
      <c r="F1304" t="s">
        <v>7279</v>
      </c>
      <c r="H1304">
        <v>156.52000000000001</v>
      </c>
      <c r="I1304">
        <v>177.39</v>
      </c>
      <c r="J1304">
        <v>187.82</v>
      </c>
      <c r="L1304" t="s">
        <v>5922</v>
      </c>
      <c r="M1304">
        <v>173.91</v>
      </c>
      <c r="N1304">
        <v>173.91</v>
      </c>
      <c r="P1304">
        <v>169.15</v>
      </c>
      <c r="R1304">
        <v>156.52000000000001</v>
      </c>
      <c r="S1304">
        <v>170.13</v>
      </c>
      <c r="U1304">
        <v>156.52000000000001</v>
      </c>
      <c r="Z1304" t="s">
        <v>5922</v>
      </c>
    </row>
    <row r="1305" spans="1:26" x14ac:dyDescent="0.2">
      <c r="A1305" t="s">
        <v>2238</v>
      </c>
      <c r="B1305" t="s">
        <v>5759</v>
      </c>
      <c r="C1305" t="s">
        <v>2339</v>
      </c>
      <c r="D1305" t="s">
        <v>105</v>
      </c>
      <c r="E1305">
        <v>13.99</v>
      </c>
      <c r="F1305" t="s">
        <v>7220</v>
      </c>
      <c r="H1305">
        <v>9.1300000000000008</v>
      </c>
      <c r="I1305">
        <v>10.34</v>
      </c>
      <c r="J1305">
        <v>10.95</v>
      </c>
      <c r="L1305" t="s">
        <v>5922</v>
      </c>
      <c r="M1305">
        <v>10.14</v>
      </c>
      <c r="N1305">
        <v>10.14</v>
      </c>
      <c r="P1305">
        <v>9.86</v>
      </c>
      <c r="R1305">
        <v>9.1300000000000008</v>
      </c>
      <c r="S1305">
        <v>9.92</v>
      </c>
      <c r="U1305">
        <v>9.1300000000000008</v>
      </c>
      <c r="Z1305" t="s">
        <v>5922</v>
      </c>
    </row>
    <row r="1306" spans="1:26" x14ac:dyDescent="0.2">
      <c r="A1306" t="s">
        <v>2238</v>
      </c>
      <c r="B1306" t="s">
        <v>5784</v>
      </c>
      <c r="C1306" t="s">
        <v>2340</v>
      </c>
      <c r="D1306" t="s">
        <v>105</v>
      </c>
      <c r="E1306">
        <v>40.99</v>
      </c>
      <c r="F1306" t="s">
        <v>7215</v>
      </c>
      <c r="H1306">
        <v>26.73</v>
      </c>
      <c r="I1306">
        <v>30.29</v>
      </c>
      <c r="J1306">
        <v>32.08</v>
      </c>
      <c r="L1306" t="s">
        <v>5922</v>
      </c>
      <c r="M1306">
        <v>29.7</v>
      </c>
      <c r="N1306">
        <v>29.7</v>
      </c>
      <c r="P1306">
        <v>28.89</v>
      </c>
      <c r="R1306">
        <v>26.73</v>
      </c>
      <c r="S1306">
        <v>29.05</v>
      </c>
      <c r="U1306">
        <v>26.73</v>
      </c>
      <c r="Z1306" t="s">
        <v>5922</v>
      </c>
    </row>
    <row r="1307" spans="1:26" x14ac:dyDescent="0.2">
      <c r="A1307" t="s">
        <v>2238</v>
      </c>
      <c r="B1307" t="s">
        <v>6048</v>
      </c>
      <c r="C1307" t="s">
        <v>2341</v>
      </c>
      <c r="D1307" t="s">
        <v>105</v>
      </c>
      <c r="E1307">
        <v>1199</v>
      </c>
      <c r="F1307" t="s">
        <v>6953</v>
      </c>
      <c r="H1307">
        <v>875.79</v>
      </c>
      <c r="I1307">
        <v>886.22</v>
      </c>
      <c r="J1307">
        <v>938.35</v>
      </c>
      <c r="L1307" t="s">
        <v>5922</v>
      </c>
      <c r="M1307">
        <v>949.93</v>
      </c>
      <c r="N1307">
        <v>973.1</v>
      </c>
      <c r="P1307">
        <v>965.79</v>
      </c>
      <c r="R1307">
        <v>875.79</v>
      </c>
      <c r="S1307">
        <v>951.95</v>
      </c>
      <c r="U1307">
        <v>854.94</v>
      </c>
      <c r="Z1307" t="s">
        <v>5922</v>
      </c>
    </row>
    <row r="1308" spans="1:26" x14ac:dyDescent="0.2">
      <c r="A1308" t="s">
        <v>2238</v>
      </c>
      <c r="B1308" t="s">
        <v>5755</v>
      </c>
      <c r="C1308" t="s">
        <v>2342</v>
      </c>
      <c r="D1308" t="s">
        <v>105</v>
      </c>
      <c r="E1308">
        <v>71.989999999999995</v>
      </c>
      <c r="F1308" t="s">
        <v>7280</v>
      </c>
      <c r="H1308">
        <v>46.95</v>
      </c>
      <c r="I1308">
        <v>53.21</v>
      </c>
      <c r="J1308">
        <v>56.34</v>
      </c>
      <c r="L1308" t="s">
        <v>5922</v>
      </c>
      <c r="M1308">
        <v>52.17</v>
      </c>
      <c r="N1308">
        <v>52.17</v>
      </c>
      <c r="P1308">
        <v>50.74</v>
      </c>
      <c r="R1308">
        <v>46.95</v>
      </c>
      <c r="S1308">
        <v>51.03</v>
      </c>
      <c r="U1308">
        <v>46.95</v>
      </c>
      <c r="Z1308" t="s">
        <v>5922</v>
      </c>
    </row>
    <row r="1309" spans="1:26" x14ac:dyDescent="0.2">
      <c r="A1309" t="s">
        <v>2238</v>
      </c>
      <c r="B1309" t="s">
        <v>7281</v>
      </c>
      <c r="C1309" t="s">
        <v>2343</v>
      </c>
      <c r="D1309" t="s">
        <v>105</v>
      </c>
      <c r="E1309">
        <v>49.99</v>
      </c>
      <c r="F1309" t="s">
        <v>6969</v>
      </c>
      <c r="H1309">
        <v>32.6</v>
      </c>
      <c r="I1309">
        <v>36.950000000000003</v>
      </c>
      <c r="J1309">
        <v>39.119999999999997</v>
      </c>
      <c r="L1309" t="s">
        <v>5922</v>
      </c>
      <c r="M1309">
        <v>36.229999999999997</v>
      </c>
      <c r="N1309">
        <v>36.229999999999997</v>
      </c>
      <c r="P1309">
        <v>35.229999999999997</v>
      </c>
      <c r="R1309">
        <v>32.6</v>
      </c>
      <c r="S1309">
        <v>35.44</v>
      </c>
      <c r="U1309">
        <v>32.6</v>
      </c>
      <c r="Z1309" t="s">
        <v>5922</v>
      </c>
    </row>
    <row r="1310" spans="1:26" x14ac:dyDescent="0.2">
      <c r="A1310" t="s">
        <v>2238</v>
      </c>
      <c r="B1310" t="s">
        <v>5768</v>
      </c>
      <c r="C1310" t="s">
        <v>2344</v>
      </c>
      <c r="D1310" t="s">
        <v>105</v>
      </c>
      <c r="E1310">
        <v>62.99</v>
      </c>
      <c r="F1310" t="s">
        <v>6912</v>
      </c>
      <c r="H1310">
        <v>41.08</v>
      </c>
      <c r="I1310">
        <v>46.55</v>
      </c>
      <c r="J1310">
        <v>49.29</v>
      </c>
      <c r="L1310" t="s">
        <v>5922</v>
      </c>
      <c r="M1310">
        <v>45.64</v>
      </c>
      <c r="N1310">
        <v>45.64</v>
      </c>
      <c r="P1310">
        <v>44.39</v>
      </c>
      <c r="R1310">
        <v>41.08</v>
      </c>
      <c r="S1310">
        <v>44.65</v>
      </c>
      <c r="U1310">
        <v>41.08</v>
      </c>
      <c r="Z1310" t="s">
        <v>5922</v>
      </c>
    </row>
    <row r="1311" spans="1:26" x14ac:dyDescent="0.2">
      <c r="A1311" t="s">
        <v>2238</v>
      </c>
      <c r="B1311" t="s">
        <v>6049</v>
      </c>
      <c r="C1311" t="s">
        <v>2345</v>
      </c>
      <c r="D1311" t="s">
        <v>105</v>
      </c>
      <c r="E1311">
        <v>1049.99</v>
      </c>
      <c r="F1311" t="s">
        <v>7282</v>
      </c>
      <c r="H1311">
        <v>766.95</v>
      </c>
      <c r="I1311">
        <v>776.08</v>
      </c>
      <c r="J1311">
        <v>821.73</v>
      </c>
      <c r="L1311" t="s">
        <v>5922</v>
      </c>
      <c r="M1311">
        <v>831.87</v>
      </c>
      <c r="N1311">
        <v>852.16</v>
      </c>
      <c r="P1311">
        <v>845.75</v>
      </c>
      <c r="R1311">
        <v>766.95</v>
      </c>
      <c r="S1311">
        <v>833.64</v>
      </c>
      <c r="U1311">
        <v>748.68</v>
      </c>
      <c r="Z1311" t="s">
        <v>5922</v>
      </c>
    </row>
    <row r="1312" spans="1:26" x14ac:dyDescent="0.2">
      <c r="A1312" t="s">
        <v>2238</v>
      </c>
      <c r="B1312" t="s">
        <v>6050</v>
      </c>
      <c r="C1312" t="s">
        <v>2346</v>
      </c>
      <c r="D1312" t="s">
        <v>105</v>
      </c>
      <c r="E1312">
        <v>29.99</v>
      </c>
      <c r="F1312" t="s">
        <v>6886</v>
      </c>
      <c r="H1312">
        <v>19.559999999999999</v>
      </c>
      <c r="I1312">
        <v>22.17</v>
      </c>
      <c r="J1312">
        <v>23.47</v>
      </c>
      <c r="L1312" t="s">
        <v>5922</v>
      </c>
      <c r="M1312">
        <v>21.73</v>
      </c>
      <c r="N1312">
        <v>21.73</v>
      </c>
      <c r="P1312">
        <v>21.14</v>
      </c>
      <c r="R1312">
        <v>19.559999999999999</v>
      </c>
      <c r="S1312">
        <v>21.26</v>
      </c>
      <c r="U1312">
        <v>19.559999999999999</v>
      </c>
      <c r="Z1312" t="s">
        <v>5922</v>
      </c>
    </row>
    <row r="1313" spans="1:26" x14ac:dyDescent="0.2">
      <c r="A1313" t="s">
        <v>2238</v>
      </c>
      <c r="B1313" t="s">
        <v>5736</v>
      </c>
      <c r="C1313" t="s">
        <v>2347</v>
      </c>
      <c r="D1313" t="s">
        <v>105</v>
      </c>
      <c r="E1313">
        <v>1049.99</v>
      </c>
      <c r="F1313" t="s">
        <v>7282</v>
      </c>
      <c r="H1313">
        <v>766.95</v>
      </c>
      <c r="I1313">
        <v>776.08</v>
      </c>
      <c r="J1313">
        <v>821.73</v>
      </c>
      <c r="L1313" t="s">
        <v>5922</v>
      </c>
      <c r="M1313">
        <v>831.87</v>
      </c>
      <c r="N1313">
        <v>852.16</v>
      </c>
      <c r="P1313">
        <v>845.75</v>
      </c>
      <c r="R1313">
        <v>766.95</v>
      </c>
      <c r="S1313">
        <v>833.64</v>
      </c>
      <c r="U1313">
        <v>748.68</v>
      </c>
      <c r="V1313">
        <v>766.95</v>
      </c>
      <c r="Z1313" t="s">
        <v>5922</v>
      </c>
    </row>
    <row r="1314" spans="1:26" x14ac:dyDescent="0.2">
      <c r="A1314" t="s">
        <v>2238</v>
      </c>
      <c r="B1314" t="s">
        <v>5797</v>
      </c>
      <c r="C1314" t="s">
        <v>2348</v>
      </c>
      <c r="D1314" t="s">
        <v>105</v>
      </c>
      <c r="E1314">
        <v>50.99</v>
      </c>
      <c r="F1314" t="s">
        <v>7274</v>
      </c>
      <c r="H1314">
        <v>33.26</v>
      </c>
      <c r="I1314">
        <v>37.69</v>
      </c>
      <c r="J1314">
        <v>39.909999999999997</v>
      </c>
      <c r="L1314" t="s">
        <v>5922</v>
      </c>
      <c r="M1314">
        <v>36.950000000000003</v>
      </c>
      <c r="N1314">
        <v>36.950000000000003</v>
      </c>
      <c r="P1314">
        <v>35.94</v>
      </c>
      <c r="R1314">
        <v>33.26</v>
      </c>
      <c r="S1314">
        <v>36.15</v>
      </c>
      <c r="U1314">
        <v>33.26</v>
      </c>
      <c r="Z1314" t="s">
        <v>5922</v>
      </c>
    </row>
    <row r="1315" spans="1:26" x14ac:dyDescent="0.2">
      <c r="A1315" t="s">
        <v>2238</v>
      </c>
      <c r="B1315" t="s">
        <v>5773</v>
      </c>
      <c r="C1315" t="s">
        <v>2349</v>
      </c>
      <c r="D1315" t="s">
        <v>105</v>
      </c>
      <c r="E1315">
        <v>1159.99</v>
      </c>
      <c r="F1315" t="s">
        <v>7283</v>
      </c>
      <c r="H1315">
        <v>847.39</v>
      </c>
      <c r="I1315">
        <v>857.39</v>
      </c>
      <c r="J1315">
        <v>907.82</v>
      </c>
      <c r="L1315" t="s">
        <v>5922</v>
      </c>
      <c r="M1315">
        <v>903.18</v>
      </c>
      <c r="R1315">
        <v>847.3</v>
      </c>
      <c r="S1315">
        <v>920.98</v>
      </c>
      <c r="U1315">
        <v>827.13</v>
      </c>
      <c r="Z1315" t="s">
        <v>5922</v>
      </c>
    </row>
    <row r="1316" spans="1:26" x14ac:dyDescent="0.2">
      <c r="A1316" t="s">
        <v>2238</v>
      </c>
      <c r="B1316" t="s">
        <v>7284</v>
      </c>
      <c r="C1316" t="s">
        <v>2350</v>
      </c>
      <c r="D1316" t="s">
        <v>105</v>
      </c>
      <c r="E1316">
        <v>99.99</v>
      </c>
      <c r="F1316" t="s">
        <v>6903</v>
      </c>
      <c r="H1316">
        <v>65.209999999999994</v>
      </c>
      <c r="I1316">
        <v>73.91</v>
      </c>
      <c r="J1316">
        <v>78.260000000000005</v>
      </c>
      <c r="L1316" t="s">
        <v>5922</v>
      </c>
      <c r="M1316">
        <v>72.459999999999994</v>
      </c>
      <c r="N1316">
        <v>72.459999999999994</v>
      </c>
      <c r="P1316">
        <v>70.48</v>
      </c>
      <c r="R1316">
        <v>65.209999999999994</v>
      </c>
      <c r="S1316">
        <v>70.88</v>
      </c>
      <c r="U1316">
        <v>65.209999999999994</v>
      </c>
      <c r="Z1316" t="s">
        <v>5922</v>
      </c>
    </row>
    <row r="1317" spans="1:26" x14ac:dyDescent="0.2">
      <c r="A1317" t="s">
        <v>2238</v>
      </c>
      <c r="B1317" t="s">
        <v>5778</v>
      </c>
      <c r="C1317" t="s">
        <v>2351</v>
      </c>
      <c r="D1317" t="s">
        <v>105</v>
      </c>
      <c r="E1317">
        <v>122.99</v>
      </c>
      <c r="F1317" t="s">
        <v>7285</v>
      </c>
      <c r="H1317">
        <v>80.209999999999994</v>
      </c>
      <c r="I1317">
        <v>90.91</v>
      </c>
      <c r="J1317">
        <v>96.26</v>
      </c>
      <c r="L1317" t="s">
        <v>5922</v>
      </c>
      <c r="M1317">
        <v>89.13</v>
      </c>
      <c r="N1317">
        <v>89.13</v>
      </c>
      <c r="P1317">
        <v>86.69</v>
      </c>
      <c r="R1317">
        <v>80.209999999999994</v>
      </c>
      <c r="S1317">
        <v>87.19</v>
      </c>
      <c r="U1317">
        <v>80.209999999999994</v>
      </c>
      <c r="Z1317" t="s">
        <v>5922</v>
      </c>
    </row>
    <row r="1318" spans="1:26" x14ac:dyDescent="0.2">
      <c r="A1318" t="s">
        <v>2352</v>
      </c>
      <c r="B1318" t="s">
        <v>2353</v>
      </c>
      <c r="C1318" t="s">
        <v>2354</v>
      </c>
      <c r="D1318" t="s">
        <v>98</v>
      </c>
      <c r="E1318">
        <v>229.99</v>
      </c>
      <c r="F1318" t="s">
        <v>7129</v>
      </c>
      <c r="G1318">
        <v>229.99</v>
      </c>
      <c r="H1318">
        <v>163.99</v>
      </c>
      <c r="L1318" t="s">
        <v>5922</v>
      </c>
      <c r="Q1318">
        <v>163.99</v>
      </c>
      <c r="R1318">
        <v>163.99</v>
      </c>
      <c r="U1318">
        <v>163.04</v>
      </c>
      <c r="V1318">
        <v>163.04</v>
      </c>
      <c r="W1318">
        <v>173.91</v>
      </c>
      <c r="X1318">
        <v>152.16999999999999</v>
      </c>
      <c r="Y1318">
        <v>229.99</v>
      </c>
      <c r="Z1318" t="s">
        <v>5922</v>
      </c>
    </row>
    <row r="1319" spans="1:26" x14ac:dyDescent="0.2">
      <c r="A1319" t="s">
        <v>2352</v>
      </c>
      <c r="B1319" t="s">
        <v>2355</v>
      </c>
      <c r="C1319" t="s">
        <v>2356</v>
      </c>
      <c r="D1319" t="s">
        <v>98</v>
      </c>
      <c r="E1319">
        <v>169.99</v>
      </c>
      <c r="F1319" t="s">
        <v>5922</v>
      </c>
      <c r="H1319">
        <v>133.04</v>
      </c>
      <c r="L1319" t="s">
        <v>5922</v>
      </c>
      <c r="Q1319">
        <v>133.04</v>
      </c>
      <c r="R1319">
        <v>133.04</v>
      </c>
      <c r="U1319">
        <v>123.91</v>
      </c>
      <c r="V1319">
        <v>128.34</v>
      </c>
      <c r="W1319">
        <v>118.25</v>
      </c>
      <c r="X1319">
        <v>125.21</v>
      </c>
      <c r="Y1319">
        <v>169.99</v>
      </c>
      <c r="Z1319" t="s">
        <v>5922</v>
      </c>
    </row>
    <row r="1320" spans="1:26" x14ac:dyDescent="0.2">
      <c r="A1320" t="s">
        <v>2352</v>
      </c>
      <c r="B1320" t="s">
        <v>2357</v>
      </c>
      <c r="C1320" t="s">
        <v>2358</v>
      </c>
      <c r="D1320" t="s">
        <v>98</v>
      </c>
      <c r="E1320">
        <v>249.99</v>
      </c>
      <c r="F1320" t="s">
        <v>5922</v>
      </c>
      <c r="G1320">
        <v>249.99</v>
      </c>
      <c r="H1320">
        <v>173.91</v>
      </c>
      <c r="L1320" t="s">
        <v>5922</v>
      </c>
      <c r="Q1320">
        <v>173.91</v>
      </c>
      <c r="R1320">
        <v>173.91</v>
      </c>
      <c r="U1320">
        <v>195.65</v>
      </c>
      <c r="V1320">
        <v>195.65</v>
      </c>
      <c r="W1320">
        <v>208.69</v>
      </c>
      <c r="X1320">
        <v>182.6</v>
      </c>
      <c r="Y1320">
        <v>249.99</v>
      </c>
      <c r="Z1320" t="s">
        <v>5922</v>
      </c>
    </row>
    <row r="1321" spans="1:26" x14ac:dyDescent="0.2">
      <c r="A1321" t="s">
        <v>2352</v>
      </c>
      <c r="B1321" t="s">
        <v>2359</v>
      </c>
      <c r="C1321" t="s">
        <v>2360</v>
      </c>
      <c r="D1321" t="s">
        <v>98</v>
      </c>
      <c r="E1321">
        <v>349.99</v>
      </c>
      <c r="F1321" t="s">
        <v>5922</v>
      </c>
      <c r="G1321">
        <v>349.99</v>
      </c>
      <c r="H1321">
        <v>243.47</v>
      </c>
      <c r="L1321" t="s">
        <v>5922</v>
      </c>
      <c r="Q1321">
        <v>243.47</v>
      </c>
      <c r="R1321">
        <v>243.47</v>
      </c>
      <c r="U1321">
        <v>253.91</v>
      </c>
      <c r="V1321">
        <v>243.47</v>
      </c>
      <c r="W1321">
        <v>278.25</v>
      </c>
      <c r="X1321">
        <v>243.47</v>
      </c>
      <c r="Y1321">
        <v>349.99</v>
      </c>
      <c r="Z1321" t="s">
        <v>5922</v>
      </c>
    </row>
    <row r="1322" spans="1:26" x14ac:dyDescent="0.2">
      <c r="A1322" t="s">
        <v>2352</v>
      </c>
      <c r="B1322" t="s">
        <v>2361</v>
      </c>
      <c r="C1322" t="s">
        <v>2362</v>
      </c>
      <c r="D1322" t="s">
        <v>98</v>
      </c>
      <c r="E1322">
        <v>499.99</v>
      </c>
      <c r="F1322" t="s">
        <v>5922</v>
      </c>
      <c r="G1322">
        <v>499.99</v>
      </c>
      <c r="H1322">
        <v>347.82</v>
      </c>
      <c r="L1322" t="s">
        <v>5922</v>
      </c>
      <c r="Q1322">
        <v>347.82</v>
      </c>
      <c r="R1322">
        <v>347.82</v>
      </c>
      <c r="U1322">
        <v>417.38</v>
      </c>
      <c r="V1322">
        <v>417.38</v>
      </c>
      <c r="W1322">
        <v>443.47</v>
      </c>
      <c r="X1322">
        <v>365.21</v>
      </c>
      <c r="Y1322">
        <v>499.99</v>
      </c>
      <c r="Z1322" t="s">
        <v>5922</v>
      </c>
    </row>
    <row r="1323" spans="1:26" x14ac:dyDescent="0.2">
      <c r="A1323" t="s">
        <v>2352</v>
      </c>
      <c r="B1323" t="s">
        <v>2363</v>
      </c>
      <c r="C1323" t="s">
        <v>2364</v>
      </c>
      <c r="D1323" t="s">
        <v>98</v>
      </c>
      <c r="E1323">
        <v>479.99</v>
      </c>
      <c r="F1323" t="s">
        <v>5922</v>
      </c>
      <c r="G1323">
        <v>479.99</v>
      </c>
      <c r="H1323">
        <v>342.25</v>
      </c>
      <c r="L1323" t="s">
        <v>5922</v>
      </c>
      <c r="Q1323">
        <v>342.25</v>
      </c>
      <c r="R1323">
        <v>342.25</v>
      </c>
      <c r="U1323">
        <v>352.17</v>
      </c>
      <c r="V1323">
        <v>352.17</v>
      </c>
      <c r="W1323">
        <v>375.65</v>
      </c>
      <c r="X1323">
        <v>328.69</v>
      </c>
      <c r="Y1323">
        <v>479.99</v>
      </c>
      <c r="Z1323" t="s">
        <v>5922</v>
      </c>
    </row>
    <row r="1324" spans="1:26" x14ac:dyDescent="0.2">
      <c r="A1324" t="s">
        <v>2352</v>
      </c>
      <c r="B1324" t="s">
        <v>2365</v>
      </c>
      <c r="C1324" t="s">
        <v>2366</v>
      </c>
      <c r="D1324" t="s">
        <v>98</v>
      </c>
      <c r="E1324">
        <v>429.99</v>
      </c>
      <c r="F1324" t="s">
        <v>7135</v>
      </c>
      <c r="G1324">
        <v>429.99</v>
      </c>
      <c r="H1324">
        <v>299.12</v>
      </c>
      <c r="L1324" t="s">
        <v>5922</v>
      </c>
      <c r="Q1324">
        <v>299.12</v>
      </c>
      <c r="R1324">
        <v>299.12</v>
      </c>
      <c r="U1324">
        <v>317.38</v>
      </c>
      <c r="V1324">
        <v>304.33999999999997</v>
      </c>
      <c r="W1324">
        <v>347.82</v>
      </c>
      <c r="X1324">
        <v>304.33999999999997</v>
      </c>
      <c r="Y1324">
        <v>429.99</v>
      </c>
      <c r="Z1324" t="s">
        <v>5922</v>
      </c>
    </row>
    <row r="1325" spans="1:26" x14ac:dyDescent="0.2">
      <c r="A1325" t="s">
        <v>2352</v>
      </c>
      <c r="B1325" t="s">
        <v>2367</v>
      </c>
      <c r="C1325" t="s">
        <v>2368</v>
      </c>
      <c r="D1325" t="s">
        <v>98</v>
      </c>
      <c r="E1325">
        <v>139.99</v>
      </c>
      <c r="F1325" t="s">
        <v>7085</v>
      </c>
      <c r="H1325">
        <v>109.56</v>
      </c>
      <c r="L1325" t="s">
        <v>5922</v>
      </c>
      <c r="Q1325">
        <v>109.56</v>
      </c>
      <c r="R1325">
        <v>109.56</v>
      </c>
      <c r="U1325">
        <v>110.86</v>
      </c>
      <c r="V1325">
        <v>106.95</v>
      </c>
      <c r="W1325">
        <v>97.38</v>
      </c>
      <c r="X1325">
        <v>104.34</v>
      </c>
      <c r="Y1325">
        <v>139.99</v>
      </c>
      <c r="Z1325" t="s">
        <v>5922</v>
      </c>
    </row>
    <row r="1326" spans="1:26" x14ac:dyDescent="0.2">
      <c r="A1326" t="s">
        <v>2352</v>
      </c>
      <c r="B1326" t="s">
        <v>2369</v>
      </c>
      <c r="C1326" t="s">
        <v>2370</v>
      </c>
      <c r="D1326" t="s">
        <v>98</v>
      </c>
      <c r="E1326">
        <v>129.99</v>
      </c>
      <c r="F1326" t="s">
        <v>7023</v>
      </c>
      <c r="H1326">
        <v>101.73</v>
      </c>
      <c r="L1326" t="s">
        <v>5922</v>
      </c>
      <c r="Q1326">
        <v>101.73</v>
      </c>
      <c r="R1326">
        <v>101.73</v>
      </c>
      <c r="U1326">
        <v>104.34</v>
      </c>
      <c r="V1326">
        <v>99.82</v>
      </c>
      <c r="W1326">
        <v>90.43</v>
      </c>
      <c r="X1326">
        <v>97.38</v>
      </c>
      <c r="Y1326">
        <v>129.99</v>
      </c>
      <c r="Z1326" t="s">
        <v>5922</v>
      </c>
    </row>
    <row r="1327" spans="1:26" x14ac:dyDescent="0.2">
      <c r="A1327" t="s">
        <v>2352</v>
      </c>
      <c r="B1327" t="s">
        <v>2371</v>
      </c>
      <c r="C1327" t="s">
        <v>2372</v>
      </c>
      <c r="D1327" t="s">
        <v>98</v>
      </c>
      <c r="E1327">
        <v>169.99</v>
      </c>
      <c r="F1327" t="s">
        <v>6888</v>
      </c>
      <c r="H1327">
        <v>133.04</v>
      </c>
      <c r="L1327" t="s">
        <v>5922</v>
      </c>
      <c r="Q1327">
        <v>133.04</v>
      </c>
      <c r="R1327">
        <v>133.04</v>
      </c>
      <c r="U1327">
        <v>130.43</v>
      </c>
      <c r="V1327">
        <v>128.34</v>
      </c>
      <c r="W1327">
        <v>118.25</v>
      </c>
      <c r="X1327">
        <v>125.21</v>
      </c>
      <c r="Y1327">
        <v>169.99</v>
      </c>
      <c r="Z1327" t="s">
        <v>5922</v>
      </c>
    </row>
    <row r="1328" spans="1:26" x14ac:dyDescent="0.2">
      <c r="A1328" t="s">
        <v>2352</v>
      </c>
      <c r="B1328" t="s">
        <v>2373</v>
      </c>
      <c r="C1328" t="s">
        <v>2374</v>
      </c>
      <c r="D1328" t="s">
        <v>98</v>
      </c>
      <c r="E1328">
        <v>124.99</v>
      </c>
      <c r="F1328" t="s">
        <v>7286</v>
      </c>
      <c r="H1328">
        <v>97.82</v>
      </c>
      <c r="L1328" t="s">
        <v>5922</v>
      </c>
      <c r="Q1328">
        <v>97.82</v>
      </c>
      <c r="R1328">
        <v>97.82</v>
      </c>
      <c r="U1328">
        <v>97.82</v>
      </c>
      <c r="V1328">
        <v>99.82</v>
      </c>
      <c r="W1328">
        <v>86.95</v>
      </c>
      <c r="X1328">
        <v>97.38</v>
      </c>
      <c r="Y1328">
        <v>124.99</v>
      </c>
      <c r="Z1328" t="s">
        <v>5922</v>
      </c>
    </row>
    <row r="1329" spans="1:26" x14ac:dyDescent="0.2">
      <c r="A1329" t="s">
        <v>2352</v>
      </c>
      <c r="B1329" t="s">
        <v>2375</v>
      </c>
      <c r="C1329" t="s">
        <v>2376</v>
      </c>
      <c r="D1329" t="s">
        <v>98</v>
      </c>
      <c r="E1329">
        <v>249.99</v>
      </c>
      <c r="F1329" t="s">
        <v>5922</v>
      </c>
      <c r="G1329">
        <v>219.99</v>
      </c>
      <c r="H1329">
        <v>173.91</v>
      </c>
      <c r="L1329" t="s">
        <v>5922</v>
      </c>
      <c r="U1329">
        <v>158.69</v>
      </c>
      <c r="V1329">
        <v>152.16999999999999</v>
      </c>
      <c r="W1329">
        <v>173.91</v>
      </c>
      <c r="X1329">
        <v>152.16999999999999</v>
      </c>
      <c r="Y1329">
        <v>219.99</v>
      </c>
      <c r="Z1329" t="s">
        <v>5922</v>
      </c>
    </row>
    <row r="1330" spans="1:26" x14ac:dyDescent="0.2">
      <c r="A1330" t="s">
        <v>2352</v>
      </c>
      <c r="B1330" t="s">
        <v>2377</v>
      </c>
      <c r="C1330" t="s">
        <v>2378</v>
      </c>
      <c r="D1330" t="s">
        <v>98</v>
      </c>
      <c r="E1330">
        <v>259.99</v>
      </c>
      <c r="F1330" t="s">
        <v>5922</v>
      </c>
      <c r="G1330">
        <v>259.99</v>
      </c>
      <c r="H1330">
        <v>194.78</v>
      </c>
      <c r="L1330" t="s">
        <v>5922</v>
      </c>
      <c r="U1330">
        <v>177.73</v>
      </c>
      <c r="V1330">
        <v>170.43</v>
      </c>
      <c r="W1330">
        <v>194.78</v>
      </c>
      <c r="X1330">
        <v>170.43</v>
      </c>
      <c r="Y1330">
        <v>259.99</v>
      </c>
      <c r="Z1330" t="s">
        <v>5922</v>
      </c>
    </row>
    <row r="1331" spans="1:26" x14ac:dyDescent="0.2">
      <c r="A1331" t="s">
        <v>2352</v>
      </c>
      <c r="B1331" t="s">
        <v>2379</v>
      </c>
      <c r="C1331" t="s">
        <v>2380</v>
      </c>
      <c r="D1331" t="s">
        <v>98</v>
      </c>
      <c r="E1331">
        <v>329.99</v>
      </c>
      <c r="F1331" t="s">
        <v>5922</v>
      </c>
      <c r="G1331">
        <v>299.99</v>
      </c>
      <c r="H1331">
        <v>229.56</v>
      </c>
      <c r="L1331" t="s">
        <v>5922</v>
      </c>
      <c r="U1331">
        <v>209.47</v>
      </c>
      <c r="V1331">
        <v>200.86</v>
      </c>
      <c r="W1331">
        <v>229.56</v>
      </c>
      <c r="X1331">
        <v>200.86</v>
      </c>
      <c r="Y1331">
        <v>299.99</v>
      </c>
      <c r="Z1331" t="s">
        <v>5922</v>
      </c>
    </row>
    <row r="1332" spans="1:26" x14ac:dyDescent="0.2">
      <c r="A1332" t="s">
        <v>2352</v>
      </c>
      <c r="B1332" t="s">
        <v>2381</v>
      </c>
      <c r="C1332" t="s">
        <v>2382</v>
      </c>
      <c r="D1332" t="s">
        <v>98</v>
      </c>
      <c r="E1332">
        <v>219.99</v>
      </c>
      <c r="F1332" t="s">
        <v>7051</v>
      </c>
      <c r="G1332">
        <v>219.99</v>
      </c>
      <c r="H1332">
        <v>156.86000000000001</v>
      </c>
      <c r="L1332" t="s">
        <v>5922</v>
      </c>
      <c r="Q1332">
        <v>156.86000000000001</v>
      </c>
      <c r="R1332">
        <v>156.86000000000001</v>
      </c>
      <c r="U1332">
        <v>173.91</v>
      </c>
      <c r="V1332">
        <v>163.04</v>
      </c>
      <c r="W1332">
        <v>173.91</v>
      </c>
      <c r="X1332">
        <v>152.16999999999999</v>
      </c>
      <c r="Y1332">
        <v>219.99</v>
      </c>
      <c r="Z1332" t="s">
        <v>5922</v>
      </c>
    </row>
    <row r="1333" spans="1:26" x14ac:dyDescent="0.2">
      <c r="A1333" t="s">
        <v>2352</v>
      </c>
      <c r="B1333" t="s">
        <v>2383</v>
      </c>
      <c r="C1333" t="s">
        <v>2384</v>
      </c>
      <c r="D1333" t="s">
        <v>98</v>
      </c>
      <c r="E1333">
        <v>269.99</v>
      </c>
      <c r="F1333" t="s">
        <v>7287</v>
      </c>
      <c r="G1333">
        <v>269.99</v>
      </c>
      <c r="H1333">
        <v>192.51</v>
      </c>
      <c r="L1333" t="s">
        <v>5922</v>
      </c>
      <c r="Q1333">
        <v>192.51</v>
      </c>
      <c r="R1333">
        <v>192.51</v>
      </c>
      <c r="U1333">
        <v>201.73</v>
      </c>
      <c r="V1333">
        <v>189.12</v>
      </c>
      <c r="W1333">
        <v>201.73</v>
      </c>
      <c r="X1333">
        <v>176.52</v>
      </c>
      <c r="Y1333">
        <v>269.99</v>
      </c>
      <c r="Z1333" t="s">
        <v>5922</v>
      </c>
    </row>
    <row r="1334" spans="1:26" x14ac:dyDescent="0.2">
      <c r="A1334" t="s">
        <v>2352</v>
      </c>
      <c r="B1334" t="s">
        <v>2385</v>
      </c>
      <c r="C1334" t="s">
        <v>2386</v>
      </c>
      <c r="D1334" t="s">
        <v>98</v>
      </c>
      <c r="E1334">
        <v>299.99</v>
      </c>
      <c r="F1334" t="s">
        <v>5922</v>
      </c>
      <c r="G1334">
        <v>299.99</v>
      </c>
      <c r="H1334">
        <v>213.91</v>
      </c>
      <c r="L1334" t="s">
        <v>5922</v>
      </c>
      <c r="Q1334">
        <v>213.91</v>
      </c>
      <c r="R1334">
        <v>213.91</v>
      </c>
      <c r="U1334">
        <v>229.56</v>
      </c>
      <c r="V1334">
        <v>215.21</v>
      </c>
      <c r="W1334">
        <v>229.56</v>
      </c>
      <c r="X1334">
        <v>200.86</v>
      </c>
      <c r="Y1334">
        <v>299.99</v>
      </c>
      <c r="Z1334" t="s">
        <v>5922</v>
      </c>
    </row>
    <row r="1335" spans="1:26" x14ac:dyDescent="0.2">
      <c r="A1335" t="s">
        <v>2352</v>
      </c>
      <c r="B1335" t="s">
        <v>2387</v>
      </c>
      <c r="C1335" t="s">
        <v>2388</v>
      </c>
      <c r="D1335" t="s">
        <v>98</v>
      </c>
      <c r="E1335">
        <v>349.99</v>
      </c>
      <c r="F1335" t="s">
        <v>7288</v>
      </c>
      <c r="G1335">
        <v>349.99</v>
      </c>
      <c r="H1335">
        <v>249.56</v>
      </c>
      <c r="L1335" t="s">
        <v>5922</v>
      </c>
      <c r="Q1335">
        <v>249.56</v>
      </c>
      <c r="R1335">
        <v>249.56</v>
      </c>
      <c r="U1335">
        <v>247.82</v>
      </c>
      <c r="V1335">
        <v>247.82</v>
      </c>
      <c r="W1335">
        <v>264.33999999999997</v>
      </c>
      <c r="X1335">
        <v>231.3</v>
      </c>
      <c r="Y1335">
        <v>349.99</v>
      </c>
      <c r="Z1335" t="s">
        <v>5922</v>
      </c>
    </row>
    <row r="1336" spans="1:26" x14ac:dyDescent="0.2">
      <c r="A1336" t="s">
        <v>2352</v>
      </c>
      <c r="B1336" t="s">
        <v>2389</v>
      </c>
      <c r="C1336" t="s">
        <v>2390</v>
      </c>
      <c r="D1336" t="s">
        <v>98</v>
      </c>
      <c r="E1336">
        <v>399.99</v>
      </c>
      <c r="F1336" t="s">
        <v>7153</v>
      </c>
      <c r="G1336">
        <v>399.99</v>
      </c>
      <c r="H1336">
        <v>285.20999999999998</v>
      </c>
      <c r="L1336" t="s">
        <v>5922</v>
      </c>
      <c r="Q1336">
        <v>285.20999999999998</v>
      </c>
      <c r="R1336">
        <v>285.20999999999998</v>
      </c>
      <c r="U1336">
        <v>286.95</v>
      </c>
      <c r="V1336">
        <v>286.95</v>
      </c>
      <c r="W1336">
        <v>306.08</v>
      </c>
      <c r="X1336">
        <v>267.82</v>
      </c>
      <c r="Y1336">
        <v>399.99</v>
      </c>
      <c r="Z1336" t="s">
        <v>5922</v>
      </c>
    </row>
    <row r="1337" spans="1:26" x14ac:dyDescent="0.2">
      <c r="A1337" t="s">
        <v>2352</v>
      </c>
      <c r="B1337" t="s">
        <v>2391</v>
      </c>
      <c r="C1337" t="s">
        <v>2392</v>
      </c>
      <c r="D1337" t="s">
        <v>98</v>
      </c>
      <c r="E1337">
        <v>469.99</v>
      </c>
      <c r="F1337" t="s">
        <v>7289</v>
      </c>
      <c r="G1337">
        <v>469.99</v>
      </c>
      <c r="H1337">
        <v>347.38</v>
      </c>
      <c r="L1337" t="s">
        <v>5922</v>
      </c>
      <c r="Q1337">
        <v>347.38</v>
      </c>
      <c r="R1337">
        <v>347.38</v>
      </c>
      <c r="U1337">
        <v>347.82</v>
      </c>
      <c r="V1337">
        <v>347.82</v>
      </c>
      <c r="W1337">
        <v>347.82</v>
      </c>
      <c r="X1337">
        <v>304.33999999999997</v>
      </c>
      <c r="Y1337">
        <v>469.99</v>
      </c>
      <c r="Z1337" t="s">
        <v>5922</v>
      </c>
    </row>
    <row r="1338" spans="1:26" x14ac:dyDescent="0.2">
      <c r="A1338" t="s">
        <v>2352</v>
      </c>
      <c r="B1338" t="s">
        <v>2393</v>
      </c>
      <c r="C1338" t="s">
        <v>2394</v>
      </c>
      <c r="D1338" t="s">
        <v>98</v>
      </c>
      <c r="E1338">
        <v>499.99</v>
      </c>
      <c r="F1338" t="s">
        <v>6921</v>
      </c>
      <c r="G1338">
        <v>499.99</v>
      </c>
      <c r="H1338">
        <v>369.56</v>
      </c>
      <c r="L1338" t="s">
        <v>5922</v>
      </c>
      <c r="Q1338">
        <v>369.56</v>
      </c>
      <c r="R1338">
        <v>369.56</v>
      </c>
      <c r="U1338">
        <v>382.6</v>
      </c>
      <c r="V1338">
        <v>382.6</v>
      </c>
      <c r="W1338">
        <v>382.6</v>
      </c>
      <c r="X1338">
        <v>334.78</v>
      </c>
      <c r="Y1338">
        <v>499.99</v>
      </c>
      <c r="Z1338" t="s">
        <v>5922</v>
      </c>
    </row>
    <row r="1339" spans="1:26" x14ac:dyDescent="0.2">
      <c r="A1339" t="s">
        <v>2352</v>
      </c>
      <c r="B1339" t="s">
        <v>2395</v>
      </c>
      <c r="C1339" t="s">
        <v>2396</v>
      </c>
      <c r="D1339" t="s">
        <v>98</v>
      </c>
      <c r="E1339">
        <v>399.99</v>
      </c>
      <c r="F1339" t="s">
        <v>7153</v>
      </c>
      <c r="G1339">
        <v>399.99</v>
      </c>
      <c r="H1339">
        <v>313.04000000000002</v>
      </c>
      <c r="L1339" t="s">
        <v>5922</v>
      </c>
      <c r="Q1339">
        <v>313.04000000000002</v>
      </c>
      <c r="R1339">
        <v>313.04000000000002</v>
      </c>
      <c r="U1339">
        <v>299.99</v>
      </c>
      <c r="V1339">
        <v>299.47000000000003</v>
      </c>
      <c r="W1339">
        <v>278.25</v>
      </c>
      <c r="X1339">
        <v>278.25</v>
      </c>
      <c r="Y1339">
        <v>399.99</v>
      </c>
      <c r="Z1339" t="s">
        <v>5922</v>
      </c>
    </row>
    <row r="1340" spans="1:26" x14ac:dyDescent="0.2">
      <c r="A1340" t="s">
        <v>2352</v>
      </c>
      <c r="B1340" t="s">
        <v>2397</v>
      </c>
      <c r="C1340" t="s">
        <v>2398</v>
      </c>
      <c r="D1340" t="s">
        <v>98</v>
      </c>
      <c r="E1340">
        <v>199.99</v>
      </c>
      <c r="F1340" t="s">
        <v>6916</v>
      </c>
      <c r="G1340">
        <v>199.99</v>
      </c>
      <c r="H1340">
        <v>156.51</v>
      </c>
      <c r="L1340" t="s">
        <v>5922</v>
      </c>
      <c r="Q1340">
        <v>156.51</v>
      </c>
      <c r="R1340">
        <v>156.51</v>
      </c>
      <c r="U1340">
        <v>156.52000000000001</v>
      </c>
      <c r="V1340">
        <v>156.86000000000001</v>
      </c>
      <c r="W1340">
        <v>139.12</v>
      </c>
      <c r="X1340">
        <v>139.12</v>
      </c>
      <c r="Y1340">
        <v>199.99</v>
      </c>
      <c r="Z1340" t="s">
        <v>5922</v>
      </c>
    </row>
    <row r="1341" spans="1:26" x14ac:dyDescent="0.2">
      <c r="A1341" t="s">
        <v>2352</v>
      </c>
      <c r="B1341" t="s">
        <v>2399</v>
      </c>
      <c r="C1341" t="s">
        <v>2400</v>
      </c>
      <c r="D1341" t="s">
        <v>98</v>
      </c>
      <c r="E1341">
        <v>159.99</v>
      </c>
      <c r="F1341" t="s">
        <v>5922</v>
      </c>
      <c r="G1341">
        <v>159.99</v>
      </c>
      <c r="H1341">
        <v>111.3</v>
      </c>
      <c r="L1341" t="s">
        <v>5922</v>
      </c>
      <c r="Q1341">
        <v>111.3</v>
      </c>
      <c r="R1341">
        <v>111.3</v>
      </c>
      <c r="U1341">
        <v>114.25</v>
      </c>
      <c r="V1341">
        <v>109.56</v>
      </c>
      <c r="W1341">
        <v>125.21</v>
      </c>
      <c r="X1341">
        <v>109.56</v>
      </c>
      <c r="Y1341">
        <v>159.99</v>
      </c>
      <c r="Z1341" t="s">
        <v>5922</v>
      </c>
    </row>
    <row r="1342" spans="1:26" x14ac:dyDescent="0.2">
      <c r="A1342" t="s">
        <v>2352</v>
      </c>
      <c r="B1342" t="s">
        <v>2401</v>
      </c>
      <c r="C1342" t="s">
        <v>2402</v>
      </c>
      <c r="D1342" t="s">
        <v>98</v>
      </c>
      <c r="E1342">
        <v>179.99</v>
      </c>
      <c r="F1342" t="s">
        <v>5922</v>
      </c>
      <c r="H1342">
        <v>125.21</v>
      </c>
      <c r="L1342" t="s">
        <v>5922</v>
      </c>
      <c r="U1342">
        <v>114.25</v>
      </c>
      <c r="V1342">
        <v>109.56</v>
      </c>
      <c r="W1342">
        <v>125.21</v>
      </c>
      <c r="X1342">
        <v>125.21</v>
      </c>
      <c r="Y1342">
        <v>159.99</v>
      </c>
      <c r="Z1342" t="s">
        <v>5922</v>
      </c>
    </row>
    <row r="1343" spans="1:26" x14ac:dyDescent="0.2">
      <c r="A1343" t="s">
        <v>2352</v>
      </c>
      <c r="B1343" t="s">
        <v>2403</v>
      </c>
      <c r="C1343" t="s">
        <v>2404</v>
      </c>
      <c r="D1343" t="s">
        <v>98</v>
      </c>
      <c r="E1343">
        <v>379.99</v>
      </c>
      <c r="F1343" t="s">
        <v>5922</v>
      </c>
      <c r="G1343">
        <v>379.99</v>
      </c>
      <c r="H1343">
        <v>264.33999999999997</v>
      </c>
      <c r="L1343" t="s">
        <v>5922</v>
      </c>
      <c r="Q1343">
        <v>264.33999999999997</v>
      </c>
      <c r="R1343">
        <v>264.33999999999997</v>
      </c>
      <c r="U1343">
        <v>253.91</v>
      </c>
      <c r="V1343">
        <v>243.47</v>
      </c>
      <c r="W1343">
        <v>278.25</v>
      </c>
      <c r="X1343">
        <v>243.47</v>
      </c>
      <c r="Y1343">
        <v>379.99</v>
      </c>
      <c r="Z1343" t="s">
        <v>5922</v>
      </c>
    </row>
    <row r="1344" spans="1:26" x14ac:dyDescent="0.2">
      <c r="A1344" t="s">
        <v>2352</v>
      </c>
      <c r="B1344" t="s">
        <v>2405</v>
      </c>
      <c r="C1344" t="s">
        <v>2406</v>
      </c>
      <c r="D1344" t="s">
        <v>98</v>
      </c>
      <c r="E1344">
        <v>329.99</v>
      </c>
      <c r="F1344" t="s">
        <v>7212</v>
      </c>
      <c r="G1344">
        <v>329.99</v>
      </c>
      <c r="H1344">
        <v>258.25</v>
      </c>
      <c r="L1344" t="s">
        <v>5922</v>
      </c>
      <c r="Q1344">
        <v>258.25</v>
      </c>
      <c r="R1344">
        <v>258.25</v>
      </c>
      <c r="U1344">
        <v>215.21</v>
      </c>
      <c r="V1344">
        <v>235.3</v>
      </c>
      <c r="W1344">
        <v>229.56</v>
      </c>
      <c r="X1344">
        <v>229.56</v>
      </c>
      <c r="Y1344">
        <v>329.99</v>
      </c>
      <c r="Z1344" t="s">
        <v>5922</v>
      </c>
    </row>
    <row r="1345" spans="1:26" x14ac:dyDescent="0.2">
      <c r="A1345" t="s">
        <v>2352</v>
      </c>
      <c r="B1345" t="s">
        <v>2407</v>
      </c>
      <c r="C1345" t="s">
        <v>2408</v>
      </c>
      <c r="D1345" t="s">
        <v>98</v>
      </c>
      <c r="E1345">
        <v>329.99</v>
      </c>
      <c r="F1345" t="s">
        <v>7212</v>
      </c>
      <c r="G1345">
        <v>329.99</v>
      </c>
      <c r="H1345">
        <v>229.56</v>
      </c>
      <c r="L1345" t="s">
        <v>5922</v>
      </c>
      <c r="Q1345">
        <v>229.56</v>
      </c>
      <c r="R1345">
        <v>229.56</v>
      </c>
      <c r="U1345">
        <v>222.17</v>
      </c>
      <c r="V1345">
        <v>213.04</v>
      </c>
      <c r="W1345">
        <v>243.47</v>
      </c>
      <c r="X1345">
        <v>213.04</v>
      </c>
      <c r="Y1345">
        <v>329.99</v>
      </c>
      <c r="Z1345" t="s">
        <v>5922</v>
      </c>
    </row>
    <row r="1346" spans="1:26" x14ac:dyDescent="0.2">
      <c r="A1346" t="s">
        <v>2352</v>
      </c>
      <c r="B1346" t="s">
        <v>2409</v>
      </c>
      <c r="C1346" t="s">
        <v>2410</v>
      </c>
      <c r="D1346" t="s">
        <v>98</v>
      </c>
      <c r="E1346">
        <v>429.99</v>
      </c>
      <c r="F1346" t="s">
        <v>5922</v>
      </c>
      <c r="G1346">
        <v>429.99</v>
      </c>
      <c r="H1346">
        <v>317.82</v>
      </c>
      <c r="L1346" t="s">
        <v>5922</v>
      </c>
      <c r="Q1346">
        <v>317.82</v>
      </c>
      <c r="R1346">
        <v>317.82</v>
      </c>
      <c r="U1346">
        <v>317.38</v>
      </c>
      <c r="V1346">
        <v>304.33999999999997</v>
      </c>
      <c r="W1346">
        <v>347.82</v>
      </c>
      <c r="X1346">
        <v>304.33999999999997</v>
      </c>
      <c r="Y1346">
        <v>429.99</v>
      </c>
      <c r="Z1346" t="s">
        <v>5922</v>
      </c>
    </row>
    <row r="1347" spans="1:26" x14ac:dyDescent="0.2">
      <c r="A1347" t="s">
        <v>2352</v>
      </c>
      <c r="B1347" t="s">
        <v>2411</v>
      </c>
      <c r="C1347" t="s">
        <v>2412</v>
      </c>
      <c r="D1347" t="s">
        <v>98</v>
      </c>
      <c r="E1347">
        <v>349.99</v>
      </c>
      <c r="F1347" t="s">
        <v>7288</v>
      </c>
      <c r="G1347">
        <v>349.99</v>
      </c>
      <c r="H1347">
        <v>249.56</v>
      </c>
      <c r="L1347" t="s">
        <v>5922</v>
      </c>
      <c r="Q1347">
        <v>249.56</v>
      </c>
      <c r="R1347">
        <v>249.56</v>
      </c>
      <c r="U1347">
        <v>254.34</v>
      </c>
      <c r="V1347">
        <v>254.34</v>
      </c>
      <c r="W1347">
        <v>271.3</v>
      </c>
      <c r="X1347">
        <v>237.39</v>
      </c>
      <c r="Y1347">
        <v>349.99</v>
      </c>
      <c r="Z1347" t="s">
        <v>5922</v>
      </c>
    </row>
    <row r="1348" spans="1:26" x14ac:dyDescent="0.2">
      <c r="A1348" t="s">
        <v>2352</v>
      </c>
      <c r="B1348" t="s">
        <v>2413</v>
      </c>
      <c r="C1348" t="s">
        <v>2414</v>
      </c>
      <c r="D1348" t="s">
        <v>98</v>
      </c>
      <c r="E1348">
        <v>429.99</v>
      </c>
      <c r="F1348" t="s">
        <v>7135</v>
      </c>
      <c r="G1348">
        <v>429.99</v>
      </c>
      <c r="H1348">
        <v>306.60000000000002</v>
      </c>
      <c r="L1348" t="s">
        <v>5922</v>
      </c>
      <c r="Q1348">
        <v>306.60000000000002</v>
      </c>
      <c r="R1348">
        <v>306.60000000000002</v>
      </c>
      <c r="U1348">
        <v>306.52</v>
      </c>
      <c r="V1348">
        <v>306.52</v>
      </c>
      <c r="W1348">
        <v>326.95</v>
      </c>
      <c r="X1348">
        <v>286.08</v>
      </c>
      <c r="Y1348">
        <v>429.99</v>
      </c>
      <c r="Z1348" t="s">
        <v>5922</v>
      </c>
    </row>
    <row r="1349" spans="1:26" x14ac:dyDescent="0.2">
      <c r="A1349" t="s">
        <v>2422</v>
      </c>
      <c r="B1349" t="s">
        <v>2423</v>
      </c>
      <c r="C1349" t="s">
        <v>2424</v>
      </c>
      <c r="D1349" t="s">
        <v>98</v>
      </c>
      <c r="E1349">
        <v>39.99</v>
      </c>
      <c r="F1349" t="s">
        <v>5922</v>
      </c>
      <c r="G1349">
        <v>27.99</v>
      </c>
      <c r="H1349">
        <v>31.3</v>
      </c>
      <c r="L1349" t="s">
        <v>5922</v>
      </c>
      <c r="U1349">
        <v>28.56</v>
      </c>
      <c r="V1349">
        <v>27.39</v>
      </c>
      <c r="W1349">
        <v>31.3</v>
      </c>
      <c r="X1349">
        <v>31.3</v>
      </c>
      <c r="Y1349">
        <v>39.99</v>
      </c>
      <c r="Z1349" t="s">
        <v>5922</v>
      </c>
    </row>
    <row r="1350" spans="1:26" x14ac:dyDescent="0.2">
      <c r="A1350" t="s">
        <v>2422</v>
      </c>
      <c r="B1350" t="s">
        <v>2425</v>
      </c>
      <c r="C1350" t="s">
        <v>2426</v>
      </c>
      <c r="D1350" t="s">
        <v>105</v>
      </c>
      <c r="E1350">
        <v>169.99</v>
      </c>
      <c r="F1350" t="s">
        <v>6888</v>
      </c>
      <c r="G1350">
        <v>169.99</v>
      </c>
      <c r="H1350">
        <v>110.86</v>
      </c>
      <c r="L1350" t="s">
        <v>5922</v>
      </c>
      <c r="Q1350">
        <v>110.86</v>
      </c>
      <c r="R1350">
        <v>110.86</v>
      </c>
      <c r="U1350">
        <v>107.91</v>
      </c>
      <c r="V1350">
        <v>103.47</v>
      </c>
      <c r="W1350">
        <v>118.25</v>
      </c>
      <c r="X1350">
        <v>118.25</v>
      </c>
      <c r="Y1350">
        <v>169.99</v>
      </c>
      <c r="Z1350" t="s">
        <v>5922</v>
      </c>
    </row>
    <row r="1351" spans="1:26" x14ac:dyDescent="0.2">
      <c r="A1351" t="s">
        <v>2422</v>
      </c>
      <c r="B1351" t="s">
        <v>2427</v>
      </c>
      <c r="C1351" t="s">
        <v>2428</v>
      </c>
      <c r="D1351" t="s">
        <v>98</v>
      </c>
      <c r="E1351">
        <v>54.99</v>
      </c>
      <c r="F1351" t="s">
        <v>5922</v>
      </c>
      <c r="G1351">
        <v>38.49</v>
      </c>
      <c r="H1351">
        <v>38.25</v>
      </c>
      <c r="L1351" t="s">
        <v>5922</v>
      </c>
      <c r="U1351">
        <v>34.909999999999997</v>
      </c>
      <c r="V1351">
        <v>33.47</v>
      </c>
      <c r="W1351">
        <v>38.25</v>
      </c>
      <c r="X1351">
        <v>38.25</v>
      </c>
      <c r="Y1351">
        <v>54.99</v>
      </c>
      <c r="Z1351" t="s">
        <v>5922</v>
      </c>
    </row>
    <row r="1352" spans="1:26" x14ac:dyDescent="0.2">
      <c r="A1352" t="s">
        <v>2422</v>
      </c>
      <c r="B1352" t="s">
        <v>2429</v>
      </c>
      <c r="C1352" t="s">
        <v>2430</v>
      </c>
      <c r="D1352" t="s">
        <v>98</v>
      </c>
      <c r="E1352">
        <v>54.99</v>
      </c>
      <c r="F1352" t="s">
        <v>5922</v>
      </c>
      <c r="G1352">
        <v>54.99</v>
      </c>
      <c r="H1352">
        <v>38.25</v>
      </c>
      <c r="L1352" t="s">
        <v>5922</v>
      </c>
      <c r="U1352">
        <v>34.909999999999997</v>
      </c>
      <c r="W1352">
        <v>38.25</v>
      </c>
      <c r="X1352">
        <v>38.25</v>
      </c>
      <c r="Y1352">
        <v>54.99</v>
      </c>
      <c r="Z1352" t="s">
        <v>5922</v>
      </c>
    </row>
    <row r="1353" spans="1:26" x14ac:dyDescent="0.2">
      <c r="A1353" t="s">
        <v>2422</v>
      </c>
      <c r="B1353" t="s">
        <v>2431</v>
      </c>
      <c r="C1353" t="s">
        <v>2432</v>
      </c>
      <c r="D1353" t="s">
        <v>98</v>
      </c>
      <c r="E1353">
        <v>59.99</v>
      </c>
      <c r="F1353" t="s">
        <v>5922</v>
      </c>
      <c r="G1353">
        <v>59.99</v>
      </c>
      <c r="H1353">
        <v>41.73</v>
      </c>
      <c r="L1353" t="s">
        <v>5922</v>
      </c>
      <c r="U1353">
        <v>38.08</v>
      </c>
      <c r="W1353">
        <v>41.73</v>
      </c>
      <c r="X1353">
        <v>41.73</v>
      </c>
      <c r="Y1353">
        <v>59.99</v>
      </c>
      <c r="Z1353" t="s">
        <v>5922</v>
      </c>
    </row>
    <row r="1354" spans="1:26" x14ac:dyDescent="0.2">
      <c r="A1354" t="s">
        <v>2422</v>
      </c>
      <c r="B1354" t="s">
        <v>2433</v>
      </c>
      <c r="C1354" t="s">
        <v>2434</v>
      </c>
      <c r="D1354" t="s">
        <v>98</v>
      </c>
      <c r="E1354">
        <v>84.99</v>
      </c>
      <c r="F1354" t="s">
        <v>5922</v>
      </c>
      <c r="G1354">
        <v>63.99</v>
      </c>
      <c r="H1354">
        <v>59.12</v>
      </c>
      <c r="L1354" t="s">
        <v>5922</v>
      </c>
      <c r="U1354">
        <v>53.95</v>
      </c>
      <c r="V1354">
        <v>51.73</v>
      </c>
      <c r="W1354">
        <v>59.12</v>
      </c>
      <c r="X1354">
        <v>59.12</v>
      </c>
      <c r="Y1354">
        <v>79.989999999999995</v>
      </c>
      <c r="Z1354" t="s">
        <v>5922</v>
      </c>
    </row>
    <row r="1355" spans="1:26" x14ac:dyDescent="0.2">
      <c r="A1355" t="s">
        <v>2422</v>
      </c>
      <c r="B1355" t="s">
        <v>2435</v>
      </c>
      <c r="C1355" t="s">
        <v>2436</v>
      </c>
      <c r="D1355" t="s">
        <v>98</v>
      </c>
      <c r="E1355">
        <v>32.99</v>
      </c>
      <c r="F1355" t="s">
        <v>5922</v>
      </c>
      <c r="H1355">
        <v>22.95</v>
      </c>
      <c r="L1355" t="s">
        <v>5922</v>
      </c>
      <c r="U1355">
        <v>20.94</v>
      </c>
      <c r="W1355">
        <v>22.95</v>
      </c>
      <c r="X1355">
        <v>22.95</v>
      </c>
      <c r="Y1355">
        <v>32.99</v>
      </c>
      <c r="Z1355" t="s">
        <v>5922</v>
      </c>
    </row>
    <row r="1356" spans="1:26" x14ac:dyDescent="0.2">
      <c r="A1356" t="s">
        <v>2422</v>
      </c>
      <c r="B1356" t="s">
        <v>2437</v>
      </c>
      <c r="C1356" t="s">
        <v>2438</v>
      </c>
      <c r="D1356" t="s">
        <v>105</v>
      </c>
      <c r="E1356">
        <v>86.99</v>
      </c>
      <c r="F1356" t="s">
        <v>7271</v>
      </c>
      <c r="G1356">
        <v>86.99</v>
      </c>
      <c r="H1356">
        <v>56.73</v>
      </c>
      <c r="L1356" t="s">
        <v>5922</v>
      </c>
      <c r="Q1356">
        <v>56.73</v>
      </c>
      <c r="R1356">
        <v>56.73</v>
      </c>
      <c r="U1356">
        <v>55.22</v>
      </c>
      <c r="V1356">
        <v>52.95</v>
      </c>
      <c r="W1356">
        <v>60.51</v>
      </c>
      <c r="X1356">
        <v>60.51</v>
      </c>
      <c r="Y1356">
        <v>86.99</v>
      </c>
      <c r="Z1356" t="s">
        <v>5922</v>
      </c>
    </row>
    <row r="1357" spans="1:26" x14ac:dyDescent="0.2">
      <c r="A1357" t="s">
        <v>2422</v>
      </c>
      <c r="B1357" t="s">
        <v>2439</v>
      </c>
      <c r="C1357" t="s">
        <v>2440</v>
      </c>
      <c r="D1357" t="s">
        <v>105</v>
      </c>
      <c r="E1357">
        <v>129.99</v>
      </c>
      <c r="F1357" t="s">
        <v>7023</v>
      </c>
      <c r="G1357">
        <v>129.99</v>
      </c>
      <c r="H1357">
        <v>84.78</v>
      </c>
      <c r="L1357" t="s">
        <v>5922</v>
      </c>
      <c r="Q1357">
        <v>84.78</v>
      </c>
      <c r="R1357">
        <v>84.78</v>
      </c>
      <c r="U1357">
        <v>82.52</v>
      </c>
      <c r="V1357">
        <v>79.12</v>
      </c>
      <c r="W1357">
        <v>90.43</v>
      </c>
      <c r="X1357">
        <v>90.43</v>
      </c>
      <c r="Y1357">
        <v>129.99</v>
      </c>
      <c r="Z1357" t="s">
        <v>5922</v>
      </c>
    </row>
    <row r="1358" spans="1:26" x14ac:dyDescent="0.2">
      <c r="A1358" t="s">
        <v>2422</v>
      </c>
      <c r="B1358" t="s">
        <v>2441</v>
      </c>
      <c r="C1358" t="s">
        <v>2442</v>
      </c>
      <c r="D1358" t="s">
        <v>98</v>
      </c>
      <c r="E1358">
        <v>69.989999999999995</v>
      </c>
      <c r="F1358" t="s">
        <v>5922</v>
      </c>
      <c r="G1358">
        <v>69.989999999999995</v>
      </c>
      <c r="H1358">
        <v>48.69</v>
      </c>
      <c r="L1358" t="s">
        <v>5922</v>
      </c>
      <c r="U1358">
        <v>44.43</v>
      </c>
      <c r="W1358">
        <v>48.69</v>
      </c>
      <c r="X1358">
        <v>48.69</v>
      </c>
      <c r="Y1358">
        <v>69.989999999999995</v>
      </c>
      <c r="Z1358" t="s">
        <v>5922</v>
      </c>
    </row>
    <row r="1359" spans="1:26" x14ac:dyDescent="0.2">
      <c r="A1359" t="s">
        <v>2422</v>
      </c>
      <c r="B1359" t="s">
        <v>2443</v>
      </c>
      <c r="C1359" t="s">
        <v>2444</v>
      </c>
      <c r="D1359" t="s">
        <v>105</v>
      </c>
      <c r="E1359">
        <v>119.99</v>
      </c>
      <c r="F1359" t="s">
        <v>6905</v>
      </c>
      <c r="G1359">
        <v>119.99</v>
      </c>
      <c r="H1359">
        <v>78.25</v>
      </c>
      <c r="L1359" t="s">
        <v>5922</v>
      </c>
      <c r="Q1359">
        <v>78.25</v>
      </c>
      <c r="R1359">
        <v>78.25</v>
      </c>
      <c r="U1359">
        <v>82.52</v>
      </c>
      <c r="V1359">
        <v>73.040000000000006</v>
      </c>
      <c r="W1359">
        <v>83.47</v>
      </c>
      <c r="X1359">
        <v>83.47</v>
      </c>
      <c r="Y1359">
        <v>119.99</v>
      </c>
      <c r="Z1359" t="s">
        <v>5922</v>
      </c>
    </row>
    <row r="1360" spans="1:26" x14ac:dyDescent="0.2">
      <c r="A1360" t="s">
        <v>2422</v>
      </c>
      <c r="B1360" t="s">
        <v>2445</v>
      </c>
      <c r="C1360" t="s">
        <v>2446</v>
      </c>
      <c r="D1360" t="s">
        <v>98</v>
      </c>
      <c r="E1360">
        <v>89.99</v>
      </c>
      <c r="F1360" t="s">
        <v>5922</v>
      </c>
      <c r="G1360">
        <v>71.989999999999995</v>
      </c>
      <c r="H1360">
        <v>62.6</v>
      </c>
      <c r="L1360" t="s">
        <v>5922</v>
      </c>
      <c r="U1360">
        <v>57.12</v>
      </c>
      <c r="V1360">
        <v>54.78</v>
      </c>
      <c r="W1360">
        <v>62.6</v>
      </c>
      <c r="X1360">
        <v>62.6</v>
      </c>
      <c r="Y1360">
        <v>89.99</v>
      </c>
      <c r="Z1360" t="s">
        <v>5922</v>
      </c>
    </row>
    <row r="1361" spans="1:26" x14ac:dyDescent="0.2">
      <c r="A1361" t="s">
        <v>2422</v>
      </c>
      <c r="B1361" t="s">
        <v>2447</v>
      </c>
      <c r="C1361" t="s">
        <v>2448</v>
      </c>
      <c r="D1361" t="s">
        <v>98</v>
      </c>
      <c r="E1361">
        <v>89.99</v>
      </c>
      <c r="F1361" t="s">
        <v>5922</v>
      </c>
      <c r="G1361">
        <v>62.99</v>
      </c>
      <c r="H1361">
        <v>62.6</v>
      </c>
      <c r="L1361" t="s">
        <v>5922</v>
      </c>
      <c r="U1361">
        <v>57.12</v>
      </c>
      <c r="V1361">
        <v>54.78</v>
      </c>
      <c r="W1361">
        <v>62.6</v>
      </c>
      <c r="X1361">
        <v>62.6</v>
      </c>
      <c r="Y1361">
        <v>89.99</v>
      </c>
      <c r="Z1361" t="s">
        <v>5922</v>
      </c>
    </row>
    <row r="1362" spans="1:26" x14ac:dyDescent="0.2">
      <c r="A1362" t="s">
        <v>2422</v>
      </c>
      <c r="B1362" t="s">
        <v>2449</v>
      </c>
      <c r="C1362" t="s">
        <v>2450</v>
      </c>
      <c r="D1362" t="s">
        <v>98</v>
      </c>
      <c r="E1362">
        <v>36.99</v>
      </c>
      <c r="F1362" t="s">
        <v>5922</v>
      </c>
      <c r="H1362">
        <v>25.73</v>
      </c>
      <c r="L1362" t="s">
        <v>5922</v>
      </c>
      <c r="U1362">
        <v>23.48</v>
      </c>
      <c r="W1362">
        <v>25.73</v>
      </c>
      <c r="X1362">
        <v>25.73</v>
      </c>
      <c r="Y1362">
        <v>36.99</v>
      </c>
      <c r="Z1362" t="s">
        <v>5922</v>
      </c>
    </row>
    <row r="1363" spans="1:26" x14ac:dyDescent="0.2">
      <c r="A1363" t="s">
        <v>2422</v>
      </c>
      <c r="B1363" t="s">
        <v>2451</v>
      </c>
      <c r="C1363" t="s">
        <v>2452</v>
      </c>
      <c r="D1363" t="s">
        <v>98</v>
      </c>
      <c r="E1363">
        <v>99.99</v>
      </c>
      <c r="F1363" t="s">
        <v>6903</v>
      </c>
      <c r="G1363">
        <v>99.99</v>
      </c>
      <c r="H1363">
        <v>65.209999999999994</v>
      </c>
      <c r="L1363" t="s">
        <v>5922</v>
      </c>
      <c r="Q1363">
        <v>65.209999999999994</v>
      </c>
      <c r="R1363">
        <v>65.209999999999994</v>
      </c>
      <c r="U1363">
        <v>69.819999999999993</v>
      </c>
      <c r="V1363">
        <v>60.86</v>
      </c>
      <c r="W1363">
        <v>69.56</v>
      </c>
      <c r="X1363">
        <v>69.56</v>
      </c>
      <c r="Y1363">
        <v>99.99</v>
      </c>
      <c r="Z1363" t="s">
        <v>5922</v>
      </c>
    </row>
    <row r="1364" spans="1:26" x14ac:dyDescent="0.2">
      <c r="A1364" t="s">
        <v>2422</v>
      </c>
      <c r="B1364" t="s">
        <v>2453</v>
      </c>
      <c r="C1364" t="s">
        <v>2454</v>
      </c>
      <c r="D1364" t="s">
        <v>98</v>
      </c>
      <c r="E1364">
        <v>169.99</v>
      </c>
      <c r="F1364" t="s">
        <v>5922</v>
      </c>
      <c r="G1364">
        <v>101.99</v>
      </c>
      <c r="H1364">
        <v>118.25</v>
      </c>
      <c r="L1364" t="s">
        <v>5922</v>
      </c>
      <c r="U1364">
        <v>107.91</v>
      </c>
      <c r="V1364">
        <v>103.47</v>
      </c>
      <c r="W1364">
        <v>118.25</v>
      </c>
      <c r="X1364">
        <v>118.25</v>
      </c>
      <c r="Y1364">
        <v>169.99</v>
      </c>
      <c r="Z1364" t="s">
        <v>5922</v>
      </c>
    </row>
    <row r="1365" spans="1:26" x14ac:dyDescent="0.2">
      <c r="A1365" t="s">
        <v>2422</v>
      </c>
      <c r="B1365" t="s">
        <v>2455</v>
      </c>
      <c r="C1365" t="s">
        <v>2456</v>
      </c>
      <c r="D1365" t="s">
        <v>98</v>
      </c>
      <c r="E1365">
        <v>169.99</v>
      </c>
      <c r="F1365" t="s">
        <v>5922</v>
      </c>
      <c r="H1365">
        <v>118.25</v>
      </c>
      <c r="L1365" t="s">
        <v>5922</v>
      </c>
      <c r="U1365">
        <v>107.91</v>
      </c>
      <c r="W1365">
        <v>118.25</v>
      </c>
      <c r="X1365">
        <v>118.25</v>
      </c>
      <c r="Y1365">
        <v>169.99</v>
      </c>
      <c r="Z1365" t="s">
        <v>5922</v>
      </c>
    </row>
    <row r="1366" spans="1:26" x14ac:dyDescent="0.2">
      <c r="A1366" t="s">
        <v>2422</v>
      </c>
      <c r="B1366" t="s">
        <v>2457</v>
      </c>
      <c r="C1366" t="s">
        <v>2458</v>
      </c>
      <c r="D1366" t="s">
        <v>98</v>
      </c>
      <c r="E1366">
        <v>99.99</v>
      </c>
      <c r="F1366" t="s">
        <v>6903</v>
      </c>
      <c r="G1366">
        <v>99.99</v>
      </c>
      <c r="H1366">
        <v>65.209999999999994</v>
      </c>
      <c r="L1366" t="s">
        <v>5922</v>
      </c>
      <c r="Q1366">
        <v>65.209999999999994</v>
      </c>
      <c r="R1366">
        <v>65.209999999999994</v>
      </c>
      <c r="U1366">
        <v>69.819999999999993</v>
      </c>
      <c r="V1366">
        <v>60.86</v>
      </c>
      <c r="W1366">
        <v>69.56</v>
      </c>
      <c r="X1366">
        <v>69.56</v>
      </c>
      <c r="Y1366">
        <v>99.99</v>
      </c>
      <c r="Z1366" t="s">
        <v>5922</v>
      </c>
    </row>
    <row r="1367" spans="1:26" x14ac:dyDescent="0.2">
      <c r="A1367" t="s">
        <v>2422</v>
      </c>
      <c r="B1367" t="s">
        <v>2459</v>
      </c>
      <c r="C1367" t="s">
        <v>2460</v>
      </c>
      <c r="D1367" t="s">
        <v>105</v>
      </c>
      <c r="E1367">
        <v>449.99</v>
      </c>
      <c r="F1367" t="s">
        <v>7081</v>
      </c>
      <c r="G1367">
        <v>449.99</v>
      </c>
      <c r="H1367">
        <v>293.47000000000003</v>
      </c>
      <c r="L1367" t="s">
        <v>5922</v>
      </c>
      <c r="Q1367">
        <v>293.47000000000003</v>
      </c>
      <c r="R1367">
        <v>293.47000000000003</v>
      </c>
      <c r="U1367">
        <v>285.64999999999998</v>
      </c>
      <c r="V1367">
        <v>273.91000000000003</v>
      </c>
      <c r="W1367">
        <v>313.04000000000002</v>
      </c>
      <c r="X1367">
        <v>313.04000000000002</v>
      </c>
      <c r="Y1367">
        <v>449.99</v>
      </c>
      <c r="Z1367" t="s">
        <v>5922</v>
      </c>
    </row>
    <row r="1368" spans="1:26" x14ac:dyDescent="0.2">
      <c r="A1368" t="s">
        <v>2422</v>
      </c>
      <c r="B1368" t="s">
        <v>2461</v>
      </c>
      <c r="C1368" t="s">
        <v>2462</v>
      </c>
      <c r="D1368" t="s">
        <v>105</v>
      </c>
      <c r="E1368">
        <v>159.99</v>
      </c>
      <c r="F1368" t="s">
        <v>6970</v>
      </c>
      <c r="G1368">
        <v>159.99</v>
      </c>
      <c r="H1368">
        <v>104.34</v>
      </c>
      <c r="L1368" t="s">
        <v>5922</v>
      </c>
      <c r="Q1368">
        <v>104.34</v>
      </c>
      <c r="R1368">
        <v>104.34</v>
      </c>
      <c r="U1368">
        <v>101.56</v>
      </c>
      <c r="V1368">
        <v>97.39</v>
      </c>
      <c r="W1368">
        <v>111.3</v>
      </c>
      <c r="X1368">
        <v>111.3</v>
      </c>
      <c r="Y1368">
        <v>159.99</v>
      </c>
      <c r="Z1368" t="s">
        <v>5922</v>
      </c>
    </row>
    <row r="1369" spans="1:26" x14ac:dyDescent="0.2">
      <c r="A1369" t="s">
        <v>2422</v>
      </c>
      <c r="B1369" t="s">
        <v>2463</v>
      </c>
      <c r="C1369" t="s">
        <v>2464</v>
      </c>
      <c r="D1369" t="s">
        <v>105</v>
      </c>
      <c r="E1369">
        <v>219.99</v>
      </c>
      <c r="F1369" t="s">
        <v>7051</v>
      </c>
      <c r="G1369">
        <v>219.99</v>
      </c>
      <c r="H1369">
        <v>143.47</v>
      </c>
      <c r="L1369" t="s">
        <v>5922</v>
      </c>
      <c r="Q1369">
        <v>143.47</v>
      </c>
      <c r="R1369">
        <v>143.47</v>
      </c>
      <c r="U1369">
        <v>139.65</v>
      </c>
      <c r="V1369">
        <v>133.91</v>
      </c>
      <c r="W1369">
        <v>153.04</v>
      </c>
      <c r="X1369">
        <v>153.04</v>
      </c>
      <c r="Y1369">
        <v>219.99</v>
      </c>
      <c r="Z1369" t="s">
        <v>5922</v>
      </c>
    </row>
    <row r="1370" spans="1:26" x14ac:dyDescent="0.2">
      <c r="A1370" t="s">
        <v>2422</v>
      </c>
      <c r="B1370" t="s">
        <v>2465</v>
      </c>
      <c r="C1370" t="s">
        <v>2466</v>
      </c>
      <c r="D1370" t="s">
        <v>98</v>
      </c>
      <c r="E1370">
        <v>289.99</v>
      </c>
      <c r="F1370" t="s">
        <v>5922</v>
      </c>
      <c r="G1370">
        <v>231.99</v>
      </c>
      <c r="H1370">
        <v>201.73</v>
      </c>
      <c r="L1370" t="s">
        <v>5922</v>
      </c>
      <c r="U1370">
        <v>184.08</v>
      </c>
      <c r="V1370">
        <v>176.52</v>
      </c>
      <c r="W1370">
        <v>201.73</v>
      </c>
      <c r="X1370">
        <v>201.73</v>
      </c>
      <c r="Y1370">
        <v>289.99</v>
      </c>
      <c r="Z1370" t="s">
        <v>5922</v>
      </c>
    </row>
    <row r="1371" spans="1:26" x14ac:dyDescent="0.2">
      <c r="A1371" t="s">
        <v>2422</v>
      </c>
      <c r="B1371" t="s">
        <v>2467</v>
      </c>
      <c r="C1371" t="s">
        <v>2468</v>
      </c>
      <c r="D1371" t="s">
        <v>98</v>
      </c>
      <c r="E1371">
        <v>44.99</v>
      </c>
      <c r="F1371" t="s">
        <v>5922</v>
      </c>
      <c r="G1371">
        <v>35.99</v>
      </c>
      <c r="H1371">
        <v>31.3</v>
      </c>
      <c r="L1371" t="s">
        <v>5922</v>
      </c>
      <c r="U1371">
        <v>28.56</v>
      </c>
      <c r="V1371">
        <v>27.39</v>
      </c>
      <c r="W1371">
        <v>31.3</v>
      </c>
      <c r="X1371">
        <v>31.3</v>
      </c>
      <c r="Y1371">
        <v>44.99</v>
      </c>
      <c r="Z1371" t="s">
        <v>5922</v>
      </c>
    </row>
    <row r="1372" spans="1:26" x14ac:dyDescent="0.2">
      <c r="A1372" t="s">
        <v>2422</v>
      </c>
      <c r="B1372" t="s">
        <v>2469</v>
      </c>
      <c r="C1372" t="s">
        <v>2470</v>
      </c>
      <c r="D1372" t="s">
        <v>105</v>
      </c>
      <c r="E1372">
        <v>449.99</v>
      </c>
      <c r="F1372" t="s">
        <v>7081</v>
      </c>
      <c r="G1372">
        <v>449.99</v>
      </c>
      <c r="H1372">
        <v>293.47000000000003</v>
      </c>
      <c r="L1372" t="s">
        <v>5922</v>
      </c>
      <c r="Q1372">
        <v>293.47000000000003</v>
      </c>
      <c r="R1372">
        <v>293.47000000000003</v>
      </c>
      <c r="U1372">
        <v>285.64999999999998</v>
      </c>
      <c r="V1372">
        <v>273.91000000000003</v>
      </c>
      <c r="W1372">
        <v>313.04000000000002</v>
      </c>
      <c r="X1372">
        <v>313.04000000000002</v>
      </c>
      <c r="Y1372">
        <v>449.99</v>
      </c>
      <c r="Z1372" t="s">
        <v>5922</v>
      </c>
    </row>
    <row r="1373" spans="1:26" x14ac:dyDescent="0.2">
      <c r="A1373" t="s">
        <v>2422</v>
      </c>
      <c r="B1373" t="s">
        <v>2471</v>
      </c>
      <c r="C1373" t="s">
        <v>2472</v>
      </c>
      <c r="D1373" t="s">
        <v>105</v>
      </c>
      <c r="E1373">
        <v>399.99</v>
      </c>
      <c r="F1373" t="s">
        <v>7153</v>
      </c>
      <c r="G1373">
        <v>399.99</v>
      </c>
      <c r="H1373">
        <v>260.86</v>
      </c>
      <c r="L1373" t="s">
        <v>5922</v>
      </c>
      <c r="Q1373">
        <v>260.86</v>
      </c>
      <c r="R1373">
        <v>260.86</v>
      </c>
      <c r="U1373">
        <v>253.91</v>
      </c>
      <c r="V1373">
        <v>243.47</v>
      </c>
      <c r="W1373">
        <v>278.25</v>
      </c>
      <c r="X1373">
        <v>278.25</v>
      </c>
      <c r="Y1373">
        <v>399.99</v>
      </c>
      <c r="Z1373" t="s">
        <v>5922</v>
      </c>
    </row>
    <row r="1374" spans="1:26" x14ac:dyDescent="0.2">
      <c r="A1374" t="s">
        <v>2422</v>
      </c>
      <c r="B1374" t="s">
        <v>2473</v>
      </c>
      <c r="C1374" t="s">
        <v>2474</v>
      </c>
      <c r="D1374" t="s">
        <v>98</v>
      </c>
      <c r="E1374">
        <v>179.99</v>
      </c>
      <c r="F1374" t="s">
        <v>5922</v>
      </c>
      <c r="H1374">
        <v>125.21</v>
      </c>
      <c r="L1374" t="s">
        <v>5922</v>
      </c>
      <c r="U1374">
        <v>114.25</v>
      </c>
      <c r="W1374">
        <v>125.21</v>
      </c>
      <c r="X1374">
        <v>125.21</v>
      </c>
      <c r="Y1374">
        <v>179.99</v>
      </c>
      <c r="Z1374" t="s">
        <v>5922</v>
      </c>
    </row>
    <row r="1375" spans="1:26" x14ac:dyDescent="0.2">
      <c r="A1375" t="s">
        <v>2422</v>
      </c>
      <c r="B1375" t="s">
        <v>2475</v>
      </c>
      <c r="C1375" t="s">
        <v>2476</v>
      </c>
      <c r="D1375" t="s">
        <v>105</v>
      </c>
      <c r="E1375">
        <v>179.99</v>
      </c>
      <c r="F1375" t="s">
        <v>7024</v>
      </c>
      <c r="G1375">
        <v>179.99</v>
      </c>
      <c r="H1375">
        <v>117.38</v>
      </c>
      <c r="L1375" t="s">
        <v>5922</v>
      </c>
      <c r="Q1375">
        <v>117.38</v>
      </c>
      <c r="R1375">
        <v>117.38</v>
      </c>
      <c r="U1375">
        <v>114.25</v>
      </c>
      <c r="V1375">
        <v>109.56</v>
      </c>
      <c r="W1375">
        <v>125.21</v>
      </c>
      <c r="X1375">
        <v>125.21</v>
      </c>
      <c r="Y1375">
        <v>179.99</v>
      </c>
      <c r="Z1375" t="s">
        <v>5922</v>
      </c>
    </row>
    <row r="1376" spans="1:26" x14ac:dyDescent="0.2">
      <c r="A1376" t="s">
        <v>2422</v>
      </c>
      <c r="B1376" t="s">
        <v>2477</v>
      </c>
      <c r="C1376" t="s">
        <v>2478</v>
      </c>
      <c r="D1376" t="s">
        <v>105</v>
      </c>
      <c r="E1376">
        <v>179.99</v>
      </c>
      <c r="F1376" t="s">
        <v>7024</v>
      </c>
      <c r="G1376">
        <v>179.99</v>
      </c>
      <c r="H1376">
        <v>117.38</v>
      </c>
      <c r="L1376" t="s">
        <v>5922</v>
      </c>
      <c r="Q1376">
        <v>117.38</v>
      </c>
      <c r="R1376">
        <v>117.38</v>
      </c>
      <c r="U1376">
        <v>114.25</v>
      </c>
      <c r="V1376">
        <v>109.56</v>
      </c>
      <c r="W1376">
        <v>125.21</v>
      </c>
      <c r="X1376">
        <v>125.21</v>
      </c>
      <c r="Y1376">
        <v>179.99</v>
      </c>
      <c r="Z1376" t="s">
        <v>5922</v>
      </c>
    </row>
    <row r="1377" spans="1:26" x14ac:dyDescent="0.2">
      <c r="A1377" t="s">
        <v>2422</v>
      </c>
      <c r="B1377" t="s">
        <v>2479</v>
      </c>
      <c r="C1377" t="s">
        <v>2480</v>
      </c>
      <c r="D1377" t="s">
        <v>105</v>
      </c>
      <c r="E1377">
        <v>89.99</v>
      </c>
      <c r="F1377" t="s">
        <v>6914</v>
      </c>
      <c r="G1377">
        <v>89.99</v>
      </c>
      <c r="H1377">
        <v>58.69</v>
      </c>
      <c r="L1377" t="s">
        <v>5922</v>
      </c>
      <c r="Q1377">
        <v>58.69</v>
      </c>
      <c r="R1377">
        <v>58.69</v>
      </c>
      <c r="U1377">
        <v>57.12</v>
      </c>
      <c r="V1377">
        <v>54.78</v>
      </c>
      <c r="W1377">
        <v>62.6</v>
      </c>
      <c r="X1377">
        <v>62.6</v>
      </c>
      <c r="Y1377">
        <v>89.99</v>
      </c>
      <c r="Z1377" t="s">
        <v>5922</v>
      </c>
    </row>
    <row r="1378" spans="1:26" x14ac:dyDescent="0.2">
      <c r="A1378" t="s">
        <v>2422</v>
      </c>
      <c r="B1378" t="s">
        <v>2481</v>
      </c>
      <c r="C1378" t="s">
        <v>2482</v>
      </c>
      <c r="D1378" t="s">
        <v>105</v>
      </c>
      <c r="E1378">
        <v>99.99</v>
      </c>
      <c r="F1378" t="s">
        <v>6903</v>
      </c>
      <c r="G1378">
        <v>99.99</v>
      </c>
      <c r="H1378">
        <v>65.209999999999994</v>
      </c>
      <c r="L1378" t="s">
        <v>5922</v>
      </c>
      <c r="Q1378">
        <v>65.209999999999994</v>
      </c>
      <c r="R1378">
        <v>65.209999999999994</v>
      </c>
      <c r="U1378">
        <v>63.47</v>
      </c>
      <c r="V1378">
        <v>60.86</v>
      </c>
      <c r="W1378">
        <v>69.56</v>
      </c>
      <c r="X1378">
        <v>69.56</v>
      </c>
      <c r="Y1378">
        <v>99.99</v>
      </c>
      <c r="Z1378" t="s">
        <v>5922</v>
      </c>
    </row>
    <row r="1379" spans="1:26" x14ac:dyDescent="0.2">
      <c r="A1379" t="s">
        <v>2422</v>
      </c>
      <c r="B1379" t="s">
        <v>2483</v>
      </c>
      <c r="C1379" t="s">
        <v>2484</v>
      </c>
      <c r="D1379" t="s">
        <v>98</v>
      </c>
      <c r="E1379">
        <v>99.99</v>
      </c>
      <c r="F1379" t="s">
        <v>6903</v>
      </c>
      <c r="G1379">
        <v>99.99</v>
      </c>
      <c r="H1379">
        <v>65.209999999999994</v>
      </c>
      <c r="L1379" t="s">
        <v>5922</v>
      </c>
      <c r="Q1379">
        <v>65.209999999999994</v>
      </c>
      <c r="R1379">
        <v>65.209999999999994</v>
      </c>
      <c r="U1379">
        <v>69.819999999999993</v>
      </c>
      <c r="V1379">
        <v>60.86</v>
      </c>
      <c r="W1379">
        <v>69.56</v>
      </c>
      <c r="X1379">
        <v>69.56</v>
      </c>
      <c r="Y1379">
        <v>99.99</v>
      </c>
      <c r="Z1379" t="s">
        <v>5922</v>
      </c>
    </row>
    <row r="1380" spans="1:26" x14ac:dyDescent="0.2">
      <c r="A1380" t="s">
        <v>2422</v>
      </c>
      <c r="B1380" t="s">
        <v>2485</v>
      </c>
      <c r="C1380" t="s">
        <v>2486</v>
      </c>
      <c r="D1380" t="s">
        <v>105</v>
      </c>
      <c r="E1380">
        <v>179.99</v>
      </c>
      <c r="F1380" t="s">
        <v>7024</v>
      </c>
      <c r="G1380">
        <v>179.99</v>
      </c>
      <c r="H1380">
        <v>117.38</v>
      </c>
      <c r="L1380" t="s">
        <v>5922</v>
      </c>
      <c r="Q1380">
        <v>117.38</v>
      </c>
      <c r="R1380">
        <v>117.38</v>
      </c>
      <c r="U1380">
        <v>114.25</v>
      </c>
      <c r="V1380">
        <v>109.56</v>
      </c>
      <c r="W1380">
        <v>125.21</v>
      </c>
      <c r="X1380">
        <v>125.21</v>
      </c>
      <c r="Y1380">
        <v>179.99</v>
      </c>
      <c r="Z1380" t="s">
        <v>5922</v>
      </c>
    </row>
    <row r="1381" spans="1:26" x14ac:dyDescent="0.2">
      <c r="A1381" t="s">
        <v>2422</v>
      </c>
      <c r="B1381" t="s">
        <v>2487</v>
      </c>
      <c r="C1381" t="s">
        <v>2488</v>
      </c>
      <c r="D1381" t="s">
        <v>105</v>
      </c>
      <c r="E1381">
        <v>169.99</v>
      </c>
      <c r="F1381" t="s">
        <v>6888</v>
      </c>
      <c r="G1381">
        <v>169.99</v>
      </c>
      <c r="H1381">
        <v>110.86</v>
      </c>
      <c r="L1381" t="s">
        <v>5922</v>
      </c>
      <c r="Q1381">
        <v>110.86</v>
      </c>
      <c r="R1381">
        <v>110.86</v>
      </c>
      <c r="U1381">
        <v>107.91</v>
      </c>
      <c r="V1381">
        <v>103.47</v>
      </c>
      <c r="W1381">
        <v>118.25</v>
      </c>
      <c r="X1381">
        <v>118.25</v>
      </c>
      <c r="Y1381">
        <v>169.99</v>
      </c>
      <c r="Z1381" t="s">
        <v>5922</v>
      </c>
    </row>
    <row r="1382" spans="1:26" x14ac:dyDescent="0.2">
      <c r="A1382" t="s">
        <v>2422</v>
      </c>
      <c r="B1382" t="s">
        <v>2489</v>
      </c>
      <c r="C1382" t="s">
        <v>2490</v>
      </c>
      <c r="D1382" t="s">
        <v>105</v>
      </c>
      <c r="E1382">
        <v>184.99</v>
      </c>
      <c r="F1382" t="s">
        <v>7173</v>
      </c>
      <c r="G1382">
        <v>184.99</v>
      </c>
      <c r="H1382">
        <v>120.65</v>
      </c>
      <c r="L1382" t="s">
        <v>5922</v>
      </c>
      <c r="Q1382">
        <v>120.65</v>
      </c>
      <c r="R1382">
        <v>120.65</v>
      </c>
      <c r="U1382">
        <v>117.43</v>
      </c>
      <c r="V1382">
        <v>112.6</v>
      </c>
      <c r="W1382">
        <v>128.69</v>
      </c>
      <c r="X1382">
        <v>128.69</v>
      </c>
      <c r="Y1382">
        <v>184.99</v>
      </c>
      <c r="Z1382" t="s">
        <v>5922</v>
      </c>
    </row>
    <row r="1383" spans="1:26" x14ac:dyDescent="0.2">
      <c r="A1383" t="s">
        <v>2422</v>
      </c>
      <c r="B1383" t="s">
        <v>2491</v>
      </c>
      <c r="C1383" t="s">
        <v>2492</v>
      </c>
      <c r="D1383" t="s">
        <v>105</v>
      </c>
      <c r="E1383">
        <v>149.99</v>
      </c>
      <c r="F1383" t="s">
        <v>7022</v>
      </c>
      <c r="G1383">
        <v>149.99</v>
      </c>
      <c r="H1383">
        <v>97.82</v>
      </c>
      <c r="L1383" t="s">
        <v>5922</v>
      </c>
      <c r="Q1383">
        <v>97.82</v>
      </c>
      <c r="R1383">
        <v>97.82</v>
      </c>
      <c r="U1383">
        <v>95.21</v>
      </c>
      <c r="V1383">
        <v>91.3</v>
      </c>
      <c r="W1383">
        <v>104.34</v>
      </c>
      <c r="X1383">
        <v>104.34</v>
      </c>
      <c r="Y1383">
        <v>149.99</v>
      </c>
      <c r="Z1383" t="s">
        <v>5922</v>
      </c>
    </row>
    <row r="1384" spans="1:26" x14ac:dyDescent="0.2">
      <c r="A1384" t="s">
        <v>2422</v>
      </c>
      <c r="B1384" t="s">
        <v>2493</v>
      </c>
      <c r="C1384" t="s">
        <v>2494</v>
      </c>
      <c r="D1384" t="s">
        <v>98</v>
      </c>
      <c r="E1384">
        <v>239.99</v>
      </c>
      <c r="F1384" t="s">
        <v>7279</v>
      </c>
      <c r="G1384">
        <v>239.99</v>
      </c>
      <c r="H1384">
        <v>156.52000000000001</v>
      </c>
      <c r="L1384" t="s">
        <v>5922</v>
      </c>
      <c r="Q1384">
        <v>156.52000000000001</v>
      </c>
      <c r="R1384">
        <v>156.52000000000001</v>
      </c>
      <c r="U1384">
        <v>152.34</v>
      </c>
      <c r="V1384">
        <v>146.08000000000001</v>
      </c>
      <c r="W1384">
        <v>166.95</v>
      </c>
      <c r="X1384">
        <v>166.95</v>
      </c>
      <c r="Y1384">
        <v>239.99</v>
      </c>
      <c r="Z1384" t="s">
        <v>5922</v>
      </c>
    </row>
    <row r="1385" spans="1:26" x14ac:dyDescent="0.2">
      <c r="A1385" t="s">
        <v>2422</v>
      </c>
      <c r="B1385" t="s">
        <v>2495</v>
      </c>
      <c r="C1385" t="s">
        <v>2496</v>
      </c>
      <c r="D1385" t="s">
        <v>105</v>
      </c>
      <c r="E1385">
        <v>179.99</v>
      </c>
      <c r="F1385" t="s">
        <v>7024</v>
      </c>
      <c r="G1385">
        <v>179.99</v>
      </c>
      <c r="H1385">
        <v>117.38</v>
      </c>
      <c r="L1385" t="s">
        <v>5922</v>
      </c>
      <c r="Q1385">
        <v>117.38</v>
      </c>
      <c r="R1385">
        <v>117.38</v>
      </c>
      <c r="U1385">
        <v>114.25</v>
      </c>
      <c r="V1385">
        <v>109.56</v>
      </c>
      <c r="W1385">
        <v>125.21</v>
      </c>
      <c r="X1385">
        <v>125.21</v>
      </c>
      <c r="Y1385">
        <v>179.99</v>
      </c>
      <c r="Z1385" t="s">
        <v>5922</v>
      </c>
    </row>
    <row r="1386" spans="1:26" x14ac:dyDescent="0.2">
      <c r="A1386" t="s">
        <v>2422</v>
      </c>
      <c r="B1386" t="s">
        <v>2497</v>
      </c>
      <c r="C1386" t="s">
        <v>2498</v>
      </c>
      <c r="D1386" t="s">
        <v>98</v>
      </c>
      <c r="E1386">
        <v>179.99</v>
      </c>
      <c r="F1386" t="s">
        <v>7024</v>
      </c>
      <c r="G1386">
        <v>179.99</v>
      </c>
      <c r="H1386">
        <v>117.38</v>
      </c>
      <c r="L1386" t="s">
        <v>5922</v>
      </c>
      <c r="Q1386">
        <v>117.38</v>
      </c>
      <c r="R1386">
        <v>117.38</v>
      </c>
      <c r="U1386">
        <v>114.25</v>
      </c>
      <c r="V1386">
        <v>109.56</v>
      </c>
      <c r="W1386">
        <v>125.21</v>
      </c>
      <c r="X1386">
        <v>125.21</v>
      </c>
      <c r="Y1386">
        <v>179.99</v>
      </c>
      <c r="Z1386" t="s">
        <v>5922</v>
      </c>
    </row>
    <row r="1387" spans="1:26" x14ac:dyDescent="0.2">
      <c r="A1387" t="s">
        <v>2422</v>
      </c>
      <c r="B1387" t="s">
        <v>2499</v>
      </c>
      <c r="C1387" t="s">
        <v>2500</v>
      </c>
      <c r="D1387" t="s">
        <v>105</v>
      </c>
      <c r="E1387">
        <v>249.99</v>
      </c>
      <c r="F1387" t="s">
        <v>7134</v>
      </c>
      <c r="G1387">
        <v>249.99</v>
      </c>
      <c r="H1387">
        <v>163.04</v>
      </c>
      <c r="L1387" t="s">
        <v>5922</v>
      </c>
      <c r="Q1387">
        <v>163.04</v>
      </c>
      <c r="R1387">
        <v>163.04</v>
      </c>
      <c r="U1387">
        <v>158.69</v>
      </c>
      <c r="V1387">
        <v>152.16999999999999</v>
      </c>
      <c r="W1387">
        <v>173.91</v>
      </c>
      <c r="X1387">
        <v>173.91</v>
      </c>
      <c r="Y1387">
        <v>249.99</v>
      </c>
      <c r="Z1387" t="s">
        <v>5922</v>
      </c>
    </row>
    <row r="1388" spans="1:26" x14ac:dyDescent="0.2">
      <c r="A1388" t="s">
        <v>2422</v>
      </c>
      <c r="B1388" t="s">
        <v>2501</v>
      </c>
      <c r="C1388" t="s">
        <v>2502</v>
      </c>
      <c r="D1388" t="s">
        <v>98</v>
      </c>
      <c r="E1388">
        <v>249.99</v>
      </c>
      <c r="F1388" t="s">
        <v>5922</v>
      </c>
      <c r="H1388">
        <v>173.91</v>
      </c>
      <c r="L1388" t="s">
        <v>5922</v>
      </c>
      <c r="U1388">
        <v>158.69</v>
      </c>
      <c r="W1388">
        <v>173.91</v>
      </c>
      <c r="X1388">
        <v>173.91</v>
      </c>
      <c r="Y1388">
        <v>249.99</v>
      </c>
      <c r="Z1388" t="s">
        <v>5922</v>
      </c>
    </row>
    <row r="1389" spans="1:26" x14ac:dyDescent="0.2">
      <c r="A1389" t="s">
        <v>2422</v>
      </c>
      <c r="B1389" t="s">
        <v>2503</v>
      </c>
      <c r="C1389" t="s">
        <v>2504</v>
      </c>
      <c r="D1389" t="s">
        <v>98</v>
      </c>
      <c r="E1389">
        <v>249.99</v>
      </c>
      <c r="F1389" t="s">
        <v>5922</v>
      </c>
      <c r="H1389">
        <v>173.91</v>
      </c>
      <c r="L1389" t="s">
        <v>5922</v>
      </c>
      <c r="U1389">
        <v>158.69</v>
      </c>
      <c r="W1389">
        <v>173.91</v>
      </c>
      <c r="X1389">
        <v>173.91</v>
      </c>
      <c r="Y1389">
        <v>249.99</v>
      </c>
      <c r="Z1389" t="s">
        <v>5922</v>
      </c>
    </row>
    <row r="1390" spans="1:26" x14ac:dyDescent="0.2">
      <c r="A1390" t="s">
        <v>2422</v>
      </c>
      <c r="B1390" t="s">
        <v>2505</v>
      </c>
      <c r="C1390" t="s">
        <v>2506</v>
      </c>
      <c r="D1390" t="s">
        <v>105</v>
      </c>
      <c r="E1390">
        <v>249.99</v>
      </c>
      <c r="F1390" t="s">
        <v>7134</v>
      </c>
      <c r="G1390">
        <v>249.99</v>
      </c>
      <c r="H1390">
        <v>163.04</v>
      </c>
      <c r="L1390" t="s">
        <v>5922</v>
      </c>
      <c r="Q1390">
        <v>163.04</v>
      </c>
      <c r="R1390">
        <v>163.04</v>
      </c>
      <c r="U1390">
        <v>158.69</v>
      </c>
      <c r="V1390">
        <v>152.16999999999999</v>
      </c>
      <c r="W1390">
        <v>173.91</v>
      </c>
      <c r="X1390">
        <v>173.91</v>
      </c>
      <c r="Y1390">
        <v>249.99</v>
      </c>
      <c r="Z1390" t="s">
        <v>5922</v>
      </c>
    </row>
    <row r="1391" spans="1:26" x14ac:dyDescent="0.2">
      <c r="A1391" t="s">
        <v>2422</v>
      </c>
      <c r="B1391" t="s">
        <v>2507</v>
      </c>
      <c r="C1391" t="s">
        <v>2508</v>
      </c>
      <c r="D1391" t="s">
        <v>98</v>
      </c>
      <c r="E1391">
        <v>54.99</v>
      </c>
      <c r="F1391" t="s">
        <v>5922</v>
      </c>
      <c r="G1391">
        <v>39.99</v>
      </c>
      <c r="H1391">
        <v>38.25</v>
      </c>
      <c r="L1391" t="s">
        <v>5922</v>
      </c>
      <c r="U1391">
        <v>34.909999999999997</v>
      </c>
      <c r="V1391">
        <v>33.47</v>
      </c>
      <c r="W1391">
        <v>38.25</v>
      </c>
      <c r="X1391">
        <v>38.25</v>
      </c>
      <c r="Y1391">
        <v>49.99</v>
      </c>
      <c r="Z1391" t="s">
        <v>5922</v>
      </c>
    </row>
    <row r="1392" spans="1:26" x14ac:dyDescent="0.2">
      <c r="A1392" t="s">
        <v>2422</v>
      </c>
      <c r="B1392" t="s">
        <v>2509</v>
      </c>
      <c r="C1392" t="s">
        <v>2510</v>
      </c>
      <c r="D1392" t="s">
        <v>98</v>
      </c>
      <c r="E1392">
        <v>269.99</v>
      </c>
      <c r="F1392" t="s">
        <v>5922</v>
      </c>
      <c r="G1392">
        <v>269.99</v>
      </c>
      <c r="H1392">
        <v>176.08</v>
      </c>
      <c r="L1392" t="s">
        <v>5922</v>
      </c>
      <c r="Q1392">
        <v>176.08</v>
      </c>
      <c r="R1392">
        <v>176.08</v>
      </c>
      <c r="U1392">
        <v>190.43</v>
      </c>
      <c r="V1392">
        <v>182.6</v>
      </c>
      <c r="W1392">
        <v>208.69</v>
      </c>
      <c r="X1392">
        <v>208.69</v>
      </c>
      <c r="Y1392">
        <v>269.99</v>
      </c>
      <c r="Z1392" t="s">
        <v>5922</v>
      </c>
    </row>
    <row r="1393" spans="1:26" x14ac:dyDescent="0.2">
      <c r="A1393" t="s">
        <v>2422</v>
      </c>
      <c r="B1393" t="s">
        <v>2511</v>
      </c>
      <c r="C1393" t="s">
        <v>2512</v>
      </c>
      <c r="D1393" t="s">
        <v>98</v>
      </c>
      <c r="E1393">
        <v>39.99</v>
      </c>
      <c r="F1393" t="s">
        <v>5922</v>
      </c>
      <c r="H1393">
        <v>27.82</v>
      </c>
      <c r="L1393" t="s">
        <v>5922</v>
      </c>
      <c r="U1393">
        <v>25.38</v>
      </c>
      <c r="W1393">
        <v>27.82</v>
      </c>
      <c r="X1393">
        <v>27.82</v>
      </c>
      <c r="Y1393">
        <v>34.99</v>
      </c>
      <c r="Z1393" t="s">
        <v>5922</v>
      </c>
    </row>
    <row r="1394" spans="1:26" x14ac:dyDescent="0.2">
      <c r="A1394" t="s">
        <v>2422</v>
      </c>
      <c r="B1394" t="s">
        <v>2513</v>
      </c>
      <c r="C1394" t="s">
        <v>2514</v>
      </c>
      <c r="D1394" t="s">
        <v>98</v>
      </c>
      <c r="E1394">
        <v>64.989999999999995</v>
      </c>
      <c r="F1394" t="s">
        <v>5922</v>
      </c>
      <c r="G1394">
        <v>64.989999999999995</v>
      </c>
      <c r="H1394">
        <v>45.21</v>
      </c>
      <c r="L1394" t="s">
        <v>5922</v>
      </c>
      <c r="U1394">
        <v>41.25</v>
      </c>
      <c r="W1394">
        <v>45.21</v>
      </c>
      <c r="X1394">
        <v>45.21</v>
      </c>
      <c r="Y1394">
        <v>64.989999999999995</v>
      </c>
      <c r="Z1394" t="s">
        <v>5922</v>
      </c>
    </row>
    <row r="1395" spans="1:26" x14ac:dyDescent="0.2">
      <c r="A1395" t="s">
        <v>2422</v>
      </c>
      <c r="B1395" t="s">
        <v>2515</v>
      </c>
      <c r="C1395" t="s">
        <v>2516</v>
      </c>
      <c r="D1395" t="s">
        <v>98</v>
      </c>
      <c r="E1395">
        <v>64.989999999999995</v>
      </c>
      <c r="F1395" t="s">
        <v>5922</v>
      </c>
      <c r="G1395">
        <v>45.49</v>
      </c>
      <c r="H1395">
        <v>45.21</v>
      </c>
      <c r="L1395" t="s">
        <v>5922</v>
      </c>
      <c r="U1395">
        <v>41.25</v>
      </c>
      <c r="V1395">
        <v>39.56</v>
      </c>
      <c r="W1395">
        <v>45.21</v>
      </c>
      <c r="X1395">
        <v>45.21</v>
      </c>
      <c r="Y1395">
        <v>64.989999999999995</v>
      </c>
      <c r="Z1395" t="s">
        <v>5922</v>
      </c>
    </row>
    <row r="1396" spans="1:26" x14ac:dyDescent="0.2">
      <c r="A1396" t="s">
        <v>2422</v>
      </c>
      <c r="B1396" t="s">
        <v>2517</v>
      </c>
      <c r="C1396" t="s">
        <v>2518</v>
      </c>
      <c r="D1396" t="s">
        <v>98</v>
      </c>
      <c r="E1396">
        <v>64.989999999999995</v>
      </c>
      <c r="F1396" t="s">
        <v>5922</v>
      </c>
      <c r="G1396">
        <v>64.989999999999995</v>
      </c>
      <c r="H1396">
        <v>45.21</v>
      </c>
      <c r="L1396" t="s">
        <v>5922</v>
      </c>
      <c r="U1396">
        <v>41.25</v>
      </c>
      <c r="V1396">
        <v>39.56</v>
      </c>
      <c r="W1396">
        <v>45.21</v>
      </c>
      <c r="X1396">
        <v>45.21</v>
      </c>
      <c r="Y1396">
        <v>64.989999999999995</v>
      </c>
      <c r="Z1396" t="s">
        <v>5922</v>
      </c>
    </row>
    <row r="1397" spans="1:26" x14ac:dyDescent="0.2">
      <c r="A1397" t="s">
        <v>2422</v>
      </c>
      <c r="B1397" t="s">
        <v>2519</v>
      </c>
      <c r="C1397" t="s">
        <v>2520</v>
      </c>
      <c r="D1397" t="s">
        <v>98</v>
      </c>
      <c r="E1397">
        <v>64.989999999999995</v>
      </c>
      <c r="F1397" t="s">
        <v>5922</v>
      </c>
      <c r="H1397">
        <v>45.21</v>
      </c>
      <c r="L1397" t="s">
        <v>5922</v>
      </c>
      <c r="U1397">
        <v>41.25</v>
      </c>
      <c r="W1397">
        <v>45.21</v>
      </c>
      <c r="X1397">
        <v>45.21</v>
      </c>
      <c r="Y1397">
        <v>59.99</v>
      </c>
      <c r="Z1397" t="s">
        <v>5922</v>
      </c>
    </row>
    <row r="1398" spans="1:26" x14ac:dyDescent="0.2">
      <c r="A1398" t="s">
        <v>2422</v>
      </c>
      <c r="B1398" t="s">
        <v>2521</v>
      </c>
      <c r="C1398" t="s">
        <v>2522</v>
      </c>
      <c r="D1398" t="s">
        <v>98</v>
      </c>
      <c r="E1398">
        <v>49.99</v>
      </c>
      <c r="F1398" t="s">
        <v>5922</v>
      </c>
      <c r="G1398">
        <v>44.99</v>
      </c>
      <c r="H1398">
        <v>34.78</v>
      </c>
      <c r="L1398" t="s">
        <v>5922</v>
      </c>
      <c r="U1398">
        <v>31.73</v>
      </c>
      <c r="W1398">
        <v>34.78</v>
      </c>
      <c r="X1398">
        <v>34.78</v>
      </c>
      <c r="Y1398">
        <v>44.99</v>
      </c>
      <c r="Z1398" t="s">
        <v>5922</v>
      </c>
    </row>
    <row r="1399" spans="1:26" x14ac:dyDescent="0.2">
      <c r="A1399" t="s">
        <v>2422</v>
      </c>
      <c r="B1399" t="s">
        <v>2523</v>
      </c>
      <c r="C1399" t="s">
        <v>2524</v>
      </c>
      <c r="D1399" t="s">
        <v>105</v>
      </c>
      <c r="E1399">
        <v>79.989999999999995</v>
      </c>
      <c r="F1399" t="s">
        <v>6934</v>
      </c>
      <c r="G1399">
        <v>79.989999999999995</v>
      </c>
      <c r="H1399">
        <v>52.17</v>
      </c>
      <c r="L1399" t="s">
        <v>5922</v>
      </c>
      <c r="Q1399">
        <v>52.17</v>
      </c>
      <c r="R1399">
        <v>52.17</v>
      </c>
      <c r="U1399">
        <v>60.3</v>
      </c>
      <c r="V1399">
        <v>54.78</v>
      </c>
      <c r="W1399">
        <v>55.65</v>
      </c>
      <c r="X1399">
        <v>55.65</v>
      </c>
      <c r="Y1399">
        <v>79.989999999999995</v>
      </c>
      <c r="Z1399" t="s">
        <v>5922</v>
      </c>
    </row>
    <row r="1400" spans="1:26" x14ac:dyDescent="0.2">
      <c r="A1400" t="s">
        <v>2422</v>
      </c>
      <c r="B1400" t="s">
        <v>2525</v>
      </c>
      <c r="C1400" t="s">
        <v>2526</v>
      </c>
      <c r="D1400" t="s">
        <v>98</v>
      </c>
      <c r="E1400">
        <v>184.99</v>
      </c>
      <c r="F1400" t="s">
        <v>5922</v>
      </c>
      <c r="G1400">
        <v>184.99</v>
      </c>
      <c r="H1400">
        <v>128.69</v>
      </c>
      <c r="L1400" t="s">
        <v>5922</v>
      </c>
      <c r="U1400">
        <v>117.43</v>
      </c>
      <c r="V1400">
        <v>112.6</v>
      </c>
      <c r="W1400">
        <v>128.69</v>
      </c>
      <c r="X1400">
        <v>128.69</v>
      </c>
      <c r="Y1400">
        <v>184.99</v>
      </c>
      <c r="Z1400" t="s">
        <v>5922</v>
      </c>
    </row>
    <row r="1401" spans="1:26" x14ac:dyDescent="0.2">
      <c r="A1401" t="s">
        <v>2422</v>
      </c>
      <c r="B1401" t="s">
        <v>2527</v>
      </c>
      <c r="C1401" t="s">
        <v>2528</v>
      </c>
      <c r="D1401" t="s">
        <v>98</v>
      </c>
      <c r="E1401">
        <v>149.99</v>
      </c>
      <c r="F1401" t="s">
        <v>5922</v>
      </c>
      <c r="G1401">
        <v>149.99</v>
      </c>
      <c r="H1401">
        <v>104.34</v>
      </c>
      <c r="L1401" t="s">
        <v>5922</v>
      </c>
      <c r="U1401">
        <v>95.21</v>
      </c>
      <c r="V1401">
        <v>91.3</v>
      </c>
      <c r="W1401">
        <v>104.34</v>
      </c>
      <c r="X1401">
        <v>104.34</v>
      </c>
      <c r="Y1401">
        <v>149.99</v>
      </c>
      <c r="Z1401" t="s">
        <v>5922</v>
      </c>
    </row>
    <row r="1402" spans="1:26" x14ac:dyDescent="0.2">
      <c r="A1402" t="s">
        <v>2422</v>
      </c>
      <c r="B1402" t="s">
        <v>2529</v>
      </c>
      <c r="C1402" t="s">
        <v>2530</v>
      </c>
      <c r="D1402" t="s">
        <v>98</v>
      </c>
      <c r="E1402">
        <v>179.99</v>
      </c>
      <c r="F1402" t="s">
        <v>5922</v>
      </c>
      <c r="G1402">
        <v>179.99</v>
      </c>
      <c r="H1402">
        <v>125.21</v>
      </c>
      <c r="L1402" t="s">
        <v>5922</v>
      </c>
      <c r="U1402">
        <v>114.25</v>
      </c>
      <c r="W1402">
        <v>125.21</v>
      </c>
      <c r="X1402">
        <v>125.21</v>
      </c>
      <c r="Y1402">
        <v>179.99</v>
      </c>
      <c r="Z1402" t="s">
        <v>5922</v>
      </c>
    </row>
    <row r="1403" spans="1:26" x14ac:dyDescent="0.2">
      <c r="A1403" t="s">
        <v>2422</v>
      </c>
      <c r="B1403" t="s">
        <v>2531</v>
      </c>
      <c r="C1403" t="s">
        <v>2532</v>
      </c>
      <c r="D1403" t="s">
        <v>98</v>
      </c>
      <c r="E1403">
        <v>189.99</v>
      </c>
      <c r="F1403" t="s">
        <v>6976</v>
      </c>
      <c r="H1403">
        <v>123.91</v>
      </c>
      <c r="L1403" t="s">
        <v>5922</v>
      </c>
      <c r="Q1403">
        <v>123.91</v>
      </c>
      <c r="R1403">
        <v>123.91</v>
      </c>
      <c r="U1403">
        <v>120.6</v>
      </c>
      <c r="V1403">
        <v>115.65</v>
      </c>
      <c r="W1403">
        <v>132.16999999999999</v>
      </c>
      <c r="X1403">
        <v>132.16999999999999</v>
      </c>
      <c r="Y1403">
        <v>189.99</v>
      </c>
      <c r="Z1403" t="s">
        <v>5922</v>
      </c>
    </row>
    <row r="1404" spans="1:26" x14ac:dyDescent="0.2">
      <c r="A1404" t="s">
        <v>2422</v>
      </c>
      <c r="B1404" t="s">
        <v>2533</v>
      </c>
      <c r="C1404" t="s">
        <v>2534</v>
      </c>
      <c r="D1404" t="s">
        <v>98</v>
      </c>
      <c r="E1404">
        <v>139.99</v>
      </c>
      <c r="F1404" t="s">
        <v>7085</v>
      </c>
      <c r="H1404">
        <v>91.3</v>
      </c>
      <c r="L1404" t="s">
        <v>5922</v>
      </c>
      <c r="Q1404">
        <v>91.3</v>
      </c>
      <c r="R1404">
        <v>91.3</v>
      </c>
      <c r="U1404">
        <v>88.86</v>
      </c>
      <c r="V1404">
        <v>85.21</v>
      </c>
      <c r="W1404">
        <v>97.38</v>
      </c>
      <c r="X1404">
        <v>97.38</v>
      </c>
      <c r="Y1404">
        <v>139.99</v>
      </c>
      <c r="Z1404" t="s">
        <v>5922</v>
      </c>
    </row>
    <row r="1405" spans="1:26" x14ac:dyDescent="0.2">
      <c r="A1405" t="s">
        <v>2422</v>
      </c>
      <c r="B1405" t="s">
        <v>2535</v>
      </c>
      <c r="C1405" t="s">
        <v>2536</v>
      </c>
      <c r="D1405" t="s">
        <v>98</v>
      </c>
      <c r="E1405">
        <v>24.99</v>
      </c>
      <c r="F1405" t="s">
        <v>5922</v>
      </c>
      <c r="H1405">
        <v>17.38</v>
      </c>
      <c r="L1405" t="s">
        <v>5922</v>
      </c>
      <c r="U1405">
        <v>15.86</v>
      </c>
      <c r="W1405">
        <v>17.38</v>
      </c>
      <c r="X1405">
        <v>17.38</v>
      </c>
      <c r="Y1405">
        <v>19.989999999999998</v>
      </c>
      <c r="Z1405" t="s">
        <v>5922</v>
      </c>
    </row>
    <row r="1406" spans="1:26" x14ac:dyDescent="0.2">
      <c r="A1406" t="s">
        <v>2422</v>
      </c>
      <c r="B1406" t="s">
        <v>2537</v>
      </c>
      <c r="C1406" t="s">
        <v>2538</v>
      </c>
      <c r="D1406" t="s">
        <v>105</v>
      </c>
      <c r="E1406">
        <v>129.99</v>
      </c>
      <c r="F1406" t="s">
        <v>7023</v>
      </c>
      <c r="G1406">
        <v>129.99</v>
      </c>
      <c r="H1406">
        <v>84.78</v>
      </c>
      <c r="L1406" t="s">
        <v>5922</v>
      </c>
      <c r="Q1406">
        <v>84.78</v>
      </c>
      <c r="R1406">
        <v>84.78</v>
      </c>
      <c r="U1406">
        <v>82.52</v>
      </c>
      <c r="V1406">
        <v>79.12</v>
      </c>
      <c r="W1406">
        <v>90.43</v>
      </c>
      <c r="X1406">
        <v>90.43</v>
      </c>
      <c r="Y1406">
        <v>129.99</v>
      </c>
      <c r="Z1406" t="s">
        <v>5922</v>
      </c>
    </row>
    <row r="1407" spans="1:26" x14ac:dyDescent="0.2">
      <c r="A1407" t="s">
        <v>2422</v>
      </c>
      <c r="B1407" t="s">
        <v>2539</v>
      </c>
      <c r="C1407" t="s">
        <v>2540</v>
      </c>
      <c r="D1407" t="s">
        <v>105</v>
      </c>
      <c r="E1407">
        <v>129.99</v>
      </c>
      <c r="F1407" t="s">
        <v>7023</v>
      </c>
      <c r="G1407">
        <v>129.99</v>
      </c>
      <c r="H1407">
        <v>84.78</v>
      </c>
      <c r="L1407" t="s">
        <v>5922</v>
      </c>
      <c r="Q1407">
        <v>84.78</v>
      </c>
      <c r="R1407">
        <v>84.78</v>
      </c>
      <c r="U1407">
        <v>82.52</v>
      </c>
      <c r="V1407">
        <v>79.12</v>
      </c>
      <c r="W1407">
        <v>90.43</v>
      </c>
      <c r="X1407">
        <v>90.43</v>
      </c>
      <c r="Y1407">
        <v>129.99</v>
      </c>
      <c r="Z1407" t="s">
        <v>5922</v>
      </c>
    </row>
    <row r="1408" spans="1:26" x14ac:dyDescent="0.2">
      <c r="A1408" t="s">
        <v>2422</v>
      </c>
      <c r="B1408" t="s">
        <v>2541</v>
      </c>
      <c r="C1408" t="s">
        <v>2542</v>
      </c>
      <c r="D1408" t="s">
        <v>98</v>
      </c>
      <c r="E1408">
        <v>79.989999999999995</v>
      </c>
      <c r="F1408" t="s">
        <v>6934</v>
      </c>
      <c r="G1408">
        <v>79.989999999999995</v>
      </c>
      <c r="H1408">
        <v>52.17</v>
      </c>
      <c r="L1408" t="s">
        <v>5922</v>
      </c>
      <c r="Q1408">
        <v>52.17</v>
      </c>
      <c r="R1408">
        <v>52.17</v>
      </c>
      <c r="U1408">
        <v>57.12</v>
      </c>
      <c r="V1408">
        <v>48.69</v>
      </c>
      <c r="W1408">
        <v>55.65</v>
      </c>
      <c r="X1408">
        <v>55.65</v>
      </c>
      <c r="Y1408">
        <v>79.989999999999995</v>
      </c>
      <c r="Z1408" t="s">
        <v>5922</v>
      </c>
    </row>
    <row r="1409" spans="1:26" x14ac:dyDescent="0.2">
      <c r="A1409" t="s">
        <v>2422</v>
      </c>
      <c r="B1409" t="s">
        <v>2543</v>
      </c>
      <c r="C1409" t="s">
        <v>2544</v>
      </c>
      <c r="D1409" t="s">
        <v>98</v>
      </c>
      <c r="E1409">
        <v>79.989999999999995</v>
      </c>
      <c r="F1409" t="s">
        <v>6934</v>
      </c>
      <c r="G1409">
        <v>79.989999999999995</v>
      </c>
      <c r="H1409">
        <v>52.17</v>
      </c>
      <c r="L1409" t="s">
        <v>5922</v>
      </c>
      <c r="Q1409">
        <v>52.17</v>
      </c>
      <c r="R1409">
        <v>52.17</v>
      </c>
      <c r="U1409">
        <v>57.12</v>
      </c>
      <c r="V1409">
        <v>48.69</v>
      </c>
      <c r="W1409">
        <v>55.65</v>
      </c>
      <c r="X1409">
        <v>55.65</v>
      </c>
      <c r="Y1409">
        <v>79.989999999999995</v>
      </c>
      <c r="Z1409" t="s">
        <v>5922</v>
      </c>
    </row>
    <row r="1410" spans="1:26" x14ac:dyDescent="0.2">
      <c r="A1410" t="s">
        <v>2422</v>
      </c>
      <c r="B1410" t="s">
        <v>2545</v>
      </c>
      <c r="C1410" t="s">
        <v>2546</v>
      </c>
      <c r="D1410" t="s">
        <v>105</v>
      </c>
      <c r="E1410">
        <v>99.99</v>
      </c>
      <c r="F1410" t="s">
        <v>6903</v>
      </c>
      <c r="G1410">
        <v>99.99</v>
      </c>
      <c r="H1410">
        <v>65.209999999999994</v>
      </c>
      <c r="L1410" t="s">
        <v>5922</v>
      </c>
      <c r="Q1410">
        <v>65.209999999999994</v>
      </c>
      <c r="R1410">
        <v>65.209999999999994</v>
      </c>
      <c r="U1410">
        <v>69.819999999999993</v>
      </c>
      <c r="V1410">
        <v>60.86</v>
      </c>
      <c r="W1410">
        <v>69.56</v>
      </c>
      <c r="X1410">
        <v>69.56</v>
      </c>
      <c r="Y1410">
        <v>99.99</v>
      </c>
      <c r="Z1410" t="s">
        <v>5922</v>
      </c>
    </row>
    <row r="1411" spans="1:26" x14ac:dyDescent="0.2">
      <c r="A1411" t="s">
        <v>2422</v>
      </c>
      <c r="B1411" t="s">
        <v>2547</v>
      </c>
      <c r="C1411" t="s">
        <v>2548</v>
      </c>
      <c r="D1411" t="s">
        <v>105</v>
      </c>
      <c r="E1411">
        <v>99.99</v>
      </c>
      <c r="F1411" t="s">
        <v>6903</v>
      </c>
      <c r="G1411">
        <v>99.99</v>
      </c>
      <c r="H1411">
        <v>65.209999999999994</v>
      </c>
      <c r="L1411" t="s">
        <v>5922</v>
      </c>
      <c r="Q1411">
        <v>65.209999999999994</v>
      </c>
      <c r="R1411">
        <v>65.209999999999994</v>
      </c>
      <c r="U1411">
        <v>69.819999999999993</v>
      </c>
      <c r="V1411">
        <v>60.86</v>
      </c>
      <c r="W1411">
        <v>69.56</v>
      </c>
      <c r="X1411">
        <v>69.56</v>
      </c>
      <c r="Y1411">
        <v>99.99</v>
      </c>
      <c r="Z1411" t="s">
        <v>5922</v>
      </c>
    </row>
    <row r="1412" spans="1:26" x14ac:dyDescent="0.2">
      <c r="A1412" t="s">
        <v>2422</v>
      </c>
      <c r="B1412" t="s">
        <v>2549</v>
      </c>
      <c r="C1412" t="s">
        <v>2550</v>
      </c>
      <c r="D1412" t="s">
        <v>105</v>
      </c>
      <c r="E1412">
        <v>109.99</v>
      </c>
      <c r="F1412" t="s">
        <v>7025</v>
      </c>
      <c r="G1412">
        <v>109.99</v>
      </c>
      <c r="H1412">
        <v>71.73</v>
      </c>
      <c r="L1412" t="s">
        <v>5922</v>
      </c>
      <c r="Q1412">
        <v>71.73</v>
      </c>
      <c r="R1412">
        <v>71.73</v>
      </c>
      <c r="U1412">
        <v>69.819999999999993</v>
      </c>
      <c r="V1412">
        <v>66.95</v>
      </c>
      <c r="W1412">
        <v>76.510000000000005</v>
      </c>
      <c r="X1412">
        <v>76.510000000000005</v>
      </c>
      <c r="Y1412">
        <v>109.99</v>
      </c>
      <c r="Z1412" t="s">
        <v>5922</v>
      </c>
    </row>
    <row r="1413" spans="1:26" x14ac:dyDescent="0.2">
      <c r="A1413" t="s">
        <v>2422</v>
      </c>
      <c r="B1413" t="s">
        <v>2551</v>
      </c>
      <c r="C1413" t="s">
        <v>2552</v>
      </c>
      <c r="D1413" t="s">
        <v>105</v>
      </c>
      <c r="E1413">
        <v>149.99</v>
      </c>
      <c r="F1413" t="s">
        <v>7022</v>
      </c>
      <c r="G1413">
        <v>149.99</v>
      </c>
      <c r="H1413">
        <v>97.82</v>
      </c>
      <c r="L1413" t="s">
        <v>5922</v>
      </c>
      <c r="Q1413">
        <v>97.82</v>
      </c>
      <c r="R1413">
        <v>97.82</v>
      </c>
      <c r="U1413">
        <v>95.21</v>
      </c>
      <c r="V1413">
        <v>91.3</v>
      </c>
      <c r="W1413">
        <v>104.34</v>
      </c>
      <c r="X1413">
        <v>104.34</v>
      </c>
      <c r="Y1413">
        <v>149.99</v>
      </c>
      <c r="Z1413" t="s">
        <v>5922</v>
      </c>
    </row>
    <row r="1414" spans="1:26" x14ac:dyDescent="0.2">
      <c r="A1414" t="s">
        <v>2422</v>
      </c>
      <c r="B1414" t="s">
        <v>2553</v>
      </c>
      <c r="C1414" t="s">
        <v>2554</v>
      </c>
      <c r="D1414" t="s">
        <v>105</v>
      </c>
      <c r="E1414">
        <v>149.99</v>
      </c>
      <c r="F1414" t="s">
        <v>7022</v>
      </c>
      <c r="G1414">
        <v>149.99</v>
      </c>
      <c r="H1414">
        <v>97.82</v>
      </c>
      <c r="L1414" t="s">
        <v>5922</v>
      </c>
      <c r="Q1414">
        <v>97.82</v>
      </c>
      <c r="R1414">
        <v>97.82</v>
      </c>
      <c r="U1414">
        <v>95.21</v>
      </c>
      <c r="V1414">
        <v>91.3</v>
      </c>
      <c r="W1414">
        <v>104.34</v>
      </c>
      <c r="X1414">
        <v>104.34</v>
      </c>
      <c r="Y1414">
        <v>149.99</v>
      </c>
      <c r="Z1414" t="s">
        <v>5922</v>
      </c>
    </row>
    <row r="1415" spans="1:26" x14ac:dyDescent="0.2">
      <c r="A1415" t="s">
        <v>2422</v>
      </c>
      <c r="B1415" t="s">
        <v>2555</v>
      </c>
      <c r="C1415" t="s">
        <v>2556</v>
      </c>
      <c r="D1415" t="s">
        <v>105</v>
      </c>
      <c r="E1415">
        <v>149.99</v>
      </c>
      <c r="F1415" t="s">
        <v>7022</v>
      </c>
      <c r="G1415">
        <v>149.99</v>
      </c>
      <c r="H1415">
        <v>97.82</v>
      </c>
      <c r="L1415" t="s">
        <v>5922</v>
      </c>
      <c r="Q1415">
        <v>97.82</v>
      </c>
      <c r="R1415">
        <v>97.82</v>
      </c>
      <c r="U1415">
        <v>95.21</v>
      </c>
      <c r="V1415">
        <v>91.3</v>
      </c>
      <c r="W1415">
        <v>104.34</v>
      </c>
      <c r="X1415">
        <v>104.34</v>
      </c>
      <c r="Y1415">
        <v>149.99</v>
      </c>
      <c r="Z1415" t="s">
        <v>5922</v>
      </c>
    </row>
    <row r="1416" spans="1:26" x14ac:dyDescent="0.2">
      <c r="A1416" t="s">
        <v>2422</v>
      </c>
      <c r="B1416" t="s">
        <v>2557</v>
      </c>
      <c r="C1416" t="s">
        <v>2558</v>
      </c>
      <c r="D1416" t="s">
        <v>98</v>
      </c>
      <c r="E1416">
        <v>159.99</v>
      </c>
      <c r="F1416" t="s">
        <v>5922</v>
      </c>
      <c r="H1416">
        <v>111.3</v>
      </c>
      <c r="L1416" t="s">
        <v>5922</v>
      </c>
      <c r="U1416">
        <v>101.56</v>
      </c>
      <c r="W1416">
        <v>111.3</v>
      </c>
      <c r="X1416">
        <v>111.3</v>
      </c>
      <c r="Y1416">
        <v>159.99</v>
      </c>
      <c r="Z1416" t="s">
        <v>5922</v>
      </c>
    </row>
    <row r="1417" spans="1:26" x14ac:dyDescent="0.2">
      <c r="A1417" t="s">
        <v>2422</v>
      </c>
      <c r="B1417" t="s">
        <v>2559</v>
      </c>
      <c r="C1417" t="s">
        <v>2560</v>
      </c>
      <c r="D1417" t="s">
        <v>98</v>
      </c>
      <c r="E1417">
        <v>274.99</v>
      </c>
      <c r="F1417" t="s">
        <v>5922</v>
      </c>
      <c r="G1417">
        <v>192.49</v>
      </c>
      <c r="H1417">
        <v>191.3</v>
      </c>
      <c r="L1417" t="s">
        <v>5922</v>
      </c>
      <c r="U1417">
        <v>174.56</v>
      </c>
      <c r="V1417">
        <v>167.39</v>
      </c>
      <c r="W1417">
        <v>191.3</v>
      </c>
      <c r="X1417">
        <v>191.3</v>
      </c>
      <c r="Y1417">
        <v>274.99</v>
      </c>
      <c r="Z1417" t="s">
        <v>5922</v>
      </c>
    </row>
    <row r="1418" spans="1:26" x14ac:dyDescent="0.2">
      <c r="A1418" t="s">
        <v>2422</v>
      </c>
      <c r="B1418" t="s">
        <v>2561</v>
      </c>
      <c r="C1418" t="s">
        <v>2562</v>
      </c>
      <c r="D1418" t="s">
        <v>105</v>
      </c>
      <c r="E1418">
        <v>99.99</v>
      </c>
      <c r="F1418" t="s">
        <v>6903</v>
      </c>
      <c r="G1418">
        <v>99.99</v>
      </c>
      <c r="H1418">
        <v>65.209999999999994</v>
      </c>
      <c r="L1418" t="s">
        <v>5922</v>
      </c>
      <c r="Q1418">
        <v>65.209999999999994</v>
      </c>
      <c r="R1418">
        <v>65.209999999999994</v>
      </c>
      <c r="U1418">
        <v>63.47</v>
      </c>
      <c r="V1418">
        <v>60.86</v>
      </c>
      <c r="W1418">
        <v>69.56</v>
      </c>
      <c r="X1418">
        <v>69.56</v>
      </c>
      <c r="Y1418">
        <v>99.99</v>
      </c>
      <c r="Z1418" t="s">
        <v>5922</v>
      </c>
    </row>
    <row r="1419" spans="1:26" x14ac:dyDescent="0.2">
      <c r="A1419" t="s">
        <v>2422</v>
      </c>
      <c r="B1419" t="s">
        <v>2563</v>
      </c>
      <c r="C1419" t="s">
        <v>2564</v>
      </c>
      <c r="D1419" t="s">
        <v>98</v>
      </c>
      <c r="E1419">
        <v>34.99</v>
      </c>
      <c r="F1419" t="s">
        <v>5922</v>
      </c>
      <c r="G1419">
        <v>23.99</v>
      </c>
      <c r="H1419">
        <v>24.34</v>
      </c>
      <c r="L1419" t="s">
        <v>5922</v>
      </c>
      <c r="U1419">
        <v>22.21</v>
      </c>
      <c r="V1419">
        <v>21.3</v>
      </c>
      <c r="W1419">
        <v>24.34</v>
      </c>
      <c r="X1419">
        <v>24.34</v>
      </c>
      <c r="Y1419">
        <v>29.99</v>
      </c>
      <c r="Z1419" t="s">
        <v>5922</v>
      </c>
    </row>
    <row r="1420" spans="1:26" x14ac:dyDescent="0.2">
      <c r="A1420" t="s">
        <v>2422</v>
      </c>
      <c r="B1420" t="s">
        <v>2565</v>
      </c>
      <c r="C1420" t="s">
        <v>2566</v>
      </c>
      <c r="D1420" t="s">
        <v>105</v>
      </c>
      <c r="E1420">
        <v>119.99</v>
      </c>
      <c r="F1420" t="s">
        <v>6905</v>
      </c>
      <c r="G1420">
        <v>119.99</v>
      </c>
      <c r="H1420">
        <v>78.25</v>
      </c>
      <c r="L1420" t="s">
        <v>5922</v>
      </c>
      <c r="Q1420">
        <v>78.25</v>
      </c>
      <c r="R1420">
        <v>78.25</v>
      </c>
      <c r="U1420">
        <v>76.17</v>
      </c>
      <c r="V1420">
        <v>73.040000000000006</v>
      </c>
      <c r="W1420">
        <v>83.47</v>
      </c>
      <c r="X1420">
        <v>83.47</v>
      </c>
      <c r="Y1420">
        <v>119.99</v>
      </c>
      <c r="Z1420" t="s">
        <v>5922</v>
      </c>
    </row>
    <row r="1421" spans="1:26" x14ac:dyDescent="0.2">
      <c r="A1421" t="s">
        <v>2422</v>
      </c>
      <c r="B1421" t="s">
        <v>2567</v>
      </c>
      <c r="C1421" t="s">
        <v>2568</v>
      </c>
      <c r="D1421" t="s">
        <v>98</v>
      </c>
      <c r="E1421">
        <v>129.99</v>
      </c>
      <c r="F1421" t="s">
        <v>7023</v>
      </c>
      <c r="G1421">
        <v>84.99</v>
      </c>
      <c r="H1421">
        <v>84.78</v>
      </c>
      <c r="L1421" t="s">
        <v>5922</v>
      </c>
      <c r="Q1421">
        <v>84.78</v>
      </c>
      <c r="R1421">
        <v>84.78</v>
      </c>
      <c r="U1421">
        <v>82.52</v>
      </c>
      <c r="V1421">
        <v>79.12</v>
      </c>
      <c r="W1421">
        <v>90.43</v>
      </c>
      <c r="X1421">
        <v>90.43</v>
      </c>
      <c r="Y1421">
        <v>84.99</v>
      </c>
      <c r="Z1421" t="s">
        <v>5922</v>
      </c>
    </row>
    <row r="1422" spans="1:26" x14ac:dyDescent="0.2">
      <c r="A1422" t="s">
        <v>2422</v>
      </c>
      <c r="B1422" t="s">
        <v>2569</v>
      </c>
      <c r="C1422" t="s">
        <v>2570</v>
      </c>
      <c r="D1422" t="s">
        <v>105</v>
      </c>
      <c r="E1422">
        <v>249.99</v>
      </c>
      <c r="F1422" t="s">
        <v>5922</v>
      </c>
      <c r="L1422" t="s">
        <v>5922</v>
      </c>
      <c r="U1422">
        <v>158.69</v>
      </c>
      <c r="Z1422" t="s">
        <v>5922</v>
      </c>
    </row>
    <row r="1423" spans="1:26" x14ac:dyDescent="0.2">
      <c r="A1423" t="s">
        <v>2422</v>
      </c>
      <c r="B1423" t="s">
        <v>2571</v>
      </c>
      <c r="C1423" t="s">
        <v>2572</v>
      </c>
      <c r="D1423" t="s">
        <v>98</v>
      </c>
      <c r="E1423">
        <v>139.99</v>
      </c>
      <c r="F1423" t="s">
        <v>5922</v>
      </c>
      <c r="G1423">
        <v>70</v>
      </c>
      <c r="H1423">
        <v>97.38</v>
      </c>
      <c r="L1423" t="s">
        <v>5922</v>
      </c>
      <c r="U1423">
        <v>88.86</v>
      </c>
      <c r="V1423">
        <v>85.21</v>
      </c>
      <c r="W1423">
        <v>97.38</v>
      </c>
      <c r="X1423">
        <v>97.38</v>
      </c>
      <c r="Y1423">
        <v>139.99</v>
      </c>
      <c r="Z1423" t="s">
        <v>5922</v>
      </c>
    </row>
    <row r="1424" spans="1:26" x14ac:dyDescent="0.2">
      <c r="A1424" t="s">
        <v>2422</v>
      </c>
      <c r="B1424" t="s">
        <v>2573</v>
      </c>
      <c r="C1424" t="s">
        <v>2574</v>
      </c>
      <c r="D1424" t="s">
        <v>98</v>
      </c>
      <c r="E1424">
        <v>54.99</v>
      </c>
      <c r="F1424" t="s">
        <v>5922</v>
      </c>
      <c r="G1424">
        <v>54.99</v>
      </c>
      <c r="H1424">
        <v>38.25</v>
      </c>
      <c r="L1424" t="s">
        <v>5922</v>
      </c>
      <c r="U1424">
        <v>34.909999999999997</v>
      </c>
      <c r="W1424">
        <v>38.25</v>
      </c>
      <c r="X1424">
        <v>38.25</v>
      </c>
      <c r="Y1424">
        <v>54.99</v>
      </c>
      <c r="Z1424" t="s">
        <v>5922</v>
      </c>
    </row>
    <row r="1425" spans="1:26" x14ac:dyDescent="0.2">
      <c r="A1425" t="s">
        <v>2422</v>
      </c>
      <c r="B1425" t="s">
        <v>2575</v>
      </c>
      <c r="C1425" t="s">
        <v>2576</v>
      </c>
      <c r="D1425" t="s">
        <v>98</v>
      </c>
      <c r="E1425">
        <v>49.99</v>
      </c>
      <c r="F1425" t="s">
        <v>5922</v>
      </c>
      <c r="G1425">
        <v>35.99</v>
      </c>
      <c r="H1425">
        <v>34.78</v>
      </c>
      <c r="L1425" t="s">
        <v>5922</v>
      </c>
      <c r="U1425">
        <v>31.73</v>
      </c>
      <c r="V1425">
        <v>30.43</v>
      </c>
      <c r="W1425">
        <v>34.78</v>
      </c>
      <c r="X1425">
        <v>34.78</v>
      </c>
      <c r="Y1425">
        <v>44.99</v>
      </c>
      <c r="Z1425" t="s">
        <v>5922</v>
      </c>
    </row>
    <row r="1426" spans="1:26" x14ac:dyDescent="0.2">
      <c r="A1426" t="s">
        <v>2422</v>
      </c>
      <c r="B1426" t="s">
        <v>2577</v>
      </c>
      <c r="C1426" t="s">
        <v>2578</v>
      </c>
      <c r="D1426" t="s">
        <v>98</v>
      </c>
      <c r="E1426">
        <v>34.99</v>
      </c>
      <c r="F1426" t="s">
        <v>5922</v>
      </c>
      <c r="H1426">
        <v>24.34</v>
      </c>
      <c r="L1426" t="s">
        <v>5922</v>
      </c>
      <c r="U1426">
        <v>22.21</v>
      </c>
      <c r="W1426">
        <v>24.34</v>
      </c>
      <c r="X1426">
        <v>24.34</v>
      </c>
      <c r="Y1426">
        <v>34.99</v>
      </c>
      <c r="Z1426" t="s">
        <v>5922</v>
      </c>
    </row>
    <row r="1427" spans="1:26" x14ac:dyDescent="0.2">
      <c r="A1427" t="s">
        <v>2422</v>
      </c>
      <c r="B1427" t="s">
        <v>2579</v>
      </c>
      <c r="C1427" t="s">
        <v>2580</v>
      </c>
      <c r="D1427" t="s">
        <v>105</v>
      </c>
      <c r="E1427">
        <v>219.99</v>
      </c>
      <c r="F1427" t="s">
        <v>7051</v>
      </c>
      <c r="G1427">
        <v>219.99</v>
      </c>
      <c r="H1427">
        <v>143.47</v>
      </c>
      <c r="L1427" t="s">
        <v>5922</v>
      </c>
      <c r="Q1427">
        <v>0</v>
      </c>
      <c r="R1427">
        <v>0</v>
      </c>
      <c r="U1427">
        <v>139.65</v>
      </c>
      <c r="V1427">
        <v>143.47</v>
      </c>
      <c r="W1427">
        <v>0</v>
      </c>
      <c r="X1427">
        <v>153.04</v>
      </c>
      <c r="Y1427">
        <v>219.99</v>
      </c>
      <c r="Z1427" t="s">
        <v>5922</v>
      </c>
    </row>
    <row r="1428" spans="1:26" x14ac:dyDescent="0.2">
      <c r="A1428" t="s">
        <v>2422</v>
      </c>
      <c r="B1428" t="s">
        <v>2581</v>
      </c>
      <c r="C1428" t="s">
        <v>2582</v>
      </c>
      <c r="D1428" t="s">
        <v>105</v>
      </c>
      <c r="E1428">
        <v>239.99</v>
      </c>
      <c r="F1428" t="s">
        <v>7279</v>
      </c>
      <c r="G1428">
        <v>239.99</v>
      </c>
      <c r="H1428">
        <v>156.52000000000001</v>
      </c>
      <c r="L1428" t="s">
        <v>5922</v>
      </c>
      <c r="Q1428">
        <v>0</v>
      </c>
      <c r="R1428">
        <v>0</v>
      </c>
      <c r="U1428">
        <v>152.34</v>
      </c>
      <c r="V1428">
        <v>156.52000000000001</v>
      </c>
      <c r="W1428">
        <v>0</v>
      </c>
      <c r="X1428">
        <v>166.95</v>
      </c>
      <c r="Y1428">
        <v>239.99</v>
      </c>
      <c r="Z1428" t="s">
        <v>5922</v>
      </c>
    </row>
    <row r="1429" spans="1:26" x14ac:dyDescent="0.2">
      <c r="A1429" t="s">
        <v>2422</v>
      </c>
      <c r="B1429" t="s">
        <v>2583</v>
      </c>
      <c r="C1429" t="s">
        <v>2584</v>
      </c>
      <c r="D1429" t="s">
        <v>105</v>
      </c>
      <c r="E1429">
        <v>199.99</v>
      </c>
      <c r="F1429" t="s">
        <v>6916</v>
      </c>
      <c r="G1429">
        <v>199.99</v>
      </c>
      <c r="H1429">
        <v>130.43</v>
      </c>
      <c r="L1429" t="s">
        <v>5922</v>
      </c>
      <c r="Q1429">
        <v>0</v>
      </c>
      <c r="R1429">
        <v>0</v>
      </c>
      <c r="U1429">
        <v>126.95</v>
      </c>
      <c r="V1429">
        <v>130.43</v>
      </c>
      <c r="W1429">
        <v>0</v>
      </c>
      <c r="X1429">
        <v>139.12</v>
      </c>
      <c r="Y1429">
        <v>199.99</v>
      </c>
      <c r="Z1429" t="s">
        <v>5922</v>
      </c>
    </row>
    <row r="1430" spans="1:26" x14ac:dyDescent="0.2">
      <c r="A1430" t="s">
        <v>2422</v>
      </c>
      <c r="B1430" t="s">
        <v>2585</v>
      </c>
      <c r="C1430" t="s">
        <v>2586</v>
      </c>
      <c r="D1430" t="s">
        <v>105</v>
      </c>
      <c r="E1430">
        <v>299.99</v>
      </c>
      <c r="F1430" t="s">
        <v>6918</v>
      </c>
      <c r="G1430">
        <v>299.99</v>
      </c>
      <c r="H1430">
        <v>195.65</v>
      </c>
      <c r="L1430" t="s">
        <v>5922</v>
      </c>
      <c r="Q1430">
        <v>0</v>
      </c>
      <c r="R1430">
        <v>0</v>
      </c>
      <c r="U1430">
        <v>190.43</v>
      </c>
      <c r="V1430">
        <v>195.65</v>
      </c>
      <c r="W1430">
        <v>0</v>
      </c>
      <c r="X1430">
        <v>208.69</v>
      </c>
      <c r="Y1430">
        <v>299.99</v>
      </c>
      <c r="Z1430" t="s">
        <v>5922</v>
      </c>
    </row>
    <row r="1431" spans="1:26" x14ac:dyDescent="0.2">
      <c r="A1431" t="s">
        <v>2422</v>
      </c>
      <c r="B1431" t="s">
        <v>2587</v>
      </c>
      <c r="C1431" t="s">
        <v>2588</v>
      </c>
      <c r="D1431" t="s">
        <v>105</v>
      </c>
      <c r="E1431">
        <v>229.99</v>
      </c>
      <c r="F1431" t="s">
        <v>7129</v>
      </c>
      <c r="G1431">
        <v>229.99</v>
      </c>
      <c r="H1431">
        <v>149.99</v>
      </c>
      <c r="L1431" t="s">
        <v>5922</v>
      </c>
      <c r="Q1431">
        <v>0</v>
      </c>
      <c r="R1431">
        <v>0</v>
      </c>
      <c r="U1431">
        <v>145.99</v>
      </c>
      <c r="V1431">
        <v>149.99</v>
      </c>
      <c r="W1431">
        <v>0</v>
      </c>
      <c r="X1431">
        <v>159.99</v>
      </c>
      <c r="Y1431">
        <v>229.99</v>
      </c>
      <c r="Z1431" t="s">
        <v>5922</v>
      </c>
    </row>
    <row r="1432" spans="1:26" x14ac:dyDescent="0.2">
      <c r="A1432" t="s">
        <v>2422</v>
      </c>
      <c r="B1432" t="s">
        <v>2589</v>
      </c>
      <c r="C1432" t="s">
        <v>2590</v>
      </c>
      <c r="D1432" t="s">
        <v>105</v>
      </c>
      <c r="E1432">
        <v>349.99</v>
      </c>
      <c r="F1432" t="s">
        <v>7288</v>
      </c>
      <c r="G1432">
        <v>349.99</v>
      </c>
      <c r="H1432">
        <v>228.25</v>
      </c>
      <c r="L1432" t="s">
        <v>5922</v>
      </c>
      <c r="Q1432">
        <v>0</v>
      </c>
      <c r="R1432">
        <v>0</v>
      </c>
      <c r="U1432">
        <v>222.17</v>
      </c>
      <c r="V1432">
        <v>228.25</v>
      </c>
      <c r="W1432">
        <v>0</v>
      </c>
      <c r="X1432">
        <v>243.47</v>
      </c>
      <c r="Y1432">
        <v>349.99</v>
      </c>
      <c r="Z1432" t="s">
        <v>5922</v>
      </c>
    </row>
    <row r="1433" spans="1:26" x14ac:dyDescent="0.2">
      <c r="A1433" t="s">
        <v>2422</v>
      </c>
      <c r="B1433" t="s">
        <v>2591</v>
      </c>
      <c r="C1433" t="s">
        <v>2592</v>
      </c>
      <c r="D1433" t="s">
        <v>105</v>
      </c>
      <c r="E1433">
        <v>279.99</v>
      </c>
      <c r="F1433" t="s">
        <v>7213</v>
      </c>
      <c r="G1433">
        <v>279.99</v>
      </c>
      <c r="H1433">
        <v>182.6</v>
      </c>
      <c r="L1433" t="s">
        <v>5922</v>
      </c>
      <c r="Q1433">
        <v>0</v>
      </c>
      <c r="R1433">
        <v>0</v>
      </c>
      <c r="U1433">
        <v>177.73</v>
      </c>
      <c r="V1433">
        <v>182.6</v>
      </c>
      <c r="W1433">
        <v>0</v>
      </c>
      <c r="X1433">
        <v>194.78</v>
      </c>
      <c r="Y1433">
        <v>279.99</v>
      </c>
      <c r="Z1433" t="s">
        <v>5922</v>
      </c>
    </row>
    <row r="1434" spans="1:26" x14ac:dyDescent="0.2">
      <c r="A1434" t="s">
        <v>2422</v>
      </c>
      <c r="B1434" t="s">
        <v>2593</v>
      </c>
      <c r="C1434" t="s">
        <v>2594</v>
      </c>
      <c r="D1434" t="s">
        <v>105</v>
      </c>
      <c r="E1434">
        <v>319.99</v>
      </c>
      <c r="F1434" t="s">
        <v>7168</v>
      </c>
      <c r="G1434">
        <v>319.99</v>
      </c>
      <c r="H1434">
        <v>208.69</v>
      </c>
      <c r="L1434" t="s">
        <v>5922</v>
      </c>
      <c r="Q1434">
        <v>0</v>
      </c>
      <c r="R1434">
        <v>0</v>
      </c>
      <c r="U1434">
        <v>203.12</v>
      </c>
      <c r="V1434">
        <v>208.69</v>
      </c>
      <c r="W1434">
        <v>0</v>
      </c>
      <c r="X1434">
        <v>222.6</v>
      </c>
      <c r="Y1434">
        <v>319.99</v>
      </c>
      <c r="Z1434" t="s">
        <v>5922</v>
      </c>
    </row>
    <row r="1435" spans="1:26" x14ac:dyDescent="0.2">
      <c r="A1435" t="s">
        <v>2422</v>
      </c>
      <c r="B1435" t="s">
        <v>2595</v>
      </c>
      <c r="C1435" t="s">
        <v>2596</v>
      </c>
      <c r="D1435" t="s">
        <v>105</v>
      </c>
      <c r="E1435">
        <v>329.99</v>
      </c>
      <c r="F1435" t="s">
        <v>7212</v>
      </c>
      <c r="G1435">
        <v>329.99</v>
      </c>
      <c r="H1435">
        <v>215.21</v>
      </c>
      <c r="L1435" t="s">
        <v>5922</v>
      </c>
      <c r="Q1435">
        <v>0</v>
      </c>
      <c r="R1435">
        <v>0</v>
      </c>
      <c r="U1435">
        <v>209.47</v>
      </c>
      <c r="V1435">
        <v>215.21</v>
      </c>
      <c r="W1435">
        <v>0</v>
      </c>
      <c r="X1435">
        <v>229.56</v>
      </c>
      <c r="Y1435">
        <v>329.99</v>
      </c>
      <c r="Z1435" t="s">
        <v>5922</v>
      </c>
    </row>
    <row r="1436" spans="1:26" x14ac:dyDescent="0.2">
      <c r="A1436" t="s">
        <v>2422</v>
      </c>
      <c r="B1436" t="s">
        <v>2597</v>
      </c>
      <c r="C1436" t="s">
        <v>2598</v>
      </c>
      <c r="D1436" t="s">
        <v>105</v>
      </c>
      <c r="E1436">
        <v>459.99</v>
      </c>
      <c r="F1436" t="s">
        <v>7290</v>
      </c>
      <c r="G1436">
        <v>459.99</v>
      </c>
      <c r="H1436">
        <v>299.99</v>
      </c>
      <c r="L1436" t="s">
        <v>5922</v>
      </c>
      <c r="Q1436">
        <v>0</v>
      </c>
      <c r="R1436">
        <v>0</v>
      </c>
      <c r="U1436">
        <v>291.99</v>
      </c>
      <c r="V1436">
        <v>299.99</v>
      </c>
      <c r="W1436">
        <v>0</v>
      </c>
      <c r="X1436">
        <v>319.99</v>
      </c>
      <c r="Y1436">
        <v>459.99</v>
      </c>
      <c r="Z1436" t="s">
        <v>5922</v>
      </c>
    </row>
    <row r="1437" spans="1:26" x14ac:dyDescent="0.2">
      <c r="A1437" t="s">
        <v>2422</v>
      </c>
      <c r="B1437" t="s">
        <v>2599</v>
      </c>
      <c r="C1437" t="s">
        <v>2600</v>
      </c>
      <c r="D1437" t="s">
        <v>105</v>
      </c>
      <c r="E1437">
        <v>299.99</v>
      </c>
      <c r="F1437" t="s">
        <v>6918</v>
      </c>
      <c r="G1437">
        <v>299.99</v>
      </c>
      <c r="H1437">
        <v>195.65</v>
      </c>
      <c r="L1437" t="s">
        <v>5922</v>
      </c>
      <c r="Q1437">
        <v>0</v>
      </c>
      <c r="R1437">
        <v>0</v>
      </c>
      <c r="U1437">
        <v>190.43</v>
      </c>
      <c r="V1437">
        <v>195.65</v>
      </c>
      <c r="W1437">
        <v>0</v>
      </c>
      <c r="X1437">
        <v>208.69</v>
      </c>
      <c r="Y1437">
        <v>299.99</v>
      </c>
      <c r="Z1437" t="s">
        <v>5922</v>
      </c>
    </row>
    <row r="1438" spans="1:26" x14ac:dyDescent="0.2">
      <c r="A1438" t="s">
        <v>2422</v>
      </c>
      <c r="B1438" t="s">
        <v>2601</v>
      </c>
      <c r="C1438" t="s">
        <v>2602</v>
      </c>
      <c r="D1438" t="s">
        <v>105</v>
      </c>
      <c r="E1438">
        <v>319.99</v>
      </c>
      <c r="F1438" t="s">
        <v>7168</v>
      </c>
      <c r="G1438">
        <v>319.99</v>
      </c>
      <c r="H1438">
        <v>208.69</v>
      </c>
      <c r="L1438" t="s">
        <v>5922</v>
      </c>
      <c r="Q1438">
        <v>0</v>
      </c>
      <c r="R1438">
        <v>0</v>
      </c>
      <c r="U1438">
        <v>203.12</v>
      </c>
      <c r="V1438">
        <v>208.69</v>
      </c>
      <c r="W1438">
        <v>0</v>
      </c>
      <c r="X1438">
        <v>222.6</v>
      </c>
      <c r="Y1438">
        <v>319.99</v>
      </c>
      <c r="Z1438" t="s">
        <v>5922</v>
      </c>
    </row>
    <row r="1439" spans="1:26" x14ac:dyDescent="0.2">
      <c r="A1439" t="s">
        <v>2422</v>
      </c>
      <c r="B1439" t="s">
        <v>2603</v>
      </c>
      <c r="C1439" t="s">
        <v>2604</v>
      </c>
      <c r="D1439" t="s">
        <v>105</v>
      </c>
      <c r="E1439">
        <v>699.99</v>
      </c>
      <c r="F1439" t="s">
        <v>7265</v>
      </c>
      <c r="G1439">
        <v>699.99</v>
      </c>
      <c r="H1439">
        <v>456.52</v>
      </c>
      <c r="L1439" t="s">
        <v>5922</v>
      </c>
      <c r="Q1439">
        <v>0</v>
      </c>
      <c r="R1439">
        <v>0</v>
      </c>
      <c r="U1439">
        <v>444.34</v>
      </c>
      <c r="V1439">
        <v>456.52</v>
      </c>
      <c r="W1439">
        <v>0</v>
      </c>
      <c r="X1439">
        <v>486.95</v>
      </c>
      <c r="Y1439">
        <v>699.99</v>
      </c>
      <c r="Z1439" t="s">
        <v>5922</v>
      </c>
    </row>
    <row r="1440" spans="1:26" x14ac:dyDescent="0.2">
      <c r="A1440" t="s">
        <v>2422</v>
      </c>
      <c r="B1440" t="s">
        <v>2605</v>
      </c>
      <c r="C1440" t="s">
        <v>2606</v>
      </c>
      <c r="D1440" t="s">
        <v>98</v>
      </c>
      <c r="E1440">
        <v>74.989999999999995</v>
      </c>
      <c r="F1440" t="s">
        <v>5922</v>
      </c>
      <c r="G1440">
        <v>74.989999999999995</v>
      </c>
      <c r="H1440">
        <v>52.17</v>
      </c>
      <c r="L1440" t="s">
        <v>5922</v>
      </c>
      <c r="U1440">
        <v>47.6</v>
      </c>
      <c r="W1440">
        <v>52.17</v>
      </c>
      <c r="X1440">
        <v>52.17</v>
      </c>
      <c r="Y1440">
        <v>74.989999999999995</v>
      </c>
      <c r="Z1440" t="s">
        <v>5922</v>
      </c>
    </row>
    <row r="1441" spans="1:26" x14ac:dyDescent="0.2">
      <c r="A1441" t="s">
        <v>2422</v>
      </c>
      <c r="B1441" t="s">
        <v>2607</v>
      </c>
      <c r="C1441" t="s">
        <v>2608</v>
      </c>
      <c r="D1441" t="s">
        <v>98</v>
      </c>
      <c r="E1441">
        <v>74.989999999999995</v>
      </c>
      <c r="F1441" t="s">
        <v>5922</v>
      </c>
      <c r="G1441">
        <v>52.49</v>
      </c>
      <c r="H1441">
        <v>52.17</v>
      </c>
      <c r="L1441" t="s">
        <v>5922</v>
      </c>
      <c r="U1441">
        <v>47.6</v>
      </c>
      <c r="V1441">
        <v>45.65</v>
      </c>
      <c r="W1441">
        <v>52.17</v>
      </c>
      <c r="X1441">
        <v>52.17</v>
      </c>
      <c r="Y1441">
        <v>74.989999999999995</v>
      </c>
      <c r="Z1441" t="s">
        <v>5922</v>
      </c>
    </row>
    <row r="1442" spans="1:26" x14ac:dyDescent="0.2">
      <c r="A1442" t="s">
        <v>2422</v>
      </c>
      <c r="B1442" t="s">
        <v>2609</v>
      </c>
      <c r="C1442" t="s">
        <v>2610</v>
      </c>
      <c r="D1442" t="s">
        <v>98</v>
      </c>
      <c r="E1442">
        <v>34.99</v>
      </c>
      <c r="F1442" t="s">
        <v>5922</v>
      </c>
      <c r="H1442">
        <v>24.34</v>
      </c>
      <c r="L1442" t="s">
        <v>5922</v>
      </c>
      <c r="U1442">
        <v>22.21</v>
      </c>
      <c r="W1442">
        <v>24.34</v>
      </c>
      <c r="X1442">
        <v>24.34</v>
      </c>
      <c r="Y1442">
        <v>29.99</v>
      </c>
      <c r="Z1442" t="s">
        <v>5922</v>
      </c>
    </row>
    <row r="1443" spans="1:26" x14ac:dyDescent="0.2">
      <c r="A1443" t="s">
        <v>2422</v>
      </c>
      <c r="B1443" t="s">
        <v>2611</v>
      </c>
      <c r="C1443" t="s">
        <v>2612</v>
      </c>
      <c r="D1443" t="s">
        <v>98</v>
      </c>
      <c r="E1443">
        <v>79.989999999999995</v>
      </c>
      <c r="F1443" t="s">
        <v>5922</v>
      </c>
      <c r="G1443">
        <v>79.989999999999995</v>
      </c>
      <c r="H1443">
        <v>55.65</v>
      </c>
      <c r="L1443" t="s">
        <v>5922</v>
      </c>
      <c r="U1443">
        <v>50.78</v>
      </c>
      <c r="W1443">
        <v>55.65</v>
      </c>
      <c r="X1443">
        <v>55.65</v>
      </c>
      <c r="Y1443">
        <v>79.989999999999995</v>
      </c>
      <c r="Z1443" t="s">
        <v>5922</v>
      </c>
    </row>
    <row r="1444" spans="1:26" x14ac:dyDescent="0.2">
      <c r="A1444" t="s">
        <v>2422</v>
      </c>
      <c r="B1444" t="s">
        <v>2613</v>
      </c>
      <c r="C1444" t="s">
        <v>2614</v>
      </c>
      <c r="D1444" t="s">
        <v>98</v>
      </c>
      <c r="E1444">
        <v>79.989999999999995</v>
      </c>
      <c r="F1444" t="s">
        <v>5922</v>
      </c>
      <c r="G1444">
        <v>79.989999999999995</v>
      </c>
      <c r="H1444">
        <v>55.65</v>
      </c>
      <c r="L1444" t="s">
        <v>5922</v>
      </c>
      <c r="U1444">
        <v>50.78</v>
      </c>
      <c r="W1444">
        <v>55.65</v>
      </c>
      <c r="X1444">
        <v>55.65</v>
      </c>
      <c r="Y1444">
        <v>79.989999999999995</v>
      </c>
      <c r="Z1444" t="s">
        <v>5922</v>
      </c>
    </row>
    <row r="1445" spans="1:26" x14ac:dyDescent="0.2">
      <c r="A1445" t="s">
        <v>2422</v>
      </c>
      <c r="B1445" t="s">
        <v>2615</v>
      </c>
      <c r="C1445" t="s">
        <v>2616</v>
      </c>
      <c r="D1445" t="s">
        <v>98</v>
      </c>
      <c r="E1445">
        <v>64.989999999999995</v>
      </c>
      <c r="F1445" t="s">
        <v>7028</v>
      </c>
      <c r="G1445">
        <v>64.989999999999995</v>
      </c>
      <c r="H1445">
        <v>42.38</v>
      </c>
      <c r="L1445" t="s">
        <v>5922</v>
      </c>
      <c r="Q1445">
        <v>42.38</v>
      </c>
      <c r="R1445">
        <v>42.38</v>
      </c>
      <c r="U1445">
        <v>41.25</v>
      </c>
      <c r="V1445">
        <v>39.56</v>
      </c>
      <c r="W1445">
        <v>45.21</v>
      </c>
      <c r="X1445">
        <v>45.21</v>
      </c>
      <c r="Y1445">
        <v>64.989999999999995</v>
      </c>
      <c r="Z1445" t="s">
        <v>5922</v>
      </c>
    </row>
    <row r="1446" spans="1:26" x14ac:dyDescent="0.2">
      <c r="A1446" t="s">
        <v>2422</v>
      </c>
      <c r="B1446" t="s">
        <v>2617</v>
      </c>
      <c r="C1446" t="s">
        <v>2618</v>
      </c>
      <c r="D1446" t="s">
        <v>98</v>
      </c>
      <c r="E1446">
        <v>99.99</v>
      </c>
      <c r="F1446" t="s">
        <v>5922</v>
      </c>
      <c r="H1446">
        <v>69.56</v>
      </c>
      <c r="L1446" t="s">
        <v>5922</v>
      </c>
      <c r="U1446">
        <v>63.47</v>
      </c>
      <c r="W1446">
        <v>69.56</v>
      </c>
      <c r="X1446">
        <v>69.56</v>
      </c>
      <c r="Y1446">
        <v>99.99</v>
      </c>
      <c r="Z1446" t="s">
        <v>5922</v>
      </c>
    </row>
    <row r="1447" spans="1:26" x14ac:dyDescent="0.2">
      <c r="A1447" t="s">
        <v>2422</v>
      </c>
      <c r="B1447" t="s">
        <v>2619</v>
      </c>
      <c r="C1447" t="s">
        <v>2620</v>
      </c>
      <c r="D1447" t="s">
        <v>98</v>
      </c>
      <c r="E1447">
        <v>49.99</v>
      </c>
      <c r="F1447" t="s">
        <v>5922</v>
      </c>
      <c r="G1447">
        <v>44.99</v>
      </c>
      <c r="H1447">
        <v>34.78</v>
      </c>
      <c r="L1447" t="s">
        <v>5922</v>
      </c>
      <c r="U1447">
        <v>31.73</v>
      </c>
      <c r="W1447">
        <v>34.78</v>
      </c>
      <c r="X1447">
        <v>34.78</v>
      </c>
      <c r="Y1447">
        <v>44.99</v>
      </c>
      <c r="Z1447" t="s">
        <v>5922</v>
      </c>
    </row>
    <row r="1448" spans="1:26" x14ac:dyDescent="0.2">
      <c r="A1448" t="s">
        <v>2422</v>
      </c>
      <c r="B1448" t="s">
        <v>2621</v>
      </c>
      <c r="C1448" t="s">
        <v>2622</v>
      </c>
      <c r="D1448" t="s">
        <v>105</v>
      </c>
      <c r="E1448">
        <v>149.99</v>
      </c>
      <c r="F1448" t="s">
        <v>7022</v>
      </c>
      <c r="G1448">
        <v>149.99</v>
      </c>
      <c r="H1448">
        <v>97.82</v>
      </c>
      <c r="L1448" t="s">
        <v>5922</v>
      </c>
      <c r="Q1448">
        <v>97.82</v>
      </c>
      <c r="R1448">
        <v>97.82</v>
      </c>
      <c r="U1448">
        <v>95.21</v>
      </c>
      <c r="V1448">
        <v>91.3</v>
      </c>
      <c r="W1448">
        <v>104.34</v>
      </c>
      <c r="X1448">
        <v>104.34</v>
      </c>
      <c r="Y1448">
        <v>149.99</v>
      </c>
      <c r="Z1448" t="s">
        <v>5922</v>
      </c>
    </row>
    <row r="1449" spans="1:26" x14ac:dyDescent="0.2">
      <c r="A1449" t="s">
        <v>2422</v>
      </c>
      <c r="B1449" t="s">
        <v>2623</v>
      </c>
      <c r="C1449" t="s">
        <v>2624</v>
      </c>
      <c r="D1449" t="s">
        <v>105</v>
      </c>
      <c r="E1449">
        <v>249.99</v>
      </c>
      <c r="F1449" t="s">
        <v>7134</v>
      </c>
      <c r="G1449">
        <v>249.99</v>
      </c>
      <c r="H1449">
        <v>163.04</v>
      </c>
      <c r="L1449" t="s">
        <v>5922</v>
      </c>
      <c r="Q1449">
        <v>163.04</v>
      </c>
      <c r="R1449">
        <v>163.04</v>
      </c>
      <c r="U1449">
        <v>158.69</v>
      </c>
      <c r="V1449">
        <v>152.16999999999999</v>
      </c>
      <c r="W1449">
        <v>173.91</v>
      </c>
      <c r="X1449">
        <v>173.91</v>
      </c>
      <c r="Y1449">
        <v>249.99</v>
      </c>
      <c r="Z1449" t="s">
        <v>5922</v>
      </c>
    </row>
    <row r="1450" spans="1:26" x14ac:dyDescent="0.2">
      <c r="A1450" t="s">
        <v>2422</v>
      </c>
      <c r="B1450" t="s">
        <v>2625</v>
      </c>
      <c r="C1450" t="s">
        <v>2626</v>
      </c>
      <c r="D1450" t="s">
        <v>105</v>
      </c>
      <c r="E1450">
        <v>249.99</v>
      </c>
      <c r="F1450" t="s">
        <v>7134</v>
      </c>
      <c r="G1450">
        <v>249.99</v>
      </c>
      <c r="H1450">
        <v>163.04</v>
      </c>
      <c r="L1450" t="s">
        <v>5922</v>
      </c>
      <c r="Q1450">
        <v>163.04</v>
      </c>
      <c r="R1450">
        <v>163.04</v>
      </c>
      <c r="U1450">
        <v>158.69</v>
      </c>
      <c r="V1450">
        <v>152.16999999999999</v>
      </c>
      <c r="W1450">
        <v>173.91</v>
      </c>
      <c r="X1450">
        <v>173.91</v>
      </c>
      <c r="Y1450">
        <v>249.99</v>
      </c>
      <c r="Z1450" t="s">
        <v>5922</v>
      </c>
    </row>
    <row r="1451" spans="1:26" x14ac:dyDescent="0.2">
      <c r="A1451" t="s">
        <v>2422</v>
      </c>
      <c r="B1451" t="s">
        <v>2627</v>
      </c>
      <c r="C1451" t="s">
        <v>2628</v>
      </c>
      <c r="D1451" t="s">
        <v>98</v>
      </c>
      <c r="E1451">
        <v>249.99</v>
      </c>
      <c r="F1451" t="s">
        <v>7134</v>
      </c>
      <c r="G1451">
        <v>249.99</v>
      </c>
      <c r="H1451">
        <v>163.04</v>
      </c>
      <c r="L1451" t="s">
        <v>5922</v>
      </c>
      <c r="Q1451">
        <v>163.04</v>
      </c>
      <c r="R1451">
        <v>163.04</v>
      </c>
      <c r="U1451">
        <v>158.69</v>
      </c>
      <c r="V1451">
        <v>152.16999999999999</v>
      </c>
      <c r="W1451">
        <v>173.91</v>
      </c>
      <c r="X1451">
        <v>173.91</v>
      </c>
      <c r="Y1451">
        <v>249.99</v>
      </c>
      <c r="Z1451" t="s">
        <v>5922</v>
      </c>
    </row>
    <row r="1452" spans="1:26" x14ac:dyDescent="0.2">
      <c r="A1452" t="s">
        <v>2422</v>
      </c>
      <c r="B1452" t="s">
        <v>2629</v>
      </c>
      <c r="C1452" t="s">
        <v>2630</v>
      </c>
      <c r="D1452" t="s">
        <v>105</v>
      </c>
      <c r="E1452">
        <v>299.99</v>
      </c>
      <c r="F1452" t="s">
        <v>6918</v>
      </c>
      <c r="G1452">
        <v>299.99</v>
      </c>
      <c r="H1452">
        <v>195.65</v>
      </c>
      <c r="L1452" t="s">
        <v>5922</v>
      </c>
      <c r="Q1452">
        <v>195.65</v>
      </c>
      <c r="R1452">
        <v>195.65</v>
      </c>
      <c r="U1452">
        <v>190.43</v>
      </c>
      <c r="V1452">
        <v>182.6</v>
      </c>
      <c r="W1452">
        <v>208.69</v>
      </c>
      <c r="X1452">
        <v>208.69</v>
      </c>
      <c r="Y1452">
        <v>299.99</v>
      </c>
      <c r="Z1452" t="s">
        <v>5922</v>
      </c>
    </row>
    <row r="1453" spans="1:26" x14ac:dyDescent="0.2">
      <c r="A1453" t="s">
        <v>2422</v>
      </c>
      <c r="B1453" t="s">
        <v>2631</v>
      </c>
      <c r="C1453" t="s">
        <v>2632</v>
      </c>
      <c r="D1453" t="s">
        <v>105</v>
      </c>
      <c r="E1453">
        <v>299.99</v>
      </c>
      <c r="F1453" t="s">
        <v>6918</v>
      </c>
      <c r="G1453">
        <v>299.99</v>
      </c>
      <c r="H1453">
        <v>195.65</v>
      </c>
      <c r="L1453" t="s">
        <v>5922</v>
      </c>
      <c r="Q1453">
        <v>195.65</v>
      </c>
      <c r="R1453">
        <v>195.65</v>
      </c>
      <c r="U1453">
        <v>190.43</v>
      </c>
      <c r="V1453">
        <v>182.6</v>
      </c>
      <c r="W1453">
        <v>208.69</v>
      </c>
      <c r="X1453">
        <v>208.69</v>
      </c>
      <c r="Y1453">
        <v>299.99</v>
      </c>
      <c r="Z1453" t="s">
        <v>5922</v>
      </c>
    </row>
    <row r="1454" spans="1:26" x14ac:dyDescent="0.2">
      <c r="A1454" t="s">
        <v>2422</v>
      </c>
      <c r="B1454" t="s">
        <v>2633</v>
      </c>
      <c r="C1454" t="s">
        <v>2634</v>
      </c>
      <c r="D1454" t="s">
        <v>98</v>
      </c>
      <c r="E1454">
        <v>299.99</v>
      </c>
      <c r="F1454" t="s">
        <v>6918</v>
      </c>
      <c r="G1454">
        <v>299.99</v>
      </c>
      <c r="H1454">
        <v>195.65</v>
      </c>
      <c r="L1454" t="s">
        <v>5922</v>
      </c>
      <c r="Q1454">
        <v>195.65</v>
      </c>
      <c r="R1454">
        <v>195.65</v>
      </c>
      <c r="U1454">
        <v>190.43</v>
      </c>
      <c r="V1454">
        <v>182.6</v>
      </c>
      <c r="W1454">
        <v>208.69</v>
      </c>
      <c r="X1454">
        <v>208.69</v>
      </c>
      <c r="Y1454">
        <v>299.99</v>
      </c>
      <c r="Z1454" t="s">
        <v>5922</v>
      </c>
    </row>
    <row r="1455" spans="1:26" x14ac:dyDescent="0.2">
      <c r="A1455" t="s">
        <v>2422</v>
      </c>
      <c r="B1455" t="s">
        <v>2635</v>
      </c>
      <c r="C1455" t="s">
        <v>2636</v>
      </c>
      <c r="D1455" t="s">
        <v>105</v>
      </c>
      <c r="E1455">
        <v>329.99</v>
      </c>
      <c r="F1455" t="s">
        <v>7212</v>
      </c>
      <c r="G1455">
        <v>329.99</v>
      </c>
      <c r="H1455">
        <v>215.21</v>
      </c>
      <c r="L1455" t="s">
        <v>5922</v>
      </c>
      <c r="Q1455">
        <v>215.21</v>
      </c>
      <c r="R1455">
        <v>215.21</v>
      </c>
      <c r="U1455">
        <v>209.47</v>
      </c>
      <c r="V1455">
        <v>200.86</v>
      </c>
      <c r="W1455">
        <v>229.56</v>
      </c>
      <c r="X1455">
        <v>229.56</v>
      </c>
      <c r="Y1455">
        <v>329.99</v>
      </c>
      <c r="Z1455" t="s">
        <v>5922</v>
      </c>
    </row>
    <row r="1456" spans="1:26" x14ac:dyDescent="0.2">
      <c r="A1456" t="s">
        <v>2422</v>
      </c>
      <c r="B1456" t="s">
        <v>2637</v>
      </c>
      <c r="C1456" t="s">
        <v>2638</v>
      </c>
      <c r="D1456" t="s">
        <v>105</v>
      </c>
      <c r="E1456">
        <v>329.99</v>
      </c>
      <c r="F1456" t="s">
        <v>7212</v>
      </c>
      <c r="G1456">
        <v>329.99</v>
      </c>
      <c r="H1456">
        <v>215.21</v>
      </c>
      <c r="L1456" t="s">
        <v>5922</v>
      </c>
      <c r="Q1456">
        <v>215.21</v>
      </c>
      <c r="R1456">
        <v>215.21</v>
      </c>
      <c r="U1456">
        <v>209.47</v>
      </c>
      <c r="V1456">
        <v>200.86</v>
      </c>
      <c r="W1456">
        <v>229.56</v>
      </c>
      <c r="X1456">
        <v>229.56</v>
      </c>
      <c r="Y1456">
        <v>329.99</v>
      </c>
      <c r="Z1456" t="s">
        <v>5922</v>
      </c>
    </row>
    <row r="1457" spans="1:26" x14ac:dyDescent="0.2">
      <c r="A1457" t="s">
        <v>2422</v>
      </c>
      <c r="B1457" t="s">
        <v>2639</v>
      </c>
      <c r="C1457" t="s">
        <v>2640</v>
      </c>
      <c r="D1457" t="s">
        <v>98</v>
      </c>
      <c r="E1457">
        <v>329.99</v>
      </c>
      <c r="F1457" t="s">
        <v>7212</v>
      </c>
      <c r="G1457">
        <v>329.99</v>
      </c>
      <c r="H1457">
        <v>215.21</v>
      </c>
      <c r="L1457" t="s">
        <v>5922</v>
      </c>
      <c r="Q1457">
        <v>215.21</v>
      </c>
      <c r="R1457">
        <v>215.21</v>
      </c>
      <c r="U1457">
        <v>209.47</v>
      </c>
      <c r="V1457">
        <v>200.86</v>
      </c>
      <c r="W1457">
        <v>229.56</v>
      </c>
      <c r="X1457">
        <v>229.56</v>
      </c>
      <c r="Y1457">
        <v>329.99</v>
      </c>
      <c r="Z1457" t="s">
        <v>5922</v>
      </c>
    </row>
    <row r="1458" spans="1:26" x14ac:dyDescent="0.2">
      <c r="A1458" t="s">
        <v>2422</v>
      </c>
      <c r="B1458" t="s">
        <v>2641</v>
      </c>
      <c r="C1458" t="s">
        <v>2642</v>
      </c>
      <c r="D1458" t="s">
        <v>98</v>
      </c>
      <c r="E1458">
        <v>459.99</v>
      </c>
      <c r="F1458" t="s">
        <v>5922</v>
      </c>
      <c r="G1458">
        <v>459.99</v>
      </c>
      <c r="H1458">
        <v>319.99</v>
      </c>
      <c r="L1458" t="s">
        <v>5922</v>
      </c>
      <c r="Q1458">
        <v>319.99</v>
      </c>
      <c r="R1458">
        <v>319.99</v>
      </c>
      <c r="U1458">
        <v>330.08</v>
      </c>
      <c r="V1458">
        <v>316.52</v>
      </c>
      <c r="W1458">
        <v>361.73</v>
      </c>
      <c r="X1458">
        <v>361.73</v>
      </c>
      <c r="Y1458">
        <v>459.99</v>
      </c>
      <c r="Z1458" t="s">
        <v>5922</v>
      </c>
    </row>
    <row r="1459" spans="1:26" x14ac:dyDescent="0.2">
      <c r="A1459" t="s">
        <v>2422</v>
      </c>
      <c r="B1459" t="s">
        <v>2643</v>
      </c>
      <c r="C1459" t="s">
        <v>2644</v>
      </c>
      <c r="D1459" t="s">
        <v>98</v>
      </c>
      <c r="E1459">
        <v>549.99</v>
      </c>
      <c r="F1459" t="s">
        <v>5922</v>
      </c>
      <c r="G1459">
        <v>549.99</v>
      </c>
      <c r="H1459">
        <v>358.69</v>
      </c>
      <c r="L1459" t="s">
        <v>5922</v>
      </c>
      <c r="Q1459">
        <v>358.69</v>
      </c>
      <c r="R1459">
        <v>358.69</v>
      </c>
      <c r="U1459">
        <v>349.12</v>
      </c>
      <c r="V1459">
        <v>334.78</v>
      </c>
      <c r="W1459">
        <v>382.6</v>
      </c>
      <c r="X1459">
        <v>382.6</v>
      </c>
      <c r="Y1459">
        <v>549.99</v>
      </c>
      <c r="Z1459" t="s">
        <v>5922</v>
      </c>
    </row>
    <row r="1460" spans="1:26" x14ac:dyDescent="0.2">
      <c r="A1460" t="s">
        <v>2422</v>
      </c>
      <c r="B1460" t="s">
        <v>2645</v>
      </c>
      <c r="C1460" t="s">
        <v>2646</v>
      </c>
      <c r="D1460" t="s">
        <v>98</v>
      </c>
      <c r="E1460">
        <v>64.989999999999995</v>
      </c>
      <c r="F1460" t="s">
        <v>5922</v>
      </c>
      <c r="G1460">
        <v>59.99</v>
      </c>
      <c r="H1460">
        <v>45.21</v>
      </c>
      <c r="L1460" t="s">
        <v>5922</v>
      </c>
      <c r="U1460">
        <v>41.25</v>
      </c>
      <c r="W1460">
        <v>45.21</v>
      </c>
      <c r="X1460">
        <v>45.21</v>
      </c>
      <c r="Y1460">
        <v>59.99</v>
      </c>
      <c r="Z1460" t="s">
        <v>5922</v>
      </c>
    </row>
    <row r="1461" spans="1:26" x14ac:dyDescent="0.2">
      <c r="A1461" t="s">
        <v>2422</v>
      </c>
      <c r="B1461" t="s">
        <v>2647</v>
      </c>
      <c r="C1461" t="s">
        <v>2648</v>
      </c>
      <c r="D1461" t="s">
        <v>98</v>
      </c>
      <c r="E1461">
        <v>34.99</v>
      </c>
      <c r="F1461" t="s">
        <v>5922</v>
      </c>
      <c r="H1461">
        <v>24.34</v>
      </c>
      <c r="L1461" t="s">
        <v>5922</v>
      </c>
      <c r="U1461">
        <v>22.21</v>
      </c>
      <c r="W1461">
        <v>24.34</v>
      </c>
      <c r="X1461">
        <v>24.34</v>
      </c>
      <c r="Y1461">
        <v>27.99</v>
      </c>
      <c r="Z1461" t="s">
        <v>5922</v>
      </c>
    </row>
    <row r="1462" spans="1:26" x14ac:dyDescent="0.2">
      <c r="A1462" t="s">
        <v>2422</v>
      </c>
      <c r="B1462" t="s">
        <v>2649</v>
      </c>
      <c r="C1462" t="s">
        <v>2650</v>
      </c>
      <c r="D1462" t="s">
        <v>105</v>
      </c>
      <c r="E1462">
        <v>99.99</v>
      </c>
      <c r="F1462" t="s">
        <v>6903</v>
      </c>
      <c r="G1462">
        <v>99.99</v>
      </c>
      <c r="H1462">
        <v>65.209999999999994</v>
      </c>
      <c r="L1462" t="s">
        <v>5922</v>
      </c>
      <c r="Q1462">
        <v>65.209999999999994</v>
      </c>
      <c r="R1462">
        <v>65.209999999999994</v>
      </c>
      <c r="U1462">
        <v>63.47</v>
      </c>
      <c r="V1462">
        <v>60.86</v>
      </c>
      <c r="W1462">
        <v>69.56</v>
      </c>
      <c r="X1462">
        <v>69.56</v>
      </c>
      <c r="Y1462">
        <v>99.99</v>
      </c>
      <c r="Z1462" t="s">
        <v>5922</v>
      </c>
    </row>
    <row r="1463" spans="1:26" x14ac:dyDescent="0.2">
      <c r="A1463" t="s">
        <v>2422</v>
      </c>
      <c r="B1463" t="s">
        <v>2651</v>
      </c>
      <c r="C1463" t="s">
        <v>2652</v>
      </c>
      <c r="D1463" t="s">
        <v>105</v>
      </c>
      <c r="E1463">
        <v>99.99</v>
      </c>
      <c r="F1463" t="s">
        <v>6903</v>
      </c>
      <c r="G1463">
        <v>99.99</v>
      </c>
      <c r="H1463">
        <v>65.209999999999994</v>
      </c>
      <c r="L1463" t="s">
        <v>5922</v>
      </c>
      <c r="Q1463">
        <v>65.209999999999994</v>
      </c>
      <c r="R1463">
        <v>65.209999999999994</v>
      </c>
      <c r="U1463">
        <v>69.819999999999993</v>
      </c>
      <c r="V1463">
        <v>60.86</v>
      </c>
      <c r="W1463">
        <v>69.56</v>
      </c>
      <c r="X1463">
        <v>69.56</v>
      </c>
      <c r="Y1463">
        <v>99.99</v>
      </c>
      <c r="Z1463" t="s">
        <v>5922</v>
      </c>
    </row>
    <row r="1464" spans="1:26" x14ac:dyDescent="0.2">
      <c r="A1464" t="s">
        <v>2653</v>
      </c>
      <c r="B1464" t="s">
        <v>2654</v>
      </c>
      <c r="C1464" t="s">
        <v>2655</v>
      </c>
      <c r="D1464" t="s">
        <v>98</v>
      </c>
      <c r="E1464">
        <v>369.95</v>
      </c>
      <c r="F1464" t="s">
        <v>7291</v>
      </c>
      <c r="G1464">
        <v>369.95</v>
      </c>
      <c r="H1464">
        <v>273.44</v>
      </c>
      <c r="L1464" t="s">
        <v>5922</v>
      </c>
      <c r="Q1464">
        <v>273.44</v>
      </c>
      <c r="R1464">
        <v>273.44</v>
      </c>
      <c r="U1464">
        <v>257.36</v>
      </c>
      <c r="V1464">
        <v>257.36</v>
      </c>
      <c r="W1464">
        <v>289.52999999999997</v>
      </c>
      <c r="X1464">
        <v>257.36</v>
      </c>
      <c r="Y1464">
        <v>369.95</v>
      </c>
      <c r="Z1464" t="s">
        <v>5922</v>
      </c>
    </row>
    <row r="1465" spans="1:26" x14ac:dyDescent="0.2">
      <c r="A1465" t="s">
        <v>2653</v>
      </c>
      <c r="B1465" t="s">
        <v>2656</v>
      </c>
      <c r="C1465" t="s">
        <v>2657</v>
      </c>
      <c r="D1465" t="s">
        <v>98</v>
      </c>
      <c r="E1465">
        <v>599.99</v>
      </c>
      <c r="F1465" t="s">
        <v>5922</v>
      </c>
      <c r="G1465">
        <v>521.73</v>
      </c>
      <c r="H1465">
        <v>417.38</v>
      </c>
      <c r="I1465">
        <v>469.56</v>
      </c>
      <c r="J1465">
        <v>417.38</v>
      </c>
      <c r="L1465" t="s">
        <v>5922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521.73</v>
      </c>
      <c r="S1465">
        <v>0</v>
      </c>
      <c r="T1465">
        <v>0</v>
      </c>
      <c r="U1465">
        <v>417.38</v>
      </c>
      <c r="V1465">
        <v>417.38</v>
      </c>
      <c r="W1465">
        <v>469.56</v>
      </c>
      <c r="X1465">
        <v>417.38</v>
      </c>
      <c r="Y1465">
        <v>489</v>
      </c>
      <c r="Z1465" t="s">
        <v>5922</v>
      </c>
    </row>
    <row r="1466" spans="1:26" x14ac:dyDescent="0.2">
      <c r="A1466" t="s">
        <v>2653</v>
      </c>
      <c r="B1466" t="s">
        <v>2658</v>
      </c>
      <c r="C1466" t="s">
        <v>2659</v>
      </c>
      <c r="D1466" t="s">
        <v>98</v>
      </c>
      <c r="E1466">
        <v>94.99</v>
      </c>
      <c r="F1466" t="s">
        <v>5922</v>
      </c>
      <c r="G1466">
        <v>82.6</v>
      </c>
      <c r="H1466">
        <v>66.08</v>
      </c>
      <c r="I1466">
        <v>74.34</v>
      </c>
      <c r="J1466">
        <v>66.08</v>
      </c>
      <c r="L1466" t="s">
        <v>5922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82.6</v>
      </c>
      <c r="S1466">
        <v>0</v>
      </c>
      <c r="T1466">
        <v>0</v>
      </c>
      <c r="U1466">
        <v>59.06</v>
      </c>
      <c r="V1466">
        <v>55.58</v>
      </c>
      <c r="W1466">
        <v>66.44</v>
      </c>
      <c r="X1466">
        <v>59.06</v>
      </c>
      <c r="Y1466">
        <v>72</v>
      </c>
      <c r="Z1466" t="s">
        <v>5922</v>
      </c>
    </row>
    <row r="1467" spans="1:26" x14ac:dyDescent="0.2">
      <c r="A1467" t="s">
        <v>2653</v>
      </c>
      <c r="B1467" t="s">
        <v>2660</v>
      </c>
      <c r="C1467" t="s">
        <v>2661</v>
      </c>
      <c r="D1467" t="s">
        <v>98</v>
      </c>
      <c r="E1467">
        <v>429.99</v>
      </c>
      <c r="F1467" t="s">
        <v>5922</v>
      </c>
      <c r="G1467">
        <v>429.99</v>
      </c>
      <c r="H1467">
        <v>299.12</v>
      </c>
      <c r="I1467">
        <v>336.51</v>
      </c>
      <c r="J1467">
        <v>299.12</v>
      </c>
      <c r="L1467" t="s">
        <v>5922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373.9</v>
      </c>
      <c r="S1467">
        <v>0</v>
      </c>
      <c r="T1467">
        <v>0</v>
      </c>
      <c r="U1467">
        <v>299.12</v>
      </c>
      <c r="V1467">
        <v>299.12</v>
      </c>
      <c r="W1467">
        <v>336.51</v>
      </c>
      <c r="X1467">
        <v>299.12</v>
      </c>
      <c r="Y1467">
        <v>429.99</v>
      </c>
      <c r="Z1467" t="s">
        <v>5922</v>
      </c>
    </row>
    <row r="1468" spans="1:26" x14ac:dyDescent="0.2">
      <c r="A1468" t="s">
        <v>2653</v>
      </c>
      <c r="B1468" t="s">
        <v>2662</v>
      </c>
      <c r="C1468" t="s">
        <v>2663</v>
      </c>
      <c r="D1468" t="s">
        <v>105</v>
      </c>
      <c r="E1468">
        <v>99.95</v>
      </c>
      <c r="F1468" t="s">
        <v>6964</v>
      </c>
      <c r="G1468">
        <v>99.95</v>
      </c>
      <c r="H1468">
        <v>73.88</v>
      </c>
      <c r="I1468">
        <v>74.34</v>
      </c>
      <c r="J1468">
        <v>66.08</v>
      </c>
      <c r="L1468" t="s">
        <v>5922</v>
      </c>
      <c r="M1468">
        <v>0</v>
      </c>
      <c r="N1468">
        <v>0</v>
      </c>
      <c r="O1468">
        <v>0</v>
      </c>
      <c r="P1468">
        <v>0</v>
      </c>
      <c r="Q1468">
        <v>73.88</v>
      </c>
      <c r="R1468">
        <v>73.88</v>
      </c>
      <c r="S1468">
        <v>0</v>
      </c>
      <c r="T1468">
        <v>0</v>
      </c>
      <c r="U1468">
        <v>73.010000000000005</v>
      </c>
      <c r="V1468">
        <v>69.53</v>
      </c>
      <c r="W1468">
        <v>82.13</v>
      </c>
      <c r="X1468">
        <v>73.010000000000005</v>
      </c>
      <c r="Y1468">
        <v>99.95</v>
      </c>
      <c r="Z1468" t="s">
        <v>5922</v>
      </c>
    </row>
    <row r="1469" spans="1:26" x14ac:dyDescent="0.2">
      <c r="A1469" t="s">
        <v>2653</v>
      </c>
      <c r="B1469" t="s">
        <v>2664</v>
      </c>
      <c r="C1469" t="s">
        <v>2665</v>
      </c>
      <c r="D1469" t="s">
        <v>98</v>
      </c>
      <c r="E1469">
        <v>109.99</v>
      </c>
      <c r="F1469" t="s">
        <v>5922</v>
      </c>
      <c r="H1469">
        <v>76.510000000000005</v>
      </c>
      <c r="L1469" t="s">
        <v>5922</v>
      </c>
      <c r="U1469">
        <v>76.510000000000005</v>
      </c>
      <c r="W1469">
        <v>86.08</v>
      </c>
      <c r="X1469">
        <v>76.510000000000005</v>
      </c>
      <c r="Y1469">
        <v>89</v>
      </c>
      <c r="Z1469" t="s">
        <v>5922</v>
      </c>
    </row>
    <row r="1470" spans="1:26" x14ac:dyDescent="0.2">
      <c r="A1470" t="s">
        <v>2653</v>
      </c>
      <c r="B1470" t="s">
        <v>2666</v>
      </c>
      <c r="C1470" t="s">
        <v>2667</v>
      </c>
      <c r="D1470" t="s">
        <v>105</v>
      </c>
      <c r="E1470">
        <v>219.95</v>
      </c>
      <c r="F1470" t="s">
        <v>7292</v>
      </c>
      <c r="G1470">
        <v>219.95</v>
      </c>
      <c r="H1470">
        <v>162.57</v>
      </c>
      <c r="I1470">
        <v>179.99</v>
      </c>
      <c r="J1470">
        <v>159.99</v>
      </c>
      <c r="L1470" t="s">
        <v>5922</v>
      </c>
      <c r="M1470">
        <v>0</v>
      </c>
      <c r="N1470">
        <v>0</v>
      </c>
      <c r="O1470">
        <v>0</v>
      </c>
      <c r="P1470">
        <v>0</v>
      </c>
      <c r="Q1470">
        <v>162.57</v>
      </c>
      <c r="R1470">
        <v>162.57</v>
      </c>
      <c r="S1470">
        <v>0</v>
      </c>
      <c r="T1470">
        <v>0</v>
      </c>
      <c r="U1470">
        <v>156.49</v>
      </c>
      <c r="V1470">
        <v>153.01</v>
      </c>
      <c r="W1470">
        <v>176.05</v>
      </c>
      <c r="X1470">
        <v>156.49</v>
      </c>
      <c r="Y1470">
        <v>219.95</v>
      </c>
      <c r="Z1470" t="s">
        <v>5922</v>
      </c>
    </row>
    <row r="1471" spans="1:26" x14ac:dyDescent="0.2">
      <c r="A1471" t="s">
        <v>2653</v>
      </c>
      <c r="B1471" t="s">
        <v>2668</v>
      </c>
      <c r="C1471" t="s">
        <v>2669</v>
      </c>
      <c r="D1471" t="s">
        <v>98</v>
      </c>
      <c r="E1471">
        <v>259.95</v>
      </c>
      <c r="F1471" t="s">
        <v>5922</v>
      </c>
      <c r="G1471">
        <v>259.95</v>
      </c>
      <c r="H1471">
        <v>180.86</v>
      </c>
      <c r="I1471">
        <v>203.47</v>
      </c>
      <c r="J1471">
        <v>180.86</v>
      </c>
      <c r="L1471" t="s">
        <v>5922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226.08</v>
      </c>
      <c r="S1471">
        <v>0</v>
      </c>
      <c r="T1471">
        <v>0</v>
      </c>
      <c r="U1471">
        <v>184.31</v>
      </c>
      <c r="V1471">
        <v>180.83</v>
      </c>
      <c r="W1471">
        <v>207.35</v>
      </c>
      <c r="X1471">
        <v>184.31</v>
      </c>
      <c r="Y1471">
        <v>259.95</v>
      </c>
      <c r="Z1471" t="s">
        <v>5922</v>
      </c>
    </row>
    <row r="1472" spans="1:26" x14ac:dyDescent="0.2">
      <c r="A1472" t="s">
        <v>2653</v>
      </c>
      <c r="B1472" t="s">
        <v>2670</v>
      </c>
      <c r="C1472" t="s">
        <v>2671</v>
      </c>
      <c r="D1472" t="s">
        <v>98</v>
      </c>
      <c r="E1472">
        <v>249.99</v>
      </c>
      <c r="F1472" t="s">
        <v>5922</v>
      </c>
      <c r="G1472">
        <v>217.38</v>
      </c>
      <c r="H1472">
        <v>173.91</v>
      </c>
      <c r="I1472">
        <v>195.64</v>
      </c>
      <c r="J1472">
        <v>173.91</v>
      </c>
      <c r="L1472" t="s">
        <v>5922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217.38</v>
      </c>
      <c r="S1472">
        <v>0</v>
      </c>
      <c r="T1472">
        <v>0</v>
      </c>
      <c r="U1472">
        <v>173.91</v>
      </c>
      <c r="V1472">
        <v>173.91</v>
      </c>
      <c r="W1472">
        <v>195.64</v>
      </c>
      <c r="X1472">
        <v>173.91</v>
      </c>
      <c r="Y1472">
        <v>198</v>
      </c>
      <c r="Z1472" t="s">
        <v>5922</v>
      </c>
    </row>
    <row r="1473" spans="1:26" x14ac:dyDescent="0.2">
      <c r="A1473" t="s">
        <v>2653</v>
      </c>
      <c r="B1473" t="s">
        <v>2672</v>
      </c>
      <c r="C1473" t="s">
        <v>2673</v>
      </c>
      <c r="D1473" t="s">
        <v>98</v>
      </c>
      <c r="E1473">
        <v>299.99</v>
      </c>
      <c r="F1473" t="s">
        <v>5922</v>
      </c>
      <c r="G1473">
        <v>260.86</v>
      </c>
      <c r="H1473">
        <v>208.69</v>
      </c>
      <c r="I1473">
        <v>234.77</v>
      </c>
      <c r="J1473">
        <v>208.69</v>
      </c>
      <c r="L1473" t="s">
        <v>5922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260.86</v>
      </c>
      <c r="S1473">
        <v>0</v>
      </c>
      <c r="T1473">
        <v>0</v>
      </c>
      <c r="U1473">
        <v>208.69</v>
      </c>
      <c r="V1473">
        <v>208.69</v>
      </c>
      <c r="W1473">
        <v>234.77</v>
      </c>
      <c r="X1473">
        <v>208.69</v>
      </c>
      <c r="Y1473">
        <v>229</v>
      </c>
      <c r="Z1473" t="s">
        <v>5922</v>
      </c>
    </row>
    <row r="1474" spans="1:26" x14ac:dyDescent="0.2">
      <c r="A1474" t="s">
        <v>2653</v>
      </c>
      <c r="B1474" t="s">
        <v>2674</v>
      </c>
      <c r="C1474" t="s">
        <v>2675</v>
      </c>
      <c r="D1474" t="s">
        <v>98</v>
      </c>
      <c r="E1474">
        <v>1099.99</v>
      </c>
      <c r="F1474" t="s">
        <v>5922</v>
      </c>
      <c r="G1474">
        <v>956.51</v>
      </c>
      <c r="H1474">
        <v>813.04</v>
      </c>
      <c r="I1474">
        <v>0</v>
      </c>
      <c r="J1474">
        <v>765.21</v>
      </c>
      <c r="L1474" t="s">
        <v>5922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956.51</v>
      </c>
      <c r="S1474">
        <v>0</v>
      </c>
      <c r="T1474">
        <v>0</v>
      </c>
      <c r="U1474">
        <v>765.21</v>
      </c>
      <c r="V1474">
        <v>0</v>
      </c>
      <c r="W1474">
        <v>860.86</v>
      </c>
      <c r="X1474">
        <v>765.21</v>
      </c>
      <c r="Y1474">
        <v>1099.99</v>
      </c>
      <c r="Z1474" t="s">
        <v>5922</v>
      </c>
    </row>
    <row r="1475" spans="1:26" x14ac:dyDescent="0.2">
      <c r="A1475" t="s">
        <v>2653</v>
      </c>
      <c r="B1475" t="s">
        <v>2676</v>
      </c>
      <c r="C1475" t="s">
        <v>2677</v>
      </c>
      <c r="D1475" t="s">
        <v>98</v>
      </c>
      <c r="E1475">
        <v>99.99</v>
      </c>
      <c r="F1475" t="s">
        <v>5922</v>
      </c>
      <c r="H1475">
        <v>69.56</v>
      </c>
      <c r="I1475">
        <v>78.25</v>
      </c>
      <c r="J1475">
        <v>69.56</v>
      </c>
      <c r="L1475" t="s">
        <v>5922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86.95</v>
      </c>
      <c r="S1475">
        <v>0</v>
      </c>
      <c r="T1475">
        <v>0</v>
      </c>
      <c r="U1475">
        <v>86.92</v>
      </c>
      <c r="V1475">
        <v>83.44</v>
      </c>
      <c r="W1475">
        <v>97.79</v>
      </c>
      <c r="X1475">
        <v>86.92</v>
      </c>
      <c r="Y1475">
        <v>108</v>
      </c>
      <c r="Z1475" t="s">
        <v>5922</v>
      </c>
    </row>
    <row r="1476" spans="1:26" x14ac:dyDescent="0.2">
      <c r="A1476" t="s">
        <v>2653</v>
      </c>
      <c r="B1476" t="s">
        <v>2678</v>
      </c>
      <c r="C1476" t="s">
        <v>2679</v>
      </c>
      <c r="D1476" t="s">
        <v>98</v>
      </c>
      <c r="E1476">
        <v>99.99</v>
      </c>
      <c r="F1476" t="s">
        <v>5922</v>
      </c>
      <c r="H1476">
        <v>69.56</v>
      </c>
      <c r="I1476">
        <v>78.25</v>
      </c>
      <c r="J1476">
        <v>69.56</v>
      </c>
      <c r="L1476" t="s">
        <v>5922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86.95</v>
      </c>
      <c r="S1476">
        <v>0</v>
      </c>
      <c r="T1476">
        <v>0</v>
      </c>
      <c r="U1476">
        <v>107.79</v>
      </c>
      <c r="V1476">
        <v>104.31</v>
      </c>
      <c r="W1476">
        <v>121.27</v>
      </c>
      <c r="X1476">
        <v>107.79</v>
      </c>
      <c r="Y1476">
        <v>135</v>
      </c>
      <c r="Z1476" t="s">
        <v>5922</v>
      </c>
    </row>
    <row r="1477" spans="1:26" x14ac:dyDescent="0.2">
      <c r="A1477" t="s">
        <v>2653</v>
      </c>
      <c r="B1477" t="s">
        <v>2680</v>
      </c>
      <c r="C1477" t="s">
        <v>2681</v>
      </c>
      <c r="D1477" t="s">
        <v>98</v>
      </c>
      <c r="E1477">
        <v>69.95</v>
      </c>
      <c r="F1477" t="s">
        <v>5922</v>
      </c>
      <c r="G1477">
        <v>69.95</v>
      </c>
      <c r="H1477">
        <v>38.25</v>
      </c>
      <c r="I1477">
        <v>43.04</v>
      </c>
      <c r="J1477">
        <v>38.25</v>
      </c>
      <c r="L1477" t="s">
        <v>5922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47.82</v>
      </c>
      <c r="S1477">
        <v>0</v>
      </c>
      <c r="T1477">
        <v>0</v>
      </c>
      <c r="U1477">
        <v>52.14</v>
      </c>
      <c r="V1477">
        <v>48.66</v>
      </c>
      <c r="W1477">
        <v>58.66</v>
      </c>
      <c r="X1477">
        <v>52.14</v>
      </c>
      <c r="Y1477">
        <v>69.95</v>
      </c>
      <c r="Z1477" t="s">
        <v>5922</v>
      </c>
    </row>
    <row r="1478" spans="1:26" x14ac:dyDescent="0.2">
      <c r="A1478" t="s">
        <v>2653</v>
      </c>
      <c r="B1478" t="s">
        <v>2682</v>
      </c>
      <c r="C1478" t="s">
        <v>2683</v>
      </c>
      <c r="D1478" t="s">
        <v>98</v>
      </c>
      <c r="E1478">
        <v>109.99</v>
      </c>
      <c r="F1478" t="s">
        <v>5922</v>
      </c>
      <c r="H1478">
        <v>76.510000000000005</v>
      </c>
      <c r="I1478">
        <v>86.08</v>
      </c>
      <c r="J1478">
        <v>76.510000000000005</v>
      </c>
      <c r="L1478" t="s">
        <v>5922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95.64</v>
      </c>
      <c r="S1478">
        <v>0</v>
      </c>
      <c r="T1478">
        <v>0</v>
      </c>
      <c r="U1478">
        <v>86.92</v>
      </c>
      <c r="V1478">
        <v>83.44</v>
      </c>
      <c r="W1478">
        <v>97.79</v>
      </c>
      <c r="X1478">
        <v>86.92</v>
      </c>
      <c r="Y1478">
        <v>108</v>
      </c>
      <c r="Z1478" t="s">
        <v>5922</v>
      </c>
    </row>
    <row r="1479" spans="1:26" x14ac:dyDescent="0.2">
      <c r="A1479" t="s">
        <v>2653</v>
      </c>
      <c r="B1479" t="s">
        <v>2684</v>
      </c>
      <c r="C1479" t="s">
        <v>2685</v>
      </c>
      <c r="D1479" t="s">
        <v>98</v>
      </c>
      <c r="E1479">
        <v>549.99</v>
      </c>
      <c r="F1479" t="s">
        <v>5922</v>
      </c>
      <c r="H1479">
        <v>439.99</v>
      </c>
      <c r="L1479" t="s">
        <v>5922</v>
      </c>
      <c r="U1479">
        <v>439.99</v>
      </c>
      <c r="W1479">
        <v>439.99</v>
      </c>
      <c r="X1479">
        <v>430.43</v>
      </c>
      <c r="Y1479">
        <v>488</v>
      </c>
      <c r="Z1479" t="s">
        <v>5922</v>
      </c>
    </row>
    <row r="1480" spans="1:26" x14ac:dyDescent="0.2">
      <c r="A1480" t="s">
        <v>2653</v>
      </c>
      <c r="B1480" t="s">
        <v>2686</v>
      </c>
      <c r="C1480" t="s">
        <v>2687</v>
      </c>
      <c r="D1480" t="s">
        <v>98</v>
      </c>
      <c r="E1480">
        <v>529.99</v>
      </c>
      <c r="F1480" t="s">
        <v>5922</v>
      </c>
      <c r="G1480">
        <v>460.86</v>
      </c>
      <c r="H1480">
        <v>368.69</v>
      </c>
      <c r="I1480">
        <v>414.77</v>
      </c>
      <c r="J1480">
        <v>368.69</v>
      </c>
      <c r="L1480" t="s">
        <v>5922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460.86</v>
      </c>
      <c r="S1480">
        <v>0</v>
      </c>
      <c r="T1480">
        <v>0</v>
      </c>
      <c r="U1480">
        <v>368.69</v>
      </c>
      <c r="V1480">
        <v>368.69</v>
      </c>
      <c r="W1480">
        <v>414.77</v>
      </c>
      <c r="X1480">
        <v>368.69</v>
      </c>
      <c r="Y1480">
        <v>429</v>
      </c>
      <c r="Z1480" t="s">
        <v>5922</v>
      </c>
    </row>
    <row r="1481" spans="1:26" x14ac:dyDescent="0.2">
      <c r="A1481" t="s">
        <v>2653</v>
      </c>
      <c r="B1481" t="s">
        <v>2688</v>
      </c>
      <c r="C1481" t="s">
        <v>2689</v>
      </c>
      <c r="D1481" t="s">
        <v>98</v>
      </c>
      <c r="E1481">
        <v>299.99</v>
      </c>
      <c r="F1481" t="s">
        <v>5922</v>
      </c>
      <c r="G1481">
        <v>260.86</v>
      </c>
      <c r="H1481">
        <v>208.69</v>
      </c>
      <c r="I1481">
        <v>234.77</v>
      </c>
      <c r="J1481">
        <v>208.69</v>
      </c>
      <c r="L1481" t="s">
        <v>5922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260.86</v>
      </c>
      <c r="S1481">
        <v>0</v>
      </c>
      <c r="T1481">
        <v>0</v>
      </c>
      <c r="U1481">
        <v>246.92</v>
      </c>
      <c r="V1481">
        <v>243.44</v>
      </c>
      <c r="W1481">
        <v>277.79000000000002</v>
      </c>
      <c r="X1481">
        <v>246.92</v>
      </c>
      <c r="Y1481">
        <v>299.89999999999998</v>
      </c>
      <c r="Z1481" t="s">
        <v>5922</v>
      </c>
    </row>
    <row r="1482" spans="1:26" x14ac:dyDescent="0.2">
      <c r="A1482" t="s">
        <v>2653</v>
      </c>
      <c r="B1482" t="s">
        <v>2690</v>
      </c>
      <c r="C1482" t="s">
        <v>2691</v>
      </c>
      <c r="D1482" t="s">
        <v>98</v>
      </c>
      <c r="E1482">
        <v>349.95</v>
      </c>
      <c r="F1482" t="s">
        <v>5922</v>
      </c>
      <c r="G1482">
        <v>349.95</v>
      </c>
      <c r="H1482">
        <v>229.56</v>
      </c>
      <c r="I1482">
        <v>258.25</v>
      </c>
      <c r="J1482">
        <v>229.56</v>
      </c>
      <c r="L1482" t="s">
        <v>5922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286.95</v>
      </c>
      <c r="S1482">
        <v>0</v>
      </c>
      <c r="T1482">
        <v>0</v>
      </c>
      <c r="U1482">
        <v>246.92</v>
      </c>
      <c r="V1482">
        <v>243.44</v>
      </c>
      <c r="W1482">
        <v>277.79000000000002</v>
      </c>
      <c r="X1482">
        <v>246.92</v>
      </c>
      <c r="Y1482">
        <v>349.95</v>
      </c>
      <c r="Z1482" t="s">
        <v>5922</v>
      </c>
    </row>
    <row r="1483" spans="1:26" x14ac:dyDescent="0.2">
      <c r="A1483" t="s">
        <v>2653</v>
      </c>
      <c r="B1483" t="s">
        <v>2692</v>
      </c>
      <c r="C1483" t="s">
        <v>2693</v>
      </c>
      <c r="D1483" t="s">
        <v>98</v>
      </c>
      <c r="E1483">
        <v>279</v>
      </c>
      <c r="F1483" t="s">
        <v>5922</v>
      </c>
      <c r="G1483">
        <v>279</v>
      </c>
      <c r="H1483">
        <v>208.69</v>
      </c>
      <c r="I1483">
        <v>234.77</v>
      </c>
      <c r="J1483">
        <v>208.69</v>
      </c>
      <c r="L1483" t="s">
        <v>5922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260.86</v>
      </c>
      <c r="S1483">
        <v>0</v>
      </c>
      <c r="T1483">
        <v>0</v>
      </c>
      <c r="U1483">
        <v>197.57</v>
      </c>
      <c r="V1483">
        <v>194.09</v>
      </c>
      <c r="W1483">
        <v>222.26</v>
      </c>
      <c r="X1483">
        <v>197.57</v>
      </c>
      <c r="Y1483">
        <v>279</v>
      </c>
      <c r="Z1483" t="s">
        <v>5922</v>
      </c>
    </row>
    <row r="1484" spans="1:26" x14ac:dyDescent="0.2">
      <c r="A1484" t="s">
        <v>2653</v>
      </c>
      <c r="B1484" t="s">
        <v>2694</v>
      </c>
      <c r="C1484" t="s">
        <v>2695</v>
      </c>
      <c r="D1484" t="s">
        <v>98</v>
      </c>
      <c r="E1484">
        <v>469.95</v>
      </c>
      <c r="F1484" t="s">
        <v>5922</v>
      </c>
      <c r="G1484">
        <v>469.95</v>
      </c>
      <c r="H1484">
        <v>278.25</v>
      </c>
      <c r="I1484">
        <v>313.04000000000002</v>
      </c>
      <c r="J1484">
        <v>278.25</v>
      </c>
      <c r="L1484" t="s">
        <v>5922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347.82</v>
      </c>
      <c r="S1484">
        <v>0</v>
      </c>
      <c r="T1484">
        <v>0</v>
      </c>
      <c r="U1484">
        <v>330.4</v>
      </c>
      <c r="V1484">
        <v>326.92</v>
      </c>
      <c r="W1484">
        <v>371.7</v>
      </c>
      <c r="X1484">
        <v>330.4</v>
      </c>
      <c r="Y1484">
        <v>469.95</v>
      </c>
      <c r="Z1484" t="s">
        <v>5922</v>
      </c>
    </row>
    <row r="1485" spans="1:26" x14ac:dyDescent="0.2">
      <c r="A1485" t="s">
        <v>2653</v>
      </c>
      <c r="B1485" t="s">
        <v>2696</v>
      </c>
      <c r="C1485" t="s">
        <v>2697</v>
      </c>
      <c r="D1485" t="s">
        <v>98</v>
      </c>
      <c r="E1485">
        <v>84.99</v>
      </c>
      <c r="F1485" t="s">
        <v>5922</v>
      </c>
      <c r="G1485">
        <v>73.900000000000006</v>
      </c>
      <c r="H1485">
        <v>59.12</v>
      </c>
      <c r="I1485">
        <v>66.510000000000005</v>
      </c>
      <c r="J1485">
        <v>59.12</v>
      </c>
      <c r="L1485" t="s">
        <v>5922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73.900000000000006</v>
      </c>
      <c r="S1485">
        <v>0</v>
      </c>
      <c r="T1485">
        <v>0</v>
      </c>
      <c r="U1485">
        <v>59.12</v>
      </c>
      <c r="V1485">
        <v>55.62</v>
      </c>
      <c r="W1485">
        <v>66.510000000000005</v>
      </c>
      <c r="X1485">
        <v>59.12</v>
      </c>
      <c r="Y1485">
        <v>69</v>
      </c>
      <c r="Z1485" t="s">
        <v>5922</v>
      </c>
    </row>
    <row r="1486" spans="1:26" x14ac:dyDescent="0.2">
      <c r="A1486" t="s">
        <v>2653</v>
      </c>
      <c r="B1486" t="s">
        <v>2698</v>
      </c>
      <c r="C1486" t="s">
        <v>2699</v>
      </c>
      <c r="D1486" t="s">
        <v>98</v>
      </c>
      <c r="E1486">
        <v>87.99</v>
      </c>
      <c r="F1486" t="s">
        <v>5922</v>
      </c>
      <c r="G1486">
        <v>76.510000000000005</v>
      </c>
      <c r="H1486">
        <v>61.21</v>
      </c>
      <c r="I1486">
        <v>68.86</v>
      </c>
      <c r="J1486">
        <v>61.21</v>
      </c>
      <c r="L1486" t="s">
        <v>5922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76.510000000000005</v>
      </c>
      <c r="S1486">
        <v>0</v>
      </c>
      <c r="T1486">
        <v>0</v>
      </c>
      <c r="U1486">
        <v>61.21</v>
      </c>
      <c r="V1486">
        <v>61.21</v>
      </c>
      <c r="W1486">
        <v>68.86</v>
      </c>
      <c r="X1486">
        <v>61.21</v>
      </c>
      <c r="Y1486">
        <v>69</v>
      </c>
      <c r="Z1486" t="s">
        <v>5922</v>
      </c>
    </row>
    <row r="1487" spans="1:26" x14ac:dyDescent="0.2">
      <c r="A1487" t="s">
        <v>2653</v>
      </c>
      <c r="B1487" t="s">
        <v>2700</v>
      </c>
      <c r="C1487" t="s">
        <v>2701</v>
      </c>
      <c r="D1487" t="s">
        <v>98</v>
      </c>
      <c r="E1487">
        <v>84.99</v>
      </c>
      <c r="F1487" t="s">
        <v>5922</v>
      </c>
      <c r="G1487">
        <v>73.900000000000006</v>
      </c>
      <c r="H1487">
        <v>59.12</v>
      </c>
      <c r="I1487">
        <v>66.510000000000005</v>
      </c>
      <c r="J1487">
        <v>59.12</v>
      </c>
      <c r="L1487" t="s">
        <v>5922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73.900000000000006</v>
      </c>
      <c r="S1487">
        <v>0</v>
      </c>
      <c r="T1487">
        <v>0</v>
      </c>
      <c r="U1487">
        <v>59.1</v>
      </c>
      <c r="V1487">
        <v>55.62</v>
      </c>
      <c r="W1487">
        <v>66.48</v>
      </c>
      <c r="X1487">
        <v>59.1</v>
      </c>
      <c r="Y1487">
        <v>72</v>
      </c>
      <c r="Z1487" t="s">
        <v>5922</v>
      </c>
    </row>
    <row r="1488" spans="1:26" x14ac:dyDescent="0.2">
      <c r="A1488" t="s">
        <v>2653</v>
      </c>
      <c r="B1488" t="s">
        <v>2702</v>
      </c>
      <c r="C1488" t="s">
        <v>2703</v>
      </c>
      <c r="D1488" t="s">
        <v>98</v>
      </c>
      <c r="E1488">
        <v>49.99</v>
      </c>
      <c r="F1488" t="s">
        <v>5922</v>
      </c>
      <c r="H1488">
        <v>34.78</v>
      </c>
      <c r="I1488">
        <v>39.119999999999997</v>
      </c>
      <c r="J1488">
        <v>34.78</v>
      </c>
      <c r="L1488" t="s">
        <v>5922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43.47</v>
      </c>
      <c r="S1488">
        <v>0</v>
      </c>
      <c r="T1488">
        <v>0</v>
      </c>
      <c r="U1488">
        <v>34.71</v>
      </c>
      <c r="V1488">
        <v>31.23</v>
      </c>
      <c r="W1488">
        <v>39.049999999999997</v>
      </c>
      <c r="X1488">
        <v>34.71</v>
      </c>
      <c r="Y1488">
        <v>39.99</v>
      </c>
      <c r="Z1488" t="s">
        <v>5922</v>
      </c>
    </row>
    <row r="1489" spans="1:26" x14ac:dyDescent="0.2">
      <c r="A1489" t="s">
        <v>2653</v>
      </c>
      <c r="B1489" t="s">
        <v>2704</v>
      </c>
      <c r="C1489" t="s">
        <v>2705</v>
      </c>
      <c r="D1489" t="s">
        <v>98</v>
      </c>
      <c r="E1489">
        <v>599</v>
      </c>
      <c r="F1489" t="s">
        <v>5922</v>
      </c>
      <c r="G1489">
        <v>599</v>
      </c>
      <c r="H1489">
        <v>452.17</v>
      </c>
      <c r="I1489">
        <v>508.69</v>
      </c>
      <c r="J1489">
        <v>452.17</v>
      </c>
      <c r="L1489" t="s">
        <v>5922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565.21</v>
      </c>
      <c r="S1489">
        <v>0</v>
      </c>
      <c r="T1489">
        <v>0</v>
      </c>
      <c r="U1489">
        <v>420.17</v>
      </c>
      <c r="V1489">
        <v>416.7</v>
      </c>
      <c r="W1489">
        <v>472.7</v>
      </c>
      <c r="X1489">
        <v>420.17</v>
      </c>
      <c r="Y1489">
        <v>599</v>
      </c>
      <c r="Z1489" t="s">
        <v>5922</v>
      </c>
    </row>
    <row r="1490" spans="1:26" x14ac:dyDescent="0.2">
      <c r="A1490" t="s">
        <v>2653</v>
      </c>
      <c r="B1490" t="s">
        <v>2706</v>
      </c>
      <c r="C1490" t="s">
        <v>2707</v>
      </c>
      <c r="D1490" t="s">
        <v>98</v>
      </c>
      <c r="E1490">
        <v>119.99</v>
      </c>
      <c r="F1490" t="s">
        <v>5922</v>
      </c>
      <c r="G1490">
        <v>104.34</v>
      </c>
      <c r="H1490">
        <v>83.47</v>
      </c>
      <c r="I1490">
        <v>93.91</v>
      </c>
      <c r="J1490">
        <v>83.47</v>
      </c>
      <c r="L1490" t="s">
        <v>5922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104.34</v>
      </c>
      <c r="S1490">
        <v>0</v>
      </c>
      <c r="T1490">
        <v>0</v>
      </c>
      <c r="U1490">
        <v>83.47</v>
      </c>
      <c r="V1490">
        <v>83.47</v>
      </c>
      <c r="W1490">
        <v>93.91</v>
      </c>
      <c r="X1490">
        <v>83.47</v>
      </c>
      <c r="Y1490">
        <v>98</v>
      </c>
      <c r="Z1490" t="s">
        <v>5922</v>
      </c>
    </row>
    <row r="1491" spans="1:26" x14ac:dyDescent="0.2">
      <c r="A1491" t="s">
        <v>2653</v>
      </c>
      <c r="B1491" t="s">
        <v>2708</v>
      </c>
      <c r="C1491" t="s">
        <v>2709</v>
      </c>
      <c r="D1491" t="s">
        <v>98</v>
      </c>
      <c r="E1491">
        <v>119.99</v>
      </c>
      <c r="F1491" t="s">
        <v>5922</v>
      </c>
      <c r="G1491">
        <v>104.34</v>
      </c>
      <c r="H1491">
        <v>83.47</v>
      </c>
      <c r="I1491">
        <v>93.91</v>
      </c>
      <c r="J1491">
        <v>83.47</v>
      </c>
      <c r="L1491" t="s">
        <v>5922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104.34</v>
      </c>
      <c r="S1491">
        <v>0</v>
      </c>
      <c r="T1491">
        <v>0</v>
      </c>
      <c r="U1491">
        <v>100.83</v>
      </c>
      <c r="V1491">
        <v>97.36</v>
      </c>
      <c r="W1491">
        <v>113.44</v>
      </c>
      <c r="X1491">
        <v>100.83</v>
      </c>
      <c r="Y1491">
        <v>126</v>
      </c>
      <c r="Z1491" t="s">
        <v>5922</v>
      </c>
    </row>
    <row r="1492" spans="1:26" x14ac:dyDescent="0.2">
      <c r="A1492" t="s">
        <v>2653</v>
      </c>
      <c r="B1492" t="s">
        <v>2710</v>
      </c>
      <c r="C1492" t="s">
        <v>2711</v>
      </c>
      <c r="D1492" t="s">
        <v>98</v>
      </c>
      <c r="E1492">
        <v>119.99</v>
      </c>
      <c r="F1492" t="s">
        <v>5922</v>
      </c>
      <c r="G1492">
        <v>104.34</v>
      </c>
      <c r="H1492">
        <v>83.47</v>
      </c>
      <c r="I1492">
        <v>93.91</v>
      </c>
      <c r="J1492">
        <v>83.47</v>
      </c>
      <c r="L1492" t="s">
        <v>5922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104.34</v>
      </c>
      <c r="S1492">
        <v>0</v>
      </c>
      <c r="T1492">
        <v>0</v>
      </c>
      <c r="U1492">
        <v>100.83</v>
      </c>
      <c r="V1492">
        <v>97.36</v>
      </c>
      <c r="W1492">
        <v>113.44</v>
      </c>
      <c r="X1492">
        <v>100.83</v>
      </c>
      <c r="Y1492">
        <v>98</v>
      </c>
      <c r="Z1492" t="s">
        <v>5922</v>
      </c>
    </row>
    <row r="1493" spans="1:26" x14ac:dyDescent="0.2">
      <c r="A1493" t="s">
        <v>2653</v>
      </c>
      <c r="B1493" t="s">
        <v>2712</v>
      </c>
      <c r="C1493" t="s">
        <v>2713</v>
      </c>
      <c r="D1493" t="s">
        <v>98</v>
      </c>
      <c r="E1493">
        <v>149.94999999999999</v>
      </c>
      <c r="F1493" t="s">
        <v>5922</v>
      </c>
      <c r="G1493">
        <v>149.94999999999999</v>
      </c>
      <c r="H1493">
        <v>111.3</v>
      </c>
      <c r="I1493">
        <v>125.21</v>
      </c>
      <c r="J1493">
        <v>111.3</v>
      </c>
      <c r="L1493" t="s">
        <v>5922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139.12</v>
      </c>
      <c r="S1493">
        <v>0</v>
      </c>
      <c r="T1493">
        <v>0</v>
      </c>
      <c r="U1493">
        <v>107.79</v>
      </c>
      <c r="V1493">
        <v>104.31</v>
      </c>
      <c r="W1493">
        <v>121.27</v>
      </c>
      <c r="X1493">
        <v>107.79</v>
      </c>
      <c r="Y1493">
        <v>149.94999999999999</v>
      </c>
      <c r="Z1493" t="s">
        <v>5922</v>
      </c>
    </row>
    <row r="1494" spans="1:26" x14ac:dyDescent="0.2">
      <c r="A1494" t="s">
        <v>2653</v>
      </c>
      <c r="B1494" t="s">
        <v>2714</v>
      </c>
      <c r="C1494" t="s">
        <v>2715</v>
      </c>
      <c r="D1494" t="s">
        <v>98</v>
      </c>
      <c r="E1494">
        <v>159.99</v>
      </c>
      <c r="F1494" t="s">
        <v>5922</v>
      </c>
      <c r="H1494">
        <v>111.3</v>
      </c>
      <c r="L1494" t="s">
        <v>5922</v>
      </c>
      <c r="U1494">
        <v>111.3</v>
      </c>
      <c r="W1494">
        <v>125.21</v>
      </c>
      <c r="X1494">
        <v>111.3</v>
      </c>
      <c r="Y1494">
        <v>139</v>
      </c>
      <c r="Z1494" t="s">
        <v>5922</v>
      </c>
    </row>
    <row r="1495" spans="1:26" x14ac:dyDescent="0.2">
      <c r="A1495" t="s">
        <v>2653</v>
      </c>
      <c r="B1495" t="s">
        <v>2716</v>
      </c>
      <c r="C1495" t="s">
        <v>2717</v>
      </c>
      <c r="D1495" t="s">
        <v>98</v>
      </c>
      <c r="E1495">
        <v>159.99</v>
      </c>
      <c r="F1495" t="s">
        <v>5922</v>
      </c>
      <c r="H1495">
        <v>111.3</v>
      </c>
      <c r="L1495" t="s">
        <v>5922</v>
      </c>
      <c r="U1495">
        <v>111.3</v>
      </c>
      <c r="W1495">
        <v>125.21</v>
      </c>
      <c r="X1495">
        <v>111.3</v>
      </c>
      <c r="Y1495">
        <v>139</v>
      </c>
      <c r="Z1495" t="s">
        <v>5922</v>
      </c>
    </row>
    <row r="1496" spans="1:26" x14ac:dyDescent="0.2">
      <c r="A1496" t="s">
        <v>2653</v>
      </c>
      <c r="B1496" t="s">
        <v>2718</v>
      </c>
      <c r="C1496" t="s">
        <v>2719</v>
      </c>
      <c r="D1496" t="s">
        <v>98</v>
      </c>
      <c r="E1496">
        <v>59.9</v>
      </c>
      <c r="F1496" t="s">
        <v>5922</v>
      </c>
      <c r="G1496">
        <v>59.9</v>
      </c>
      <c r="H1496">
        <v>45.21</v>
      </c>
      <c r="I1496">
        <v>50.86</v>
      </c>
      <c r="J1496">
        <v>45.21</v>
      </c>
      <c r="L1496" t="s">
        <v>5922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56.51</v>
      </c>
      <c r="S1496">
        <v>0</v>
      </c>
      <c r="T1496">
        <v>0</v>
      </c>
      <c r="U1496">
        <v>45.15</v>
      </c>
      <c r="V1496">
        <v>41.67</v>
      </c>
      <c r="W1496">
        <v>50.79</v>
      </c>
      <c r="X1496">
        <v>45.15</v>
      </c>
      <c r="Y1496">
        <v>59.9</v>
      </c>
      <c r="Z1496" t="s">
        <v>5922</v>
      </c>
    </row>
    <row r="1497" spans="1:26" x14ac:dyDescent="0.2">
      <c r="A1497" t="s">
        <v>2653</v>
      </c>
      <c r="B1497" t="s">
        <v>2720</v>
      </c>
      <c r="C1497" t="s">
        <v>2721</v>
      </c>
      <c r="D1497" t="s">
        <v>98</v>
      </c>
      <c r="E1497">
        <v>349.95</v>
      </c>
      <c r="F1497" t="s">
        <v>5922</v>
      </c>
      <c r="G1497">
        <v>349.95</v>
      </c>
      <c r="H1497">
        <v>208.69</v>
      </c>
      <c r="I1497">
        <v>234.77</v>
      </c>
      <c r="J1497">
        <v>208.69</v>
      </c>
      <c r="L1497" t="s">
        <v>5922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260.86</v>
      </c>
      <c r="S1497">
        <v>0</v>
      </c>
      <c r="T1497">
        <v>0</v>
      </c>
      <c r="U1497">
        <v>246.92</v>
      </c>
      <c r="V1497">
        <v>243.44</v>
      </c>
      <c r="W1497">
        <v>277.79000000000002</v>
      </c>
      <c r="X1497">
        <v>246.92</v>
      </c>
      <c r="Y1497">
        <v>349.95</v>
      </c>
      <c r="Z1497" t="s">
        <v>5922</v>
      </c>
    </row>
    <row r="1498" spans="1:26" x14ac:dyDescent="0.2">
      <c r="A1498" t="s">
        <v>2653</v>
      </c>
      <c r="B1498" t="s">
        <v>2722</v>
      </c>
      <c r="C1498" t="s">
        <v>2723</v>
      </c>
      <c r="D1498" t="s">
        <v>98</v>
      </c>
      <c r="E1498">
        <v>249.99</v>
      </c>
      <c r="F1498" t="s">
        <v>5922</v>
      </c>
      <c r="G1498">
        <v>217.38</v>
      </c>
      <c r="H1498">
        <v>173.91</v>
      </c>
      <c r="I1498">
        <v>195.64</v>
      </c>
      <c r="J1498">
        <v>173.91</v>
      </c>
      <c r="L1498" t="s">
        <v>5922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217.38</v>
      </c>
      <c r="S1498">
        <v>0</v>
      </c>
      <c r="T1498">
        <v>0</v>
      </c>
      <c r="U1498">
        <v>173.91</v>
      </c>
      <c r="V1498">
        <v>173.91</v>
      </c>
      <c r="W1498">
        <v>195.64</v>
      </c>
      <c r="X1498">
        <v>173.91</v>
      </c>
      <c r="Y1498">
        <v>192</v>
      </c>
      <c r="Z1498" t="s">
        <v>5922</v>
      </c>
    </row>
    <row r="1499" spans="1:26" x14ac:dyDescent="0.2">
      <c r="A1499" t="s">
        <v>2653</v>
      </c>
      <c r="B1499" t="s">
        <v>2724</v>
      </c>
      <c r="C1499" t="s">
        <v>2725</v>
      </c>
      <c r="D1499" t="s">
        <v>98</v>
      </c>
      <c r="E1499">
        <v>299.99</v>
      </c>
      <c r="F1499" t="s">
        <v>5922</v>
      </c>
      <c r="G1499">
        <v>260.86</v>
      </c>
      <c r="H1499">
        <v>208.69</v>
      </c>
      <c r="I1499">
        <v>234.77</v>
      </c>
      <c r="J1499">
        <v>208.69</v>
      </c>
      <c r="L1499" t="s">
        <v>5922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260.86</v>
      </c>
      <c r="S1499">
        <v>0</v>
      </c>
      <c r="T1499">
        <v>0</v>
      </c>
      <c r="U1499">
        <v>208.69</v>
      </c>
      <c r="V1499">
        <v>208.69</v>
      </c>
      <c r="W1499">
        <v>234.77</v>
      </c>
      <c r="X1499">
        <v>208.69</v>
      </c>
      <c r="Y1499">
        <v>299.89999999999998</v>
      </c>
      <c r="Z1499" t="s">
        <v>5922</v>
      </c>
    </row>
    <row r="1500" spans="1:26" x14ac:dyDescent="0.2">
      <c r="A1500" t="s">
        <v>2653</v>
      </c>
      <c r="B1500" t="s">
        <v>2726</v>
      </c>
      <c r="C1500" t="s">
        <v>2727</v>
      </c>
      <c r="D1500" t="s">
        <v>98</v>
      </c>
      <c r="E1500">
        <v>219.99</v>
      </c>
      <c r="F1500" t="s">
        <v>5922</v>
      </c>
      <c r="G1500">
        <v>191.3</v>
      </c>
      <c r="H1500">
        <v>153.04</v>
      </c>
      <c r="I1500">
        <v>172.17</v>
      </c>
      <c r="J1500">
        <v>153.04</v>
      </c>
      <c r="L1500" t="s">
        <v>5922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191.3</v>
      </c>
      <c r="S1500">
        <v>0</v>
      </c>
      <c r="T1500">
        <v>0</v>
      </c>
      <c r="U1500">
        <v>153.04</v>
      </c>
      <c r="V1500">
        <v>153.04</v>
      </c>
      <c r="W1500">
        <v>172.17</v>
      </c>
      <c r="X1500">
        <v>153.04</v>
      </c>
      <c r="Y1500">
        <v>178</v>
      </c>
      <c r="Z1500" t="s">
        <v>5922</v>
      </c>
    </row>
    <row r="1501" spans="1:26" x14ac:dyDescent="0.2">
      <c r="A1501" t="s">
        <v>2653</v>
      </c>
      <c r="B1501" t="s">
        <v>2728</v>
      </c>
      <c r="C1501" t="s">
        <v>2729</v>
      </c>
      <c r="D1501" t="s">
        <v>98</v>
      </c>
      <c r="E1501">
        <v>279.95</v>
      </c>
      <c r="F1501" t="s">
        <v>5922</v>
      </c>
      <c r="G1501">
        <v>279.95</v>
      </c>
      <c r="H1501">
        <v>159.99</v>
      </c>
      <c r="I1501">
        <v>179.99</v>
      </c>
      <c r="J1501">
        <v>159.99</v>
      </c>
      <c r="L1501" t="s">
        <v>5922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199.99</v>
      </c>
      <c r="S1501">
        <v>0</v>
      </c>
      <c r="T1501">
        <v>0</v>
      </c>
      <c r="U1501">
        <v>198.23</v>
      </c>
      <c r="V1501">
        <v>194.75</v>
      </c>
      <c r="W1501">
        <v>223</v>
      </c>
      <c r="X1501">
        <v>198.23</v>
      </c>
      <c r="Y1501">
        <v>279.95</v>
      </c>
      <c r="Z1501" t="s">
        <v>5922</v>
      </c>
    </row>
    <row r="1502" spans="1:26" x14ac:dyDescent="0.2">
      <c r="A1502" t="s">
        <v>2653</v>
      </c>
      <c r="B1502" t="s">
        <v>2730</v>
      </c>
      <c r="C1502" t="s">
        <v>2731</v>
      </c>
      <c r="D1502" t="s">
        <v>98</v>
      </c>
      <c r="E1502">
        <v>329.99</v>
      </c>
      <c r="F1502" t="s">
        <v>5922</v>
      </c>
      <c r="G1502">
        <v>286.95</v>
      </c>
      <c r="H1502">
        <v>229.56</v>
      </c>
      <c r="I1502">
        <v>258.25</v>
      </c>
      <c r="J1502">
        <v>229.56</v>
      </c>
      <c r="L1502" t="s">
        <v>5922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286.95</v>
      </c>
      <c r="S1502">
        <v>0</v>
      </c>
      <c r="T1502">
        <v>0</v>
      </c>
      <c r="U1502">
        <v>229.56</v>
      </c>
      <c r="V1502">
        <v>229.56</v>
      </c>
      <c r="W1502">
        <v>258.25</v>
      </c>
      <c r="X1502">
        <v>229.56</v>
      </c>
      <c r="Y1502">
        <v>299</v>
      </c>
      <c r="Z1502" t="s">
        <v>5922</v>
      </c>
    </row>
    <row r="1503" spans="1:26" x14ac:dyDescent="0.2">
      <c r="A1503" t="s">
        <v>2653</v>
      </c>
      <c r="B1503" t="s">
        <v>2732</v>
      </c>
      <c r="C1503" t="s">
        <v>2733</v>
      </c>
      <c r="D1503" t="s">
        <v>98</v>
      </c>
      <c r="E1503">
        <v>69.989999999999995</v>
      </c>
      <c r="F1503" t="s">
        <v>5922</v>
      </c>
      <c r="G1503">
        <v>60.86</v>
      </c>
      <c r="H1503">
        <v>48.69</v>
      </c>
      <c r="I1503">
        <v>54.77</v>
      </c>
      <c r="J1503">
        <v>48.69</v>
      </c>
      <c r="L1503" t="s">
        <v>5922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60.86</v>
      </c>
      <c r="S1503">
        <v>0</v>
      </c>
      <c r="T1503">
        <v>0</v>
      </c>
      <c r="U1503">
        <v>48.63</v>
      </c>
      <c r="V1503">
        <v>48.69</v>
      </c>
      <c r="W1503">
        <v>54.7</v>
      </c>
      <c r="X1503">
        <v>48.63</v>
      </c>
      <c r="Y1503">
        <v>54</v>
      </c>
      <c r="Z1503" t="s">
        <v>5922</v>
      </c>
    </row>
    <row r="1504" spans="1:26" x14ac:dyDescent="0.2">
      <c r="A1504" t="s">
        <v>2653</v>
      </c>
      <c r="B1504" t="s">
        <v>2734</v>
      </c>
      <c r="C1504" t="s">
        <v>2735</v>
      </c>
      <c r="D1504" t="s">
        <v>98</v>
      </c>
      <c r="E1504">
        <v>239.95</v>
      </c>
      <c r="F1504" t="s">
        <v>5922</v>
      </c>
      <c r="G1504">
        <v>239.95</v>
      </c>
      <c r="H1504">
        <v>139.12</v>
      </c>
      <c r="I1504">
        <v>156.51</v>
      </c>
      <c r="J1504">
        <v>139.12</v>
      </c>
      <c r="L1504" t="s">
        <v>5922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173.9</v>
      </c>
      <c r="S1504">
        <v>0</v>
      </c>
      <c r="T1504">
        <v>0</v>
      </c>
      <c r="U1504">
        <v>170.4</v>
      </c>
      <c r="V1504">
        <v>166.92</v>
      </c>
      <c r="W1504">
        <v>191.7</v>
      </c>
      <c r="X1504">
        <v>170.4</v>
      </c>
      <c r="Y1504">
        <v>239.95</v>
      </c>
      <c r="Z1504" t="s">
        <v>5922</v>
      </c>
    </row>
    <row r="1505" spans="1:26" x14ac:dyDescent="0.2">
      <c r="A1505" t="s">
        <v>2653</v>
      </c>
      <c r="B1505" t="s">
        <v>2736</v>
      </c>
      <c r="C1505" t="s">
        <v>2737</v>
      </c>
      <c r="D1505" t="s">
        <v>98</v>
      </c>
      <c r="E1505">
        <v>329.99</v>
      </c>
      <c r="F1505" t="s">
        <v>5922</v>
      </c>
      <c r="G1505">
        <v>286.95</v>
      </c>
      <c r="H1505">
        <v>229.56</v>
      </c>
      <c r="I1505">
        <v>258.25</v>
      </c>
      <c r="J1505">
        <v>229.56</v>
      </c>
      <c r="L1505" t="s">
        <v>5922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286.95</v>
      </c>
      <c r="S1505">
        <v>0</v>
      </c>
      <c r="T1505">
        <v>0</v>
      </c>
      <c r="U1505">
        <v>229.56</v>
      </c>
      <c r="V1505">
        <v>229.56</v>
      </c>
      <c r="W1505">
        <v>258.25</v>
      </c>
      <c r="X1505">
        <v>229.56</v>
      </c>
      <c r="Y1505">
        <v>284</v>
      </c>
      <c r="Z1505" t="s">
        <v>5922</v>
      </c>
    </row>
    <row r="1506" spans="1:26" x14ac:dyDescent="0.2">
      <c r="A1506" t="s">
        <v>2653</v>
      </c>
      <c r="B1506" t="s">
        <v>2738</v>
      </c>
      <c r="C1506" t="s">
        <v>2739</v>
      </c>
      <c r="D1506" t="s">
        <v>98</v>
      </c>
      <c r="E1506">
        <v>349.99</v>
      </c>
      <c r="F1506" t="s">
        <v>5922</v>
      </c>
      <c r="G1506">
        <v>304.33999999999997</v>
      </c>
      <c r="H1506">
        <v>243.47</v>
      </c>
      <c r="I1506">
        <v>273.91000000000003</v>
      </c>
      <c r="J1506">
        <v>243.47</v>
      </c>
      <c r="L1506" t="s">
        <v>5922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304.33999999999997</v>
      </c>
      <c r="S1506">
        <v>0</v>
      </c>
      <c r="T1506">
        <v>0</v>
      </c>
      <c r="U1506">
        <v>243.47</v>
      </c>
      <c r="V1506">
        <v>243.47</v>
      </c>
      <c r="W1506">
        <v>273.91000000000003</v>
      </c>
      <c r="X1506">
        <v>243.47</v>
      </c>
      <c r="Y1506">
        <v>279</v>
      </c>
      <c r="Z1506" t="s">
        <v>5922</v>
      </c>
    </row>
    <row r="1507" spans="1:26" x14ac:dyDescent="0.2">
      <c r="A1507" t="s">
        <v>2653</v>
      </c>
      <c r="B1507" t="s">
        <v>2740</v>
      </c>
      <c r="C1507" t="s">
        <v>2741</v>
      </c>
      <c r="D1507" t="s">
        <v>98</v>
      </c>
      <c r="E1507">
        <v>299.99</v>
      </c>
      <c r="F1507" t="s">
        <v>5922</v>
      </c>
      <c r="G1507">
        <v>260.86</v>
      </c>
      <c r="H1507">
        <v>208.69</v>
      </c>
      <c r="I1507">
        <v>234.77</v>
      </c>
      <c r="J1507">
        <v>208.69</v>
      </c>
      <c r="L1507" t="s">
        <v>5922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260.86</v>
      </c>
      <c r="S1507">
        <v>0</v>
      </c>
      <c r="T1507">
        <v>0</v>
      </c>
      <c r="U1507">
        <v>246.92</v>
      </c>
      <c r="V1507">
        <v>243.44</v>
      </c>
      <c r="W1507">
        <v>277.79000000000002</v>
      </c>
      <c r="X1507">
        <v>246.92</v>
      </c>
      <c r="Y1507">
        <v>279</v>
      </c>
      <c r="Z1507" t="s">
        <v>5922</v>
      </c>
    </row>
    <row r="1508" spans="1:26" x14ac:dyDescent="0.2">
      <c r="A1508" t="s">
        <v>2653</v>
      </c>
      <c r="B1508" t="s">
        <v>2742</v>
      </c>
      <c r="C1508" t="s">
        <v>2743</v>
      </c>
      <c r="D1508" t="s">
        <v>98</v>
      </c>
      <c r="E1508">
        <v>479.95</v>
      </c>
      <c r="F1508" t="s">
        <v>5922</v>
      </c>
      <c r="G1508">
        <v>479.95</v>
      </c>
      <c r="H1508">
        <v>313.04000000000002</v>
      </c>
      <c r="I1508">
        <v>352.17</v>
      </c>
      <c r="J1508">
        <v>313.04000000000002</v>
      </c>
      <c r="L1508" t="s">
        <v>5922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391.3</v>
      </c>
      <c r="S1508">
        <v>0</v>
      </c>
      <c r="T1508">
        <v>0</v>
      </c>
      <c r="U1508">
        <v>337.36</v>
      </c>
      <c r="V1508">
        <v>333.88</v>
      </c>
      <c r="W1508">
        <v>379.53</v>
      </c>
      <c r="X1508">
        <v>337.36</v>
      </c>
      <c r="Y1508">
        <v>479.95</v>
      </c>
      <c r="Z1508" t="s">
        <v>5922</v>
      </c>
    </row>
    <row r="1509" spans="1:26" x14ac:dyDescent="0.2">
      <c r="A1509" t="s">
        <v>2653</v>
      </c>
      <c r="B1509" t="s">
        <v>2744</v>
      </c>
      <c r="C1509" t="s">
        <v>2745</v>
      </c>
      <c r="D1509" t="s">
        <v>98</v>
      </c>
      <c r="E1509">
        <v>479.95</v>
      </c>
      <c r="F1509" t="s">
        <v>5922</v>
      </c>
      <c r="G1509">
        <v>479.95</v>
      </c>
      <c r="H1509">
        <v>313.04000000000002</v>
      </c>
      <c r="I1509">
        <v>352.17</v>
      </c>
      <c r="J1509">
        <v>313.04000000000002</v>
      </c>
      <c r="L1509" t="s">
        <v>5922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391.3</v>
      </c>
      <c r="S1509">
        <v>0</v>
      </c>
      <c r="T1509">
        <v>0</v>
      </c>
      <c r="U1509">
        <v>337.36</v>
      </c>
      <c r="V1509">
        <v>333.88</v>
      </c>
      <c r="W1509">
        <v>379.53</v>
      </c>
      <c r="X1509">
        <v>337.36</v>
      </c>
      <c r="Y1509">
        <v>479.95</v>
      </c>
      <c r="Z1509" t="s">
        <v>5922</v>
      </c>
    </row>
    <row r="1510" spans="1:26" x14ac:dyDescent="0.2">
      <c r="A1510" t="s">
        <v>2653</v>
      </c>
      <c r="B1510" t="s">
        <v>2746</v>
      </c>
      <c r="C1510" t="s">
        <v>2747</v>
      </c>
      <c r="D1510" t="s">
        <v>98</v>
      </c>
      <c r="E1510">
        <v>449.99</v>
      </c>
      <c r="F1510" t="s">
        <v>5922</v>
      </c>
      <c r="G1510">
        <v>391.3</v>
      </c>
      <c r="H1510">
        <v>313.04000000000002</v>
      </c>
      <c r="I1510">
        <v>352.17</v>
      </c>
      <c r="J1510">
        <v>313.04000000000002</v>
      </c>
      <c r="L1510" t="s">
        <v>5922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391.3</v>
      </c>
      <c r="S1510">
        <v>0</v>
      </c>
      <c r="T1510">
        <v>0</v>
      </c>
      <c r="U1510">
        <v>313.04000000000002</v>
      </c>
      <c r="V1510">
        <v>313.04000000000002</v>
      </c>
      <c r="W1510">
        <v>352.17</v>
      </c>
      <c r="X1510">
        <v>313.04000000000002</v>
      </c>
      <c r="Y1510">
        <v>379</v>
      </c>
      <c r="Z1510" t="s">
        <v>5922</v>
      </c>
    </row>
    <row r="1511" spans="1:26" x14ac:dyDescent="0.2">
      <c r="A1511" t="s">
        <v>2653</v>
      </c>
      <c r="B1511" t="s">
        <v>2748</v>
      </c>
      <c r="C1511" t="s">
        <v>2749</v>
      </c>
      <c r="D1511" t="s">
        <v>98</v>
      </c>
      <c r="E1511">
        <v>449.99</v>
      </c>
      <c r="F1511" t="s">
        <v>5922</v>
      </c>
      <c r="G1511">
        <v>391.3</v>
      </c>
      <c r="H1511">
        <v>313.04000000000002</v>
      </c>
      <c r="I1511">
        <v>352.17</v>
      </c>
      <c r="J1511">
        <v>313.04000000000002</v>
      </c>
      <c r="L1511" t="s">
        <v>5922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391.3</v>
      </c>
      <c r="S1511">
        <v>0</v>
      </c>
      <c r="T1511">
        <v>0</v>
      </c>
      <c r="U1511">
        <v>313.04000000000002</v>
      </c>
      <c r="V1511">
        <v>313.04000000000002</v>
      </c>
      <c r="W1511">
        <v>352.17</v>
      </c>
      <c r="X1511">
        <v>313.04000000000002</v>
      </c>
      <c r="Y1511">
        <v>379</v>
      </c>
      <c r="Z1511" t="s">
        <v>5922</v>
      </c>
    </row>
    <row r="1512" spans="1:26" x14ac:dyDescent="0.2">
      <c r="A1512" t="s">
        <v>2653</v>
      </c>
      <c r="B1512" t="s">
        <v>2752</v>
      </c>
      <c r="C1512" t="s">
        <v>2751</v>
      </c>
      <c r="D1512" t="s">
        <v>98</v>
      </c>
      <c r="E1512">
        <v>449.99</v>
      </c>
      <c r="F1512" t="s">
        <v>5922</v>
      </c>
      <c r="G1512">
        <v>391.3</v>
      </c>
      <c r="H1512">
        <v>313.04000000000002</v>
      </c>
      <c r="I1512">
        <v>352.17</v>
      </c>
      <c r="J1512">
        <v>313.04000000000002</v>
      </c>
      <c r="L1512" t="s">
        <v>5922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391.3</v>
      </c>
      <c r="S1512">
        <v>0</v>
      </c>
      <c r="T1512">
        <v>0</v>
      </c>
      <c r="U1512">
        <v>313.04000000000002</v>
      </c>
      <c r="V1512">
        <v>313.04000000000002</v>
      </c>
      <c r="W1512">
        <v>352.17</v>
      </c>
      <c r="X1512">
        <v>313.04000000000002</v>
      </c>
      <c r="Y1512">
        <v>379</v>
      </c>
      <c r="Z1512" t="s">
        <v>5922</v>
      </c>
    </row>
    <row r="1513" spans="1:26" x14ac:dyDescent="0.2">
      <c r="A1513" t="s">
        <v>2653</v>
      </c>
      <c r="B1513" t="s">
        <v>2750</v>
      </c>
      <c r="C1513" t="s">
        <v>2751</v>
      </c>
      <c r="D1513" t="s">
        <v>98</v>
      </c>
      <c r="E1513">
        <v>449.99</v>
      </c>
      <c r="F1513" t="s">
        <v>5922</v>
      </c>
      <c r="G1513">
        <v>391.3</v>
      </c>
      <c r="H1513">
        <v>313.04000000000002</v>
      </c>
      <c r="I1513">
        <v>352.17</v>
      </c>
      <c r="J1513">
        <v>313.04000000000002</v>
      </c>
      <c r="L1513" t="s">
        <v>5922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391.3</v>
      </c>
      <c r="S1513">
        <v>0</v>
      </c>
      <c r="T1513">
        <v>0</v>
      </c>
      <c r="U1513">
        <v>313.04000000000002</v>
      </c>
      <c r="V1513">
        <v>313.04000000000002</v>
      </c>
      <c r="W1513">
        <v>352.17</v>
      </c>
      <c r="X1513">
        <v>313.04000000000002</v>
      </c>
      <c r="Y1513">
        <v>379</v>
      </c>
      <c r="Z1513" t="s">
        <v>5922</v>
      </c>
    </row>
    <row r="1514" spans="1:26" x14ac:dyDescent="0.2">
      <c r="A1514" t="s">
        <v>2653</v>
      </c>
      <c r="B1514" t="s">
        <v>2753</v>
      </c>
      <c r="C1514" t="s">
        <v>2754</v>
      </c>
      <c r="D1514" t="s">
        <v>98</v>
      </c>
      <c r="E1514">
        <v>599</v>
      </c>
      <c r="F1514" t="s">
        <v>5922</v>
      </c>
      <c r="G1514">
        <v>599</v>
      </c>
      <c r="H1514">
        <v>452.17</v>
      </c>
      <c r="I1514">
        <v>508.69</v>
      </c>
      <c r="J1514">
        <v>452.17</v>
      </c>
      <c r="L1514" t="s">
        <v>5922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565.21</v>
      </c>
      <c r="S1514">
        <v>0</v>
      </c>
      <c r="T1514">
        <v>0</v>
      </c>
      <c r="U1514">
        <v>420.17</v>
      </c>
      <c r="V1514">
        <v>416.7</v>
      </c>
      <c r="W1514">
        <v>472.7</v>
      </c>
      <c r="X1514">
        <v>420.17</v>
      </c>
      <c r="Y1514">
        <v>599</v>
      </c>
      <c r="Z1514" t="s">
        <v>5922</v>
      </c>
    </row>
    <row r="1515" spans="1:26" x14ac:dyDescent="0.2">
      <c r="A1515" t="s">
        <v>2653</v>
      </c>
      <c r="B1515" t="s">
        <v>2755</v>
      </c>
      <c r="C1515" t="s">
        <v>2756</v>
      </c>
      <c r="D1515" t="s">
        <v>98</v>
      </c>
      <c r="E1515">
        <v>749.99</v>
      </c>
      <c r="F1515" t="s">
        <v>5922</v>
      </c>
      <c r="G1515">
        <v>652.16999999999996</v>
      </c>
      <c r="H1515">
        <v>521.73</v>
      </c>
      <c r="I1515">
        <v>0</v>
      </c>
      <c r="J1515">
        <v>521.73</v>
      </c>
      <c r="L1515" t="s">
        <v>5922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652.16999999999996</v>
      </c>
      <c r="S1515">
        <v>0</v>
      </c>
      <c r="T1515">
        <v>0</v>
      </c>
      <c r="U1515">
        <v>521.73</v>
      </c>
      <c r="V1515">
        <v>0</v>
      </c>
      <c r="W1515">
        <v>586.95000000000005</v>
      </c>
      <c r="X1515">
        <v>521.73</v>
      </c>
      <c r="Y1515">
        <v>749.99</v>
      </c>
      <c r="Z1515" t="s">
        <v>5922</v>
      </c>
    </row>
    <row r="1516" spans="1:26" x14ac:dyDescent="0.2">
      <c r="A1516" t="s">
        <v>2653</v>
      </c>
      <c r="B1516" t="s">
        <v>2757</v>
      </c>
      <c r="C1516" t="s">
        <v>2758</v>
      </c>
      <c r="D1516" t="s">
        <v>98</v>
      </c>
      <c r="E1516">
        <v>299.99</v>
      </c>
      <c r="F1516" t="s">
        <v>5922</v>
      </c>
      <c r="G1516">
        <v>260.86</v>
      </c>
      <c r="H1516">
        <v>208.69</v>
      </c>
      <c r="I1516">
        <v>0</v>
      </c>
      <c r="J1516">
        <v>208.69</v>
      </c>
      <c r="L1516" t="s">
        <v>5922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260.86</v>
      </c>
      <c r="S1516">
        <v>0</v>
      </c>
      <c r="T1516">
        <v>0</v>
      </c>
      <c r="U1516">
        <v>208.69</v>
      </c>
      <c r="V1516">
        <v>0</v>
      </c>
      <c r="W1516">
        <v>234.77</v>
      </c>
      <c r="X1516">
        <v>208.69</v>
      </c>
      <c r="Y1516">
        <v>299.99</v>
      </c>
      <c r="Z1516" t="s">
        <v>5922</v>
      </c>
    </row>
    <row r="1517" spans="1:26" x14ac:dyDescent="0.2">
      <c r="A1517" t="s">
        <v>2653</v>
      </c>
      <c r="B1517" t="s">
        <v>2759</v>
      </c>
      <c r="C1517" t="s">
        <v>2760</v>
      </c>
      <c r="D1517" t="s">
        <v>98</v>
      </c>
      <c r="E1517">
        <v>599.99</v>
      </c>
      <c r="F1517" t="s">
        <v>5922</v>
      </c>
      <c r="G1517">
        <v>521.73</v>
      </c>
      <c r="H1517">
        <v>417.38</v>
      </c>
      <c r="I1517">
        <v>0</v>
      </c>
      <c r="J1517">
        <v>417.38</v>
      </c>
      <c r="L1517" t="s">
        <v>5922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521.73</v>
      </c>
      <c r="S1517">
        <v>0</v>
      </c>
      <c r="T1517">
        <v>0</v>
      </c>
      <c r="U1517">
        <v>417.38</v>
      </c>
      <c r="V1517">
        <v>0</v>
      </c>
      <c r="W1517">
        <v>469.56</v>
      </c>
      <c r="X1517">
        <v>417.38</v>
      </c>
      <c r="Y1517">
        <v>599.99</v>
      </c>
      <c r="Z1517" t="s">
        <v>5922</v>
      </c>
    </row>
    <row r="1518" spans="1:26" x14ac:dyDescent="0.2">
      <c r="A1518" t="s">
        <v>2653</v>
      </c>
      <c r="B1518" t="s">
        <v>2761</v>
      </c>
      <c r="C1518" t="s">
        <v>2762</v>
      </c>
      <c r="D1518" t="s">
        <v>98</v>
      </c>
      <c r="E1518">
        <v>2299.9899999999998</v>
      </c>
      <c r="F1518" t="s">
        <v>5922</v>
      </c>
      <c r="G1518">
        <v>1999.99</v>
      </c>
      <c r="H1518">
        <v>1699.99</v>
      </c>
      <c r="I1518">
        <v>0</v>
      </c>
      <c r="J1518">
        <v>1599.99</v>
      </c>
      <c r="L1518" t="s">
        <v>5922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1999.99</v>
      </c>
      <c r="S1518">
        <v>0</v>
      </c>
      <c r="T1518">
        <v>0</v>
      </c>
      <c r="U1518">
        <v>1599.99</v>
      </c>
      <c r="V1518">
        <v>0</v>
      </c>
      <c r="W1518">
        <v>1799.99</v>
      </c>
      <c r="X1518">
        <v>1599.99</v>
      </c>
      <c r="Y1518">
        <v>2299.9899999999998</v>
      </c>
      <c r="Z1518" t="s">
        <v>5922</v>
      </c>
    </row>
    <row r="1519" spans="1:26" x14ac:dyDescent="0.2">
      <c r="A1519" t="s">
        <v>2653</v>
      </c>
      <c r="B1519" t="s">
        <v>2763</v>
      </c>
      <c r="C1519" t="s">
        <v>2764</v>
      </c>
      <c r="D1519" t="s">
        <v>98</v>
      </c>
      <c r="E1519">
        <v>59.95</v>
      </c>
      <c r="F1519" t="s">
        <v>5922</v>
      </c>
      <c r="G1519">
        <v>59.95</v>
      </c>
      <c r="H1519">
        <v>34.78</v>
      </c>
      <c r="I1519">
        <v>39.119999999999997</v>
      </c>
      <c r="J1519">
        <v>34.78</v>
      </c>
      <c r="L1519" t="s">
        <v>5922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43.47</v>
      </c>
      <c r="S1519">
        <v>0</v>
      </c>
      <c r="T1519">
        <v>0</v>
      </c>
      <c r="U1519">
        <v>45.18</v>
      </c>
      <c r="V1519">
        <v>41.7</v>
      </c>
      <c r="W1519">
        <v>50.83</v>
      </c>
      <c r="X1519">
        <v>45.18</v>
      </c>
      <c r="Y1519">
        <v>59.95</v>
      </c>
      <c r="Z1519" t="s">
        <v>5922</v>
      </c>
    </row>
    <row r="1520" spans="1:26" x14ac:dyDescent="0.2">
      <c r="A1520" t="s">
        <v>2653</v>
      </c>
      <c r="B1520" t="s">
        <v>2765</v>
      </c>
      <c r="C1520" t="s">
        <v>2766</v>
      </c>
      <c r="D1520" t="s">
        <v>98</v>
      </c>
      <c r="E1520">
        <v>69.95</v>
      </c>
      <c r="F1520" t="s">
        <v>5922</v>
      </c>
      <c r="G1520">
        <v>69.95</v>
      </c>
      <c r="H1520">
        <v>41.73</v>
      </c>
      <c r="I1520">
        <v>46.95</v>
      </c>
      <c r="J1520">
        <v>41.73</v>
      </c>
      <c r="L1520" t="s">
        <v>5922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52.17</v>
      </c>
      <c r="S1520">
        <v>0</v>
      </c>
      <c r="T1520">
        <v>0</v>
      </c>
      <c r="U1520">
        <v>52.14</v>
      </c>
      <c r="V1520">
        <v>48.66</v>
      </c>
      <c r="W1520">
        <v>58.66</v>
      </c>
      <c r="X1520">
        <v>52.14</v>
      </c>
      <c r="Y1520">
        <v>69.95</v>
      </c>
      <c r="Z1520" t="s">
        <v>5922</v>
      </c>
    </row>
    <row r="1521" spans="1:26" x14ac:dyDescent="0.2">
      <c r="A1521" t="s">
        <v>2653</v>
      </c>
      <c r="B1521" t="s">
        <v>2767</v>
      </c>
      <c r="C1521" t="s">
        <v>2768</v>
      </c>
      <c r="D1521" t="s">
        <v>98</v>
      </c>
      <c r="E1521">
        <v>74.989999999999995</v>
      </c>
      <c r="F1521" t="s">
        <v>5922</v>
      </c>
      <c r="G1521">
        <v>65.209999999999994</v>
      </c>
      <c r="H1521">
        <v>52.17</v>
      </c>
      <c r="I1521">
        <v>58.69</v>
      </c>
      <c r="J1521">
        <v>52.17</v>
      </c>
      <c r="L1521" t="s">
        <v>5922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65.209999999999994</v>
      </c>
      <c r="S1521">
        <v>0</v>
      </c>
      <c r="T1521">
        <v>0</v>
      </c>
      <c r="U1521">
        <v>59.1</v>
      </c>
      <c r="V1521">
        <v>55.62</v>
      </c>
      <c r="W1521">
        <v>66.48</v>
      </c>
      <c r="X1521">
        <v>59.1</v>
      </c>
      <c r="Y1521">
        <v>72</v>
      </c>
      <c r="Z1521" t="s">
        <v>5922</v>
      </c>
    </row>
    <row r="1522" spans="1:26" x14ac:dyDescent="0.2">
      <c r="A1522" t="s">
        <v>2653</v>
      </c>
      <c r="B1522" t="s">
        <v>2769</v>
      </c>
      <c r="C1522" t="s">
        <v>2770</v>
      </c>
      <c r="D1522" t="s">
        <v>98</v>
      </c>
      <c r="E1522">
        <v>99.99</v>
      </c>
      <c r="F1522" t="s">
        <v>5922</v>
      </c>
      <c r="G1522">
        <v>86.95</v>
      </c>
      <c r="H1522">
        <v>69.56</v>
      </c>
      <c r="I1522">
        <v>78.25</v>
      </c>
      <c r="J1522">
        <v>69.56</v>
      </c>
      <c r="L1522" t="s">
        <v>5922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86.95</v>
      </c>
      <c r="S1522">
        <v>0</v>
      </c>
      <c r="T1522">
        <v>0</v>
      </c>
      <c r="U1522">
        <v>93.88</v>
      </c>
      <c r="V1522">
        <v>90.4</v>
      </c>
      <c r="W1522">
        <v>105.61</v>
      </c>
      <c r="X1522">
        <v>93.88</v>
      </c>
      <c r="Y1522">
        <v>117</v>
      </c>
      <c r="Z1522" t="s">
        <v>5922</v>
      </c>
    </row>
    <row r="1523" spans="1:26" x14ac:dyDescent="0.2">
      <c r="A1523" t="s">
        <v>2653</v>
      </c>
      <c r="B1523" t="s">
        <v>2771</v>
      </c>
      <c r="C1523" t="s">
        <v>2772</v>
      </c>
      <c r="D1523" t="s">
        <v>105</v>
      </c>
      <c r="E1523">
        <v>154.94999999999999</v>
      </c>
      <c r="F1523" t="s">
        <v>7293</v>
      </c>
      <c r="G1523">
        <v>154.94999999999999</v>
      </c>
      <c r="H1523">
        <v>129.34</v>
      </c>
      <c r="I1523">
        <v>125.21</v>
      </c>
      <c r="J1523">
        <v>111.3</v>
      </c>
      <c r="L1523" t="s">
        <v>5922</v>
      </c>
      <c r="M1523">
        <v>0</v>
      </c>
      <c r="N1523">
        <v>0</v>
      </c>
      <c r="O1523">
        <v>0</v>
      </c>
      <c r="P1523">
        <v>0</v>
      </c>
      <c r="Q1523">
        <v>129.34</v>
      </c>
      <c r="R1523">
        <v>129.34</v>
      </c>
      <c r="S1523">
        <v>0</v>
      </c>
      <c r="T1523">
        <v>0</v>
      </c>
      <c r="U1523">
        <v>129.34</v>
      </c>
      <c r="V1523">
        <v>107.79</v>
      </c>
      <c r="W1523">
        <v>125.18</v>
      </c>
      <c r="X1523">
        <v>111.27</v>
      </c>
      <c r="Y1523">
        <v>154.94999999999999</v>
      </c>
      <c r="Z1523" t="s">
        <v>5922</v>
      </c>
    </row>
    <row r="1524" spans="1:26" x14ac:dyDescent="0.2">
      <c r="A1524" t="s">
        <v>2653</v>
      </c>
      <c r="B1524" t="s">
        <v>2773</v>
      </c>
      <c r="C1524" t="s">
        <v>2774</v>
      </c>
      <c r="D1524" t="s">
        <v>98</v>
      </c>
      <c r="E1524">
        <v>159.99</v>
      </c>
      <c r="F1524" t="s">
        <v>5922</v>
      </c>
      <c r="G1524">
        <v>139.12</v>
      </c>
      <c r="H1524">
        <v>111.3</v>
      </c>
      <c r="I1524">
        <v>125.21</v>
      </c>
      <c r="J1524">
        <v>111.3</v>
      </c>
      <c r="L1524" t="s">
        <v>5922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139.12</v>
      </c>
      <c r="S1524">
        <v>0</v>
      </c>
      <c r="T1524">
        <v>0</v>
      </c>
      <c r="U1524">
        <v>111.3</v>
      </c>
      <c r="V1524">
        <v>111.3</v>
      </c>
      <c r="W1524">
        <v>125.21</v>
      </c>
      <c r="X1524">
        <v>111.3</v>
      </c>
      <c r="Y1524">
        <v>128</v>
      </c>
      <c r="Z1524" t="s">
        <v>5922</v>
      </c>
    </row>
    <row r="1525" spans="1:26" x14ac:dyDescent="0.2">
      <c r="A1525" t="s">
        <v>2653</v>
      </c>
      <c r="B1525" t="s">
        <v>2775</v>
      </c>
      <c r="C1525" t="s">
        <v>2776</v>
      </c>
      <c r="D1525" t="s">
        <v>98</v>
      </c>
      <c r="E1525">
        <v>199.95</v>
      </c>
      <c r="F1525" t="s">
        <v>5922</v>
      </c>
      <c r="G1525">
        <v>199.95</v>
      </c>
      <c r="H1525">
        <v>132.16999999999999</v>
      </c>
      <c r="I1525">
        <v>148.69</v>
      </c>
      <c r="J1525">
        <v>132.16999999999999</v>
      </c>
      <c r="L1525" t="s">
        <v>5922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165.21</v>
      </c>
      <c r="S1525">
        <v>0</v>
      </c>
      <c r="T1525">
        <v>0</v>
      </c>
      <c r="U1525">
        <v>142.57</v>
      </c>
      <c r="V1525">
        <v>139.1</v>
      </c>
      <c r="W1525">
        <v>160.4</v>
      </c>
      <c r="X1525">
        <v>142.57</v>
      </c>
      <c r="Y1525">
        <v>199.95</v>
      </c>
      <c r="Z1525" t="s">
        <v>5922</v>
      </c>
    </row>
    <row r="1526" spans="1:26" x14ac:dyDescent="0.2">
      <c r="A1526" t="s">
        <v>2653</v>
      </c>
      <c r="B1526" t="s">
        <v>2777</v>
      </c>
      <c r="C1526" t="s">
        <v>2778</v>
      </c>
      <c r="D1526" t="s">
        <v>98</v>
      </c>
      <c r="E1526">
        <v>259.99</v>
      </c>
      <c r="F1526" t="s">
        <v>5922</v>
      </c>
      <c r="G1526">
        <v>226.08</v>
      </c>
      <c r="H1526">
        <v>180.86</v>
      </c>
      <c r="I1526">
        <v>203.47</v>
      </c>
      <c r="J1526">
        <v>180.86</v>
      </c>
      <c r="L1526" t="s">
        <v>5922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226.08</v>
      </c>
      <c r="S1526">
        <v>0</v>
      </c>
      <c r="T1526">
        <v>0</v>
      </c>
      <c r="U1526">
        <v>187.79</v>
      </c>
      <c r="V1526">
        <v>184.31</v>
      </c>
      <c r="W1526">
        <v>211.27</v>
      </c>
      <c r="X1526">
        <v>187.79</v>
      </c>
      <c r="Y1526">
        <v>198</v>
      </c>
      <c r="Z1526" t="s">
        <v>5922</v>
      </c>
    </row>
    <row r="1527" spans="1:26" x14ac:dyDescent="0.2">
      <c r="A1527" t="s">
        <v>2653</v>
      </c>
      <c r="B1527" t="s">
        <v>2779</v>
      </c>
      <c r="C1527" t="s">
        <v>2780</v>
      </c>
      <c r="D1527" t="s">
        <v>98</v>
      </c>
      <c r="E1527">
        <v>249.99</v>
      </c>
      <c r="F1527" t="s">
        <v>5922</v>
      </c>
      <c r="G1527">
        <v>217.38</v>
      </c>
      <c r="H1527">
        <v>173.91</v>
      </c>
      <c r="I1527">
        <v>195.64</v>
      </c>
      <c r="J1527">
        <v>173.91</v>
      </c>
      <c r="L1527" t="s">
        <v>5922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217.38</v>
      </c>
      <c r="S1527">
        <v>0</v>
      </c>
      <c r="T1527">
        <v>0</v>
      </c>
      <c r="U1527">
        <v>173.91</v>
      </c>
      <c r="V1527">
        <v>173.91</v>
      </c>
      <c r="W1527">
        <v>195.64</v>
      </c>
      <c r="X1527">
        <v>173.91</v>
      </c>
      <c r="Y1527">
        <v>198</v>
      </c>
      <c r="Z1527" t="s">
        <v>5922</v>
      </c>
    </row>
    <row r="1528" spans="1:26" x14ac:dyDescent="0.2">
      <c r="A1528" t="s">
        <v>2653</v>
      </c>
      <c r="B1528" t="s">
        <v>2781</v>
      </c>
      <c r="C1528" t="s">
        <v>2782</v>
      </c>
      <c r="D1528" t="s">
        <v>98</v>
      </c>
      <c r="E1528">
        <v>84.99</v>
      </c>
      <c r="F1528" t="s">
        <v>5922</v>
      </c>
      <c r="G1528">
        <v>73.900000000000006</v>
      </c>
      <c r="H1528">
        <v>59.12</v>
      </c>
      <c r="I1528">
        <v>66.510000000000005</v>
      </c>
      <c r="J1528">
        <v>59.12</v>
      </c>
      <c r="L1528" t="s">
        <v>5922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73.900000000000006</v>
      </c>
      <c r="S1528">
        <v>0</v>
      </c>
      <c r="T1528">
        <v>0</v>
      </c>
      <c r="U1528">
        <v>59.12</v>
      </c>
      <c r="V1528">
        <v>59.12</v>
      </c>
      <c r="W1528">
        <v>66.510000000000005</v>
      </c>
      <c r="X1528">
        <v>59.12</v>
      </c>
      <c r="Y1528">
        <v>69.900000000000006</v>
      </c>
      <c r="Z1528" t="s">
        <v>5922</v>
      </c>
    </row>
    <row r="1529" spans="1:26" x14ac:dyDescent="0.2">
      <c r="A1529" t="s">
        <v>2653</v>
      </c>
      <c r="B1529" t="s">
        <v>2783</v>
      </c>
      <c r="C1529" t="s">
        <v>2784</v>
      </c>
      <c r="D1529" t="s">
        <v>98</v>
      </c>
      <c r="E1529">
        <v>149.99</v>
      </c>
      <c r="F1529" t="s">
        <v>5922</v>
      </c>
      <c r="G1529">
        <v>130.43</v>
      </c>
      <c r="H1529">
        <v>104.34</v>
      </c>
      <c r="I1529">
        <v>117.38</v>
      </c>
      <c r="J1529">
        <v>104.34</v>
      </c>
      <c r="L1529" t="s">
        <v>5922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130.43</v>
      </c>
      <c r="S1529">
        <v>0</v>
      </c>
      <c r="T1529">
        <v>0</v>
      </c>
      <c r="U1529">
        <v>104.34</v>
      </c>
      <c r="V1529">
        <v>104.34</v>
      </c>
      <c r="W1529">
        <v>117.38</v>
      </c>
      <c r="X1529">
        <v>104.34</v>
      </c>
      <c r="Y1529">
        <v>129.9</v>
      </c>
      <c r="Z1529" t="s">
        <v>5922</v>
      </c>
    </row>
    <row r="1530" spans="1:26" x14ac:dyDescent="0.2">
      <c r="A1530" t="s">
        <v>2653</v>
      </c>
      <c r="B1530" t="s">
        <v>2785</v>
      </c>
      <c r="C1530" t="s">
        <v>2786</v>
      </c>
      <c r="D1530" t="s">
        <v>98</v>
      </c>
      <c r="E1530">
        <v>349.99</v>
      </c>
      <c r="F1530" t="s">
        <v>5922</v>
      </c>
      <c r="G1530">
        <v>304.33999999999997</v>
      </c>
      <c r="H1530">
        <v>243.47</v>
      </c>
      <c r="I1530">
        <v>273.91000000000003</v>
      </c>
      <c r="J1530">
        <v>243.47</v>
      </c>
      <c r="L1530" t="s">
        <v>5922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304.33999999999997</v>
      </c>
      <c r="S1530">
        <v>0</v>
      </c>
      <c r="T1530">
        <v>0</v>
      </c>
      <c r="U1530">
        <v>243.47</v>
      </c>
      <c r="V1530">
        <v>243.47</v>
      </c>
      <c r="W1530">
        <v>273.91000000000003</v>
      </c>
      <c r="X1530">
        <v>243.47</v>
      </c>
      <c r="Y1530">
        <v>329</v>
      </c>
      <c r="Z1530" t="s">
        <v>5922</v>
      </c>
    </row>
    <row r="1531" spans="1:26" x14ac:dyDescent="0.2">
      <c r="A1531" t="s">
        <v>2653</v>
      </c>
      <c r="B1531" t="s">
        <v>2787</v>
      </c>
      <c r="C1531" t="s">
        <v>2788</v>
      </c>
      <c r="D1531" t="s">
        <v>98</v>
      </c>
      <c r="E1531">
        <v>629.99</v>
      </c>
      <c r="F1531" t="s">
        <v>5922</v>
      </c>
      <c r="G1531">
        <v>547.82000000000005</v>
      </c>
      <c r="H1531">
        <v>438.25</v>
      </c>
      <c r="I1531">
        <v>0</v>
      </c>
      <c r="J1531">
        <v>438.25</v>
      </c>
      <c r="L1531" t="s">
        <v>5922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547.82000000000005</v>
      </c>
      <c r="S1531">
        <v>0</v>
      </c>
      <c r="T1531">
        <v>0</v>
      </c>
      <c r="U1531">
        <v>438.25</v>
      </c>
      <c r="V1531">
        <v>0</v>
      </c>
      <c r="W1531">
        <v>493.04</v>
      </c>
      <c r="X1531">
        <v>438.25</v>
      </c>
      <c r="Y1531">
        <v>629.99</v>
      </c>
      <c r="Z1531" t="s">
        <v>5922</v>
      </c>
    </row>
    <row r="1532" spans="1:26" x14ac:dyDescent="0.2">
      <c r="A1532" t="s">
        <v>2653</v>
      </c>
      <c r="B1532" t="s">
        <v>2789</v>
      </c>
      <c r="C1532" t="s">
        <v>2790</v>
      </c>
      <c r="D1532" t="s">
        <v>98</v>
      </c>
      <c r="E1532">
        <v>44.99</v>
      </c>
      <c r="F1532" t="s">
        <v>5922</v>
      </c>
      <c r="G1532">
        <v>39.119999999999997</v>
      </c>
      <c r="H1532">
        <v>31.3</v>
      </c>
      <c r="I1532">
        <v>35.21</v>
      </c>
      <c r="J1532">
        <v>31.3</v>
      </c>
      <c r="L1532" t="s">
        <v>5922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39.119999999999997</v>
      </c>
      <c r="S1532">
        <v>0</v>
      </c>
      <c r="T1532">
        <v>0</v>
      </c>
      <c r="U1532">
        <v>31.27</v>
      </c>
      <c r="V1532">
        <v>27.79</v>
      </c>
      <c r="W1532">
        <v>35.18</v>
      </c>
      <c r="X1532">
        <v>31.27</v>
      </c>
      <c r="Y1532">
        <v>36</v>
      </c>
      <c r="Z1532" t="s">
        <v>5922</v>
      </c>
    </row>
    <row r="1533" spans="1:26" x14ac:dyDescent="0.2">
      <c r="A1533" t="s">
        <v>2653</v>
      </c>
      <c r="B1533" t="s">
        <v>2791</v>
      </c>
      <c r="C1533" t="s">
        <v>2792</v>
      </c>
      <c r="D1533" t="s">
        <v>98</v>
      </c>
      <c r="E1533">
        <v>64.989999999999995</v>
      </c>
      <c r="F1533" t="s">
        <v>5922</v>
      </c>
      <c r="G1533">
        <v>56.51</v>
      </c>
      <c r="H1533">
        <v>45.21</v>
      </c>
      <c r="I1533">
        <v>50.86</v>
      </c>
      <c r="J1533">
        <v>45.21</v>
      </c>
      <c r="L1533" t="s">
        <v>5922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56.51</v>
      </c>
      <c r="S1533">
        <v>0</v>
      </c>
      <c r="T1533">
        <v>0</v>
      </c>
      <c r="U1533">
        <v>45.21</v>
      </c>
      <c r="V1533">
        <v>45.21</v>
      </c>
      <c r="W1533">
        <v>50.86</v>
      </c>
      <c r="X1533">
        <v>45.21</v>
      </c>
      <c r="Y1533">
        <v>48</v>
      </c>
      <c r="Z1533" t="s">
        <v>5922</v>
      </c>
    </row>
    <row r="1534" spans="1:26" x14ac:dyDescent="0.2">
      <c r="A1534" t="s">
        <v>2653</v>
      </c>
      <c r="B1534" t="s">
        <v>2793</v>
      </c>
      <c r="C1534" t="s">
        <v>2794</v>
      </c>
      <c r="D1534" t="s">
        <v>98</v>
      </c>
      <c r="E1534">
        <v>64.989999999999995</v>
      </c>
      <c r="F1534" t="s">
        <v>5922</v>
      </c>
      <c r="G1534">
        <v>56.51</v>
      </c>
      <c r="H1534">
        <v>45.21</v>
      </c>
      <c r="I1534">
        <v>50.86</v>
      </c>
      <c r="J1534">
        <v>45.21</v>
      </c>
      <c r="L1534" t="s">
        <v>5922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56.51</v>
      </c>
      <c r="S1534">
        <v>0</v>
      </c>
      <c r="T1534">
        <v>0</v>
      </c>
      <c r="U1534">
        <v>59.1</v>
      </c>
      <c r="V1534">
        <v>55.62</v>
      </c>
      <c r="W1534">
        <v>66.48</v>
      </c>
      <c r="X1534">
        <v>59.1</v>
      </c>
      <c r="Y1534">
        <v>54</v>
      </c>
      <c r="Z1534" t="s">
        <v>5922</v>
      </c>
    </row>
    <row r="1535" spans="1:26" x14ac:dyDescent="0.2">
      <c r="A1535" t="s">
        <v>2653</v>
      </c>
      <c r="B1535" t="s">
        <v>2795</v>
      </c>
      <c r="C1535" t="s">
        <v>2796</v>
      </c>
      <c r="D1535" t="s">
        <v>98</v>
      </c>
      <c r="E1535">
        <v>89.99</v>
      </c>
      <c r="F1535" t="s">
        <v>5922</v>
      </c>
      <c r="G1535">
        <v>78.25</v>
      </c>
      <c r="H1535">
        <v>62.6</v>
      </c>
      <c r="I1535">
        <v>70.430000000000007</v>
      </c>
      <c r="J1535">
        <v>62.6</v>
      </c>
      <c r="L1535" t="s">
        <v>5922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78.25</v>
      </c>
      <c r="S1535">
        <v>0</v>
      </c>
      <c r="T1535">
        <v>0</v>
      </c>
      <c r="U1535">
        <v>62.6</v>
      </c>
      <c r="V1535">
        <v>62.6</v>
      </c>
      <c r="W1535">
        <v>70.430000000000007</v>
      </c>
      <c r="X1535">
        <v>62.6</v>
      </c>
      <c r="Y1535">
        <v>69</v>
      </c>
      <c r="Z1535" t="s">
        <v>5922</v>
      </c>
    </row>
    <row r="1536" spans="1:26" x14ac:dyDescent="0.2">
      <c r="A1536" t="s">
        <v>2653</v>
      </c>
      <c r="B1536" t="s">
        <v>2797</v>
      </c>
      <c r="C1536" t="s">
        <v>2798</v>
      </c>
      <c r="D1536" t="s">
        <v>98</v>
      </c>
      <c r="E1536">
        <v>119.99</v>
      </c>
      <c r="F1536" t="s">
        <v>5922</v>
      </c>
      <c r="G1536">
        <v>104.34</v>
      </c>
      <c r="H1536">
        <v>83.47</v>
      </c>
      <c r="I1536">
        <v>93.91</v>
      </c>
      <c r="J1536">
        <v>83.47</v>
      </c>
      <c r="L1536" t="s">
        <v>5922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104.34</v>
      </c>
      <c r="S1536">
        <v>0</v>
      </c>
      <c r="T1536">
        <v>0</v>
      </c>
      <c r="U1536">
        <v>73.010000000000005</v>
      </c>
      <c r="V1536">
        <v>69.53</v>
      </c>
      <c r="W1536">
        <v>82.13</v>
      </c>
      <c r="X1536">
        <v>73.010000000000005</v>
      </c>
      <c r="Y1536">
        <v>90</v>
      </c>
      <c r="Z1536" t="s">
        <v>5922</v>
      </c>
    </row>
    <row r="1537" spans="1:26" x14ac:dyDescent="0.2">
      <c r="A1537" t="s">
        <v>2653</v>
      </c>
      <c r="B1537" t="s">
        <v>2799</v>
      </c>
      <c r="C1537" t="s">
        <v>2800</v>
      </c>
      <c r="D1537" t="s">
        <v>98</v>
      </c>
      <c r="E1537">
        <v>119.99</v>
      </c>
      <c r="F1537" t="s">
        <v>5922</v>
      </c>
      <c r="G1537">
        <v>104.34</v>
      </c>
      <c r="H1537">
        <v>83.47</v>
      </c>
      <c r="I1537">
        <v>93.91</v>
      </c>
      <c r="J1537">
        <v>83.47</v>
      </c>
      <c r="L1537" t="s">
        <v>5922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104.34</v>
      </c>
      <c r="S1537">
        <v>0</v>
      </c>
      <c r="T1537">
        <v>0</v>
      </c>
      <c r="U1537">
        <v>69.5</v>
      </c>
      <c r="V1537">
        <v>66.02</v>
      </c>
      <c r="W1537">
        <v>78.180000000000007</v>
      </c>
      <c r="X1537">
        <v>69.5</v>
      </c>
      <c r="Y1537">
        <v>85</v>
      </c>
      <c r="Z1537" t="s">
        <v>5922</v>
      </c>
    </row>
    <row r="1538" spans="1:26" x14ac:dyDescent="0.2">
      <c r="A1538" t="s">
        <v>2653</v>
      </c>
      <c r="B1538" t="s">
        <v>2801</v>
      </c>
      <c r="C1538" t="s">
        <v>2802</v>
      </c>
      <c r="D1538" t="s">
        <v>98</v>
      </c>
      <c r="E1538">
        <v>139.99</v>
      </c>
      <c r="F1538" t="s">
        <v>5922</v>
      </c>
      <c r="G1538">
        <v>121.73</v>
      </c>
      <c r="H1538">
        <v>97.38</v>
      </c>
      <c r="I1538">
        <v>109.56</v>
      </c>
      <c r="J1538">
        <v>97.38</v>
      </c>
      <c r="L1538" t="s">
        <v>5922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121.73</v>
      </c>
      <c r="S1538">
        <v>0</v>
      </c>
      <c r="T1538">
        <v>0</v>
      </c>
      <c r="U1538">
        <v>86.92</v>
      </c>
      <c r="V1538">
        <v>83.44</v>
      </c>
      <c r="W1538">
        <v>97.79</v>
      </c>
      <c r="X1538">
        <v>86.92</v>
      </c>
      <c r="Y1538">
        <v>108</v>
      </c>
      <c r="Z1538" t="s">
        <v>5922</v>
      </c>
    </row>
    <row r="1539" spans="1:26" x14ac:dyDescent="0.2">
      <c r="A1539" t="s">
        <v>2653</v>
      </c>
      <c r="B1539" t="s">
        <v>2803</v>
      </c>
      <c r="C1539" t="s">
        <v>2804</v>
      </c>
      <c r="D1539" t="s">
        <v>98</v>
      </c>
      <c r="E1539">
        <v>129.99</v>
      </c>
      <c r="F1539" t="s">
        <v>5922</v>
      </c>
      <c r="G1539">
        <v>113.03</v>
      </c>
      <c r="H1539">
        <v>90.43</v>
      </c>
      <c r="I1539">
        <v>101.73</v>
      </c>
      <c r="J1539">
        <v>90.43</v>
      </c>
      <c r="L1539" t="s">
        <v>5922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113.03</v>
      </c>
      <c r="S1539">
        <v>0</v>
      </c>
      <c r="T1539">
        <v>0</v>
      </c>
      <c r="U1539">
        <v>86.92</v>
      </c>
      <c r="V1539">
        <v>83.44</v>
      </c>
      <c r="W1539">
        <v>97.79</v>
      </c>
      <c r="X1539">
        <v>86.92</v>
      </c>
      <c r="Y1539">
        <v>108</v>
      </c>
      <c r="Z1539" t="s">
        <v>5922</v>
      </c>
    </row>
    <row r="1540" spans="1:26" x14ac:dyDescent="0.2">
      <c r="A1540" t="s">
        <v>2653</v>
      </c>
      <c r="B1540" t="s">
        <v>2805</v>
      </c>
      <c r="C1540" t="s">
        <v>2806</v>
      </c>
      <c r="D1540" t="s">
        <v>98</v>
      </c>
      <c r="E1540">
        <v>129.99</v>
      </c>
      <c r="F1540" t="s">
        <v>5922</v>
      </c>
      <c r="G1540">
        <v>113.03</v>
      </c>
      <c r="H1540">
        <v>90.43</v>
      </c>
      <c r="I1540">
        <v>101.73</v>
      </c>
      <c r="J1540">
        <v>90.43</v>
      </c>
      <c r="L1540" t="s">
        <v>5922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113.03</v>
      </c>
      <c r="S1540">
        <v>0</v>
      </c>
      <c r="T1540">
        <v>0</v>
      </c>
      <c r="U1540">
        <v>90.43</v>
      </c>
      <c r="V1540">
        <v>90.43</v>
      </c>
      <c r="W1540">
        <v>101.73</v>
      </c>
      <c r="X1540">
        <v>90.43</v>
      </c>
      <c r="Y1540">
        <v>98</v>
      </c>
      <c r="Z1540" t="s">
        <v>5922</v>
      </c>
    </row>
    <row r="1541" spans="1:26" x14ac:dyDescent="0.2">
      <c r="A1541" t="s">
        <v>2653</v>
      </c>
      <c r="B1541" t="s">
        <v>2807</v>
      </c>
      <c r="C1541" t="s">
        <v>2808</v>
      </c>
      <c r="D1541" t="s">
        <v>98</v>
      </c>
      <c r="E1541">
        <v>209.99</v>
      </c>
      <c r="F1541" t="s">
        <v>5922</v>
      </c>
      <c r="G1541">
        <v>182.6</v>
      </c>
      <c r="H1541">
        <v>146.08000000000001</v>
      </c>
      <c r="I1541">
        <v>164.34</v>
      </c>
      <c r="J1541">
        <v>146.08000000000001</v>
      </c>
      <c r="L1541" t="s">
        <v>5922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182.6</v>
      </c>
      <c r="S1541">
        <v>0</v>
      </c>
      <c r="T1541">
        <v>0</v>
      </c>
      <c r="U1541">
        <v>146.08000000000001</v>
      </c>
      <c r="V1541">
        <v>146.08000000000001</v>
      </c>
      <c r="W1541">
        <v>164.34</v>
      </c>
      <c r="X1541">
        <v>146.08000000000001</v>
      </c>
      <c r="Y1541">
        <v>179</v>
      </c>
      <c r="Z1541" t="s">
        <v>5922</v>
      </c>
    </row>
    <row r="1542" spans="1:26" x14ac:dyDescent="0.2">
      <c r="A1542" t="s">
        <v>2653</v>
      </c>
      <c r="B1542" t="s">
        <v>2809</v>
      </c>
      <c r="C1542" t="s">
        <v>2810</v>
      </c>
      <c r="D1542" t="s">
        <v>98</v>
      </c>
      <c r="E1542">
        <v>179.99</v>
      </c>
      <c r="F1542" t="s">
        <v>5922</v>
      </c>
      <c r="G1542">
        <v>156.51</v>
      </c>
      <c r="H1542">
        <v>125.21</v>
      </c>
      <c r="I1542">
        <v>140.86000000000001</v>
      </c>
      <c r="J1542">
        <v>125.21</v>
      </c>
      <c r="L1542" t="s">
        <v>5922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156.51</v>
      </c>
      <c r="S1542">
        <v>0</v>
      </c>
      <c r="T1542">
        <v>0</v>
      </c>
      <c r="U1542">
        <v>125.21</v>
      </c>
      <c r="V1542">
        <v>125.21</v>
      </c>
      <c r="W1542">
        <v>140.86000000000001</v>
      </c>
      <c r="X1542">
        <v>125.21</v>
      </c>
      <c r="Y1542">
        <v>148</v>
      </c>
      <c r="Z1542" t="s">
        <v>5922</v>
      </c>
    </row>
    <row r="1543" spans="1:26" x14ac:dyDescent="0.2">
      <c r="A1543" t="s">
        <v>2653</v>
      </c>
      <c r="B1543" t="s">
        <v>2811</v>
      </c>
      <c r="C1543" t="s">
        <v>2812</v>
      </c>
      <c r="D1543" t="s">
        <v>98</v>
      </c>
      <c r="E1543">
        <v>219.99</v>
      </c>
      <c r="F1543" t="s">
        <v>5922</v>
      </c>
      <c r="G1543">
        <v>191.3</v>
      </c>
      <c r="H1543">
        <v>153.04</v>
      </c>
      <c r="I1543">
        <v>172.17</v>
      </c>
      <c r="J1543">
        <v>153.04</v>
      </c>
      <c r="L1543" t="s">
        <v>5922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191.3</v>
      </c>
      <c r="S1543">
        <v>0</v>
      </c>
      <c r="T1543">
        <v>0</v>
      </c>
      <c r="U1543">
        <v>153.04</v>
      </c>
      <c r="V1543">
        <v>153.04</v>
      </c>
      <c r="W1543">
        <v>172.17</v>
      </c>
      <c r="X1543">
        <v>153.04</v>
      </c>
      <c r="Y1543">
        <v>188</v>
      </c>
      <c r="Z1543" t="s">
        <v>5922</v>
      </c>
    </row>
    <row r="1544" spans="1:26" x14ac:dyDescent="0.2">
      <c r="A1544" t="s">
        <v>2653</v>
      </c>
      <c r="B1544" t="s">
        <v>2813</v>
      </c>
      <c r="C1544" t="s">
        <v>2814</v>
      </c>
      <c r="D1544" t="s">
        <v>105</v>
      </c>
      <c r="E1544">
        <v>299.95</v>
      </c>
      <c r="F1544" t="s">
        <v>7294</v>
      </c>
      <c r="G1544">
        <v>299.95</v>
      </c>
      <c r="H1544">
        <v>221.7</v>
      </c>
      <c r="L1544" t="s">
        <v>5922</v>
      </c>
      <c r="Q1544">
        <v>221.7</v>
      </c>
      <c r="R1544">
        <v>221.7</v>
      </c>
      <c r="U1544">
        <v>208.66</v>
      </c>
      <c r="V1544">
        <v>208.66</v>
      </c>
      <c r="W1544">
        <v>234.74</v>
      </c>
      <c r="X1544">
        <v>208.66</v>
      </c>
      <c r="Y1544">
        <v>299.95</v>
      </c>
      <c r="Z1544" t="s">
        <v>5922</v>
      </c>
    </row>
    <row r="1545" spans="1:26" x14ac:dyDescent="0.2">
      <c r="A1545" t="s">
        <v>2653</v>
      </c>
      <c r="B1545" t="s">
        <v>2815</v>
      </c>
      <c r="C1545" t="s">
        <v>2816</v>
      </c>
      <c r="D1545" t="s">
        <v>98</v>
      </c>
      <c r="E1545">
        <v>129.99</v>
      </c>
      <c r="F1545" t="s">
        <v>5922</v>
      </c>
      <c r="G1545">
        <v>113.03</v>
      </c>
      <c r="H1545">
        <v>90.43</v>
      </c>
      <c r="I1545">
        <v>101.73</v>
      </c>
      <c r="J1545">
        <v>90.43</v>
      </c>
      <c r="L1545" t="s">
        <v>5922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113.03</v>
      </c>
      <c r="S1545">
        <v>0</v>
      </c>
      <c r="T1545">
        <v>0</v>
      </c>
      <c r="U1545">
        <v>90.43</v>
      </c>
      <c r="V1545">
        <v>90.43</v>
      </c>
      <c r="W1545">
        <v>101.73</v>
      </c>
      <c r="X1545">
        <v>90.43</v>
      </c>
      <c r="Y1545">
        <v>108</v>
      </c>
      <c r="Z1545" t="s">
        <v>5922</v>
      </c>
    </row>
    <row r="1546" spans="1:26" x14ac:dyDescent="0.2">
      <c r="A1546" t="s">
        <v>2653</v>
      </c>
      <c r="B1546" t="s">
        <v>2817</v>
      </c>
      <c r="C1546" t="s">
        <v>2818</v>
      </c>
      <c r="D1546" t="s">
        <v>105</v>
      </c>
      <c r="E1546">
        <v>179.95</v>
      </c>
      <c r="F1546" t="s">
        <v>7295</v>
      </c>
      <c r="G1546">
        <v>179.95</v>
      </c>
      <c r="H1546">
        <v>133.01</v>
      </c>
      <c r="L1546" t="s">
        <v>5922</v>
      </c>
      <c r="Q1546">
        <v>133.01</v>
      </c>
      <c r="R1546">
        <v>133.01</v>
      </c>
      <c r="U1546">
        <v>139.1</v>
      </c>
      <c r="V1546">
        <v>125.18</v>
      </c>
      <c r="W1546">
        <v>140.83000000000001</v>
      </c>
      <c r="X1546">
        <v>125.18</v>
      </c>
      <c r="Y1546">
        <v>179.95</v>
      </c>
      <c r="Z1546" t="s">
        <v>5922</v>
      </c>
    </row>
    <row r="1547" spans="1:26" x14ac:dyDescent="0.2">
      <c r="A1547" t="s">
        <v>2653</v>
      </c>
      <c r="B1547" t="s">
        <v>2819</v>
      </c>
      <c r="C1547" t="s">
        <v>2820</v>
      </c>
      <c r="D1547" t="s">
        <v>98</v>
      </c>
      <c r="E1547">
        <v>44.99</v>
      </c>
      <c r="F1547" t="s">
        <v>5922</v>
      </c>
      <c r="G1547">
        <v>39.119999999999997</v>
      </c>
      <c r="H1547">
        <v>31.3</v>
      </c>
      <c r="I1547">
        <v>35.21</v>
      </c>
      <c r="J1547">
        <v>31.3</v>
      </c>
      <c r="L1547" t="s">
        <v>5922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39.119999999999997</v>
      </c>
      <c r="S1547">
        <v>0</v>
      </c>
      <c r="T1547">
        <v>0</v>
      </c>
      <c r="U1547">
        <v>31.3</v>
      </c>
      <c r="V1547">
        <v>31.3</v>
      </c>
      <c r="W1547">
        <v>35.21</v>
      </c>
      <c r="X1547">
        <v>31.3</v>
      </c>
      <c r="Y1547">
        <v>29</v>
      </c>
      <c r="Z1547" t="s">
        <v>5922</v>
      </c>
    </row>
    <row r="1548" spans="1:26" x14ac:dyDescent="0.2">
      <c r="A1548" t="s">
        <v>2653</v>
      </c>
      <c r="B1548" t="s">
        <v>2821</v>
      </c>
      <c r="C1548" t="s">
        <v>2822</v>
      </c>
      <c r="D1548" t="s">
        <v>98</v>
      </c>
      <c r="E1548">
        <v>42.99</v>
      </c>
      <c r="F1548" t="s">
        <v>5922</v>
      </c>
      <c r="G1548">
        <v>37.380000000000003</v>
      </c>
      <c r="H1548">
        <v>29.91</v>
      </c>
      <c r="I1548">
        <v>33.64</v>
      </c>
      <c r="J1548">
        <v>29.91</v>
      </c>
      <c r="L1548" t="s">
        <v>5922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37.380000000000003</v>
      </c>
      <c r="S1548">
        <v>0</v>
      </c>
      <c r="T1548">
        <v>0</v>
      </c>
      <c r="U1548">
        <v>29.91</v>
      </c>
      <c r="V1548">
        <v>29.91</v>
      </c>
      <c r="W1548">
        <v>33.64</v>
      </c>
      <c r="X1548">
        <v>29.91</v>
      </c>
      <c r="Y1548">
        <v>28</v>
      </c>
      <c r="Z1548" t="s">
        <v>5922</v>
      </c>
    </row>
    <row r="1549" spans="1:26" x14ac:dyDescent="0.2">
      <c r="A1549" t="s">
        <v>2653</v>
      </c>
      <c r="B1549" t="s">
        <v>2823</v>
      </c>
      <c r="C1549" t="s">
        <v>2824</v>
      </c>
      <c r="D1549" t="s">
        <v>98</v>
      </c>
      <c r="E1549">
        <v>34.950000000000003</v>
      </c>
      <c r="F1549" t="s">
        <v>5922</v>
      </c>
      <c r="G1549">
        <v>34.950000000000003</v>
      </c>
      <c r="H1549">
        <v>29.91</v>
      </c>
      <c r="I1549">
        <v>33.64</v>
      </c>
      <c r="J1549">
        <v>29.91</v>
      </c>
      <c r="L1549" t="s">
        <v>5922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37.380000000000003</v>
      </c>
      <c r="S1549">
        <v>0</v>
      </c>
      <c r="T1549">
        <v>0</v>
      </c>
      <c r="U1549">
        <v>27.79</v>
      </c>
      <c r="V1549">
        <v>24.31</v>
      </c>
      <c r="W1549">
        <v>31.27</v>
      </c>
      <c r="X1549">
        <v>27.79</v>
      </c>
      <c r="Y1549">
        <v>34.950000000000003</v>
      </c>
      <c r="Z1549" t="s">
        <v>5922</v>
      </c>
    </row>
    <row r="1550" spans="1:26" x14ac:dyDescent="0.2">
      <c r="A1550" t="s">
        <v>2653</v>
      </c>
      <c r="B1550" t="s">
        <v>2825</v>
      </c>
      <c r="C1550" t="s">
        <v>2826</v>
      </c>
      <c r="D1550" t="s">
        <v>98</v>
      </c>
      <c r="E1550">
        <v>34.950000000000003</v>
      </c>
      <c r="F1550" t="s">
        <v>5922</v>
      </c>
      <c r="G1550">
        <v>34.950000000000003</v>
      </c>
      <c r="H1550">
        <v>29.91</v>
      </c>
      <c r="I1550">
        <v>33.64</v>
      </c>
      <c r="J1550">
        <v>29.91</v>
      </c>
      <c r="L1550" t="s">
        <v>5922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37.380000000000003</v>
      </c>
      <c r="S1550">
        <v>0</v>
      </c>
      <c r="T1550">
        <v>0</v>
      </c>
      <c r="U1550">
        <v>27.79</v>
      </c>
      <c r="V1550">
        <v>24.31</v>
      </c>
      <c r="W1550">
        <v>31.27</v>
      </c>
      <c r="X1550">
        <v>27.79</v>
      </c>
      <c r="Y1550">
        <v>34.950000000000003</v>
      </c>
      <c r="Z1550" t="s">
        <v>5922</v>
      </c>
    </row>
    <row r="1551" spans="1:26" x14ac:dyDescent="0.2">
      <c r="A1551" t="s">
        <v>2653</v>
      </c>
      <c r="B1551" t="s">
        <v>2827</v>
      </c>
      <c r="C1551" t="s">
        <v>2828</v>
      </c>
      <c r="D1551" t="s">
        <v>98</v>
      </c>
      <c r="E1551">
        <v>49.99</v>
      </c>
      <c r="F1551" t="s">
        <v>5922</v>
      </c>
      <c r="G1551">
        <v>43.47</v>
      </c>
      <c r="H1551">
        <v>34.78</v>
      </c>
      <c r="I1551">
        <v>39.119999999999997</v>
      </c>
      <c r="J1551">
        <v>34.78</v>
      </c>
      <c r="L1551" t="s">
        <v>5922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43.47</v>
      </c>
      <c r="S1551">
        <v>0</v>
      </c>
      <c r="T1551">
        <v>0</v>
      </c>
      <c r="U1551">
        <v>31.27</v>
      </c>
      <c r="V1551">
        <v>27.79</v>
      </c>
      <c r="W1551">
        <v>35.18</v>
      </c>
      <c r="X1551">
        <v>31.27</v>
      </c>
      <c r="Y1551">
        <v>36</v>
      </c>
      <c r="Z1551" t="s">
        <v>5922</v>
      </c>
    </row>
    <row r="1552" spans="1:26" x14ac:dyDescent="0.2">
      <c r="A1552" t="s">
        <v>2653</v>
      </c>
      <c r="B1552" t="s">
        <v>2829</v>
      </c>
      <c r="C1552" t="s">
        <v>2830</v>
      </c>
      <c r="D1552" t="s">
        <v>98</v>
      </c>
      <c r="E1552">
        <v>39.950000000000003</v>
      </c>
      <c r="F1552" t="s">
        <v>5922</v>
      </c>
      <c r="G1552">
        <v>39.950000000000003</v>
      </c>
      <c r="H1552">
        <v>34.78</v>
      </c>
      <c r="I1552">
        <v>39.119999999999997</v>
      </c>
      <c r="J1552">
        <v>34.78</v>
      </c>
      <c r="L1552" t="s">
        <v>5922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43.47</v>
      </c>
      <c r="S1552">
        <v>0</v>
      </c>
      <c r="T1552">
        <v>0</v>
      </c>
      <c r="U1552">
        <v>31.27</v>
      </c>
      <c r="V1552">
        <v>27.79</v>
      </c>
      <c r="W1552">
        <v>35.18</v>
      </c>
      <c r="X1552">
        <v>31.27</v>
      </c>
      <c r="Y1552">
        <v>39.950000000000003</v>
      </c>
      <c r="Z1552" t="s">
        <v>5922</v>
      </c>
    </row>
    <row r="1553" spans="1:26" x14ac:dyDescent="0.2">
      <c r="A1553" t="s">
        <v>2653</v>
      </c>
      <c r="B1553" t="s">
        <v>2831</v>
      </c>
      <c r="C1553" t="s">
        <v>2832</v>
      </c>
      <c r="D1553" t="s">
        <v>98</v>
      </c>
      <c r="E1553">
        <v>49.99</v>
      </c>
      <c r="F1553" t="s">
        <v>5922</v>
      </c>
      <c r="G1553">
        <v>43.47</v>
      </c>
      <c r="H1553">
        <v>34.78</v>
      </c>
      <c r="I1553">
        <v>39.119999999999997</v>
      </c>
      <c r="J1553">
        <v>34.78</v>
      </c>
      <c r="L1553" t="s">
        <v>5922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43.47</v>
      </c>
      <c r="S1553">
        <v>0</v>
      </c>
      <c r="T1553">
        <v>0</v>
      </c>
      <c r="U1553">
        <v>31.27</v>
      </c>
      <c r="V1553">
        <v>27.79</v>
      </c>
      <c r="W1553">
        <v>35.18</v>
      </c>
      <c r="X1553">
        <v>31.27</v>
      </c>
      <c r="Y1553">
        <v>36</v>
      </c>
      <c r="Z1553" t="s">
        <v>5922</v>
      </c>
    </row>
    <row r="1554" spans="1:26" x14ac:dyDescent="0.2">
      <c r="A1554" t="s">
        <v>2653</v>
      </c>
      <c r="B1554" t="s">
        <v>2833</v>
      </c>
      <c r="C1554" t="s">
        <v>2834</v>
      </c>
      <c r="D1554" t="s">
        <v>98</v>
      </c>
      <c r="E1554">
        <v>49.99</v>
      </c>
      <c r="F1554" t="s">
        <v>5922</v>
      </c>
      <c r="G1554">
        <v>43.47</v>
      </c>
      <c r="H1554">
        <v>34.78</v>
      </c>
      <c r="I1554">
        <v>39.119999999999997</v>
      </c>
      <c r="J1554">
        <v>34.78</v>
      </c>
      <c r="L1554" t="s">
        <v>5922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43.47</v>
      </c>
      <c r="S1554">
        <v>0</v>
      </c>
      <c r="T1554">
        <v>0</v>
      </c>
      <c r="U1554">
        <v>31.27</v>
      </c>
      <c r="V1554">
        <v>27.79</v>
      </c>
      <c r="W1554">
        <v>35.18</v>
      </c>
      <c r="X1554">
        <v>31.27</v>
      </c>
      <c r="Y1554">
        <v>34</v>
      </c>
      <c r="Z1554" t="s">
        <v>5922</v>
      </c>
    </row>
    <row r="1555" spans="1:26" x14ac:dyDescent="0.2">
      <c r="A1555" t="s">
        <v>2653</v>
      </c>
      <c r="B1555" t="s">
        <v>2835</v>
      </c>
      <c r="C1555" t="s">
        <v>2836</v>
      </c>
      <c r="D1555" t="s">
        <v>98</v>
      </c>
      <c r="E1555">
        <v>49.99</v>
      </c>
      <c r="F1555" t="s">
        <v>5922</v>
      </c>
      <c r="G1555">
        <v>43.47</v>
      </c>
      <c r="H1555">
        <v>34.78</v>
      </c>
      <c r="I1555">
        <v>39.119999999999997</v>
      </c>
      <c r="J1555">
        <v>34.78</v>
      </c>
      <c r="L1555" t="s">
        <v>5922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43.47</v>
      </c>
      <c r="S1555">
        <v>0</v>
      </c>
      <c r="T1555">
        <v>0</v>
      </c>
      <c r="U1555">
        <v>31.27</v>
      </c>
      <c r="V1555">
        <v>27.79</v>
      </c>
      <c r="W1555">
        <v>35.18</v>
      </c>
      <c r="X1555">
        <v>31.27</v>
      </c>
      <c r="Y1555">
        <v>34</v>
      </c>
      <c r="Z1555" t="s">
        <v>5922</v>
      </c>
    </row>
    <row r="1556" spans="1:26" x14ac:dyDescent="0.2">
      <c r="A1556" t="s">
        <v>2653</v>
      </c>
      <c r="B1556" t="s">
        <v>2837</v>
      </c>
      <c r="C1556" t="s">
        <v>2838</v>
      </c>
      <c r="D1556" t="s">
        <v>98</v>
      </c>
      <c r="E1556">
        <v>49.99</v>
      </c>
      <c r="F1556" t="s">
        <v>5922</v>
      </c>
      <c r="G1556">
        <v>43.47</v>
      </c>
      <c r="H1556">
        <v>34.78</v>
      </c>
      <c r="I1556">
        <v>39.119999999999997</v>
      </c>
      <c r="J1556">
        <v>34.78</v>
      </c>
      <c r="L1556" t="s">
        <v>5922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43.47</v>
      </c>
      <c r="S1556">
        <v>0</v>
      </c>
      <c r="T1556">
        <v>0</v>
      </c>
      <c r="U1556">
        <v>31.27</v>
      </c>
      <c r="V1556">
        <v>27.79</v>
      </c>
      <c r="W1556">
        <v>35.18</v>
      </c>
      <c r="X1556">
        <v>31.27</v>
      </c>
      <c r="Y1556">
        <v>36</v>
      </c>
      <c r="Z1556" t="s">
        <v>5922</v>
      </c>
    </row>
    <row r="1557" spans="1:26" x14ac:dyDescent="0.2">
      <c r="A1557" t="s">
        <v>2653</v>
      </c>
      <c r="B1557" t="s">
        <v>2839</v>
      </c>
      <c r="C1557" t="s">
        <v>2840</v>
      </c>
      <c r="D1557" t="s">
        <v>98</v>
      </c>
      <c r="E1557">
        <v>39.99</v>
      </c>
      <c r="F1557" t="s">
        <v>5922</v>
      </c>
      <c r="G1557">
        <v>34.770000000000003</v>
      </c>
      <c r="H1557">
        <v>27.82</v>
      </c>
      <c r="I1557">
        <v>31.3</v>
      </c>
      <c r="J1557">
        <v>27.82</v>
      </c>
      <c r="L1557" t="s">
        <v>5922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34.770000000000003</v>
      </c>
      <c r="S1557">
        <v>0</v>
      </c>
      <c r="T1557">
        <v>0</v>
      </c>
      <c r="U1557">
        <v>27.82</v>
      </c>
      <c r="V1557">
        <v>27.82</v>
      </c>
      <c r="W1557">
        <v>31.3</v>
      </c>
      <c r="X1557">
        <v>27.82</v>
      </c>
      <c r="Y1557">
        <v>29</v>
      </c>
      <c r="Z1557" t="s">
        <v>5922</v>
      </c>
    </row>
    <row r="1558" spans="1:26" x14ac:dyDescent="0.2">
      <c r="A1558" t="s">
        <v>2653</v>
      </c>
      <c r="B1558" t="s">
        <v>2841</v>
      </c>
      <c r="C1558" t="s">
        <v>2842</v>
      </c>
      <c r="D1558" t="s">
        <v>98</v>
      </c>
      <c r="E1558">
        <v>49.99</v>
      </c>
      <c r="F1558" t="s">
        <v>5922</v>
      </c>
      <c r="G1558">
        <v>43.47</v>
      </c>
      <c r="H1558">
        <v>34.78</v>
      </c>
      <c r="I1558">
        <v>39.119999999999997</v>
      </c>
      <c r="J1558">
        <v>34.78</v>
      </c>
      <c r="L1558" t="s">
        <v>5922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43.47</v>
      </c>
      <c r="S1558">
        <v>0</v>
      </c>
      <c r="T1558">
        <v>0</v>
      </c>
      <c r="U1558">
        <v>38.229999999999997</v>
      </c>
      <c r="V1558">
        <v>34.75</v>
      </c>
      <c r="W1558">
        <v>43</v>
      </c>
      <c r="X1558">
        <v>38.229999999999997</v>
      </c>
      <c r="Y1558">
        <v>45</v>
      </c>
      <c r="Z1558" t="s">
        <v>5922</v>
      </c>
    </row>
    <row r="1559" spans="1:26" x14ac:dyDescent="0.2">
      <c r="A1559" t="s">
        <v>2653</v>
      </c>
      <c r="B1559" t="s">
        <v>2843</v>
      </c>
      <c r="C1559" t="s">
        <v>2844</v>
      </c>
      <c r="D1559" t="s">
        <v>98</v>
      </c>
      <c r="E1559">
        <v>49.99</v>
      </c>
      <c r="F1559" t="s">
        <v>5922</v>
      </c>
      <c r="G1559">
        <v>43.47</v>
      </c>
      <c r="H1559">
        <v>34.78</v>
      </c>
      <c r="I1559">
        <v>39.119999999999997</v>
      </c>
      <c r="J1559">
        <v>34.78</v>
      </c>
      <c r="L1559" t="s">
        <v>5922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43.47</v>
      </c>
      <c r="S1559">
        <v>0</v>
      </c>
      <c r="T1559">
        <v>0</v>
      </c>
      <c r="U1559">
        <v>38.229999999999997</v>
      </c>
      <c r="V1559">
        <v>34.75</v>
      </c>
      <c r="W1559">
        <v>43</v>
      </c>
      <c r="X1559">
        <v>38.229999999999997</v>
      </c>
      <c r="Y1559">
        <v>45</v>
      </c>
      <c r="Z1559" t="s">
        <v>5922</v>
      </c>
    </row>
    <row r="1560" spans="1:26" x14ac:dyDescent="0.2">
      <c r="A1560" t="s">
        <v>2653</v>
      </c>
      <c r="B1560" t="s">
        <v>2845</v>
      </c>
      <c r="C1560" t="s">
        <v>2846</v>
      </c>
      <c r="D1560" t="s">
        <v>98</v>
      </c>
      <c r="E1560">
        <v>44.9</v>
      </c>
      <c r="F1560" t="s">
        <v>5922</v>
      </c>
      <c r="G1560">
        <v>44.9</v>
      </c>
      <c r="H1560">
        <v>41.73</v>
      </c>
      <c r="I1560">
        <v>46.95</v>
      </c>
      <c r="J1560">
        <v>41.73</v>
      </c>
      <c r="L1560" t="s">
        <v>5922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52.17</v>
      </c>
      <c r="S1560">
        <v>0</v>
      </c>
      <c r="T1560">
        <v>0</v>
      </c>
      <c r="U1560">
        <v>34.71</v>
      </c>
      <c r="V1560">
        <v>31.23</v>
      </c>
      <c r="W1560">
        <v>39.049999999999997</v>
      </c>
      <c r="X1560">
        <v>34.71</v>
      </c>
      <c r="Y1560">
        <v>44.9</v>
      </c>
      <c r="Z1560" t="s">
        <v>5922</v>
      </c>
    </row>
    <row r="1561" spans="1:26" x14ac:dyDescent="0.2">
      <c r="A1561" t="s">
        <v>2653</v>
      </c>
      <c r="B1561" t="s">
        <v>2847</v>
      </c>
      <c r="C1561" t="s">
        <v>2848</v>
      </c>
      <c r="D1561" t="s">
        <v>98</v>
      </c>
      <c r="E1561">
        <v>74.989999999999995</v>
      </c>
      <c r="F1561" t="s">
        <v>5922</v>
      </c>
      <c r="G1561">
        <v>65.209999999999994</v>
      </c>
      <c r="H1561">
        <v>52.17</v>
      </c>
      <c r="I1561">
        <v>58.69</v>
      </c>
      <c r="J1561">
        <v>52.17</v>
      </c>
      <c r="L1561" t="s">
        <v>5922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65.209999999999994</v>
      </c>
      <c r="S1561">
        <v>0</v>
      </c>
      <c r="T1561">
        <v>0</v>
      </c>
      <c r="U1561">
        <v>41.67</v>
      </c>
      <c r="V1561">
        <v>38.19</v>
      </c>
      <c r="W1561">
        <v>46.88</v>
      </c>
      <c r="X1561">
        <v>41.67</v>
      </c>
      <c r="Y1561">
        <v>49</v>
      </c>
      <c r="Z1561" t="s">
        <v>5922</v>
      </c>
    </row>
    <row r="1562" spans="1:26" x14ac:dyDescent="0.2">
      <c r="A1562" t="s">
        <v>2653</v>
      </c>
      <c r="B1562" t="s">
        <v>2849</v>
      </c>
      <c r="C1562" t="s">
        <v>2850</v>
      </c>
      <c r="D1562" t="s">
        <v>98</v>
      </c>
      <c r="E1562">
        <v>74.989999999999995</v>
      </c>
      <c r="F1562" t="s">
        <v>5922</v>
      </c>
      <c r="G1562">
        <v>65.209999999999994</v>
      </c>
      <c r="H1562">
        <v>52.17</v>
      </c>
      <c r="I1562">
        <v>58.69</v>
      </c>
      <c r="J1562">
        <v>52.17</v>
      </c>
      <c r="L1562" t="s">
        <v>5922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65.209999999999994</v>
      </c>
      <c r="S1562">
        <v>0</v>
      </c>
      <c r="T1562">
        <v>0</v>
      </c>
      <c r="U1562">
        <v>52.17</v>
      </c>
      <c r="V1562">
        <v>52.17</v>
      </c>
      <c r="W1562">
        <v>58.69</v>
      </c>
      <c r="X1562">
        <v>52.17</v>
      </c>
      <c r="Y1562">
        <v>58</v>
      </c>
      <c r="Z1562" t="s">
        <v>5922</v>
      </c>
    </row>
    <row r="1563" spans="1:26" x14ac:dyDescent="0.2">
      <c r="A1563" t="s">
        <v>2653</v>
      </c>
      <c r="B1563" t="s">
        <v>2851</v>
      </c>
      <c r="C1563" t="s">
        <v>2852</v>
      </c>
      <c r="D1563" t="s">
        <v>98</v>
      </c>
      <c r="E1563">
        <v>74.989999999999995</v>
      </c>
      <c r="F1563" t="s">
        <v>5922</v>
      </c>
      <c r="G1563">
        <v>65.209999999999994</v>
      </c>
      <c r="H1563">
        <v>52.17</v>
      </c>
      <c r="I1563">
        <v>58.69</v>
      </c>
      <c r="J1563">
        <v>52.17</v>
      </c>
      <c r="L1563" t="s">
        <v>5922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65.209999999999994</v>
      </c>
      <c r="S1563">
        <v>0</v>
      </c>
      <c r="T1563">
        <v>0</v>
      </c>
      <c r="U1563">
        <v>52.17</v>
      </c>
      <c r="V1563">
        <v>52.17</v>
      </c>
      <c r="W1563">
        <v>58.69</v>
      </c>
      <c r="X1563">
        <v>52.17</v>
      </c>
      <c r="Y1563">
        <v>58</v>
      </c>
      <c r="Z1563" t="s">
        <v>5922</v>
      </c>
    </row>
    <row r="1564" spans="1:26" x14ac:dyDescent="0.2">
      <c r="A1564" t="s">
        <v>2653</v>
      </c>
      <c r="B1564" t="s">
        <v>2853</v>
      </c>
      <c r="C1564" t="s">
        <v>2854</v>
      </c>
      <c r="D1564" t="s">
        <v>98</v>
      </c>
      <c r="E1564">
        <v>59.99</v>
      </c>
      <c r="F1564" t="s">
        <v>5922</v>
      </c>
      <c r="G1564">
        <v>52.17</v>
      </c>
      <c r="H1564">
        <v>41.73</v>
      </c>
      <c r="I1564">
        <v>46.95</v>
      </c>
      <c r="J1564">
        <v>41.73</v>
      </c>
      <c r="L1564" t="s">
        <v>5922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52.17</v>
      </c>
      <c r="S1564">
        <v>0</v>
      </c>
      <c r="T1564">
        <v>0</v>
      </c>
      <c r="U1564">
        <v>41.7</v>
      </c>
      <c r="V1564">
        <v>41.73</v>
      </c>
      <c r="W1564">
        <v>46.92</v>
      </c>
      <c r="X1564">
        <v>41.7</v>
      </c>
      <c r="Y1564">
        <v>49</v>
      </c>
      <c r="Z1564" t="s">
        <v>5922</v>
      </c>
    </row>
    <row r="1565" spans="1:26" x14ac:dyDescent="0.2">
      <c r="A1565" t="s">
        <v>2653</v>
      </c>
      <c r="B1565" t="s">
        <v>2855</v>
      </c>
      <c r="C1565" t="s">
        <v>2856</v>
      </c>
      <c r="D1565" t="s">
        <v>98</v>
      </c>
      <c r="E1565">
        <v>59.99</v>
      </c>
      <c r="F1565" t="s">
        <v>5922</v>
      </c>
      <c r="G1565">
        <v>52.17</v>
      </c>
      <c r="H1565">
        <v>41.73</v>
      </c>
      <c r="I1565">
        <v>46.95</v>
      </c>
      <c r="J1565">
        <v>41.73</v>
      </c>
      <c r="L1565" t="s">
        <v>5922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52.17</v>
      </c>
      <c r="S1565">
        <v>0</v>
      </c>
      <c r="T1565">
        <v>0</v>
      </c>
      <c r="U1565">
        <v>41.73</v>
      </c>
      <c r="V1565">
        <v>41.73</v>
      </c>
      <c r="W1565">
        <v>46.95</v>
      </c>
      <c r="X1565">
        <v>41.73</v>
      </c>
      <c r="Y1565">
        <v>44</v>
      </c>
      <c r="Z1565" t="s">
        <v>5922</v>
      </c>
    </row>
    <row r="1566" spans="1:26" x14ac:dyDescent="0.2">
      <c r="A1566" t="s">
        <v>2653</v>
      </c>
      <c r="B1566" t="s">
        <v>2857</v>
      </c>
      <c r="C1566" t="s">
        <v>2858</v>
      </c>
      <c r="D1566" t="s">
        <v>98</v>
      </c>
      <c r="E1566">
        <v>59.99</v>
      </c>
      <c r="F1566" t="s">
        <v>5922</v>
      </c>
      <c r="G1566">
        <v>52.17</v>
      </c>
      <c r="H1566">
        <v>41.73</v>
      </c>
      <c r="I1566">
        <v>46.95</v>
      </c>
      <c r="J1566">
        <v>41.73</v>
      </c>
      <c r="L1566" t="s">
        <v>5922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52.17</v>
      </c>
      <c r="S1566">
        <v>0</v>
      </c>
      <c r="T1566">
        <v>0</v>
      </c>
      <c r="U1566">
        <v>41.73</v>
      </c>
      <c r="V1566">
        <v>41.73</v>
      </c>
      <c r="W1566">
        <v>46.95</v>
      </c>
      <c r="X1566">
        <v>41.73</v>
      </c>
      <c r="Y1566">
        <v>44</v>
      </c>
      <c r="Z1566" t="s">
        <v>5922</v>
      </c>
    </row>
    <row r="1567" spans="1:26" x14ac:dyDescent="0.2">
      <c r="A1567" t="s">
        <v>2653</v>
      </c>
      <c r="B1567" t="s">
        <v>2859</v>
      </c>
      <c r="C1567" t="s">
        <v>2860</v>
      </c>
      <c r="D1567" t="s">
        <v>98</v>
      </c>
      <c r="E1567">
        <v>59.99</v>
      </c>
      <c r="F1567" t="s">
        <v>5922</v>
      </c>
      <c r="G1567">
        <v>52.17</v>
      </c>
      <c r="H1567">
        <v>41.73</v>
      </c>
      <c r="I1567">
        <v>46.95</v>
      </c>
      <c r="J1567">
        <v>41.73</v>
      </c>
      <c r="L1567" t="s">
        <v>5922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52.17</v>
      </c>
      <c r="S1567">
        <v>0</v>
      </c>
      <c r="T1567">
        <v>0</v>
      </c>
      <c r="U1567">
        <v>45.18</v>
      </c>
      <c r="V1567">
        <v>41.73</v>
      </c>
      <c r="W1567">
        <v>50.83</v>
      </c>
      <c r="X1567">
        <v>45.18</v>
      </c>
      <c r="Y1567">
        <v>54</v>
      </c>
      <c r="Z1567" t="s">
        <v>5922</v>
      </c>
    </row>
    <row r="1568" spans="1:26" x14ac:dyDescent="0.2">
      <c r="A1568" t="s">
        <v>2653</v>
      </c>
      <c r="B1568" t="s">
        <v>2861</v>
      </c>
      <c r="C1568" t="s">
        <v>2862</v>
      </c>
      <c r="D1568" t="s">
        <v>98</v>
      </c>
      <c r="E1568">
        <v>59.99</v>
      </c>
      <c r="F1568" t="s">
        <v>5922</v>
      </c>
      <c r="G1568">
        <v>52.17</v>
      </c>
      <c r="H1568">
        <v>41.73</v>
      </c>
      <c r="I1568">
        <v>46.95</v>
      </c>
      <c r="J1568">
        <v>41.73</v>
      </c>
      <c r="L1568" t="s">
        <v>5922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52.17</v>
      </c>
      <c r="S1568">
        <v>0</v>
      </c>
      <c r="T1568">
        <v>0</v>
      </c>
      <c r="U1568">
        <v>45.18</v>
      </c>
      <c r="V1568">
        <v>41.73</v>
      </c>
      <c r="W1568">
        <v>50.83</v>
      </c>
      <c r="X1568">
        <v>45.18</v>
      </c>
      <c r="Y1568">
        <v>54</v>
      </c>
      <c r="Z1568" t="s">
        <v>5922</v>
      </c>
    </row>
    <row r="1569" spans="1:26" x14ac:dyDescent="0.2">
      <c r="A1569" t="s">
        <v>2653</v>
      </c>
      <c r="B1569" t="s">
        <v>2863</v>
      </c>
      <c r="C1569" t="s">
        <v>2864</v>
      </c>
      <c r="D1569" t="s">
        <v>98</v>
      </c>
      <c r="E1569">
        <v>99.99</v>
      </c>
      <c r="F1569" t="s">
        <v>5922</v>
      </c>
      <c r="G1569">
        <v>86.95</v>
      </c>
      <c r="H1569">
        <v>69.56</v>
      </c>
      <c r="I1569">
        <v>78.25</v>
      </c>
      <c r="J1569">
        <v>69.56</v>
      </c>
      <c r="L1569" t="s">
        <v>5922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86.95</v>
      </c>
      <c r="S1569">
        <v>0</v>
      </c>
      <c r="T1569">
        <v>0</v>
      </c>
      <c r="U1569">
        <v>69.56</v>
      </c>
      <c r="V1569">
        <v>69.56</v>
      </c>
      <c r="W1569">
        <v>78.25</v>
      </c>
      <c r="X1569">
        <v>69.56</v>
      </c>
      <c r="Y1569">
        <v>79</v>
      </c>
      <c r="Z1569" t="s">
        <v>5922</v>
      </c>
    </row>
    <row r="1570" spans="1:26" x14ac:dyDescent="0.2">
      <c r="A1570" t="s">
        <v>2653</v>
      </c>
      <c r="B1570" t="s">
        <v>2865</v>
      </c>
      <c r="C1570" t="s">
        <v>2866</v>
      </c>
      <c r="D1570" t="s">
        <v>98</v>
      </c>
      <c r="E1570">
        <v>84.99</v>
      </c>
      <c r="F1570" t="s">
        <v>5922</v>
      </c>
      <c r="G1570">
        <v>73.900000000000006</v>
      </c>
      <c r="H1570">
        <v>59.12</v>
      </c>
      <c r="I1570">
        <v>66.510000000000005</v>
      </c>
      <c r="J1570">
        <v>59.12</v>
      </c>
      <c r="L1570" t="s">
        <v>5922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73.900000000000006</v>
      </c>
      <c r="S1570">
        <v>0</v>
      </c>
      <c r="T1570">
        <v>0</v>
      </c>
      <c r="U1570">
        <v>59.12</v>
      </c>
      <c r="V1570">
        <v>59.12</v>
      </c>
      <c r="W1570">
        <v>66.510000000000005</v>
      </c>
      <c r="X1570">
        <v>59.12</v>
      </c>
      <c r="Y1570">
        <v>68</v>
      </c>
      <c r="Z1570" t="s">
        <v>5922</v>
      </c>
    </row>
    <row r="1571" spans="1:26" x14ac:dyDescent="0.2">
      <c r="A1571" t="s">
        <v>2653</v>
      </c>
      <c r="B1571" t="s">
        <v>2867</v>
      </c>
      <c r="C1571" t="s">
        <v>2868</v>
      </c>
      <c r="D1571" t="s">
        <v>98</v>
      </c>
      <c r="E1571">
        <v>109.99</v>
      </c>
      <c r="F1571" t="s">
        <v>5922</v>
      </c>
      <c r="G1571">
        <v>95.64</v>
      </c>
      <c r="H1571">
        <v>76.510000000000005</v>
      </c>
      <c r="I1571">
        <v>86.08</v>
      </c>
      <c r="J1571">
        <v>76.510000000000005</v>
      </c>
      <c r="L1571" t="s">
        <v>5922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95.64</v>
      </c>
      <c r="S1571">
        <v>0</v>
      </c>
      <c r="T1571">
        <v>0</v>
      </c>
      <c r="U1571">
        <v>59.06</v>
      </c>
      <c r="V1571">
        <v>55.58</v>
      </c>
      <c r="W1571">
        <v>66.44</v>
      </c>
      <c r="X1571">
        <v>59.06</v>
      </c>
      <c r="Y1571">
        <v>72</v>
      </c>
      <c r="Z1571" t="s">
        <v>5922</v>
      </c>
    </row>
    <row r="1572" spans="1:26" x14ac:dyDescent="0.2">
      <c r="A1572" t="s">
        <v>2653</v>
      </c>
      <c r="B1572" t="s">
        <v>2869</v>
      </c>
      <c r="C1572" t="s">
        <v>2870</v>
      </c>
      <c r="D1572" t="s">
        <v>105</v>
      </c>
      <c r="E1572">
        <v>129.94999999999999</v>
      </c>
      <c r="F1572" t="s">
        <v>7296</v>
      </c>
      <c r="H1572">
        <v>96.05</v>
      </c>
      <c r="I1572">
        <v>109.56</v>
      </c>
      <c r="J1572">
        <v>97.38</v>
      </c>
      <c r="L1572" t="s">
        <v>5922</v>
      </c>
      <c r="M1572">
        <v>0</v>
      </c>
      <c r="N1572">
        <v>0</v>
      </c>
      <c r="O1572">
        <v>0</v>
      </c>
      <c r="P1572">
        <v>0</v>
      </c>
      <c r="Q1572">
        <v>96.05</v>
      </c>
      <c r="R1572">
        <v>96.05</v>
      </c>
      <c r="S1572">
        <v>0</v>
      </c>
      <c r="T1572">
        <v>0</v>
      </c>
      <c r="U1572">
        <v>93.88</v>
      </c>
      <c r="V1572">
        <v>90.4</v>
      </c>
      <c r="W1572">
        <v>105.61</v>
      </c>
      <c r="X1572">
        <v>93.88</v>
      </c>
      <c r="Y1572">
        <v>129.94999999999999</v>
      </c>
      <c r="Z1572" t="s">
        <v>5922</v>
      </c>
    </row>
    <row r="1573" spans="1:26" x14ac:dyDescent="0.2">
      <c r="A1573" t="s">
        <v>2653</v>
      </c>
      <c r="B1573" t="s">
        <v>2871</v>
      </c>
      <c r="C1573" t="s">
        <v>2872</v>
      </c>
      <c r="D1573" t="s">
        <v>98</v>
      </c>
      <c r="E1573">
        <v>39.99</v>
      </c>
      <c r="F1573" t="s">
        <v>5922</v>
      </c>
      <c r="G1573">
        <v>34.770000000000003</v>
      </c>
      <c r="H1573">
        <v>27.82</v>
      </c>
      <c r="I1573">
        <v>31.3</v>
      </c>
      <c r="J1573">
        <v>27.82</v>
      </c>
      <c r="L1573" t="s">
        <v>5922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34.770000000000003</v>
      </c>
      <c r="S1573">
        <v>0</v>
      </c>
      <c r="T1573">
        <v>0</v>
      </c>
      <c r="U1573">
        <v>20.83</v>
      </c>
      <c r="V1573">
        <v>17.36</v>
      </c>
      <c r="W1573">
        <v>23.44</v>
      </c>
      <c r="X1573">
        <v>20.83</v>
      </c>
      <c r="Y1573">
        <v>22</v>
      </c>
      <c r="Z1573" t="s">
        <v>5922</v>
      </c>
    </row>
    <row r="1574" spans="1:26" x14ac:dyDescent="0.2">
      <c r="A1574" t="s">
        <v>2653</v>
      </c>
      <c r="B1574" t="s">
        <v>2873</v>
      </c>
      <c r="C1574" t="s">
        <v>2874</v>
      </c>
      <c r="D1574" t="s">
        <v>98</v>
      </c>
      <c r="E1574">
        <v>1899.99</v>
      </c>
      <c r="F1574" t="s">
        <v>5922</v>
      </c>
      <c r="G1574">
        <v>1652.17</v>
      </c>
      <c r="H1574">
        <v>1404.34</v>
      </c>
      <c r="I1574">
        <v>0</v>
      </c>
      <c r="J1574">
        <v>1321.73</v>
      </c>
      <c r="L1574" t="s">
        <v>5922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1652.17</v>
      </c>
      <c r="S1574">
        <v>0</v>
      </c>
      <c r="T1574">
        <v>0</v>
      </c>
      <c r="U1574">
        <v>1321.73</v>
      </c>
      <c r="V1574">
        <v>0</v>
      </c>
      <c r="W1574">
        <v>1486.95</v>
      </c>
      <c r="X1574">
        <v>1321.73</v>
      </c>
      <c r="Y1574">
        <v>1899.99</v>
      </c>
      <c r="Z1574" t="s">
        <v>5922</v>
      </c>
    </row>
    <row r="1575" spans="1:26" x14ac:dyDescent="0.2">
      <c r="A1575" t="s">
        <v>2653</v>
      </c>
      <c r="B1575" t="s">
        <v>2875</v>
      </c>
      <c r="C1575" t="s">
        <v>2876</v>
      </c>
      <c r="D1575" t="s">
        <v>98</v>
      </c>
      <c r="E1575">
        <v>179.99</v>
      </c>
      <c r="F1575" t="s">
        <v>5922</v>
      </c>
      <c r="G1575">
        <v>156.51</v>
      </c>
      <c r="H1575">
        <v>125.21</v>
      </c>
      <c r="I1575">
        <v>0</v>
      </c>
      <c r="J1575">
        <v>125.21</v>
      </c>
      <c r="L1575" t="s">
        <v>5922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156.51</v>
      </c>
      <c r="S1575">
        <v>0</v>
      </c>
      <c r="T1575">
        <v>0</v>
      </c>
      <c r="U1575">
        <v>125.21</v>
      </c>
      <c r="V1575">
        <v>0</v>
      </c>
      <c r="W1575">
        <v>140.86000000000001</v>
      </c>
      <c r="X1575">
        <v>125.21</v>
      </c>
      <c r="Y1575">
        <v>179.99</v>
      </c>
      <c r="Z1575" t="s">
        <v>5922</v>
      </c>
    </row>
    <row r="1576" spans="1:26" x14ac:dyDescent="0.2">
      <c r="A1576" t="s">
        <v>2653</v>
      </c>
      <c r="B1576" t="s">
        <v>2877</v>
      </c>
      <c r="C1576" t="s">
        <v>2878</v>
      </c>
      <c r="D1576" t="s">
        <v>98</v>
      </c>
      <c r="E1576">
        <v>429.99</v>
      </c>
      <c r="F1576" t="s">
        <v>5922</v>
      </c>
      <c r="G1576">
        <v>373.9</v>
      </c>
      <c r="H1576">
        <v>299.12</v>
      </c>
      <c r="I1576">
        <v>0</v>
      </c>
      <c r="J1576">
        <v>299.12</v>
      </c>
      <c r="L1576" t="s">
        <v>5922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373.9</v>
      </c>
      <c r="S1576">
        <v>0</v>
      </c>
      <c r="T1576">
        <v>0</v>
      </c>
      <c r="U1576">
        <v>299.12</v>
      </c>
      <c r="V1576">
        <v>0</v>
      </c>
      <c r="W1576">
        <v>336.51</v>
      </c>
      <c r="X1576">
        <v>299.12</v>
      </c>
      <c r="Y1576">
        <v>429.99</v>
      </c>
      <c r="Z1576" t="s">
        <v>5922</v>
      </c>
    </row>
    <row r="1577" spans="1:26" x14ac:dyDescent="0.2">
      <c r="A1577" t="s">
        <v>2653</v>
      </c>
      <c r="B1577" t="s">
        <v>2879</v>
      </c>
      <c r="C1577" t="s">
        <v>2880</v>
      </c>
      <c r="D1577" t="s">
        <v>98</v>
      </c>
      <c r="E1577">
        <v>649.99</v>
      </c>
      <c r="F1577" t="s">
        <v>5922</v>
      </c>
      <c r="G1577">
        <v>565.21</v>
      </c>
      <c r="H1577">
        <v>452.17</v>
      </c>
      <c r="I1577">
        <v>0</v>
      </c>
      <c r="J1577">
        <v>452.17</v>
      </c>
      <c r="L1577" t="s">
        <v>5922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565.21</v>
      </c>
      <c r="S1577">
        <v>0</v>
      </c>
      <c r="T1577">
        <v>0</v>
      </c>
      <c r="U1577">
        <v>452.17</v>
      </c>
      <c r="V1577">
        <v>0</v>
      </c>
      <c r="W1577">
        <v>508.69</v>
      </c>
      <c r="X1577">
        <v>452.17</v>
      </c>
      <c r="Y1577">
        <v>649.99</v>
      </c>
      <c r="Z1577" t="s">
        <v>5922</v>
      </c>
    </row>
    <row r="1578" spans="1:26" x14ac:dyDescent="0.2">
      <c r="A1578" t="s">
        <v>2653</v>
      </c>
      <c r="B1578" t="s">
        <v>2881</v>
      </c>
      <c r="C1578" t="s">
        <v>2882</v>
      </c>
      <c r="D1578" t="s">
        <v>98</v>
      </c>
      <c r="E1578">
        <v>299.99</v>
      </c>
      <c r="F1578" t="s">
        <v>5922</v>
      </c>
      <c r="G1578">
        <v>260.86</v>
      </c>
      <c r="H1578">
        <v>208.69</v>
      </c>
      <c r="I1578">
        <v>0</v>
      </c>
      <c r="J1578">
        <v>208.69</v>
      </c>
      <c r="L1578" t="s">
        <v>5922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260.86</v>
      </c>
      <c r="S1578">
        <v>0</v>
      </c>
      <c r="T1578">
        <v>0</v>
      </c>
      <c r="U1578">
        <v>208.69</v>
      </c>
      <c r="V1578">
        <v>0</v>
      </c>
      <c r="W1578">
        <v>234.77</v>
      </c>
      <c r="X1578">
        <v>208.69</v>
      </c>
      <c r="Y1578">
        <v>299.99</v>
      </c>
      <c r="Z1578" t="s">
        <v>5922</v>
      </c>
    </row>
    <row r="1579" spans="1:26" x14ac:dyDescent="0.2">
      <c r="A1579" t="s">
        <v>2653</v>
      </c>
      <c r="B1579" t="s">
        <v>2883</v>
      </c>
      <c r="C1579" t="s">
        <v>2884</v>
      </c>
      <c r="D1579" t="s">
        <v>98</v>
      </c>
      <c r="E1579">
        <v>54.99</v>
      </c>
      <c r="F1579" t="s">
        <v>5922</v>
      </c>
      <c r="G1579">
        <v>47.82</v>
      </c>
      <c r="H1579">
        <v>38.25</v>
      </c>
      <c r="I1579">
        <v>43.04</v>
      </c>
      <c r="J1579">
        <v>38.25</v>
      </c>
      <c r="L1579" t="s">
        <v>5922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47.82</v>
      </c>
      <c r="S1579">
        <v>0</v>
      </c>
      <c r="T1579">
        <v>0</v>
      </c>
      <c r="U1579">
        <v>38.25</v>
      </c>
      <c r="V1579">
        <v>38.25</v>
      </c>
      <c r="W1579">
        <v>43.04</v>
      </c>
      <c r="X1579">
        <v>38.25</v>
      </c>
      <c r="Y1579">
        <v>39</v>
      </c>
      <c r="Z1579" t="s">
        <v>5922</v>
      </c>
    </row>
    <row r="1580" spans="1:26" x14ac:dyDescent="0.2">
      <c r="A1580" t="s">
        <v>2653</v>
      </c>
      <c r="B1580" t="s">
        <v>2885</v>
      </c>
      <c r="C1580" t="s">
        <v>2886</v>
      </c>
      <c r="D1580" t="s">
        <v>98</v>
      </c>
      <c r="E1580">
        <v>69.989999999999995</v>
      </c>
      <c r="F1580" t="s">
        <v>5922</v>
      </c>
      <c r="G1580">
        <v>60.86</v>
      </c>
      <c r="H1580">
        <v>48.69</v>
      </c>
      <c r="I1580">
        <v>54.77</v>
      </c>
      <c r="J1580">
        <v>48.69</v>
      </c>
      <c r="L1580" t="s">
        <v>5922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60.86</v>
      </c>
      <c r="S1580">
        <v>0</v>
      </c>
      <c r="T1580">
        <v>0</v>
      </c>
      <c r="U1580">
        <v>45.18</v>
      </c>
      <c r="V1580">
        <v>41.7</v>
      </c>
      <c r="W1580">
        <v>50.83</v>
      </c>
      <c r="X1580">
        <v>45.18</v>
      </c>
      <c r="Y1580">
        <v>54</v>
      </c>
      <c r="Z1580" t="s">
        <v>5922</v>
      </c>
    </row>
    <row r="1581" spans="1:26" x14ac:dyDescent="0.2">
      <c r="A1581" t="s">
        <v>2653</v>
      </c>
      <c r="B1581" t="s">
        <v>2887</v>
      </c>
      <c r="C1581" t="s">
        <v>2888</v>
      </c>
      <c r="D1581" t="s">
        <v>98</v>
      </c>
      <c r="E1581">
        <v>64.989999999999995</v>
      </c>
      <c r="F1581" t="s">
        <v>5922</v>
      </c>
      <c r="G1581">
        <v>56.51</v>
      </c>
      <c r="H1581">
        <v>45.21</v>
      </c>
      <c r="I1581">
        <v>50.86</v>
      </c>
      <c r="J1581">
        <v>45.21</v>
      </c>
      <c r="L1581" t="s">
        <v>5922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56.51</v>
      </c>
      <c r="S1581">
        <v>0</v>
      </c>
      <c r="T1581">
        <v>0</v>
      </c>
      <c r="U1581">
        <v>52.14</v>
      </c>
      <c r="V1581">
        <v>48.66</v>
      </c>
      <c r="W1581">
        <v>58.66</v>
      </c>
      <c r="X1581">
        <v>52.14</v>
      </c>
      <c r="Y1581">
        <v>54</v>
      </c>
      <c r="Z1581" t="s">
        <v>5922</v>
      </c>
    </row>
    <row r="1582" spans="1:26" x14ac:dyDescent="0.2">
      <c r="A1582" t="s">
        <v>2653</v>
      </c>
      <c r="B1582" t="s">
        <v>2889</v>
      </c>
      <c r="C1582" t="s">
        <v>2890</v>
      </c>
      <c r="D1582" t="s">
        <v>98</v>
      </c>
      <c r="E1582">
        <v>89.99</v>
      </c>
      <c r="F1582" t="s">
        <v>5922</v>
      </c>
      <c r="G1582">
        <v>78.25</v>
      </c>
      <c r="H1582">
        <v>62.6</v>
      </c>
      <c r="I1582">
        <v>70.430000000000007</v>
      </c>
      <c r="J1582">
        <v>62.6</v>
      </c>
      <c r="L1582" t="s">
        <v>5922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78.25</v>
      </c>
      <c r="S1582">
        <v>0</v>
      </c>
      <c r="T1582">
        <v>0</v>
      </c>
      <c r="U1582">
        <v>62.6</v>
      </c>
      <c r="V1582">
        <v>62.6</v>
      </c>
      <c r="W1582">
        <v>70.430000000000007</v>
      </c>
      <c r="X1582">
        <v>62.6</v>
      </c>
      <c r="Y1582">
        <v>68</v>
      </c>
      <c r="Z1582" t="s">
        <v>5922</v>
      </c>
    </row>
    <row r="1583" spans="1:26" x14ac:dyDescent="0.2">
      <c r="A1583" t="s">
        <v>2653</v>
      </c>
      <c r="B1583" t="s">
        <v>2891</v>
      </c>
      <c r="C1583" t="s">
        <v>2892</v>
      </c>
      <c r="D1583" t="s">
        <v>105</v>
      </c>
      <c r="E1583">
        <v>99.95</v>
      </c>
      <c r="F1583" t="s">
        <v>6964</v>
      </c>
      <c r="G1583">
        <v>90</v>
      </c>
      <c r="H1583">
        <v>73.88</v>
      </c>
      <c r="I1583">
        <v>78.25</v>
      </c>
      <c r="J1583">
        <v>69.56</v>
      </c>
      <c r="L1583" t="s">
        <v>5922</v>
      </c>
      <c r="M1583">
        <v>0</v>
      </c>
      <c r="N1583">
        <v>0</v>
      </c>
      <c r="O1583">
        <v>0</v>
      </c>
      <c r="P1583">
        <v>0</v>
      </c>
      <c r="Q1583">
        <v>73.88</v>
      </c>
      <c r="R1583">
        <v>73.88</v>
      </c>
      <c r="S1583">
        <v>0</v>
      </c>
      <c r="T1583">
        <v>0</v>
      </c>
      <c r="U1583">
        <v>73.010000000000005</v>
      </c>
      <c r="V1583">
        <v>69.53</v>
      </c>
      <c r="W1583">
        <v>82.13</v>
      </c>
      <c r="X1583">
        <v>73.010000000000005</v>
      </c>
      <c r="Y1583">
        <v>99.95</v>
      </c>
      <c r="Z1583" t="s">
        <v>5922</v>
      </c>
    </row>
    <row r="1584" spans="1:26" x14ac:dyDescent="0.2">
      <c r="A1584" t="s">
        <v>2653</v>
      </c>
      <c r="B1584" t="s">
        <v>2893</v>
      </c>
      <c r="C1584" t="s">
        <v>2894</v>
      </c>
      <c r="D1584" t="s">
        <v>98</v>
      </c>
      <c r="E1584">
        <v>89.99</v>
      </c>
      <c r="F1584" t="s">
        <v>5922</v>
      </c>
      <c r="G1584">
        <v>78.25</v>
      </c>
      <c r="H1584">
        <v>62.6</v>
      </c>
      <c r="I1584">
        <v>70.430000000000007</v>
      </c>
      <c r="J1584">
        <v>62.6</v>
      </c>
      <c r="L1584" t="s">
        <v>5922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78.25</v>
      </c>
      <c r="S1584">
        <v>0</v>
      </c>
      <c r="T1584">
        <v>0</v>
      </c>
      <c r="U1584">
        <v>62.6</v>
      </c>
      <c r="V1584">
        <v>62.6</v>
      </c>
      <c r="W1584">
        <v>70.430000000000007</v>
      </c>
      <c r="X1584">
        <v>62.6</v>
      </c>
      <c r="Y1584">
        <v>69</v>
      </c>
      <c r="Z1584" t="s">
        <v>5922</v>
      </c>
    </row>
    <row r="1585" spans="1:26" x14ac:dyDescent="0.2">
      <c r="A1585" t="s">
        <v>2653</v>
      </c>
      <c r="B1585" t="s">
        <v>2895</v>
      </c>
      <c r="C1585" t="s">
        <v>2896</v>
      </c>
      <c r="D1585" t="s">
        <v>98</v>
      </c>
      <c r="E1585">
        <v>119.99</v>
      </c>
      <c r="F1585" t="s">
        <v>5922</v>
      </c>
      <c r="G1585">
        <v>104.34</v>
      </c>
      <c r="H1585">
        <v>83.47</v>
      </c>
      <c r="I1585">
        <v>93.91</v>
      </c>
      <c r="J1585">
        <v>83.47</v>
      </c>
      <c r="L1585" t="s">
        <v>5922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104.34</v>
      </c>
      <c r="S1585">
        <v>0</v>
      </c>
      <c r="T1585">
        <v>0</v>
      </c>
      <c r="U1585">
        <v>86.92</v>
      </c>
      <c r="V1585">
        <v>83.47</v>
      </c>
      <c r="W1585">
        <v>97.79</v>
      </c>
      <c r="X1585">
        <v>86.92</v>
      </c>
      <c r="Y1585">
        <v>108</v>
      </c>
      <c r="Z1585" t="s">
        <v>5922</v>
      </c>
    </row>
    <row r="1586" spans="1:26" x14ac:dyDescent="0.2">
      <c r="A1586" t="s">
        <v>2653</v>
      </c>
      <c r="B1586" t="s">
        <v>2897</v>
      </c>
      <c r="C1586" t="s">
        <v>2898</v>
      </c>
      <c r="D1586" t="s">
        <v>98</v>
      </c>
      <c r="E1586">
        <v>129.99</v>
      </c>
      <c r="F1586" t="s">
        <v>5922</v>
      </c>
      <c r="G1586">
        <v>113.03</v>
      </c>
      <c r="H1586">
        <v>90.43</v>
      </c>
      <c r="I1586">
        <v>101.73</v>
      </c>
      <c r="J1586">
        <v>90.43</v>
      </c>
      <c r="L1586" t="s">
        <v>5922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113.03</v>
      </c>
      <c r="S1586">
        <v>0</v>
      </c>
      <c r="T1586">
        <v>0</v>
      </c>
      <c r="U1586">
        <v>100.83</v>
      </c>
      <c r="V1586">
        <v>97.36</v>
      </c>
      <c r="W1586">
        <v>113.44</v>
      </c>
      <c r="X1586">
        <v>100.83</v>
      </c>
      <c r="Y1586">
        <v>126</v>
      </c>
      <c r="Z1586" t="s">
        <v>5922</v>
      </c>
    </row>
    <row r="1587" spans="1:26" x14ac:dyDescent="0.2">
      <c r="A1587" t="s">
        <v>2653</v>
      </c>
      <c r="B1587" t="s">
        <v>2899</v>
      </c>
      <c r="C1587" t="s">
        <v>2900</v>
      </c>
      <c r="D1587" t="s">
        <v>98</v>
      </c>
      <c r="E1587">
        <v>129.99</v>
      </c>
      <c r="F1587" t="s">
        <v>5922</v>
      </c>
      <c r="G1587">
        <v>113.03</v>
      </c>
      <c r="H1587">
        <v>90.43</v>
      </c>
      <c r="I1587">
        <v>101.73</v>
      </c>
      <c r="J1587">
        <v>90.43</v>
      </c>
      <c r="L1587" t="s">
        <v>5922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113.03</v>
      </c>
      <c r="S1587">
        <v>0</v>
      </c>
      <c r="T1587">
        <v>0</v>
      </c>
      <c r="U1587">
        <v>90.43</v>
      </c>
      <c r="V1587">
        <v>90.43</v>
      </c>
      <c r="W1587">
        <v>101.73</v>
      </c>
      <c r="X1587">
        <v>90.43</v>
      </c>
      <c r="Y1587">
        <v>108</v>
      </c>
      <c r="Z1587" t="s">
        <v>5922</v>
      </c>
    </row>
    <row r="1588" spans="1:26" x14ac:dyDescent="0.2">
      <c r="A1588" t="s">
        <v>2653</v>
      </c>
      <c r="B1588" t="s">
        <v>2901</v>
      </c>
      <c r="C1588" t="s">
        <v>2902</v>
      </c>
      <c r="D1588" t="s">
        <v>98</v>
      </c>
      <c r="E1588">
        <v>149.94999999999999</v>
      </c>
      <c r="F1588" t="s">
        <v>7079</v>
      </c>
      <c r="G1588">
        <v>135</v>
      </c>
      <c r="H1588">
        <v>110.83</v>
      </c>
      <c r="I1588">
        <v>109.56</v>
      </c>
      <c r="J1588">
        <v>97.38</v>
      </c>
      <c r="L1588" t="s">
        <v>5922</v>
      </c>
      <c r="M1588">
        <v>0</v>
      </c>
      <c r="N1588">
        <v>0</v>
      </c>
      <c r="O1588">
        <v>0</v>
      </c>
      <c r="P1588">
        <v>0</v>
      </c>
      <c r="Q1588">
        <v>110.83</v>
      </c>
      <c r="R1588">
        <v>110.83</v>
      </c>
      <c r="S1588">
        <v>0</v>
      </c>
      <c r="T1588">
        <v>0</v>
      </c>
      <c r="U1588">
        <v>107.79</v>
      </c>
      <c r="V1588">
        <v>104.31</v>
      </c>
      <c r="W1588">
        <v>121.27</v>
      </c>
      <c r="X1588">
        <v>107.79</v>
      </c>
      <c r="Y1588">
        <v>149.94999999999999</v>
      </c>
      <c r="Z1588" t="s">
        <v>5922</v>
      </c>
    </row>
    <row r="1589" spans="1:26" x14ac:dyDescent="0.2">
      <c r="A1589" t="s">
        <v>2653</v>
      </c>
      <c r="B1589" t="s">
        <v>2903</v>
      </c>
      <c r="C1589" t="s">
        <v>2904</v>
      </c>
      <c r="D1589" t="s">
        <v>98</v>
      </c>
      <c r="E1589">
        <v>179.95</v>
      </c>
      <c r="F1589" t="s">
        <v>5922</v>
      </c>
      <c r="G1589">
        <v>179.95</v>
      </c>
      <c r="H1589">
        <v>111.3</v>
      </c>
      <c r="I1589">
        <v>125.21</v>
      </c>
      <c r="J1589">
        <v>111.3</v>
      </c>
      <c r="L1589" t="s">
        <v>5922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139.12</v>
      </c>
      <c r="S1589">
        <v>0</v>
      </c>
      <c r="T1589">
        <v>0</v>
      </c>
      <c r="U1589">
        <v>128.66</v>
      </c>
      <c r="V1589">
        <v>125.18</v>
      </c>
      <c r="W1589">
        <v>144.74</v>
      </c>
      <c r="X1589">
        <v>128.66</v>
      </c>
      <c r="Y1589">
        <v>179.95</v>
      </c>
      <c r="Z1589" t="s">
        <v>5922</v>
      </c>
    </row>
    <row r="1590" spans="1:26" x14ac:dyDescent="0.2">
      <c r="A1590" t="s">
        <v>2653</v>
      </c>
      <c r="B1590" t="s">
        <v>2905</v>
      </c>
      <c r="C1590" t="s">
        <v>2906</v>
      </c>
      <c r="D1590" t="s">
        <v>105</v>
      </c>
      <c r="E1590">
        <v>259.95</v>
      </c>
      <c r="F1590" t="s">
        <v>7297</v>
      </c>
      <c r="G1590">
        <v>259.95</v>
      </c>
      <c r="H1590">
        <v>192.14</v>
      </c>
      <c r="I1590">
        <v>179.99</v>
      </c>
      <c r="J1590">
        <v>159.99</v>
      </c>
      <c r="L1590" t="s">
        <v>5922</v>
      </c>
      <c r="M1590">
        <v>0</v>
      </c>
      <c r="N1590">
        <v>0</v>
      </c>
      <c r="O1590">
        <v>0</v>
      </c>
      <c r="P1590">
        <v>0</v>
      </c>
      <c r="Q1590">
        <v>192.14</v>
      </c>
      <c r="R1590">
        <v>192.14</v>
      </c>
      <c r="S1590">
        <v>0</v>
      </c>
      <c r="T1590">
        <v>0</v>
      </c>
      <c r="U1590">
        <v>184.31</v>
      </c>
      <c r="V1590">
        <v>180.83</v>
      </c>
      <c r="W1590">
        <v>207.35</v>
      </c>
      <c r="X1590">
        <v>184.31</v>
      </c>
      <c r="Y1590">
        <v>259.95</v>
      </c>
      <c r="Z1590" t="s">
        <v>5922</v>
      </c>
    </row>
    <row r="1591" spans="1:26" x14ac:dyDescent="0.2">
      <c r="A1591" t="s">
        <v>2653</v>
      </c>
      <c r="B1591" t="s">
        <v>2907</v>
      </c>
      <c r="C1591" t="s">
        <v>2908</v>
      </c>
      <c r="D1591" t="s">
        <v>98</v>
      </c>
      <c r="E1591">
        <v>159.99</v>
      </c>
      <c r="F1591" t="s">
        <v>5922</v>
      </c>
      <c r="G1591">
        <v>139.12</v>
      </c>
      <c r="H1591">
        <v>111.3</v>
      </c>
      <c r="I1591">
        <v>125.21</v>
      </c>
      <c r="J1591">
        <v>111.3</v>
      </c>
      <c r="L1591" t="s">
        <v>5922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139.12</v>
      </c>
      <c r="S1591">
        <v>0</v>
      </c>
      <c r="T1591">
        <v>0</v>
      </c>
      <c r="U1591">
        <v>111.3</v>
      </c>
      <c r="V1591">
        <v>111.3</v>
      </c>
      <c r="W1591">
        <v>125.21</v>
      </c>
      <c r="X1591">
        <v>111.3</v>
      </c>
      <c r="Y1591">
        <v>128</v>
      </c>
      <c r="Z1591" t="s">
        <v>5922</v>
      </c>
    </row>
    <row r="1592" spans="1:26" x14ac:dyDescent="0.2">
      <c r="A1592" t="s">
        <v>2653</v>
      </c>
      <c r="B1592" t="s">
        <v>2909</v>
      </c>
      <c r="C1592" t="s">
        <v>2910</v>
      </c>
      <c r="D1592" t="s">
        <v>98</v>
      </c>
      <c r="E1592">
        <v>179.95</v>
      </c>
      <c r="F1592" t="s">
        <v>5922</v>
      </c>
      <c r="G1592">
        <v>179.95</v>
      </c>
      <c r="H1592">
        <v>118.25</v>
      </c>
      <c r="I1592">
        <v>133.04</v>
      </c>
      <c r="J1592">
        <v>118.25</v>
      </c>
      <c r="L1592" t="s">
        <v>5922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147.82</v>
      </c>
      <c r="S1592">
        <v>0</v>
      </c>
      <c r="T1592">
        <v>0</v>
      </c>
      <c r="U1592">
        <v>128.66</v>
      </c>
      <c r="V1592">
        <v>125.18</v>
      </c>
      <c r="W1592">
        <v>144.74</v>
      </c>
      <c r="X1592">
        <v>128.66</v>
      </c>
      <c r="Y1592">
        <v>179.95</v>
      </c>
      <c r="Z1592" t="s">
        <v>5922</v>
      </c>
    </row>
    <row r="1593" spans="1:26" x14ac:dyDescent="0.2">
      <c r="A1593" t="s">
        <v>2653</v>
      </c>
      <c r="B1593" t="s">
        <v>2911</v>
      </c>
      <c r="C1593" t="s">
        <v>2912</v>
      </c>
      <c r="D1593" t="s">
        <v>98</v>
      </c>
      <c r="E1593">
        <v>179.95</v>
      </c>
      <c r="F1593" t="s">
        <v>5922</v>
      </c>
      <c r="G1593">
        <v>179.95</v>
      </c>
      <c r="H1593">
        <v>118.25</v>
      </c>
      <c r="I1593">
        <v>133.04</v>
      </c>
      <c r="J1593">
        <v>118.25</v>
      </c>
      <c r="L1593" t="s">
        <v>5922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147.82</v>
      </c>
      <c r="S1593">
        <v>0</v>
      </c>
      <c r="T1593">
        <v>0</v>
      </c>
      <c r="U1593">
        <v>128.66</v>
      </c>
      <c r="V1593">
        <v>125.18</v>
      </c>
      <c r="W1593">
        <v>144.74</v>
      </c>
      <c r="X1593">
        <v>128.66</v>
      </c>
      <c r="Y1593">
        <v>179.95</v>
      </c>
      <c r="Z1593" t="s">
        <v>5922</v>
      </c>
    </row>
    <row r="1594" spans="1:26" x14ac:dyDescent="0.2">
      <c r="A1594" t="s">
        <v>2653</v>
      </c>
      <c r="B1594" t="s">
        <v>2913</v>
      </c>
      <c r="C1594" t="s">
        <v>2914</v>
      </c>
      <c r="D1594" t="s">
        <v>138</v>
      </c>
      <c r="E1594">
        <v>179.95</v>
      </c>
      <c r="F1594" t="s">
        <v>5922</v>
      </c>
      <c r="G1594">
        <v>179.95</v>
      </c>
      <c r="H1594">
        <v>118.25</v>
      </c>
      <c r="I1594">
        <v>133.04</v>
      </c>
      <c r="J1594">
        <v>118.25</v>
      </c>
      <c r="L1594" t="s">
        <v>5922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147.82</v>
      </c>
      <c r="S1594">
        <v>0</v>
      </c>
      <c r="T1594">
        <v>0</v>
      </c>
      <c r="U1594">
        <v>128.66</v>
      </c>
      <c r="V1594">
        <v>125.18</v>
      </c>
      <c r="W1594">
        <v>144.74</v>
      </c>
      <c r="X1594">
        <v>128.66</v>
      </c>
      <c r="Y1594">
        <v>179.95</v>
      </c>
      <c r="Z1594" t="s">
        <v>5922</v>
      </c>
    </row>
    <row r="1595" spans="1:26" x14ac:dyDescent="0.2">
      <c r="A1595" t="s">
        <v>2653</v>
      </c>
      <c r="B1595" t="s">
        <v>2915</v>
      </c>
      <c r="C1595" t="s">
        <v>2916</v>
      </c>
      <c r="D1595" t="s">
        <v>98</v>
      </c>
      <c r="E1595">
        <v>199.95</v>
      </c>
      <c r="F1595" t="s">
        <v>5922</v>
      </c>
      <c r="G1595">
        <v>199.95</v>
      </c>
      <c r="H1595">
        <v>139.12</v>
      </c>
      <c r="I1595">
        <v>156.51</v>
      </c>
      <c r="J1595">
        <v>139.12</v>
      </c>
      <c r="L1595" t="s">
        <v>5922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173.9</v>
      </c>
      <c r="S1595">
        <v>0</v>
      </c>
      <c r="T1595">
        <v>0</v>
      </c>
      <c r="U1595">
        <v>142.57</v>
      </c>
      <c r="V1595">
        <v>139.1</v>
      </c>
      <c r="W1595">
        <v>160.4</v>
      </c>
      <c r="X1595">
        <v>142.57</v>
      </c>
      <c r="Y1595">
        <v>199.95</v>
      </c>
      <c r="Z1595" t="s">
        <v>5922</v>
      </c>
    </row>
    <row r="1596" spans="1:26" x14ac:dyDescent="0.2">
      <c r="A1596" t="s">
        <v>2653</v>
      </c>
      <c r="B1596" t="s">
        <v>2917</v>
      </c>
      <c r="C1596" t="s">
        <v>2918</v>
      </c>
      <c r="D1596" t="s">
        <v>98</v>
      </c>
      <c r="E1596">
        <v>279.95</v>
      </c>
      <c r="F1596" t="s">
        <v>5922</v>
      </c>
      <c r="G1596">
        <v>218</v>
      </c>
      <c r="H1596">
        <v>206.92</v>
      </c>
      <c r="I1596">
        <v>203.47</v>
      </c>
      <c r="J1596">
        <v>180.86</v>
      </c>
      <c r="L1596" t="s">
        <v>5922</v>
      </c>
      <c r="M1596">
        <v>0</v>
      </c>
      <c r="N1596">
        <v>0</v>
      </c>
      <c r="O1596">
        <v>0</v>
      </c>
      <c r="P1596">
        <v>0</v>
      </c>
      <c r="Q1596">
        <v>206.92</v>
      </c>
      <c r="R1596">
        <v>206.92</v>
      </c>
      <c r="S1596">
        <v>0</v>
      </c>
      <c r="T1596">
        <v>0</v>
      </c>
      <c r="U1596">
        <v>194.78</v>
      </c>
      <c r="V1596">
        <v>194.78</v>
      </c>
      <c r="W1596">
        <v>219.12</v>
      </c>
      <c r="X1596">
        <v>194.78</v>
      </c>
      <c r="Y1596">
        <v>218</v>
      </c>
      <c r="Z1596" t="s">
        <v>5922</v>
      </c>
    </row>
    <row r="1597" spans="1:26" x14ac:dyDescent="0.2">
      <c r="A1597" t="s">
        <v>2653</v>
      </c>
      <c r="B1597" t="s">
        <v>2919</v>
      </c>
      <c r="C1597" t="s">
        <v>2920</v>
      </c>
      <c r="D1597" t="s">
        <v>98</v>
      </c>
      <c r="E1597">
        <v>479.95</v>
      </c>
      <c r="F1597" t="s">
        <v>5922</v>
      </c>
      <c r="G1597">
        <v>479.95</v>
      </c>
      <c r="H1597">
        <v>354.75</v>
      </c>
      <c r="L1597" t="s">
        <v>5922</v>
      </c>
      <c r="Q1597">
        <v>354.75</v>
      </c>
      <c r="R1597">
        <v>354.75</v>
      </c>
      <c r="U1597">
        <v>361.7</v>
      </c>
      <c r="V1597">
        <v>361.7</v>
      </c>
      <c r="W1597">
        <v>406.92</v>
      </c>
      <c r="X1597">
        <v>361.7</v>
      </c>
      <c r="Y1597">
        <v>479.95</v>
      </c>
      <c r="Z1597" t="s">
        <v>5922</v>
      </c>
    </row>
    <row r="1598" spans="1:26" x14ac:dyDescent="0.2">
      <c r="A1598" t="s">
        <v>2653</v>
      </c>
      <c r="B1598" t="s">
        <v>2921</v>
      </c>
      <c r="C1598" t="s">
        <v>2922</v>
      </c>
      <c r="D1598" t="s">
        <v>98</v>
      </c>
      <c r="E1598">
        <v>239.95</v>
      </c>
      <c r="F1598" t="s">
        <v>5922</v>
      </c>
      <c r="H1598">
        <v>177.35</v>
      </c>
      <c r="I1598">
        <v>165.13</v>
      </c>
      <c r="J1598">
        <v>165.13</v>
      </c>
      <c r="L1598" t="s">
        <v>5922</v>
      </c>
      <c r="Q1598">
        <v>177.35</v>
      </c>
      <c r="R1598">
        <v>177.35</v>
      </c>
      <c r="U1598">
        <v>173.91</v>
      </c>
      <c r="V1598">
        <v>166.95</v>
      </c>
      <c r="W1598">
        <v>187.82</v>
      </c>
      <c r="X1598">
        <v>166.95</v>
      </c>
      <c r="Y1598">
        <v>239.95</v>
      </c>
      <c r="Z1598" t="s">
        <v>5922</v>
      </c>
    </row>
    <row r="1599" spans="1:26" x14ac:dyDescent="0.2">
      <c r="A1599" t="s">
        <v>2653</v>
      </c>
      <c r="B1599" t="s">
        <v>2923</v>
      </c>
      <c r="C1599" t="s">
        <v>2924</v>
      </c>
      <c r="D1599" t="s">
        <v>98</v>
      </c>
      <c r="E1599">
        <v>239.95</v>
      </c>
      <c r="F1599" t="s">
        <v>5922</v>
      </c>
      <c r="H1599">
        <v>177.35</v>
      </c>
      <c r="I1599">
        <v>165.13</v>
      </c>
      <c r="J1599">
        <v>165.13</v>
      </c>
      <c r="L1599" t="s">
        <v>5922</v>
      </c>
      <c r="Q1599">
        <v>177.35</v>
      </c>
      <c r="R1599">
        <v>177.35</v>
      </c>
      <c r="U1599">
        <v>173.91</v>
      </c>
      <c r="V1599">
        <v>166.95</v>
      </c>
      <c r="W1599">
        <v>187.82</v>
      </c>
      <c r="X1599">
        <v>166.95</v>
      </c>
      <c r="Y1599">
        <v>239.95</v>
      </c>
      <c r="Z1599" t="s">
        <v>5922</v>
      </c>
    </row>
    <row r="1600" spans="1:26" x14ac:dyDescent="0.2">
      <c r="A1600" t="s">
        <v>2653</v>
      </c>
      <c r="B1600" t="s">
        <v>2925</v>
      </c>
      <c r="C1600" t="s">
        <v>2926</v>
      </c>
      <c r="D1600" t="s">
        <v>98</v>
      </c>
      <c r="E1600">
        <v>199.9</v>
      </c>
      <c r="F1600" t="s">
        <v>5922</v>
      </c>
      <c r="G1600">
        <v>173.83</v>
      </c>
      <c r="H1600">
        <v>156.44</v>
      </c>
      <c r="I1600">
        <v>165.13</v>
      </c>
      <c r="J1600">
        <v>165.13</v>
      </c>
      <c r="L1600" t="s">
        <v>5922</v>
      </c>
      <c r="R1600">
        <v>165.13</v>
      </c>
      <c r="U1600">
        <v>139.06</v>
      </c>
      <c r="V1600">
        <v>156.44</v>
      </c>
      <c r="W1600">
        <v>156.44</v>
      </c>
      <c r="X1600">
        <v>139.06</v>
      </c>
      <c r="Y1600">
        <v>185</v>
      </c>
      <c r="Z1600" t="s">
        <v>5922</v>
      </c>
    </row>
    <row r="1601" spans="1:26" x14ac:dyDescent="0.2">
      <c r="A1601" t="s">
        <v>2653</v>
      </c>
      <c r="B1601" t="s">
        <v>2927</v>
      </c>
      <c r="C1601" t="s">
        <v>2928</v>
      </c>
      <c r="D1601" t="s">
        <v>98</v>
      </c>
      <c r="E1601">
        <v>199.9</v>
      </c>
      <c r="F1601" t="s">
        <v>5922</v>
      </c>
      <c r="G1601">
        <v>173.83</v>
      </c>
      <c r="H1601">
        <v>156.44</v>
      </c>
      <c r="I1601">
        <v>165.13</v>
      </c>
      <c r="J1601">
        <v>165.13</v>
      </c>
      <c r="L1601" t="s">
        <v>5922</v>
      </c>
      <c r="R1601">
        <v>165.13</v>
      </c>
      <c r="U1601">
        <v>139.06</v>
      </c>
      <c r="V1601">
        <v>156.44</v>
      </c>
      <c r="W1601">
        <v>156.44</v>
      </c>
      <c r="X1601">
        <v>139.06</v>
      </c>
      <c r="Y1601">
        <v>185</v>
      </c>
      <c r="Z1601" t="s">
        <v>5922</v>
      </c>
    </row>
    <row r="1602" spans="1:26" x14ac:dyDescent="0.2">
      <c r="A1602" t="s">
        <v>2653</v>
      </c>
      <c r="B1602" t="s">
        <v>2929</v>
      </c>
      <c r="C1602" t="s">
        <v>2930</v>
      </c>
      <c r="D1602" t="s">
        <v>98</v>
      </c>
      <c r="E1602">
        <v>209.99</v>
      </c>
      <c r="F1602" t="s">
        <v>5922</v>
      </c>
      <c r="G1602">
        <v>182.6</v>
      </c>
      <c r="H1602">
        <v>146.08000000000001</v>
      </c>
      <c r="I1602">
        <v>164.34</v>
      </c>
      <c r="J1602">
        <v>146.08000000000001</v>
      </c>
      <c r="L1602" t="s">
        <v>5922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182.6</v>
      </c>
      <c r="S1602">
        <v>0</v>
      </c>
      <c r="T1602">
        <v>0</v>
      </c>
      <c r="U1602">
        <v>146.08000000000001</v>
      </c>
      <c r="V1602">
        <v>146.08000000000001</v>
      </c>
      <c r="W1602">
        <v>164.34</v>
      </c>
      <c r="X1602">
        <v>146.08000000000001</v>
      </c>
      <c r="Y1602">
        <v>179</v>
      </c>
      <c r="Z1602" t="s">
        <v>5922</v>
      </c>
    </row>
    <row r="1603" spans="1:26" x14ac:dyDescent="0.2">
      <c r="A1603" t="s">
        <v>2653</v>
      </c>
      <c r="B1603" t="s">
        <v>2931</v>
      </c>
      <c r="C1603" t="s">
        <v>2932</v>
      </c>
      <c r="D1603" t="s">
        <v>98</v>
      </c>
      <c r="E1603">
        <v>209.99</v>
      </c>
      <c r="F1603" t="s">
        <v>5922</v>
      </c>
      <c r="G1603">
        <v>182.6</v>
      </c>
      <c r="H1603">
        <v>146.08000000000001</v>
      </c>
      <c r="I1603">
        <v>164.34</v>
      </c>
      <c r="J1603">
        <v>146.08000000000001</v>
      </c>
      <c r="L1603" t="s">
        <v>5922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182.6</v>
      </c>
      <c r="S1603">
        <v>0</v>
      </c>
      <c r="T1603">
        <v>0</v>
      </c>
      <c r="U1603">
        <v>146.08000000000001</v>
      </c>
      <c r="V1603">
        <v>146.08000000000001</v>
      </c>
      <c r="W1603">
        <v>164.34</v>
      </c>
      <c r="X1603">
        <v>146.08000000000001</v>
      </c>
      <c r="Y1603">
        <v>174</v>
      </c>
      <c r="Z1603" t="s">
        <v>5922</v>
      </c>
    </row>
    <row r="1604" spans="1:26" x14ac:dyDescent="0.2">
      <c r="A1604" t="s">
        <v>2653</v>
      </c>
      <c r="B1604" t="s">
        <v>2933</v>
      </c>
      <c r="C1604" t="s">
        <v>2934</v>
      </c>
      <c r="D1604" t="s">
        <v>98</v>
      </c>
      <c r="E1604">
        <v>199.95</v>
      </c>
      <c r="F1604" t="s">
        <v>7298</v>
      </c>
      <c r="G1604">
        <v>199.95</v>
      </c>
      <c r="H1604">
        <v>147.79</v>
      </c>
      <c r="L1604" t="s">
        <v>5922</v>
      </c>
      <c r="Q1604">
        <v>147.79</v>
      </c>
      <c r="R1604">
        <v>147.79</v>
      </c>
      <c r="U1604">
        <v>146.08000000000001</v>
      </c>
      <c r="V1604">
        <v>139.1</v>
      </c>
      <c r="W1604">
        <v>156.51</v>
      </c>
      <c r="X1604">
        <v>139.12</v>
      </c>
      <c r="Y1604">
        <v>199.95</v>
      </c>
      <c r="Z1604" t="s">
        <v>5922</v>
      </c>
    </row>
    <row r="1605" spans="1:26" x14ac:dyDescent="0.2">
      <c r="A1605" t="s">
        <v>2653</v>
      </c>
      <c r="B1605" t="s">
        <v>2935</v>
      </c>
      <c r="C1605" t="s">
        <v>2936</v>
      </c>
      <c r="D1605" t="s">
        <v>98</v>
      </c>
      <c r="E1605">
        <v>209.99</v>
      </c>
      <c r="F1605" t="s">
        <v>5922</v>
      </c>
      <c r="G1605">
        <v>182.6</v>
      </c>
      <c r="H1605">
        <v>146.08000000000001</v>
      </c>
      <c r="I1605">
        <v>164.34</v>
      </c>
      <c r="J1605">
        <v>146.08000000000001</v>
      </c>
      <c r="L1605" t="s">
        <v>5922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182.6</v>
      </c>
      <c r="S1605">
        <v>0</v>
      </c>
      <c r="T1605">
        <v>0</v>
      </c>
      <c r="U1605">
        <v>146.08000000000001</v>
      </c>
      <c r="V1605">
        <v>146.08000000000001</v>
      </c>
      <c r="W1605">
        <v>164.34</v>
      </c>
      <c r="X1605">
        <v>146.08000000000001</v>
      </c>
      <c r="Y1605">
        <v>179</v>
      </c>
      <c r="Z1605" t="s">
        <v>5922</v>
      </c>
    </row>
    <row r="1606" spans="1:26" x14ac:dyDescent="0.2">
      <c r="A1606" t="s">
        <v>2653</v>
      </c>
      <c r="B1606" t="s">
        <v>2937</v>
      </c>
      <c r="C1606" t="s">
        <v>2938</v>
      </c>
      <c r="D1606" t="s">
        <v>98</v>
      </c>
      <c r="E1606">
        <v>449.99</v>
      </c>
      <c r="F1606" t="s">
        <v>5922</v>
      </c>
      <c r="G1606">
        <v>391.3</v>
      </c>
      <c r="H1606">
        <v>313.04000000000002</v>
      </c>
      <c r="I1606">
        <v>352.17</v>
      </c>
      <c r="J1606">
        <v>313.04000000000002</v>
      </c>
      <c r="L1606" t="s">
        <v>5922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391.3</v>
      </c>
      <c r="S1606">
        <v>0</v>
      </c>
      <c r="T1606">
        <v>0</v>
      </c>
      <c r="U1606">
        <v>313.04000000000002</v>
      </c>
      <c r="V1606">
        <v>313.04000000000002</v>
      </c>
      <c r="W1606">
        <v>352.17</v>
      </c>
      <c r="X1606">
        <v>313.04000000000002</v>
      </c>
      <c r="Y1606">
        <v>349</v>
      </c>
      <c r="Z1606" t="s">
        <v>5922</v>
      </c>
    </row>
    <row r="1607" spans="1:26" x14ac:dyDescent="0.2">
      <c r="A1607" t="s">
        <v>2653</v>
      </c>
      <c r="B1607" t="s">
        <v>2939</v>
      </c>
      <c r="C1607" t="s">
        <v>2940</v>
      </c>
      <c r="D1607" t="s">
        <v>98</v>
      </c>
      <c r="E1607">
        <v>49.99</v>
      </c>
      <c r="F1607" t="s">
        <v>5922</v>
      </c>
      <c r="G1607">
        <v>34.770000000000003</v>
      </c>
      <c r="H1607">
        <v>39.119999999999997</v>
      </c>
      <c r="I1607">
        <v>33.04</v>
      </c>
      <c r="J1607">
        <v>33.04</v>
      </c>
      <c r="L1607" t="s">
        <v>5922</v>
      </c>
      <c r="R1607">
        <v>33.04</v>
      </c>
      <c r="U1607">
        <v>34.78</v>
      </c>
      <c r="V1607">
        <v>31.3</v>
      </c>
      <c r="W1607">
        <v>39.119999999999997</v>
      </c>
      <c r="X1607">
        <v>34.78</v>
      </c>
      <c r="Y1607">
        <v>39</v>
      </c>
      <c r="Z1607" t="s">
        <v>5922</v>
      </c>
    </row>
    <row r="1608" spans="1:26" x14ac:dyDescent="0.2">
      <c r="A1608" t="s">
        <v>2653</v>
      </c>
      <c r="B1608" t="s">
        <v>2941</v>
      </c>
      <c r="C1608" t="s">
        <v>2942</v>
      </c>
      <c r="D1608" t="s">
        <v>98</v>
      </c>
      <c r="E1608">
        <v>49.99</v>
      </c>
      <c r="F1608" t="s">
        <v>5922</v>
      </c>
      <c r="G1608">
        <v>34.770000000000003</v>
      </c>
      <c r="H1608">
        <v>39.119999999999997</v>
      </c>
      <c r="I1608">
        <v>33.04</v>
      </c>
      <c r="J1608">
        <v>33.04</v>
      </c>
      <c r="L1608" t="s">
        <v>5922</v>
      </c>
      <c r="R1608">
        <v>33.04</v>
      </c>
      <c r="U1608">
        <v>34.78</v>
      </c>
      <c r="V1608">
        <v>31.3</v>
      </c>
      <c r="W1608">
        <v>39.119999999999997</v>
      </c>
      <c r="X1608">
        <v>34.78</v>
      </c>
      <c r="Y1608">
        <v>39</v>
      </c>
      <c r="Z1608" t="s">
        <v>5922</v>
      </c>
    </row>
    <row r="1609" spans="1:26" x14ac:dyDescent="0.2">
      <c r="A1609" t="s">
        <v>2653</v>
      </c>
      <c r="B1609" t="s">
        <v>2943</v>
      </c>
      <c r="C1609" t="s">
        <v>2944</v>
      </c>
      <c r="D1609" t="s">
        <v>98</v>
      </c>
      <c r="E1609">
        <v>49.99</v>
      </c>
      <c r="F1609" t="s">
        <v>5922</v>
      </c>
      <c r="G1609">
        <v>34.770000000000003</v>
      </c>
      <c r="H1609">
        <v>39.119999999999997</v>
      </c>
      <c r="I1609">
        <v>33.04</v>
      </c>
      <c r="J1609">
        <v>33.04</v>
      </c>
      <c r="L1609" t="s">
        <v>5922</v>
      </c>
      <c r="R1609">
        <v>33.04</v>
      </c>
      <c r="U1609">
        <v>34.78</v>
      </c>
      <c r="V1609">
        <v>31.3</v>
      </c>
      <c r="W1609">
        <v>39.119999999999997</v>
      </c>
      <c r="X1609">
        <v>34.78</v>
      </c>
      <c r="Y1609">
        <v>39</v>
      </c>
      <c r="Z1609" t="s">
        <v>5922</v>
      </c>
    </row>
    <row r="1610" spans="1:26" x14ac:dyDescent="0.2">
      <c r="A1610" t="s">
        <v>2653</v>
      </c>
      <c r="B1610" t="s">
        <v>2945</v>
      </c>
      <c r="C1610" t="s">
        <v>2946</v>
      </c>
      <c r="D1610" t="s">
        <v>98</v>
      </c>
      <c r="E1610">
        <v>169.99</v>
      </c>
      <c r="F1610" t="s">
        <v>5922</v>
      </c>
      <c r="G1610">
        <v>130.43</v>
      </c>
      <c r="H1610">
        <v>133.04</v>
      </c>
      <c r="I1610">
        <v>123.9</v>
      </c>
      <c r="J1610">
        <v>123.9</v>
      </c>
      <c r="L1610" t="s">
        <v>5922</v>
      </c>
      <c r="R1610">
        <v>123.9</v>
      </c>
      <c r="U1610">
        <v>118.25</v>
      </c>
      <c r="V1610">
        <v>117.38</v>
      </c>
      <c r="W1610">
        <v>133.04</v>
      </c>
      <c r="X1610">
        <v>118.25</v>
      </c>
      <c r="Y1610">
        <v>148</v>
      </c>
      <c r="Z1610" t="s">
        <v>5922</v>
      </c>
    </row>
    <row r="1611" spans="1:26" x14ac:dyDescent="0.2">
      <c r="A1611" t="s">
        <v>2653</v>
      </c>
      <c r="B1611" t="s">
        <v>2947</v>
      </c>
      <c r="C1611" t="s">
        <v>2948</v>
      </c>
      <c r="D1611" t="s">
        <v>98</v>
      </c>
      <c r="E1611">
        <v>169.99</v>
      </c>
      <c r="F1611" t="s">
        <v>5922</v>
      </c>
      <c r="G1611">
        <v>130.43</v>
      </c>
      <c r="H1611">
        <v>133.04</v>
      </c>
      <c r="I1611">
        <v>123.9</v>
      </c>
      <c r="J1611">
        <v>123.9</v>
      </c>
      <c r="L1611" t="s">
        <v>5922</v>
      </c>
      <c r="R1611">
        <v>123.9</v>
      </c>
      <c r="U1611">
        <v>118.25</v>
      </c>
      <c r="V1611">
        <v>117.38</v>
      </c>
      <c r="W1611">
        <v>133.04</v>
      </c>
      <c r="X1611">
        <v>118.25</v>
      </c>
      <c r="Y1611">
        <v>148</v>
      </c>
      <c r="Z1611" t="s">
        <v>5922</v>
      </c>
    </row>
    <row r="1612" spans="1:26" x14ac:dyDescent="0.2">
      <c r="A1612" t="s">
        <v>2653</v>
      </c>
      <c r="B1612" t="s">
        <v>2949</v>
      </c>
      <c r="C1612" t="s">
        <v>2950</v>
      </c>
      <c r="D1612" t="s">
        <v>98</v>
      </c>
      <c r="E1612">
        <v>169.99</v>
      </c>
      <c r="F1612" t="s">
        <v>5922</v>
      </c>
      <c r="G1612">
        <v>130.43</v>
      </c>
      <c r="H1612">
        <v>133.04</v>
      </c>
      <c r="I1612">
        <v>123.9</v>
      </c>
      <c r="J1612">
        <v>123.9</v>
      </c>
      <c r="L1612" t="s">
        <v>5922</v>
      </c>
      <c r="R1612">
        <v>123.9</v>
      </c>
      <c r="U1612">
        <v>118.25</v>
      </c>
      <c r="V1612">
        <v>117.38</v>
      </c>
      <c r="W1612">
        <v>133.04</v>
      </c>
      <c r="X1612">
        <v>118.25</v>
      </c>
      <c r="Y1612">
        <v>148</v>
      </c>
      <c r="Z1612" t="s">
        <v>5922</v>
      </c>
    </row>
    <row r="1613" spans="1:26" x14ac:dyDescent="0.2">
      <c r="A1613" t="s">
        <v>2653</v>
      </c>
      <c r="B1613" t="s">
        <v>2951</v>
      </c>
      <c r="C1613" t="s">
        <v>2952</v>
      </c>
      <c r="D1613" t="s">
        <v>98</v>
      </c>
      <c r="E1613">
        <v>69.989999999999995</v>
      </c>
      <c r="F1613" t="s">
        <v>5922</v>
      </c>
      <c r="G1613">
        <v>47.82</v>
      </c>
      <c r="H1613">
        <v>54.77</v>
      </c>
      <c r="I1613">
        <v>45.43</v>
      </c>
      <c r="J1613">
        <v>45.43</v>
      </c>
      <c r="L1613" t="s">
        <v>5922</v>
      </c>
      <c r="R1613">
        <v>45.43</v>
      </c>
      <c r="U1613">
        <v>48.69</v>
      </c>
      <c r="V1613">
        <v>43.04</v>
      </c>
      <c r="W1613">
        <v>54.77</v>
      </c>
      <c r="X1613">
        <v>48.69</v>
      </c>
      <c r="Y1613">
        <v>54</v>
      </c>
      <c r="Z1613" t="s">
        <v>5922</v>
      </c>
    </row>
    <row r="1614" spans="1:26" x14ac:dyDescent="0.2">
      <c r="A1614" t="s">
        <v>2653</v>
      </c>
      <c r="B1614" t="s">
        <v>2953</v>
      </c>
      <c r="C1614" t="s">
        <v>2954</v>
      </c>
      <c r="D1614" t="s">
        <v>98</v>
      </c>
      <c r="E1614">
        <v>69.989999999999995</v>
      </c>
      <c r="F1614" t="s">
        <v>5922</v>
      </c>
      <c r="G1614">
        <v>47.82</v>
      </c>
      <c r="H1614">
        <v>54.77</v>
      </c>
      <c r="I1614">
        <v>45.43</v>
      </c>
      <c r="J1614">
        <v>45.43</v>
      </c>
      <c r="L1614" t="s">
        <v>5922</v>
      </c>
      <c r="R1614">
        <v>45.43</v>
      </c>
      <c r="U1614">
        <v>48.69</v>
      </c>
      <c r="V1614">
        <v>43.04</v>
      </c>
      <c r="W1614">
        <v>54.77</v>
      </c>
      <c r="X1614">
        <v>48.69</v>
      </c>
      <c r="Y1614">
        <v>54</v>
      </c>
      <c r="Z1614" t="s">
        <v>5922</v>
      </c>
    </row>
    <row r="1615" spans="1:26" x14ac:dyDescent="0.2">
      <c r="A1615" t="s">
        <v>2653</v>
      </c>
      <c r="B1615" t="s">
        <v>2955</v>
      </c>
      <c r="C1615" t="s">
        <v>2956</v>
      </c>
      <c r="D1615" t="s">
        <v>98</v>
      </c>
      <c r="E1615">
        <v>69.989999999999995</v>
      </c>
      <c r="F1615" t="s">
        <v>5922</v>
      </c>
      <c r="G1615">
        <v>47.82</v>
      </c>
      <c r="H1615">
        <v>54.77</v>
      </c>
      <c r="I1615">
        <v>45.43</v>
      </c>
      <c r="J1615">
        <v>45.43</v>
      </c>
      <c r="L1615" t="s">
        <v>5922</v>
      </c>
      <c r="R1615">
        <v>45.43</v>
      </c>
      <c r="U1615">
        <v>48.69</v>
      </c>
      <c r="V1615">
        <v>43.04</v>
      </c>
      <c r="W1615">
        <v>54.77</v>
      </c>
      <c r="X1615">
        <v>48.69</v>
      </c>
      <c r="Y1615">
        <v>54</v>
      </c>
      <c r="Z1615" t="s">
        <v>5922</v>
      </c>
    </row>
    <row r="1616" spans="1:26" x14ac:dyDescent="0.2">
      <c r="A1616" t="s">
        <v>2653</v>
      </c>
      <c r="B1616" t="s">
        <v>2957</v>
      </c>
      <c r="C1616" t="s">
        <v>2958</v>
      </c>
      <c r="D1616" t="s">
        <v>98</v>
      </c>
      <c r="E1616">
        <v>279.99</v>
      </c>
      <c r="F1616" t="s">
        <v>5922</v>
      </c>
      <c r="G1616">
        <v>243.47</v>
      </c>
      <c r="H1616">
        <v>194.78</v>
      </c>
      <c r="I1616">
        <v>219.12</v>
      </c>
      <c r="J1616">
        <v>194.78</v>
      </c>
      <c r="L1616" t="s">
        <v>5922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243.47</v>
      </c>
      <c r="S1616">
        <v>0</v>
      </c>
      <c r="T1616">
        <v>0</v>
      </c>
      <c r="U1616">
        <v>194.78</v>
      </c>
      <c r="V1616">
        <v>194.78</v>
      </c>
      <c r="W1616">
        <v>219.12</v>
      </c>
      <c r="X1616">
        <v>194.78</v>
      </c>
      <c r="Y1616">
        <v>228</v>
      </c>
      <c r="Z1616" t="s">
        <v>5922</v>
      </c>
    </row>
    <row r="1617" spans="1:26" x14ac:dyDescent="0.2">
      <c r="A1617" t="s">
        <v>2653</v>
      </c>
      <c r="B1617" t="s">
        <v>2959</v>
      </c>
      <c r="C1617" t="s">
        <v>2960</v>
      </c>
      <c r="D1617" t="s">
        <v>98</v>
      </c>
      <c r="E1617">
        <v>329.99</v>
      </c>
      <c r="F1617" t="s">
        <v>5922</v>
      </c>
      <c r="G1617">
        <v>286.95</v>
      </c>
      <c r="H1617">
        <v>229.56</v>
      </c>
      <c r="I1617">
        <v>258.25</v>
      </c>
      <c r="J1617">
        <v>229.56</v>
      </c>
      <c r="L1617" t="s">
        <v>5922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286.95</v>
      </c>
      <c r="S1617">
        <v>0</v>
      </c>
      <c r="T1617">
        <v>0</v>
      </c>
      <c r="U1617">
        <v>229.56</v>
      </c>
      <c r="V1617">
        <v>229.56</v>
      </c>
      <c r="W1617">
        <v>258.25</v>
      </c>
      <c r="X1617">
        <v>229.56</v>
      </c>
      <c r="Y1617">
        <v>279</v>
      </c>
      <c r="Z1617" t="s">
        <v>5922</v>
      </c>
    </row>
    <row r="1618" spans="1:26" x14ac:dyDescent="0.2">
      <c r="A1618" t="s">
        <v>2653</v>
      </c>
      <c r="B1618" t="s">
        <v>2961</v>
      </c>
      <c r="C1618" t="s">
        <v>2962</v>
      </c>
      <c r="D1618" t="s">
        <v>98</v>
      </c>
      <c r="E1618">
        <v>299.99</v>
      </c>
      <c r="F1618" t="s">
        <v>5922</v>
      </c>
      <c r="G1618">
        <v>260.86</v>
      </c>
      <c r="H1618">
        <v>208.69</v>
      </c>
      <c r="I1618">
        <v>234.77</v>
      </c>
      <c r="J1618">
        <v>208.69</v>
      </c>
      <c r="L1618" t="s">
        <v>5922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260.86</v>
      </c>
      <c r="S1618">
        <v>0</v>
      </c>
      <c r="T1618">
        <v>0</v>
      </c>
      <c r="U1618">
        <v>208.69</v>
      </c>
      <c r="V1618">
        <v>208.69</v>
      </c>
      <c r="W1618">
        <v>234.77</v>
      </c>
      <c r="X1618">
        <v>208.69</v>
      </c>
      <c r="Y1618">
        <v>258</v>
      </c>
      <c r="Z1618" t="s">
        <v>5922</v>
      </c>
    </row>
    <row r="1619" spans="1:26" x14ac:dyDescent="0.2">
      <c r="A1619" t="s">
        <v>2653</v>
      </c>
      <c r="B1619" t="s">
        <v>2963</v>
      </c>
      <c r="C1619" t="s">
        <v>2964</v>
      </c>
      <c r="D1619" t="s">
        <v>98</v>
      </c>
      <c r="E1619">
        <v>329.99</v>
      </c>
      <c r="F1619" t="s">
        <v>5922</v>
      </c>
      <c r="G1619">
        <v>286.95</v>
      </c>
      <c r="H1619">
        <v>229.56</v>
      </c>
      <c r="I1619">
        <v>258.25</v>
      </c>
      <c r="J1619">
        <v>229.56</v>
      </c>
      <c r="L1619" t="s">
        <v>5922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286.95</v>
      </c>
      <c r="S1619">
        <v>0</v>
      </c>
      <c r="T1619">
        <v>0</v>
      </c>
      <c r="U1619">
        <v>229.56</v>
      </c>
      <c r="V1619">
        <v>229.56</v>
      </c>
      <c r="W1619">
        <v>258.25</v>
      </c>
      <c r="X1619">
        <v>229.56</v>
      </c>
      <c r="Y1619">
        <v>268</v>
      </c>
      <c r="Z1619" t="s">
        <v>5922</v>
      </c>
    </row>
    <row r="1620" spans="1:26" x14ac:dyDescent="0.2">
      <c r="A1620" t="s">
        <v>2653</v>
      </c>
      <c r="B1620" t="s">
        <v>2965</v>
      </c>
      <c r="C1620" t="s">
        <v>2966</v>
      </c>
      <c r="D1620" t="s">
        <v>98</v>
      </c>
      <c r="E1620">
        <v>349.99</v>
      </c>
      <c r="F1620" t="s">
        <v>5922</v>
      </c>
      <c r="G1620">
        <v>304.33999999999997</v>
      </c>
      <c r="H1620">
        <v>243.47</v>
      </c>
      <c r="I1620">
        <v>273.91000000000003</v>
      </c>
      <c r="J1620">
        <v>243.47</v>
      </c>
      <c r="L1620" t="s">
        <v>5922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304.33999999999997</v>
      </c>
      <c r="S1620">
        <v>0</v>
      </c>
      <c r="T1620">
        <v>0</v>
      </c>
      <c r="U1620">
        <v>243.47</v>
      </c>
      <c r="V1620">
        <v>243.47</v>
      </c>
      <c r="W1620">
        <v>273.91000000000003</v>
      </c>
      <c r="X1620">
        <v>243.47</v>
      </c>
      <c r="Y1620">
        <v>329</v>
      </c>
      <c r="Z1620" t="s">
        <v>5922</v>
      </c>
    </row>
    <row r="1621" spans="1:26" x14ac:dyDescent="0.2">
      <c r="A1621" t="s">
        <v>2653</v>
      </c>
      <c r="B1621" t="s">
        <v>2967</v>
      </c>
      <c r="C1621" t="s">
        <v>2968</v>
      </c>
      <c r="D1621" t="s">
        <v>98</v>
      </c>
      <c r="E1621">
        <v>219.99</v>
      </c>
      <c r="F1621" t="s">
        <v>5922</v>
      </c>
      <c r="G1621">
        <v>191.3</v>
      </c>
      <c r="H1621">
        <v>153.04</v>
      </c>
      <c r="I1621">
        <v>172.17</v>
      </c>
      <c r="J1621">
        <v>153.04</v>
      </c>
      <c r="L1621" t="s">
        <v>5922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191.3</v>
      </c>
      <c r="S1621">
        <v>0</v>
      </c>
      <c r="T1621">
        <v>0</v>
      </c>
      <c r="U1621">
        <v>153.04</v>
      </c>
      <c r="V1621">
        <v>153.04</v>
      </c>
      <c r="W1621">
        <v>172.17</v>
      </c>
      <c r="X1621">
        <v>153.04</v>
      </c>
      <c r="Y1621">
        <v>198</v>
      </c>
      <c r="Z1621" t="s">
        <v>5922</v>
      </c>
    </row>
    <row r="1622" spans="1:26" x14ac:dyDescent="0.2">
      <c r="A1622" t="s">
        <v>2653</v>
      </c>
      <c r="B1622" t="s">
        <v>2969</v>
      </c>
      <c r="C1622" t="s">
        <v>2970</v>
      </c>
      <c r="D1622" t="s">
        <v>98</v>
      </c>
      <c r="E1622">
        <v>149.99</v>
      </c>
      <c r="F1622" t="s">
        <v>5922</v>
      </c>
      <c r="G1622">
        <v>130.43</v>
      </c>
      <c r="H1622">
        <v>104.34</v>
      </c>
      <c r="I1622">
        <v>117.38</v>
      </c>
      <c r="J1622">
        <v>104.34</v>
      </c>
      <c r="L1622" t="s">
        <v>5922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130.43</v>
      </c>
      <c r="S1622">
        <v>0</v>
      </c>
      <c r="T1622">
        <v>0</v>
      </c>
      <c r="U1622">
        <v>104.34</v>
      </c>
      <c r="V1622">
        <v>104.34</v>
      </c>
      <c r="W1622">
        <v>117.38</v>
      </c>
      <c r="X1622">
        <v>104.34</v>
      </c>
      <c r="Y1622">
        <v>128</v>
      </c>
      <c r="Z1622" t="s">
        <v>5922</v>
      </c>
    </row>
    <row r="1623" spans="1:26" x14ac:dyDescent="0.2">
      <c r="A1623" t="s">
        <v>2653</v>
      </c>
      <c r="B1623" t="s">
        <v>2971</v>
      </c>
      <c r="C1623" t="s">
        <v>2972</v>
      </c>
      <c r="D1623" t="s">
        <v>98</v>
      </c>
      <c r="E1623">
        <v>399.99</v>
      </c>
      <c r="F1623" t="s">
        <v>5922</v>
      </c>
      <c r="G1623">
        <v>347.82</v>
      </c>
      <c r="H1623">
        <v>278.25</v>
      </c>
      <c r="I1623">
        <v>313.04000000000002</v>
      </c>
      <c r="J1623">
        <v>278.25</v>
      </c>
      <c r="L1623" t="s">
        <v>5922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347.82</v>
      </c>
      <c r="S1623">
        <v>0</v>
      </c>
      <c r="T1623">
        <v>0</v>
      </c>
      <c r="U1623">
        <v>278.25</v>
      </c>
      <c r="V1623">
        <v>278.25</v>
      </c>
      <c r="W1623">
        <v>313.04000000000002</v>
      </c>
      <c r="X1623">
        <v>278.25</v>
      </c>
      <c r="Y1623">
        <v>329</v>
      </c>
      <c r="Z1623" t="s">
        <v>5922</v>
      </c>
    </row>
    <row r="1624" spans="1:26" x14ac:dyDescent="0.2">
      <c r="A1624" t="s">
        <v>2653</v>
      </c>
      <c r="B1624" t="s">
        <v>2973</v>
      </c>
      <c r="C1624" t="s">
        <v>2974</v>
      </c>
      <c r="D1624" t="s">
        <v>98</v>
      </c>
      <c r="E1624">
        <v>99.99</v>
      </c>
      <c r="F1624" t="s">
        <v>5922</v>
      </c>
      <c r="G1624">
        <v>86.95</v>
      </c>
      <c r="H1624">
        <v>69.56</v>
      </c>
      <c r="I1624">
        <v>78.25</v>
      </c>
      <c r="J1624">
        <v>69.56</v>
      </c>
      <c r="L1624" t="s">
        <v>5922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86.95</v>
      </c>
      <c r="S1624">
        <v>0</v>
      </c>
      <c r="T1624">
        <v>0</v>
      </c>
      <c r="U1624">
        <v>69.56</v>
      </c>
      <c r="V1624">
        <v>69.56</v>
      </c>
      <c r="W1624">
        <v>78.25</v>
      </c>
      <c r="X1624">
        <v>69.56</v>
      </c>
      <c r="Y1624">
        <v>79</v>
      </c>
      <c r="Z1624" t="s">
        <v>5922</v>
      </c>
    </row>
    <row r="1625" spans="1:26" x14ac:dyDescent="0.2">
      <c r="A1625" t="s">
        <v>2653</v>
      </c>
      <c r="B1625" t="s">
        <v>2975</v>
      </c>
      <c r="C1625" t="s">
        <v>2976</v>
      </c>
      <c r="D1625" t="s">
        <v>98</v>
      </c>
      <c r="E1625">
        <v>99.99</v>
      </c>
      <c r="F1625" t="s">
        <v>5922</v>
      </c>
      <c r="G1625">
        <v>86.95</v>
      </c>
      <c r="H1625">
        <v>69.56</v>
      </c>
      <c r="I1625">
        <v>78.25</v>
      </c>
      <c r="J1625">
        <v>69.56</v>
      </c>
      <c r="L1625" t="s">
        <v>5922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86.95</v>
      </c>
      <c r="S1625">
        <v>0</v>
      </c>
      <c r="T1625">
        <v>0</v>
      </c>
      <c r="U1625">
        <v>69.56</v>
      </c>
      <c r="V1625">
        <v>69.56</v>
      </c>
      <c r="W1625">
        <v>78.25</v>
      </c>
      <c r="X1625">
        <v>69.56</v>
      </c>
      <c r="Y1625">
        <v>88</v>
      </c>
      <c r="Z1625" t="s">
        <v>5922</v>
      </c>
    </row>
    <row r="1626" spans="1:26" x14ac:dyDescent="0.2">
      <c r="A1626" t="s">
        <v>2653</v>
      </c>
      <c r="B1626" t="s">
        <v>2977</v>
      </c>
      <c r="C1626" t="s">
        <v>2978</v>
      </c>
      <c r="D1626" t="s">
        <v>98</v>
      </c>
      <c r="E1626">
        <v>99.99</v>
      </c>
      <c r="F1626" t="s">
        <v>5922</v>
      </c>
      <c r="G1626">
        <v>86.95</v>
      </c>
      <c r="H1626">
        <v>69.56</v>
      </c>
      <c r="I1626">
        <v>78.25</v>
      </c>
      <c r="J1626">
        <v>69.56</v>
      </c>
      <c r="L1626" t="s">
        <v>5922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86.95</v>
      </c>
      <c r="S1626">
        <v>0</v>
      </c>
      <c r="T1626">
        <v>0</v>
      </c>
      <c r="U1626">
        <v>69.56</v>
      </c>
      <c r="V1626">
        <v>69.56</v>
      </c>
      <c r="W1626">
        <v>78.25</v>
      </c>
      <c r="X1626">
        <v>69.56</v>
      </c>
      <c r="Y1626">
        <v>79</v>
      </c>
      <c r="Z1626" t="s">
        <v>5922</v>
      </c>
    </row>
    <row r="1627" spans="1:26" x14ac:dyDescent="0.2">
      <c r="A1627" t="s">
        <v>2653</v>
      </c>
      <c r="B1627" t="s">
        <v>2979</v>
      </c>
      <c r="C1627" t="s">
        <v>2980</v>
      </c>
      <c r="D1627" t="s">
        <v>98</v>
      </c>
      <c r="E1627">
        <v>1599.99</v>
      </c>
      <c r="F1627" t="s">
        <v>5922</v>
      </c>
      <c r="G1627">
        <v>1391.3</v>
      </c>
      <c r="H1627">
        <v>1182.5999999999999</v>
      </c>
      <c r="I1627">
        <v>0</v>
      </c>
      <c r="J1627">
        <v>1113.04</v>
      </c>
      <c r="L1627" t="s">
        <v>5922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1391.3</v>
      </c>
      <c r="S1627">
        <v>0</v>
      </c>
      <c r="T1627">
        <v>0</v>
      </c>
      <c r="U1627">
        <v>1113.04</v>
      </c>
      <c r="V1627">
        <v>0</v>
      </c>
      <c r="W1627">
        <v>1252.17</v>
      </c>
      <c r="X1627">
        <v>1113.04</v>
      </c>
      <c r="Y1627">
        <v>1599.99</v>
      </c>
      <c r="Z1627" t="s">
        <v>5922</v>
      </c>
    </row>
    <row r="1628" spans="1:26" x14ac:dyDescent="0.2">
      <c r="A1628" t="s">
        <v>2653</v>
      </c>
      <c r="B1628" t="s">
        <v>2981</v>
      </c>
      <c r="C1628" t="s">
        <v>2982</v>
      </c>
      <c r="D1628" t="s">
        <v>98</v>
      </c>
      <c r="E1628">
        <v>99.99</v>
      </c>
      <c r="F1628" t="s">
        <v>5922</v>
      </c>
      <c r="G1628">
        <v>86.95</v>
      </c>
      <c r="H1628">
        <v>69.56</v>
      </c>
      <c r="I1628">
        <v>78.25</v>
      </c>
      <c r="J1628">
        <v>69.56</v>
      </c>
      <c r="L1628" t="s">
        <v>5922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86.95</v>
      </c>
      <c r="S1628">
        <v>0</v>
      </c>
      <c r="T1628">
        <v>0</v>
      </c>
      <c r="U1628">
        <v>69.56</v>
      </c>
      <c r="V1628">
        <v>69.56</v>
      </c>
      <c r="W1628">
        <v>78.25</v>
      </c>
      <c r="X1628">
        <v>69.56</v>
      </c>
      <c r="Y1628">
        <v>79</v>
      </c>
      <c r="Z1628" t="s">
        <v>5922</v>
      </c>
    </row>
    <row r="1629" spans="1:26" x14ac:dyDescent="0.2">
      <c r="A1629" t="s">
        <v>2653</v>
      </c>
      <c r="B1629" t="s">
        <v>2983</v>
      </c>
      <c r="C1629" t="s">
        <v>2984</v>
      </c>
      <c r="D1629" t="s">
        <v>105</v>
      </c>
      <c r="E1629">
        <v>149.9</v>
      </c>
      <c r="F1629" t="s">
        <v>6973</v>
      </c>
      <c r="G1629">
        <v>149.9</v>
      </c>
      <c r="H1629">
        <v>110.8</v>
      </c>
      <c r="I1629">
        <v>125.21</v>
      </c>
      <c r="J1629">
        <v>111.3</v>
      </c>
      <c r="L1629" t="s">
        <v>5922</v>
      </c>
      <c r="M1629">
        <v>0</v>
      </c>
      <c r="N1629">
        <v>0</v>
      </c>
      <c r="O1629">
        <v>0</v>
      </c>
      <c r="P1629">
        <v>0</v>
      </c>
      <c r="Q1629">
        <v>110.8</v>
      </c>
      <c r="R1629">
        <v>110.8</v>
      </c>
      <c r="S1629">
        <v>0</v>
      </c>
      <c r="T1629">
        <v>0</v>
      </c>
      <c r="U1629">
        <v>107.76</v>
      </c>
      <c r="V1629">
        <v>104.28</v>
      </c>
      <c r="W1629">
        <v>121.23</v>
      </c>
      <c r="X1629">
        <v>107.76</v>
      </c>
      <c r="Y1629">
        <v>149.9</v>
      </c>
      <c r="Z1629" t="s">
        <v>5922</v>
      </c>
    </row>
    <row r="1630" spans="1:26" x14ac:dyDescent="0.2">
      <c r="A1630" t="s">
        <v>2653</v>
      </c>
      <c r="B1630" t="s">
        <v>2985</v>
      </c>
      <c r="C1630" t="s">
        <v>2986</v>
      </c>
      <c r="D1630" t="s">
        <v>98</v>
      </c>
      <c r="E1630">
        <v>399.99</v>
      </c>
      <c r="F1630" t="s">
        <v>5922</v>
      </c>
      <c r="G1630">
        <v>347.82</v>
      </c>
      <c r="H1630">
        <v>278.25</v>
      </c>
      <c r="I1630">
        <v>0</v>
      </c>
      <c r="J1630">
        <v>278.25</v>
      </c>
      <c r="L1630" t="s">
        <v>5922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347.82</v>
      </c>
      <c r="S1630">
        <v>0</v>
      </c>
      <c r="T1630">
        <v>0</v>
      </c>
      <c r="U1630">
        <v>278.25</v>
      </c>
      <c r="V1630">
        <v>0</v>
      </c>
      <c r="W1630">
        <v>313.04000000000002</v>
      </c>
      <c r="X1630">
        <v>278.25</v>
      </c>
      <c r="Y1630">
        <v>399.99</v>
      </c>
      <c r="Z1630" t="s">
        <v>5922</v>
      </c>
    </row>
    <row r="1631" spans="1:26" x14ac:dyDescent="0.2">
      <c r="A1631" t="s">
        <v>2653</v>
      </c>
      <c r="B1631" t="s">
        <v>2987</v>
      </c>
      <c r="C1631" t="s">
        <v>2988</v>
      </c>
      <c r="D1631" t="s">
        <v>98</v>
      </c>
      <c r="E1631">
        <v>6999.99</v>
      </c>
      <c r="F1631" t="s">
        <v>5922</v>
      </c>
      <c r="G1631">
        <v>6086.95</v>
      </c>
      <c r="H1631">
        <v>5173.91</v>
      </c>
      <c r="I1631">
        <v>0</v>
      </c>
      <c r="J1631">
        <v>4869.5600000000004</v>
      </c>
      <c r="L1631" t="s">
        <v>5922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6086.95</v>
      </c>
      <c r="S1631">
        <v>0</v>
      </c>
      <c r="T1631">
        <v>0</v>
      </c>
      <c r="U1631">
        <v>4869.5600000000004</v>
      </c>
      <c r="V1631">
        <v>0</v>
      </c>
      <c r="W1631">
        <v>5478.25</v>
      </c>
      <c r="X1631">
        <v>4869.5600000000004</v>
      </c>
      <c r="Y1631">
        <v>6999.99</v>
      </c>
      <c r="Z1631" t="s">
        <v>5922</v>
      </c>
    </row>
    <row r="1632" spans="1:26" x14ac:dyDescent="0.2">
      <c r="A1632" t="s">
        <v>2653</v>
      </c>
      <c r="B1632" t="s">
        <v>2989</v>
      </c>
      <c r="C1632" t="s">
        <v>2990</v>
      </c>
      <c r="D1632" t="s">
        <v>98</v>
      </c>
      <c r="E1632">
        <v>3499.99</v>
      </c>
      <c r="F1632" t="s">
        <v>5922</v>
      </c>
      <c r="G1632">
        <v>3043.47</v>
      </c>
      <c r="H1632">
        <v>2586.9499999999998</v>
      </c>
      <c r="I1632">
        <v>0</v>
      </c>
      <c r="J1632">
        <v>2434.7800000000002</v>
      </c>
      <c r="L1632" t="s">
        <v>5922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3043.47</v>
      </c>
      <c r="S1632">
        <v>0</v>
      </c>
      <c r="T1632">
        <v>0</v>
      </c>
      <c r="U1632">
        <v>2434.7800000000002</v>
      </c>
      <c r="V1632">
        <v>0</v>
      </c>
      <c r="W1632">
        <v>2739.12</v>
      </c>
      <c r="X1632">
        <v>2434.7800000000002</v>
      </c>
      <c r="Y1632">
        <v>3499.99</v>
      </c>
      <c r="Z1632" t="s">
        <v>5922</v>
      </c>
    </row>
    <row r="1633" spans="1:26" x14ac:dyDescent="0.2">
      <c r="A1633" t="s">
        <v>2653</v>
      </c>
      <c r="B1633" t="s">
        <v>2991</v>
      </c>
      <c r="C1633" t="s">
        <v>2992</v>
      </c>
      <c r="D1633" t="s">
        <v>98</v>
      </c>
      <c r="E1633">
        <v>5999.99</v>
      </c>
      <c r="F1633" t="s">
        <v>5922</v>
      </c>
      <c r="G1633">
        <v>5217.38</v>
      </c>
      <c r="H1633">
        <v>4434.78</v>
      </c>
      <c r="I1633">
        <v>0</v>
      </c>
      <c r="J1633">
        <v>4173.91</v>
      </c>
      <c r="L1633" t="s">
        <v>5922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5217.38</v>
      </c>
      <c r="S1633">
        <v>0</v>
      </c>
      <c r="T1633">
        <v>0</v>
      </c>
      <c r="U1633">
        <v>4173.91</v>
      </c>
      <c r="V1633">
        <v>0</v>
      </c>
      <c r="W1633">
        <v>4695.6400000000003</v>
      </c>
      <c r="X1633">
        <v>4173.91</v>
      </c>
      <c r="Y1633">
        <v>5999.99</v>
      </c>
      <c r="Z1633" t="s">
        <v>5922</v>
      </c>
    </row>
    <row r="1634" spans="1:26" x14ac:dyDescent="0.2">
      <c r="A1634" t="s">
        <v>2653</v>
      </c>
      <c r="B1634" t="s">
        <v>2993</v>
      </c>
      <c r="C1634" t="s">
        <v>2994</v>
      </c>
      <c r="D1634" t="s">
        <v>98</v>
      </c>
      <c r="E1634">
        <v>299.99</v>
      </c>
      <c r="F1634" t="s">
        <v>5922</v>
      </c>
      <c r="G1634">
        <v>260.86</v>
      </c>
      <c r="H1634">
        <v>208.69</v>
      </c>
      <c r="I1634">
        <v>234.77</v>
      </c>
      <c r="J1634">
        <v>208.69</v>
      </c>
      <c r="L1634" t="s">
        <v>5922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260.86</v>
      </c>
      <c r="S1634">
        <v>0</v>
      </c>
      <c r="T1634">
        <v>0</v>
      </c>
      <c r="U1634">
        <v>208.69</v>
      </c>
      <c r="V1634">
        <v>208.69</v>
      </c>
      <c r="W1634">
        <v>234.77</v>
      </c>
      <c r="X1634">
        <v>208.69</v>
      </c>
      <c r="Y1634">
        <v>258</v>
      </c>
      <c r="Z1634" t="s">
        <v>5922</v>
      </c>
    </row>
    <row r="1635" spans="1:26" x14ac:dyDescent="0.2">
      <c r="A1635" t="s">
        <v>2653</v>
      </c>
      <c r="B1635" t="s">
        <v>2995</v>
      </c>
      <c r="C1635" t="s">
        <v>2996</v>
      </c>
      <c r="D1635" t="s">
        <v>98</v>
      </c>
      <c r="E1635">
        <v>699.99</v>
      </c>
      <c r="F1635" t="s">
        <v>5922</v>
      </c>
      <c r="G1635">
        <v>608.69000000000005</v>
      </c>
      <c r="H1635">
        <v>486.95</v>
      </c>
      <c r="I1635">
        <v>0</v>
      </c>
      <c r="J1635">
        <v>486.95</v>
      </c>
      <c r="L1635" t="s">
        <v>5922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608.69000000000005</v>
      </c>
      <c r="S1635">
        <v>0</v>
      </c>
      <c r="T1635">
        <v>0</v>
      </c>
      <c r="U1635">
        <v>486.95</v>
      </c>
      <c r="V1635">
        <v>0</v>
      </c>
      <c r="W1635">
        <v>547.82000000000005</v>
      </c>
      <c r="X1635">
        <v>486.95</v>
      </c>
      <c r="Y1635">
        <v>699.99</v>
      </c>
      <c r="Z1635" t="s">
        <v>5922</v>
      </c>
    </row>
    <row r="1636" spans="1:26" x14ac:dyDescent="0.2">
      <c r="A1636" t="s">
        <v>2653</v>
      </c>
      <c r="B1636" t="s">
        <v>2997</v>
      </c>
      <c r="C1636" t="s">
        <v>2998</v>
      </c>
      <c r="D1636" t="s">
        <v>98</v>
      </c>
      <c r="E1636">
        <v>209.99</v>
      </c>
      <c r="F1636" t="s">
        <v>5922</v>
      </c>
      <c r="G1636">
        <v>182.6</v>
      </c>
      <c r="H1636">
        <v>146.08000000000001</v>
      </c>
      <c r="I1636">
        <v>164.34</v>
      </c>
      <c r="J1636">
        <v>146.08000000000001</v>
      </c>
      <c r="L1636" t="s">
        <v>5922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182.6</v>
      </c>
      <c r="S1636">
        <v>0</v>
      </c>
      <c r="T1636">
        <v>0</v>
      </c>
      <c r="U1636">
        <v>146.08000000000001</v>
      </c>
      <c r="V1636">
        <v>146.08000000000001</v>
      </c>
      <c r="W1636">
        <v>164.34</v>
      </c>
      <c r="X1636">
        <v>146.08000000000001</v>
      </c>
      <c r="Y1636">
        <v>169</v>
      </c>
      <c r="Z1636" t="s">
        <v>5922</v>
      </c>
    </row>
    <row r="1637" spans="1:26" x14ac:dyDescent="0.2">
      <c r="A1637" t="s">
        <v>2653</v>
      </c>
      <c r="B1637" t="s">
        <v>2999</v>
      </c>
      <c r="C1637" t="s">
        <v>3000</v>
      </c>
      <c r="D1637" t="s">
        <v>98</v>
      </c>
      <c r="E1637">
        <v>219.99</v>
      </c>
      <c r="F1637" t="s">
        <v>5922</v>
      </c>
      <c r="G1637">
        <v>191.3</v>
      </c>
      <c r="H1637">
        <v>153.04</v>
      </c>
      <c r="I1637">
        <v>172.17</v>
      </c>
      <c r="J1637">
        <v>153.04</v>
      </c>
      <c r="L1637" t="s">
        <v>5922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191.3</v>
      </c>
      <c r="S1637">
        <v>0</v>
      </c>
      <c r="T1637">
        <v>0</v>
      </c>
      <c r="U1637">
        <v>153.04</v>
      </c>
      <c r="V1637">
        <v>153.04</v>
      </c>
      <c r="W1637">
        <v>172.17</v>
      </c>
      <c r="X1637">
        <v>153.04</v>
      </c>
      <c r="Y1637">
        <v>198</v>
      </c>
      <c r="Z1637" t="s">
        <v>5922</v>
      </c>
    </row>
    <row r="1638" spans="1:26" x14ac:dyDescent="0.2">
      <c r="A1638" t="s">
        <v>2653</v>
      </c>
      <c r="B1638" t="s">
        <v>3001</v>
      </c>
      <c r="C1638" t="s">
        <v>3002</v>
      </c>
      <c r="D1638" t="s">
        <v>98</v>
      </c>
      <c r="E1638">
        <v>45.99</v>
      </c>
      <c r="F1638" t="s">
        <v>5922</v>
      </c>
      <c r="G1638">
        <v>45.99</v>
      </c>
      <c r="H1638">
        <v>39.99</v>
      </c>
      <c r="I1638">
        <v>25.99</v>
      </c>
      <c r="J1638">
        <v>31.99</v>
      </c>
      <c r="L1638" t="s">
        <v>5922</v>
      </c>
      <c r="M1638">
        <v>27.99</v>
      </c>
      <c r="N1638">
        <v>29.99</v>
      </c>
      <c r="O1638">
        <v>39.99</v>
      </c>
      <c r="P1638">
        <v>23.99</v>
      </c>
      <c r="Q1638">
        <v>23.99</v>
      </c>
      <c r="R1638">
        <v>23.99</v>
      </c>
      <c r="S1638">
        <v>27.99</v>
      </c>
      <c r="T1638">
        <v>39.99</v>
      </c>
      <c r="U1638">
        <v>31.99</v>
      </c>
      <c r="V1638">
        <v>39.99</v>
      </c>
      <c r="W1638">
        <v>29.99</v>
      </c>
      <c r="X1638">
        <v>29.99</v>
      </c>
      <c r="Y1638">
        <v>45.99</v>
      </c>
      <c r="Z1638" t="s">
        <v>5922</v>
      </c>
    </row>
    <row r="1639" spans="1:26" x14ac:dyDescent="0.2">
      <c r="A1639" t="s">
        <v>2653</v>
      </c>
      <c r="B1639" t="s">
        <v>3003</v>
      </c>
      <c r="C1639" t="s">
        <v>3004</v>
      </c>
      <c r="D1639" t="s">
        <v>98</v>
      </c>
      <c r="E1639">
        <v>259.99</v>
      </c>
      <c r="F1639" t="s">
        <v>5922</v>
      </c>
      <c r="G1639">
        <v>226.08</v>
      </c>
      <c r="H1639">
        <v>180.86</v>
      </c>
      <c r="I1639">
        <v>203.47</v>
      </c>
      <c r="J1639">
        <v>180.86</v>
      </c>
      <c r="L1639" t="s">
        <v>5922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226.08</v>
      </c>
      <c r="S1639">
        <v>0</v>
      </c>
      <c r="T1639">
        <v>0</v>
      </c>
      <c r="U1639">
        <v>180.86</v>
      </c>
      <c r="V1639">
        <v>180.86</v>
      </c>
      <c r="W1639">
        <v>203.47</v>
      </c>
      <c r="X1639">
        <v>180.86</v>
      </c>
      <c r="Y1639">
        <v>218</v>
      </c>
      <c r="Z1639" t="s">
        <v>5922</v>
      </c>
    </row>
    <row r="1640" spans="1:26" x14ac:dyDescent="0.2">
      <c r="A1640" t="s">
        <v>2653</v>
      </c>
      <c r="B1640" t="s">
        <v>3005</v>
      </c>
      <c r="C1640" t="s">
        <v>3006</v>
      </c>
      <c r="D1640" t="s">
        <v>98</v>
      </c>
      <c r="E1640">
        <v>249.9</v>
      </c>
      <c r="F1640" t="s">
        <v>5922</v>
      </c>
      <c r="G1640">
        <v>249.9</v>
      </c>
      <c r="H1640">
        <v>222.6</v>
      </c>
      <c r="I1640">
        <v>250.43</v>
      </c>
      <c r="J1640">
        <v>222.6</v>
      </c>
      <c r="L1640" t="s">
        <v>5922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278.25</v>
      </c>
      <c r="S1640">
        <v>0</v>
      </c>
      <c r="T1640">
        <v>0</v>
      </c>
      <c r="U1640">
        <v>177.32</v>
      </c>
      <c r="V1640">
        <v>173.84</v>
      </c>
      <c r="W1640">
        <v>199.49</v>
      </c>
      <c r="X1640">
        <v>177.32</v>
      </c>
      <c r="Y1640">
        <v>249.9</v>
      </c>
      <c r="Z1640" t="s">
        <v>5922</v>
      </c>
    </row>
    <row r="1641" spans="1:26" x14ac:dyDescent="0.2">
      <c r="A1641" t="s">
        <v>2653</v>
      </c>
      <c r="B1641" t="s">
        <v>3007</v>
      </c>
      <c r="C1641" t="s">
        <v>3008</v>
      </c>
      <c r="D1641" t="s">
        <v>98</v>
      </c>
      <c r="E1641">
        <v>319.99</v>
      </c>
      <c r="F1641" t="s">
        <v>5922</v>
      </c>
      <c r="G1641">
        <v>278.25</v>
      </c>
      <c r="H1641">
        <v>222.6</v>
      </c>
      <c r="I1641">
        <v>250.43</v>
      </c>
      <c r="J1641">
        <v>222.6</v>
      </c>
      <c r="L1641" t="s">
        <v>5922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278.25</v>
      </c>
      <c r="S1641">
        <v>0</v>
      </c>
      <c r="T1641">
        <v>0</v>
      </c>
      <c r="U1641">
        <v>222.6</v>
      </c>
      <c r="V1641">
        <v>222.6</v>
      </c>
      <c r="W1641">
        <v>250.43</v>
      </c>
      <c r="X1641">
        <v>222.6</v>
      </c>
      <c r="Y1641">
        <v>274</v>
      </c>
      <c r="Z1641" t="s">
        <v>5922</v>
      </c>
    </row>
    <row r="1642" spans="1:26" x14ac:dyDescent="0.2">
      <c r="A1642" t="s">
        <v>2653</v>
      </c>
      <c r="B1642" t="s">
        <v>3009</v>
      </c>
      <c r="C1642" t="s">
        <v>3010</v>
      </c>
      <c r="D1642" t="s">
        <v>98</v>
      </c>
      <c r="E1642">
        <v>1899.99</v>
      </c>
      <c r="F1642" t="s">
        <v>5922</v>
      </c>
      <c r="G1642">
        <v>1652.17</v>
      </c>
      <c r="H1642">
        <v>1404.34</v>
      </c>
      <c r="I1642">
        <v>0</v>
      </c>
      <c r="J1642">
        <v>1321.73</v>
      </c>
      <c r="L1642" t="s">
        <v>5922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1652.17</v>
      </c>
      <c r="S1642">
        <v>0</v>
      </c>
      <c r="T1642">
        <v>0</v>
      </c>
      <c r="U1642">
        <v>1321.73</v>
      </c>
      <c r="V1642">
        <v>0</v>
      </c>
      <c r="W1642">
        <v>1486.95</v>
      </c>
      <c r="X1642">
        <v>1321.73</v>
      </c>
      <c r="Y1642">
        <v>1899.99</v>
      </c>
      <c r="Z1642" t="s">
        <v>5922</v>
      </c>
    </row>
    <row r="1643" spans="1:26" x14ac:dyDescent="0.2">
      <c r="A1643" t="s">
        <v>2653</v>
      </c>
      <c r="B1643" t="s">
        <v>3011</v>
      </c>
      <c r="C1643" t="s">
        <v>3012</v>
      </c>
      <c r="D1643" t="s">
        <v>98</v>
      </c>
      <c r="E1643">
        <v>139.99</v>
      </c>
      <c r="F1643" t="s">
        <v>5922</v>
      </c>
      <c r="G1643">
        <v>121.73</v>
      </c>
      <c r="H1643">
        <v>97.38</v>
      </c>
      <c r="I1643">
        <v>109.56</v>
      </c>
      <c r="J1643">
        <v>97.38</v>
      </c>
      <c r="L1643" t="s">
        <v>5922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121.73</v>
      </c>
      <c r="S1643">
        <v>0</v>
      </c>
      <c r="T1643">
        <v>0</v>
      </c>
      <c r="U1643">
        <v>97.38</v>
      </c>
      <c r="V1643">
        <v>97.38</v>
      </c>
      <c r="W1643">
        <v>109.56</v>
      </c>
      <c r="X1643">
        <v>97.38</v>
      </c>
      <c r="Y1643">
        <v>118</v>
      </c>
      <c r="Z1643" t="s">
        <v>5922</v>
      </c>
    </row>
    <row r="1644" spans="1:26" x14ac:dyDescent="0.2">
      <c r="A1644" t="s">
        <v>2653</v>
      </c>
      <c r="B1644" t="s">
        <v>3013</v>
      </c>
      <c r="C1644" t="s">
        <v>3014</v>
      </c>
      <c r="D1644" t="s">
        <v>98</v>
      </c>
      <c r="E1644">
        <v>24.9</v>
      </c>
      <c r="F1644" t="s">
        <v>5922</v>
      </c>
      <c r="G1644">
        <v>24.9</v>
      </c>
      <c r="H1644">
        <v>21.65</v>
      </c>
      <c r="I1644">
        <v>14.07</v>
      </c>
      <c r="J1644">
        <v>17.32</v>
      </c>
      <c r="L1644" t="s">
        <v>5922</v>
      </c>
      <c r="M1644">
        <v>15.16</v>
      </c>
      <c r="N1644">
        <v>16.239999999999998</v>
      </c>
      <c r="O1644">
        <v>21.65</v>
      </c>
      <c r="P1644">
        <v>12.99</v>
      </c>
      <c r="Q1644">
        <v>12.99</v>
      </c>
      <c r="R1644">
        <v>12.99</v>
      </c>
      <c r="S1644">
        <v>15.16</v>
      </c>
      <c r="T1644">
        <v>21.65</v>
      </c>
      <c r="U1644">
        <v>17.32</v>
      </c>
      <c r="V1644">
        <v>21.65</v>
      </c>
      <c r="W1644">
        <v>16.239999999999998</v>
      </c>
      <c r="X1644">
        <v>16.239999999999998</v>
      </c>
      <c r="Y1644">
        <v>24.9</v>
      </c>
      <c r="Z1644" t="s">
        <v>5922</v>
      </c>
    </row>
    <row r="1645" spans="1:26" x14ac:dyDescent="0.2">
      <c r="A1645" t="s">
        <v>2653</v>
      </c>
      <c r="B1645" t="s">
        <v>3015</v>
      </c>
      <c r="C1645" t="s">
        <v>3016</v>
      </c>
      <c r="D1645" t="s">
        <v>98</v>
      </c>
      <c r="E1645">
        <v>799.99</v>
      </c>
      <c r="F1645" t="s">
        <v>5922</v>
      </c>
      <c r="G1645">
        <v>695.64</v>
      </c>
      <c r="H1645">
        <v>556.51</v>
      </c>
      <c r="I1645">
        <v>0</v>
      </c>
      <c r="J1645">
        <v>556.51</v>
      </c>
      <c r="L1645" t="s">
        <v>5922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695.64</v>
      </c>
      <c r="S1645">
        <v>0</v>
      </c>
      <c r="T1645">
        <v>0</v>
      </c>
      <c r="U1645">
        <v>556.51</v>
      </c>
      <c r="V1645">
        <v>0</v>
      </c>
      <c r="W1645">
        <v>626.08000000000004</v>
      </c>
      <c r="X1645">
        <v>556.51</v>
      </c>
      <c r="Y1645">
        <v>799.99</v>
      </c>
      <c r="Z1645" t="s">
        <v>5922</v>
      </c>
    </row>
    <row r="1646" spans="1:26" x14ac:dyDescent="0.2">
      <c r="A1646" t="s">
        <v>2653</v>
      </c>
      <c r="B1646" t="s">
        <v>3017</v>
      </c>
      <c r="C1646" t="s">
        <v>3018</v>
      </c>
      <c r="D1646" t="s">
        <v>98</v>
      </c>
      <c r="E1646">
        <v>109.99</v>
      </c>
      <c r="F1646" t="s">
        <v>5922</v>
      </c>
      <c r="G1646">
        <v>95.64</v>
      </c>
      <c r="H1646">
        <v>76.510000000000005</v>
      </c>
      <c r="I1646">
        <v>86.08</v>
      </c>
      <c r="J1646">
        <v>76.510000000000005</v>
      </c>
      <c r="L1646" t="s">
        <v>5922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95.64</v>
      </c>
      <c r="S1646">
        <v>0</v>
      </c>
      <c r="T1646">
        <v>0</v>
      </c>
      <c r="U1646">
        <v>76.510000000000005</v>
      </c>
      <c r="V1646">
        <v>76.510000000000005</v>
      </c>
      <c r="W1646">
        <v>86.08</v>
      </c>
      <c r="X1646">
        <v>76.510000000000005</v>
      </c>
      <c r="Y1646">
        <v>79.900000000000006</v>
      </c>
      <c r="Z1646" t="s">
        <v>5922</v>
      </c>
    </row>
    <row r="1647" spans="1:26" x14ac:dyDescent="0.2">
      <c r="A1647" t="s">
        <v>2653</v>
      </c>
      <c r="B1647" t="s">
        <v>3019</v>
      </c>
      <c r="C1647" t="s">
        <v>3020</v>
      </c>
      <c r="D1647" t="s">
        <v>98</v>
      </c>
      <c r="E1647">
        <v>349.99</v>
      </c>
      <c r="F1647" t="s">
        <v>5922</v>
      </c>
      <c r="G1647">
        <v>304.33999999999997</v>
      </c>
      <c r="H1647">
        <v>243.47</v>
      </c>
      <c r="I1647">
        <v>273.91000000000003</v>
      </c>
      <c r="J1647">
        <v>243.47</v>
      </c>
      <c r="L1647" t="s">
        <v>5922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304.33999999999997</v>
      </c>
      <c r="S1647">
        <v>0</v>
      </c>
      <c r="T1647">
        <v>0</v>
      </c>
      <c r="U1647">
        <v>243.47</v>
      </c>
      <c r="V1647">
        <v>243.47</v>
      </c>
      <c r="W1647">
        <v>273.91000000000003</v>
      </c>
      <c r="X1647">
        <v>243.47</v>
      </c>
      <c r="Y1647">
        <v>289</v>
      </c>
      <c r="Z1647" t="s">
        <v>5922</v>
      </c>
    </row>
    <row r="1648" spans="1:26" x14ac:dyDescent="0.2">
      <c r="A1648" t="s">
        <v>2653</v>
      </c>
      <c r="B1648" t="s">
        <v>3021</v>
      </c>
      <c r="C1648" t="s">
        <v>3022</v>
      </c>
      <c r="D1648" t="s">
        <v>98</v>
      </c>
      <c r="E1648">
        <v>479.99</v>
      </c>
      <c r="F1648" t="s">
        <v>5922</v>
      </c>
      <c r="G1648">
        <v>417.38</v>
      </c>
      <c r="H1648">
        <v>333.91</v>
      </c>
      <c r="I1648">
        <v>375.64</v>
      </c>
      <c r="J1648">
        <v>333.91</v>
      </c>
      <c r="L1648" t="s">
        <v>5922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417.38</v>
      </c>
      <c r="S1648">
        <v>0</v>
      </c>
      <c r="T1648">
        <v>0</v>
      </c>
      <c r="U1648">
        <v>333.91</v>
      </c>
      <c r="V1648">
        <v>333.91</v>
      </c>
      <c r="W1648">
        <v>375.64</v>
      </c>
      <c r="X1648">
        <v>333.91</v>
      </c>
      <c r="Y1648">
        <v>418</v>
      </c>
      <c r="Z1648" t="s">
        <v>5922</v>
      </c>
    </row>
    <row r="1649" spans="1:26" x14ac:dyDescent="0.2">
      <c r="A1649" t="s">
        <v>2653</v>
      </c>
      <c r="B1649" t="s">
        <v>3023</v>
      </c>
      <c r="C1649" t="s">
        <v>3024</v>
      </c>
      <c r="D1649" t="s">
        <v>98</v>
      </c>
      <c r="E1649">
        <v>39.9</v>
      </c>
      <c r="F1649" t="s">
        <v>5922</v>
      </c>
      <c r="G1649">
        <v>39.9</v>
      </c>
      <c r="H1649">
        <v>34.78</v>
      </c>
      <c r="I1649">
        <v>39.119999999999997</v>
      </c>
      <c r="J1649">
        <v>34.78</v>
      </c>
      <c r="L1649" t="s">
        <v>5922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43.47</v>
      </c>
      <c r="S1649">
        <v>0</v>
      </c>
      <c r="T1649">
        <v>0</v>
      </c>
      <c r="U1649">
        <v>31.23</v>
      </c>
      <c r="V1649">
        <v>27.76</v>
      </c>
      <c r="W1649">
        <v>35.14</v>
      </c>
      <c r="X1649">
        <v>31.23</v>
      </c>
      <c r="Y1649">
        <v>39.9</v>
      </c>
      <c r="Z1649" t="s">
        <v>5922</v>
      </c>
    </row>
    <row r="1650" spans="1:26" x14ac:dyDescent="0.2">
      <c r="A1650" t="s">
        <v>2653</v>
      </c>
      <c r="B1650" t="s">
        <v>3025</v>
      </c>
      <c r="C1650" t="s">
        <v>3026</v>
      </c>
      <c r="D1650" t="s">
        <v>98</v>
      </c>
      <c r="E1650">
        <v>99.95</v>
      </c>
      <c r="F1650" t="s">
        <v>5922</v>
      </c>
      <c r="G1650">
        <v>99.95</v>
      </c>
      <c r="H1650">
        <v>59.12</v>
      </c>
      <c r="I1650">
        <v>66.510000000000005</v>
      </c>
      <c r="J1650">
        <v>59.12</v>
      </c>
      <c r="L1650" t="s">
        <v>5922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73.900000000000006</v>
      </c>
      <c r="S1650">
        <v>0</v>
      </c>
      <c r="T1650">
        <v>0</v>
      </c>
      <c r="U1650">
        <v>73.010000000000005</v>
      </c>
      <c r="V1650">
        <v>69.53</v>
      </c>
      <c r="W1650">
        <v>82.13</v>
      </c>
      <c r="X1650">
        <v>73.010000000000005</v>
      </c>
      <c r="Y1650">
        <v>99.95</v>
      </c>
      <c r="Z1650" t="s">
        <v>5922</v>
      </c>
    </row>
    <row r="1651" spans="1:26" x14ac:dyDescent="0.2">
      <c r="A1651" t="s">
        <v>2653</v>
      </c>
      <c r="B1651" t="s">
        <v>3027</v>
      </c>
      <c r="C1651" t="s">
        <v>3028</v>
      </c>
      <c r="D1651" t="s">
        <v>98</v>
      </c>
      <c r="E1651">
        <v>74.989999999999995</v>
      </c>
      <c r="F1651" t="s">
        <v>5922</v>
      </c>
      <c r="G1651">
        <v>65.209999999999994</v>
      </c>
      <c r="H1651">
        <v>52.17</v>
      </c>
      <c r="I1651">
        <v>58.69</v>
      </c>
      <c r="J1651">
        <v>52.17</v>
      </c>
      <c r="L1651" t="s">
        <v>5922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65.209999999999994</v>
      </c>
      <c r="S1651">
        <v>0</v>
      </c>
      <c r="T1651">
        <v>0</v>
      </c>
      <c r="U1651">
        <v>52.17</v>
      </c>
      <c r="V1651">
        <v>52.17</v>
      </c>
      <c r="W1651">
        <v>58.69</v>
      </c>
      <c r="X1651">
        <v>52.17</v>
      </c>
      <c r="Y1651">
        <v>58</v>
      </c>
      <c r="Z1651" t="s">
        <v>5922</v>
      </c>
    </row>
    <row r="1652" spans="1:26" x14ac:dyDescent="0.2">
      <c r="A1652" t="s">
        <v>2653</v>
      </c>
      <c r="B1652" t="s">
        <v>3029</v>
      </c>
      <c r="C1652" t="s">
        <v>3030</v>
      </c>
      <c r="D1652" t="s">
        <v>105</v>
      </c>
      <c r="E1652">
        <v>99.9</v>
      </c>
      <c r="F1652" t="s">
        <v>7019</v>
      </c>
      <c r="G1652">
        <v>99.9</v>
      </c>
      <c r="H1652">
        <v>73.84</v>
      </c>
      <c r="I1652">
        <v>86.08</v>
      </c>
      <c r="J1652">
        <v>76.510000000000005</v>
      </c>
      <c r="L1652" t="s">
        <v>5922</v>
      </c>
      <c r="M1652">
        <v>0</v>
      </c>
      <c r="N1652">
        <v>0</v>
      </c>
      <c r="O1652">
        <v>0</v>
      </c>
      <c r="P1652">
        <v>0</v>
      </c>
      <c r="Q1652">
        <v>73.84</v>
      </c>
      <c r="R1652">
        <v>73.84</v>
      </c>
      <c r="S1652">
        <v>0</v>
      </c>
      <c r="T1652">
        <v>0</v>
      </c>
      <c r="U1652">
        <v>72.97</v>
      </c>
      <c r="V1652">
        <v>69.5</v>
      </c>
      <c r="W1652">
        <v>82.1</v>
      </c>
      <c r="X1652">
        <v>72.97</v>
      </c>
      <c r="Y1652">
        <v>99.9</v>
      </c>
      <c r="Z1652" t="s">
        <v>5922</v>
      </c>
    </row>
    <row r="1653" spans="1:26" x14ac:dyDescent="0.2">
      <c r="A1653" t="s">
        <v>2653</v>
      </c>
      <c r="B1653" t="s">
        <v>3031</v>
      </c>
      <c r="C1653" t="s">
        <v>3032</v>
      </c>
      <c r="D1653" t="s">
        <v>98</v>
      </c>
      <c r="E1653">
        <v>179.99</v>
      </c>
      <c r="F1653" t="s">
        <v>5922</v>
      </c>
      <c r="G1653">
        <v>156.51</v>
      </c>
      <c r="H1653">
        <v>125.21</v>
      </c>
      <c r="I1653">
        <v>140.86000000000001</v>
      </c>
      <c r="J1653">
        <v>125.21</v>
      </c>
      <c r="L1653" t="s">
        <v>5922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156.51</v>
      </c>
      <c r="S1653">
        <v>0</v>
      </c>
      <c r="T1653">
        <v>0</v>
      </c>
      <c r="U1653">
        <v>125.21</v>
      </c>
      <c r="V1653">
        <v>125.21</v>
      </c>
      <c r="W1653">
        <v>140.86000000000001</v>
      </c>
      <c r="X1653">
        <v>125.21</v>
      </c>
      <c r="Y1653">
        <v>148</v>
      </c>
      <c r="Z1653" t="s">
        <v>5922</v>
      </c>
    </row>
    <row r="1654" spans="1:26" x14ac:dyDescent="0.2">
      <c r="A1654" t="s">
        <v>2653</v>
      </c>
      <c r="B1654" t="s">
        <v>3033</v>
      </c>
      <c r="C1654" t="s">
        <v>3034</v>
      </c>
      <c r="D1654" t="s">
        <v>98</v>
      </c>
      <c r="E1654">
        <v>229.99</v>
      </c>
      <c r="F1654" t="s">
        <v>5922</v>
      </c>
      <c r="G1654">
        <v>199.99</v>
      </c>
      <c r="H1654">
        <v>159.99</v>
      </c>
      <c r="I1654">
        <v>179.99</v>
      </c>
      <c r="J1654">
        <v>159.99</v>
      </c>
      <c r="L1654" t="s">
        <v>5922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199.99</v>
      </c>
      <c r="S1654">
        <v>0</v>
      </c>
      <c r="T1654">
        <v>0</v>
      </c>
      <c r="U1654">
        <v>159.99</v>
      </c>
      <c r="V1654">
        <v>159.99</v>
      </c>
      <c r="W1654">
        <v>179.99</v>
      </c>
      <c r="X1654">
        <v>159.99</v>
      </c>
      <c r="Y1654">
        <v>189.9</v>
      </c>
      <c r="Z1654" t="s">
        <v>5922</v>
      </c>
    </row>
    <row r="1655" spans="1:26" x14ac:dyDescent="0.2">
      <c r="A1655" t="s">
        <v>2653</v>
      </c>
      <c r="B1655" t="s">
        <v>3035</v>
      </c>
      <c r="C1655" t="s">
        <v>3036</v>
      </c>
      <c r="D1655" t="s">
        <v>105</v>
      </c>
      <c r="E1655">
        <v>299.95</v>
      </c>
      <c r="F1655" t="s">
        <v>7294</v>
      </c>
      <c r="G1655">
        <v>299.95</v>
      </c>
      <c r="H1655">
        <v>221.7</v>
      </c>
      <c r="I1655">
        <v>172.17</v>
      </c>
      <c r="J1655">
        <v>153.04</v>
      </c>
      <c r="L1655" t="s">
        <v>5922</v>
      </c>
      <c r="M1655">
        <v>0</v>
      </c>
      <c r="N1655">
        <v>0</v>
      </c>
      <c r="O1655">
        <v>0</v>
      </c>
      <c r="P1655">
        <v>0</v>
      </c>
      <c r="Q1655">
        <v>221.7</v>
      </c>
      <c r="R1655">
        <v>221.7</v>
      </c>
      <c r="S1655">
        <v>0</v>
      </c>
      <c r="T1655">
        <v>0</v>
      </c>
      <c r="U1655">
        <v>212.14</v>
      </c>
      <c r="V1655">
        <v>208.66</v>
      </c>
      <c r="W1655">
        <v>238.66</v>
      </c>
      <c r="X1655">
        <v>212.14</v>
      </c>
      <c r="Y1655">
        <v>299.95</v>
      </c>
      <c r="Z1655" t="s">
        <v>5922</v>
      </c>
    </row>
    <row r="1656" spans="1:26" x14ac:dyDescent="0.2">
      <c r="A1656" t="s">
        <v>2653</v>
      </c>
      <c r="B1656" t="s">
        <v>3037</v>
      </c>
      <c r="C1656" t="s">
        <v>3038</v>
      </c>
      <c r="D1656" t="s">
        <v>98</v>
      </c>
      <c r="E1656">
        <v>229.99</v>
      </c>
      <c r="F1656" t="s">
        <v>5922</v>
      </c>
      <c r="G1656">
        <v>199.99</v>
      </c>
      <c r="H1656">
        <v>159.99</v>
      </c>
      <c r="I1656">
        <v>179.99</v>
      </c>
      <c r="J1656">
        <v>159.99</v>
      </c>
      <c r="L1656" t="s">
        <v>5922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199.99</v>
      </c>
      <c r="S1656">
        <v>0</v>
      </c>
      <c r="T1656">
        <v>0</v>
      </c>
      <c r="U1656">
        <v>159.99</v>
      </c>
      <c r="V1656">
        <v>159.99</v>
      </c>
      <c r="W1656">
        <v>179.99</v>
      </c>
      <c r="X1656">
        <v>159.99</v>
      </c>
      <c r="Y1656">
        <v>188</v>
      </c>
      <c r="Z1656" t="s">
        <v>5922</v>
      </c>
    </row>
    <row r="1657" spans="1:26" x14ac:dyDescent="0.2">
      <c r="A1657" t="s">
        <v>2653</v>
      </c>
      <c r="B1657" t="s">
        <v>3039</v>
      </c>
      <c r="C1657" t="s">
        <v>3040</v>
      </c>
      <c r="D1657" t="s">
        <v>98</v>
      </c>
      <c r="E1657">
        <v>249.99</v>
      </c>
      <c r="F1657" t="s">
        <v>5922</v>
      </c>
      <c r="G1657">
        <v>217.38</v>
      </c>
      <c r="H1657">
        <v>173.91</v>
      </c>
      <c r="I1657">
        <v>195.64</v>
      </c>
      <c r="J1657">
        <v>173.91</v>
      </c>
      <c r="L1657" t="s">
        <v>5922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217.38</v>
      </c>
      <c r="S1657">
        <v>0</v>
      </c>
      <c r="T1657">
        <v>0</v>
      </c>
      <c r="U1657">
        <v>173.91</v>
      </c>
      <c r="V1657">
        <v>173.91</v>
      </c>
      <c r="W1657">
        <v>195.64</v>
      </c>
      <c r="X1657">
        <v>173.91</v>
      </c>
      <c r="Y1657">
        <v>199.9</v>
      </c>
      <c r="Z1657" t="s">
        <v>5922</v>
      </c>
    </row>
    <row r="1658" spans="1:26" x14ac:dyDescent="0.2">
      <c r="A1658" t="s">
        <v>2653</v>
      </c>
      <c r="B1658" t="s">
        <v>3041</v>
      </c>
      <c r="C1658" t="s">
        <v>3042</v>
      </c>
      <c r="D1658" t="s">
        <v>105</v>
      </c>
      <c r="E1658">
        <v>369.95</v>
      </c>
      <c r="F1658" t="s">
        <v>7291</v>
      </c>
      <c r="G1658">
        <v>369.95</v>
      </c>
      <c r="H1658">
        <v>273.44</v>
      </c>
      <c r="I1658">
        <v>258.25</v>
      </c>
      <c r="J1658">
        <v>229.56</v>
      </c>
      <c r="L1658" t="s">
        <v>5922</v>
      </c>
      <c r="M1658">
        <v>0</v>
      </c>
      <c r="N1658">
        <v>0</v>
      </c>
      <c r="O1658">
        <v>0</v>
      </c>
      <c r="P1658">
        <v>0</v>
      </c>
      <c r="Q1658">
        <v>273.44</v>
      </c>
      <c r="R1658">
        <v>273.44</v>
      </c>
      <c r="S1658">
        <v>0</v>
      </c>
      <c r="T1658">
        <v>0</v>
      </c>
      <c r="U1658">
        <v>260.83</v>
      </c>
      <c r="V1658">
        <v>257.36</v>
      </c>
      <c r="W1658">
        <v>293.44</v>
      </c>
      <c r="X1658">
        <v>260.83</v>
      </c>
      <c r="Y1658">
        <v>369.95</v>
      </c>
      <c r="Z1658" t="s">
        <v>5922</v>
      </c>
    </row>
    <row r="1659" spans="1:26" x14ac:dyDescent="0.2">
      <c r="A1659" t="s">
        <v>2653</v>
      </c>
      <c r="B1659" t="s">
        <v>3043</v>
      </c>
      <c r="C1659" t="s">
        <v>3044</v>
      </c>
      <c r="D1659" t="s">
        <v>105</v>
      </c>
      <c r="E1659">
        <v>899.95</v>
      </c>
      <c r="F1659" t="s">
        <v>7299</v>
      </c>
      <c r="H1659">
        <v>665.18</v>
      </c>
      <c r="I1659">
        <v>727.82</v>
      </c>
      <c r="J1659">
        <v>646.95000000000005</v>
      </c>
      <c r="L1659" t="s">
        <v>5922</v>
      </c>
      <c r="M1659">
        <v>0</v>
      </c>
      <c r="N1659">
        <v>0</v>
      </c>
      <c r="O1659">
        <v>0</v>
      </c>
      <c r="P1659">
        <v>0</v>
      </c>
      <c r="Q1659">
        <v>665.18</v>
      </c>
      <c r="R1659">
        <v>665.18</v>
      </c>
      <c r="S1659">
        <v>0</v>
      </c>
      <c r="T1659">
        <v>0</v>
      </c>
      <c r="U1659">
        <v>646.95000000000005</v>
      </c>
      <c r="V1659">
        <v>646.95000000000005</v>
      </c>
      <c r="W1659">
        <v>727.82</v>
      </c>
      <c r="X1659">
        <v>646.95000000000005</v>
      </c>
      <c r="Y1659">
        <v>899.95</v>
      </c>
      <c r="Z1659" t="s">
        <v>5922</v>
      </c>
    </row>
    <row r="1660" spans="1:26" x14ac:dyDescent="0.2">
      <c r="A1660" t="s">
        <v>2653</v>
      </c>
      <c r="B1660" t="s">
        <v>3045</v>
      </c>
      <c r="C1660" t="s">
        <v>3046</v>
      </c>
      <c r="D1660" t="s">
        <v>98</v>
      </c>
      <c r="E1660">
        <v>699.99</v>
      </c>
      <c r="F1660" t="s">
        <v>5922</v>
      </c>
      <c r="G1660">
        <v>608.69000000000005</v>
      </c>
      <c r="H1660">
        <v>486.95</v>
      </c>
      <c r="I1660">
        <v>0</v>
      </c>
      <c r="J1660">
        <v>486.95</v>
      </c>
      <c r="L1660" t="s">
        <v>5922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608.69000000000005</v>
      </c>
      <c r="S1660">
        <v>0</v>
      </c>
      <c r="T1660">
        <v>0</v>
      </c>
      <c r="U1660">
        <v>486.95</v>
      </c>
      <c r="V1660">
        <v>0</v>
      </c>
      <c r="W1660">
        <v>547.82000000000005</v>
      </c>
      <c r="X1660">
        <v>486.95</v>
      </c>
      <c r="Y1660">
        <v>699.99</v>
      </c>
      <c r="Z1660" t="s">
        <v>5922</v>
      </c>
    </row>
    <row r="1661" spans="1:26" x14ac:dyDescent="0.2">
      <c r="A1661" t="s">
        <v>2653</v>
      </c>
      <c r="B1661" t="s">
        <v>3047</v>
      </c>
      <c r="C1661" t="s">
        <v>3048</v>
      </c>
      <c r="D1661" t="s">
        <v>98</v>
      </c>
      <c r="E1661">
        <v>319.99</v>
      </c>
      <c r="F1661" t="s">
        <v>5922</v>
      </c>
      <c r="G1661">
        <v>278.25</v>
      </c>
      <c r="H1661">
        <v>222.6</v>
      </c>
      <c r="I1661">
        <v>0</v>
      </c>
      <c r="J1661">
        <v>222.6</v>
      </c>
      <c r="L1661" t="s">
        <v>5922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278.25</v>
      </c>
      <c r="S1661">
        <v>0</v>
      </c>
      <c r="T1661">
        <v>0</v>
      </c>
      <c r="U1661">
        <v>222.6</v>
      </c>
      <c r="V1661">
        <v>0</v>
      </c>
      <c r="W1661">
        <v>250.43</v>
      </c>
      <c r="X1661">
        <v>222.6</v>
      </c>
      <c r="Y1661">
        <v>319.99</v>
      </c>
      <c r="Z1661" t="s">
        <v>5922</v>
      </c>
    </row>
    <row r="1662" spans="1:26" x14ac:dyDescent="0.2">
      <c r="A1662" t="s">
        <v>2653</v>
      </c>
      <c r="B1662" t="s">
        <v>3049</v>
      </c>
      <c r="C1662" t="s">
        <v>3050</v>
      </c>
      <c r="D1662" t="s">
        <v>98</v>
      </c>
      <c r="E1662">
        <v>319.99</v>
      </c>
      <c r="F1662" t="s">
        <v>5922</v>
      </c>
      <c r="G1662">
        <v>278.25</v>
      </c>
      <c r="H1662">
        <v>222.6</v>
      </c>
      <c r="I1662">
        <v>0</v>
      </c>
      <c r="J1662">
        <v>222.6</v>
      </c>
      <c r="L1662" t="s">
        <v>5922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278.25</v>
      </c>
      <c r="S1662">
        <v>0</v>
      </c>
      <c r="T1662">
        <v>0</v>
      </c>
      <c r="U1662">
        <v>222.6</v>
      </c>
      <c r="V1662">
        <v>0</v>
      </c>
      <c r="W1662">
        <v>250.43</v>
      </c>
      <c r="X1662">
        <v>222.6</v>
      </c>
      <c r="Y1662">
        <v>319.99</v>
      </c>
      <c r="Z1662" t="s">
        <v>5922</v>
      </c>
    </row>
    <row r="1663" spans="1:26" x14ac:dyDescent="0.2">
      <c r="A1663" t="s">
        <v>2653</v>
      </c>
      <c r="B1663" t="s">
        <v>3051</v>
      </c>
      <c r="C1663" t="s">
        <v>3052</v>
      </c>
      <c r="D1663" t="s">
        <v>98</v>
      </c>
      <c r="E1663">
        <v>529.99</v>
      </c>
      <c r="F1663" t="s">
        <v>5922</v>
      </c>
      <c r="G1663">
        <v>460.86</v>
      </c>
      <c r="H1663">
        <v>368.69</v>
      </c>
      <c r="I1663">
        <v>0</v>
      </c>
      <c r="J1663">
        <v>368.69</v>
      </c>
      <c r="L1663" t="s">
        <v>5922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460.86</v>
      </c>
      <c r="S1663">
        <v>0</v>
      </c>
      <c r="T1663">
        <v>0</v>
      </c>
      <c r="U1663">
        <v>368.69</v>
      </c>
      <c r="V1663">
        <v>0</v>
      </c>
      <c r="W1663">
        <v>414.77</v>
      </c>
      <c r="X1663">
        <v>368.69</v>
      </c>
      <c r="Y1663">
        <v>529.99</v>
      </c>
      <c r="Z1663" t="s">
        <v>5922</v>
      </c>
    </row>
    <row r="1664" spans="1:26" x14ac:dyDescent="0.2">
      <c r="A1664" t="s">
        <v>2653</v>
      </c>
      <c r="B1664" t="s">
        <v>3053</v>
      </c>
      <c r="C1664" t="s">
        <v>3054</v>
      </c>
      <c r="D1664" t="s">
        <v>98</v>
      </c>
      <c r="E1664">
        <v>279.89999999999998</v>
      </c>
      <c r="F1664" t="s">
        <v>5922</v>
      </c>
      <c r="G1664">
        <v>243.39</v>
      </c>
      <c r="H1664">
        <v>206.88</v>
      </c>
      <c r="I1664">
        <v>219.05</v>
      </c>
      <c r="J1664">
        <v>194.71</v>
      </c>
      <c r="L1664" t="s">
        <v>5922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243.39</v>
      </c>
      <c r="S1664">
        <v>0</v>
      </c>
      <c r="T1664">
        <v>0</v>
      </c>
      <c r="U1664">
        <v>194.71</v>
      </c>
      <c r="V1664">
        <v>187.41</v>
      </c>
      <c r="W1664">
        <v>219.05</v>
      </c>
      <c r="X1664">
        <v>194.71</v>
      </c>
      <c r="Y1664">
        <v>219</v>
      </c>
      <c r="Z1664" t="s">
        <v>5922</v>
      </c>
    </row>
    <row r="1665" spans="1:26" x14ac:dyDescent="0.2">
      <c r="A1665" t="s">
        <v>2653</v>
      </c>
      <c r="B1665" t="s">
        <v>3055</v>
      </c>
      <c r="C1665" t="s">
        <v>3056</v>
      </c>
      <c r="D1665" t="s">
        <v>98</v>
      </c>
      <c r="E1665">
        <v>449.9</v>
      </c>
      <c r="F1665" t="s">
        <v>5922</v>
      </c>
      <c r="G1665">
        <v>391.22</v>
      </c>
      <c r="H1665">
        <v>332.53</v>
      </c>
      <c r="I1665">
        <v>0</v>
      </c>
      <c r="J1665">
        <v>312.97000000000003</v>
      </c>
      <c r="L1665" t="s">
        <v>5922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391.22</v>
      </c>
      <c r="S1665">
        <v>0</v>
      </c>
      <c r="T1665">
        <v>0</v>
      </c>
      <c r="U1665">
        <v>312.97000000000003</v>
      </c>
      <c r="V1665">
        <v>0</v>
      </c>
      <c r="W1665">
        <v>352.1</v>
      </c>
      <c r="X1665">
        <v>312.97000000000003</v>
      </c>
      <c r="Y1665">
        <v>449.9</v>
      </c>
      <c r="Z1665" t="s">
        <v>5922</v>
      </c>
    </row>
    <row r="1666" spans="1:26" x14ac:dyDescent="0.2">
      <c r="A1666" t="s">
        <v>2653</v>
      </c>
      <c r="B1666" t="s">
        <v>3057</v>
      </c>
      <c r="C1666" t="s">
        <v>3058</v>
      </c>
      <c r="D1666" t="s">
        <v>98</v>
      </c>
      <c r="E1666">
        <v>379.9</v>
      </c>
      <c r="F1666" t="s">
        <v>5922</v>
      </c>
      <c r="G1666">
        <v>330.35</v>
      </c>
      <c r="H1666">
        <v>280.8</v>
      </c>
      <c r="I1666">
        <v>297.31</v>
      </c>
      <c r="J1666">
        <v>264.27999999999997</v>
      </c>
      <c r="L1666" t="s">
        <v>5922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330.35</v>
      </c>
      <c r="S1666">
        <v>0</v>
      </c>
      <c r="T1666">
        <v>0</v>
      </c>
      <c r="U1666">
        <v>264.27999999999997</v>
      </c>
      <c r="V1666">
        <v>254.37</v>
      </c>
      <c r="W1666">
        <v>297.31</v>
      </c>
      <c r="X1666">
        <v>264.27999999999997</v>
      </c>
      <c r="Y1666">
        <v>298</v>
      </c>
      <c r="Z1666" t="s">
        <v>5922</v>
      </c>
    </row>
    <row r="1667" spans="1:26" x14ac:dyDescent="0.2">
      <c r="A1667" t="s">
        <v>2653</v>
      </c>
      <c r="B1667" t="s">
        <v>3059</v>
      </c>
      <c r="C1667" t="s">
        <v>3060</v>
      </c>
      <c r="D1667" t="s">
        <v>98</v>
      </c>
      <c r="E1667">
        <v>69.900000000000006</v>
      </c>
      <c r="F1667" t="s">
        <v>5922</v>
      </c>
      <c r="G1667">
        <v>60.78</v>
      </c>
      <c r="H1667">
        <v>51.67</v>
      </c>
      <c r="I1667">
        <v>54.7</v>
      </c>
      <c r="J1667">
        <v>48.63</v>
      </c>
      <c r="L1667" t="s">
        <v>5922</v>
      </c>
      <c r="R1667">
        <v>60.78</v>
      </c>
      <c r="U1667">
        <v>48.63</v>
      </c>
      <c r="V1667">
        <v>36.47</v>
      </c>
      <c r="W1667">
        <v>54.7</v>
      </c>
      <c r="X1667">
        <v>48.63</v>
      </c>
      <c r="Y1667">
        <v>59.9</v>
      </c>
      <c r="Z1667" t="s">
        <v>5922</v>
      </c>
    </row>
    <row r="1668" spans="1:26" x14ac:dyDescent="0.2">
      <c r="A1668" t="s">
        <v>2653</v>
      </c>
      <c r="B1668" t="s">
        <v>3061</v>
      </c>
      <c r="C1668" t="s">
        <v>3062</v>
      </c>
      <c r="D1668" t="s">
        <v>98</v>
      </c>
      <c r="E1668">
        <v>169.9</v>
      </c>
      <c r="F1668" t="s">
        <v>5922</v>
      </c>
      <c r="G1668">
        <v>148</v>
      </c>
      <c r="H1668">
        <v>125.58</v>
      </c>
      <c r="I1668">
        <v>132.97</v>
      </c>
      <c r="J1668">
        <v>118.19</v>
      </c>
      <c r="L1668" t="s">
        <v>5922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147.74</v>
      </c>
      <c r="S1668">
        <v>0</v>
      </c>
      <c r="T1668">
        <v>0</v>
      </c>
      <c r="U1668">
        <v>118.19</v>
      </c>
      <c r="V1668">
        <v>113.76</v>
      </c>
      <c r="W1668">
        <v>132.97</v>
      </c>
      <c r="X1668">
        <v>118.19</v>
      </c>
      <c r="Y1668">
        <v>169.9</v>
      </c>
      <c r="Z1668" t="s">
        <v>5922</v>
      </c>
    </row>
    <row r="1669" spans="1:26" x14ac:dyDescent="0.2">
      <c r="A1669" t="s">
        <v>2653</v>
      </c>
      <c r="B1669" t="s">
        <v>3063</v>
      </c>
      <c r="C1669" t="s">
        <v>3064</v>
      </c>
      <c r="D1669" t="s">
        <v>98</v>
      </c>
      <c r="E1669">
        <v>169.9</v>
      </c>
      <c r="F1669" t="s">
        <v>5922</v>
      </c>
      <c r="G1669">
        <v>147.74</v>
      </c>
      <c r="H1669">
        <v>125.58</v>
      </c>
      <c r="I1669">
        <v>132.97</v>
      </c>
      <c r="J1669">
        <v>118.19</v>
      </c>
      <c r="L1669" t="s">
        <v>5922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147.74</v>
      </c>
      <c r="S1669">
        <v>0</v>
      </c>
      <c r="T1669">
        <v>0</v>
      </c>
      <c r="U1669">
        <v>118.19</v>
      </c>
      <c r="V1669">
        <v>113.76</v>
      </c>
      <c r="W1669">
        <v>132.97</v>
      </c>
      <c r="X1669">
        <v>118.19</v>
      </c>
      <c r="Y1669">
        <v>148</v>
      </c>
      <c r="Z1669" t="s">
        <v>5922</v>
      </c>
    </row>
    <row r="1670" spans="1:26" x14ac:dyDescent="0.2">
      <c r="A1670" t="s">
        <v>2653</v>
      </c>
      <c r="B1670" t="s">
        <v>3065</v>
      </c>
      <c r="C1670" t="s">
        <v>3066</v>
      </c>
      <c r="D1670" t="s">
        <v>98</v>
      </c>
      <c r="E1670">
        <v>169.9</v>
      </c>
      <c r="F1670" t="s">
        <v>5922</v>
      </c>
      <c r="G1670">
        <v>147.74</v>
      </c>
      <c r="H1670">
        <v>125.58</v>
      </c>
      <c r="I1670">
        <v>132.97</v>
      </c>
      <c r="J1670">
        <v>118.19</v>
      </c>
      <c r="L1670" t="s">
        <v>5922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147.74</v>
      </c>
      <c r="S1670">
        <v>0</v>
      </c>
      <c r="T1670">
        <v>0</v>
      </c>
      <c r="U1670">
        <v>118.19</v>
      </c>
      <c r="V1670">
        <v>113.76</v>
      </c>
      <c r="W1670">
        <v>132.97</v>
      </c>
      <c r="X1670">
        <v>118.19</v>
      </c>
      <c r="Y1670">
        <v>148</v>
      </c>
      <c r="Z1670" t="s">
        <v>5922</v>
      </c>
    </row>
    <row r="1671" spans="1:26" x14ac:dyDescent="0.2">
      <c r="A1671" t="s">
        <v>2653</v>
      </c>
      <c r="B1671" t="s">
        <v>3067</v>
      </c>
      <c r="C1671" t="s">
        <v>3068</v>
      </c>
      <c r="D1671" t="s">
        <v>98</v>
      </c>
      <c r="E1671">
        <v>169.9</v>
      </c>
      <c r="F1671" t="s">
        <v>5922</v>
      </c>
      <c r="G1671">
        <v>147.74</v>
      </c>
      <c r="H1671">
        <v>125.58</v>
      </c>
      <c r="I1671">
        <v>132.97</v>
      </c>
      <c r="J1671">
        <v>118.19</v>
      </c>
      <c r="L1671" t="s">
        <v>5922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147.74</v>
      </c>
      <c r="S1671">
        <v>0</v>
      </c>
      <c r="T1671">
        <v>0</v>
      </c>
      <c r="U1671">
        <v>118.19</v>
      </c>
      <c r="V1671">
        <v>113.76</v>
      </c>
      <c r="W1671">
        <v>132.97</v>
      </c>
      <c r="X1671">
        <v>118.19</v>
      </c>
      <c r="Y1671">
        <v>148</v>
      </c>
      <c r="Z1671" t="s">
        <v>5922</v>
      </c>
    </row>
    <row r="1672" spans="1:26" x14ac:dyDescent="0.2">
      <c r="A1672" t="s">
        <v>2653</v>
      </c>
      <c r="B1672" t="s">
        <v>3069</v>
      </c>
      <c r="C1672" t="s">
        <v>3070</v>
      </c>
      <c r="D1672" t="s">
        <v>98</v>
      </c>
      <c r="E1672">
        <v>169.9</v>
      </c>
      <c r="F1672" t="s">
        <v>5922</v>
      </c>
      <c r="G1672">
        <v>147.74</v>
      </c>
      <c r="H1672">
        <v>125.58</v>
      </c>
      <c r="I1672">
        <v>132.97</v>
      </c>
      <c r="J1672">
        <v>118.19</v>
      </c>
      <c r="L1672" t="s">
        <v>5922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147.74</v>
      </c>
      <c r="S1672">
        <v>0</v>
      </c>
      <c r="T1672">
        <v>0</v>
      </c>
      <c r="U1672">
        <v>118.19</v>
      </c>
      <c r="V1672">
        <v>113.76</v>
      </c>
      <c r="W1672">
        <v>132.97</v>
      </c>
      <c r="X1672">
        <v>118.19</v>
      </c>
      <c r="Y1672">
        <v>148</v>
      </c>
      <c r="Z1672" t="s">
        <v>5922</v>
      </c>
    </row>
    <row r="1673" spans="1:26" x14ac:dyDescent="0.2">
      <c r="A1673" t="s">
        <v>3071</v>
      </c>
      <c r="B1673" t="s">
        <v>3072</v>
      </c>
      <c r="C1673" t="s">
        <v>3073</v>
      </c>
      <c r="D1673" t="s">
        <v>98</v>
      </c>
      <c r="E1673">
        <v>154.94999999999999</v>
      </c>
      <c r="F1673" t="s">
        <v>5922</v>
      </c>
      <c r="G1673">
        <v>154.94999999999999</v>
      </c>
      <c r="H1673">
        <v>90.43</v>
      </c>
      <c r="I1673">
        <v>101.73</v>
      </c>
      <c r="J1673">
        <v>90.43</v>
      </c>
      <c r="L1673" t="s">
        <v>5922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113.03</v>
      </c>
      <c r="S1673">
        <v>0</v>
      </c>
      <c r="T1673">
        <v>0</v>
      </c>
      <c r="U1673">
        <v>111.27</v>
      </c>
      <c r="V1673">
        <v>107.79</v>
      </c>
      <c r="W1673">
        <v>125.18</v>
      </c>
      <c r="X1673">
        <v>111.27</v>
      </c>
      <c r="Y1673">
        <v>154.94999999999999</v>
      </c>
      <c r="Z1673" t="s">
        <v>5922</v>
      </c>
    </row>
    <row r="1674" spans="1:26" x14ac:dyDescent="0.2">
      <c r="A1674" t="s">
        <v>3071</v>
      </c>
      <c r="B1674" t="s">
        <v>3074</v>
      </c>
      <c r="C1674" t="s">
        <v>3075</v>
      </c>
      <c r="D1674" t="s">
        <v>105</v>
      </c>
      <c r="E1674">
        <v>349.95</v>
      </c>
      <c r="F1674" t="s">
        <v>7300</v>
      </c>
      <c r="G1674">
        <v>349.95</v>
      </c>
      <c r="H1674">
        <v>258.66000000000003</v>
      </c>
      <c r="L1674" t="s">
        <v>5922</v>
      </c>
      <c r="Q1674">
        <v>258.66000000000003</v>
      </c>
      <c r="R1674">
        <v>258.66000000000003</v>
      </c>
      <c r="U1674">
        <v>257.36</v>
      </c>
      <c r="V1674">
        <v>243.44</v>
      </c>
      <c r="W1674">
        <v>273.87</v>
      </c>
      <c r="X1674">
        <v>243.44</v>
      </c>
      <c r="Y1674">
        <v>349.95</v>
      </c>
      <c r="Z1674" t="s">
        <v>5922</v>
      </c>
    </row>
    <row r="1675" spans="1:26" x14ac:dyDescent="0.2">
      <c r="A1675" t="s">
        <v>3071</v>
      </c>
      <c r="B1675" t="s">
        <v>3076</v>
      </c>
      <c r="C1675" t="s">
        <v>3077</v>
      </c>
      <c r="D1675" t="s">
        <v>105</v>
      </c>
      <c r="E1675">
        <v>349.95</v>
      </c>
      <c r="F1675" t="s">
        <v>7300</v>
      </c>
      <c r="G1675">
        <v>349.95</v>
      </c>
      <c r="H1675">
        <v>258.66000000000003</v>
      </c>
      <c r="L1675" t="s">
        <v>5922</v>
      </c>
      <c r="Q1675">
        <v>258.66000000000003</v>
      </c>
      <c r="R1675">
        <v>258.66000000000003</v>
      </c>
      <c r="U1675">
        <v>257.36</v>
      </c>
      <c r="V1675">
        <v>243.44</v>
      </c>
      <c r="W1675">
        <v>273.87</v>
      </c>
      <c r="X1675">
        <v>243.44</v>
      </c>
      <c r="Y1675">
        <v>349.95</v>
      </c>
      <c r="Z1675" t="s">
        <v>5922</v>
      </c>
    </row>
    <row r="1676" spans="1:26" x14ac:dyDescent="0.2">
      <c r="A1676" t="s">
        <v>3071</v>
      </c>
      <c r="B1676" t="s">
        <v>3078</v>
      </c>
      <c r="C1676" t="s">
        <v>3079</v>
      </c>
      <c r="D1676" t="s">
        <v>98</v>
      </c>
      <c r="E1676">
        <v>349.95</v>
      </c>
      <c r="F1676" t="s">
        <v>5922</v>
      </c>
      <c r="G1676">
        <v>349.95</v>
      </c>
      <c r="H1676">
        <v>258.66000000000003</v>
      </c>
      <c r="I1676">
        <v>247.74</v>
      </c>
      <c r="J1676">
        <v>247.74</v>
      </c>
      <c r="L1676" t="s">
        <v>5922</v>
      </c>
      <c r="Q1676">
        <v>258.66000000000003</v>
      </c>
      <c r="R1676">
        <v>258.66000000000003</v>
      </c>
      <c r="U1676">
        <v>246.92</v>
      </c>
      <c r="V1676">
        <v>243.44</v>
      </c>
      <c r="W1676">
        <v>277.79000000000002</v>
      </c>
      <c r="X1676">
        <v>246.92</v>
      </c>
      <c r="Y1676">
        <v>349.95</v>
      </c>
      <c r="Z1676" t="s">
        <v>5922</v>
      </c>
    </row>
    <row r="1677" spans="1:26" x14ac:dyDescent="0.2">
      <c r="A1677" t="s">
        <v>3071</v>
      </c>
      <c r="B1677" t="s">
        <v>3080</v>
      </c>
      <c r="C1677" t="s">
        <v>3081</v>
      </c>
      <c r="D1677" t="s">
        <v>98</v>
      </c>
      <c r="E1677">
        <v>349.95</v>
      </c>
      <c r="F1677" t="s">
        <v>5922</v>
      </c>
      <c r="G1677">
        <v>349.95</v>
      </c>
      <c r="H1677">
        <v>258.66000000000003</v>
      </c>
      <c r="I1677">
        <v>247.74</v>
      </c>
      <c r="J1677">
        <v>247.74</v>
      </c>
      <c r="L1677" t="s">
        <v>5922</v>
      </c>
      <c r="Q1677">
        <v>258.66000000000003</v>
      </c>
      <c r="R1677">
        <v>258.66000000000003</v>
      </c>
      <c r="U1677">
        <v>246.92</v>
      </c>
      <c r="V1677">
        <v>243.44</v>
      </c>
      <c r="W1677">
        <v>277.79000000000002</v>
      </c>
      <c r="X1677">
        <v>246.92</v>
      </c>
      <c r="Y1677">
        <v>349.95</v>
      </c>
      <c r="Z1677" t="s">
        <v>5922</v>
      </c>
    </row>
    <row r="1678" spans="1:26" x14ac:dyDescent="0.2">
      <c r="A1678" t="s">
        <v>3071</v>
      </c>
      <c r="B1678" t="s">
        <v>3082</v>
      </c>
      <c r="C1678" t="s">
        <v>3083</v>
      </c>
      <c r="D1678" t="s">
        <v>98</v>
      </c>
      <c r="E1678">
        <v>84.99</v>
      </c>
      <c r="F1678" t="s">
        <v>5922</v>
      </c>
      <c r="G1678">
        <v>73.900000000000006</v>
      </c>
      <c r="H1678">
        <v>59.12</v>
      </c>
      <c r="I1678">
        <v>66.510000000000005</v>
      </c>
      <c r="J1678">
        <v>59.12</v>
      </c>
      <c r="L1678" t="s">
        <v>5922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73.900000000000006</v>
      </c>
      <c r="S1678">
        <v>0</v>
      </c>
      <c r="T1678">
        <v>0</v>
      </c>
      <c r="U1678">
        <v>59.1</v>
      </c>
      <c r="V1678">
        <v>55.62</v>
      </c>
      <c r="W1678">
        <v>66.48</v>
      </c>
      <c r="X1678">
        <v>59.1</v>
      </c>
      <c r="Y1678">
        <v>72</v>
      </c>
      <c r="Z1678" t="s">
        <v>5922</v>
      </c>
    </row>
    <row r="1679" spans="1:26" x14ac:dyDescent="0.2">
      <c r="A1679" t="s">
        <v>3071</v>
      </c>
      <c r="B1679" t="s">
        <v>3084</v>
      </c>
      <c r="C1679" t="s">
        <v>3085</v>
      </c>
      <c r="D1679" t="s">
        <v>105</v>
      </c>
      <c r="E1679">
        <v>159.94999999999999</v>
      </c>
      <c r="F1679" t="s">
        <v>7301</v>
      </c>
      <c r="G1679">
        <v>159.94999999999999</v>
      </c>
      <c r="H1679">
        <v>118.22</v>
      </c>
      <c r="I1679">
        <v>117.31</v>
      </c>
      <c r="J1679">
        <v>104.28</v>
      </c>
      <c r="L1679" t="s">
        <v>5922</v>
      </c>
      <c r="M1679">
        <v>0</v>
      </c>
      <c r="N1679">
        <v>0</v>
      </c>
      <c r="O1679">
        <v>0</v>
      </c>
      <c r="P1679">
        <v>0</v>
      </c>
      <c r="Q1679">
        <v>118.22</v>
      </c>
      <c r="R1679">
        <v>118.22</v>
      </c>
      <c r="S1679">
        <v>0</v>
      </c>
      <c r="T1679">
        <v>0</v>
      </c>
      <c r="U1679">
        <v>114.75</v>
      </c>
      <c r="V1679">
        <v>111.27</v>
      </c>
      <c r="W1679">
        <v>129.09</v>
      </c>
      <c r="X1679">
        <v>114.75</v>
      </c>
      <c r="Y1679">
        <v>159.94999999999999</v>
      </c>
      <c r="Z1679" t="s">
        <v>5922</v>
      </c>
    </row>
    <row r="1680" spans="1:26" x14ac:dyDescent="0.2">
      <c r="A1680" t="s">
        <v>3071</v>
      </c>
      <c r="B1680" t="s">
        <v>3086</v>
      </c>
      <c r="C1680" t="s">
        <v>3087</v>
      </c>
      <c r="D1680" t="s">
        <v>98</v>
      </c>
      <c r="E1680">
        <v>139.94999999999999</v>
      </c>
      <c r="F1680" t="s">
        <v>5922</v>
      </c>
      <c r="G1680">
        <v>139.94999999999999</v>
      </c>
      <c r="H1680">
        <v>83.47</v>
      </c>
      <c r="I1680">
        <v>93.91</v>
      </c>
      <c r="J1680">
        <v>83.47</v>
      </c>
      <c r="L1680" t="s">
        <v>5922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104.34</v>
      </c>
      <c r="S1680">
        <v>0</v>
      </c>
      <c r="T1680">
        <v>0</v>
      </c>
      <c r="U1680">
        <v>100.83</v>
      </c>
      <c r="V1680">
        <v>97.36</v>
      </c>
      <c r="W1680">
        <v>113.44</v>
      </c>
      <c r="X1680">
        <v>100.83</v>
      </c>
      <c r="Y1680">
        <v>139.94999999999999</v>
      </c>
      <c r="Z1680" t="s">
        <v>5922</v>
      </c>
    </row>
    <row r="1681" spans="1:26" x14ac:dyDescent="0.2">
      <c r="A1681" t="s">
        <v>3071</v>
      </c>
      <c r="B1681" t="s">
        <v>3088</v>
      </c>
      <c r="C1681" t="s">
        <v>3089</v>
      </c>
      <c r="D1681" t="s">
        <v>98</v>
      </c>
      <c r="E1681">
        <v>159.99</v>
      </c>
      <c r="F1681" t="s">
        <v>5922</v>
      </c>
      <c r="H1681">
        <v>111.3</v>
      </c>
      <c r="L1681" t="s">
        <v>5922</v>
      </c>
      <c r="U1681">
        <v>111.3</v>
      </c>
      <c r="W1681">
        <v>125.21</v>
      </c>
      <c r="X1681">
        <v>111.3</v>
      </c>
      <c r="Y1681">
        <v>139</v>
      </c>
      <c r="Z1681" t="s">
        <v>5922</v>
      </c>
    </row>
    <row r="1682" spans="1:26" x14ac:dyDescent="0.2">
      <c r="A1682" t="s">
        <v>3071</v>
      </c>
      <c r="B1682" t="s">
        <v>3090</v>
      </c>
      <c r="C1682" t="s">
        <v>3091</v>
      </c>
      <c r="D1682" t="s">
        <v>98</v>
      </c>
      <c r="E1682">
        <v>119.95</v>
      </c>
      <c r="F1682" t="s">
        <v>5922</v>
      </c>
      <c r="G1682">
        <v>119.95</v>
      </c>
      <c r="H1682">
        <v>76.510000000000005</v>
      </c>
      <c r="I1682">
        <v>86.08</v>
      </c>
      <c r="J1682">
        <v>76.510000000000005</v>
      </c>
      <c r="L1682" t="s">
        <v>5922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95.64</v>
      </c>
      <c r="S1682">
        <v>0</v>
      </c>
      <c r="T1682">
        <v>0</v>
      </c>
      <c r="U1682">
        <v>86.92</v>
      </c>
      <c r="V1682">
        <v>83.44</v>
      </c>
      <c r="W1682">
        <v>97.79</v>
      </c>
      <c r="X1682">
        <v>86.92</v>
      </c>
      <c r="Y1682">
        <v>119.95</v>
      </c>
      <c r="Z1682" t="s">
        <v>5922</v>
      </c>
    </row>
    <row r="1683" spans="1:26" x14ac:dyDescent="0.2">
      <c r="A1683" t="s">
        <v>3071</v>
      </c>
      <c r="B1683" t="s">
        <v>3092</v>
      </c>
      <c r="C1683" t="s">
        <v>3093</v>
      </c>
      <c r="D1683" t="s">
        <v>105</v>
      </c>
      <c r="E1683">
        <v>199.95</v>
      </c>
      <c r="F1683" t="s">
        <v>7298</v>
      </c>
      <c r="G1683">
        <v>199.95</v>
      </c>
      <c r="H1683">
        <v>147.79</v>
      </c>
      <c r="L1683" t="s">
        <v>5922</v>
      </c>
      <c r="Q1683">
        <v>147.79</v>
      </c>
      <c r="R1683">
        <v>147.79</v>
      </c>
      <c r="U1683">
        <v>139.1</v>
      </c>
      <c r="V1683">
        <v>139.1</v>
      </c>
      <c r="W1683">
        <v>156.47999999999999</v>
      </c>
      <c r="X1683">
        <v>139.1</v>
      </c>
      <c r="Y1683">
        <v>199.95</v>
      </c>
      <c r="Z1683" t="s">
        <v>5922</v>
      </c>
    </row>
    <row r="1684" spans="1:26" x14ac:dyDescent="0.2">
      <c r="A1684" t="s">
        <v>3071</v>
      </c>
      <c r="B1684" t="s">
        <v>3094</v>
      </c>
      <c r="C1684" t="s">
        <v>3095</v>
      </c>
      <c r="D1684" t="s">
        <v>98</v>
      </c>
      <c r="E1684">
        <v>229.95</v>
      </c>
      <c r="F1684" t="s">
        <v>5922</v>
      </c>
      <c r="G1684">
        <v>229.95</v>
      </c>
      <c r="H1684">
        <v>169.96</v>
      </c>
      <c r="I1684">
        <v>156.51</v>
      </c>
      <c r="J1684">
        <v>139.12</v>
      </c>
      <c r="L1684" t="s">
        <v>5922</v>
      </c>
      <c r="M1684">
        <v>0</v>
      </c>
      <c r="N1684">
        <v>0</v>
      </c>
      <c r="O1684">
        <v>0</v>
      </c>
      <c r="P1684">
        <v>0</v>
      </c>
      <c r="Q1684">
        <v>169.96</v>
      </c>
      <c r="R1684">
        <v>169.96</v>
      </c>
      <c r="S1684">
        <v>0</v>
      </c>
      <c r="T1684">
        <v>0</v>
      </c>
      <c r="U1684">
        <v>163.44</v>
      </c>
      <c r="V1684">
        <v>159.97</v>
      </c>
      <c r="W1684">
        <v>183.87</v>
      </c>
      <c r="X1684">
        <v>163.44</v>
      </c>
      <c r="Y1684">
        <v>229.95</v>
      </c>
      <c r="Z1684" t="s">
        <v>5922</v>
      </c>
    </row>
    <row r="1685" spans="1:26" x14ac:dyDescent="0.2">
      <c r="A1685" t="s">
        <v>3071</v>
      </c>
      <c r="B1685" t="s">
        <v>3096</v>
      </c>
      <c r="C1685" t="s">
        <v>3097</v>
      </c>
      <c r="D1685" t="s">
        <v>105</v>
      </c>
      <c r="E1685">
        <v>179.95</v>
      </c>
      <c r="F1685" t="s">
        <v>7295</v>
      </c>
      <c r="G1685">
        <v>179.95</v>
      </c>
      <c r="H1685">
        <v>133.01</v>
      </c>
      <c r="I1685">
        <v>133.04</v>
      </c>
      <c r="J1685">
        <v>118.25</v>
      </c>
      <c r="L1685" t="s">
        <v>5922</v>
      </c>
      <c r="M1685">
        <v>0</v>
      </c>
      <c r="N1685">
        <v>0</v>
      </c>
      <c r="O1685">
        <v>0</v>
      </c>
      <c r="P1685">
        <v>0</v>
      </c>
      <c r="Q1685">
        <v>133.01</v>
      </c>
      <c r="R1685">
        <v>133.01</v>
      </c>
      <c r="S1685">
        <v>0</v>
      </c>
      <c r="T1685">
        <v>0</v>
      </c>
      <c r="U1685">
        <v>128.66</v>
      </c>
      <c r="V1685">
        <v>125.18</v>
      </c>
      <c r="W1685">
        <v>144.74</v>
      </c>
      <c r="X1685">
        <v>128.66</v>
      </c>
      <c r="Y1685">
        <v>179.95</v>
      </c>
      <c r="Z1685" t="s">
        <v>5922</v>
      </c>
    </row>
    <row r="1686" spans="1:26" x14ac:dyDescent="0.2">
      <c r="A1686" t="s">
        <v>3071</v>
      </c>
      <c r="B1686" t="s">
        <v>3098</v>
      </c>
      <c r="C1686" t="s">
        <v>3099</v>
      </c>
      <c r="D1686" t="s">
        <v>105</v>
      </c>
      <c r="E1686">
        <v>349.95</v>
      </c>
      <c r="F1686" t="s">
        <v>7300</v>
      </c>
      <c r="G1686">
        <v>349.95</v>
      </c>
      <c r="H1686">
        <v>258.66000000000003</v>
      </c>
      <c r="L1686" t="s">
        <v>5922</v>
      </c>
      <c r="Q1686">
        <v>258.66000000000003</v>
      </c>
      <c r="R1686">
        <v>258.66000000000003</v>
      </c>
      <c r="U1686">
        <v>243.44</v>
      </c>
      <c r="V1686">
        <v>243.44</v>
      </c>
      <c r="W1686">
        <v>273.87</v>
      </c>
      <c r="X1686">
        <v>243.44</v>
      </c>
      <c r="Y1686">
        <v>349.95</v>
      </c>
      <c r="Z1686" t="s">
        <v>5922</v>
      </c>
    </row>
    <row r="1687" spans="1:26" x14ac:dyDescent="0.2">
      <c r="A1687" t="s">
        <v>3071</v>
      </c>
      <c r="B1687" t="s">
        <v>3100</v>
      </c>
      <c r="C1687" t="s">
        <v>3101</v>
      </c>
      <c r="D1687" t="s">
        <v>98</v>
      </c>
      <c r="E1687">
        <v>259.95</v>
      </c>
      <c r="F1687" t="s">
        <v>5922</v>
      </c>
      <c r="G1687">
        <v>259.95</v>
      </c>
      <c r="H1687">
        <v>173.91</v>
      </c>
      <c r="I1687">
        <v>195.64</v>
      </c>
      <c r="J1687">
        <v>173.91</v>
      </c>
      <c r="L1687" t="s">
        <v>5922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217.38</v>
      </c>
      <c r="S1687">
        <v>0</v>
      </c>
      <c r="T1687">
        <v>0</v>
      </c>
      <c r="U1687">
        <v>184.31</v>
      </c>
      <c r="V1687">
        <v>180.83</v>
      </c>
      <c r="W1687">
        <v>207.35</v>
      </c>
      <c r="X1687">
        <v>184.31</v>
      </c>
      <c r="Y1687">
        <v>259.95</v>
      </c>
      <c r="Z1687" t="s">
        <v>5922</v>
      </c>
    </row>
    <row r="1688" spans="1:26" x14ac:dyDescent="0.2">
      <c r="A1688" t="s">
        <v>3071</v>
      </c>
      <c r="B1688" t="s">
        <v>3102</v>
      </c>
      <c r="C1688" t="s">
        <v>3103</v>
      </c>
      <c r="D1688" t="s">
        <v>98</v>
      </c>
      <c r="E1688">
        <v>249.99</v>
      </c>
      <c r="F1688" t="s">
        <v>5922</v>
      </c>
      <c r="G1688">
        <v>217.38</v>
      </c>
      <c r="H1688">
        <v>173.91</v>
      </c>
      <c r="I1688">
        <v>195.64</v>
      </c>
      <c r="J1688">
        <v>173.91</v>
      </c>
      <c r="L1688" t="s">
        <v>5922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217.38</v>
      </c>
      <c r="S1688">
        <v>0</v>
      </c>
      <c r="T1688">
        <v>0</v>
      </c>
      <c r="U1688">
        <v>173.91</v>
      </c>
      <c r="V1688">
        <v>173.91</v>
      </c>
      <c r="W1688">
        <v>195.64</v>
      </c>
      <c r="X1688">
        <v>173.91</v>
      </c>
      <c r="Y1688">
        <v>192</v>
      </c>
      <c r="Z1688" t="s">
        <v>5922</v>
      </c>
    </row>
    <row r="1689" spans="1:26" x14ac:dyDescent="0.2">
      <c r="A1689" t="s">
        <v>3071</v>
      </c>
      <c r="B1689" t="s">
        <v>3104</v>
      </c>
      <c r="C1689" t="s">
        <v>3105</v>
      </c>
      <c r="D1689" t="s">
        <v>105</v>
      </c>
      <c r="E1689">
        <v>349.95</v>
      </c>
      <c r="F1689" t="s">
        <v>7300</v>
      </c>
      <c r="G1689">
        <v>349.95</v>
      </c>
      <c r="H1689">
        <v>258.66000000000003</v>
      </c>
      <c r="I1689">
        <v>258.25</v>
      </c>
      <c r="J1689">
        <v>229.56</v>
      </c>
      <c r="L1689" t="s">
        <v>5922</v>
      </c>
      <c r="M1689">
        <v>0</v>
      </c>
      <c r="N1689">
        <v>0</v>
      </c>
      <c r="O1689">
        <v>0</v>
      </c>
      <c r="P1689">
        <v>0</v>
      </c>
      <c r="Q1689">
        <v>258.66000000000003</v>
      </c>
      <c r="R1689">
        <v>258.66000000000003</v>
      </c>
      <c r="S1689">
        <v>0</v>
      </c>
      <c r="T1689">
        <v>0</v>
      </c>
      <c r="U1689">
        <v>246.92</v>
      </c>
      <c r="V1689">
        <v>243.44</v>
      </c>
      <c r="W1689">
        <v>277.79000000000002</v>
      </c>
      <c r="X1689">
        <v>246.92</v>
      </c>
      <c r="Y1689">
        <v>349.95</v>
      </c>
      <c r="Z1689" t="s">
        <v>5922</v>
      </c>
    </row>
    <row r="1690" spans="1:26" x14ac:dyDescent="0.2">
      <c r="A1690" t="s">
        <v>3071</v>
      </c>
      <c r="B1690" t="s">
        <v>3106</v>
      </c>
      <c r="C1690" t="s">
        <v>3107</v>
      </c>
      <c r="D1690" t="s">
        <v>98</v>
      </c>
      <c r="E1690">
        <v>329.99</v>
      </c>
      <c r="F1690" t="s">
        <v>5922</v>
      </c>
      <c r="G1690">
        <v>286.95</v>
      </c>
      <c r="H1690">
        <v>229.56</v>
      </c>
      <c r="I1690">
        <v>258.25</v>
      </c>
      <c r="J1690">
        <v>229.56</v>
      </c>
      <c r="L1690" t="s">
        <v>5922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286.95</v>
      </c>
      <c r="S1690">
        <v>0</v>
      </c>
      <c r="T1690">
        <v>0</v>
      </c>
      <c r="U1690">
        <v>229.56</v>
      </c>
      <c r="V1690">
        <v>229.56</v>
      </c>
      <c r="W1690">
        <v>258.25</v>
      </c>
      <c r="X1690">
        <v>229.56</v>
      </c>
      <c r="Y1690">
        <v>284</v>
      </c>
      <c r="Z1690" t="s">
        <v>5922</v>
      </c>
    </row>
    <row r="1691" spans="1:26" x14ac:dyDescent="0.2">
      <c r="A1691" t="s">
        <v>3071</v>
      </c>
      <c r="B1691" t="s">
        <v>3108</v>
      </c>
      <c r="C1691" t="s">
        <v>3109</v>
      </c>
      <c r="D1691" t="s">
        <v>98</v>
      </c>
      <c r="E1691">
        <v>329.99</v>
      </c>
      <c r="F1691" t="s">
        <v>5922</v>
      </c>
      <c r="G1691">
        <v>286.95</v>
      </c>
      <c r="H1691">
        <v>229.56</v>
      </c>
      <c r="I1691">
        <v>258.25</v>
      </c>
      <c r="J1691">
        <v>229.56</v>
      </c>
      <c r="L1691" t="s">
        <v>5922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286.95</v>
      </c>
      <c r="S1691">
        <v>0</v>
      </c>
      <c r="T1691">
        <v>0</v>
      </c>
      <c r="U1691">
        <v>246.92</v>
      </c>
      <c r="V1691">
        <v>243.44</v>
      </c>
      <c r="W1691">
        <v>277.79000000000002</v>
      </c>
      <c r="X1691">
        <v>246.92</v>
      </c>
      <c r="Y1691">
        <v>315</v>
      </c>
      <c r="Z1691" t="s">
        <v>5922</v>
      </c>
    </row>
    <row r="1692" spans="1:26" x14ac:dyDescent="0.2">
      <c r="A1692" t="s">
        <v>3071</v>
      </c>
      <c r="B1692" t="s">
        <v>3110</v>
      </c>
      <c r="C1692" t="s">
        <v>3111</v>
      </c>
      <c r="D1692" t="s">
        <v>98</v>
      </c>
      <c r="E1692">
        <v>389.95</v>
      </c>
      <c r="F1692" t="s">
        <v>5922</v>
      </c>
      <c r="G1692">
        <v>389.95</v>
      </c>
      <c r="H1692">
        <v>243.47</v>
      </c>
      <c r="I1692">
        <v>273.91000000000003</v>
      </c>
      <c r="J1692">
        <v>243.47</v>
      </c>
      <c r="L1692" t="s">
        <v>5922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304.33999999999997</v>
      </c>
      <c r="S1692">
        <v>0</v>
      </c>
      <c r="T1692">
        <v>0</v>
      </c>
      <c r="U1692">
        <v>274.75</v>
      </c>
      <c r="V1692">
        <v>271.27</v>
      </c>
      <c r="W1692">
        <v>309.08999999999997</v>
      </c>
      <c r="X1692">
        <v>274.75</v>
      </c>
      <c r="Y1692">
        <v>389.95</v>
      </c>
      <c r="Z1692" t="s">
        <v>5922</v>
      </c>
    </row>
    <row r="1693" spans="1:26" x14ac:dyDescent="0.2">
      <c r="A1693" t="s">
        <v>3071</v>
      </c>
      <c r="B1693" t="s">
        <v>3112</v>
      </c>
      <c r="C1693" t="s">
        <v>3113</v>
      </c>
      <c r="D1693" t="s">
        <v>98</v>
      </c>
      <c r="E1693">
        <v>389.95</v>
      </c>
      <c r="F1693" t="s">
        <v>5922</v>
      </c>
      <c r="G1693">
        <v>389.95</v>
      </c>
      <c r="H1693">
        <v>243.47</v>
      </c>
      <c r="I1693">
        <v>273.91000000000003</v>
      </c>
      <c r="J1693">
        <v>243.47</v>
      </c>
      <c r="L1693" t="s">
        <v>5922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304.33999999999997</v>
      </c>
      <c r="S1693">
        <v>0</v>
      </c>
      <c r="T1693">
        <v>0</v>
      </c>
      <c r="U1693">
        <v>274.75</v>
      </c>
      <c r="V1693">
        <v>271.27</v>
      </c>
      <c r="W1693">
        <v>309.08999999999997</v>
      </c>
      <c r="X1693">
        <v>274.75</v>
      </c>
      <c r="Y1693">
        <v>389.95</v>
      </c>
      <c r="Z1693" t="s">
        <v>5922</v>
      </c>
    </row>
    <row r="1694" spans="1:26" x14ac:dyDescent="0.2">
      <c r="A1694" t="s">
        <v>3071</v>
      </c>
      <c r="B1694" t="s">
        <v>3114</v>
      </c>
      <c r="C1694" t="s">
        <v>3115</v>
      </c>
      <c r="D1694" t="s">
        <v>98</v>
      </c>
      <c r="E1694">
        <v>479.95</v>
      </c>
      <c r="F1694" t="s">
        <v>5922</v>
      </c>
      <c r="G1694">
        <v>479.95</v>
      </c>
      <c r="H1694">
        <v>313.04000000000002</v>
      </c>
      <c r="I1694">
        <v>352.17</v>
      </c>
      <c r="J1694">
        <v>313.04000000000002</v>
      </c>
      <c r="L1694" t="s">
        <v>5922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391.3</v>
      </c>
      <c r="S1694">
        <v>0</v>
      </c>
      <c r="T1694">
        <v>0</v>
      </c>
      <c r="U1694">
        <v>337.36</v>
      </c>
      <c r="V1694">
        <v>333.88</v>
      </c>
      <c r="W1694">
        <v>379.53</v>
      </c>
      <c r="X1694">
        <v>337.36</v>
      </c>
      <c r="Y1694">
        <v>479.95</v>
      </c>
      <c r="Z1694" t="s">
        <v>5922</v>
      </c>
    </row>
    <row r="1695" spans="1:26" x14ac:dyDescent="0.2">
      <c r="A1695" t="s">
        <v>3071</v>
      </c>
      <c r="B1695" t="s">
        <v>3116</v>
      </c>
      <c r="C1695" t="s">
        <v>3117</v>
      </c>
      <c r="D1695" t="s">
        <v>105</v>
      </c>
      <c r="E1695">
        <v>699.9</v>
      </c>
      <c r="F1695" t="s">
        <v>7302</v>
      </c>
      <c r="G1695">
        <v>699.9</v>
      </c>
      <c r="H1695">
        <v>517.32000000000005</v>
      </c>
      <c r="I1695">
        <v>547.82000000000005</v>
      </c>
      <c r="J1695">
        <v>486.95</v>
      </c>
      <c r="L1695" t="s">
        <v>5922</v>
      </c>
      <c r="M1695">
        <v>0</v>
      </c>
      <c r="N1695">
        <v>0</v>
      </c>
      <c r="O1695">
        <v>0</v>
      </c>
      <c r="P1695">
        <v>0</v>
      </c>
      <c r="Q1695">
        <v>517.32000000000005</v>
      </c>
      <c r="R1695">
        <v>517.32000000000005</v>
      </c>
      <c r="S1695">
        <v>0</v>
      </c>
      <c r="T1695">
        <v>0</v>
      </c>
      <c r="U1695">
        <v>490.37</v>
      </c>
      <c r="V1695">
        <v>486.95</v>
      </c>
      <c r="W1695">
        <v>551.66</v>
      </c>
      <c r="X1695">
        <v>490.37</v>
      </c>
      <c r="Y1695">
        <v>699.9</v>
      </c>
      <c r="Z1695" t="s">
        <v>5922</v>
      </c>
    </row>
    <row r="1696" spans="1:26" x14ac:dyDescent="0.2">
      <c r="A1696" t="s">
        <v>3071</v>
      </c>
      <c r="B1696" t="s">
        <v>3118</v>
      </c>
      <c r="C1696" t="s">
        <v>3119</v>
      </c>
      <c r="D1696" t="s">
        <v>105</v>
      </c>
      <c r="E1696">
        <v>699.9</v>
      </c>
      <c r="F1696" t="s">
        <v>7302</v>
      </c>
      <c r="G1696">
        <v>699.9</v>
      </c>
      <c r="H1696">
        <v>517.32000000000005</v>
      </c>
      <c r="I1696">
        <v>547.82000000000005</v>
      </c>
      <c r="J1696">
        <v>486.95</v>
      </c>
      <c r="L1696" t="s">
        <v>5922</v>
      </c>
      <c r="M1696">
        <v>0</v>
      </c>
      <c r="N1696">
        <v>0</v>
      </c>
      <c r="O1696">
        <v>0</v>
      </c>
      <c r="P1696">
        <v>0</v>
      </c>
      <c r="Q1696">
        <v>517.32000000000005</v>
      </c>
      <c r="R1696">
        <v>517.32000000000005</v>
      </c>
      <c r="S1696">
        <v>0</v>
      </c>
      <c r="T1696">
        <v>0</v>
      </c>
      <c r="U1696">
        <v>490.37</v>
      </c>
      <c r="V1696">
        <v>486.95</v>
      </c>
      <c r="W1696">
        <v>551.66</v>
      </c>
      <c r="X1696">
        <v>490.37</v>
      </c>
      <c r="Y1696">
        <v>699.9</v>
      </c>
      <c r="Z1696" t="s">
        <v>5922</v>
      </c>
    </row>
    <row r="1697" spans="1:26" x14ac:dyDescent="0.2">
      <c r="A1697" t="s">
        <v>3071</v>
      </c>
      <c r="B1697" t="s">
        <v>3120</v>
      </c>
      <c r="C1697" t="s">
        <v>3121</v>
      </c>
      <c r="D1697" t="s">
        <v>98</v>
      </c>
      <c r="E1697">
        <v>449.95</v>
      </c>
      <c r="F1697" t="s">
        <v>7303</v>
      </c>
      <c r="G1697">
        <v>449.95</v>
      </c>
      <c r="H1697">
        <v>332.57</v>
      </c>
      <c r="I1697">
        <v>313.04000000000002</v>
      </c>
      <c r="J1697">
        <v>278.25</v>
      </c>
      <c r="L1697" t="s">
        <v>5922</v>
      </c>
      <c r="M1697">
        <v>0</v>
      </c>
      <c r="N1697">
        <v>0</v>
      </c>
      <c r="O1697">
        <v>0</v>
      </c>
      <c r="P1697">
        <v>0</v>
      </c>
      <c r="Q1697">
        <v>332.57</v>
      </c>
      <c r="R1697">
        <v>332.57</v>
      </c>
      <c r="S1697">
        <v>0</v>
      </c>
      <c r="T1697">
        <v>0</v>
      </c>
      <c r="U1697">
        <v>316.49</v>
      </c>
      <c r="V1697">
        <v>313.01</v>
      </c>
      <c r="W1697">
        <v>356.05</v>
      </c>
      <c r="X1697">
        <v>316.49</v>
      </c>
      <c r="Y1697">
        <v>449.95</v>
      </c>
      <c r="Z1697" t="s">
        <v>5922</v>
      </c>
    </row>
    <row r="1698" spans="1:26" x14ac:dyDescent="0.2">
      <c r="A1698" t="s">
        <v>3133</v>
      </c>
      <c r="B1698" t="s">
        <v>3138</v>
      </c>
      <c r="C1698" t="s">
        <v>3139</v>
      </c>
      <c r="D1698" t="s">
        <v>98</v>
      </c>
      <c r="E1698">
        <v>119.99</v>
      </c>
      <c r="F1698" t="s">
        <v>5922</v>
      </c>
      <c r="G1698">
        <v>119.99</v>
      </c>
      <c r="H1698">
        <v>78.25</v>
      </c>
      <c r="I1698">
        <v>83.47</v>
      </c>
      <c r="J1698">
        <v>83.47</v>
      </c>
      <c r="K1698">
        <v>78.25</v>
      </c>
      <c r="L1698" t="s">
        <v>5922</v>
      </c>
      <c r="M1698">
        <v>73.040000000000006</v>
      </c>
      <c r="N1698">
        <v>73.040000000000006</v>
      </c>
      <c r="O1698">
        <v>78.25</v>
      </c>
      <c r="P1698">
        <v>62.6</v>
      </c>
      <c r="Q1698">
        <v>62.6</v>
      </c>
      <c r="R1698">
        <v>62.6</v>
      </c>
      <c r="S1698">
        <v>224.33</v>
      </c>
      <c r="T1698">
        <v>62.6</v>
      </c>
      <c r="U1698">
        <v>73.040000000000006</v>
      </c>
      <c r="V1698">
        <v>62.6</v>
      </c>
      <c r="W1698">
        <v>78.25</v>
      </c>
      <c r="X1698">
        <v>78.25</v>
      </c>
      <c r="Y1698">
        <v>119.99</v>
      </c>
      <c r="Z1698" t="s">
        <v>5922</v>
      </c>
    </row>
    <row r="1699" spans="1:26" x14ac:dyDescent="0.2">
      <c r="A1699" t="s">
        <v>3133</v>
      </c>
      <c r="B1699" t="s">
        <v>3166</v>
      </c>
      <c r="C1699" t="s">
        <v>3167</v>
      </c>
      <c r="D1699" t="s">
        <v>98</v>
      </c>
      <c r="E1699">
        <v>239.99</v>
      </c>
      <c r="F1699" t="s">
        <v>5922</v>
      </c>
      <c r="G1699">
        <v>167.99</v>
      </c>
      <c r="H1699">
        <v>156.52000000000001</v>
      </c>
      <c r="I1699">
        <v>166.95</v>
      </c>
      <c r="J1699">
        <v>166.95</v>
      </c>
      <c r="K1699">
        <v>156.52000000000001</v>
      </c>
      <c r="L1699" t="s">
        <v>5922</v>
      </c>
      <c r="M1699">
        <v>146.08000000000001</v>
      </c>
      <c r="N1699">
        <v>146.08000000000001</v>
      </c>
      <c r="O1699">
        <v>156.52000000000001</v>
      </c>
      <c r="P1699">
        <v>156.51</v>
      </c>
      <c r="Q1699">
        <v>125.21</v>
      </c>
      <c r="R1699">
        <v>125.21</v>
      </c>
      <c r="S1699">
        <v>417.37</v>
      </c>
      <c r="T1699">
        <v>125.21</v>
      </c>
      <c r="U1699">
        <v>146.08000000000001</v>
      </c>
      <c r="V1699">
        <v>125.21</v>
      </c>
      <c r="W1699">
        <v>177.38</v>
      </c>
      <c r="X1699">
        <v>156.52000000000001</v>
      </c>
      <c r="Y1699">
        <v>239.99</v>
      </c>
      <c r="Z1699" t="s">
        <v>5922</v>
      </c>
    </row>
    <row r="1700" spans="1:26" x14ac:dyDescent="0.2">
      <c r="A1700" t="s">
        <v>3221</v>
      </c>
      <c r="B1700" t="s">
        <v>3222</v>
      </c>
      <c r="C1700" t="s">
        <v>3223</v>
      </c>
      <c r="D1700" t="s">
        <v>105</v>
      </c>
      <c r="E1700">
        <v>799</v>
      </c>
      <c r="F1700" t="s">
        <v>7047</v>
      </c>
      <c r="L1700" t="s">
        <v>5922</v>
      </c>
      <c r="Z1700" t="s">
        <v>5922</v>
      </c>
    </row>
    <row r="1701" spans="1:26" x14ac:dyDescent="0.2">
      <c r="A1701" t="s">
        <v>3221</v>
      </c>
      <c r="B1701" t="s">
        <v>3224</v>
      </c>
      <c r="C1701" t="s">
        <v>3225</v>
      </c>
      <c r="D1701" t="s">
        <v>105</v>
      </c>
      <c r="E1701">
        <v>0</v>
      </c>
      <c r="F1701" t="s">
        <v>6901</v>
      </c>
      <c r="L1701" t="s">
        <v>5922</v>
      </c>
      <c r="Z1701" t="s">
        <v>5922</v>
      </c>
    </row>
    <row r="1702" spans="1:26" x14ac:dyDescent="0.2">
      <c r="A1702" t="s">
        <v>3221</v>
      </c>
      <c r="B1702" t="s">
        <v>7304</v>
      </c>
      <c r="C1702" t="s">
        <v>7305</v>
      </c>
      <c r="D1702" t="s">
        <v>105</v>
      </c>
      <c r="E1702">
        <v>109</v>
      </c>
      <c r="F1702" t="s">
        <v>7306</v>
      </c>
      <c r="L1702" t="s">
        <v>5922</v>
      </c>
      <c r="Z1702" t="s">
        <v>5922</v>
      </c>
    </row>
    <row r="1703" spans="1:26" x14ac:dyDescent="0.2">
      <c r="A1703" t="s">
        <v>3221</v>
      </c>
      <c r="B1703" t="s">
        <v>3226</v>
      </c>
      <c r="C1703" t="s">
        <v>3227</v>
      </c>
      <c r="D1703" t="s">
        <v>105</v>
      </c>
      <c r="E1703">
        <v>699</v>
      </c>
      <c r="F1703" t="s">
        <v>6951</v>
      </c>
      <c r="L1703" t="s">
        <v>5922</v>
      </c>
      <c r="Z1703" t="s">
        <v>5922</v>
      </c>
    </row>
    <row r="1704" spans="1:26" x14ac:dyDescent="0.2">
      <c r="A1704" t="s">
        <v>3221</v>
      </c>
      <c r="B1704" t="s">
        <v>3228</v>
      </c>
      <c r="C1704" t="s">
        <v>3229</v>
      </c>
      <c r="D1704" t="s">
        <v>105</v>
      </c>
      <c r="E1704">
        <v>699</v>
      </c>
      <c r="F1704" t="s">
        <v>6951</v>
      </c>
      <c r="L1704" t="s">
        <v>5922</v>
      </c>
      <c r="Z1704" t="s">
        <v>5922</v>
      </c>
    </row>
    <row r="1705" spans="1:26" x14ac:dyDescent="0.2">
      <c r="A1705" t="s">
        <v>3221</v>
      </c>
      <c r="B1705" t="s">
        <v>7307</v>
      </c>
      <c r="C1705" t="s">
        <v>7308</v>
      </c>
      <c r="D1705" t="s">
        <v>105</v>
      </c>
      <c r="E1705">
        <v>2399</v>
      </c>
      <c r="F1705" t="s">
        <v>7100</v>
      </c>
      <c r="L1705" t="s">
        <v>5922</v>
      </c>
      <c r="Z1705" t="s">
        <v>5922</v>
      </c>
    </row>
    <row r="1706" spans="1:26" x14ac:dyDescent="0.2">
      <c r="A1706" t="s">
        <v>3221</v>
      </c>
      <c r="B1706" t="s">
        <v>3231</v>
      </c>
      <c r="C1706" t="s">
        <v>3232</v>
      </c>
      <c r="D1706" t="s">
        <v>105</v>
      </c>
      <c r="E1706">
        <v>449</v>
      </c>
      <c r="F1706" t="s">
        <v>7309</v>
      </c>
      <c r="L1706" t="s">
        <v>5922</v>
      </c>
      <c r="Z1706" t="s">
        <v>5922</v>
      </c>
    </row>
    <row r="1707" spans="1:26" x14ac:dyDescent="0.2">
      <c r="A1707" t="s">
        <v>3221</v>
      </c>
      <c r="B1707" t="s">
        <v>6237</v>
      </c>
      <c r="C1707" t="s">
        <v>7494</v>
      </c>
      <c r="D1707" t="s">
        <v>105</v>
      </c>
      <c r="F1707" t="s">
        <v>5922</v>
      </c>
      <c r="L1707" t="s">
        <v>5922</v>
      </c>
      <c r="M1707">
        <v>45</v>
      </c>
      <c r="N1707">
        <v>47.4</v>
      </c>
      <c r="S1707">
        <v>44.4</v>
      </c>
      <c r="Z1707" t="s">
        <v>5922</v>
      </c>
    </row>
    <row r="1708" spans="1:26" x14ac:dyDescent="0.2">
      <c r="A1708" t="s">
        <v>3221</v>
      </c>
      <c r="B1708" t="s">
        <v>6239</v>
      </c>
      <c r="C1708" t="s">
        <v>7496</v>
      </c>
      <c r="D1708" t="s">
        <v>105</v>
      </c>
      <c r="E1708">
        <v>75</v>
      </c>
      <c r="F1708" t="s">
        <v>7020</v>
      </c>
      <c r="L1708" t="s">
        <v>5922</v>
      </c>
      <c r="M1708">
        <v>84.13</v>
      </c>
      <c r="N1708">
        <v>88.62</v>
      </c>
      <c r="S1708">
        <v>83.01</v>
      </c>
      <c r="Z1708" t="s">
        <v>5922</v>
      </c>
    </row>
    <row r="1709" spans="1:26" x14ac:dyDescent="0.2">
      <c r="A1709" t="s">
        <v>3221</v>
      </c>
      <c r="B1709" t="s">
        <v>6251</v>
      </c>
      <c r="C1709" t="s">
        <v>3233</v>
      </c>
      <c r="D1709" t="s">
        <v>105</v>
      </c>
      <c r="E1709">
        <v>209</v>
      </c>
      <c r="F1709" t="s">
        <v>6943</v>
      </c>
      <c r="L1709" t="s">
        <v>5922</v>
      </c>
      <c r="M1709">
        <v>142.83000000000001</v>
      </c>
      <c r="N1709">
        <v>150.44</v>
      </c>
      <c r="S1709">
        <v>140.91999999999999</v>
      </c>
      <c r="Z1709" t="s">
        <v>5922</v>
      </c>
    </row>
    <row r="1710" spans="1:26" x14ac:dyDescent="0.2">
      <c r="A1710" t="s">
        <v>3221</v>
      </c>
      <c r="B1710" t="s">
        <v>6235</v>
      </c>
      <c r="C1710" t="s">
        <v>3234</v>
      </c>
      <c r="D1710" t="s">
        <v>105</v>
      </c>
      <c r="E1710">
        <v>139</v>
      </c>
      <c r="F1710" t="s">
        <v>7068</v>
      </c>
      <c r="L1710" t="s">
        <v>5922</v>
      </c>
      <c r="Z1710" t="s">
        <v>5922</v>
      </c>
    </row>
    <row r="1711" spans="1:26" x14ac:dyDescent="0.2">
      <c r="A1711" t="s">
        <v>3221</v>
      </c>
      <c r="B1711" t="s">
        <v>6248</v>
      </c>
      <c r="C1711" t="s">
        <v>3235</v>
      </c>
      <c r="D1711" t="s">
        <v>105</v>
      </c>
      <c r="E1711">
        <v>209</v>
      </c>
      <c r="F1711" t="s">
        <v>6943</v>
      </c>
      <c r="L1711" t="s">
        <v>5922</v>
      </c>
      <c r="M1711">
        <v>162.38999999999999</v>
      </c>
      <c r="N1711">
        <v>171.05</v>
      </c>
      <c r="S1711">
        <v>160.22999999999999</v>
      </c>
      <c r="Z1711" t="s">
        <v>5922</v>
      </c>
    </row>
    <row r="1712" spans="1:26" x14ac:dyDescent="0.2">
      <c r="A1712" t="s">
        <v>3221</v>
      </c>
      <c r="B1712" t="s">
        <v>7811</v>
      </c>
      <c r="C1712" t="s">
        <v>7812</v>
      </c>
      <c r="D1712" t="s">
        <v>105</v>
      </c>
      <c r="F1712" t="s">
        <v>5922</v>
      </c>
      <c r="L1712" t="s">
        <v>5922</v>
      </c>
      <c r="M1712">
        <v>142.83000000000001</v>
      </c>
      <c r="N1712">
        <v>150.44</v>
      </c>
      <c r="S1712">
        <v>140.91999999999999</v>
      </c>
      <c r="Z1712" t="s">
        <v>5922</v>
      </c>
    </row>
    <row r="1713" spans="1:26" x14ac:dyDescent="0.2">
      <c r="A1713" t="s">
        <v>3221</v>
      </c>
      <c r="B1713" t="s">
        <v>6230</v>
      </c>
      <c r="C1713" t="s">
        <v>7493</v>
      </c>
      <c r="D1713" t="s">
        <v>105</v>
      </c>
      <c r="E1713">
        <v>43</v>
      </c>
      <c r="F1713" t="s">
        <v>7310</v>
      </c>
      <c r="L1713" t="s">
        <v>5922</v>
      </c>
      <c r="M1713">
        <v>31.96</v>
      </c>
      <c r="N1713">
        <v>33.659999999999997</v>
      </c>
      <c r="S1713">
        <v>31.53</v>
      </c>
      <c r="Z1713" t="s">
        <v>5922</v>
      </c>
    </row>
    <row r="1714" spans="1:26" x14ac:dyDescent="0.2">
      <c r="A1714" t="s">
        <v>3221</v>
      </c>
      <c r="B1714" t="s">
        <v>7311</v>
      </c>
      <c r="C1714" t="s">
        <v>3236</v>
      </c>
      <c r="D1714" t="s">
        <v>105</v>
      </c>
      <c r="E1714">
        <v>43</v>
      </c>
      <c r="F1714" t="s">
        <v>7310</v>
      </c>
      <c r="L1714" t="s">
        <v>5922</v>
      </c>
      <c r="M1714">
        <v>31.96</v>
      </c>
      <c r="N1714">
        <v>33.659999999999997</v>
      </c>
      <c r="S1714">
        <v>31.53</v>
      </c>
      <c r="Z1714" t="s">
        <v>5922</v>
      </c>
    </row>
    <row r="1715" spans="1:26" x14ac:dyDescent="0.2">
      <c r="A1715" t="s">
        <v>3221</v>
      </c>
      <c r="B1715" t="s">
        <v>7312</v>
      </c>
      <c r="C1715" t="s">
        <v>7313</v>
      </c>
      <c r="D1715" t="s">
        <v>105</v>
      </c>
      <c r="E1715">
        <v>1399</v>
      </c>
      <c r="F1715" t="s">
        <v>7314</v>
      </c>
      <c r="L1715" t="s">
        <v>5922</v>
      </c>
      <c r="M1715">
        <v>1030.17</v>
      </c>
      <c r="S1715">
        <v>1017.45</v>
      </c>
      <c r="Z1715" t="s">
        <v>5922</v>
      </c>
    </row>
    <row r="1716" spans="1:26" x14ac:dyDescent="0.2">
      <c r="A1716" t="s">
        <v>3221</v>
      </c>
      <c r="B1716" t="s">
        <v>6222</v>
      </c>
      <c r="C1716" t="s">
        <v>7483</v>
      </c>
      <c r="D1716" t="s">
        <v>105</v>
      </c>
      <c r="E1716">
        <v>33</v>
      </c>
      <c r="F1716" t="s">
        <v>7315</v>
      </c>
      <c r="L1716" t="s">
        <v>5922</v>
      </c>
      <c r="M1716">
        <v>25.43</v>
      </c>
      <c r="N1716">
        <v>26.79</v>
      </c>
      <c r="S1716">
        <v>25.1</v>
      </c>
      <c r="Z1716" t="s">
        <v>5922</v>
      </c>
    </row>
    <row r="1717" spans="1:26" x14ac:dyDescent="0.2">
      <c r="A1717" t="s">
        <v>3221</v>
      </c>
      <c r="B1717" t="s">
        <v>6236</v>
      </c>
      <c r="C1717" t="s">
        <v>3237</v>
      </c>
      <c r="D1717" t="s">
        <v>105</v>
      </c>
      <c r="E1717">
        <v>33</v>
      </c>
      <c r="F1717" t="s">
        <v>7315</v>
      </c>
      <c r="L1717" t="s">
        <v>5922</v>
      </c>
      <c r="Z1717" t="s">
        <v>5922</v>
      </c>
    </row>
    <row r="1718" spans="1:26" x14ac:dyDescent="0.2">
      <c r="A1718" t="s">
        <v>3221</v>
      </c>
      <c r="B1718" t="s">
        <v>6247</v>
      </c>
      <c r="C1718" t="s">
        <v>7500</v>
      </c>
      <c r="D1718" t="s">
        <v>105</v>
      </c>
      <c r="E1718">
        <v>43</v>
      </c>
      <c r="F1718" t="s">
        <v>7310</v>
      </c>
      <c r="L1718" t="s">
        <v>5922</v>
      </c>
      <c r="M1718">
        <v>31.96</v>
      </c>
      <c r="N1718">
        <v>33.659999999999997</v>
      </c>
      <c r="S1718">
        <v>31.53</v>
      </c>
      <c r="Z1718" t="s">
        <v>5922</v>
      </c>
    </row>
    <row r="1719" spans="1:26" x14ac:dyDescent="0.2">
      <c r="A1719" t="s">
        <v>3221</v>
      </c>
      <c r="B1719" t="s">
        <v>6223</v>
      </c>
      <c r="C1719" t="s">
        <v>7485</v>
      </c>
      <c r="D1719" t="s">
        <v>105</v>
      </c>
      <c r="E1719">
        <v>43</v>
      </c>
      <c r="F1719" t="s">
        <v>7310</v>
      </c>
      <c r="L1719" t="s">
        <v>5922</v>
      </c>
      <c r="M1719">
        <v>31.96</v>
      </c>
      <c r="N1719">
        <v>33.659999999999997</v>
      </c>
      <c r="S1719">
        <v>31.53</v>
      </c>
      <c r="Z1719" t="s">
        <v>5922</v>
      </c>
    </row>
    <row r="1720" spans="1:26" x14ac:dyDescent="0.2">
      <c r="A1720" t="s">
        <v>3221</v>
      </c>
      <c r="B1720" t="s">
        <v>6245</v>
      </c>
      <c r="C1720" t="s">
        <v>7498</v>
      </c>
      <c r="D1720" t="s">
        <v>105</v>
      </c>
      <c r="E1720">
        <v>43</v>
      </c>
      <c r="F1720" t="s">
        <v>7310</v>
      </c>
      <c r="L1720" t="s">
        <v>5922</v>
      </c>
      <c r="M1720">
        <v>31.96</v>
      </c>
      <c r="N1720">
        <v>33.659999999999997</v>
      </c>
      <c r="S1720">
        <v>31.53</v>
      </c>
      <c r="Z1720" t="s">
        <v>5922</v>
      </c>
    </row>
    <row r="1721" spans="1:26" x14ac:dyDescent="0.2">
      <c r="A1721" t="s">
        <v>3221</v>
      </c>
      <c r="B1721" t="s">
        <v>6234</v>
      </c>
      <c r="C1721" t="s">
        <v>3238</v>
      </c>
      <c r="D1721" t="s">
        <v>105</v>
      </c>
      <c r="E1721">
        <v>43</v>
      </c>
      <c r="F1721" t="s">
        <v>7310</v>
      </c>
      <c r="L1721" t="s">
        <v>5922</v>
      </c>
      <c r="Z1721" t="s">
        <v>5922</v>
      </c>
    </row>
    <row r="1722" spans="1:26" x14ac:dyDescent="0.2">
      <c r="A1722" t="s">
        <v>3221</v>
      </c>
      <c r="B1722" t="s">
        <v>3239</v>
      </c>
      <c r="C1722" t="s">
        <v>3240</v>
      </c>
      <c r="D1722" t="s">
        <v>105</v>
      </c>
      <c r="E1722">
        <v>1099</v>
      </c>
      <c r="F1722" t="s">
        <v>7119</v>
      </c>
      <c r="L1722" t="s">
        <v>5922</v>
      </c>
      <c r="M1722">
        <v>774.08</v>
      </c>
      <c r="N1722">
        <v>793.19</v>
      </c>
      <c r="R1722">
        <v>621.16999999999996</v>
      </c>
      <c r="S1722">
        <v>764.52</v>
      </c>
      <c r="Z1722" t="s">
        <v>5922</v>
      </c>
    </row>
    <row r="1723" spans="1:26" x14ac:dyDescent="0.2">
      <c r="A1723" t="s">
        <v>3221</v>
      </c>
      <c r="B1723" t="s">
        <v>6231</v>
      </c>
      <c r="C1723" t="s">
        <v>3241</v>
      </c>
      <c r="D1723" t="s">
        <v>105</v>
      </c>
      <c r="E1723">
        <v>33</v>
      </c>
      <c r="F1723" t="s">
        <v>7315</v>
      </c>
      <c r="L1723" t="s">
        <v>5922</v>
      </c>
      <c r="M1723">
        <v>25.43</v>
      </c>
      <c r="N1723">
        <v>26.79</v>
      </c>
      <c r="S1723">
        <v>25.1</v>
      </c>
      <c r="Z1723" t="s">
        <v>5922</v>
      </c>
    </row>
    <row r="1724" spans="1:26" x14ac:dyDescent="0.2">
      <c r="A1724" t="s">
        <v>3221</v>
      </c>
      <c r="B1724" t="s">
        <v>6228</v>
      </c>
      <c r="C1724" t="s">
        <v>7491</v>
      </c>
      <c r="D1724" t="s">
        <v>105</v>
      </c>
      <c r="E1724">
        <v>33</v>
      </c>
      <c r="F1724" t="s">
        <v>7315</v>
      </c>
      <c r="L1724" t="s">
        <v>5922</v>
      </c>
      <c r="M1724">
        <v>25.43</v>
      </c>
      <c r="N1724">
        <v>26.79</v>
      </c>
      <c r="S1724">
        <v>25.1</v>
      </c>
      <c r="Z1724" t="s">
        <v>5922</v>
      </c>
    </row>
    <row r="1725" spans="1:26" x14ac:dyDescent="0.2">
      <c r="A1725" t="s">
        <v>3221</v>
      </c>
      <c r="B1725" t="s">
        <v>3242</v>
      </c>
      <c r="C1725" t="s">
        <v>3243</v>
      </c>
      <c r="D1725" t="s">
        <v>105</v>
      </c>
      <c r="E1725">
        <v>349</v>
      </c>
      <c r="F1725" t="s">
        <v>7112</v>
      </c>
      <c r="L1725" t="s">
        <v>5922</v>
      </c>
      <c r="Z1725" t="s">
        <v>5922</v>
      </c>
    </row>
    <row r="1726" spans="1:26" x14ac:dyDescent="0.2">
      <c r="A1726" t="s">
        <v>3221</v>
      </c>
      <c r="B1726" t="s">
        <v>3244</v>
      </c>
      <c r="C1726" t="s">
        <v>3245</v>
      </c>
      <c r="D1726" t="s">
        <v>105</v>
      </c>
      <c r="E1726">
        <v>279</v>
      </c>
      <c r="F1726" t="s">
        <v>7064</v>
      </c>
      <c r="L1726" t="s">
        <v>5922</v>
      </c>
      <c r="N1726">
        <v>179.71</v>
      </c>
      <c r="Z1726" t="s">
        <v>5922</v>
      </c>
    </row>
    <row r="1727" spans="1:26" x14ac:dyDescent="0.2">
      <c r="A1727" t="s">
        <v>3221</v>
      </c>
      <c r="B1727" t="s">
        <v>3246</v>
      </c>
      <c r="C1727" t="s">
        <v>3247</v>
      </c>
      <c r="D1727" t="s">
        <v>105</v>
      </c>
      <c r="E1727">
        <v>699</v>
      </c>
      <c r="F1727" t="s">
        <v>6951</v>
      </c>
      <c r="L1727" t="s">
        <v>5922</v>
      </c>
      <c r="Z1727" t="s">
        <v>5922</v>
      </c>
    </row>
    <row r="1728" spans="1:26" x14ac:dyDescent="0.2">
      <c r="A1728" t="s">
        <v>3221</v>
      </c>
      <c r="B1728" t="s">
        <v>3248</v>
      </c>
      <c r="C1728" t="s">
        <v>3249</v>
      </c>
      <c r="D1728" t="s">
        <v>105</v>
      </c>
      <c r="E1728">
        <v>799</v>
      </c>
      <c r="F1728" t="s">
        <v>7047</v>
      </c>
      <c r="L1728" t="s">
        <v>5922</v>
      </c>
      <c r="Z1728" t="s">
        <v>5922</v>
      </c>
    </row>
    <row r="1729" spans="1:26" x14ac:dyDescent="0.2">
      <c r="A1729" t="s">
        <v>3221</v>
      </c>
      <c r="B1729" t="s">
        <v>3250</v>
      </c>
      <c r="C1729" t="s">
        <v>3251</v>
      </c>
      <c r="D1729" t="s">
        <v>105</v>
      </c>
      <c r="E1729">
        <v>1099</v>
      </c>
      <c r="F1729" t="s">
        <v>7119</v>
      </c>
      <c r="L1729" t="s">
        <v>5922</v>
      </c>
      <c r="Z1729" t="s">
        <v>5922</v>
      </c>
    </row>
    <row r="1730" spans="1:26" x14ac:dyDescent="0.2">
      <c r="A1730" t="s">
        <v>3221</v>
      </c>
      <c r="B1730" t="s">
        <v>7316</v>
      </c>
      <c r="C1730" t="s">
        <v>7813</v>
      </c>
      <c r="D1730" t="s">
        <v>105</v>
      </c>
      <c r="E1730">
        <v>43</v>
      </c>
      <c r="F1730" t="s">
        <v>7310</v>
      </c>
      <c r="L1730" t="s">
        <v>5922</v>
      </c>
      <c r="M1730">
        <v>38.479999999999997</v>
      </c>
      <c r="N1730">
        <v>40.53</v>
      </c>
      <c r="S1730">
        <v>37.97</v>
      </c>
      <c r="Z1730" t="s">
        <v>5922</v>
      </c>
    </row>
    <row r="1731" spans="1:26" x14ac:dyDescent="0.2">
      <c r="A1731" t="s">
        <v>3221</v>
      </c>
      <c r="B1731" t="s">
        <v>6227</v>
      </c>
      <c r="C1731" t="s">
        <v>7490</v>
      </c>
      <c r="D1731" t="s">
        <v>105</v>
      </c>
      <c r="E1731">
        <v>119</v>
      </c>
      <c r="F1731" t="s">
        <v>6950</v>
      </c>
      <c r="L1731" t="s">
        <v>5922</v>
      </c>
      <c r="M1731">
        <v>90.65</v>
      </c>
      <c r="N1731">
        <v>95.49</v>
      </c>
      <c r="S1731">
        <v>89.44</v>
      </c>
      <c r="Z1731" t="s">
        <v>5922</v>
      </c>
    </row>
    <row r="1732" spans="1:26" x14ac:dyDescent="0.2">
      <c r="A1732" t="s">
        <v>3221</v>
      </c>
      <c r="B1732" t="s">
        <v>6238</v>
      </c>
      <c r="C1732" t="s">
        <v>7495</v>
      </c>
      <c r="D1732" t="s">
        <v>105</v>
      </c>
      <c r="E1732">
        <v>119</v>
      </c>
      <c r="F1732" t="s">
        <v>6950</v>
      </c>
      <c r="L1732" t="s">
        <v>5922</v>
      </c>
      <c r="M1732">
        <v>77.61</v>
      </c>
      <c r="N1732">
        <v>81.75</v>
      </c>
      <c r="S1732">
        <v>76.569999999999993</v>
      </c>
      <c r="Z1732" t="s">
        <v>5922</v>
      </c>
    </row>
    <row r="1733" spans="1:26" x14ac:dyDescent="0.2">
      <c r="A1733" t="s">
        <v>3221</v>
      </c>
      <c r="B1733" t="s">
        <v>6233</v>
      </c>
      <c r="C1733" t="s">
        <v>3252</v>
      </c>
      <c r="D1733" t="s">
        <v>105</v>
      </c>
      <c r="E1733">
        <v>55</v>
      </c>
      <c r="F1733" t="s">
        <v>6975</v>
      </c>
      <c r="L1733" t="s">
        <v>5922</v>
      </c>
      <c r="Z1733" t="s">
        <v>5922</v>
      </c>
    </row>
    <row r="1734" spans="1:26" x14ac:dyDescent="0.2">
      <c r="A1734" t="s">
        <v>3221</v>
      </c>
      <c r="B1734" t="s">
        <v>6250</v>
      </c>
      <c r="C1734" t="s">
        <v>3253</v>
      </c>
      <c r="D1734" t="s">
        <v>105</v>
      </c>
      <c r="E1734">
        <v>109</v>
      </c>
      <c r="F1734" t="s">
        <v>7306</v>
      </c>
      <c r="L1734" t="s">
        <v>5922</v>
      </c>
      <c r="Z1734" t="s">
        <v>5922</v>
      </c>
    </row>
    <row r="1735" spans="1:26" x14ac:dyDescent="0.2">
      <c r="A1735" t="s">
        <v>3221</v>
      </c>
      <c r="B1735" t="s">
        <v>3254</v>
      </c>
      <c r="C1735" t="s">
        <v>3255</v>
      </c>
      <c r="D1735" t="s">
        <v>105</v>
      </c>
      <c r="E1735">
        <v>699</v>
      </c>
      <c r="F1735" t="s">
        <v>6951</v>
      </c>
      <c r="L1735" t="s">
        <v>5922</v>
      </c>
      <c r="Z1735" t="s">
        <v>5922</v>
      </c>
    </row>
    <row r="1736" spans="1:26" x14ac:dyDescent="0.2">
      <c r="A1736" t="s">
        <v>3221</v>
      </c>
      <c r="B1736" t="s">
        <v>3256</v>
      </c>
      <c r="C1736" t="s">
        <v>3257</v>
      </c>
      <c r="D1736" t="s">
        <v>105</v>
      </c>
      <c r="E1736">
        <v>699</v>
      </c>
      <c r="F1736" t="s">
        <v>6951</v>
      </c>
      <c r="L1736" t="s">
        <v>5922</v>
      </c>
      <c r="Z1736" t="s">
        <v>5922</v>
      </c>
    </row>
    <row r="1737" spans="1:26" x14ac:dyDescent="0.2">
      <c r="A1737" t="s">
        <v>3221</v>
      </c>
      <c r="B1737" t="s">
        <v>6224</v>
      </c>
      <c r="C1737" t="s">
        <v>7486</v>
      </c>
      <c r="D1737" t="s">
        <v>105</v>
      </c>
      <c r="E1737">
        <v>33</v>
      </c>
      <c r="F1737" t="s">
        <v>7315</v>
      </c>
      <c r="L1737" t="s">
        <v>5922</v>
      </c>
      <c r="M1737">
        <v>25.43</v>
      </c>
      <c r="N1737">
        <v>26.79</v>
      </c>
      <c r="S1737">
        <v>25.1</v>
      </c>
      <c r="Z1737" t="s">
        <v>5922</v>
      </c>
    </row>
    <row r="1738" spans="1:26" x14ac:dyDescent="0.2">
      <c r="A1738" t="s">
        <v>3221</v>
      </c>
      <c r="B1738" t="s">
        <v>6225</v>
      </c>
      <c r="C1738" t="s">
        <v>7487</v>
      </c>
      <c r="D1738" t="s">
        <v>105</v>
      </c>
      <c r="E1738">
        <v>43</v>
      </c>
      <c r="F1738" t="s">
        <v>7310</v>
      </c>
      <c r="L1738" t="s">
        <v>5922</v>
      </c>
      <c r="M1738">
        <v>25.43</v>
      </c>
      <c r="N1738">
        <v>26.79</v>
      </c>
      <c r="S1738">
        <v>25.1</v>
      </c>
      <c r="Z1738" t="s">
        <v>5922</v>
      </c>
    </row>
    <row r="1739" spans="1:26" x14ac:dyDescent="0.2">
      <c r="A1739" t="s">
        <v>3221</v>
      </c>
      <c r="B1739" t="s">
        <v>6243</v>
      </c>
      <c r="C1739" t="s">
        <v>3258</v>
      </c>
      <c r="D1739" t="s">
        <v>105</v>
      </c>
      <c r="E1739">
        <v>33</v>
      </c>
      <c r="F1739" t="s">
        <v>7315</v>
      </c>
      <c r="L1739" t="s">
        <v>5922</v>
      </c>
      <c r="Z1739" t="s">
        <v>5922</v>
      </c>
    </row>
    <row r="1740" spans="1:26" x14ac:dyDescent="0.2">
      <c r="A1740" t="s">
        <v>3221</v>
      </c>
      <c r="B1740" t="s">
        <v>6229</v>
      </c>
      <c r="C1740" t="s">
        <v>7492</v>
      </c>
      <c r="D1740" t="s">
        <v>105</v>
      </c>
      <c r="E1740">
        <v>32</v>
      </c>
      <c r="F1740" t="s">
        <v>7317</v>
      </c>
      <c r="L1740" t="s">
        <v>5922</v>
      </c>
      <c r="M1740">
        <v>22.76</v>
      </c>
      <c r="N1740">
        <v>23.97</v>
      </c>
      <c r="S1740">
        <v>22.46</v>
      </c>
      <c r="Z1740" t="s">
        <v>5922</v>
      </c>
    </row>
    <row r="1741" spans="1:26" x14ac:dyDescent="0.2">
      <c r="A1741" t="s">
        <v>3221</v>
      </c>
      <c r="B1741" t="s">
        <v>6249</v>
      </c>
      <c r="C1741" t="s">
        <v>3259</v>
      </c>
      <c r="D1741" t="s">
        <v>105</v>
      </c>
      <c r="E1741">
        <v>33</v>
      </c>
      <c r="F1741" t="s">
        <v>7315</v>
      </c>
      <c r="L1741" t="s">
        <v>5922</v>
      </c>
      <c r="M1741">
        <v>22.76</v>
      </c>
      <c r="N1741">
        <v>23.97</v>
      </c>
      <c r="S1741">
        <v>22.46</v>
      </c>
      <c r="Z1741" t="s">
        <v>5922</v>
      </c>
    </row>
    <row r="1742" spans="1:26" x14ac:dyDescent="0.2">
      <c r="A1742" t="s">
        <v>3221</v>
      </c>
      <c r="B1742" t="s">
        <v>7814</v>
      </c>
      <c r="C1742" t="s">
        <v>7815</v>
      </c>
      <c r="D1742" t="s">
        <v>105</v>
      </c>
      <c r="E1742">
        <v>599</v>
      </c>
      <c r="F1742" t="s">
        <v>6941</v>
      </c>
      <c r="L1742" t="s">
        <v>5922</v>
      </c>
      <c r="M1742">
        <v>421.9</v>
      </c>
      <c r="Z1742" t="s">
        <v>5922</v>
      </c>
    </row>
    <row r="1743" spans="1:26" x14ac:dyDescent="0.2">
      <c r="A1743" t="s">
        <v>3221</v>
      </c>
      <c r="B1743" t="s">
        <v>3260</v>
      </c>
      <c r="C1743" t="s">
        <v>3261</v>
      </c>
      <c r="D1743" t="s">
        <v>105</v>
      </c>
      <c r="E1743">
        <v>1499</v>
      </c>
      <c r="F1743" t="s">
        <v>7318</v>
      </c>
      <c r="L1743" t="s">
        <v>5922</v>
      </c>
      <c r="N1743">
        <v>1298.4100000000001</v>
      </c>
      <c r="S1743">
        <v>1042.78</v>
      </c>
      <c r="Z1743" t="s">
        <v>5922</v>
      </c>
    </row>
    <row r="1744" spans="1:26" x14ac:dyDescent="0.2">
      <c r="A1744" t="s">
        <v>3221</v>
      </c>
      <c r="B1744" t="s">
        <v>6244</v>
      </c>
      <c r="C1744" t="s">
        <v>7497</v>
      </c>
      <c r="D1744" t="s">
        <v>105</v>
      </c>
      <c r="E1744">
        <v>55</v>
      </c>
      <c r="F1744" t="s">
        <v>6975</v>
      </c>
      <c r="L1744" t="s">
        <v>5922</v>
      </c>
      <c r="M1744">
        <v>31.96</v>
      </c>
      <c r="N1744">
        <v>33.659999999999997</v>
      </c>
      <c r="S1744">
        <v>31.53</v>
      </c>
      <c r="Z1744" t="s">
        <v>5922</v>
      </c>
    </row>
    <row r="1745" spans="1:26" x14ac:dyDescent="0.2">
      <c r="A1745" t="s">
        <v>3221</v>
      </c>
      <c r="B1745" t="s">
        <v>3262</v>
      </c>
      <c r="C1745" t="s">
        <v>3263</v>
      </c>
      <c r="D1745" t="s">
        <v>105</v>
      </c>
      <c r="E1745">
        <v>229</v>
      </c>
      <c r="F1745" t="s">
        <v>6947</v>
      </c>
      <c r="L1745" t="s">
        <v>5922</v>
      </c>
      <c r="Z1745" t="s">
        <v>5922</v>
      </c>
    </row>
    <row r="1746" spans="1:26" x14ac:dyDescent="0.2">
      <c r="A1746" t="s">
        <v>3221</v>
      </c>
      <c r="B1746" t="s">
        <v>3264</v>
      </c>
      <c r="C1746" t="s">
        <v>3265</v>
      </c>
      <c r="D1746" t="s">
        <v>105</v>
      </c>
      <c r="E1746">
        <v>2399</v>
      </c>
      <c r="F1746" t="s">
        <v>7100</v>
      </c>
      <c r="L1746" t="s">
        <v>5922</v>
      </c>
      <c r="M1746">
        <v>1689.73</v>
      </c>
      <c r="N1746">
        <v>1731.45</v>
      </c>
      <c r="S1746">
        <v>1668.87</v>
      </c>
      <c r="Z1746" t="s">
        <v>5922</v>
      </c>
    </row>
    <row r="1747" spans="1:26" x14ac:dyDescent="0.2">
      <c r="A1747" t="s">
        <v>3221</v>
      </c>
      <c r="B1747" t="s">
        <v>3266</v>
      </c>
      <c r="C1747" t="s">
        <v>3267</v>
      </c>
      <c r="D1747" t="s">
        <v>105</v>
      </c>
      <c r="E1747">
        <v>2099</v>
      </c>
      <c r="F1747" t="s">
        <v>7319</v>
      </c>
      <c r="L1747" t="s">
        <v>5922</v>
      </c>
      <c r="M1747">
        <v>1478.43</v>
      </c>
      <c r="N1747">
        <v>1514.93</v>
      </c>
      <c r="S1747">
        <v>1460.17</v>
      </c>
      <c r="Z1747" t="s">
        <v>5922</v>
      </c>
    </row>
    <row r="1748" spans="1:26" x14ac:dyDescent="0.2">
      <c r="A1748" t="s">
        <v>3221</v>
      </c>
      <c r="B1748" t="s">
        <v>6240</v>
      </c>
      <c r="C1748" t="s">
        <v>6241</v>
      </c>
      <c r="D1748" t="s">
        <v>105</v>
      </c>
      <c r="F1748" t="s">
        <v>5922</v>
      </c>
      <c r="L1748" t="s">
        <v>5922</v>
      </c>
      <c r="M1748">
        <v>45</v>
      </c>
      <c r="N1748">
        <v>47.4</v>
      </c>
      <c r="S1748">
        <v>44.4</v>
      </c>
      <c r="Z1748" t="s">
        <v>5922</v>
      </c>
    </row>
    <row r="1749" spans="1:26" x14ac:dyDescent="0.2">
      <c r="A1749" t="s">
        <v>3221</v>
      </c>
      <c r="B1749" t="s">
        <v>6242</v>
      </c>
      <c r="C1749" t="s">
        <v>3268</v>
      </c>
      <c r="D1749" t="s">
        <v>105</v>
      </c>
      <c r="E1749">
        <v>169</v>
      </c>
      <c r="F1749" t="s">
        <v>7320</v>
      </c>
      <c r="L1749" t="s">
        <v>5922</v>
      </c>
      <c r="M1749">
        <v>116.74</v>
      </c>
      <c r="N1749">
        <v>122.97</v>
      </c>
      <c r="S1749">
        <v>115.18</v>
      </c>
      <c r="Z1749" t="s">
        <v>5922</v>
      </c>
    </row>
    <row r="1750" spans="1:26" x14ac:dyDescent="0.2">
      <c r="A1750" t="s">
        <v>3221</v>
      </c>
      <c r="B1750" t="s">
        <v>7321</v>
      </c>
      <c r="C1750" t="s">
        <v>3269</v>
      </c>
      <c r="D1750" t="s">
        <v>105</v>
      </c>
      <c r="E1750">
        <v>43</v>
      </c>
      <c r="F1750" t="s">
        <v>7310</v>
      </c>
      <c r="L1750" t="s">
        <v>5922</v>
      </c>
      <c r="M1750">
        <v>31.96</v>
      </c>
      <c r="N1750">
        <v>33.659999999999997</v>
      </c>
      <c r="S1750">
        <v>31.53</v>
      </c>
      <c r="Z1750" t="s">
        <v>5922</v>
      </c>
    </row>
    <row r="1751" spans="1:26" x14ac:dyDescent="0.2">
      <c r="A1751" t="s">
        <v>3221</v>
      </c>
      <c r="B1751" t="s">
        <v>3230</v>
      </c>
      <c r="C1751" t="s">
        <v>7499</v>
      </c>
      <c r="D1751" t="s">
        <v>105</v>
      </c>
      <c r="E1751">
        <v>0</v>
      </c>
      <c r="F1751" t="s">
        <v>6901</v>
      </c>
      <c r="L1751" t="s">
        <v>5922</v>
      </c>
      <c r="Z1751" t="s">
        <v>5922</v>
      </c>
    </row>
    <row r="1752" spans="1:26" x14ac:dyDescent="0.2">
      <c r="A1752" t="s">
        <v>3221</v>
      </c>
      <c r="B1752" t="s">
        <v>6246</v>
      </c>
      <c r="C1752" t="s">
        <v>7499</v>
      </c>
      <c r="D1752" t="s">
        <v>105</v>
      </c>
      <c r="E1752">
        <v>55</v>
      </c>
      <c r="F1752" t="s">
        <v>6975</v>
      </c>
      <c r="L1752" t="s">
        <v>5922</v>
      </c>
      <c r="M1752">
        <v>38.479999999999997</v>
      </c>
      <c r="N1752">
        <v>40.53</v>
      </c>
      <c r="S1752">
        <v>37.97</v>
      </c>
      <c r="Z1752" t="s">
        <v>5922</v>
      </c>
    </row>
    <row r="1753" spans="1:26" x14ac:dyDescent="0.2">
      <c r="A1753" t="s">
        <v>3221</v>
      </c>
      <c r="B1753" t="s">
        <v>7475</v>
      </c>
      <c r="C1753" t="s">
        <v>7476</v>
      </c>
      <c r="D1753" t="s">
        <v>105</v>
      </c>
      <c r="E1753">
        <v>2499</v>
      </c>
      <c r="F1753" t="s">
        <v>7117</v>
      </c>
      <c r="L1753" t="s">
        <v>5922</v>
      </c>
      <c r="M1753">
        <v>1760.17</v>
      </c>
      <c r="Z1753" t="s">
        <v>5922</v>
      </c>
    </row>
    <row r="1754" spans="1:26" x14ac:dyDescent="0.2">
      <c r="A1754" t="s">
        <v>3221</v>
      </c>
      <c r="B1754" t="s">
        <v>7322</v>
      </c>
      <c r="C1754" t="s">
        <v>7323</v>
      </c>
      <c r="D1754" t="s">
        <v>105</v>
      </c>
      <c r="E1754">
        <v>1999</v>
      </c>
      <c r="F1754" t="s">
        <v>5922</v>
      </c>
      <c r="L1754" t="s">
        <v>5922</v>
      </c>
      <c r="N1754">
        <v>1442.76</v>
      </c>
      <c r="Z1754" t="s">
        <v>5922</v>
      </c>
    </row>
    <row r="1755" spans="1:26" x14ac:dyDescent="0.2">
      <c r="A1755" t="s">
        <v>3221</v>
      </c>
      <c r="B1755" t="s">
        <v>3270</v>
      </c>
      <c r="C1755" t="s">
        <v>3271</v>
      </c>
      <c r="D1755" t="s">
        <v>105</v>
      </c>
      <c r="E1755">
        <v>349</v>
      </c>
      <c r="F1755" t="s">
        <v>7112</v>
      </c>
      <c r="L1755" t="s">
        <v>5922</v>
      </c>
      <c r="Z1755" t="s">
        <v>5922</v>
      </c>
    </row>
    <row r="1756" spans="1:26" x14ac:dyDescent="0.2">
      <c r="A1756" t="s">
        <v>3221</v>
      </c>
      <c r="B1756" t="s">
        <v>3272</v>
      </c>
      <c r="C1756" t="s">
        <v>3273</v>
      </c>
      <c r="D1756" t="s">
        <v>105</v>
      </c>
      <c r="E1756">
        <v>349</v>
      </c>
      <c r="F1756" t="s">
        <v>7112</v>
      </c>
      <c r="L1756" t="s">
        <v>5922</v>
      </c>
      <c r="Z1756" t="s">
        <v>5922</v>
      </c>
    </row>
    <row r="1757" spans="1:26" x14ac:dyDescent="0.2">
      <c r="A1757" t="s">
        <v>3221</v>
      </c>
      <c r="B1757" t="s">
        <v>3274</v>
      </c>
      <c r="C1757" t="s">
        <v>3275</v>
      </c>
      <c r="D1757" t="s">
        <v>105</v>
      </c>
      <c r="E1757">
        <v>449</v>
      </c>
      <c r="F1757" t="s">
        <v>7309</v>
      </c>
      <c r="L1757" t="s">
        <v>5922</v>
      </c>
      <c r="Z1757" t="s">
        <v>5922</v>
      </c>
    </row>
    <row r="1758" spans="1:26" x14ac:dyDescent="0.2">
      <c r="A1758" t="s">
        <v>3221</v>
      </c>
      <c r="B1758" t="s">
        <v>6226</v>
      </c>
      <c r="C1758" t="s">
        <v>7489</v>
      </c>
      <c r="D1758" t="s">
        <v>105</v>
      </c>
      <c r="E1758">
        <v>33</v>
      </c>
      <c r="F1758" t="s">
        <v>7315</v>
      </c>
      <c r="L1758" t="s">
        <v>5922</v>
      </c>
      <c r="M1758">
        <v>25.43</v>
      </c>
      <c r="N1758">
        <v>26.79</v>
      </c>
      <c r="S1758">
        <v>25.1</v>
      </c>
      <c r="Z1758" t="s">
        <v>5922</v>
      </c>
    </row>
    <row r="1759" spans="1:26" x14ac:dyDescent="0.2">
      <c r="A1759" t="s">
        <v>3221</v>
      </c>
      <c r="B1759" t="s">
        <v>6232</v>
      </c>
      <c r="C1759" t="s">
        <v>3276</v>
      </c>
      <c r="D1759" t="s">
        <v>105</v>
      </c>
      <c r="E1759">
        <v>43</v>
      </c>
      <c r="F1759" t="s">
        <v>7310</v>
      </c>
      <c r="L1759" t="s">
        <v>5922</v>
      </c>
      <c r="Z1759" t="s">
        <v>5922</v>
      </c>
    </row>
    <row r="1760" spans="1:26" x14ac:dyDescent="0.2">
      <c r="A1760" t="s">
        <v>3221</v>
      </c>
      <c r="B1760" t="s">
        <v>7816</v>
      </c>
      <c r="C1760" t="s">
        <v>7817</v>
      </c>
      <c r="D1760" t="s">
        <v>105</v>
      </c>
      <c r="E1760">
        <v>1199</v>
      </c>
      <c r="F1760" t="s">
        <v>6953</v>
      </c>
      <c r="L1760" t="s">
        <v>5922</v>
      </c>
      <c r="M1760">
        <v>844.51</v>
      </c>
      <c r="Z1760" t="s">
        <v>5922</v>
      </c>
    </row>
    <row r="1761" spans="1:26" x14ac:dyDescent="0.2">
      <c r="A1761" t="s">
        <v>3221</v>
      </c>
      <c r="B1761" t="s">
        <v>3277</v>
      </c>
      <c r="C1761" t="s">
        <v>3278</v>
      </c>
      <c r="D1761" t="s">
        <v>105</v>
      </c>
      <c r="E1761">
        <v>2799</v>
      </c>
      <c r="F1761" t="s">
        <v>7122</v>
      </c>
      <c r="L1761" t="s">
        <v>5922</v>
      </c>
      <c r="Z1761" t="s">
        <v>5922</v>
      </c>
    </row>
    <row r="1762" spans="1:26" x14ac:dyDescent="0.2">
      <c r="A1762" t="s">
        <v>3221</v>
      </c>
      <c r="B1762" t="s">
        <v>3279</v>
      </c>
      <c r="C1762" t="s">
        <v>3280</v>
      </c>
      <c r="D1762" t="s">
        <v>105</v>
      </c>
      <c r="E1762">
        <v>109</v>
      </c>
      <c r="F1762" t="s">
        <v>7306</v>
      </c>
      <c r="L1762" t="s">
        <v>5922</v>
      </c>
      <c r="Z1762" t="s">
        <v>5922</v>
      </c>
    </row>
    <row r="1763" spans="1:26" x14ac:dyDescent="0.2">
      <c r="A1763" t="s">
        <v>3221</v>
      </c>
      <c r="B1763" t="s">
        <v>3281</v>
      </c>
      <c r="C1763" t="s">
        <v>3282</v>
      </c>
      <c r="D1763" t="s">
        <v>105</v>
      </c>
      <c r="E1763">
        <v>199</v>
      </c>
      <c r="F1763" t="s">
        <v>6954</v>
      </c>
      <c r="L1763" t="s">
        <v>5922</v>
      </c>
      <c r="Z1763" t="s">
        <v>5922</v>
      </c>
    </row>
    <row r="1764" spans="1:26" x14ac:dyDescent="0.2">
      <c r="A1764" t="s">
        <v>3221</v>
      </c>
      <c r="B1764" t="s">
        <v>6252</v>
      </c>
      <c r="C1764" t="s">
        <v>6253</v>
      </c>
      <c r="D1764" t="s">
        <v>105</v>
      </c>
      <c r="F1764" t="s">
        <v>5922</v>
      </c>
      <c r="L1764" t="s">
        <v>5922</v>
      </c>
      <c r="M1764">
        <v>38.479999999999997</v>
      </c>
      <c r="N1764">
        <v>40.53</v>
      </c>
      <c r="S1764">
        <v>37.97</v>
      </c>
      <c r="Z1764" t="s">
        <v>5922</v>
      </c>
    </row>
    <row r="1765" spans="1:26" x14ac:dyDescent="0.2">
      <c r="A1765" t="s">
        <v>3221</v>
      </c>
      <c r="B1765" t="s">
        <v>3283</v>
      </c>
      <c r="C1765" t="s">
        <v>3284</v>
      </c>
      <c r="D1765" t="s">
        <v>105</v>
      </c>
      <c r="E1765">
        <v>1299</v>
      </c>
      <c r="F1765" t="s">
        <v>7049</v>
      </c>
      <c r="L1765" t="s">
        <v>5922</v>
      </c>
      <c r="Z1765" t="s">
        <v>5922</v>
      </c>
    </row>
    <row r="1766" spans="1:26" x14ac:dyDescent="0.2">
      <c r="A1766" t="s">
        <v>3221</v>
      </c>
      <c r="B1766" t="s">
        <v>3285</v>
      </c>
      <c r="C1766" t="s">
        <v>3286</v>
      </c>
      <c r="D1766" t="s">
        <v>105</v>
      </c>
      <c r="E1766">
        <v>1999</v>
      </c>
      <c r="F1766" t="s">
        <v>7095</v>
      </c>
      <c r="L1766" t="s">
        <v>5922</v>
      </c>
      <c r="Z1766" t="s">
        <v>5922</v>
      </c>
    </row>
    <row r="1767" spans="1:26" x14ac:dyDescent="0.2">
      <c r="A1767" t="s">
        <v>3221</v>
      </c>
      <c r="B1767" t="s">
        <v>3287</v>
      </c>
      <c r="C1767" t="s">
        <v>3288</v>
      </c>
      <c r="D1767" t="s">
        <v>105</v>
      </c>
      <c r="E1767">
        <v>2999</v>
      </c>
      <c r="F1767" t="s">
        <v>7324</v>
      </c>
      <c r="L1767" t="s">
        <v>5922</v>
      </c>
      <c r="M1767">
        <v>2112.34</v>
      </c>
      <c r="N1767">
        <v>2164.5</v>
      </c>
      <c r="S1767">
        <v>2086.2600000000002</v>
      </c>
      <c r="Z1767" t="s">
        <v>5922</v>
      </c>
    </row>
    <row r="1768" spans="1:26" x14ac:dyDescent="0.2">
      <c r="A1768" t="s">
        <v>3221</v>
      </c>
      <c r="B1768" t="s">
        <v>3289</v>
      </c>
      <c r="C1768" t="s">
        <v>3290</v>
      </c>
      <c r="D1768" t="s">
        <v>105</v>
      </c>
      <c r="E1768">
        <v>2999</v>
      </c>
      <c r="F1768" t="s">
        <v>7324</v>
      </c>
      <c r="L1768" t="s">
        <v>5922</v>
      </c>
      <c r="Z1768" t="s">
        <v>5922</v>
      </c>
    </row>
    <row r="1769" spans="1:26" x14ac:dyDescent="0.2">
      <c r="A1769" t="s">
        <v>3291</v>
      </c>
      <c r="B1769" t="s">
        <v>3300</v>
      </c>
      <c r="C1769" t="s">
        <v>6051</v>
      </c>
      <c r="D1769" t="s">
        <v>98</v>
      </c>
      <c r="E1769">
        <v>69.989999999999995</v>
      </c>
      <c r="F1769" t="s">
        <v>5922</v>
      </c>
      <c r="G1769">
        <v>69.989999999999995</v>
      </c>
      <c r="H1769">
        <v>36.520000000000003</v>
      </c>
      <c r="I1769">
        <v>45.65</v>
      </c>
      <c r="J1769">
        <v>54.77</v>
      </c>
      <c r="L1769" t="s">
        <v>5922</v>
      </c>
      <c r="M1769">
        <v>42.6</v>
      </c>
      <c r="N1769">
        <v>42.6</v>
      </c>
      <c r="O1769">
        <v>48.69</v>
      </c>
      <c r="P1769">
        <v>36.520000000000003</v>
      </c>
      <c r="Q1769">
        <v>33.47</v>
      </c>
      <c r="R1769">
        <v>33.47</v>
      </c>
      <c r="S1769">
        <v>36.520000000000003</v>
      </c>
      <c r="T1769">
        <v>60.86</v>
      </c>
      <c r="U1769">
        <v>45.65</v>
      </c>
      <c r="V1769">
        <v>45.65</v>
      </c>
      <c r="W1769">
        <v>49.91</v>
      </c>
      <c r="X1769">
        <v>45.65</v>
      </c>
      <c r="Y1769">
        <v>69.989999999999995</v>
      </c>
      <c r="Z1769" t="s">
        <v>5922</v>
      </c>
    </row>
    <row r="1770" spans="1:26" x14ac:dyDescent="0.2">
      <c r="A1770" t="s">
        <v>3291</v>
      </c>
      <c r="B1770" t="s">
        <v>3301</v>
      </c>
      <c r="C1770" t="s">
        <v>6052</v>
      </c>
      <c r="D1770" t="s">
        <v>98</v>
      </c>
      <c r="E1770">
        <v>69.989999999999995</v>
      </c>
      <c r="F1770" t="s">
        <v>5922</v>
      </c>
      <c r="G1770">
        <v>69.989999999999995</v>
      </c>
      <c r="H1770">
        <v>36.520000000000003</v>
      </c>
      <c r="I1770">
        <v>45.65</v>
      </c>
      <c r="J1770">
        <v>54.77</v>
      </c>
      <c r="L1770" t="s">
        <v>5922</v>
      </c>
      <c r="M1770">
        <v>42.6</v>
      </c>
      <c r="N1770">
        <v>42.6</v>
      </c>
      <c r="O1770">
        <v>48.69</v>
      </c>
      <c r="P1770">
        <v>36.520000000000003</v>
      </c>
      <c r="Q1770">
        <v>33.47</v>
      </c>
      <c r="R1770">
        <v>33.47</v>
      </c>
      <c r="S1770">
        <v>36.520000000000003</v>
      </c>
      <c r="T1770">
        <v>60.86</v>
      </c>
      <c r="U1770">
        <v>45.65</v>
      </c>
      <c r="V1770">
        <v>45.65</v>
      </c>
      <c r="W1770">
        <v>49.91</v>
      </c>
      <c r="X1770">
        <v>45.65</v>
      </c>
      <c r="Y1770">
        <v>69.989999999999995</v>
      </c>
      <c r="Z1770" t="s">
        <v>5922</v>
      </c>
    </row>
    <row r="1771" spans="1:26" x14ac:dyDescent="0.2">
      <c r="A1771" t="s">
        <v>3291</v>
      </c>
      <c r="B1771" t="s">
        <v>3302</v>
      </c>
      <c r="C1771" t="s">
        <v>6053</v>
      </c>
      <c r="D1771" t="s">
        <v>98</v>
      </c>
      <c r="E1771">
        <v>69.989999999999995</v>
      </c>
      <c r="F1771" t="s">
        <v>5922</v>
      </c>
      <c r="G1771">
        <v>69.989999999999995</v>
      </c>
      <c r="H1771">
        <v>36.520000000000003</v>
      </c>
      <c r="I1771">
        <v>45.65</v>
      </c>
      <c r="J1771">
        <v>54.77</v>
      </c>
      <c r="L1771" t="s">
        <v>5922</v>
      </c>
      <c r="M1771">
        <v>42.6</v>
      </c>
      <c r="N1771">
        <v>42.6</v>
      </c>
      <c r="O1771">
        <v>48.69</v>
      </c>
      <c r="P1771">
        <v>36.520000000000003</v>
      </c>
      <c r="Q1771">
        <v>33.47</v>
      </c>
      <c r="R1771">
        <v>33.47</v>
      </c>
      <c r="S1771">
        <v>36.520000000000003</v>
      </c>
      <c r="T1771">
        <v>60.86</v>
      </c>
      <c r="U1771">
        <v>45.65</v>
      </c>
      <c r="V1771">
        <v>45.65</v>
      </c>
      <c r="W1771">
        <v>49.91</v>
      </c>
      <c r="X1771">
        <v>45.65</v>
      </c>
      <c r="Y1771">
        <v>69.989999999999995</v>
      </c>
      <c r="Z1771" t="s">
        <v>5922</v>
      </c>
    </row>
    <row r="1772" spans="1:26" x14ac:dyDescent="0.2">
      <c r="A1772" t="s">
        <v>3291</v>
      </c>
      <c r="B1772" t="s">
        <v>3303</v>
      </c>
      <c r="C1772" t="s">
        <v>6054</v>
      </c>
      <c r="D1772" t="s">
        <v>98</v>
      </c>
      <c r="E1772">
        <v>69.989999999999995</v>
      </c>
      <c r="F1772" t="s">
        <v>5922</v>
      </c>
      <c r="G1772">
        <v>69.989999999999995</v>
      </c>
      <c r="H1772">
        <v>36.520000000000003</v>
      </c>
      <c r="I1772">
        <v>45.65</v>
      </c>
      <c r="J1772">
        <v>54.77</v>
      </c>
      <c r="L1772" t="s">
        <v>5922</v>
      </c>
      <c r="M1772">
        <v>42.6</v>
      </c>
      <c r="N1772">
        <v>42.6</v>
      </c>
      <c r="O1772">
        <v>48.69</v>
      </c>
      <c r="P1772">
        <v>36.520000000000003</v>
      </c>
      <c r="Q1772">
        <v>33.47</v>
      </c>
      <c r="R1772">
        <v>33.47</v>
      </c>
      <c r="S1772">
        <v>36.520000000000003</v>
      </c>
      <c r="T1772">
        <v>60.86</v>
      </c>
      <c r="U1772">
        <v>45.65</v>
      </c>
      <c r="V1772">
        <v>45.65</v>
      </c>
      <c r="W1772">
        <v>49.91</v>
      </c>
      <c r="X1772">
        <v>45.65</v>
      </c>
      <c r="Y1772">
        <v>69.989999999999995</v>
      </c>
      <c r="Z1772" t="s">
        <v>5922</v>
      </c>
    </row>
    <row r="1773" spans="1:26" x14ac:dyDescent="0.2">
      <c r="A1773" t="s">
        <v>3291</v>
      </c>
      <c r="B1773" t="s">
        <v>3306</v>
      </c>
      <c r="C1773" t="s">
        <v>6055</v>
      </c>
      <c r="D1773" t="s">
        <v>98</v>
      </c>
      <c r="E1773">
        <v>69.989999999999995</v>
      </c>
      <c r="F1773" t="s">
        <v>5922</v>
      </c>
      <c r="G1773">
        <v>69.989999999999995</v>
      </c>
      <c r="H1773">
        <v>36.520000000000003</v>
      </c>
      <c r="I1773">
        <v>45.65</v>
      </c>
      <c r="J1773">
        <v>54.77</v>
      </c>
      <c r="L1773" t="s">
        <v>5922</v>
      </c>
      <c r="M1773">
        <v>42.6</v>
      </c>
      <c r="N1773">
        <v>42.6</v>
      </c>
      <c r="O1773">
        <v>48.69</v>
      </c>
      <c r="P1773">
        <v>36.520000000000003</v>
      </c>
      <c r="Q1773">
        <v>33.47</v>
      </c>
      <c r="R1773">
        <v>33.47</v>
      </c>
      <c r="S1773">
        <v>36.520000000000003</v>
      </c>
      <c r="T1773">
        <v>60.86</v>
      </c>
      <c r="U1773">
        <v>45.65</v>
      </c>
      <c r="V1773">
        <v>45.65</v>
      </c>
      <c r="W1773">
        <v>49.91</v>
      </c>
      <c r="X1773">
        <v>45.65</v>
      </c>
      <c r="Y1773">
        <v>69.989999999999995</v>
      </c>
      <c r="Z1773" t="s">
        <v>5922</v>
      </c>
    </row>
    <row r="1774" spans="1:26" x14ac:dyDescent="0.2">
      <c r="A1774" t="s">
        <v>3291</v>
      </c>
      <c r="B1774" t="s">
        <v>3341</v>
      </c>
      <c r="C1774" t="s">
        <v>3342</v>
      </c>
      <c r="D1774" t="s">
        <v>98</v>
      </c>
      <c r="E1774">
        <v>59.99</v>
      </c>
      <c r="F1774" t="s">
        <v>5922</v>
      </c>
      <c r="H1774">
        <v>31.3</v>
      </c>
      <c r="I1774">
        <v>52.17</v>
      </c>
      <c r="J1774">
        <v>44.34</v>
      </c>
      <c r="K1774">
        <v>44.34</v>
      </c>
      <c r="L1774" t="s">
        <v>5922</v>
      </c>
      <c r="M1774">
        <v>32.340000000000003</v>
      </c>
      <c r="N1774">
        <v>33.39</v>
      </c>
      <c r="O1774">
        <v>31.3</v>
      </c>
      <c r="P1774">
        <v>27.65</v>
      </c>
      <c r="Q1774">
        <v>26.08</v>
      </c>
      <c r="R1774">
        <v>26.08</v>
      </c>
      <c r="S1774">
        <v>32.340000000000003</v>
      </c>
      <c r="T1774">
        <v>31.3</v>
      </c>
      <c r="U1774">
        <v>36.520000000000003</v>
      </c>
      <c r="V1774">
        <v>36.520000000000003</v>
      </c>
      <c r="W1774">
        <v>36.520000000000003</v>
      </c>
      <c r="X1774">
        <v>36.520000000000003</v>
      </c>
      <c r="Y1774">
        <v>59.99</v>
      </c>
      <c r="Z1774" t="s">
        <v>5922</v>
      </c>
    </row>
    <row r="1775" spans="1:26" x14ac:dyDescent="0.2">
      <c r="A1775" t="s">
        <v>3349</v>
      </c>
      <c r="B1775" t="s">
        <v>3350</v>
      </c>
      <c r="C1775" t="s">
        <v>3351</v>
      </c>
      <c r="D1775" t="s">
        <v>105</v>
      </c>
      <c r="E1775">
        <v>79.989999999999995</v>
      </c>
      <c r="F1775" t="s">
        <v>6934</v>
      </c>
      <c r="H1775">
        <v>52.17</v>
      </c>
      <c r="I1775">
        <v>55.65</v>
      </c>
      <c r="L1775" t="s">
        <v>5922</v>
      </c>
      <c r="M1775">
        <v>60.51</v>
      </c>
      <c r="N1775">
        <v>62.6</v>
      </c>
      <c r="P1775">
        <v>51.47</v>
      </c>
      <c r="S1775">
        <v>60.51</v>
      </c>
      <c r="U1775">
        <v>52.17</v>
      </c>
      <c r="Z1775" t="s">
        <v>5922</v>
      </c>
    </row>
    <row r="1776" spans="1:26" x14ac:dyDescent="0.2">
      <c r="A1776" t="s">
        <v>3349</v>
      </c>
      <c r="B1776" t="s">
        <v>3352</v>
      </c>
      <c r="C1776" t="s">
        <v>3353</v>
      </c>
      <c r="D1776" t="s">
        <v>138</v>
      </c>
      <c r="E1776">
        <v>179.99</v>
      </c>
      <c r="F1776" t="s">
        <v>7024</v>
      </c>
      <c r="G1776">
        <v>179.99</v>
      </c>
      <c r="H1776">
        <v>117.38</v>
      </c>
      <c r="L1776" t="s">
        <v>5922</v>
      </c>
      <c r="M1776">
        <v>136.16999999999999</v>
      </c>
      <c r="N1776">
        <v>140.86000000000001</v>
      </c>
      <c r="P1776">
        <v>115.82</v>
      </c>
      <c r="S1776">
        <v>136.16999999999999</v>
      </c>
      <c r="U1776">
        <v>117.38</v>
      </c>
      <c r="V1776">
        <v>109.56</v>
      </c>
      <c r="W1776">
        <v>140.86000000000001</v>
      </c>
      <c r="X1776">
        <v>125.21</v>
      </c>
      <c r="Y1776">
        <v>179.99</v>
      </c>
      <c r="Z1776" t="s">
        <v>5922</v>
      </c>
    </row>
    <row r="1777" spans="1:26" x14ac:dyDescent="0.2">
      <c r="A1777" t="s">
        <v>3349</v>
      </c>
      <c r="B1777" t="s">
        <v>3354</v>
      </c>
      <c r="C1777" t="s">
        <v>3355</v>
      </c>
      <c r="D1777" t="s">
        <v>105</v>
      </c>
      <c r="E1777">
        <v>239.99</v>
      </c>
      <c r="F1777" t="s">
        <v>7279</v>
      </c>
      <c r="G1777">
        <v>239.99</v>
      </c>
      <c r="H1777">
        <v>156.52000000000001</v>
      </c>
      <c r="I1777">
        <v>166.95</v>
      </c>
      <c r="L1777" t="s">
        <v>5922</v>
      </c>
      <c r="M1777">
        <v>181.56</v>
      </c>
      <c r="N1777">
        <v>187.82</v>
      </c>
      <c r="P1777">
        <v>154.428</v>
      </c>
      <c r="S1777">
        <v>181.56</v>
      </c>
      <c r="U1777">
        <v>156.52000000000001</v>
      </c>
      <c r="V1777">
        <v>146.08000000000001</v>
      </c>
      <c r="W1777">
        <v>187.82</v>
      </c>
      <c r="X1777">
        <v>166.95</v>
      </c>
      <c r="Y1777">
        <v>239.99</v>
      </c>
      <c r="Z1777" t="s">
        <v>5922</v>
      </c>
    </row>
    <row r="1778" spans="1:26" x14ac:dyDescent="0.2">
      <c r="A1778" t="s">
        <v>3349</v>
      </c>
      <c r="B1778" t="s">
        <v>3356</v>
      </c>
      <c r="C1778" t="s">
        <v>3357</v>
      </c>
      <c r="D1778" t="s">
        <v>105</v>
      </c>
      <c r="E1778">
        <v>199.99</v>
      </c>
      <c r="F1778" t="s">
        <v>7024</v>
      </c>
      <c r="G1778">
        <v>199.99</v>
      </c>
      <c r="H1778">
        <v>117.38</v>
      </c>
      <c r="I1778">
        <v>125.21</v>
      </c>
      <c r="L1778" t="s">
        <v>5922</v>
      </c>
      <c r="M1778">
        <v>136.16999999999999</v>
      </c>
      <c r="N1778">
        <v>140.86000000000001</v>
      </c>
      <c r="P1778">
        <v>115.82</v>
      </c>
      <c r="S1778">
        <v>136.16999999999999</v>
      </c>
      <c r="U1778">
        <v>117.38</v>
      </c>
      <c r="V1778">
        <v>109.56</v>
      </c>
      <c r="W1778">
        <v>140.86000000000001</v>
      </c>
      <c r="X1778">
        <v>125.21</v>
      </c>
      <c r="Y1778">
        <v>179.99</v>
      </c>
      <c r="Z1778" t="s">
        <v>5922</v>
      </c>
    </row>
    <row r="1779" spans="1:26" x14ac:dyDescent="0.2">
      <c r="A1779" t="s">
        <v>3349</v>
      </c>
      <c r="B1779" t="s">
        <v>7325</v>
      </c>
      <c r="C1779" t="s">
        <v>7326</v>
      </c>
      <c r="D1779" t="s">
        <v>105</v>
      </c>
      <c r="E1779">
        <v>179.99</v>
      </c>
      <c r="F1779" t="s">
        <v>7024</v>
      </c>
      <c r="I1779">
        <v>133.03</v>
      </c>
      <c r="L1779" t="s">
        <v>5922</v>
      </c>
      <c r="M1779">
        <v>125.21</v>
      </c>
      <c r="N1779">
        <v>140.86000000000001</v>
      </c>
      <c r="P1779">
        <v>115.82</v>
      </c>
      <c r="S1779">
        <v>125.21</v>
      </c>
      <c r="Z1779" t="s">
        <v>5922</v>
      </c>
    </row>
    <row r="1780" spans="1:26" x14ac:dyDescent="0.2">
      <c r="A1780" t="s">
        <v>3349</v>
      </c>
      <c r="B1780" t="s">
        <v>3358</v>
      </c>
      <c r="C1780" t="s">
        <v>3359</v>
      </c>
      <c r="D1780" t="s">
        <v>98</v>
      </c>
      <c r="E1780">
        <v>309.99</v>
      </c>
      <c r="F1780" t="s">
        <v>7327</v>
      </c>
      <c r="H1780">
        <v>202.17</v>
      </c>
      <c r="L1780" t="s">
        <v>5922</v>
      </c>
      <c r="M1780">
        <v>234.51</v>
      </c>
      <c r="N1780">
        <v>242.6</v>
      </c>
      <c r="P1780">
        <v>199.47</v>
      </c>
      <c r="Q1780">
        <v>242.6</v>
      </c>
      <c r="S1780">
        <v>239.91</v>
      </c>
      <c r="U1780">
        <v>221.73</v>
      </c>
      <c r="Y1780">
        <v>309.99</v>
      </c>
      <c r="Z1780" t="s">
        <v>5922</v>
      </c>
    </row>
    <row r="1781" spans="1:26" x14ac:dyDescent="0.2">
      <c r="A1781" t="s">
        <v>3349</v>
      </c>
      <c r="B1781" t="s">
        <v>3360</v>
      </c>
      <c r="C1781" t="s">
        <v>3361</v>
      </c>
      <c r="D1781" t="s">
        <v>138</v>
      </c>
      <c r="E1781">
        <v>409.99</v>
      </c>
      <c r="F1781" t="s">
        <v>7328</v>
      </c>
      <c r="H1781">
        <v>267.38</v>
      </c>
      <c r="I1781">
        <v>285.20999999999998</v>
      </c>
      <c r="L1781" t="s">
        <v>5922</v>
      </c>
      <c r="M1781">
        <v>310.17</v>
      </c>
      <c r="N1781">
        <v>320.86</v>
      </c>
      <c r="P1781">
        <v>263.82</v>
      </c>
      <c r="Q1781">
        <v>320.86</v>
      </c>
      <c r="S1781">
        <v>317.3</v>
      </c>
      <c r="U1781">
        <v>313.04000000000002</v>
      </c>
      <c r="Y1781">
        <v>409.99</v>
      </c>
      <c r="Z1781" t="s">
        <v>5922</v>
      </c>
    </row>
    <row r="1782" spans="1:26" x14ac:dyDescent="0.2">
      <c r="A1782" t="s">
        <v>3349</v>
      </c>
      <c r="B1782" t="s">
        <v>3362</v>
      </c>
      <c r="C1782" t="s">
        <v>3363</v>
      </c>
      <c r="D1782" t="s">
        <v>98</v>
      </c>
      <c r="E1782">
        <v>79.989999999999995</v>
      </c>
      <c r="F1782" t="s">
        <v>6934</v>
      </c>
      <c r="H1782">
        <v>52.17</v>
      </c>
      <c r="L1782" t="s">
        <v>5922</v>
      </c>
      <c r="M1782">
        <v>60.51</v>
      </c>
      <c r="N1782">
        <v>62.6</v>
      </c>
      <c r="P1782">
        <v>51.47</v>
      </c>
      <c r="Q1782">
        <v>62.6</v>
      </c>
      <c r="S1782">
        <v>61.91</v>
      </c>
      <c r="U1782">
        <v>66.510000000000005</v>
      </c>
      <c r="Y1782">
        <v>79.989999999999995</v>
      </c>
      <c r="Z1782" t="s">
        <v>5922</v>
      </c>
    </row>
    <row r="1783" spans="1:26" x14ac:dyDescent="0.2">
      <c r="A1783" t="s">
        <v>3349</v>
      </c>
      <c r="B1783" t="s">
        <v>3364</v>
      </c>
      <c r="C1783" t="s">
        <v>3365</v>
      </c>
      <c r="D1783" t="s">
        <v>138</v>
      </c>
      <c r="E1783">
        <v>59.99</v>
      </c>
      <c r="F1783" t="s">
        <v>6889</v>
      </c>
      <c r="H1783">
        <v>39.119999999999997</v>
      </c>
      <c r="I1783">
        <v>41.74</v>
      </c>
      <c r="L1783" t="s">
        <v>5922</v>
      </c>
      <c r="M1783">
        <v>45.38</v>
      </c>
      <c r="N1783">
        <v>46.95</v>
      </c>
      <c r="P1783">
        <v>38.6</v>
      </c>
      <c r="Q1783">
        <v>46.95</v>
      </c>
      <c r="S1783">
        <v>46.43</v>
      </c>
      <c r="U1783">
        <v>44.34</v>
      </c>
      <c r="Y1783">
        <v>59.99</v>
      </c>
      <c r="Z1783" t="s">
        <v>5922</v>
      </c>
    </row>
    <row r="1784" spans="1:26" x14ac:dyDescent="0.2">
      <c r="A1784" t="s">
        <v>3349</v>
      </c>
      <c r="B1784" t="s">
        <v>3366</v>
      </c>
      <c r="C1784" t="s">
        <v>3367</v>
      </c>
      <c r="D1784" t="s">
        <v>138</v>
      </c>
      <c r="E1784">
        <v>79.989999999999995</v>
      </c>
      <c r="F1784" t="s">
        <v>6934</v>
      </c>
      <c r="H1784">
        <v>52.17</v>
      </c>
      <c r="I1784">
        <v>55.65</v>
      </c>
      <c r="L1784" t="s">
        <v>5922</v>
      </c>
      <c r="M1784">
        <v>60.51</v>
      </c>
      <c r="N1784">
        <v>62.6</v>
      </c>
      <c r="P1784">
        <v>51.47</v>
      </c>
      <c r="Q1784">
        <v>62.6</v>
      </c>
      <c r="S1784">
        <v>61.91</v>
      </c>
      <c r="U1784">
        <v>73.91</v>
      </c>
      <c r="Y1784">
        <v>79.989999999999995</v>
      </c>
      <c r="Z1784" t="s">
        <v>5922</v>
      </c>
    </row>
    <row r="1785" spans="1:26" x14ac:dyDescent="0.2">
      <c r="A1785" t="s">
        <v>3349</v>
      </c>
      <c r="B1785" t="s">
        <v>3368</v>
      </c>
      <c r="C1785" t="s">
        <v>3369</v>
      </c>
      <c r="D1785" t="s">
        <v>138</v>
      </c>
      <c r="E1785">
        <v>99.99</v>
      </c>
      <c r="F1785" t="s">
        <v>6903</v>
      </c>
      <c r="H1785">
        <v>65.209999999999994</v>
      </c>
      <c r="L1785" t="s">
        <v>5922</v>
      </c>
      <c r="M1785">
        <v>75.64</v>
      </c>
      <c r="N1785">
        <v>78.25</v>
      </c>
      <c r="P1785">
        <v>64.34</v>
      </c>
      <c r="Q1785">
        <v>78.25</v>
      </c>
      <c r="S1785">
        <v>77.38</v>
      </c>
      <c r="U1785">
        <v>73.91</v>
      </c>
      <c r="Y1785">
        <v>99.99</v>
      </c>
      <c r="Z1785" t="s">
        <v>5922</v>
      </c>
    </row>
    <row r="1786" spans="1:26" x14ac:dyDescent="0.2">
      <c r="A1786" t="s">
        <v>3349</v>
      </c>
      <c r="B1786" t="s">
        <v>3370</v>
      </c>
      <c r="C1786" t="s">
        <v>3371</v>
      </c>
      <c r="D1786" t="s">
        <v>138</v>
      </c>
      <c r="E1786">
        <v>339.99</v>
      </c>
      <c r="F1786" t="s">
        <v>7329</v>
      </c>
      <c r="H1786">
        <v>221.73</v>
      </c>
      <c r="I1786">
        <v>236.51</v>
      </c>
      <c r="L1786" t="s">
        <v>5922</v>
      </c>
      <c r="M1786">
        <v>257.20999999999998</v>
      </c>
      <c r="N1786">
        <v>266.08</v>
      </c>
      <c r="P1786">
        <v>218.78</v>
      </c>
      <c r="Q1786">
        <v>266.08</v>
      </c>
      <c r="S1786">
        <v>263.12</v>
      </c>
      <c r="U1786">
        <v>254.34</v>
      </c>
      <c r="Y1786">
        <v>339.99</v>
      </c>
      <c r="Z1786" t="s">
        <v>5922</v>
      </c>
    </row>
    <row r="1787" spans="1:26" x14ac:dyDescent="0.2">
      <c r="A1787" t="s">
        <v>3349</v>
      </c>
      <c r="B1787" t="s">
        <v>3372</v>
      </c>
      <c r="C1787" t="s">
        <v>3373</v>
      </c>
      <c r="D1787" t="s">
        <v>98</v>
      </c>
      <c r="E1787">
        <v>99.99</v>
      </c>
      <c r="F1787" t="s">
        <v>6903</v>
      </c>
      <c r="H1787">
        <v>65.209999999999994</v>
      </c>
      <c r="L1787" t="s">
        <v>5922</v>
      </c>
      <c r="M1787">
        <v>75.64</v>
      </c>
      <c r="N1787">
        <v>78.25</v>
      </c>
      <c r="P1787">
        <v>64.34</v>
      </c>
      <c r="Q1787">
        <v>78.25</v>
      </c>
      <c r="S1787">
        <v>77.38</v>
      </c>
      <c r="U1787">
        <v>73.91</v>
      </c>
      <c r="Y1787">
        <v>99.99</v>
      </c>
      <c r="Z1787" t="s">
        <v>5922</v>
      </c>
    </row>
    <row r="1788" spans="1:26" x14ac:dyDescent="0.2">
      <c r="A1788" t="s">
        <v>3349</v>
      </c>
      <c r="B1788" t="s">
        <v>3374</v>
      </c>
      <c r="C1788" t="s">
        <v>3375</v>
      </c>
      <c r="D1788" t="s">
        <v>138</v>
      </c>
      <c r="E1788">
        <v>219.99</v>
      </c>
      <c r="F1788" t="s">
        <v>7051</v>
      </c>
      <c r="H1788">
        <v>143.47</v>
      </c>
      <c r="I1788">
        <v>153.04</v>
      </c>
      <c r="L1788" t="s">
        <v>5922</v>
      </c>
      <c r="M1788">
        <v>166.43</v>
      </c>
      <c r="N1788">
        <v>172.17</v>
      </c>
      <c r="P1788">
        <v>141.56</v>
      </c>
      <c r="Q1788">
        <v>172.17</v>
      </c>
      <c r="S1788">
        <v>170.25</v>
      </c>
      <c r="U1788">
        <v>143.47</v>
      </c>
      <c r="Y1788">
        <v>219.99</v>
      </c>
      <c r="Z1788" t="s">
        <v>5922</v>
      </c>
    </row>
    <row r="1789" spans="1:26" x14ac:dyDescent="0.2">
      <c r="A1789" t="s">
        <v>3349</v>
      </c>
      <c r="B1789" t="s">
        <v>3376</v>
      </c>
      <c r="C1789" t="s">
        <v>3377</v>
      </c>
      <c r="D1789" t="s">
        <v>98</v>
      </c>
      <c r="E1789">
        <v>119.99</v>
      </c>
      <c r="F1789" t="s">
        <v>5922</v>
      </c>
      <c r="G1789">
        <v>119.99</v>
      </c>
      <c r="H1789">
        <v>73.040000000000006</v>
      </c>
      <c r="I1789">
        <v>83.47</v>
      </c>
      <c r="J1789">
        <v>83.47</v>
      </c>
      <c r="K1789">
        <v>62.6</v>
      </c>
      <c r="L1789" t="s">
        <v>5922</v>
      </c>
      <c r="M1789">
        <v>88.69</v>
      </c>
      <c r="N1789">
        <v>88.69</v>
      </c>
      <c r="O1789">
        <v>73.040000000000006</v>
      </c>
      <c r="P1789">
        <v>67.819999999999993</v>
      </c>
      <c r="Q1789">
        <v>73.040000000000006</v>
      </c>
      <c r="R1789">
        <v>73.040000000000006</v>
      </c>
      <c r="S1789">
        <v>88.69</v>
      </c>
      <c r="T1789">
        <v>73.040000000000006</v>
      </c>
      <c r="U1789">
        <v>73.040000000000006</v>
      </c>
      <c r="V1789">
        <v>73.040000000000006</v>
      </c>
      <c r="W1789">
        <v>78.25</v>
      </c>
      <c r="X1789">
        <v>83.47</v>
      </c>
      <c r="Y1789">
        <v>119.99</v>
      </c>
      <c r="Z1789" t="s">
        <v>5922</v>
      </c>
    </row>
    <row r="1790" spans="1:26" x14ac:dyDescent="0.2">
      <c r="A1790" t="s">
        <v>3349</v>
      </c>
      <c r="B1790" t="s">
        <v>3378</v>
      </c>
      <c r="C1790" t="s">
        <v>3379</v>
      </c>
      <c r="D1790" t="s">
        <v>98</v>
      </c>
      <c r="E1790">
        <v>39.99</v>
      </c>
      <c r="F1790" t="s">
        <v>5922</v>
      </c>
      <c r="G1790">
        <v>39.99</v>
      </c>
      <c r="H1790">
        <v>24.34</v>
      </c>
      <c r="I1790">
        <v>27.82</v>
      </c>
      <c r="J1790">
        <v>27.82</v>
      </c>
      <c r="K1790">
        <v>20.86</v>
      </c>
      <c r="L1790" t="s">
        <v>5922</v>
      </c>
      <c r="M1790">
        <v>29.56</v>
      </c>
      <c r="N1790">
        <v>29.56</v>
      </c>
      <c r="O1790">
        <v>24.34</v>
      </c>
      <c r="P1790">
        <v>22.6</v>
      </c>
      <c r="Q1790">
        <v>24.34</v>
      </c>
      <c r="R1790">
        <v>24.34</v>
      </c>
      <c r="S1790">
        <v>29.56</v>
      </c>
      <c r="T1790">
        <v>24.34</v>
      </c>
      <c r="U1790">
        <v>22.6</v>
      </c>
      <c r="V1790">
        <v>24.34</v>
      </c>
      <c r="W1790">
        <v>26.08</v>
      </c>
      <c r="X1790">
        <v>27.82</v>
      </c>
      <c r="Y1790">
        <v>39.99</v>
      </c>
      <c r="Z1790" t="s">
        <v>5922</v>
      </c>
    </row>
    <row r="1791" spans="1:26" x14ac:dyDescent="0.2">
      <c r="A1791" t="s">
        <v>3349</v>
      </c>
      <c r="B1791" t="s">
        <v>3380</v>
      </c>
      <c r="C1791" t="s">
        <v>3381</v>
      </c>
      <c r="D1791" t="s">
        <v>98</v>
      </c>
      <c r="E1791">
        <v>139.99</v>
      </c>
      <c r="F1791" t="s">
        <v>5922</v>
      </c>
      <c r="G1791">
        <v>139.99</v>
      </c>
      <c r="H1791">
        <v>85.21</v>
      </c>
      <c r="I1791">
        <v>97.38</v>
      </c>
      <c r="J1791">
        <v>97.38</v>
      </c>
      <c r="K1791">
        <v>73.040000000000006</v>
      </c>
      <c r="L1791" t="s">
        <v>5922</v>
      </c>
      <c r="M1791">
        <v>103.47</v>
      </c>
      <c r="N1791">
        <v>103.47</v>
      </c>
      <c r="O1791">
        <v>85.21</v>
      </c>
      <c r="P1791">
        <v>79.12</v>
      </c>
      <c r="Q1791">
        <v>85.21</v>
      </c>
      <c r="R1791">
        <v>85.21</v>
      </c>
      <c r="S1791">
        <v>103.47</v>
      </c>
      <c r="T1791">
        <v>85.21</v>
      </c>
      <c r="U1791">
        <v>79.12</v>
      </c>
      <c r="V1791">
        <v>85.21</v>
      </c>
      <c r="W1791">
        <v>91.3</v>
      </c>
      <c r="X1791">
        <v>97.38</v>
      </c>
      <c r="Y1791">
        <v>139.99</v>
      </c>
      <c r="Z1791" t="s">
        <v>5922</v>
      </c>
    </row>
    <row r="1792" spans="1:26" x14ac:dyDescent="0.2">
      <c r="A1792" t="s">
        <v>3349</v>
      </c>
      <c r="B1792" t="s">
        <v>3382</v>
      </c>
      <c r="C1792" t="s">
        <v>3383</v>
      </c>
      <c r="D1792" t="s">
        <v>98</v>
      </c>
      <c r="E1792">
        <v>59.99</v>
      </c>
      <c r="F1792" t="s">
        <v>5922</v>
      </c>
      <c r="G1792">
        <v>59.99</v>
      </c>
      <c r="H1792">
        <v>36.520000000000003</v>
      </c>
      <c r="I1792">
        <v>41.73</v>
      </c>
      <c r="J1792">
        <v>41.73</v>
      </c>
      <c r="K1792">
        <v>31.3</v>
      </c>
      <c r="L1792" t="s">
        <v>5922</v>
      </c>
      <c r="M1792">
        <v>44.34</v>
      </c>
      <c r="N1792">
        <v>44.34</v>
      </c>
      <c r="O1792">
        <v>36.520000000000003</v>
      </c>
      <c r="P1792">
        <v>33.909999999999997</v>
      </c>
      <c r="Q1792">
        <v>36.520000000000003</v>
      </c>
      <c r="R1792">
        <v>36.520000000000003</v>
      </c>
      <c r="S1792">
        <v>44.34</v>
      </c>
      <c r="T1792">
        <v>36.520000000000003</v>
      </c>
      <c r="U1792">
        <v>33.909999999999997</v>
      </c>
      <c r="V1792">
        <v>36.520000000000003</v>
      </c>
      <c r="W1792">
        <v>39.119999999999997</v>
      </c>
      <c r="X1792">
        <v>41.73</v>
      </c>
      <c r="Y1792">
        <v>59.99</v>
      </c>
      <c r="Z1792" t="s">
        <v>5922</v>
      </c>
    </row>
    <row r="1793" spans="1:26" x14ac:dyDescent="0.2">
      <c r="A1793" t="s">
        <v>3349</v>
      </c>
      <c r="B1793" t="s">
        <v>3384</v>
      </c>
      <c r="C1793" t="s">
        <v>3385</v>
      </c>
      <c r="D1793" t="s">
        <v>98</v>
      </c>
      <c r="E1793">
        <v>34.9</v>
      </c>
      <c r="F1793" t="s">
        <v>5922</v>
      </c>
      <c r="G1793">
        <v>34.9</v>
      </c>
      <c r="H1793">
        <v>21.24</v>
      </c>
      <c r="I1793">
        <v>24.28</v>
      </c>
      <c r="J1793">
        <v>24.28</v>
      </c>
      <c r="K1793">
        <v>18.21</v>
      </c>
      <c r="L1793" t="s">
        <v>5922</v>
      </c>
      <c r="M1793">
        <v>25.8</v>
      </c>
      <c r="N1793">
        <v>25.8</v>
      </c>
      <c r="O1793">
        <v>21.24</v>
      </c>
      <c r="P1793">
        <v>19.73</v>
      </c>
      <c r="Q1793">
        <v>21.24</v>
      </c>
      <c r="R1793">
        <v>21.24</v>
      </c>
      <c r="S1793">
        <v>25.8</v>
      </c>
      <c r="T1793">
        <v>21.24</v>
      </c>
      <c r="U1793">
        <v>19.73</v>
      </c>
      <c r="V1793">
        <v>21.24</v>
      </c>
      <c r="W1793">
        <v>22.76</v>
      </c>
      <c r="X1793">
        <v>24.28</v>
      </c>
      <c r="Y1793">
        <v>34.9</v>
      </c>
      <c r="Z1793" t="s">
        <v>5922</v>
      </c>
    </row>
    <row r="1794" spans="1:26" x14ac:dyDescent="0.2">
      <c r="A1794" t="s">
        <v>3349</v>
      </c>
      <c r="B1794" t="s">
        <v>3386</v>
      </c>
      <c r="C1794" t="s">
        <v>3387</v>
      </c>
      <c r="D1794" t="s">
        <v>98</v>
      </c>
      <c r="E1794">
        <v>359.99</v>
      </c>
      <c r="F1794" t="s">
        <v>5922</v>
      </c>
      <c r="G1794">
        <v>359.99</v>
      </c>
      <c r="H1794">
        <v>219.12</v>
      </c>
      <c r="I1794">
        <v>250.43</v>
      </c>
      <c r="J1794">
        <v>250.43</v>
      </c>
      <c r="K1794">
        <v>187.82</v>
      </c>
      <c r="L1794" t="s">
        <v>5922</v>
      </c>
      <c r="M1794">
        <v>266.08</v>
      </c>
      <c r="N1794">
        <v>266.08</v>
      </c>
      <c r="O1794">
        <v>219.12</v>
      </c>
      <c r="P1794">
        <v>203.47</v>
      </c>
      <c r="Q1794">
        <v>219.12</v>
      </c>
      <c r="R1794">
        <v>219.12</v>
      </c>
      <c r="S1794">
        <v>266.08</v>
      </c>
      <c r="T1794">
        <v>219.12</v>
      </c>
      <c r="U1794">
        <v>219.12</v>
      </c>
      <c r="V1794">
        <v>219.12</v>
      </c>
      <c r="W1794">
        <v>234.78</v>
      </c>
      <c r="X1794">
        <v>250.43</v>
      </c>
      <c r="Y1794">
        <v>359.99</v>
      </c>
      <c r="Z1794" t="s">
        <v>5922</v>
      </c>
    </row>
    <row r="1795" spans="1:26" x14ac:dyDescent="0.2">
      <c r="A1795" t="s">
        <v>3349</v>
      </c>
      <c r="B1795" t="s">
        <v>3388</v>
      </c>
      <c r="C1795" t="s">
        <v>3389</v>
      </c>
      <c r="D1795" t="s">
        <v>98</v>
      </c>
      <c r="E1795">
        <v>0</v>
      </c>
      <c r="F1795" t="s">
        <v>5922</v>
      </c>
      <c r="G1795">
        <v>0</v>
      </c>
      <c r="L1795" t="s">
        <v>5922</v>
      </c>
      <c r="Z1795" t="s">
        <v>5922</v>
      </c>
    </row>
    <row r="1796" spans="1:26" x14ac:dyDescent="0.2">
      <c r="A1796" t="s">
        <v>3349</v>
      </c>
      <c r="B1796" t="s">
        <v>3390</v>
      </c>
      <c r="C1796" t="s">
        <v>3391</v>
      </c>
      <c r="D1796" t="s">
        <v>105</v>
      </c>
      <c r="F1796" t="s">
        <v>5922</v>
      </c>
      <c r="L1796" t="s">
        <v>5922</v>
      </c>
      <c r="Z1796" t="s">
        <v>5922</v>
      </c>
    </row>
    <row r="1797" spans="1:26" x14ac:dyDescent="0.2">
      <c r="A1797" t="s">
        <v>3349</v>
      </c>
      <c r="B1797" t="s">
        <v>3392</v>
      </c>
      <c r="C1797" t="s">
        <v>3393</v>
      </c>
      <c r="D1797" t="s">
        <v>138</v>
      </c>
      <c r="E1797">
        <v>139.99</v>
      </c>
      <c r="F1797" t="s">
        <v>7085</v>
      </c>
      <c r="G1797">
        <v>149.99</v>
      </c>
      <c r="H1797">
        <v>91.3</v>
      </c>
      <c r="I1797">
        <v>121.73</v>
      </c>
      <c r="J1797">
        <v>97.38</v>
      </c>
      <c r="K1797">
        <v>109.56</v>
      </c>
      <c r="L1797" t="s">
        <v>5922</v>
      </c>
      <c r="M1797">
        <v>105.91</v>
      </c>
      <c r="N1797">
        <v>109.56</v>
      </c>
      <c r="O1797">
        <v>91.3</v>
      </c>
      <c r="P1797">
        <v>90.08</v>
      </c>
      <c r="Q1797">
        <v>109.56</v>
      </c>
      <c r="R1797">
        <v>91.3</v>
      </c>
      <c r="S1797">
        <v>114.43</v>
      </c>
      <c r="T1797">
        <v>91.3</v>
      </c>
      <c r="U1797">
        <v>84.78</v>
      </c>
      <c r="V1797">
        <v>85.21</v>
      </c>
      <c r="W1797">
        <v>109.56</v>
      </c>
      <c r="X1797">
        <v>97.38</v>
      </c>
      <c r="Y1797">
        <v>139.99</v>
      </c>
      <c r="Z1797" t="s">
        <v>5922</v>
      </c>
    </row>
    <row r="1798" spans="1:26" x14ac:dyDescent="0.2">
      <c r="A1798" t="s">
        <v>3349</v>
      </c>
      <c r="B1798" t="s">
        <v>3394</v>
      </c>
      <c r="C1798" t="s">
        <v>3395</v>
      </c>
      <c r="D1798" t="s">
        <v>138</v>
      </c>
      <c r="E1798">
        <v>399.99</v>
      </c>
      <c r="F1798" t="s">
        <v>7153</v>
      </c>
      <c r="G1798">
        <v>429.99</v>
      </c>
      <c r="H1798">
        <v>260.86</v>
      </c>
      <c r="I1798">
        <v>347.82</v>
      </c>
      <c r="J1798">
        <v>278.25</v>
      </c>
      <c r="K1798">
        <v>313.04000000000002</v>
      </c>
      <c r="L1798" t="s">
        <v>5922</v>
      </c>
      <c r="M1798">
        <v>302.60000000000002</v>
      </c>
      <c r="N1798">
        <v>313.04000000000002</v>
      </c>
      <c r="O1798">
        <v>260.86</v>
      </c>
      <c r="P1798">
        <v>257.38</v>
      </c>
      <c r="Q1798">
        <v>313.04000000000002</v>
      </c>
      <c r="R1798">
        <v>260.86</v>
      </c>
      <c r="S1798">
        <v>326.95</v>
      </c>
      <c r="T1798">
        <v>260.86</v>
      </c>
      <c r="U1798">
        <v>243.04</v>
      </c>
      <c r="V1798">
        <v>243.47</v>
      </c>
      <c r="W1798">
        <v>313.04000000000002</v>
      </c>
      <c r="X1798">
        <v>278.25</v>
      </c>
      <c r="Y1798">
        <v>399.99</v>
      </c>
      <c r="Z1798" t="s">
        <v>5922</v>
      </c>
    </row>
    <row r="1799" spans="1:26" x14ac:dyDescent="0.2">
      <c r="A1799" t="s">
        <v>3349</v>
      </c>
      <c r="B1799" t="s">
        <v>3396</v>
      </c>
      <c r="C1799" t="s">
        <v>3397</v>
      </c>
      <c r="D1799" t="s">
        <v>105</v>
      </c>
      <c r="E1799">
        <v>39.99</v>
      </c>
      <c r="F1799" t="s">
        <v>7330</v>
      </c>
      <c r="H1799">
        <v>26.08</v>
      </c>
      <c r="I1799">
        <v>27.82</v>
      </c>
      <c r="J1799">
        <v>31.29</v>
      </c>
      <c r="L1799" t="s">
        <v>5922</v>
      </c>
      <c r="M1799">
        <v>26.08</v>
      </c>
      <c r="N1799">
        <v>34.770000000000003</v>
      </c>
      <c r="P1799">
        <v>34.770000000000003</v>
      </c>
      <c r="S1799">
        <v>27.82</v>
      </c>
      <c r="Z1799" t="s">
        <v>5922</v>
      </c>
    </row>
    <row r="1800" spans="1:26" x14ac:dyDescent="0.2">
      <c r="A1800" t="s">
        <v>3349</v>
      </c>
      <c r="B1800" t="s">
        <v>3398</v>
      </c>
      <c r="C1800" t="s">
        <v>3399</v>
      </c>
      <c r="D1800" t="s">
        <v>105</v>
      </c>
      <c r="E1800">
        <v>99.99</v>
      </c>
      <c r="F1800" t="s">
        <v>7331</v>
      </c>
      <c r="H1800">
        <v>65.209999999999994</v>
      </c>
      <c r="I1800">
        <v>69.56</v>
      </c>
      <c r="J1800">
        <v>78.260000000000005</v>
      </c>
      <c r="L1800" t="s">
        <v>5922</v>
      </c>
      <c r="M1800">
        <v>65.209999999999994</v>
      </c>
      <c r="N1800">
        <v>86.95</v>
      </c>
      <c r="P1800">
        <v>86.95</v>
      </c>
      <c r="S1800">
        <v>69.56</v>
      </c>
      <c r="Z1800" t="s">
        <v>5922</v>
      </c>
    </row>
    <row r="1801" spans="1:26" x14ac:dyDescent="0.2">
      <c r="A1801" t="s">
        <v>3349</v>
      </c>
      <c r="B1801" t="s">
        <v>3400</v>
      </c>
      <c r="C1801" t="s">
        <v>3401</v>
      </c>
      <c r="D1801" t="s">
        <v>138</v>
      </c>
      <c r="E1801">
        <v>64.989999999999995</v>
      </c>
      <c r="F1801" t="s">
        <v>7028</v>
      </c>
      <c r="G1801">
        <v>64.989999999999995</v>
      </c>
      <c r="H1801">
        <v>42.38</v>
      </c>
      <c r="I1801">
        <v>42.38</v>
      </c>
      <c r="L1801" t="s">
        <v>5922</v>
      </c>
      <c r="M1801">
        <v>45.65</v>
      </c>
      <c r="N1801">
        <v>51.73</v>
      </c>
      <c r="P1801">
        <v>41.82</v>
      </c>
      <c r="S1801">
        <v>49.17</v>
      </c>
      <c r="U1801">
        <v>42.38</v>
      </c>
      <c r="V1801">
        <v>39.56</v>
      </c>
      <c r="W1801">
        <v>50.86</v>
      </c>
      <c r="X1801">
        <v>45.21</v>
      </c>
      <c r="Y1801">
        <v>64.989999999999995</v>
      </c>
      <c r="Z1801" t="s">
        <v>5922</v>
      </c>
    </row>
    <row r="1802" spans="1:26" x14ac:dyDescent="0.2">
      <c r="A1802" t="s">
        <v>3349</v>
      </c>
      <c r="B1802" t="s">
        <v>3402</v>
      </c>
      <c r="C1802" t="s">
        <v>3403</v>
      </c>
      <c r="D1802" t="s">
        <v>138</v>
      </c>
      <c r="E1802">
        <v>109.99</v>
      </c>
      <c r="F1802" t="s">
        <v>7025</v>
      </c>
      <c r="G1802">
        <v>109.99</v>
      </c>
      <c r="H1802">
        <v>71.73</v>
      </c>
      <c r="L1802" t="s">
        <v>5922</v>
      </c>
      <c r="M1802">
        <v>78.430000000000007</v>
      </c>
      <c r="N1802">
        <v>88.69</v>
      </c>
      <c r="P1802">
        <v>70.775999999999996</v>
      </c>
      <c r="S1802">
        <v>83.21</v>
      </c>
      <c r="U1802">
        <v>71.73</v>
      </c>
      <c r="V1802">
        <v>66.95</v>
      </c>
      <c r="W1802">
        <v>86.08</v>
      </c>
      <c r="X1802">
        <v>76.510000000000005</v>
      </c>
      <c r="Y1802">
        <v>109.99</v>
      </c>
      <c r="Z1802" t="s">
        <v>5922</v>
      </c>
    </row>
    <row r="1803" spans="1:26" x14ac:dyDescent="0.2">
      <c r="A1803" t="s">
        <v>3349</v>
      </c>
      <c r="B1803" t="s">
        <v>3404</v>
      </c>
      <c r="C1803" t="s">
        <v>3405</v>
      </c>
      <c r="D1803" t="s">
        <v>138</v>
      </c>
      <c r="E1803">
        <v>199.99</v>
      </c>
      <c r="F1803" t="s">
        <v>6916</v>
      </c>
      <c r="G1803">
        <v>199.99</v>
      </c>
      <c r="H1803">
        <v>130.43</v>
      </c>
      <c r="L1803" t="s">
        <v>5922</v>
      </c>
      <c r="M1803">
        <v>142.6</v>
      </c>
      <c r="N1803">
        <v>147.82</v>
      </c>
      <c r="P1803">
        <v>128.69</v>
      </c>
      <c r="S1803">
        <v>151.38999999999999</v>
      </c>
      <c r="U1803">
        <v>130.43</v>
      </c>
      <c r="V1803">
        <v>121.73</v>
      </c>
      <c r="W1803">
        <v>156.51</v>
      </c>
      <c r="X1803">
        <v>139.12</v>
      </c>
      <c r="Y1803">
        <v>199.99</v>
      </c>
      <c r="Z1803" t="s">
        <v>5922</v>
      </c>
    </row>
    <row r="1804" spans="1:26" x14ac:dyDescent="0.2">
      <c r="A1804" t="s">
        <v>3349</v>
      </c>
      <c r="B1804" t="s">
        <v>6574</v>
      </c>
      <c r="C1804" t="s">
        <v>6575</v>
      </c>
      <c r="D1804" t="s">
        <v>105</v>
      </c>
      <c r="E1804">
        <v>64.989999999999995</v>
      </c>
      <c r="F1804" t="s">
        <v>7028</v>
      </c>
      <c r="I1804">
        <v>45.21</v>
      </c>
      <c r="L1804" t="s">
        <v>5922</v>
      </c>
      <c r="N1804">
        <v>50.86</v>
      </c>
      <c r="P1804">
        <v>41.82</v>
      </c>
      <c r="S1804">
        <v>49.16</v>
      </c>
      <c r="Z1804" t="s">
        <v>5922</v>
      </c>
    </row>
    <row r="1805" spans="1:26" x14ac:dyDescent="0.2">
      <c r="A1805" t="s">
        <v>3349</v>
      </c>
      <c r="B1805" t="s">
        <v>6576</v>
      </c>
      <c r="C1805" t="s">
        <v>6577</v>
      </c>
      <c r="D1805" t="s">
        <v>105</v>
      </c>
      <c r="E1805">
        <v>109.99</v>
      </c>
      <c r="F1805" t="s">
        <v>7025</v>
      </c>
      <c r="I1805">
        <v>76.510000000000005</v>
      </c>
      <c r="L1805" t="s">
        <v>5922</v>
      </c>
      <c r="N1805">
        <v>86.08</v>
      </c>
      <c r="P1805">
        <v>70.77</v>
      </c>
      <c r="S1805">
        <v>83.21</v>
      </c>
      <c r="Z1805" t="s">
        <v>5922</v>
      </c>
    </row>
    <row r="1806" spans="1:26" x14ac:dyDescent="0.2">
      <c r="A1806" t="s">
        <v>3349</v>
      </c>
      <c r="B1806" t="s">
        <v>6578</v>
      </c>
      <c r="C1806" t="s">
        <v>6579</v>
      </c>
      <c r="D1806" t="s">
        <v>105</v>
      </c>
      <c r="E1806">
        <v>199.99</v>
      </c>
      <c r="F1806" t="s">
        <v>6916</v>
      </c>
      <c r="I1806">
        <v>139.12</v>
      </c>
      <c r="L1806" t="s">
        <v>5922</v>
      </c>
      <c r="N1806">
        <v>156.51</v>
      </c>
      <c r="P1806">
        <v>128.69</v>
      </c>
      <c r="Z1806" t="s">
        <v>5922</v>
      </c>
    </row>
    <row r="1807" spans="1:26" x14ac:dyDescent="0.2">
      <c r="A1807" t="s">
        <v>3349</v>
      </c>
      <c r="B1807" t="s">
        <v>3406</v>
      </c>
      <c r="C1807" t="s">
        <v>3407</v>
      </c>
      <c r="D1807" t="s">
        <v>138</v>
      </c>
      <c r="E1807">
        <v>34.99</v>
      </c>
      <c r="F1807" t="s">
        <v>5922</v>
      </c>
      <c r="G1807">
        <v>34.99</v>
      </c>
      <c r="H1807">
        <v>22.82</v>
      </c>
      <c r="I1807">
        <v>30.43</v>
      </c>
      <c r="J1807">
        <v>24.34</v>
      </c>
      <c r="K1807">
        <v>27.38</v>
      </c>
      <c r="L1807" t="s">
        <v>5922</v>
      </c>
      <c r="M1807">
        <v>26.47</v>
      </c>
      <c r="N1807">
        <v>24.34</v>
      </c>
      <c r="O1807">
        <v>22.82</v>
      </c>
      <c r="P1807">
        <v>24.04</v>
      </c>
      <c r="Q1807">
        <v>21.3</v>
      </c>
      <c r="R1807">
        <v>21.3</v>
      </c>
      <c r="S1807">
        <v>24.34</v>
      </c>
      <c r="T1807">
        <v>22.82</v>
      </c>
      <c r="U1807">
        <v>28.26</v>
      </c>
      <c r="V1807">
        <v>21.3</v>
      </c>
      <c r="W1807">
        <v>25.86</v>
      </c>
      <c r="X1807">
        <v>24.34</v>
      </c>
      <c r="Y1807">
        <v>34.99</v>
      </c>
      <c r="Z1807" t="s">
        <v>5922</v>
      </c>
    </row>
    <row r="1808" spans="1:26" x14ac:dyDescent="0.2">
      <c r="A1808" t="s">
        <v>3349</v>
      </c>
      <c r="B1808" t="s">
        <v>3408</v>
      </c>
      <c r="C1808" t="s">
        <v>3409</v>
      </c>
      <c r="D1808" t="s">
        <v>138</v>
      </c>
      <c r="E1808">
        <v>59.99</v>
      </c>
      <c r="F1808" t="s">
        <v>5922</v>
      </c>
      <c r="H1808">
        <v>39.119999999999997</v>
      </c>
      <c r="I1808">
        <v>113.03</v>
      </c>
      <c r="J1808">
        <v>90.43</v>
      </c>
      <c r="K1808">
        <v>101.73</v>
      </c>
      <c r="L1808" t="s">
        <v>5922</v>
      </c>
      <c r="M1808">
        <v>41.73</v>
      </c>
      <c r="N1808">
        <v>44.34</v>
      </c>
      <c r="O1808">
        <v>84.78</v>
      </c>
      <c r="P1808">
        <v>38.6</v>
      </c>
      <c r="Q1808">
        <v>36.520000000000003</v>
      </c>
      <c r="R1808">
        <v>36.520000000000003</v>
      </c>
      <c r="S1808">
        <v>41.73</v>
      </c>
      <c r="T1808">
        <v>39.119999999999997</v>
      </c>
      <c r="U1808">
        <v>39.119999999999997</v>
      </c>
      <c r="V1808">
        <v>36.520000000000003</v>
      </c>
      <c r="W1808">
        <v>46.95</v>
      </c>
      <c r="X1808">
        <v>41.73</v>
      </c>
      <c r="Y1808">
        <v>59.99</v>
      </c>
      <c r="Z1808" t="s">
        <v>5922</v>
      </c>
    </row>
    <row r="1809" spans="1:26" x14ac:dyDescent="0.2">
      <c r="A1809" t="s">
        <v>3349</v>
      </c>
      <c r="B1809" t="s">
        <v>3410</v>
      </c>
      <c r="C1809" t="s">
        <v>3411</v>
      </c>
      <c r="D1809" t="s">
        <v>138</v>
      </c>
      <c r="E1809">
        <v>99.99</v>
      </c>
      <c r="F1809" t="s">
        <v>5922</v>
      </c>
      <c r="G1809">
        <v>99.99</v>
      </c>
      <c r="H1809">
        <v>65.209999999999994</v>
      </c>
      <c r="I1809">
        <v>78.25</v>
      </c>
      <c r="J1809">
        <v>62.6</v>
      </c>
      <c r="K1809">
        <v>70.430000000000007</v>
      </c>
      <c r="L1809" t="s">
        <v>5922</v>
      </c>
      <c r="M1809">
        <v>69.56</v>
      </c>
      <c r="N1809">
        <v>73.91</v>
      </c>
      <c r="O1809">
        <v>58.69</v>
      </c>
      <c r="P1809">
        <v>64.34</v>
      </c>
      <c r="Q1809">
        <v>60.86</v>
      </c>
      <c r="R1809">
        <v>60.86</v>
      </c>
      <c r="S1809">
        <v>69.56</v>
      </c>
      <c r="T1809">
        <v>65.209999999999994</v>
      </c>
      <c r="U1809">
        <v>65.209999999999994</v>
      </c>
      <c r="V1809">
        <v>60.86</v>
      </c>
      <c r="W1809">
        <v>78.25</v>
      </c>
      <c r="X1809">
        <v>69.56</v>
      </c>
      <c r="Y1809">
        <v>99.99</v>
      </c>
      <c r="Z1809" t="s">
        <v>5922</v>
      </c>
    </row>
    <row r="1810" spans="1:26" x14ac:dyDescent="0.2">
      <c r="A1810" t="s">
        <v>3349</v>
      </c>
      <c r="B1810" t="s">
        <v>3412</v>
      </c>
      <c r="C1810" t="s">
        <v>3413</v>
      </c>
      <c r="D1810" t="s">
        <v>138</v>
      </c>
      <c r="E1810">
        <v>149.99</v>
      </c>
      <c r="F1810" t="s">
        <v>7022</v>
      </c>
      <c r="H1810">
        <v>97.82</v>
      </c>
      <c r="I1810">
        <v>78.25</v>
      </c>
      <c r="J1810">
        <v>62.6</v>
      </c>
      <c r="K1810">
        <v>70.430000000000007</v>
      </c>
      <c r="L1810" t="s">
        <v>5922</v>
      </c>
      <c r="M1810">
        <v>113.47</v>
      </c>
      <c r="N1810">
        <v>110.86</v>
      </c>
      <c r="O1810">
        <v>58.69</v>
      </c>
      <c r="P1810">
        <v>96.52</v>
      </c>
      <c r="Q1810">
        <v>91.3</v>
      </c>
      <c r="R1810">
        <v>91.3</v>
      </c>
      <c r="S1810">
        <v>104.34</v>
      </c>
      <c r="T1810">
        <v>97.82</v>
      </c>
      <c r="U1810">
        <v>97.82</v>
      </c>
      <c r="V1810">
        <v>91.3</v>
      </c>
      <c r="W1810">
        <v>117.38</v>
      </c>
      <c r="X1810">
        <v>104.34</v>
      </c>
      <c r="Y1810">
        <v>149.99</v>
      </c>
      <c r="Z1810" t="s">
        <v>5922</v>
      </c>
    </row>
    <row r="1811" spans="1:26" x14ac:dyDescent="0.2">
      <c r="A1811" t="s">
        <v>3349</v>
      </c>
      <c r="B1811" t="s">
        <v>3414</v>
      </c>
      <c r="C1811" t="s">
        <v>3415</v>
      </c>
      <c r="D1811" t="s">
        <v>138</v>
      </c>
      <c r="E1811">
        <v>89.99</v>
      </c>
      <c r="F1811" t="s">
        <v>5922</v>
      </c>
      <c r="G1811">
        <v>99.99</v>
      </c>
      <c r="H1811">
        <v>58.69</v>
      </c>
      <c r="I1811">
        <v>78.25</v>
      </c>
      <c r="J1811">
        <v>62.6</v>
      </c>
      <c r="K1811">
        <v>70.430000000000007</v>
      </c>
      <c r="L1811" t="s">
        <v>5922</v>
      </c>
      <c r="M1811">
        <v>68.08</v>
      </c>
      <c r="N1811">
        <v>62.6</v>
      </c>
      <c r="O1811">
        <v>58.69</v>
      </c>
      <c r="P1811">
        <v>61.82</v>
      </c>
      <c r="Q1811">
        <v>54.78</v>
      </c>
      <c r="R1811">
        <v>54.78</v>
      </c>
      <c r="S1811">
        <v>62.6</v>
      </c>
      <c r="T1811">
        <v>58.69</v>
      </c>
      <c r="U1811">
        <v>56.52</v>
      </c>
      <c r="V1811">
        <v>54.78</v>
      </c>
      <c r="W1811">
        <v>66.510000000000005</v>
      </c>
      <c r="X1811">
        <v>62.6</v>
      </c>
      <c r="Y1811">
        <v>89.99</v>
      </c>
      <c r="Z1811" t="s">
        <v>5922</v>
      </c>
    </row>
    <row r="1812" spans="1:26" x14ac:dyDescent="0.2">
      <c r="A1812" t="s">
        <v>3349</v>
      </c>
      <c r="B1812" t="s">
        <v>3416</v>
      </c>
      <c r="C1812" t="s">
        <v>3417</v>
      </c>
      <c r="D1812" t="s">
        <v>138</v>
      </c>
      <c r="E1812">
        <v>49.99</v>
      </c>
      <c r="F1812" t="s">
        <v>5922</v>
      </c>
      <c r="G1812">
        <v>49.99</v>
      </c>
      <c r="H1812">
        <v>32.6</v>
      </c>
      <c r="I1812">
        <v>43.47</v>
      </c>
      <c r="J1812">
        <v>34.78</v>
      </c>
      <c r="K1812">
        <v>39.119999999999997</v>
      </c>
      <c r="L1812" t="s">
        <v>5922</v>
      </c>
      <c r="M1812">
        <v>37.82</v>
      </c>
      <c r="N1812">
        <v>34.78</v>
      </c>
      <c r="O1812">
        <v>32.6</v>
      </c>
      <c r="P1812">
        <v>34.340000000000003</v>
      </c>
      <c r="Q1812">
        <v>30.43</v>
      </c>
      <c r="R1812">
        <v>30.43</v>
      </c>
      <c r="S1812">
        <v>30.43</v>
      </c>
      <c r="T1812">
        <v>32.6</v>
      </c>
      <c r="U1812">
        <v>28.26</v>
      </c>
      <c r="V1812">
        <v>30.43</v>
      </c>
      <c r="W1812">
        <v>36.950000000000003</v>
      </c>
      <c r="X1812">
        <v>34.78</v>
      </c>
      <c r="Y1812">
        <v>49.99</v>
      </c>
      <c r="Z1812" t="s">
        <v>5922</v>
      </c>
    </row>
    <row r="1813" spans="1:26" x14ac:dyDescent="0.2">
      <c r="A1813" t="s">
        <v>3349</v>
      </c>
      <c r="B1813" t="s">
        <v>3418</v>
      </c>
      <c r="C1813" t="s">
        <v>3419</v>
      </c>
      <c r="D1813" t="s">
        <v>138</v>
      </c>
      <c r="E1813">
        <v>49.99</v>
      </c>
      <c r="F1813" t="s">
        <v>5922</v>
      </c>
      <c r="G1813">
        <v>49.99</v>
      </c>
      <c r="H1813">
        <v>32.6</v>
      </c>
      <c r="I1813">
        <v>43.47</v>
      </c>
      <c r="J1813">
        <v>34.78</v>
      </c>
      <c r="K1813">
        <v>39.119999999999997</v>
      </c>
      <c r="L1813" t="s">
        <v>5922</v>
      </c>
      <c r="M1813">
        <v>32.6</v>
      </c>
      <c r="N1813">
        <v>34.78</v>
      </c>
      <c r="O1813">
        <v>32.6</v>
      </c>
      <c r="P1813">
        <v>32.17</v>
      </c>
      <c r="Q1813">
        <v>30.43</v>
      </c>
      <c r="R1813">
        <v>30.43</v>
      </c>
      <c r="S1813">
        <v>30.43</v>
      </c>
      <c r="T1813">
        <v>32.6</v>
      </c>
      <c r="U1813">
        <v>32.6</v>
      </c>
      <c r="V1813">
        <v>30.43</v>
      </c>
      <c r="W1813">
        <v>39.119999999999997</v>
      </c>
      <c r="X1813">
        <v>34.78</v>
      </c>
      <c r="Y1813">
        <v>49.99</v>
      </c>
      <c r="Z1813" t="s">
        <v>5922</v>
      </c>
    </row>
    <row r="1814" spans="1:26" x14ac:dyDescent="0.2">
      <c r="A1814" t="s">
        <v>3349</v>
      </c>
      <c r="B1814" t="s">
        <v>3420</v>
      </c>
      <c r="C1814" t="s">
        <v>3421</v>
      </c>
      <c r="D1814" t="s">
        <v>138</v>
      </c>
      <c r="E1814">
        <v>119.99</v>
      </c>
      <c r="F1814" t="s">
        <v>5922</v>
      </c>
      <c r="H1814">
        <v>78.25</v>
      </c>
      <c r="I1814">
        <v>113.03</v>
      </c>
      <c r="J1814">
        <v>90.43</v>
      </c>
      <c r="K1814">
        <v>101.73</v>
      </c>
      <c r="L1814" t="s">
        <v>5922</v>
      </c>
      <c r="M1814">
        <v>78.25</v>
      </c>
      <c r="N1814">
        <v>83.47</v>
      </c>
      <c r="O1814">
        <v>84.78</v>
      </c>
      <c r="P1814">
        <v>77.209999999999994</v>
      </c>
      <c r="Q1814">
        <v>73.040000000000006</v>
      </c>
      <c r="R1814">
        <v>73.040000000000006</v>
      </c>
      <c r="S1814">
        <v>83.47</v>
      </c>
      <c r="T1814">
        <v>78.25</v>
      </c>
      <c r="U1814">
        <v>78.25</v>
      </c>
      <c r="V1814">
        <v>73.040000000000006</v>
      </c>
      <c r="W1814">
        <v>93.91</v>
      </c>
      <c r="X1814">
        <v>83.47</v>
      </c>
      <c r="Y1814">
        <v>119.99</v>
      </c>
      <c r="Z1814" t="s">
        <v>5922</v>
      </c>
    </row>
    <row r="1815" spans="1:26" x14ac:dyDescent="0.2">
      <c r="A1815" t="s">
        <v>3349</v>
      </c>
      <c r="B1815" t="s">
        <v>3422</v>
      </c>
      <c r="C1815" t="s">
        <v>3423</v>
      </c>
      <c r="D1815" t="s">
        <v>105</v>
      </c>
      <c r="E1815">
        <v>49.99</v>
      </c>
      <c r="F1815" t="s">
        <v>6969</v>
      </c>
      <c r="H1815">
        <v>32.603000000000002</v>
      </c>
      <c r="I1815">
        <v>34.78</v>
      </c>
      <c r="L1815" t="s">
        <v>5922</v>
      </c>
      <c r="M1815">
        <v>34.776000000000003</v>
      </c>
      <c r="N1815">
        <v>39.122999999999998</v>
      </c>
      <c r="P1815">
        <v>32.167999999999999</v>
      </c>
      <c r="S1815">
        <v>37.819000000000003</v>
      </c>
      <c r="Z1815" t="s">
        <v>5922</v>
      </c>
    </row>
    <row r="1816" spans="1:26" x14ac:dyDescent="0.2">
      <c r="A1816" t="s">
        <v>3349</v>
      </c>
      <c r="B1816" t="s">
        <v>3424</v>
      </c>
      <c r="C1816" t="s">
        <v>3425</v>
      </c>
      <c r="D1816" t="s">
        <v>105</v>
      </c>
      <c r="E1816">
        <v>89.99</v>
      </c>
      <c r="F1816" t="s">
        <v>6914</v>
      </c>
      <c r="H1816">
        <v>58.68</v>
      </c>
      <c r="I1816">
        <v>62.6</v>
      </c>
      <c r="L1816" t="s">
        <v>5922</v>
      </c>
      <c r="M1816">
        <v>62.6</v>
      </c>
      <c r="N1816">
        <v>70.430000000000007</v>
      </c>
      <c r="P1816">
        <v>57.91</v>
      </c>
      <c r="S1816">
        <v>68.08</v>
      </c>
      <c r="Z1816" t="s">
        <v>5922</v>
      </c>
    </row>
    <row r="1817" spans="1:26" x14ac:dyDescent="0.2">
      <c r="A1817" t="s">
        <v>3349</v>
      </c>
      <c r="B1817" t="s">
        <v>3426</v>
      </c>
      <c r="C1817" t="s">
        <v>3427</v>
      </c>
      <c r="D1817" t="s">
        <v>98</v>
      </c>
      <c r="E1817">
        <v>129.99</v>
      </c>
      <c r="F1817" t="s">
        <v>5922</v>
      </c>
      <c r="H1817">
        <v>84.78</v>
      </c>
      <c r="I1817">
        <v>113.03</v>
      </c>
      <c r="J1817">
        <v>90.43</v>
      </c>
      <c r="K1817">
        <v>101.73</v>
      </c>
      <c r="L1817" t="s">
        <v>5922</v>
      </c>
      <c r="M1817">
        <v>98.34</v>
      </c>
      <c r="N1817">
        <v>90.43</v>
      </c>
      <c r="O1817">
        <v>84.78</v>
      </c>
      <c r="P1817">
        <v>89.3</v>
      </c>
      <c r="Q1817">
        <v>79.12</v>
      </c>
      <c r="R1817">
        <v>79.12</v>
      </c>
      <c r="S1817">
        <v>79.12</v>
      </c>
      <c r="T1817">
        <v>84.78</v>
      </c>
      <c r="U1817">
        <v>73.47</v>
      </c>
      <c r="V1817">
        <v>79.12</v>
      </c>
      <c r="W1817">
        <v>96.08</v>
      </c>
      <c r="X1817">
        <v>90.43</v>
      </c>
      <c r="Y1817">
        <v>129.99</v>
      </c>
      <c r="Z1817" t="s">
        <v>5922</v>
      </c>
    </row>
    <row r="1818" spans="1:26" x14ac:dyDescent="0.2">
      <c r="A1818" t="s">
        <v>3349</v>
      </c>
      <c r="B1818" t="s">
        <v>3428</v>
      </c>
      <c r="C1818" t="s">
        <v>3429</v>
      </c>
      <c r="D1818" t="s">
        <v>138</v>
      </c>
      <c r="E1818">
        <v>49.99</v>
      </c>
      <c r="F1818" t="s">
        <v>5922</v>
      </c>
      <c r="G1818">
        <v>49.99</v>
      </c>
      <c r="H1818">
        <v>32.6</v>
      </c>
      <c r="I1818">
        <v>43.47</v>
      </c>
      <c r="J1818">
        <v>34.78</v>
      </c>
      <c r="K1818">
        <v>39.119999999999997</v>
      </c>
      <c r="L1818" t="s">
        <v>5922</v>
      </c>
      <c r="M1818">
        <v>37.82</v>
      </c>
      <c r="N1818">
        <v>34.78</v>
      </c>
      <c r="O1818">
        <v>32.6</v>
      </c>
      <c r="P1818">
        <v>34.340000000000003</v>
      </c>
      <c r="Q1818">
        <v>30.43</v>
      </c>
      <c r="R1818">
        <v>30.43</v>
      </c>
      <c r="S1818">
        <v>30.43</v>
      </c>
      <c r="T1818">
        <v>32.6</v>
      </c>
      <c r="U1818">
        <v>28.26</v>
      </c>
      <c r="V1818">
        <v>30.43</v>
      </c>
      <c r="W1818">
        <v>36.950000000000003</v>
      </c>
      <c r="X1818">
        <v>34.78</v>
      </c>
      <c r="Y1818">
        <v>49.99</v>
      </c>
      <c r="Z1818" t="s">
        <v>5922</v>
      </c>
    </row>
    <row r="1819" spans="1:26" x14ac:dyDescent="0.2">
      <c r="A1819" t="s">
        <v>3349</v>
      </c>
      <c r="B1819" t="s">
        <v>3430</v>
      </c>
      <c r="C1819" t="s">
        <v>3431</v>
      </c>
      <c r="D1819" t="s">
        <v>138</v>
      </c>
      <c r="E1819">
        <v>49.99</v>
      </c>
      <c r="F1819" t="s">
        <v>5922</v>
      </c>
      <c r="G1819">
        <v>49.99</v>
      </c>
      <c r="H1819">
        <v>32.6</v>
      </c>
      <c r="I1819">
        <v>43.47</v>
      </c>
      <c r="J1819">
        <v>34.78</v>
      </c>
      <c r="K1819">
        <v>39.119999999999997</v>
      </c>
      <c r="L1819" t="s">
        <v>5922</v>
      </c>
      <c r="M1819">
        <v>32.6</v>
      </c>
      <c r="N1819">
        <v>34.78</v>
      </c>
      <c r="O1819">
        <v>32.6</v>
      </c>
      <c r="P1819">
        <v>32.17</v>
      </c>
      <c r="Q1819">
        <v>30.43</v>
      </c>
      <c r="R1819">
        <v>30.43</v>
      </c>
      <c r="S1819">
        <v>30.43</v>
      </c>
      <c r="T1819">
        <v>32.6</v>
      </c>
      <c r="U1819">
        <v>32.6</v>
      </c>
      <c r="V1819">
        <v>30.43</v>
      </c>
      <c r="W1819">
        <v>39.119999999999997</v>
      </c>
      <c r="X1819">
        <v>34.78</v>
      </c>
      <c r="Y1819">
        <v>49.99</v>
      </c>
      <c r="Z1819" t="s">
        <v>5922</v>
      </c>
    </row>
    <row r="1820" spans="1:26" x14ac:dyDescent="0.2">
      <c r="A1820" t="s">
        <v>3349</v>
      </c>
      <c r="B1820" t="s">
        <v>3432</v>
      </c>
      <c r="C1820" t="s">
        <v>3433</v>
      </c>
      <c r="D1820" t="s">
        <v>138</v>
      </c>
      <c r="E1820">
        <v>119.99</v>
      </c>
      <c r="F1820" t="s">
        <v>5922</v>
      </c>
      <c r="H1820">
        <v>78.25</v>
      </c>
      <c r="I1820">
        <v>113.03</v>
      </c>
      <c r="J1820">
        <v>90.43</v>
      </c>
      <c r="K1820">
        <v>101.73</v>
      </c>
      <c r="L1820" t="s">
        <v>5922</v>
      </c>
      <c r="M1820">
        <v>78.25</v>
      </c>
      <c r="N1820">
        <v>83.47</v>
      </c>
      <c r="O1820">
        <v>84.78</v>
      </c>
      <c r="P1820">
        <v>77.209999999999994</v>
      </c>
      <c r="Q1820">
        <v>73.040000000000006</v>
      </c>
      <c r="R1820">
        <v>73.040000000000006</v>
      </c>
      <c r="S1820">
        <v>83.47</v>
      </c>
      <c r="T1820">
        <v>78.25</v>
      </c>
      <c r="U1820">
        <v>78.25</v>
      </c>
      <c r="V1820">
        <v>73.040000000000006</v>
      </c>
      <c r="W1820">
        <v>93.91</v>
      </c>
      <c r="X1820">
        <v>83.47</v>
      </c>
      <c r="Y1820">
        <v>119.99</v>
      </c>
      <c r="Z1820" t="s">
        <v>5922</v>
      </c>
    </row>
    <row r="1821" spans="1:26" x14ac:dyDescent="0.2">
      <c r="A1821" t="s">
        <v>3349</v>
      </c>
      <c r="B1821" t="s">
        <v>3434</v>
      </c>
      <c r="C1821" t="s">
        <v>3435</v>
      </c>
      <c r="D1821" t="s">
        <v>105</v>
      </c>
      <c r="E1821">
        <v>49.99</v>
      </c>
      <c r="F1821" t="s">
        <v>6969</v>
      </c>
      <c r="H1821">
        <v>32.61</v>
      </c>
      <c r="I1821">
        <v>34.78</v>
      </c>
      <c r="L1821" t="s">
        <v>5922</v>
      </c>
      <c r="M1821">
        <v>34.770000000000003</v>
      </c>
      <c r="N1821">
        <v>39.130000000000003</v>
      </c>
      <c r="P1821">
        <v>32.17</v>
      </c>
      <c r="S1821">
        <v>37.82</v>
      </c>
      <c r="Z1821" t="s">
        <v>5922</v>
      </c>
    </row>
    <row r="1822" spans="1:26" x14ac:dyDescent="0.2">
      <c r="A1822" t="s">
        <v>3349</v>
      </c>
      <c r="B1822" t="s">
        <v>3436</v>
      </c>
      <c r="C1822" t="s">
        <v>3437</v>
      </c>
      <c r="D1822" t="s">
        <v>105</v>
      </c>
      <c r="E1822">
        <v>89.99</v>
      </c>
      <c r="F1822" t="s">
        <v>6914</v>
      </c>
      <c r="H1822">
        <v>58.68</v>
      </c>
      <c r="I1822">
        <v>62.6</v>
      </c>
      <c r="L1822" t="s">
        <v>5922</v>
      </c>
      <c r="M1822">
        <v>62.6</v>
      </c>
      <c r="N1822">
        <v>70.430000000000007</v>
      </c>
      <c r="P1822">
        <v>57.91</v>
      </c>
      <c r="S1822">
        <v>68.08</v>
      </c>
      <c r="Z1822" t="s">
        <v>5922</v>
      </c>
    </row>
    <row r="1823" spans="1:26" x14ac:dyDescent="0.2">
      <c r="A1823" t="s">
        <v>3349</v>
      </c>
      <c r="B1823" t="s">
        <v>3438</v>
      </c>
      <c r="C1823" t="s">
        <v>3439</v>
      </c>
      <c r="D1823" t="s">
        <v>98</v>
      </c>
      <c r="E1823">
        <v>129.99</v>
      </c>
      <c r="F1823" t="s">
        <v>5922</v>
      </c>
      <c r="H1823">
        <v>84.78</v>
      </c>
      <c r="I1823">
        <v>113.03</v>
      </c>
      <c r="J1823">
        <v>90.43</v>
      </c>
      <c r="K1823">
        <v>101.73</v>
      </c>
      <c r="L1823" t="s">
        <v>5922</v>
      </c>
      <c r="M1823">
        <v>98.34</v>
      </c>
      <c r="N1823">
        <v>90.43</v>
      </c>
      <c r="O1823">
        <v>84.78</v>
      </c>
      <c r="P1823">
        <v>89.3</v>
      </c>
      <c r="Q1823">
        <v>79.12</v>
      </c>
      <c r="R1823">
        <v>79.12</v>
      </c>
      <c r="S1823">
        <v>79.12</v>
      </c>
      <c r="T1823">
        <v>84.78</v>
      </c>
      <c r="U1823">
        <v>73.47</v>
      </c>
      <c r="V1823">
        <v>79.12</v>
      </c>
      <c r="W1823">
        <v>96.08</v>
      </c>
      <c r="X1823">
        <v>90.43</v>
      </c>
      <c r="Y1823">
        <v>129.99</v>
      </c>
      <c r="Z1823" t="s">
        <v>5922</v>
      </c>
    </row>
    <row r="1824" spans="1:26" x14ac:dyDescent="0.2">
      <c r="A1824" t="s">
        <v>3349</v>
      </c>
      <c r="B1824" t="s">
        <v>3440</v>
      </c>
      <c r="C1824" t="s">
        <v>3441</v>
      </c>
      <c r="D1824" t="s">
        <v>105</v>
      </c>
      <c r="E1824">
        <v>119.99</v>
      </c>
      <c r="F1824" t="s">
        <v>6905</v>
      </c>
      <c r="H1824">
        <v>78.25</v>
      </c>
      <c r="I1824">
        <v>83.47</v>
      </c>
      <c r="L1824" t="s">
        <v>5922</v>
      </c>
      <c r="M1824">
        <v>90.78</v>
      </c>
      <c r="N1824">
        <v>93.91</v>
      </c>
      <c r="P1824">
        <v>77.209999999999994</v>
      </c>
      <c r="S1824">
        <v>90.78</v>
      </c>
      <c r="U1824">
        <v>78.25</v>
      </c>
      <c r="Z1824" t="s">
        <v>5922</v>
      </c>
    </row>
    <row r="1825" spans="1:26" x14ac:dyDescent="0.2">
      <c r="A1825" t="s">
        <v>3349</v>
      </c>
      <c r="B1825" t="s">
        <v>3442</v>
      </c>
      <c r="C1825" t="s">
        <v>3443</v>
      </c>
      <c r="D1825" t="s">
        <v>105</v>
      </c>
      <c r="E1825">
        <v>349.99</v>
      </c>
      <c r="F1825" t="s">
        <v>7288</v>
      </c>
      <c r="H1825">
        <v>228.26</v>
      </c>
      <c r="I1825">
        <v>258.69</v>
      </c>
      <c r="L1825" t="s">
        <v>5922</v>
      </c>
      <c r="M1825">
        <v>243.47</v>
      </c>
      <c r="N1825">
        <v>273.91000000000003</v>
      </c>
      <c r="P1825">
        <v>225.21</v>
      </c>
      <c r="S1825">
        <v>243.47</v>
      </c>
      <c r="U1825">
        <v>228.26</v>
      </c>
      <c r="Z1825" t="s">
        <v>5922</v>
      </c>
    </row>
    <row r="1826" spans="1:26" x14ac:dyDescent="0.2">
      <c r="A1826" t="s">
        <v>3349</v>
      </c>
      <c r="B1826" t="s">
        <v>3444</v>
      </c>
      <c r="C1826" t="s">
        <v>3445</v>
      </c>
      <c r="D1826" t="s">
        <v>138</v>
      </c>
      <c r="E1826">
        <v>89.99</v>
      </c>
      <c r="F1826" t="s">
        <v>6914</v>
      </c>
      <c r="G1826">
        <v>119.99</v>
      </c>
      <c r="H1826">
        <v>58.69</v>
      </c>
      <c r="I1826">
        <v>104.34</v>
      </c>
      <c r="J1826">
        <v>83.47</v>
      </c>
      <c r="K1826">
        <v>93.91</v>
      </c>
      <c r="L1826" t="s">
        <v>5922</v>
      </c>
      <c r="M1826">
        <v>68.08</v>
      </c>
      <c r="N1826">
        <v>70.430000000000007</v>
      </c>
      <c r="O1826">
        <v>78.25</v>
      </c>
      <c r="P1826">
        <v>57.91</v>
      </c>
      <c r="Q1826">
        <v>70.430000000000007</v>
      </c>
      <c r="R1826">
        <v>73.040000000000006</v>
      </c>
      <c r="S1826">
        <v>68.08</v>
      </c>
      <c r="T1826">
        <v>78.25</v>
      </c>
      <c r="U1826">
        <v>67.819999999999993</v>
      </c>
      <c r="V1826">
        <v>73.040000000000006</v>
      </c>
      <c r="W1826">
        <v>93.91</v>
      </c>
      <c r="X1826">
        <v>83.47</v>
      </c>
      <c r="Y1826">
        <v>89.99</v>
      </c>
      <c r="Z1826" t="s">
        <v>5922</v>
      </c>
    </row>
    <row r="1827" spans="1:26" x14ac:dyDescent="0.2">
      <c r="A1827" t="s">
        <v>3349</v>
      </c>
      <c r="B1827" t="s">
        <v>3446</v>
      </c>
      <c r="C1827" t="s">
        <v>3447</v>
      </c>
      <c r="D1827" t="s">
        <v>138</v>
      </c>
      <c r="E1827">
        <v>559.99</v>
      </c>
      <c r="F1827" t="s">
        <v>5922</v>
      </c>
      <c r="H1827">
        <v>365.21</v>
      </c>
      <c r="I1827">
        <v>486.95</v>
      </c>
      <c r="J1827">
        <v>389.56</v>
      </c>
      <c r="K1827">
        <v>438.25</v>
      </c>
      <c r="L1827" t="s">
        <v>5922</v>
      </c>
      <c r="M1827">
        <v>423.64</v>
      </c>
      <c r="N1827">
        <v>438.25</v>
      </c>
      <c r="O1827">
        <v>365.21</v>
      </c>
      <c r="P1827">
        <v>360.34</v>
      </c>
      <c r="Q1827">
        <v>340.86</v>
      </c>
      <c r="R1827">
        <v>340.86</v>
      </c>
      <c r="S1827">
        <v>423.64</v>
      </c>
      <c r="T1827">
        <v>365.21</v>
      </c>
      <c r="U1827">
        <v>316.52</v>
      </c>
      <c r="V1827">
        <v>340.86</v>
      </c>
      <c r="W1827">
        <v>389.56</v>
      </c>
      <c r="X1827">
        <v>389.56</v>
      </c>
      <c r="Y1827">
        <v>559.99</v>
      </c>
      <c r="Z1827" t="s">
        <v>5922</v>
      </c>
    </row>
    <row r="1828" spans="1:26" x14ac:dyDescent="0.2">
      <c r="A1828" t="s">
        <v>3349</v>
      </c>
      <c r="B1828" t="s">
        <v>3448</v>
      </c>
      <c r="C1828" t="s">
        <v>3449</v>
      </c>
      <c r="D1828" t="s">
        <v>105</v>
      </c>
      <c r="E1828">
        <v>359.99</v>
      </c>
      <c r="F1828" t="s">
        <v>7332</v>
      </c>
      <c r="G1828">
        <v>379.99</v>
      </c>
      <c r="H1828">
        <v>234.78</v>
      </c>
      <c r="I1828">
        <v>330.43</v>
      </c>
      <c r="J1828">
        <v>264.33999999999997</v>
      </c>
      <c r="K1828">
        <v>297.38</v>
      </c>
      <c r="L1828" t="s">
        <v>5922</v>
      </c>
      <c r="M1828">
        <v>272.33999999999997</v>
      </c>
      <c r="N1828">
        <v>281.73</v>
      </c>
      <c r="O1828">
        <v>247.82</v>
      </c>
      <c r="P1828">
        <v>231.65</v>
      </c>
      <c r="Q1828">
        <v>281.73</v>
      </c>
      <c r="R1828">
        <v>231.3</v>
      </c>
      <c r="S1828">
        <v>272.33999999999997</v>
      </c>
      <c r="T1828">
        <v>247.82</v>
      </c>
      <c r="U1828">
        <v>214.78</v>
      </c>
      <c r="V1828">
        <v>231.3</v>
      </c>
      <c r="W1828">
        <v>297.38</v>
      </c>
      <c r="X1828">
        <v>264.33999999999997</v>
      </c>
      <c r="Y1828">
        <v>359.99</v>
      </c>
      <c r="Z1828" t="s">
        <v>5922</v>
      </c>
    </row>
    <row r="1829" spans="1:26" x14ac:dyDescent="0.2">
      <c r="A1829" t="s">
        <v>3349</v>
      </c>
      <c r="B1829" t="s">
        <v>3450</v>
      </c>
      <c r="C1829" t="s">
        <v>3451</v>
      </c>
      <c r="D1829" t="s">
        <v>138</v>
      </c>
      <c r="E1829">
        <v>119.99</v>
      </c>
      <c r="F1829" t="s">
        <v>5922</v>
      </c>
      <c r="G1829">
        <v>119.99</v>
      </c>
      <c r="H1829">
        <v>78.25</v>
      </c>
      <c r="L1829" t="s">
        <v>5922</v>
      </c>
      <c r="M1829">
        <v>90.78</v>
      </c>
      <c r="N1829">
        <v>93.91</v>
      </c>
      <c r="P1829">
        <v>77.209999999999994</v>
      </c>
      <c r="Q1829">
        <v>73.040000000000006</v>
      </c>
      <c r="R1829">
        <v>73.040000000000006</v>
      </c>
      <c r="S1829">
        <v>90.78</v>
      </c>
      <c r="T1829">
        <v>78.25</v>
      </c>
      <c r="U1829">
        <v>67.819999999999993</v>
      </c>
      <c r="V1829">
        <v>73.040000000000006</v>
      </c>
      <c r="W1829">
        <v>93.91</v>
      </c>
      <c r="X1829">
        <v>83.47</v>
      </c>
      <c r="Y1829">
        <v>119.99</v>
      </c>
      <c r="Z1829" t="s">
        <v>5922</v>
      </c>
    </row>
    <row r="1830" spans="1:26" x14ac:dyDescent="0.2">
      <c r="A1830" t="s">
        <v>3349</v>
      </c>
      <c r="B1830" t="s">
        <v>3452</v>
      </c>
      <c r="C1830" t="s">
        <v>3453</v>
      </c>
      <c r="D1830" t="s">
        <v>138</v>
      </c>
      <c r="E1830">
        <v>229.99</v>
      </c>
      <c r="F1830" t="s">
        <v>5922</v>
      </c>
      <c r="G1830">
        <v>229.99</v>
      </c>
      <c r="H1830">
        <v>149.99</v>
      </c>
      <c r="L1830" t="s">
        <v>5922</v>
      </c>
      <c r="M1830">
        <v>173.99</v>
      </c>
      <c r="N1830">
        <v>179.99</v>
      </c>
      <c r="P1830">
        <v>147.99</v>
      </c>
      <c r="Q1830">
        <v>139.99</v>
      </c>
      <c r="R1830">
        <v>139.99</v>
      </c>
      <c r="S1830">
        <v>173.99</v>
      </c>
      <c r="T1830">
        <v>149.99</v>
      </c>
      <c r="U1830">
        <v>129.99</v>
      </c>
      <c r="V1830">
        <v>139.99</v>
      </c>
      <c r="W1830">
        <v>179.99</v>
      </c>
      <c r="X1830">
        <v>159.99</v>
      </c>
      <c r="Y1830">
        <v>229.99</v>
      </c>
      <c r="Z1830" t="s">
        <v>5922</v>
      </c>
    </row>
    <row r="1831" spans="1:26" x14ac:dyDescent="0.2">
      <c r="A1831" t="s">
        <v>3349</v>
      </c>
      <c r="B1831" t="s">
        <v>3454</v>
      </c>
      <c r="C1831" t="s">
        <v>3455</v>
      </c>
      <c r="D1831" t="s">
        <v>105</v>
      </c>
      <c r="E1831">
        <v>169.99</v>
      </c>
      <c r="F1831" t="s">
        <v>6888</v>
      </c>
      <c r="H1831">
        <v>110.86</v>
      </c>
      <c r="I1831">
        <v>118.26</v>
      </c>
      <c r="L1831" t="s">
        <v>5922</v>
      </c>
      <c r="M1831">
        <v>128.6</v>
      </c>
      <c r="N1831">
        <v>133.04</v>
      </c>
      <c r="P1831">
        <v>109.38</v>
      </c>
      <c r="S1831">
        <v>128.6</v>
      </c>
      <c r="U1831">
        <v>103.47</v>
      </c>
      <c r="V1831">
        <v>118.26</v>
      </c>
      <c r="Z1831" t="s">
        <v>5922</v>
      </c>
    </row>
    <row r="1832" spans="1:26" x14ac:dyDescent="0.2">
      <c r="A1832" t="s">
        <v>3349</v>
      </c>
      <c r="B1832" t="s">
        <v>3456</v>
      </c>
      <c r="C1832" t="s">
        <v>3457</v>
      </c>
      <c r="D1832" t="s">
        <v>105</v>
      </c>
      <c r="E1832">
        <v>79.989999999999995</v>
      </c>
      <c r="F1832" t="s">
        <v>6934</v>
      </c>
      <c r="H1832">
        <v>39.119999999999997</v>
      </c>
      <c r="I1832">
        <v>41.74</v>
      </c>
      <c r="L1832" t="s">
        <v>5922</v>
      </c>
      <c r="M1832">
        <v>45.38</v>
      </c>
      <c r="N1832">
        <v>46.95</v>
      </c>
      <c r="P1832">
        <v>38.6</v>
      </c>
      <c r="S1832">
        <v>46.43</v>
      </c>
      <c r="U1832">
        <v>44.34</v>
      </c>
      <c r="Y1832">
        <v>79.989999999999995</v>
      </c>
      <c r="Z1832" t="s">
        <v>5922</v>
      </c>
    </row>
    <row r="1833" spans="1:26" x14ac:dyDescent="0.2">
      <c r="A1833" t="s">
        <v>3349</v>
      </c>
      <c r="B1833" t="s">
        <v>3458</v>
      </c>
      <c r="C1833" t="s">
        <v>3459</v>
      </c>
      <c r="D1833" t="s">
        <v>105</v>
      </c>
      <c r="E1833">
        <v>19.989999999999998</v>
      </c>
      <c r="F1833" t="s">
        <v>6931</v>
      </c>
      <c r="G1833">
        <v>19.989999999999998</v>
      </c>
      <c r="H1833">
        <v>13.04</v>
      </c>
      <c r="I1833">
        <v>17.38</v>
      </c>
      <c r="J1833">
        <v>13.91</v>
      </c>
      <c r="K1833">
        <v>15.64</v>
      </c>
      <c r="L1833" t="s">
        <v>5922</v>
      </c>
      <c r="M1833">
        <v>15.12</v>
      </c>
      <c r="N1833">
        <v>15.64</v>
      </c>
      <c r="O1833">
        <v>13.04</v>
      </c>
      <c r="P1833">
        <v>12.86</v>
      </c>
      <c r="Q1833">
        <v>12.17</v>
      </c>
      <c r="R1833">
        <v>12.17</v>
      </c>
      <c r="S1833">
        <v>15.12</v>
      </c>
      <c r="T1833">
        <v>13.04</v>
      </c>
      <c r="U1833">
        <v>11.3</v>
      </c>
      <c r="V1833">
        <v>12.17</v>
      </c>
      <c r="W1833">
        <v>13.91</v>
      </c>
      <c r="X1833">
        <v>13.91</v>
      </c>
      <c r="Y1833">
        <v>19.989999999999998</v>
      </c>
      <c r="Z1833" t="s">
        <v>5922</v>
      </c>
    </row>
    <row r="1834" spans="1:26" x14ac:dyDescent="0.2">
      <c r="A1834" t="s">
        <v>3349</v>
      </c>
      <c r="B1834" t="s">
        <v>3460</v>
      </c>
      <c r="C1834" t="s">
        <v>3461</v>
      </c>
      <c r="D1834" t="s">
        <v>105</v>
      </c>
      <c r="E1834">
        <v>24.99</v>
      </c>
      <c r="F1834" t="s">
        <v>6933</v>
      </c>
      <c r="G1834">
        <v>24.99</v>
      </c>
      <c r="H1834">
        <v>16.3</v>
      </c>
      <c r="I1834">
        <v>21.73</v>
      </c>
      <c r="J1834">
        <v>17.38</v>
      </c>
      <c r="K1834">
        <v>19.559999999999999</v>
      </c>
      <c r="L1834" t="s">
        <v>5922</v>
      </c>
      <c r="M1834">
        <v>18.91</v>
      </c>
      <c r="N1834">
        <v>19.559999999999999</v>
      </c>
      <c r="O1834">
        <v>16.3</v>
      </c>
      <c r="P1834">
        <v>16.079999999999998</v>
      </c>
      <c r="Q1834">
        <v>15.21</v>
      </c>
      <c r="R1834">
        <v>15.21</v>
      </c>
      <c r="S1834">
        <v>18.91</v>
      </c>
      <c r="T1834">
        <v>16.3</v>
      </c>
      <c r="U1834">
        <v>14.12</v>
      </c>
      <c r="V1834">
        <v>15.21</v>
      </c>
      <c r="W1834">
        <v>17.38</v>
      </c>
      <c r="X1834">
        <v>17.38</v>
      </c>
      <c r="Y1834">
        <v>24.99</v>
      </c>
      <c r="Z1834" t="s">
        <v>5922</v>
      </c>
    </row>
    <row r="1835" spans="1:26" x14ac:dyDescent="0.2">
      <c r="A1835" t="s">
        <v>3349</v>
      </c>
      <c r="B1835" t="s">
        <v>3462</v>
      </c>
      <c r="C1835" t="s">
        <v>3463</v>
      </c>
      <c r="D1835" t="s">
        <v>98</v>
      </c>
      <c r="E1835">
        <v>89.99</v>
      </c>
      <c r="F1835" t="s">
        <v>6914</v>
      </c>
      <c r="G1835">
        <v>119.99</v>
      </c>
      <c r="H1835">
        <v>58.69</v>
      </c>
      <c r="I1835">
        <v>104.34</v>
      </c>
      <c r="J1835">
        <v>83.47</v>
      </c>
      <c r="K1835">
        <v>93.91</v>
      </c>
      <c r="L1835" t="s">
        <v>5922</v>
      </c>
      <c r="M1835">
        <v>68.08</v>
      </c>
      <c r="N1835">
        <v>70.430000000000007</v>
      </c>
      <c r="O1835">
        <v>78.25</v>
      </c>
      <c r="P1835">
        <v>57.91</v>
      </c>
      <c r="Q1835">
        <v>70.430000000000007</v>
      </c>
      <c r="R1835">
        <v>73.040000000000006</v>
      </c>
      <c r="S1835">
        <v>68.08</v>
      </c>
      <c r="T1835">
        <v>78.25</v>
      </c>
      <c r="U1835">
        <v>73.040000000000006</v>
      </c>
      <c r="V1835">
        <v>73.040000000000006</v>
      </c>
      <c r="W1835">
        <v>93.91</v>
      </c>
      <c r="X1835">
        <v>83.47</v>
      </c>
      <c r="Y1835">
        <v>89.99</v>
      </c>
      <c r="Z1835" t="s">
        <v>5922</v>
      </c>
    </row>
    <row r="1836" spans="1:26" x14ac:dyDescent="0.2">
      <c r="A1836" t="s">
        <v>3349</v>
      </c>
      <c r="B1836" t="s">
        <v>3464</v>
      </c>
      <c r="C1836" t="s">
        <v>3465</v>
      </c>
      <c r="D1836" t="s">
        <v>98</v>
      </c>
      <c r="E1836">
        <v>229.99</v>
      </c>
      <c r="F1836" t="s">
        <v>7129</v>
      </c>
      <c r="G1836">
        <v>229.99</v>
      </c>
      <c r="H1836">
        <v>149.99</v>
      </c>
      <c r="I1836">
        <v>199.99</v>
      </c>
      <c r="J1836">
        <v>159.99</v>
      </c>
      <c r="K1836">
        <v>179.99</v>
      </c>
      <c r="L1836" t="s">
        <v>5922</v>
      </c>
      <c r="M1836">
        <v>173.99</v>
      </c>
      <c r="N1836">
        <v>179.99</v>
      </c>
      <c r="O1836">
        <v>149.99</v>
      </c>
      <c r="P1836">
        <v>147.99</v>
      </c>
      <c r="Q1836">
        <v>179.99</v>
      </c>
      <c r="R1836">
        <v>139.99</v>
      </c>
      <c r="S1836">
        <v>173.99</v>
      </c>
      <c r="T1836">
        <v>149.99</v>
      </c>
      <c r="U1836">
        <v>139.99</v>
      </c>
      <c r="V1836">
        <v>139.99</v>
      </c>
      <c r="W1836">
        <v>179.99</v>
      </c>
      <c r="X1836">
        <v>159.99</v>
      </c>
      <c r="Y1836">
        <v>229.99</v>
      </c>
      <c r="Z1836" t="s">
        <v>5922</v>
      </c>
    </row>
    <row r="1837" spans="1:26" x14ac:dyDescent="0.2">
      <c r="A1837" t="s">
        <v>3349</v>
      </c>
      <c r="B1837" t="s">
        <v>3466</v>
      </c>
      <c r="C1837" t="s">
        <v>3467</v>
      </c>
      <c r="D1837" t="s">
        <v>138</v>
      </c>
      <c r="E1837">
        <v>349.99</v>
      </c>
      <c r="F1837" t="s">
        <v>7288</v>
      </c>
      <c r="G1837">
        <v>369.99</v>
      </c>
      <c r="H1837">
        <v>228.25</v>
      </c>
      <c r="I1837">
        <v>321.73</v>
      </c>
      <c r="J1837">
        <v>257.38</v>
      </c>
      <c r="K1837">
        <v>289.56</v>
      </c>
      <c r="L1837" t="s">
        <v>5922</v>
      </c>
      <c r="M1837">
        <v>264.77999999999997</v>
      </c>
      <c r="N1837">
        <v>273.91000000000003</v>
      </c>
      <c r="O1837">
        <v>241.3</v>
      </c>
      <c r="P1837">
        <v>225.21</v>
      </c>
      <c r="Q1837">
        <v>273.91000000000003</v>
      </c>
      <c r="R1837">
        <v>225.21</v>
      </c>
      <c r="S1837">
        <v>264.77999999999997</v>
      </c>
      <c r="T1837">
        <v>241.3</v>
      </c>
      <c r="U1837">
        <v>225.21</v>
      </c>
      <c r="V1837">
        <v>225.21</v>
      </c>
      <c r="W1837">
        <v>289.56</v>
      </c>
      <c r="X1837">
        <v>257.38</v>
      </c>
      <c r="Y1837">
        <v>349.99</v>
      </c>
      <c r="Z1837" t="s">
        <v>5922</v>
      </c>
    </row>
    <row r="1838" spans="1:26" x14ac:dyDescent="0.2">
      <c r="A1838" t="s">
        <v>3349</v>
      </c>
      <c r="B1838" t="s">
        <v>3468</v>
      </c>
      <c r="C1838" t="s">
        <v>3469</v>
      </c>
      <c r="D1838" t="s">
        <v>98</v>
      </c>
      <c r="E1838">
        <v>529.99</v>
      </c>
      <c r="F1838" t="s">
        <v>7333</v>
      </c>
      <c r="H1838">
        <v>345.65</v>
      </c>
      <c r="I1838">
        <v>460.86</v>
      </c>
      <c r="J1838">
        <v>368.69</v>
      </c>
      <c r="K1838">
        <v>414.77</v>
      </c>
      <c r="L1838" t="s">
        <v>5922</v>
      </c>
      <c r="M1838">
        <v>400.95</v>
      </c>
      <c r="N1838">
        <v>414.77</v>
      </c>
      <c r="O1838">
        <v>345.65</v>
      </c>
      <c r="P1838">
        <v>341.04</v>
      </c>
      <c r="Q1838">
        <v>414.77</v>
      </c>
      <c r="R1838">
        <v>322.60000000000002</v>
      </c>
      <c r="S1838">
        <v>400.95</v>
      </c>
      <c r="T1838">
        <v>345.65</v>
      </c>
      <c r="U1838">
        <v>299.56</v>
      </c>
      <c r="V1838">
        <v>322.60000000000002</v>
      </c>
      <c r="W1838">
        <v>414.77</v>
      </c>
      <c r="X1838">
        <v>368.69</v>
      </c>
      <c r="Y1838">
        <v>529.99</v>
      </c>
      <c r="Z1838" t="s">
        <v>5922</v>
      </c>
    </row>
    <row r="1839" spans="1:26" x14ac:dyDescent="0.2">
      <c r="A1839" t="s">
        <v>3349</v>
      </c>
      <c r="B1839" t="s">
        <v>3470</v>
      </c>
      <c r="C1839" t="s">
        <v>3471</v>
      </c>
      <c r="D1839" t="s">
        <v>105</v>
      </c>
      <c r="E1839">
        <v>19.989999999999998</v>
      </c>
      <c r="F1839" t="s">
        <v>6931</v>
      </c>
      <c r="G1839">
        <v>19.989999999999998</v>
      </c>
      <c r="H1839">
        <v>13.04</v>
      </c>
      <c r="I1839">
        <v>17.38</v>
      </c>
      <c r="J1839">
        <v>13.91</v>
      </c>
      <c r="K1839">
        <v>15.64</v>
      </c>
      <c r="L1839" t="s">
        <v>5922</v>
      </c>
      <c r="M1839">
        <v>15.12</v>
      </c>
      <c r="N1839">
        <v>15.64</v>
      </c>
      <c r="O1839">
        <v>13.04</v>
      </c>
      <c r="P1839">
        <v>12.86</v>
      </c>
      <c r="Q1839">
        <v>12.17</v>
      </c>
      <c r="R1839">
        <v>12.17</v>
      </c>
      <c r="S1839">
        <v>15.12</v>
      </c>
      <c r="T1839">
        <v>13.04</v>
      </c>
      <c r="U1839">
        <v>11.3</v>
      </c>
      <c r="V1839">
        <v>12.17</v>
      </c>
      <c r="W1839">
        <v>13.91</v>
      </c>
      <c r="X1839">
        <v>13.91</v>
      </c>
      <c r="Y1839">
        <v>19.989999999999998</v>
      </c>
      <c r="Z1839" t="s">
        <v>5922</v>
      </c>
    </row>
    <row r="1840" spans="1:26" x14ac:dyDescent="0.2">
      <c r="A1840" t="s">
        <v>3349</v>
      </c>
      <c r="B1840" t="s">
        <v>3472</v>
      </c>
      <c r="C1840" t="s">
        <v>3473</v>
      </c>
      <c r="D1840" t="s">
        <v>105</v>
      </c>
      <c r="E1840">
        <v>19.989999999999998</v>
      </c>
      <c r="F1840" t="s">
        <v>6931</v>
      </c>
      <c r="G1840">
        <v>19.989999999999998</v>
      </c>
      <c r="H1840">
        <v>13.04</v>
      </c>
      <c r="I1840">
        <v>17.38</v>
      </c>
      <c r="J1840">
        <v>13.91</v>
      </c>
      <c r="K1840">
        <v>15.64</v>
      </c>
      <c r="L1840" t="s">
        <v>5922</v>
      </c>
      <c r="M1840">
        <v>15.12</v>
      </c>
      <c r="N1840">
        <v>15.64</v>
      </c>
      <c r="O1840">
        <v>13.04</v>
      </c>
      <c r="P1840">
        <v>12.86</v>
      </c>
      <c r="Q1840">
        <v>12.17</v>
      </c>
      <c r="R1840">
        <v>12.17</v>
      </c>
      <c r="S1840">
        <v>15.12</v>
      </c>
      <c r="T1840">
        <v>13.04</v>
      </c>
      <c r="U1840">
        <v>11.3</v>
      </c>
      <c r="V1840">
        <v>12.17</v>
      </c>
      <c r="W1840">
        <v>13.91</v>
      </c>
      <c r="X1840">
        <v>13.91</v>
      </c>
      <c r="Y1840">
        <v>19.989999999999998</v>
      </c>
      <c r="Z1840" t="s">
        <v>5922</v>
      </c>
    </row>
    <row r="1841" spans="1:26" x14ac:dyDescent="0.2">
      <c r="A1841" t="s">
        <v>3349</v>
      </c>
      <c r="B1841" t="s">
        <v>3474</v>
      </c>
      <c r="C1841" t="s">
        <v>3475</v>
      </c>
      <c r="D1841" t="s">
        <v>138</v>
      </c>
      <c r="E1841">
        <v>89.99</v>
      </c>
      <c r="F1841" t="s">
        <v>6914</v>
      </c>
      <c r="G1841">
        <v>119.99</v>
      </c>
      <c r="H1841">
        <v>58.69</v>
      </c>
      <c r="I1841">
        <v>104.34</v>
      </c>
      <c r="J1841">
        <v>83.47</v>
      </c>
      <c r="K1841">
        <v>93.91</v>
      </c>
      <c r="L1841" t="s">
        <v>5922</v>
      </c>
      <c r="M1841">
        <v>68.08</v>
      </c>
      <c r="N1841">
        <v>70.430000000000007</v>
      </c>
      <c r="O1841">
        <v>78.25</v>
      </c>
      <c r="P1841">
        <v>57.91</v>
      </c>
      <c r="Q1841">
        <v>70.430000000000007</v>
      </c>
      <c r="R1841">
        <v>73.040000000000006</v>
      </c>
      <c r="S1841">
        <v>68.08</v>
      </c>
      <c r="T1841">
        <v>78.25</v>
      </c>
      <c r="U1841">
        <v>73.040000000000006</v>
      </c>
      <c r="V1841">
        <v>73.040000000000006</v>
      </c>
      <c r="W1841">
        <v>93.91</v>
      </c>
      <c r="X1841">
        <v>83.47</v>
      </c>
      <c r="Y1841">
        <v>89.99</v>
      </c>
      <c r="Z1841" t="s">
        <v>5922</v>
      </c>
    </row>
    <row r="1842" spans="1:26" x14ac:dyDescent="0.2">
      <c r="A1842" t="s">
        <v>3349</v>
      </c>
      <c r="B1842" t="s">
        <v>3476</v>
      </c>
      <c r="C1842" t="s">
        <v>3477</v>
      </c>
      <c r="D1842" t="s">
        <v>98</v>
      </c>
      <c r="E1842">
        <v>119.99</v>
      </c>
      <c r="F1842" t="s">
        <v>5922</v>
      </c>
      <c r="G1842">
        <v>119.99</v>
      </c>
      <c r="H1842">
        <v>78.25</v>
      </c>
      <c r="I1842">
        <v>104.34</v>
      </c>
      <c r="J1842">
        <v>83.47</v>
      </c>
      <c r="K1842">
        <v>93.91</v>
      </c>
      <c r="L1842" t="s">
        <v>5922</v>
      </c>
      <c r="M1842">
        <v>90.78</v>
      </c>
      <c r="N1842">
        <v>93.91</v>
      </c>
      <c r="O1842">
        <v>78.25</v>
      </c>
      <c r="P1842">
        <v>77.209999999999994</v>
      </c>
      <c r="Q1842">
        <v>73.040000000000006</v>
      </c>
      <c r="R1842">
        <v>73.040000000000006</v>
      </c>
      <c r="S1842">
        <v>90.78</v>
      </c>
      <c r="T1842">
        <v>78.25</v>
      </c>
      <c r="U1842">
        <v>67.819999999999993</v>
      </c>
      <c r="V1842">
        <v>73.040000000000006</v>
      </c>
      <c r="W1842">
        <v>83.47</v>
      </c>
      <c r="X1842">
        <v>83.47</v>
      </c>
      <c r="Y1842">
        <v>119.99</v>
      </c>
      <c r="Z1842" t="s">
        <v>5922</v>
      </c>
    </row>
    <row r="1843" spans="1:26" x14ac:dyDescent="0.2">
      <c r="A1843" t="s">
        <v>3349</v>
      </c>
      <c r="B1843" t="s">
        <v>3478</v>
      </c>
      <c r="C1843" t="s">
        <v>3479</v>
      </c>
      <c r="D1843" t="s">
        <v>138</v>
      </c>
      <c r="E1843">
        <v>159.99</v>
      </c>
      <c r="F1843" t="s">
        <v>6970</v>
      </c>
      <c r="G1843">
        <v>189.99</v>
      </c>
      <c r="H1843">
        <v>104.34</v>
      </c>
      <c r="I1843">
        <v>165.21</v>
      </c>
      <c r="J1843">
        <v>132.16999999999999</v>
      </c>
      <c r="K1843">
        <v>148.69</v>
      </c>
      <c r="L1843" t="s">
        <v>5922</v>
      </c>
      <c r="M1843">
        <v>121.04</v>
      </c>
      <c r="N1843">
        <v>125.21</v>
      </c>
      <c r="O1843">
        <v>123.91</v>
      </c>
      <c r="P1843">
        <v>102.95</v>
      </c>
      <c r="Q1843">
        <v>125.21</v>
      </c>
      <c r="R1843">
        <v>115.65</v>
      </c>
      <c r="S1843">
        <v>121.04</v>
      </c>
      <c r="T1843">
        <v>123.91</v>
      </c>
      <c r="U1843">
        <v>115.65</v>
      </c>
      <c r="V1843">
        <v>115.65</v>
      </c>
      <c r="W1843">
        <v>148.69</v>
      </c>
      <c r="X1843">
        <v>132.16999999999999</v>
      </c>
      <c r="Y1843">
        <v>159.99</v>
      </c>
      <c r="Z1843" t="s">
        <v>5922</v>
      </c>
    </row>
    <row r="1844" spans="1:26" x14ac:dyDescent="0.2">
      <c r="A1844" t="s">
        <v>3349</v>
      </c>
      <c r="B1844" t="s">
        <v>3480</v>
      </c>
      <c r="C1844" t="s">
        <v>3481</v>
      </c>
      <c r="D1844" t="s">
        <v>138</v>
      </c>
      <c r="E1844">
        <v>189.99</v>
      </c>
      <c r="F1844" t="s">
        <v>5922</v>
      </c>
      <c r="G1844">
        <v>189.99</v>
      </c>
      <c r="H1844">
        <v>123.91</v>
      </c>
      <c r="I1844">
        <v>165.21</v>
      </c>
      <c r="J1844">
        <v>132.16999999999999</v>
      </c>
      <c r="K1844">
        <v>148.69</v>
      </c>
      <c r="L1844" t="s">
        <v>5922</v>
      </c>
      <c r="M1844">
        <v>143.72999999999999</v>
      </c>
      <c r="N1844">
        <v>148.69</v>
      </c>
      <c r="O1844">
        <v>123.91</v>
      </c>
      <c r="P1844">
        <v>122.25</v>
      </c>
      <c r="Q1844">
        <v>115.65</v>
      </c>
      <c r="R1844">
        <v>115.65</v>
      </c>
      <c r="S1844">
        <v>143.72999999999999</v>
      </c>
      <c r="T1844">
        <v>123.91</v>
      </c>
      <c r="U1844">
        <v>115.65</v>
      </c>
      <c r="V1844">
        <v>115.65</v>
      </c>
      <c r="W1844">
        <v>148.69</v>
      </c>
      <c r="X1844">
        <v>132.16999999999999</v>
      </c>
      <c r="Y1844">
        <v>189.99</v>
      </c>
      <c r="Z1844" t="s">
        <v>5922</v>
      </c>
    </row>
    <row r="1845" spans="1:26" x14ac:dyDescent="0.2">
      <c r="A1845" t="s">
        <v>3349</v>
      </c>
      <c r="B1845" t="s">
        <v>3482</v>
      </c>
      <c r="C1845" t="s">
        <v>3483</v>
      </c>
      <c r="D1845" t="s">
        <v>138</v>
      </c>
      <c r="E1845">
        <v>249.99</v>
      </c>
      <c r="F1845" t="s">
        <v>7134</v>
      </c>
      <c r="G1845">
        <v>249.99</v>
      </c>
      <c r="H1845">
        <v>163.04</v>
      </c>
      <c r="I1845">
        <v>173.9</v>
      </c>
      <c r="L1845" t="s">
        <v>5922</v>
      </c>
      <c r="M1845">
        <v>189.12</v>
      </c>
      <c r="N1845">
        <v>195.64</v>
      </c>
      <c r="P1845">
        <v>160.86000000000001</v>
      </c>
      <c r="Q1845">
        <v>152.16999999999999</v>
      </c>
      <c r="R1845">
        <v>152.16999999999999</v>
      </c>
      <c r="S1845">
        <v>189.12</v>
      </c>
      <c r="T1845">
        <v>163.04</v>
      </c>
      <c r="U1845">
        <v>141.30000000000001</v>
      </c>
      <c r="V1845">
        <v>152.16999999999999</v>
      </c>
      <c r="W1845">
        <v>195.64</v>
      </c>
      <c r="X1845">
        <v>173.91</v>
      </c>
      <c r="Y1845">
        <v>249.99</v>
      </c>
      <c r="Z1845" t="s">
        <v>5922</v>
      </c>
    </row>
    <row r="1846" spans="1:26" x14ac:dyDescent="0.2">
      <c r="A1846" t="s">
        <v>3349</v>
      </c>
      <c r="B1846" t="s">
        <v>3484</v>
      </c>
      <c r="C1846" t="s">
        <v>3485</v>
      </c>
      <c r="D1846" t="s">
        <v>98</v>
      </c>
      <c r="E1846">
        <v>529.99</v>
      </c>
      <c r="F1846" t="s">
        <v>7333</v>
      </c>
      <c r="H1846">
        <v>345.65</v>
      </c>
      <c r="I1846">
        <v>460.86</v>
      </c>
      <c r="J1846">
        <v>368.69</v>
      </c>
      <c r="K1846">
        <v>414.77</v>
      </c>
      <c r="L1846" t="s">
        <v>5922</v>
      </c>
      <c r="M1846">
        <v>400.95</v>
      </c>
      <c r="N1846">
        <v>414.77</v>
      </c>
      <c r="O1846">
        <v>345.65</v>
      </c>
      <c r="P1846">
        <v>341.04</v>
      </c>
      <c r="Q1846">
        <v>414.77</v>
      </c>
      <c r="R1846">
        <v>322.60000000000002</v>
      </c>
      <c r="S1846">
        <v>400.95</v>
      </c>
      <c r="T1846">
        <v>345.65</v>
      </c>
      <c r="U1846">
        <v>299.56</v>
      </c>
      <c r="V1846">
        <v>322.60000000000002</v>
      </c>
      <c r="W1846">
        <v>414.77</v>
      </c>
      <c r="X1846">
        <v>368.69</v>
      </c>
      <c r="Y1846">
        <v>529.99</v>
      </c>
      <c r="Z1846" t="s">
        <v>5922</v>
      </c>
    </row>
    <row r="1847" spans="1:26" x14ac:dyDescent="0.2">
      <c r="A1847" t="s">
        <v>3349</v>
      </c>
      <c r="B1847" t="s">
        <v>3486</v>
      </c>
      <c r="C1847" t="s">
        <v>3487</v>
      </c>
      <c r="D1847" t="s">
        <v>98</v>
      </c>
      <c r="E1847">
        <v>199.99</v>
      </c>
      <c r="F1847" t="s">
        <v>6916</v>
      </c>
      <c r="G1847">
        <v>199.99</v>
      </c>
      <c r="H1847">
        <v>130.43</v>
      </c>
      <c r="I1847">
        <v>173.9</v>
      </c>
      <c r="J1847">
        <v>139.12</v>
      </c>
      <c r="K1847">
        <v>156.51</v>
      </c>
      <c r="L1847" t="s">
        <v>5922</v>
      </c>
      <c r="M1847">
        <v>151.30000000000001</v>
      </c>
      <c r="N1847">
        <v>156.51</v>
      </c>
      <c r="O1847">
        <v>130.43</v>
      </c>
      <c r="P1847">
        <v>128.69</v>
      </c>
      <c r="Q1847">
        <v>121.73</v>
      </c>
      <c r="R1847">
        <v>121.73</v>
      </c>
      <c r="S1847">
        <v>151.30000000000001</v>
      </c>
      <c r="T1847">
        <v>130.43</v>
      </c>
      <c r="U1847">
        <v>121.73</v>
      </c>
      <c r="V1847">
        <v>121.73</v>
      </c>
      <c r="W1847">
        <v>156.51</v>
      </c>
      <c r="X1847">
        <v>139.12</v>
      </c>
      <c r="Y1847">
        <v>199.99</v>
      </c>
      <c r="Z1847" t="s">
        <v>5922</v>
      </c>
    </row>
    <row r="1848" spans="1:26" x14ac:dyDescent="0.2">
      <c r="A1848" t="s">
        <v>3349</v>
      </c>
      <c r="B1848" t="s">
        <v>3488</v>
      </c>
      <c r="C1848" t="s">
        <v>3489</v>
      </c>
      <c r="D1848" t="s">
        <v>138</v>
      </c>
      <c r="E1848">
        <v>349.99</v>
      </c>
      <c r="F1848" t="s">
        <v>7288</v>
      </c>
      <c r="G1848">
        <v>369.99</v>
      </c>
      <c r="H1848">
        <v>228.25</v>
      </c>
      <c r="I1848">
        <v>321.73</v>
      </c>
      <c r="J1848">
        <v>257.38</v>
      </c>
      <c r="K1848">
        <v>289.56</v>
      </c>
      <c r="L1848" t="s">
        <v>5922</v>
      </c>
      <c r="M1848">
        <v>264.77999999999997</v>
      </c>
      <c r="N1848">
        <v>273.91000000000003</v>
      </c>
      <c r="O1848">
        <v>241.3</v>
      </c>
      <c r="P1848">
        <v>225.21</v>
      </c>
      <c r="Q1848">
        <v>273.91000000000003</v>
      </c>
      <c r="R1848">
        <v>225.21</v>
      </c>
      <c r="S1848">
        <v>264.77999999999997</v>
      </c>
      <c r="T1848">
        <v>241.3</v>
      </c>
      <c r="U1848">
        <v>225.21</v>
      </c>
      <c r="V1848">
        <v>225.21</v>
      </c>
      <c r="W1848">
        <v>289.56</v>
      </c>
      <c r="X1848">
        <v>257.38</v>
      </c>
      <c r="Y1848">
        <v>349.99</v>
      </c>
      <c r="Z1848" t="s">
        <v>5922</v>
      </c>
    </row>
    <row r="1849" spans="1:26" x14ac:dyDescent="0.2">
      <c r="A1849" t="s">
        <v>3349</v>
      </c>
      <c r="B1849" t="s">
        <v>3490</v>
      </c>
      <c r="C1849" t="s">
        <v>3491</v>
      </c>
      <c r="D1849" t="s">
        <v>98</v>
      </c>
      <c r="E1849">
        <v>369.99</v>
      </c>
      <c r="F1849" t="s">
        <v>5922</v>
      </c>
      <c r="G1849">
        <v>369.99</v>
      </c>
      <c r="H1849">
        <v>241.3</v>
      </c>
      <c r="I1849">
        <v>321.73</v>
      </c>
      <c r="J1849">
        <v>257.38</v>
      </c>
      <c r="K1849">
        <v>289.56</v>
      </c>
      <c r="L1849" t="s">
        <v>5922</v>
      </c>
      <c r="M1849">
        <v>279.91000000000003</v>
      </c>
      <c r="N1849">
        <v>289.56</v>
      </c>
      <c r="O1849">
        <v>241.3</v>
      </c>
      <c r="P1849">
        <v>238.08</v>
      </c>
      <c r="Q1849">
        <v>225.21</v>
      </c>
      <c r="R1849">
        <v>225.21</v>
      </c>
      <c r="S1849">
        <v>279.91000000000003</v>
      </c>
      <c r="T1849">
        <v>241.3</v>
      </c>
      <c r="U1849">
        <v>209.12</v>
      </c>
      <c r="V1849">
        <v>225.21</v>
      </c>
      <c r="W1849">
        <v>257.38</v>
      </c>
      <c r="X1849">
        <v>257.38</v>
      </c>
      <c r="Y1849">
        <v>369.99</v>
      </c>
      <c r="Z1849" t="s">
        <v>5922</v>
      </c>
    </row>
    <row r="1850" spans="1:26" x14ac:dyDescent="0.2">
      <c r="A1850" t="s">
        <v>3349</v>
      </c>
      <c r="B1850" t="s">
        <v>3492</v>
      </c>
      <c r="C1850" t="s">
        <v>3493</v>
      </c>
      <c r="D1850" t="s">
        <v>105</v>
      </c>
      <c r="E1850">
        <v>169.99</v>
      </c>
      <c r="F1850" t="s">
        <v>6888</v>
      </c>
      <c r="H1850">
        <v>110.86</v>
      </c>
      <c r="I1850">
        <v>118.26</v>
      </c>
      <c r="L1850" t="s">
        <v>5922</v>
      </c>
      <c r="M1850">
        <v>128.6</v>
      </c>
      <c r="N1850">
        <v>133.04</v>
      </c>
      <c r="P1850">
        <v>109.38</v>
      </c>
      <c r="S1850">
        <v>128.6</v>
      </c>
      <c r="U1850">
        <v>110.86</v>
      </c>
      <c r="Z1850" t="s">
        <v>5922</v>
      </c>
    </row>
    <row r="1851" spans="1:26" x14ac:dyDescent="0.2">
      <c r="A1851" t="s">
        <v>3349</v>
      </c>
      <c r="B1851" t="s">
        <v>7334</v>
      </c>
      <c r="C1851" t="s">
        <v>7335</v>
      </c>
      <c r="D1851" t="s">
        <v>105</v>
      </c>
      <c r="E1851">
        <v>119.99</v>
      </c>
      <c r="F1851" t="s">
        <v>6905</v>
      </c>
      <c r="L1851" t="s">
        <v>5922</v>
      </c>
      <c r="Z1851" t="s">
        <v>5922</v>
      </c>
    </row>
    <row r="1852" spans="1:26" x14ac:dyDescent="0.2">
      <c r="A1852" t="s">
        <v>7818</v>
      </c>
      <c r="B1852" t="s">
        <v>7819</v>
      </c>
      <c r="C1852" t="s">
        <v>7820</v>
      </c>
      <c r="D1852" t="s">
        <v>98</v>
      </c>
      <c r="E1852">
        <v>99.99</v>
      </c>
      <c r="F1852" t="s">
        <v>5922</v>
      </c>
      <c r="H1852">
        <v>65.209999999999994</v>
      </c>
      <c r="L1852" t="s">
        <v>5922</v>
      </c>
      <c r="U1852">
        <v>65.86</v>
      </c>
      <c r="W1852">
        <v>69.56</v>
      </c>
      <c r="X1852">
        <v>65.209999999999994</v>
      </c>
      <c r="Y1852">
        <v>99.99</v>
      </c>
      <c r="Z1852" t="s">
        <v>5922</v>
      </c>
    </row>
    <row r="1853" spans="1:26" x14ac:dyDescent="0.2">
      <c r="A1853" t="s">
        <v>3494</v>
      </c>
      <c r="B1853" t="s">
        <v>3499</v>
      </c>
      <c r="C1853" t="s">
        <v>3500</v>
      </c>
      <c r="D1853" t="s">
        <v>105</v>
      </c>
      <c r="E1853">
        <v>0</v>
      </c>
      <c r="F1853" t="s">
        <v>5922</v>
      </c>
      <c r="G1853">
        <v>0</v>
      </c>
      <c r="L1853" t="s">
        <v>5922</v>
      </c>
      <c r="Z1853" t="s">
        <v>5922</v>
      </c>
    </row>
    <row r="1854" spans="1:26" x14ac:dyDescent="0.2">
      <c r="A1854" t="s">
        <v>3494</v>
      </c>
      <c r="B1854" t="s">
        <v>3501</v>
      </c>
      <c r="C1854" t="s">
        <v>3502</v>
      </c>
      <c r="D1854" t="s">
        <v>138</v>
      </c>
      <c r="E1854">
        <v>129.99</v>
      </c>
      <c r="F1854" t="s">
        <v>5922</v>
      </c>
      <c r="G1854">
        <v>129.99</v>
      </c>
      <c r="H1854">
        <v>84.78</v>
      </c>
      <c r="I1854">
        <v>90.43</v>
      </c>
      <c r="J1854">
        <v>133.04</v>
      </c>
      <c r="K1854">
        <v>133.04</v>
      </c>
      <c r="L1854" t="s">
        <v>5922</v>
      </c>
      <c r="M1854">
        <v>101.73</v>
      </c>
      <c r="N1854">
        <v>101.73</v>
      </c>
      <c r="O1854">
        <v>110.86</v>
      </c>
      <c r="P1854">
        <v>84.78</v>
      </c>
      <c r="Q1854">
        <v>84.78</v>
      </c>
      <c r="R1854">
        <v>84.78</v>
      </c>
      <c r="S1854">
        <v>125.64</v>
      </c>
      <c r="T1854">
        <v>84.78</v>
      </c>
      <c r="U1854">
        <v>103.47</v>
      </c>
      <c r="V1854">
        <v>84.78</v>
      </c>
      <c r="W1854">
        <v>96.08</v>
      </c>
      <c r="X1854">
        <v>97.21</v>
      </c>
      <c r="Y1854">
        <v>129.99</v>
      </c>
      <c r="Z1854" t="s">
        <v>5922</v>
      </c>
    </row>
    <row r="1855" spans="1:26" x14ac:dyDescent="0.2">
      <c r="A1855" t="s">
        <v>3494</v>
      </c>
      <c r="B1855" t="s">
        <v>3505</v>
      </c>
      <c r="C1855" t="s">
        <v>3506</v>
      </c>
      <c r="D1855" t="s">
        <v>138</v>
      </c>
      <c r="E1855">
        <v>299.99</v>
      </c>
      <c r="F1855" t="s">
        <v>5922</v>
      </c>
      <c r="G1855">
        <v>299.99</v>
      </c>
      <c r="H1855">
        <v>195.65</v>
      </c>
      <c r="I1855">
        <v>208.69</v>
      </c>
      <c r="J1855">
        <v>258.25</v>
      </c>
      <c r="K1855">
        <v>258.25</v>
      </c>
      <c r="L1855" t="s">
        <v>5922</v>
      </c>
      <c r="M1855">
        <v>234.77</v>
      </c>
      <c r="N1855">
        <v>234.77</v>
      </c>
      <c r="O1855">
        <v>215.21</v>
      </c>
      <c r="P1855">
        <v>195.65</v>
      </c>
      <c r="Q1855">
        <v>195.65</v>
      </c>
      <c r="R1855">
        <v>195.65</v>
      </c>
      <c r="S1855">
        <v>221.73</v>
      </c>
      <c r="T1855">
        <v>195.65</v>
      </c>
      <c r="U1855">
        <v>200.86</v>
      </c>
      <c r="V1855">
        <v>195.65</v>
      </c>
      <c r="W1855">
        <v>221.73</v>
      </c>
      <c r="X1855">
        <v>224.34</v>
      </c>
      <c r="Y1855">
        <v>299.99</v>
      </c>
      <c r="Z1855" t="s">
        <v>5922</v>
      </c>
    </row>
    <row r="1856" spans="1:26" x14ac:dyDescent="0.2">
      <c r="A1856" t="s">
        <v>3494</v>
      </c>
      <c r="B1856" t="s">
        <v>3513</v>
      </c>
      <c r="C1856" t="s">
        <v>3514</v>
      </c>
      <c r="D1856" t="s">
        <v>138</v>
      </c>
      <c r="E1856">
        <v>479.99</v>
      </c>
      <c r="F1856" t="s">
        <v>5922</v>
      </c>
      <c r="G1856">
        <v>479.99</v>
      </c>
      <c r="H1856">
        <v>313.04000000000002</v>
      </c>
      <c r="I1856">
        <v>333.91</v>
      </c>
      <c r="J1856">
        <v>391.3</v>
      </c>
      <c r="K1856">
        <v>391.3</v>
      </c>
      <c r="L1856" t="s">
        <v>5922</v>
      </c>
      <c r="M1856">
        <v>375.64</v>
      </c>
      <c r="N1856">
        <v>375.64</v>
      </c>
      <c r="O1856">
        <v>347.82</v>
      </c>
      <c r="P1856">
        <v>313.04000000000002</v>
      </c>
      <c r="Q1856">
        <v>313.04000000000002</v>
      </c>
      <c r="R1856">
        <v>313.04000000000002</v>
      </c>
      <c r="S1856">
        <v>354.78</v>
      </c>
      <c r="T1856">
        <v>313.04000000000002</v>
      </c>
      <c r="U1856">
        <v>326.08</v>
      </c>
      <c r="V1856">
        <v>313.04000000000002</v>
      </c>
      <c r="W1856">
        <v>354.78</v>
      </c>
      <c r="X1856">
        <v>358.95</v>
      </c>
      <c r="Y1856">
        <v>479.99</v>
      </c>
      <c r="Z1856" t="s">
        <v>5922</v>
      </c>
    </row>
    <row r="1857" spans="1:26" x14ac:dyDescent="0.2">
      <c r="A1857" t="s">
        <v>3494</v>
      </c>
      <c r="B1857" t="s">
        <v>3515</v>
      </c>
      <c r="C1857" t="s">
        <v>3516</v>
      </c>
      <c r="D1857" t="s">
        <v>138</v>
      </c>
      <c r="E1857">
        <v>189.99</v>
      </c>
      <c r="F1857" t="s">
        <v>5922</v>
      </c>
      <c r="G1857">
        <v>189.99</v>
      </c>
      <c r="H1857">
        <v>123.91</v>
      </c>
      <c r="I1857">
        <v>132.16999999999999</v>
      </c>
      <c r="J1857">
        <v>156.51</v>
      </c>
      <c r="K1857">
        <v>156.51</v>
      </c>
      <c r="L1857" t="s">
        <v>5922</v>
      </c>
      <c r="M1857">
        <v>148.69</v>
      </c>
      <c r="N1857">
        <v>148.69</v>
      </c>
      <c r="O1857">
        <v>130.43</v>
      </c>
      <c r="P1857">
        <v>123.91</v>
      </c>
      <c r="Q1857">
        <v>123.91</v>
      </c>
      <c r="R1857">
        <v>123.91</v>
      </c>
      <c r="S1857">
        <v>140.43</v>
      </c>
      <c r="T1857">
        <v>123.91</v>
      </c>
      <c r="U1857">
        <v>121.73</v>
      </c>
      <c r="V1857">
        <v>123.91</v>
      </c>
      <c r="W1857">
        <v>140.43</v>
      </c>
      <c r="X1857">
        <v>142.08000000000001</v>
      </c>
      <c r="Y1857">
        <v>189.99</v>
      </c>
      <c r="Z1857" t="s">
        <v>5922</v>
      </c>
    </row>
    <row r="1858" spans="1:26" x14ac:dyDescent="0.2">
      <c r="A1858" t="s">
        <v>3517</v>
      </c>
      <c r="B1858" t="s">
        <v>3518</v>
      </c>
      <c r="C1858" t="s">
        <v>3519</v>
      </c>
      <c r="D1858" t="s">
        <v>105</v>
      </c>
      <c r="E1858">
        <v>79</v>
      </c>
      <c r="F1858" t="s">
        <v>7048</v>
      </c>
      <c r="L1858" t="s">
        <v>5922</v>
      </c>
      <c r="Z1858" t="s">
        <v>5922</v>
      </c>
    </row>
    <row r="1859" spans="1:26" x14ac:dyDescent="0.2">
      <c r="A1859" t="s">
        <v>3517</v>
      </c>
      <c r="B1859" t="s">
        <v>3520</v>
      </c>
      <c r="C1859" t="s">
        <v>3521</v>
      </c>
      <c r="D1859" t="s">
        <v>105</v>
      </c>
      <c r="E1859">
        <v>99</v>
      </c>
      <c r="F1859" t="s">
        <v>6942</v>
      </c>
      <c r="L1859" t="s">
        <v>5922</v>
      </c>
      <c r="Z1859" t="s">
        <v>5922</v>
      </c>
    </row>
    <row r="1860" spans="1:26" x14ac:dyDescent="0.2">
      <c r="A1860" t="s">
        <v>3517</v>
      </c>
      <c r="B1860" t="s">
        <v>3522</v>
      </c>
      <c r="C1860" t="s">
        <v>3523</v>
      </c>
      <c r="D1860" t="s">
        <v>105</v>
      </c>
      <c r="E1860">
        <v>299</v>
      </c>
      <c r="F1860" t="s">
        <v>6946</v>
      </c>
      <c r="L1860" t="s">
        <v>5922</v>
      </c>
      <c r="Z1860" t="s">
        <v>5922</v>
      </c>
    </row>
    <row r="1861" spans="1:26" x14ac:dyDescent="0.2">
      <c r="A1861" t="s">
        <v>3517</v>
      </c>
      <c r="B1861" t="s">
        <v>3524</v>
      </c>
      <c r="C1861" t="s">
        <v>3525</v>
      </c>
      <c r="D1861" t="s">
        <v>105</v>
      </c>
      <c r="E1861">
        <v>299</v>
      </c>
      <c r="F1861" t="s">
        <v>6946</v>
      </c>
      <c r="L1861" t="s">
        <v>5922</v>
      </c>
      <c r="Z1861" t="s">
        <v>5922</v>
      </c>
    </row>
    <row r="1862" spans="1:26" x14ac:dyDescent="0.2">
      <c r="A1862" t="s">
        <v>3517</v>
      </c>
      <c r="B1862" t="s">
        <v>3526</v>
      </c>
      <c r="C1862" t="s">
        <v>3527</v>
      </c>
      <c r="D1862" t="s">
        <v>105</v>
      </c>
      <c r="E1862">
        <v>149</v>
      </c>
      <c r="F1862" t="s">
        <v>6939</v>
      </c>
      <c r="L1862" t="s">
        <v>5922</v>
      </c>
      <c r="Z1862" t="s">
        <v>5922</v>
      </c>
    </row>
    <row r="1863" spans="1:26" x14ac:dyDescent="0.2">
      <c r="A1863" t="s">
        <v>3517</v>
      </c>
      <c r="B1863" t="s">
        <v>3528</v>
      </c>
      <c r="C1863" t="s">
        <v>3529</v>
      </c>
      <c r="D1863" t="s">
        <v>105</v>
      </c>
      <c r="E1863">
        <v>299</v>
      </c>
      <c r="F1863" t="s">
        <v>6946</v>
      </c>
      <c r="L1863" t="s">
        <v>5922</v>
      </c>
      <c r="Z1863" t="s">
        <v>5922</v>
      </c>
    </row>
    <row r="1864" spans="1:26" x14ac:dyDescent="0.2">
      <c r="A1864" t="s">
        <v>3517</v>
      </c>
      <c r="B1864" t="s">
        <v>3530</v>
      </c>
      <c r="C1864" t="s">
        <v>3531</v>
      </c>
      <c r="D1864" t="s">
        <v>105</v>
      </c>
      <c r="E1864">
        <v>299</v>
      </c>
      <c r="F1864" t="s">
        <v>6946</v>
      </c>
      <c r="L1864" t="s">
        <v>5922</v>
      </c>
      <c r="Z1864" t="s">
        <v>5922</v>
      </c>
    </row>
    <row r="1865" spans="1:26" x14ac:dyDescent="0.2">
      <c r="A1865" t="s">
        <v>3517</v>
      </c>
      <c r="B1865" t="s">
        <v>3532</v>
      </c>
      <c r="C1865" t="s">
        <v>3533</v>
      </c>
      <c r="D1865" t="s">
        <v>105</v>
      </c>
      <c r="E1865">
        <v>39</v>
      </c>
      <c r="F1865" t="s">
        <v>7336</v>
      </c>
      <c r="L1865" t="s">
        <v>5922</v>
      </c>
      <c r="Z1865" t="s">
        <v>5922</v>
      </c>
    </row>
    <row r="1866" spans="1:26" x14ac:dyDescent="0.2">
      <c r="A1866" t="s">
        <v>3517</v>
      </c>
      <c r="B1866" t="s">
        <v>3534</v>
      </c>
      <c r="C1866" t="s">
        <v>3535</v>
      </c>
      <c r="D1866" t="s">
        <v>105</v>
      </c>
      <c r="E1866">
        <v>499</v>
      </c>
      <c r="F1866" t="s">
        <v>7062</v>
      </c>
      <c r="L1866" t="s">
        <v>5922</v>
      </c>
      <c r="Z1866" t="s">
        <v>5922</v>
      </c>
    </row>
    <row r="1867" spans="1:26" x14ac:dyDescent="0.2">
      <c r="A1867" t="s">
        <v>3517</v>
      </c>
      <c r="B1867" t="s">
        <v>3536</v>
      </c>
      <c r="C1867" t="s">
        <v>3537</v>
      </c>
      <c r="D1867" t="s">
        <v>105</v>
      </c>
      <c r="E1867">
        <v>599</v>
      </c>
      <c r="F1867" t="s">
        <v>6941</v>
      </c>
      <c r="L1867" t="s">
        <v>5922</v>
      </c>
      <c r="Z1867" t="s">
        <v>5922</v>
      </c>
    </row>
    <row r="1868" spans="1:26" x14ac:dyDescent="0.2">
      <c r="A1868" t="s">
        <v>3517</v>
      </c>
      <c r="B1868" t="s">
        <v>3538</v>
      </c>
      <c r="C1868" t="s">
        <v>3539</v>
      </c>
      <c r="D1868" t="s">
        <v>105</v>
      </c>
      <c r="E1868">
        <v>59</v>
      </c>
      <c r="F1868" t="s">
        <v>7236</v>
      </c>
      <c r="L1868" t="s">
        <v>5922</v>
      </c>
      <c r="Z1868" t="s">
        <v>5922</v>
      </c>
    </row>
    <row r="1869" spans="1:26" x14ac:dyDescent="0.2">
      <c r="A1869" t="s">
        <v>3517</v>
      </c>
      <c r="B1869" t="s">
        <v>3540</v>
      </c>
      <c r="C1869" t="s">
        <v>3541</v>
      </c>
      <c r="D1869" t="s">
        <v>105</v>
      </c>
      <c r="E1869">
        <v>99</v>
      </c>
      <c r="F1869" t="s">
        <v>6942</v>
      </c>
      <c r="L1869" t="s">
        <v>5922</v>
      </c>
      <c r="Z1869" t="s">
        <v>5922</v>
      </c>
    </row>
    <row r="1870" spans="1:26" x14ac:dyDescent="0.2">
      <c r="A1870" t="s">
        <v>3517</v>
      </c>
      <c r="B1870" t="s">
        <v>3542</v>
      </c>
      <c r="C1870" t="s">
        <v>3543</v>
      </c>
      <c r="D1870" t="s">
        <v>105</v>
      </c>
      <c r="E1870">
        <v>79</v>
      </c>
      <c r="F1870" t="s">
        <v>7048</v>
      </c>
      <c r="L1870" t="s">
        <v>5922</v>
      </c>
      <c r="Z1870" t="s">
        <v>5922</v>
      </c>
    </row>
    <row r="1871" spans="1:26" x14ac:dyDescent="0.2">
      <c r="A1871" t="s">
        <v>3517</v>
      </c>
      <c r="B1871" t="s">
        <v>3544</v>
      </c>
      <c r="C1871" t="s">
        <v>3545</v>
      </c>
      <c r="D1871" t="s">
        <v>105</v>
      </c>
      <c r="E1871">
        <v>799</v>
      </c>
      <c r="F1871" t="s">
        <v>7047</v>
      </c>
      <c r="L1871" t="s">
        <v>5922</v>
      </c>
      <c r="Z1871" t="s">
        <v>5922</v>
      </c>
    </row>
    <row r="1872" spans="1:26" x14ac:dyDescent="0.2">
      <c r="A1872" t="s">
        <v>3517</v>
      </c>
      <c r="B1872" t="s">
        <v>3546</v>
      </c>
      <c r="C1872" t="s">
        <v>3547</v>
      </c>
      <c r="D1872" t="s">
        <v>105</v>
      </c>
      <c r="E1872">
        <v>799</v>
      </c>
      <c r="F1872" t="s">
        <v>7047</v>
      </c>
      <c r="L1872" t="s">
        <v>5922</v>
      </c>
      <c r="Z1872" t="s">
        <v>5922</v>
      </c>
    </row>
    <row r="1873" spans="1:26" x14ac:dyDescent="0.2">
      <c r="A1873" t="s">
        <v>3517</v>
      </c>
      <c r="B1873" t="s">
        <v>3548</v>
      </c>
      <c r="C1873" t="s">
        <v>3549</v>
      </c>
      <c r="D1873" t="s">
        <v>105</v>
      </c>
      <c r="E1873">
        <v>999</v>
      </c>
      <c r="F1873" t="s">
        <v>6952</v>
      </c>
      <c r="L1873" t="s">
        <v>5922</v>
      </c>
      <c r="Z1873" t="s">
        <v>5922</v>
      </c>
    </row>
    <row r="1874" spans="1:26" x14ac:dyDescent="0.2">
      <c r="A1874" t="s">
        <v>3517</v>
      </c>
      <c r="B1874" t="s">
        <v>3550</v>
      </c>
      <c r="C1874" t="s">
        <v>3551</v>
      </c>
      <c r="D1874" t="s">
        <v>105</v>
      </c>
      <c r="E1874">
        <v>1199</v>
      </c>
      <c r="F1874" t="s">
        <v>6953</v>
      </c>
      <c r="L1874" t="s">
        <v>5922</v>
      </c>
      <c r="Z1874" t="s">
        <v>5922</v>
      </c>
    </row>
    <row r="1875" spans="1:26" x14ac:dyDescent="0.2">
      <c r="A1875" t="s">
        <v>3517</v>
      </c>
      <c r="B1875" t="s">
        <v>3552</v>
      </c>
      <c r="C1875" t="s">
        <v>3553</v>
      </c>
      <c r="D1875" t="s">
        <v>105</v>
      </c>
      <c r="E1875">
        <v>299</v>
      </c>
      <c r="F1875" t="s">
        <v>6946</v>
      </c>
      <c r="L1875" t="s">
        <v>5922</v>
      </c>
      <c r="Z1875" t="s">
        <v>5922</v>
      </c>
    </row>
    <row r="1876" spans="1:26" x14ac:dyDescent="0.2">
      <c r="A1876" t="s">
        <v>3517</v>
      </c>
      <c r="B1876" t="s">
        <v>3554</v>
      </c>
      <c r="C1876" t="s">
        <v>3555</v>
      </c>
      <c r="D1876" t="s">
        <v>105</v>
      </c>
      <c r="E1876">
        <v>199</v>
      </c>
      <c r="F1876" t="s">
        <v>6954</v>
      </c>
      <c r="L1876" t="s">
        <v>5922</v>
      </c>
      <c r="Z1876" t="s">
        <v>5922</v>
      </c>
    </row>
    <row r="1877" spans="1:26" x14ac:dyDescent="0.2">
      <c r="A1877" t="s">
        <v>3517</v>
      </c>
      <c r="B1877" t="s">
        <v>3556</v>
      </c>
      <c r="C1877" t="s">
        <v>3557</v>
      </c>
      <c r="D1877" t="s">
        <v>105</v>
      </c>
      <c r="E1877">
        <v>199</v>
      </c>
      <c r="F1877" t="s">
        <v>6954</v>
      </c>
      <c r="L1877" t="s">
        <v>5922</v>
      </c>
      <c r="Z1877" t="s">
        <v>5922</v>
      </c>
    </row>
    <row r="1878" spans="1:26" x14ac:dyDescent="0.2">
      <c r="A1878" t="s">
        <v>3517</v>
      </c>
      <c r="B1878" t="s">
        <v>3558</v>
      </c>
      <c r="C1878" t="s">
        <v>3559</v>
      </c>
      <c r="D1878" t="s">
        <v>105</v>
      </c>
      <c r="E1878">
        <v>299</v>
      </c>
      <c r="F1878" t="s">
        <v>6946</v>
      </c>
      <c r="L1878" t="s">
        <v>5922</v>
      </c>
      <c r="Z1878" t="s">
        <v>5922</v>
      </c>
    </row>
    <row r="1879" spans="1:26" x14ac:dyDescent="0.2">
      <c r="A1879" t="s">
        <v>3517</v>
      </c>
      <c r="B1879" t="s">
        <v>3560</v>
      </c>
      <c r="C1879" t="s">
        <v>3561</v>
      </c>
      <c r="D1879" t="s">
        <v>105</v>
      </c>
      <c r="E1879">
        <v>299</v>
      </c>
      <c r="F1879" t="s">
        <v>6946</v>
      </c>
      <c r="L1879" t="s">
        <v>5922</v>
      </c>
      <c r="Z1879" t="s">
        <v>5922</v>
      </c>
    </row>
    <row r="1880" spans="1:26" x14ac:dyDescent="0.2">
      <c r="A1880" t="s">
        <v>3517</v>
      </c>
      <c r="B1880" t="s">
        <v>3562</v>
      </c>
      <c r="C1880" t="s">
        <v>3563</v>
      </c>
      <c r="D1880" t="s">
        <v>105</v>
      </c>
      <c r="E1880">
        <v>199</v>
      </c>
      <c r="F1880" t="s">
        <v>6954</v>
      </c>
      <c r="L1880" t="s">
        <v>5922</v>
      </c>
      <c r="Z1880" t="s">
        <v>5922</v>
      </c>
    </row>
    <row r="1881" spans="1:26" x14ac:dyDescent="0.2">
      <c r="A1881" t="s">
        <v>3517</v>
      </c>
      <c r="B1881" t="s">
        <v>3564</v>
      </c>
      <c r="C1881" t="s">
        <v>3565</v>
      </c>
      <c r="D1881" t="s">
        <v>105</v>
      </c>
      <c r="E1881">
        <v>79</v>
      </c>
      <c r="F1881" t="s">
        <v>7048</v>
      </c>
      <c r="L1881" t="s">
        <v>5922</v>
      </c>
      <c r="Z1881" t="s">
        <v>5922</v>
      </c>
    </row>
    <row r="1882" spans="1:26" x14ac:dyDescent="0.2">
      <c r="A1882" t="s">
        <v>3517</v>
      </c>
      <c r="B1882" t="s">
        <v>3566</v>
      </c>
      <c r="C1882" t="s">
        <v>3567</v>
      </c>
      <c r="D1882" t="s">
        <v>105</v>
      </c>
      <c r="E1882">
        <v>79</v>
      </c>
      <c r="F1882" t="s">
        <v>7048</v>
      </c>
      <c r="L1882" t="s">
        <v>5922</v>
      </c>
      <c r="Z1882" t="s">
        <v>5922</v>
      </c>
    </row>
    <row r="1883" spans="1:26" x14ac:dyDescent="0.2">
      <c r="A1883" t="s">
        <v>3517</v>
      </c>
      <c r="B1883" t="s">
        <v>3568</v>
      </c>
      <c r="C1883" t="s">
        <v>3569</v>
      </c>
      <c r="D1883" t="s">
        <v>105</v>
      </c>
      <c r="E1883">
        <v>99</v>
      </c>
      <c r="F1883" t="s">
        <v>6942</v>
      </c>
      <c r="L1883" t="s">
        <v>5922</v>
      </c>
      <c r="Z1883" t="s">
        <v>5922</v>
      </c>
    </row>
    <row r="1884" spans="1:26" x14ac:dyDescent="0.2">
      <c r="A1884" t="s">
        <v>3517</v>
      </c>
      <c r="B1884" t="s">
        <v>3570</v>
      </c>
      <c r="C1884" t="s">
        <v>3571</v>
      </c>
      <c r="D1884" t="s">
        <v>105</v>
      </c>
      <c r="E1884">
        <v>99</v>
      </c>
      <c r="F1884" t="s">
        <v>6942</v>
      </c>
      <c r="L1884" t="s">
        <v>5922</v>
      </c>
      <c r="Z1884" t="s">
        <v>5922</v>
      </c>
    </row>
    <row r="1885" spans="1:26" x14ac:dyDescent="0.2">
      <c r="A1885" t="s">
        <v>3572</v>
      </c>
      <c r="B1885" t="s">
        <v>3573</v>
      </c>
      <c r="C1885" t="s">
        <v>3574</v>
      </c>
      <c r="D1885" t="s">
        <v>98</v>
      </c>
      <c r="E1885">
        <v>529.99</v>
      </c>
      <c r="F1885" t="s">
        <v>5922</v>
      </c>
      <c r="G1885">
        <v>199.99</v>
      </c>
      <c r="H1885">
        <v>243.47</v>
      </c>
      <c r="J1885">
        <v>347.82</v>
      </c>
      <c r="K1885">
        <v>347.82</v>
      </c>
      <c r="L1885" t="s">
        <v>5922</v>
      </c>
      <c r="M1885">
        <v>302.60000000000002</v>
      </c>
      <c r="N1885">
        <v>292.17</v>
      </c>
      <c r="O1885">
        <v>304.33999999999997</v>
      </c>
      <c r="P1885">
        <v>243.47</v>
      </c>
      <c r="Q1885">
        <v>243.47</v>
      </c>
      <c r="R1885">
        <v>243.47</v>
      </c>
      <c r="S1885">
        <v>243.47</v>
      </c>
      <c r="T1885">
        <v>243.47</v>
      </c>
      <c r="U1885">
        <v>323</v>
      </c>
      <c r="V1885">
        <v>243.47</v>
      </c>
      <c r="W1885">
        <v>260.86</v>
      </c>
      <c r="X1885">
        <v>278.25</v>
      </c>
      <c r="Y1885">
        <v>529.99</v>
      </c>
      <c r="Z1885" t="s">
        <v>5922</v>
      </c>
    </row>
    <row r="1886" spans="1:26" x14ac:dyDescent="0.2">
      <c r="A1886" t="s">
        <v>3582</v>
      </c>
      <c r="B1886" t="s">
        <v>3583</v>
      </c>
      <c r="C1886" t="s">
        <v>3584</v>
      </c>
      <c r="D1886" t="s">
        <v>98</v>
      </c>
      <c r="E1886">
        <v>199.99</v>
      </c>
      <c r="F1886" t="s">
        <v>5922</v>
      </c>
      <c r="G1886">
        <v>199.99</v>
      </c>
      <c r="H1886">
        <v>121.73</v>
      </c>
      <c r="I1886">
        <v>139.12</v>
      </c>
      <c r="J1886">
        <v>147.82</v>
      </c>
      <c r="K1886">
        <v>147.82</v>
      </c>
      <c r="L1886" t="s">
        <v>5922</v>
      </c>
      <c r="M1886">
        <v>151.30000000000001</v>
      </c>
      <c r="N1886">
        <v>147.82</v>
      </c>
      <c r="O1886">
        <v>130.43</v>
      </c>
      <c r="P1886">
        <v>121.73</v>
      </c>
      <c r="Q1886">
        <v>130.43</v>
      </c>
      <c r="R1886">
        <v>130.43</v>
      </c>
      <c r="S1886">
        <v>146.08000000000001</v>
      </c>
      <c r="T1886">
        <v>130.43</v>
      </c>
      <c r="U1886">
        <v>121.73</v>
      </c>
      <c r="V1886">
        <v>130.43</v>
      </c>
      <c r="W1886">
        <v>147.82</v>
      </c>
      <c r="X1886">
        <v>139.12</v>
      </c>
      <c r="Y1886">
        <v>199.99</v>
      </c>
      <c r="Z1886" t="s">
        <v>5922</v>
      </c>
    </row>
    <row r="1887" spans="1:26" x14ac:dyDescent="0.2">
      <c r="A1887" t="s">
        <v>3582</v>
      </c>
      <c r="B1887" t="s">
        <v>3585</v>
      </c>
      <c r="C1887" t="s">
        <v>3586</v>
      </c>
      <c r="D1887" t="s">
        <v>98</v>
      </c>
      <c r="E1887">
        <v>149.99</v>
      </c>
      <c r="F1887" t="s">
        <v>5922</v>
      </c>
      <c r="G1887">
        <v>149.99</v>
      </c>
      <c r="H1887">
        <v>91.3</v>
      </c>
      <c r="I1887">
        <v>104.34</v>
      </c>
      <c r="J1887">
        <v>110.86</v>
      </c>
      <c r="K1887">
        <v>110.86</v>
      </c>
      <c r="L1887" t="s">
        <v>5922</v>
      </c>
      <c r="M1887">
        <v>113.47</v>
      </c>
      <c r="N1887">
        <v>110.86</v>
      </c>
      <c r="O1887">
        <v>97.82</v>
      </c>
      <c r="P1887">
        <v>91.3</v>
      </c>
      <c r="Q1887">
        <v>97.82</v>
      </c>
      <c r="R1887">
        <v>97.82</v>
      </c>
      <c r="S1887">
        <v>109.56</v>
      </c>
      <c r="T1887">
        <v>97.82</v>
      </c>
      <c r="U1887">
        <v>91.3</v>
      </c>
      <c r="V1887">
        <v>97.82</v>
      </c>
      <c r="W1887">
        <v>110.86</v>
      </c>
      <c r="X1887">
        <v>104.34</v>
      </c>
      <c r="Y1887">
        <v>149.99</v>
      </c>
      <c r="Z1887" t="s">
        <v>5922</v>
      </c>
    </row>
    <row r="1888" spans="1:26" x14ac:dyDescent="0.2">
      <c r="A1888" t="s">
        <v>3582</v>
      </c>
      <c r="B1888" t="s">
        <v>3587</v>
      </c>
      <c r="C1888" t="s">
        <v>3588</v>
      </c>
      <c r="D1888" t="s">
        <v>98</v>
      </c>
      <c r="E1888">
        <v>179.99</v>
      </c>
      <c r="F1888" t="s">
        <v>5922</v>
      </c>
      <c r="G1888">
        <v>107.99</v>
      </c>
      <c r="H1888">
        <v>109.56</v>
      </c>
      <c r="I1888">
        <v>125.21</v>
      </c>
      <c r="J1888">
        <v>133.04</v>
      </c>
      <c r="K1888">
        <v>133.04</v>
      </c>
      <c r="L1888" t="s">
        <v>5922</v>
      </c>
      <c r="M1888">
        <v>136.16999999999999</v>
      </c>
      <c r="N1888">
        <v>133.04</v>
      </c>
      <c r="O1888">
        <v>117.38</v>
      </c>
      <c r="P1888">
        <v>109.56</v>
      </c>
      <c r="Q1888">
        <v>117.38</v>
      </c>
      <c r="R1888">
        <v>117.38</v>
      </c>
      <c r="S1888">
        <v>131.47</v>
      </c>
      <c r="T1888">
        <v>117.38</v>
      </c>
      <c r="U1888">
        <v>109.56</v>
      </c>
      <c r="V1888">
        <v>117.38</v>
      </c>
      <c r="W1888">
        <v>133.04</v>
      </c>
      <c r="X1888">
        <v>125.21</v>
      </c>
      <c r="Y1888">
        <v>179.99</v>
      </c>
      <c r="Z1888" t="s">
        <v>5922</v>
      </c>
    </row>
    <row r="1889" spans="1:26" x14ac:dyDescent="0.2">
      <c r="A1889" t="s">
        <v>3582</v>
      </c>
      <c r="B1889" t="s">
        <v>3589</v>
      </c>
      <c r="C1889" t="s">
        <v>3590</v>
      </c>
      <c r="D1889" t="s">
        <v>98</v>
      </c>
      <c r="E1889">
        <v>179.99</v>
      </c>
      <c r="F1889" t="s">
        <v>5922</v>
      </c>
      <c r="G1889">
        <v>129.99</v>
      </c>
      <c r="H1889">
        <v>109.56</v>
      </c>
      <c r="I1889">
        <v>125.21</v>
      </c>
      <c r="J1889">
        <v>133.04</v>
      </c>
      <c r="K1889">
        <v>133.04</v>
      </c>
      <c r="L1889" t="s">
        <v>5922</v>
      </c>
      <c r="M1889">
        <v>109.56</v>
      </c>
      <c r="N1889">
        <v>109.56</v>
      </c>
      <c r="O1889">
        <v>117.38</v>
      </c>
      <c r="P1889">
        <v>93.91</v>
      </c>
      <c r="Q1889">
        <v>93.91</v>
      </c>
      <c r="R1889">
        <v>93.91</v>
      </c>
      <c r="S1889">
        <v>391.28</v>
      </c>
      <c r="T1889">
        <v>93.91</v>
      </c>
      <c r="U1889">
        <v>109.56</v>
      </c>
      <c r="V1889">
        <v>109.56</v>
      </c>
      <c r="W1889">
        <v>117.38</v>
      </c>
      <c r="X1889">
        <v>117.38</v>
      </c>
      <c r="Y1889">
        <v>179.99</v>
      </c>
      <c r="Z1889" t="s">
        <v>5922</v>
      </c>
    </row>
    <row r="1890" spans="1:26" x14ac:dyDescent="0.2">
      <c r="A1890" t="s">
        <v>3582</v>
      </c>
      <c r="B1890" t="s">
        <v>3591</v>
      </c>
      <c r="C1890" t="s">
        <v>3592</v>
      </c>
      <c r="D1890" t="s">
        <v>98</v>
      </c>
      <c r="E1890">
        <v>109.99</v>
      </c>
      <c r="F1890" t="s">
        <v>5922</v>
      </c>
      <c r="G1890">
        <v>109.99</v>
      </c>
      <c r="H1890">
        <v>66.95</v>
      </c>
      <c r="I1890">
        <v>76.510000000000005</v>
      </c>
      <c r="J1890">
        <v>81.3</v>
      </c>
      <c r="K1890">
        <v>81.3</v>
      </c>
      <c r="L1890" t="s">
        <v>5922</v>
      </c>
      <c r="M1890">
        <v>83.21</v>
      </c>
      <c r="N1890">
        <v>81.3</v>
      </c>
      <c r="O1890">
        <v>71.73</v>
      </c>
      <c r="P1890">
        <v>56.91</v>
      </c>
      <c r="Q1890">
        <v>71.73</v>
      </c>
      <c r="R1890">
        <v>71.73</v>
      </c>
      <c r="S1890">
        <v>80.34</v>
      </c>
      <c r="T1890">
        <v>71.73</v>
      </c>
      <c r="U1890">
        <v>66.95</v>
      </c>
      <c r="V1890">
        <v>71.73</v>
      </c>
      <c r="W1890">
        <v>81.3</v>
      </c>
      <c r="X1890">
        <v>76.510000000000005</v>
      </c>
      <c r="Y1890">
        <v>109.99</v>
      </c>
      <c r="Z1890" t="s">
        <v>5922</v>
      </c>
    </row>
    <row r="1891" spans="1:26" x14ac:dyDescent="0.2">
      <c r="A1891" t="s">
        <v>3582</v>
      </c>
      <c r="B1891" t="s">
        <v>3593</v>
      </c>
      <c r="C1891" t="s">
        <v>3594</v>
      </c>
      <c r="D1891" t="s">
        <v>98</v>
      </c>
      <c r="E1891">
        <v>79.989999999999995</v>
      </c>
      <c r="F1891" t="s">
        <v>5922</v>
      </c>
      <c r="G1891">
        <v>79.989999999999995</v>
      </c>
      <c r="H1891">
        <v>48.69</v>
      </c>
      <c r="I1891">
        <v>55.65</v>
      </c>
      <c r="J1891">
        <v>59.12</v>
      </c>
      <c r="K1891">
        <v>59.12</v>
      </c>
      <c r="L1891" t="s">
        <v>5922</v>
      </c>
      <c r="M1891">
        <v>60.51</v>
      </c>
      <c r="N1891">
        <v>59.12</v>
      </c>
      <c r="O1891">
        <v>52.17</v>
      </c>
      <c r="P1891">
        <v>41.39</v>
      </c>
      <c r="Q1891">
        <v>52.17</v>
      </c>
      <c r="R1891">
        <v>52.17</v>
      </c>
      <c r="S1891">
        <v>58.43</v>
      </c>
      <c r="T1891">
        <v>52.17</v>
      </c>
      <c r="U1891">
        <v>48.69</v>
      </c>
      <c r="V1891">
        <v>52.17</v>
      </c>
      <c r="W1891">
        <v>59.12</v>
      </c>
      <c r="X1891">
        <v>55.65</v>
      </c>
      <c r="Y1891">
        <v>79.989999999999995</v>
      </c>
      <c r="Z1891" t="s">
        <v>5922</v>
      </c>
    </row>
    <row r="1892" spans="1:26" x14ac:dyDescent="0.2">
      <c r="A1892" t="s">
        <v>3582</v>
      </c>
      <c r="B1892" t="s">
        <v>3595</v>
      </c>
      <c r="C1892" t="s">
        <v>3596</v>
      </c>
      <c r="D1892" t="s">
        <v>98</v>
      </c>
      <c r="E1892">
        <v>139.99</v>
      </c>
      <c r="F1892" t="s">
        <v>5922</v>
      </c>
      <c r="G1892">
        <v>139.99</v>
      </c>
      <c r="H1892">
        <v>91.3</v>
      </c>
      <c r="I1892">
        <v>91.3</v>
      </c>
      <c r="J1892">
        <v>103.47</v>
      </c>
      <c r="K1892">
        <v>103.47</v>
      </c>
      <c r="L1892" t="s">
        <v>5922</v>
      </c>
      <c r="M1892">
        <v>109.56</v>
      </c>
      <c r="N1892">
        <v>103.47</v>
      </c>
      <c r="O1892">
        <v>91.3</v>
      </c>
      <c r="P1892">
        <v>85.21</v>
      </c>
      <c r="Q1892">
        <v>91.3</v>
      </c>
      <c r="R1892">
        <v>91.3</v>
      </c>
      <c r="S1892">
        <v>102.25</v>
      </c>
      <c r="T1892">
        <v>91.3</v>
      </c>
      <c r="U1892">
        <v>85.21</v>
      </c>
      <c r="V1892">
        <v>91.3</v>
      </c>
      <c r="W1892">
        <v>103.47</v>
      </c>
      <c r="X1892">
        <v>97.38</v>
      </c>
      <c r="Y1892">
        <v>111.99</v>
      </c>
      <c r="Z1892" t="s">
        <v>5922</v>
      </c>
    </row>
    <row r="1893" spans="1:26" x14ac:dyDescent="0.2">
      <c r="A1893" t="s">
        <v>6677</v>
      </c>
      <c r="B1893" t="s">
        <v>7337</v>
      </c>
      <c r="C1893" t="s">
        <v>7338</v>
      </c>
      <c r="D1893" t="s">
        <v>105</v>
      </c>
      <c r="E1893">
        <v>99.99</v>
      </c>
      <c r="F1893" t="s">
        <v>6903</v>
      </c>
      <c r="H1893">
        <v>60.86</v>
      </c>
      <c r="L1893" t="s">
        <v>5922</v>
      </c>
      <c r="M1893">
        <v>70.650000000000006</v>
      </c>
      <c r="P1893">
        <v>64.08</v>
      </c>
      <c r="S1893">
        <v>72.17</v>
      </c>
      <c r="U1893">
        <v>60.86</v>
      </c>
      <c r="Z1893" t="s">
        <v>5922</v>
      </c>
    </row>
    <row r="1894" spans="1:26" x14ac:dyDescent="0.2">
      <c r="A1894" t="s">
        <v>6677</v>
      </c>
      <c r="B1894" t="s">
        <v>7339</v>
      </c>
      <c r="C1894" t="s">
        <v>7340</v>
      </c>
      <c r="D1894" t="s">
        <v>105</v>
      </c>
      <c r="E1894">
        <v>99.99</v>
      </c>
      <c r="F1894" t="s">
        <v>6903</v>
      </c>
      <c r="L1894" t="s">
        <v>5922</v>
      </c>
      <c r="Z1894" t="s">
        <v>5922</v>
      </c>
    </row>
    <row r="1895" spans="1:26" x14ac:dyDescent="0.2">
      <c r="A1895" t="s">
        <v>6677</v>
      </c>
      <c r="B1895" t="s">
        <v>7341</v>
      </c>
      <c r="C1895" t="s">
        <v>7342</v>
      </c>
      <c r="D1895" t="s">
        <v>105</v>
      </c>
      <c r="E1895">
        <v>99.99</v>
      </c>
      <c r="F1895" t="s">
        <v>6903</v>
      </c>
      <c r="H1895">
        <v>60.86</v>
      </c>
      <c r="L1895" t="s">
        <v>5922</v>
      </c>
      <c r="M1895">
        <v>70.650000000000006</v>
      </c>
      <c r="P1895">
        <v>64.08</v>
      </c>
      <c r="S1895">
        <v>72.17</v>
      </c>
      <c r="U1895">
        <v>60.86</v>
      </c>
      <c r="Z1895" t="s">
        <v>5922</v>
      </c>
    </row>
    <row r="1896" spans="1:26" x14ac:dyDescent="0.2">
      <c r="A1896" t="s">
        <v>6677</v>
      </c>
      <c r="B1896" t="s">
        <v>7343</v>
      </c>
      <c r="C1896" t="s">
        <v>7344</v>
      </c>
      <c r="D1896" t="s">
        <v>105</v>
      </c>
      <c r="E1896">
        <v>99.99</v>
      </c>
      <c r="F1896" t="s">
        <v>6903</v>
      </c>
      <c r="L1896" t="s">
        <v>5922</v>
      </c>
      <c r="Z1896" t="s">
        <v>5922</v>
      </c>
    </row>
    <row r="1897" spans="1:26" x14ac:dyDescent="0.2">
      <c r="A1897" t="s">
        <v>6677</v>
      </c>
      <c r="B1897" t="s">
        <v>7345</v>
      </c>
      <c r="C1897" t="s">
        <v>7346</v>
      </c>
      <c r="D1897" t="s">
        <v>105</v>
      </c>
      <c r="E1897">
        <v>99.99</v>
      </c>
      <c r="F1897" t="s">
        <v>6903</v>
      </c>
      <c r="L1897" t="s">
        <v>5922</v>
      </c>
      <c r="Z1897" t="s">
        <v>5922</v>
      </c>
    </row>
    <row r="1898" spans="1:26" x14ac:dyDescent="0.2">
      <c r="A1898" t="s">
        <v>6677</v>
      </c>
      <c r="B1898" t="s">
        <v>7347</v>
      </c>
      <c r="C1898" t="s">
        <v>7348</v>
      </c>
      <c r="D1898" t="s">
        <v>105</v>
      </c>
      <c r="E1898">
        <v>379</v>
      </c>
      <c r="F1898" t="s">
        <v>7349</v>
      </c>
      <c r="L1898" t="s">
        <v>5922</v>
      </c>
      <c r="Z1898" t="s">
        <v>5922</v>
      </c>
    </row>
    <row r="1899" spans="1:26" x14ac:dyDescent="0.2">
      <c r="A1899" t="s">
        <v>6677</v>
      </c>
      <c r="B1899" t="s">
        <v>7350</v>
      </c>
      <c r="C1899" t="s">
        <v>7351</v>
      </c>
      <c r="D1899" t="s">
        <v>105</v>
      </c>
      <c r="E1899">
        <v>379</v>
      </c>
      <c r="F1899" t="s">
        <v>7349</v>
      </c>
      <c r="H1899">
        <v>230.7</v>
      </c>
      <c r="L1899" t="s">
        <v>5922</v>
      </c>
      <c r="M1899">
        <v>267.77</v>
      </c>
      <c r="P1899">
        <v>242.89</v>
      </c>
      <c r="S1899">
        <v>273.54000000000002</v>
      </c>
      <c r="U1899">
        <v>230.7</v>
      </c>
      <c r="Z1899" t="s">
        <v>5922</v>
      </c>
    </row>
    <row r="1900" spans="1:26" x14ac:dyDescent="0.2">
      <c r="A1900" t="s">
        <v>6677</v>
      </c>
      <c r="B1900" t="s">
        <v>7352</v>
      </c>
      <c r="C1900" t="s">
        <v>7353</v>
      </c>
      <c r="D1900" t="s">
        <v>105</v>
      </c>
      <c r="E1900">
        <v>379</v>
      </c>
      <c r="F1900" t="s">
        <v>7349</v>
      </c>
      <c r="L1900" t="s">
        <v>5922</v>
      </c>
      <c r="Z1900" t="s">
        <v>5922</v>
      </c>
    </row>
    <row r="1901" spans="1:26" x14ac:dyDescent="0.2">
      <c r="A1901" t="s">
        <v>6677</v>
      </c>
      <c r="B1901" t="s">
        <v>7354</v>
      </c>
      <c r="C1901" t="s">
        <v>7355</v>
      </c>
      <c r="D1901" t="s">
        <v>105</v>
      </c>
      <c r="E1901">
        <v>109.99</v>
      </c>
      <c r="F1901" t="s">
        <v>7025</v>
      </c>
      <c r="L1901" t="s">
        <v>5922</v>
      </c>
      <c r="Z1901" t="s">
        <v>5922</v>
      </c>
    </row>
    <row r="1902" spans="1:26" x14ac:dyDescent="0.2">
      <c r="A1902" t="s">
        <v>6677</v>
      </c>
      <c r="B1902" t="s">
        <v>7356</v>
      </c>
      <c r="C1902" t="s">
        <v>7357</v>
      </c>
      <c r="D1902" t="s">
        <v>105</v>
      </c>
      <c r="E1902">
        <v>79.989999999999995</v>
      </c>
      <c r="F1902" t="s">
        <v>6934</v>
      </c>
      <c r="H1902">
        <v>48.69</v>
      </c>
      <c r="L1902" t="s">
        <v>5922</v>
      </c>
      <c r="M1902">
        <v>56.51</v>
      </c>
      <c r="P1902">
        <v>51.26</v>
      </c>
      <c r="S1902">
        <v>57.73</v>
      </c>
      <c r="U1902">
        <v>48.69</v>
      </c>
      <c r="Z1902" t="s">
        <v>5922</v>
      </c>
    </row>
    <row r="1903" spans="1:26" x14ac:dyDescent="0.2">
      <c r="A1903" t="s">
        <v>6677</v>
      </c>
      <c r="B1903" t="s">
        <v>7358</v>
      </c>
      <c r="C1903" t="s">
        <v>7359</v>
      </c>
      <c r="D1903" t="s">
        <v>105</v>
      </c>
      <c r="E1903">
        <v>79.989999999999995</v>
      </c>
      <c r="F1903" t="s">
        <v>6934</v>
      </c>
      <c r="L1903" t="s">
        <v>5922</v>
      </c>
      <c r="Z1903" t="s">
        <v>5922</v>
      </c>
    </row>
    <row r="1904" spans="1:26" x14ac:dyDescent="0.2">
      <c r="A1904" t="s">
        <v>6677</v>
      </c>
      <c r="B1904" t="s">
        <v>7360</v>
      </c>
      <c r="C1904" t="s">
        <v>7361</v>
      </c>
      <c r="D1904" t="s">
        <v>138</v>
      </c>
      <c r="E1904">
        <v>39.99</v>
      </c>
      <c r="F1904" t="s">
        <v>6887</v>
      </c>
      <c r="H1904">
        <v>24.34</v>
      </c>
      <c r="L1904" t="s">
        <v>5922</v>
      </c>
      <c r="M1904">
        <v>28.25</v>
      </c>
      <c r="S1904">
        <v>28.86</v>
      </c>
      <c r="U1904">
        <v>24.34</v>
      </c>
      <c r="Z1904" t="s">
        <v>5922</v>
      </c>
    </row>
    <row r="1905" spans="1:26" x14ac:dyDescent="0.2">
      <c r="A1905" t="s">
        <v>6677</v>
      </c>
      <c r="B1905" t="s">
        <v>6675</v>
      </c>
      <c r="C1905" t="s">
        <v>6676</v>
      </c>
      <c r="D1905" t="s">
        <v>105</v>
      </c>
      <c r="E1905">
        <v>299</v>
      </c>
      <c r="F1905" t="s">
        <v>6946</v>
      </c>
      <c r="H1905">
        <v>182</v>
      </c>
      <c r="L1905" t="s">
        <v>5922</v>
      </c>
      <c r="M1905">
        <v>211.25</v>
      </c>
      <c r="P1905">
        <v>191.62</v>
      </c>
      <c r="S1905">
        <v>215.8</v>
      </c>
      <c r="U1905">
        <v>182</v>
      </c>
      <c r="Z1905" t="s">
        <v>5922</v>
      </c>
    </row>
    <row r="1906" spans="1:26" x14ac:dyDescent="0.2">
      <c r="A1906" t="s">
        <v>6677</v>
      </c>
      <c r="B1906" t="s">
        <v>7362</v>
      </c>
      <c r="C1906" t="s">
        <v>7363</v>
      </c>
      <c r="D1906" t="s">
        <v>105</v>
      </c>
      <c r="E1906">
        <v>299</v>
      </c>
      <c r="F1906" t="s">
        <v>6946</v>
      </c>
      <c r="L1906" t="s">
        <v>5922</v>
      </c>
      <c r="Z1906" t="s">
        <v>5922</v>
      </c>
    </row>
    <row r="1907" spans="1:26" x14ac:dyDescent="0.2">
      <c r="A1907" t="s">
        <v>6677</v>
      </c>
      <c r="B1907" t="s">
        <v>7364</v>
      </c>
      <c r="C1907" t="s">
        <v>7365</v>
      </c>
      <c r="D1907" t="s">
        <v>105</v>
      </c>
      <c r="E1907">
        <v>299</v>
      </c>
      <c r="F1907" t="s">
        <v>6946</v>
      </c>
      <c r="H1907">
        <v>182</v>
      </c>
      <c r="L1907" t="s">
        <v>5922</v>
      </c>
      <c r="M1907">
        <v>211.25</v>
      </c>
      <c r="S1907">
        <v>215.8</v>
      </c>
      <c r="Z1907" t="s">
        <v>5922</v>
      </c>
    </row>
    <row r="1908" spans="1:26" x14ac:dyDescent="0.2">
      <c r="A1908" t="s">
        <v>6677</v>
      </c>
      <c r="B1908" t="s">
        <v>7366</v>
      </c>
      <c r="C1908" t="s">
        <v>7367</v>
      </c>
      <c r="D1908" t="s">
        <v>105</v>
      </c>
      <c r="E1908">
        <v>0</v>
      </c>
      <c r="F1908" t="s">
        <v>6901</v>
      </c>
      <c r="L1908" t="s">
        <v>5922</v>
      </c>
      <c r="M1908">
        <v>0</v>
      </c>
      <c r="S1908">
        <v>0</v>
      </c>
      <c r="Z1908" t="s">
        <v>5922</v>
      </c>
    </row>
    <row r="1909" spans="1:26" x14ac:dyDescent="0.2">
      <c r="A1909" t="s">
        <v>6677</v>
      </c>
      <c r="B1909" t="s">
        <v>7368</v>
      </c>
      <c r="C1909" t="s">
        <v>7369</v>
      </c>
      <c r="D1909" t="s">
        <v>105</v>
      </c>
      <c r="E1909">
        <v>89.99</v>
      </c>
      <c r="F1909" t="s">
        <v>6914</v>
      </c>
      <c r="H1909">
        <v>54.78</v>
      </c>
      <c r="L1909" t="s">
        <v>5922</v>
      </c>
      <c r="M1909">
        <v>63.58</v>
      </c>
      <c r="P1909">
        <v>57.67</v>
      </c>
      <c r="S1909">
        <v>64.94</v>
      </c>
      <c r="U1909">
        <v>54.17</v>
      </c>
      <c r="Z1909" t="s">
        <v>5922</v>
      </c>
    </row>
    <row r="1910" spans="1:26" x14ac:dyDescent="0.2">
      <c r="A1910" t="s">
        <v>6677</v>
      </c>
      <c r="B1910" t="s">
        <v>7370</v>
      </c>
      <c r="C1910" t="s">
        <v>7371</v>
      </c>
      <c r="D1910" t="s">
        <v>105</v>
      </c>
      <c r="E1910">
        <v>89.99</v>
      </c>
      <c r="F1910" t="s">
        <v>6914</v>
      </c>
      <c r="L1910" t="s">
        <v>5922</v>
      </c>
      <c r="Z1910" t="s">
        <v>5922</v>
      </c>
    </row>
    <row r="1911" spans="1:26" x14ac:dyDescent="0.2">
      <c r="A1911" t="s">
        <v>6677</v>
      </c>
      <c r="B1911" t="s">
        <v>7372</v>
      </c>
      <c r="C1911" t="s">
        <v>7373</v>
      </c>
      <c r="D1911" t="s">
        <v>105</v>
      </c>
      <c r="E1911">
        <v>0</v>
      </c>
      <c r="F1911" t="s">
        <v>6901</v>
      </c>
      <c r="L1911" t="s">
        <v>5922</v>
      </c>
      <c r="M1911">
        <v>0</v>
      </c>
      <c r="S1911">
        <v>0</v>
      </c>
      <c r="Z1911" t="s">
        <v>5922</v>
      </c>
    </row>
    <row r="1912" spans="1:26" x14ac:dyDescent="0.2">
      <c r="A1912" t="s">
        <v>3597</v>
      </c>
      <c r="B1912" t="s">
        <v>3598</v>
      </c>
      <c r="C1912" t="s">
        <v>3599</v>
      </c>
      <c r="D1912" t="s">
        <v>98</v>
      </c>
      <c r="E1912">
        <v>49.99</v>
      </c>
      <c r="F1912" t="s">
        <v>5922</v>
      </c>
      <c r="G1912">
        <v>43.47</v>
      </c>
      <c r="H1912">
        <v>36.950000000000003</v>
      </c>
      <c r="I1912">
        <v>34.78</v>
      </c>
      <c r="J1912">
        <v>34.78</v>
      </c>
      <c r="K1912">
        <v>34.78</v>
      </c>
      <c r="L1912" t="s">
        <v>5922</v>
      </c>
      <c r="M1912">
        <v>43.47</v>
      </c>
      <c r="N1912">
        <v>43.47</v>
      </c>
      <c r="O1912">
        <v>30.43</v>
      </c>
      <c r="P1912">
        <v>34.78</v>
      </c>
      <c r="Q1912">
        <v>34.78</v>
      </c>
      <c r="R1912">
        <v>43.47</v>
      </c>
      <c r="S1912">
        <v>43.47</v>
      </c>
      <c r="T1912">
        <v>34.78</v>
      </c>
      <c r="U1912">
        <v>30.43</v>
      </c>
      <c r="V1912">
        <v>30.43</v>
      </c>
      <c r="W1912">
        <v>34.78</v>
      </c>
      <c r="X1912">
        <v>34.78</v>
      </c>
      <c r="Y1912">
        <v>49.99</v>
      </c>
      <c r="Z1912" t="s">
        <v>5922</v>
      </c>
    </row>
    <row r="1913" spans="1:26" x14ac:dyDescent="0.2">
      <c r="A1913" t="s">
        <v>3597</v>
      </c>
      <c r="B1913" t="s">
        <v>3600</v>
      </c>
      <c r="C1913" t="s">
        <v>3601</v>
      </c>
      <c r="D1913" t="s">
        <v>98</v>
      </c>
      <c r="E1913">
        <v>49.99</v>
      </c>
      <c r="F1913" t="s">
        <v>5922</v>
      </c>
      <c r="G1913">
        <v>43.47</v>
      </c>
      <c r="H1913">
        <v>36.950000000000003</v>
      </c>
      <c r="I1913">
        <v>34.78</v>
      </c>
      <c r="J1913">
        <v>34.78</v>
      </c>
      <c r="K1913">
        <v>34.78</v>
      </c>
      <c r="L1913" t="s">
        <v>5922</v>
      </c>
      <c r="M1913">
        <v>43.47</v>
      </c>
      <c r="N1913">
        <v>43.47</v>
      </c>
      <c r="O1913">
        <v>30.43</v>
      </c>
      <c r="P1913">
        <v>34.78</v>
      </c>
      <c r="Q1913">
        <v>34.78</v>
      </c>
      <c r="R1913">
        <v>43.47</v>
      </c>
      <c r="S1913">
        <v>43.47</v>
      </c>
      <c r="T1913">
        <v>34.78</v>
      </c>
      <c r="U1913">
        <v>30.43</v>
      </c>
      <c r="V1913">
        <v>30.43</v>
      </c>
      <c r="W1913">
        <v>34.78</v>
      </c>
      <c r="X1913">
        <v>34.78</v>
      </c>
      <c r="Y1913">
        <v>49.99</v>
      </c>
      <c r="Z1913" t="s">
        <v>5922</v>
      </c>
    </row>
    <row r="1914" spans="1:26" x14ac:dyDescent="0.2">
      <c r="A1914" t="s">
        <v>3597</v>
      </c>
      <c r="B1914" t="s">
        <v>3602</v>
      </c>
      <c r="C1914" t="s">
        <v>3603</v>
      </c>
      <c r="D1914" t="s">
        <v>98</v>
      </c>
      <c r="E1914">
        <v>149.99</v>
      </c>
      <c r="F1914" t="s">
        <v>5922</v>
      </c>
      <c r="G1914">
        <v>130.43</v>
      </c>
      <c r="H1914">
        <v>110.86</v>
      </c>
      <c r="I1914">
        <v>104.34</v>
      </c>
      <c r="J1914">
        <v>104.34</v>
      </c>
      <c r="K1914">
        <v>104.34</v>
      </c>
      <c r="L1914" t="s">
        <v>5922</v>
      </c>
      <c r="M1914">
        <v>130.43</v>
      </c>
      <c r="N1914">
        <v>130.43</v>
      </c>
      <c r="O1914">
        <v>91.3</v>
      </c>
      <c r="P1914">
        <v>104.34</v>
      </c>
      <c r="Q1914">
        <v>104.34</v>
      </c>
      <c r="R1914">
        <v>130.43</v>
      </c>
      <c r="S1914">
        <v>130.43</v>
      </c>
      <c r="T1914">
        <v>104.34</v>
      </c>
      <c r="U1914">
        <v>91.3</v>
      </c>
      <c r="V1914">
        <v>91.3</v>
      </c>
      <c r="W1914">
        <v>104.34</v>
      </c>
      <c r="X1914">
        <v>104.34</v>
      </c>
      <c r="Y1914">
        <v>149.99</v>
      </c>
      <c r="Z1914" t="s">
        <v>5922</v>
      </c>
    </row>
    <row r="1915" spans="1:26" x14ac:dyDescent="0.2">
      <c r="A1915" t="s">
        <v>3597</v>
      </c>
      <c r="B1915" t="s">
        <v>3604</v>
      </c>
      <c r="C1915" t="s">
        <v>3605</v>
      </c>
      <c r="D1915" t="s">
        <v>138</v>
      </c>
      <c r="E1915">
        <v>44.99</v>
      </c>
      <c r="F1915" t="s">
        <v>5922</v>
      </c>
      <c r="G1915">
        <v>31.49</v>
      </c>
      <c r="H1915">
        <v>44.34</v>
      </c>
      <c r="I1915">
        <v>41.73</v>
      </c>
      <c r="J1915">
        <v>41.73</v>
      </c>
      <c r="K1915">
        <v>41.73</v>
      </c>
      <c r="L1915" t="s">
        <v>5922</v>
      </c>
      <c r="M1915">
        <v>52.17</v>
      </c>
      <c r="N1915">
        <v>52.17</v>
      </c>
      <c r="O1915">
        <v>36.520000000000003</v>
      </c>
      <c r="P1915">
        <v>41.73</v>
      </c>
      <c r="Q1915">
        <v>41.73</v>
      </c>
      <c r="R1915">
        <v>52.17</v>
      </c>
      <c r="S1915">
        <v>52.17</v>
      </c>
      <c r="T1915">
        <v>41.73</v>
      </c>
      <c r="U1915">
        <v>36.520000000000003</v>
      </c>
      <c r="V1915">
        <v>36.520000000000003</v>
      </c>
      <c r="W1915">
        <v>41.73</v>
      </c>
      <c r="X1915">
        <v>41.73</v>
      </c>
      <c r="Y1915">
        <v>44.99</v>
      </c>
      <c r="Z1915" t="s">
        <v>5922</v>
      </c>
    </row>
    <row r="1916" spans="1:26" x14ac:dyDescent="0.2">
      <c r="A1916" t="s">
        <v>3597</v>
      </c>
      <c r="B1916" t="s">
        <v>6056</v>
      </c>
      <c r="C1916" t="s">
        <v>3606</v>
      </c>
      <c r="D1916" t="s">
        <v>98</v>
      </c>
      <c r="E1916">
        <v>59.99</v>
      </c>
      <c r="F1916" t="s">
        <v>5922</v>
      </c>
      <c r="G1916">
        <v>54.99</v>
      </c>
      <c r="H1916">
        <v>44.34</v>
      </c>
      <c r="L1916" t="s">
        <v>5922</v>
      </c>
      <c r="U1916">
        <v>36.520000000000003</v>
      </c>
      <c r="V1916">
        <v>36.520000000000003</v>
      </c>
      <c r="W1916">
        <v>41.73</v>
      </c>
      <c r="X1916">
        <v>41.73</v>
      </c>
      <c r="Y1916">
        <v>54.99</v>
      </c>
      <c r="Z1916" t="s">
        <v>5922</v>
      </c>
    </row>
    <row r="1917" spans="1:26" x14ac:dyDescent="0.2">
      <c r="A1917" t="s">
        <v>3597</v>
      </c>
      <c r="B1917" t="s">
        <v>3607</v>
      </c>
      <c r="C1917" t="s">
        <v>3608</v>
      </c>
      <c r="D1917" t="s">
        <v>98</v>
      </c>
      <c r="E1917">
        <v>119.99</v>
      </c>
      <c r="F1917" t="s">
        <v>5922</v>
      </c>
      <c r="G1917">
        <v>119.99</v>
      </c>
      <c r="H1917">
        <v>88.69</v>
      </c>
      <c r="I1917">
        <v>83.47</v>
      </c>
      <c r="J1917">
        <v>83.47</v>
      </c>
      <c r="K1917">
        <v>83.47</v>
      </c>
      <c r="L1917" t="s">
        <v>5922</v>
      </c>
      <c r="M1917">
        <v>104.34</v>
      </c>
      <c r="N1917">
        <v>104.34</v>
      </c>
      <c r="O1917">
        <v>73.040000000000006</v>
      </c>
      <c r="P1917">
        <v>83.47</v>
      </c>
      <c r="Q1917">
        <v>83.47</v>
      </c>
      <c r="R1917">
        <v>104.34</v>
      </c>
      <c r="S1917">
        <v>104.34</v>
      </c>
      <c r="T1917">
        <v>83.47</v>
      </c>
      <c r="U1917">
        <v>73.040000000000006</v>
      </c>
      <c r="V1917">
        <v>73.040000000000006</v>
      </c>
      <c r="W1917">
        <v>83.47</v>
      </c>
      <c r="X1917">
        <v>83.47</v>
      </c>
      <c r="Y1917">
        <v>119.99</v>
      </c>
      <c r="Z1917" t="s">
        <v>5922</v>
      </c>
    </row>
    <row r="1918" spans="1:26" x14ac:dyDescent="0.2">
      <c r="A1918" t="s">
        <v>3597</v>
      </c>
      <c r="B1918" t="s">
        <v>3609</v>
      </c>
      <c r="C1918" t="s">
        <v>3610</v>
      </c>
      <c r="D1918" t="s">
        <v>98</v>
      </c>
      <c r="E1918">
        <v>44.99</v>
      </c>
      <c r="F1918" t="s">
        <v>5922</v>
      </c>
      <c r="G1918">
        <v>24.49</v>
      </c>
      <c r="H1918">
        <v>33.25</v>
      </c>
      <c r="I1918">
        <v>31.3</v>
      </c>
      <c r="J1918">
        <v>31.3</v>
      </c>
      <c r="K1918">
        <v>31.3</v>
      </c>
      <c r="L1918" t="s">
        <v>5922</v>
      </c>
      <c r="M1918">
        <v>39.119999999999997</v>
      </c>
      <c r="N1918">
        <v>39.119999999999997</v>
      </c>
      <c r="O1918">
        <v>27.39</v>
      </c>
      <c r="P1918">
        <v>31.3</v>
      </c>
      <c r="Q1918">
        <v>31.3</v>
      </c>
      <c r="R1918">
        <v>39.119999999999997</v>
      </c>
      <c r="S1918">
        <v>39.119999999999997</v>
      </c>
      <c r="T1918">
        <v>31.3</v>
      </c>
      <c r="U1918">
        <v>27.39</v>
      </c>
      <c r="V1918">
        <v>27.39</v>
      </c>
      <c r="W1918">
        <v>31.3</v>
      </c>
      <c r="X1918">
        <v>31.3</v>
      </c>
      <c r="Y1918">
        <v>34.99</v>
      </c>
      <c r="Z1918" t="s">
        <v>5922</v>
      </c>
    </row>
    <row r="1919" spans="1:26" x14ac:dyDescent="0.2">
      <c r="A1919" t="s">
        <v>3597</v>
      </c>
      <c r="B1919" t="s">
        <v>3611</v>
      </c>
      <c r="C1919" t="s">
        <v>3612</v>
      </c>
      <c r="D1919" t="s">
        <v>98</v>
      </c>
      <c r="E1919">
        <v>179.99</v>
      </c>
      <c r="F1919" t="s">
        <v>5922</v>
      </c>
      <c r="G1919">
        <v>156.51</v>
      </c>
      <c r="H1919">
        <v>133.04</v>
      </c>
      <c r="I1919">
        <v>125.21</v>
      </c>
      <c r="J1919">
        <v>125.21</v>
      </c>
      <c r="K1919">
        <v>125.21</v>
      </c>
      <c r="L1919" t="s">
        <v>5922</v>
      </c>
      <c r="M1919">
        <v>156.51</v>
      </c>
      <c r="N1919">
        <v>156.51</v>
      </c>
      <c r="O1919">
        <v>109.56</v>
      </c>
      <c r="P1919">
        <v>125.21</v>
      </c>
      <c r="Q1919">
        <v>125.21</v>
      </c>
      <c r="R1919">
        <v>156.51</v>
      </c>
      <c r="S1919">
        <v>156.51</v>
      </c>
      <c r="T1919">
        <v>125.21</v>
      </c>
      <c r="U1919">
        <v>109.56</v>
      </c>
      <c r="V1919">
        <v>109.56</v>
      </c>
      <c r="W1919">
        <v>125.21</v>
      </c>
      <c r="X1919">
        <v>125.21</v>
      </c>
      <c r="Y1919">
        <v>179.99</v>
      </c>
      <c r="Z1919" t="s">
        <v>5922</v>
      </c>
    </row>
    <row r="1920" spans="1:26" x14ac:dyDescent="0.2">
      <c r="A1920" t="s">
        <v>3597</v>
      </c>
      <c r="B1920" t="s">
        <v>7374</v>
      </c>
      <c r="C1920" t="s">
        <v>3613</v>
      </c>
      <c r="D1920" t="s">
        <v>138</v>
      </c>
      <c r="E1920">
        <v>49.99</v>
      </c>
      <c r="F1920" t="s">
        <v>6969</v>
      </c>
      <c r="H1920">
        <v>34.78</v>
      </c>
      <c r="L1920" t="s">
        <v>5922</v>
      </c>
      <c r="U1920">
        <v>38.08</v>
      </c>
      <c r="V1920">
        <v>41.73</v>
      </c>
      <c r="X1920">
        <v>41.73</v>
      </c>
      <c r="Y1920">
        <v>49.99</v>
      </c>
      <c r="Z1920" t="s">
        <v>5922</v>
      </c>
    </row>
    <row r="1921" spans="1:26" x14ac:dyDescent="0.2">
      <c r="A1921" t="s">
        <v>3597</v>
      </c>
      <c r="B1921" t="s">
        <v>3614</v>
      </c>
      <c r="C1921" t="s">
        <v>3615</v>
      </c>
      <c r="D1921" t="s">
        <v>98</v>
      </c>
      <c r="E1921">
        <v>49.99</v>
      </c>
      <c r="F1921" t="s">
        <v>5922</v>
      </c>
      <c r="G1921">
        <v>43.47</v>
      </c>
      <c r="H1921">
        <v>36.950000000000003</v>
      </c>
      <c r="I1921">
        <v>34.78</v>
      </c>
      <c r="J1921">
        <v>34.78</v>
      </c>
      <c r="K1921">
        <v>34.78</v>
      </c>
      <c r="L1921" t="s">
        <v>5922</v>
      </c>
      <c r="M1921">
        <v>43.47</v>
      </c>
      <c r="N1921">
        <v>43.47</v>
      </c>
      <c r="O1921">
        <v>30.43</v>
      </c>
      <c r="P1921">
        <v>34.78</v>
      </c>
      <c r="Q1921">
        <v>34.78</v>
      </c>
      <c r="R1921">
        <v>43.47</v>
      </c>
      <c r="S1921">
        <v>43.47</v>
      </c>
      <c r="T1921">
        <v>34.78</v>
      </c>
      <c r="U1921">
        <v>30.43</v>
      </c>
      <c r="V1921">
        <v>30.43</v>
      </c>
      <c r="W1921">
        <v>34.78</v>
      </c>
      <c r="X1921">
        <v>34.78</v>
      </c>
      <c r="Y1921">
        <v>49.99</v>
      </c>
      <c r="Z1921" t="s">
        <v>5922</v>
      </c>
    </row>
    <row r="1922" spans="1:26" x14ac:dyDescent="0.2">
      <c r="A1922" t="s">
        <v>3597</v>
      </c>
      <c r="B1922" t="s">
        <v>3616</v>
      </c>
      <c r="C1922" t="s">
        <v>3617</v>
      </c>
      <c r="D1922" t="s">
        <v>98</v>
      </c>
      <c r="E1922">
        <v>109.99</v>
      </c>
      <c r="F1922" t="s">
        <v>5922</v>
      </c>
      <c r="G1922">
        <v>76.989999999999995</v>
      </c>
      <c r="H1922">
        <v>81.3</v>
      </c>
      <c r="I1922">
        <v>76.510000000000005</v>
      </c>
      <c r="J1922">
        <v>76.510000000000005</v>
      </c>
      <c r="K1922">
        <v>76.510000000000005</v>
      </c>
      <c r="L1922" t="s">
        <v>5922</v>
      </c>
      <c r="M1922">
        <v>95.64</v>
      </c>
      <c r="N1922">
        <v>95.64</v>
      </c>
      <c r="O1922">
        <v>66.95</v>
      </c>
      <c r="P1922">
        <v>76.510000000000005</v>
      </c>
      <c r="Q1922">
        <v>76.510000000000005</v>
      </c>
      <c r="R1922">
        <v>95.64</v>
      </c>
      <c r="S1922">
        <v>95.64</v>
      </c>
      <c r="T1922">
        <v>76.510000000000005</v>
      </c>
      <c r="U1922">
        <v>66.95</v>
      </c>
      <c r="V1922">
        <v>66.95</v>
      </c>
      <c r="W1922">
        <v>76.510000000000005</v>
      </c>
      <c r="X1922">
        <v>83.47</v>
      </c>
      <c r="Y1922">
        <v>109.99</v>
      </c>
      <c r="Z1922" t="s">
        <v>5922</v>
      </c>
    </row>
    <row r="1923" spans="1:26" x14ac:dyDescent="0.2">
      <c r="A1923" t="s">
        <v>3597</v>
      </c>
      <c r="B1923" t="s">
        <v>3618</v>
      </c>
      <c r="C1923" t="s">
        <v>3619</v>
      </c>
      <c r="D1923" t="s">
        <v>98</v>
      </c>
      <c r="E1923">
        <v>69.989999999999995</v>
      </c>
      <c r="F1923" t="s">
        <v>5922</v>
      </c>
      <c r="G1923">
        <v>60.86</v>
      </c>
      <c r="H1923">
        <v>51.73</v>
      </c>
      <c r="I1923">
        <v>48.69</v>
      </c>
      <c r="J1923">
        <v>48.69</v>
      </c>
      <c r="K1923">
        <v>48.69</v>
      </c>
      <c r="L1923" t="s">
        <v>5922</v>
      </c>
      <c r="M1923">
        <v>60.86</v>
      </c>
      <c r="N1923">
        <v>60.86</v>
      </c>
      <c r="O1923">
        <v>42.6</v>
      </c>
      <c r="P1923">
        <v>48.69</v>
      </c>
      <c r="Q1923">
        <v>48.69</v>
      </c>
      <c r="R1923">
        <v>60.86</v>
      </c>
      <c r="S1923">
        <v>60.86</v>
      </c>
      <c r="T1923">
        <v>48.69</v>
      </c>
      <c r="U1923">
        <v>42.6</v>
      </c>
      <c r="V1923">
        <v>42.6</v>
      </c>
      <c r="W1923">
        <v>48.69</v>
      </c>
      <c r="X1923">
        <v>48.69</v>
      </c>
      <c r="Y1923">
        <v>49.99</v>
      </c>
      <c r="Z1923" t="s">
        <v>5922</v>
      </c>
    </row>
    <row r="1924" spans="1:26" x14ac:dyDescent="0.2">
      <c r="A1924" t="s">
        <v>3597</v>
      </c>
      <c r="B1924" t="s">
        <v>3620</v>
      </c>
      <c r="C1924" t="s">
        <v>3621</v>
      </c>
      <c r="D1924" t="s">
        <v>138</v>
      </c>
      <c r="E1924">
        <v>294.99</v>
      </c>
      <c r="F1924" t="s">
        <v>7375</v>
      </c>
      <c r="G1924">
        <v>269.99</v>
      </c>
      <c r="H1924">
        <v>205.21</v>
      </c>
      <c r="I1924">
        <v>194.78</v>
      </c>
      <c r="J1924">
        <v>194.78</v>
      </c>
      <c r="K1924">
        <v>194.78</v>
      </c>
      <c r="L1924" t="s">
        <v>5922</v>
      </c>
      <c r="M1924">
        <v>243.47</v>
      </c>
      <c r="N1924">
        <v>243.47</v>
      </c>
      <c r="O1924">
        <v>170.43</v>
      </c>
      <c r="P1924">
        <v>194.78</v>
      </c>
      <c r="Q1924">
        <v>176.08</v>
      </c>
      <c r="R1924">
        <v>176.08</v>
      </c>
      <c r="S1924">
        <v>243.47</v>
      </c>
      <c r="T1924">
        <v>194.78</v>
      </c>
      <c r="U1924">
        <v>187.25</v>
      </c>
      <c r="V1924">
        <v>201.73</v>
      </c>
      <c r="W1924">
        <v>206.95</v>
      </c>
      <c r="X1924">
        <v>194.78</v>
      </c>
      <c r="Y1924">
        <v>294.99</v>
      </c>
      <c r="Z1924" t="s">
        <v>5922</v>
      </c>
    </row>
    <row r="1925" spans="1:26" x14ac:dyDescent="0.2">
      <c r="A1925" t="s">
        <v>3597</v>
      </c>
      <c r="B1925" t="s">
        <v>3622</v>
      </c>
      <c r="C1925" t="s">
        <v>3623</v>
      </c>
      <c r="D1925" t="s">
        <v>98</v>
      </c>
      <c r="E1925">
        <v>219.99</v>
      </c>
      <c r="F1925" t="s">
        <v>5922</v>
      </c>
      <c r="G1925">
        <v>191.3</v>
      </c>
      <c r="H1925">
        <v>162.6</v>
      </c>
      <c r="I1925">
        <v>153.04</v>
      </c>
      <c r="J1925">
        <v>153.04</v>
      </c>
      <c r="K1925">
        <v>153.04</v>
      </c>
      <c r="L1925" t="s">
        <v>5922</v>
      </c>
      <c r="M1925">
        <v>191.3</v>
      </c>
      <c r="N1925">
        <v>191.3</v>
      </c>
      <c r="O1925">
        <v>133.91</v>
      </c>
      <c r="P1925">
        <v>153.04</v>
      </c>
      <c r="Q1925">
        <v>153.04</v>
      </c>
      <c r="R1925">
        <v>191.3</v>
      </c>
      <c r="S1925">
        <v>191.3</v>
      </c>
      <c r="T1925">
        <v>153.04</v>
      </c>
      <c r="U1925">
        <v>133.91</v>
      </c>
      <c r="V1925">
        <v>133.91</v>
      </c>
      <c r="W1925">
        <v>153.04</v>
      </c>
      <c r="X1925">
        <v>153.04</v>
      </c>
      <c r="Y1925">
        <v>219.99</v>
      </c>
      <c r="Z1925" t="s">
        <v>5922</v>
      </c>
    </row>
    <row r="1926" spans="1:26" x14ac:dyDescent="0.2">
      <c r="A1926" t="s">
        <v>3597</v>
      </c>
      <c r="B1926" t="s">
        <v>6057</v>
      </c>
      <c r="C1926" t="s">
        <v>3624</v>
      </c>
      <c r="D1926" t="s">
        <v>98</v>
      </c>
      <c r="E1926">
        <v>599.99</v>
      </c>
      <c r="F1926" t="s">
        <v>5922</v>
      </c>
      <c r="G1926">
        <v>599.99</v>
      </c>
      <c r="H1926">
        <v>391.3</v>
      </c>
      <c r="L1926" t="s">
        <v>5922</v>
      </c>
      <c r="Q1926">
        <v>391.3</v>
      </c>
      <c r="R1926">
        <v>391.3</v>
      </c>
      <c r="U1926">
        <v>412.6</v>
      </c>
      <c r="V1926">
        <v>412.6</v>
      </c>
      <c r="W1926">
        <v>417.38</v>
      </c>
      <c r="X1926">
        <v>417.38</v>
      </c>
      <c r="Y1926">
        <v>599.99</v>
      </c>
      <c r="Z1926" t="s">
        <v>5922</v>
      </c>
    </row>
    <row r="1927" spans="1:26" x14ac:dyDescent="0.2">
      <c r="A1927" t="s">
        <v>3597</v>
      </c>
      <c r="B1927" t="s">
        <v>6058</v>
      </c>
      <c r="C1927" t="s">
        <v>3625</v>
      </c>
      <c r="D1927" t="s">
        <v>98</v>
      </c>
      <c r="E1927">
        <v>359.99</v>
      </c>
      <c r="F1927" t="s">
        <v>5922</v>
      </c>
      <c r="G1927">
        <v>359.99</v>
      </c>
      <c r="H1927">
        <v>234.78</v>
      </c>
      <c r="L1927" t="s">
        <v>5922</v>
      </c>
      <c r="Q1927">
        <v>234.78</v>
      </c>
      <c r="R1927">
        <v>234.78</v>
      </c>
      <c r="U1927">
        <v>241.21</v>
      </c>
      <c r="V1927">
        <v>241.21</v>
      </c>
      <c r="W1927">
        <v>250.43</v>
      </c>
      <c r="X1927">
        <v>250.43</v>
      </c>
      <c r="Y1927">
        <v>359.99</v>
      </c>
      <c r="Z1927" t="s">
        <v>5922</v>
      </c>
    </row>
    <row r="1928" spans="1:26" x14ac:dyDescent="0.2">
      <c r="A1928" t="s">
        <v>3597</v>
      </c>
      <c r="B1928" t="s">
        <v>6059</v>
      </c>
      <c r="C1928" t="s">
        <v>3626</v>
      </c>
      <c r="D1928" t="s">
        <v>98</v>
      </c>
      <c r="E1928">
        <v>249.99</v>
      </c>
      <c r="F1928" t="s">
        <v>5922</v>
      </c>
      <c r="G1928">
        <v>249.99</v>
      </c>
      <c r="H1928">
        <v>163.04</v>
      </c>
      <c r="L1928" t="s">
        <v>5922</v>
      </c>
      <c r="Q1928">
        <v>163.04</v>
      </c>
      <c r="R1928">
        <v>163.04</v>
      </c>
      <c r="U1928">
        <v>174.56</v>
      </c>
      <c r="V1928">
        <v>174.56</v>
      </c>
      <c r="W1928">
        <v>173.91</v>
      </c>
      <c r="X1928">
        <v>173.91</v>
      </c>
      <c r="Y1928">
        <v>249.99</v>
      </c>
      <c r="Z1928" t="s">
        <v>5922</v>
      </c>
    </row>
    <row r="1929" spans="1:26" x14ac:dyDescent="0.2">
      <c r="A1929" t="s">
        <v>3597</v>
      </c>
      <c r="B1929" t="s">
        <v>3627</v>
      </c>
      <c r="C1929" t="s">
        <v>3628</v>
      </c>
      <c r="D1929" t="s">
        <v>98</v>
      </c>
      <c r="E1929">
        <v>239.99</v>
      </c>
      <c r="F1929" t="s">
        <v>5922</v>
      </c>
      <c r="G1929">
        <v>239.99</v>
      </c>
      <c r="H1929">
        <v>156.52000000000001</v>
      </c>
      <c r="I1929">
        <v>146.08000000000001</v>
      </c>
      <c r="J1929">
        <v>146.08000000000001</v>
      </c>
      <c r="L1929" t="s">
        <v>5922</v>
      </c>
      <c r="Q1929">
        <v>156.52000000000001</v>
      </c>
      <c r="R1929">
        <v>156.52000000000001</v>
      </c>
      <c r="U1929">
        <v>158.69</v>
      </c>
      <c r="V1929">
        <v>158.69</v>
      </c>
      <c r="W1929">
        <v>177.38</v>
      </c>
      <c r="X1929">
        <v>166.95</v>
      </c>
      <c r="Y1929">
        <v>239.99</v>
      </c>
      <c r="Z1929" t="s">
        <v>5922</v>
      </c>
    </row>
    <row r="1930" spans="1:26" x14ac:dyDescent="0.2">
      <c r="A1930" t="s">
        <v>3597</v>
      </c>
      <c r="B1930" t="s">
        <v>6060</v>
      </c>
      <c r="C1930" t="s">
        <v>3629</v>
      </c>
      <c r="D1930" t="s">
        <v>98</v>
      </c>
      <c r="E1930">
        <v>574.99</v>
      </c>
      <c r="F1930" t="s">
        <v>5922</v>
      </c>
      <c r="G1930">
        <v>574.99</v>
      </c>
      <c r="H1930">
        <v>374.99</v>
      </c>
      <c r="L1930" t="s">
        <v>5922</v>
      </c>
      <c r="Q1930">
        <v>374.99</v>
      </c>
      <c r="R1930">
        <v>374.99</v>
      </c>
      <c r="U1930">
        <v>417.38</v>
      </c>
      <c r="V1930">
        <v>380.86</v>
      </c>
      <c r="W1930">
        <v>461.73</v>
      </c>
      <c r="X1930">
        <v>410.43</v>
      </c>
      <c r="Y1930">
        <v>574.99</v>
      </c>
      <c r="Z1930" t="s">
        <v>5922</v>
      </c>
    </row>
    <row r="1931" spans="1:26" x14ac:dyDescent="0.2">
      <c r="A1931" t="s">
        <v>3597</v>
      </c>
      <c r="B1931" t="s">
        <v>3630</v>
      </c>
      <c r="C1931" t="s">
        <v>3631</v>
      </c>
      <c r="D1931" t="s">
        <v>98</v>
      </c>
      <c r="E1931">
        <v>189.99</v>
      </c>
      <c r="F1931" t="s">
        <v>5922</v>
      </c>
      <c r="G1931">
        <v>165.21</v>
      </c>
      <c r="H1931">
        <v>140.43</v>
      </c>
      <c r="I1931">
        <v>132.16999999999999</v>
      </c>
      <c r="J1931">
        <v>132.16999999999999</v>
      </c>
      <c r="K1931">
        <v>132.16999999999999</v>
      </c>
      <c r="L1931" t="s">
        <v>5922</v>
      </c>
      <c r="M1931">
        <v>165.21</v>
      </c>
      <c r="N1931">
        <v>165.21</v>
      </c>
      <c r="O1931">
        <v>115.65</v>
      </c>
      <c r="P1931">
        <v>132.16999999999999</v>
      </c>
      <c r="Q1931">
        <v>132.16999999999999</v>
      </c>
      <c r="R1931">
        <v>165.21</v>
      </c>
      <c r="S1931">
        <v>165.21</v>
      </c>
      <c r="T1931">
        <v>132.16999999999999</v>
      </c>
      <c r="U1931">
        <v>115.65</v>
      </c>
      <c r="V1931">
        <v>115.65</v>
      </c>
      <c r="W1931">
        <v>132.16999999999999</v>
      </c>
      <c r="X1931">
        <v>132.16999999999999</v>
      </c>
      <c r="Y1931">
        <v>189.99</v>
      </c>
      <c r="Z1931" t="s">
        <v>5922</v>
      </c>
    </row>
    <row r="1932" spans="1:26" x14ac:dyDescent="0.2">
      <c r="A1932" t="s">
        <v>3597</v>
      </c>
      <c r="B1932" t="s">
        <v>7376</v>
      </c>
      <c r="C1932" t="s">
        <v>3632</v>
      </c>
      <c r="D1932" t="s">
        <v>98</v>
      </c>
      <c r="E1932">
        <v>59.99</v>
      </c>
      <c r="F1932" t="s">
        <v>6889</v>
      </c>
      <c r="H1932">
        <v>41.73</v>
      </c>
      <c r="L1932" t="s">
        <v>5922</v>
      </c>
      <c r="U1932">
        <v>44.43</v>
      </c>
      <c r="V1932">
        <v>48.69</v>
      </c>
      <c r="X1932">
        <v>48.69</v>
      </c>
      <c r="Y1932">
        <v>59.99</v>
      </c>
      <c r="Z1932" t="s">
        <v>5922</v>
      </c>
    </row>
    <row r="1933" spans="1:26" x14ac:dyDescent="0.2">
      <c r="A1933" t="s">
        <v>3597</v>
      </c>
      <c r="B1933" t="s">
        <v>3633</v>
      </c>
      <c r="C1933" t="s">
        <v>3634</v>
      </c>
      <c r="D1933" t="s">
        <v>98</v>
      </c>
      <c r="E1933">
        <v>39.99</v>
      </c>
      <c r="F1933" t="s">
        <v>5922</v>
      </c>
      <c r="G1933">
        <v>27.99</v>
      </c>
      <c r="H1933">
        <v>29.56</v>
      </c>
      <c r="I1933">
        <v>27.82</v>
      </c>
      <c r="J1933">
        <v>27.82</v>
      </c>
      <c r="K1933">
        <v>27.82</v>
      </c>
      <c r="L1933" t="s">
        <v>5922</v>
      </c>
      <c r="M1933">
        <v>34.770000000000003</v>
      </c>
      <c r="N1933">
        <v>34.770000000000003</v>
      </c>
      <c r="O1933">
        <v>24.34</v>
      </c>
      <c r="P1933">
        <v>27.82</v>
      </c>
      <c r="Q1933">
        <v>27.82</v>
      </c>
      <c r="R1933">
        <v>34.770000000000003</v>
      </c>
      <c r="S1933">
        <v>34.770000000000003</v>
      </c>
      <c r="T1933">
        <v>27.82</v>
      </c>
      <c r="U1933">
        <v>24.34</v>
      </c>
      <c r="V1933">
        <v>24.34</v>
      </c>
      <c r="W1933">
        <v>27.82</v>
      </c>
      <c r="X1933">
        <v>27.82</v>
      </c>
      <c r="Y1933">
        <v>39.99</v>
      </c>
      <c r="Z1933" t="s">
        <v>5922</v>
      </c>
    </row>
    <row r="1934" spans="1:26" x14ac:dyDescent="0.2">
      <c r="A1934" t="s">
        <v>3597</v>
      </c>
      <c r="B1934" t="s">
        <v>6061</v>
      </c>
      <c r="C1934" t="s">
        <v>3635</v>
      </c>
      <c r="D1934" t="s">
        <v>138</v>
      </c>
      <c r="E1934">
        <v>89.99</v>
      </c>
      <c r="F1934" t="s">
        <v>6914</v>
      </c>
      <c r="G1934">
        <v>79.989999999999995</v>
      </c>
      <c r="H1934">
        <v>62.6</v>
      </c>
      <c r="L1934" t="s">
        <v>5922</v>
      </c>
      <c r="Q1934">
        <v>52.17</v>
      </c>
      <c r="R1934">
        <v>52.17</v>
      </c>
      <c r="U1934">
        <v>57.12</v>
      </c>
      <c r="V1934">
        <v>62.6</v>
      </c>
      <c r="W1934">
        <v>62.6</v>
      </c>
      <c r="X1934">
        <v>55.65</v>
      </c>
      <c r="Y1934">
        <v>89.99</v>
      </c>
      <c r="Z1934" t="s">
        <v>5922</v>
      </c>
    </row>
    <row r="1935" spans="1:26" x14ac:dyDescent="0.2">
      <c r="A1935" t="s">
        <v>3597</v>
      </c>
      <c r="B1935" t="s">
        <v>6062</v>
      </c>
      <c r="C1935" t="s">
        <v>3636</v>
      </c>
      <c r="D1935" t="s">
        <v>138</v>
      </c>
      <c r="E1935">
        <v>74.989999999999995</v>
      </c>
      <c r="F1935" t="s">
        <v>7377</v>
      </c>
      <c r="G1935">
        <v>69.989999999999995</v>
      </c>
      <c r="H1935">
        <v>52.17</v>
      </c>
      <c r="L1935" t="s">
        <v>5922</v>
      </c>
      <c r="Q1935">
        <v>45.65</v>
      </c>
      <c r="R1935">
        <v>45.65</v>
      </c>
      <c r="U1935">
        <v>50.78</v>
      </c>
      <c r="V1935">
        <v>55.65</v>
      </c>
      <c r="W1935">
        <v>54.77</v>
      </c>
      <c r="X1935">
        <v>48.69</v>
      </c>
      <c r="Y1935">
        <v>74.989999999999995</v>
      </c>
      <c r="Z1935" t="s">
        <v>5922</v>
      </c>
    </row>
    <row r="1936" spans="1:26" x14ac:dyDescent="0.2">
      <c r="A1936" t="s">
        <v>3597</v>
      </c>
      <c r="B1936" t="s">
        <v>6063</v>
      </c>
      <c r="C1936" t="s">
        <v>3637</v>
      </c>
      <c r="D1936" t="s">
        <v>105</v>
      </c>
      <c r="E1936">
        <v>109.99</v>
      </c>
      <c r="F1936" t="s">
        <v>7025</v>
      </c>
      <c r="G1936">
        <v>99.99</v>
      </c>
      <c r="H1936">
        <v>76.510000000000005</v>
      </c>
      <c r="L1936" t="s">
        <v>5922</v>
      </c>
      <c r="Q1936">
        <v>65.209999999999994</v>
      </c>
      <c r="R1936">
        <v>65.209999999999994</v>
      </c>
      <c r="U1936">
        <v>69.819999999999993</v>
      </c>
      <c r="V1936">
        <v>76.510000000000005</v>
      </c>
      <c r="W1936">
        <v>78.25</v>
      </c>
      <c r="X1936">
        <v>69.56</v>
      </c>
      <c r="Y1936">
        <v>109.99</v>
      </c>
      <c r="Z1936" t="s">
        <v>5922</v>
      </c>
    </row>
    <row r="1937" spans="1:26" x14ac:dyDescent="0.2">
      <c r="A1937" t="s">
        <v>3597</v>
      </c>
      <c r="B1937" t="s">
        <v>3638</v>
      </c>
      <c r="C1937" t="s">
        <v>3639</v>
      </c>
      <c r="D1937" t="s">
        <v>98</v>
      </c>
      <c r="E1937">
        <v>129.99</v>
      </c>
      <c r="F1937" t="s">
        <v>5922</v>
      </c>
      <c r="G1937">
        <v>113.03</v>
      </c>
      <c r="H1937">
        <v>96.08</v>
      </c>
      <c r="I1937">
        <v>90.43</v>
      </c>
      <c r="J1937">
        <v>90.43</v>
      </c>
      <c r="K1937">
        <v>90.43</v>
      </c>
      <c r="L1937" t="s">
        <v>5922</v>
      </c>
      <c r="M1937">
        <v>113.03</v>
      </c>
      <c r="N1937">
        <v>113.03</v>
      </c>
      <c r="O1937">
        <v>79.12</v>
      </c>
      <c r="P1937">
        <v>90.43</v>
      </c>
      <c r="Q1937">
        <v>90.43</v>
      </c>
      <c r="R1937">
        <v>113.03</v>
      </c>
      <c r="S1937">
        <v>113.03</v>
      </c>
      <c r="T1937">
        <v>90.43</v>
      </c>
      <c r="U1937">
        <v>79.12</v>
      </c>
      <c r="V1937">
        <v>79.12</v>
      </c>
      <c r="W1937">
        <v>90.43</v>
      </c>
      <c r="X1937">
        <v>90.43</v>
      </c>
      <c r="Y1937">
        <v>129.99</v>
      </c>
      <c r="Z1937" t="s">
        <v>5922</v>
      </c>
    </row>
    <row r="1938" spans="1:26" x14ac:dyDescent="0.2">
      <c r="A1938" t="s">
        <v>3597</v>
      </c>
      <c r="B1938" t="s">
        <v>3640</v>
      </c>
      <c r="C1938" t="s">
        <v>3641</v>
      </c>
      <c r="D1938" t="s">
        <v>98</v>
      </c>
      <c r="E1938">
        <v>59.99</v>
      </c>
      <c r="F1938" t="s">
        <v>5922</v>
      </c>
      <c r="G1938">
        <v>44.99</v>
      </c>
      <c r="H1938">
        <v>44.34</v>
      </c>
      <c r="I1938">
        <v>41.73</v>
      </c>
      <c r="J1938">
        <v>41.73</v>
      </c>
      <c r="K1938">
        <v>41.73</v>
      </c>
      <c r="L1938" t="s">
        <v>5922</v>
      </c>
      <c r="M1938">
        <v>52.17</v>
      </c>
      <c r="N1938">
        <v>52.17</v>
      </c>
      <c r="O1938">
        <v>36.520000000000003</v>
      </c>
      <c r="P1938">
        <v>41.73</v>
      </c>
      <c r="Q1938">
        <v>41.73</v>
      </c>
      <c r="R1938">
        <v>52.17</v>
      </c>
      <c r="S1938">
        <v>52.17</v>
      </c>
      <c r="T1938">
        <v>41.73</v>
      </c>
      <c r="U1938">
        <v>41.52</v>
      </c>
      <c r="V1938">
        <v>36.520000000000003</v>
      </c>
      <c r="W1938">
        <v>41.73</v>
      </c>
      <c r="X1938">
        <v>41.73</v>
      </c>
      <c r="Y1938">
        <v>44.99</v>
      </c>
      <c r="Z1938" t="s">
        <v>5922</v>
      </c>
    </row>
    <row r="1939" spans="1:26" x14ac:dyDescent="0.2">
      <c r="A1939" t="s">
        <v>3597</v>
      </c>
      <c r="B1939" t="s">
        <v>3642</v>
      </c>
      <c r="C1939" t="s">
        <v>3643</v>
      </c>
      <c r="D1939" t="s">
        <v>98</v>
      </c>
      <c r="E1939">
        <v>99.99</v>
      </c>
      <c r="F1939" t="s">
        <v>5922</v>
      </c>
      <c r="G1939">
        <v>86.95</v>
      </c>
      <c r="H1939">
        <v>73.91</v>
      </c>
      <c r="I1939">
        <v>69.56</v>
      </c>
      <c r="J1939">
        <v>69.56</v>
      </c>
      <c r="K1939">
        <v>69.56</v>
      </c>
      <c r="L1939" t="s">
        <v>5922</v>
      </c>
      <c r="M1939">
        <v>86.95</v>
      </c>
      <c r="N1939">
        <v>86.95</v>
      </c>
      <c r="O1939">
        <v>60.86</v>
      </c>
      <c r="P1939">
        <v>69.56</v>
      </c>
      <c r="Q1939">
        <v>69.56</v>
      </c>
      <c r="R1939">
        <v>86.95</v>
      </c>
      <c r="S1939">
        <v>86.95</v>
      </c>
      <c r="T1939">
        <v>69.56</v>
      </c>
      <c r="U1939">
        <v>60.86</v>
      </c>
      <c r="V1939">
        <v>60.86</v>
      </c>
      <c r="W1939">
        <v>69.56</v>
      </c>
      <c r="X1939">
        <v>69.56</v>
      </c>
      <c r="Y1939">
        <v>99.99</v>
      </c>
      <c r="Z1939" t="s">
        <v>5922</v>
      </c>
    </row>
    <row r="1940" spans="1:26" x14ac:dyDescent="0.2">
      <c r="A1940" t="s">
        <v>3597</v>
      </c>
      <c r="B1940" t="s">
        <v>3644</v>
      </c>
      <c r="C1940" t="s">
        <v>3645</v>
      </c>
      <c r="D1940" t="s">
        <v>98</v>
      </c>
      <c r="E1940">
        <v>84.99</v>
      </c>
      <c r="F1940" t="s">
        <v>5922</v>
      </c>
      <c r="G1940">
        <v>55.99</v>
      </c>
      <c r="H1940">
        <v>62.82</v>
      </c>
      <c r="I1940">
        <v>59.12</v>
      </c>
      <c r="J1940">
        <v>59.12</v>
      </c>
      <c r="K1940">
        <v>59.12</v>
      </c>
      <c r="L1940" t="s">
        <v>5922</v>
      </c>
      <c r="M1940">
        <v>73.900000000000006</v>
      </c>
      <c r="N1940">
        <v>73.900000000000006</v>
      </c>
      <c r="O1940">
        <v>51.73</v>
      </c>
      <c r="P1940">
        <v>59.12</v>
      </c>
      <c r="Q1940">
        <v>59.12</v>
      </c>
      <c r="R1940">
        <v>73.900000000000006</v>
      </c>
      <c r="S1940">
        <v>73.900000000000006</v>
      </c>
      <c r="T1940">
        <v>59.12</v>
      </c>
      <c r="U1940">
        <v>56.73</v>
      </c>
      <c r="V1940">
        <v>51.73</v>
      </c>
      <c r="W1940">
        <v>59.12</v>
      </c>
      <c r="X1940">
        <v>59.12</v>
      </c>
      <c r="Y1940">
        <v>69.989999999999995</v>
      </c>
      <c r="Z1940" t="s">
        <v>5922</v>
      </c>
    </row>
    <row r="1941" spans="1:26" x14ac:dyDescent="0.2">
      <c r="A1941" t="s">
        <v>3597</v>
      </c>
      <c r="B1941" t="s">
        <v>3646</v>
      </c>
      <c r="C1941" t="s">
        <v>3647</v>
      </c>
      <c r="D1941" t="s">
        <v>98</v>
      </c>
      <c r="E1941">
        <v>54.99</v>
      </c>
      <c r="F1941" t="s">
        <v>5922</v>
      </c>
      <c r="G1941">
        <v>47.82</v>
      </c>
      <c r="H1941">
        <v>40.64</v>
      </c>
      <c r="I1941">
        <v>38.25</v>
      </c>
      <c r="J1941">
        <v>38.25</v>
      </c>
      <c r="K1941">
        <v>38.25</v>
      </c>
      <c r="L1941" t="s">
        <v>5922</v>
      </c>
      <c r="M1941">
        <v>47.82</v>
      </c>
      <c r="N1941">
        <v>47.82</v>
      </c>
      <c r="O1941">
        <v>33.47</v>
      </c>
      <c r="P1941">
        <v>38.25</v>
      </c>
      <c r="Q1941">
        <v>38.25</v>
      </c>
      <c r="R1941">
        <v>47.82</v>
      </c>
      <c r="S1941">
        <v>47.82</v>
      </c>
      <c r="T1941">
        <v>38.25</v>
      </c>
      <c r="U1941">
        <v>33.47</v>
      </c>
      <c r="V1941">
        <v>33.47</v>
      </c>
      <c r="W1941">
        <v>38.25</v>
      </c>
      <c r="X1941">
        <v>38.25</v>
      </c>
      <c r="Y1941">
        <v>54.99</v>
      </c>
      <c r="Z1941" t="s">
        <v>5922</v>
      </c>
    </row>
    <row r="1942" spans="1:26" x14ac:dyDescent="0.2">
      <c r="A1942" t="s">
        <v>3597</v>
      </c>
      <c r="B1942" t="s">
        <v>6064</v>
      </c>
      <c r="C1942" t="s">
        <v>3648</v>
      </c>
      <c r="D1942" t="s">
        <v>98</v>
      </c>
      <c r="E1942">
        <v>459.99</v>
      </c>
      <c r="F1942" t="s">
        <v>5922</v>
      </c>
      <c r="G1942">
        <v>311.49</v>
      </c>
      <c r="H1942">
        <v>339.99</v>
      </c>
      <c r="L1942" t="s">
        <v>5922</v>
      </c>
      <c r="U1942">
        <v>279.99</v>
      </c>
      <c r="V1942">
        <v>279.99</v>
      </c>
      <c r="W1942">
        <v>319.99</v>
      </c>
      <c r="X1942">
        <v>319.99</v>
      </c>
      <c r="Y1942">
        <v>444.99</v>
      </c>
      <c r="Z1942" t="s">
        <v>5922</v>
      </c>
    </row>
    <row r="1943" spans="1:26" x14ac:dyDescent="0.2">
      <c r="A1943" t="s">
        <v>3597</v>
      </c>
      <c r="B1943" t="s">
        <v>3649</v>
      </c>
      <c r="C1943" t="s">
        <v>3650</v>
      </c>
      <c r="D1943" t="s">
        <v>98</v>
      </c>
      <c r="E1943">
        <v>49.99</v>
      </c>
      <c r="F1943" t="s">
        <v>5922</v>
      </c>
      <c r="G1943">
        <v>34.99</v>
      </c>
      <c r="H1943">
        <v>36.950000000000003</v>
      </c>
      <c r="I1943">
        <v>34.78</v>
      </c>
      <c r="J1943">
        <v>34.78</v>
      </c>
      <c r="K1943">
        <v>34.78</v>
      </c>
      <c r="L1943" t="s">
        <v>5922</v>
      </c>
      <c r="M1943">
        <v>43.47</v>
      </c>
      <c r="N1943">
        <v>43.47</v>
      </c>
      <c r="O1943">
        <v>30.43</v>
      </c>
      <c r="P1943">
        <v>34.78</v>
      </c>
      <c r="Q1943">
        <v>34.78</v>
      </c>
      <c r="R1943">
        <v>43.47</v>
      </c>
      <c r="S1943">
        <v>43.47</v>
      </c>
      <c r="T1943">
        <v>34.78</v>
      </c>
      <c r="U1943">
        <v>35.43</v>
      </c>
      <c r="V1943">
        <v>30.43</v>
      </c>
      <c r="W1943">
        <v>34.78</v>
      </c>
      <c r="X1943">
        <v>34.78</v>
      </c>
      <c r="Y1943">
        <v>34.99</v>
      </c>
      <c r="Z1943" t="s">
        <v>5922</v>
      </c>
    </row>
    <row r="1944" spans="1:26" x14ac:dyDescent="0.2">
      <c r="A1944" t="s">
        <v>3597</v>
      </c>
      <c r="B1944" t="s">
        <v>6065</v>
      </c>
      <c r="C1944" t="s">
        <v>3651</v>
      </c>
      <c r="D1944" t="s">
        <v>138</v>
      </c>
      <c r="E1944">
        <v>414.99</v>
      </c>
      <c r="F1944" t="s">
        <v>7378</v>
      </c>
      <c r="G1944">
        <v>379.99</v>
      </c>
      <c r="H1944">
        <v>288.69</v>
      </c>
      <c r="L1944" t="s">
        <v>5922</v>
      </c>
      <c r="Q1944">
        <v>247.82</v>
      </c>
      <c r="R1944">
        <v>247.82</v>
      </c>
      <c r="U1944">
        <v>263.43</v>
      </c>
      <c r="V1944">
        <v>285.20999999999998</v>
      </c>
      <c r="W1944">
        <v>297.38</v>
      </c>
      <c r="X1944">
        <v>264.33999999999997</v>
      </c>
      <c r="Y1944">
        <v>414.99</v>
      </c>
      <c r="Z1944" t="s">
        <v>5922</v>
      </c>
    </row>
    <row r="1945" spans="1:26" x14ac:dyDescent="0.2">
      <c r="A1945" t="s">
        <v>3597</v>
      </c>
      <c r="B1945" t="s">
        <v>3652</v>
      </c>
      <c r="C1945" t="s">
        <v>3651</v>
      </c>
      <c r="D1945" t="s">
        <v>98</v>
      </c>
      <c r="E1945">
        <v>379.99</v>
      </c>
      <c r="F1945" t="s">
        <v>5922</v>
      </c>
      <c r="G1945">
        <v>227.99</v>
      </c>
      <c r="H1945">
        <v>295.64</v>
      </c>
      <c r="I1945">
        <v>313.04000000000002</v>
      </c>
      <c r="J1945">
        <v>313.04000000000002</v>
      </c>
      <c r="K1945">
        <v>313.04000000000002</v>
      </c>
      <c r="L1945" t="s">
        <v>5922</v>
      </c>
      <c r="M1945">
        <v>391.3</v>
      </c>
      <c r="N1945">
        <v>391.3</v>
      </c>
      <c r="O1945">
        <v>273.91000000000003</v>
      </c>
      <c r="P1945">
        <v>313.04000000000002</v>
      </c>
      <c r="Q1945">
        <v>313.04000000000002</v>
      </c>
      <c r="R1945">
        <v>391.3</v>
      </c>
      <c r="S1945">
        <v>391.3</v>
      </c>
      <c r="T1945">
        <v>313.04000000000002</v>
      </c>
      <c r="U1945">
        <v>248.47</v>
      </c>
      <c r="V1945">
        <v>243.47</v>
      </c>
      <c r="W1945">
        <v>278.25</v>
      </c>
      <c r="X1945">
        <v>278.25</v>
      </c>
      <c r="Y1945">
        <v>379.99</v>
      </c>
      <c r="Z1945" t="s">
        <v>5922</v>
      </c>
    </row>
    <row r="1946" spans="1:26" x14ac:dyDescent="0.2">
      <c r="A1946" t="s">
        <v>3597</v>
      </c>
      <c r="B1946" t="s">
        <v>3653</v>
      </c>
      <c r="C1946" t="s">
        <v>3654</v>
      </c>
      <c r="D1946" t="s">
        <v>98</v>
      </c>
      <c r="E1946">
        <v>219.99</v>
      </c>
      <c r="F1946" t="s">
        <v>5922</v>
      </c>
      <c r="G1946">
        <v>199.99</v>
      </c>
      <c r="H1946">
        <v>162.6</v>
      </c>
      <c r="I1946">
        <v>173.91</v>
      </c>
      <c r="J1946">
        <v>173.91</v>
      </c>
      <c r="K1946">
        <v>173.91</v>
      </c>
      <c r="L1946" t="s">
        <v>5922</v>
      </c>
      <c r="M1946">
        <v>217.38</v>
      </c>
      <c r="N1946">
        <v>217.38</v>
      </c>
      <c r="O1946">
        <v>152.16999999999999</v>
      </c>
      <c r="P1946">
        <v>173.91</v>
      </c>
      <c r="Q1946">
        <v>173.91</v>
      </c>
      <c r="R1946">
        <v>217.38</v>
      </c>
      <c r="S1946">
        <v>217.38</v>
      </c>
      <c r="T1946">
        <v>173.91</v>
      </c>
      <c r="U1946">
        <v>138.91</v>
      </c>
      <c r="V1946">
        <v>133.91</v>
      </c>
      <c r="W1946">
        <v>153.04</v>
      </c>
      <c r="X1946">
        <v>153.04</v>
      </c>
      <c r="Y1946">
        <v>199.99</v>
      </c>
      <c r="Z1946" t="s">
        <v>5922</v>
      </c>
    </row>
    <row r="1947" spans="1:26" x14ac:dyDescent="0.2">
      <c r="A1947" t="s">
        <v>3597</v>
      </c>
      <c r="B1947" t="s">
        <v>6066</v>
      </c>
      <c r="C1947" t="s">
        <v>3655</v>
      </c>
      <c r="D1947" t="s">
        <v>98</v>
      </c>
      <c r="E1947">
        <v>29.99</v>
      </c>
      <c r="F1947" t="s">
        <v>5922</v>
      </c>
      <c r="G1947">
        <v>20.99</v>
      </c>
      <c r="H1947">
        <v>29.56</v>
      </c>
      <c r="I1947">
        <v>27.82</v>
      </c>
      <c r="J1947">
        <v>27.82</v>
      </c>
      <c r="K1947">
        <v>27.82</v>
      </c>
      <c r="L1947" t="s">
        <v>5922</v>
      </c>
      <c r="M1947">
        <v>34.770000000000003</v>
      </c>
      <c r="N1947">
        <v>34.770000000000003</v>
      </c>
      <c r="O1947">
        <v>24.34</v>
      </c>
      <c r="P1947">
        <v>27.82</v>
      </c>
      <c r="Q1947">
        <v>27.82</v>
      </c>
      <c r="R1947">
        <v>34.770000000000003</v>
      </c>
      <c r="S1947">
        <v>34.770000000000003</v>
      </c>
      <c r="T1947">
        <v>27.82</v>
      </c>
      <c r="U1947">
        <v>24.34</v>
      </c>
      <c r="V1947">
        <v>24.34</v>
      </c>
      <c r="W1947">
        <v>27.82</v>
      </c>
      <c r="X1947">
        <v>27.82</v>
      </c>
      <c r="Y1947">
        <v>29.99</v>
      </c>
      <c r="Z1947" t="s">
        <v>5922</v>
      </c>
    </row>
    <row r="1948" spans="1:26" x14ac:dyDescent="0.2">
      <c r="A1948" t="s">
        <v>3597</v>
      </c>
      <c r="B1948" t="s">
        <v>6067</v>
      </c>
      <c r="C1948" t="s">
        <v>3656</v>
      </c>
      <c r="D1948" t="s">
        <v>98</v>
      </c>
      <c r="E1948">
        <v>209.99</v>
      </c>
      <c r="F1948" t="s">
        <v>5922</v>
      </c>
      <c r="H1948">
        <v>136.94999999999999</v>
      </c>
      <c r="I1948">
        <v>159.99</v>
      </c>
      <c r="J1948">
        <v>159.99</v>
      </c>
      <c r="K1948">
        <v>159.99</v>
      </c>
      <c r="L1948" t="s">
        <v>5922</v>
      </c>
      <c r="M1948">
        <v>199.99</v>
      </c>
      <c r="N1948">
        <v>199.99</v>
      </c>
      <c r="O1948">
        <v>139.99</v>
      </c>
      <c r="P1948">
        <v>159.99</v>
      </c>
      <c r="Q1948">
        <v>136.94999999999999</v>
      </c>
      <c r="R1948">
        <v>136.94999999999999</v>
      </c>
      <c r="S1948">
        <v>199.99</v>
      </c>
      <c r="T1948">
        <v>159.99</v>
      </c>
      <c r="U1948">
        <v>145.99</v>
      </c>
      <c r="V1948">
        <v>145.99</v>
      </c>
      <c r="W1948">
        <v>169.99</v>
      </c>
      <c r="X1948">
        <v>159.99</v>
      </c>
      <c r="Y1948">
        <v>209.99</v>
      </c>
      <c r="Z1948" t="s">
        <v>5922</v>
      </c>
    </row>
    <row r="1949" spans="1:26" x14ac:dyDescent="0.2">
      <c r="A1949" t="s">
        <v>3597</v>
      </c>
      <c r="B1949" t="s">
        <v>3657</v>
      </c>
      <c r="C1949" t="s">
        <v>3658</v>
      </c>
      <c r="D1949" t="s">
        <v>98</v>
      </c>
      <c r="E1949">
        <v>64.989999999999995</v>
      </c>
      <c r="F1949" t="s">
        <v>5922</v>
      </c>
      <c r="G1949">
        <v>38.99</v>
      </c>
      <c r="H1949">
        <v>51.73</v>
      </c>
      <c r="I1949">
        <v>41.73</v>
      </c>
      <c r="J1949">
        <v>41.73</v>
      </c>
      <c r="K1949">
        <v>41.73</v>
      </c>
      <c r="L1949" t="s">
        <v>5922</v>
      </c>
      <c r="M1949">
        <v>52.17</v>
      </c>
      <c r="N1949">
        <v>52.17</v>
      </c>
      <c r="O1949">
        <v>36.520000000000003</v>
      </c>
      <c r="P1949">
        <v>41.73</v>
      </c>
      <c r="Q1949">
        <v>41.73</v>
      </c>
      <c r="R1949">
        <v>52.17</v>
      </c>
      <c r="S1949">
        <v>52.17</v>
      </c>
      <c r="T1949">
        <v>41.73</v>
      </c>
      <c r="U1949">
        <v>47.6</v>
      </c>
      <c r="V1949">
        <v>42.6</v>
      </c>
      <c r="W1949">
        <v>48.69</v>
      </c>
      <c r="X1949">
        <v>48.69</v>
      </c>
      <c r="Y1949">
        <v>64.989999999999995</v>
      </c>
      <c r="Z1949" t="s">
        <v>5922</v>
      </c>
    </row>
    <row r="1950" spans="1:26" x14ac:dyDescent="0.2">
      <c r="A1950" t="s">
        <v>3597</v>
      </c>
      <c r="B1950" t="s">
        <v>6068</v>
      </c>
      <c r="C1950" t="s">
        <v>3659</v>
      </c>
      <c r="D1950" t="s">
        <v>98</v>
      </c>
      <c r="E1950">
        <v>269.99</v>
      </c>
      <c r="F1950" t="s">
        <v>5922</v>
      </c>
      <c r="G1950">
        <v>269.99</v>
      </c>
      <c r="H1950">
        <v>176.08</v>
      </c>
      <c r="L1950" t="s">
        <v>5922</v>
      </c>
      <c r="Q1950">
        <v>176.08</v>
      </c>
      <c r="R1950">
        <v>176.08</v>
      </c>
      <c r="U1950">
        <v>171.38</v>
      </c>
      <c r="V1950">
        <v>171.38</v>
      </c>
      <c r="W1950">
        <v>199.56</v>
      </c>
      <c r="X1950">
        <v>187.82</v>
      </c>
      <c r="Y1950">
        <v>269.99</v>
      </c>
      <c r="Z1950" t="s">
        <v>5922</v>
      </c>
    </row>
    <row r="1951" spans="1:26" x14ac:dyDescent="0.2">
      <c r="A1951" t="s">
        <v>3597</v>
      </c>
      <c r="B1951" t="s">
        <v>6069</v>
      </c>
      <c r="C1951" t="s">
        <v>3660</v>
      </c>
      <c r="D1951" t="s">
        <v>98</v>
      </c>
      <c r="E1951">
        <v>199.99</v>
      </c>
      <c r="F1951" t="s">
        <v>5922</v>
      </c>
      <c r="G1951">
        <v>199.99</v>
      </c>
      <c r="H1951">
        <v>130.43</v>
      </c>
      <c r="L1951" t="s">
        <v>5922</v>
      </c>
      <c r="Q1951">
        <v>130.43</v>
      </c>
      <c r="R1951">
        <v>130.43</v>
      </c>
      <c r="U1951">
        <v>126.95</v>
      </c>
      <c r="V1951">
        <v>126.95</v>
      </c>
      <c r="W1951">
        <v>147.82</v>
      </c>
      <c r="X1951">
        <v>139.12</v>
      </c>
      <c r="Y1951">
        <v>199.99</v>
      </c>
      <c r="Z1951" t="s">
        <v>5922</v>
      </c>
    </row>
    <row r="1952" spans="1:26" x14ac:dyDescent="0.2">
      <c r="A1952" t="s">
        <v>3597</v>
      </c>
      <c r="B1952" t="s">
        <v>3661</v>
      </c>
      <c r="C1952" t="s">
        <v>3662</v>
      </c>
      <c r="D1952" t="s">
        <v>138</v>
      </c>
      <c r="E1952">
        <v>149.99</v>
      </c>
      <c r="F1952" t="s">
        <v>7022</v>
      </c>
      <c r="G1952">
        <v>139.99</v>
      </c>
      <c r="H1952">
        <v>104.34</v>
      </c>
      <c r="L1952" t="s">
        <v>5922</v>
      </c>
      <c r="Q1952">
        <v>91.3</v>
      </c>
      <c r="R1952">
        <v>91.3</v>
      </c>
      <c r="U1952">
        <v>99.73</v>
      </c>
      <c r="V1952">
        <v>104.34</v>
      </c>
      <c r="W1952">
        <v>103.47</v>
      </c>
      <c r="X1952">
        <v>97.38</v>
      </c>
      <c r="Y1952">
        <v>149.99</v>
      </c>
      <c r="Z1952" t="s">
        <v>5922</v>
      </c>
    </row>
    <row r="1953" spans="1:26" x14ac:dyDescent="0.2">
      <c r="A1953" t="s">
        <v>3597</v>
      </c>
      <c r="B1953" t="s">
        <v>6070</v>
      </c>
      <c r="C1953" t="s">
        <v>3663</v>
      </c>
      <c r="D1953" t="s">
        <v>98</v>
      </c>
      <c r="E1953">
        <v>289.99</v>
      </c>
      <c r="F1953" t="s">
        <v>5922</v>
      </c>
      <c r="G1953">
        <v>289.99</v>
      </c>
      <c r="H1953">
        <v>189.12</v>
      </c>
      <c r="L1953" t="s">
        <v>5922</v>
      </c>
      <c r="Q1953">
        <v>189.12</v>
      </c>
      <c r="R1953">
        <v>189.12</v>
      </c>
      <c r="U1953">
        <v>190.43</v>
      </c>
      <c r="V1953">
        <v>190.43</v>
      </c>
      <c r="W1953">
        <v>213.91</v>
      </c>
      <c r="X1953">
        <v>208.69</v>
      </c>
      <c r="Y1953">
        <v>289.99</v>
      </c>
      <c r="Z1953" t="s">
        <v>5922</v>
      </c>
    </row>
    <row r="1954" spans="1:26" x14ac:dyDescent="0.2">
      <c r="A1954" t="s">
        <v>3597</v>
      </c>
      <c r="B1954" t="s">
        <v>3664</v>
      </c>
      <c r="C1954" t="s">
        <v>3665</v>
      </c>
      <c r="D1954" t="s">
        <v>138</v>
      </c>
      <c r="E1954">
        <v>89.99</v>
      </c>
      <c r="F1954" t="s">
        <v>6914</v>
      </c>
      <c r="G1954">
        <v>83.99</v>
      </c>
      <c r="H1954">
        <v>62.6</v>
      </c>
      <c r="L1954" t="s">
        <v>5922</v>
      </c>
      <c r="Q1954">
        <v>54.78</v>
      </c>
      <c r="R1954">
        <v>54.78</v>
      </c>
      <c r="U1954">
        <v>59.47</v>
      </c>
      <c r="V1954">
        <v>62.6</v>
      </c>
      <c r="W1954">
        <v>70.430000000000007</v>
      </c>
      <c r="X1954">
        <v>62.6</v>
      </c>
      <c r="Y1954">
        <v>89.99</v>
      </c>
      <c r="Z1954" t="s">
        <v>5922</v>
      </c>
    </row>
    <row r="1955" spans="1:26" x14ac:dyDescent="0.2">
      <c r="A1955" t="s">
        <v>3597</v>
      </c>
      <c r="B1955" t="s">
        <v>6071</v>
      </c>
      <c r="C1955" t="s">
        <v>3666</v>
      </c>
      <c r="D1955" t="s">
        <v>138</v>
      </c>
      <c r="E1955">
        <v>564.99</v>
      </c>
      <c r="F1955" t="s">
        <v>7379</v>
      </c>
      <c r="G1955">
        <v>519.99</v>
      </c>
      <c r="H1955">
        <v>393.04</v>
      </c>
      <c r="L1955" t="s">
        <v>5922</v>
      </c>
      <c r="Q1955">
        <v>339.12</v>
      </c>
      <c r="R1955">
        <v>339.12</v>
      </c>
      <c r="U1955">
        <v>358.65</v>
      </c>
      <c r="V1955">
        <v>396.51</v>
      </c>
      <c r="W1955">
        <v>406.95</v>
      </c>
      <c r="X1955">
        <v>361.73</v>
      </c>
      <c r="Y1955">
        <v>564.99</v>
      </c>
      <c r="Z1955" t="s">
        <v>5922</v>
      </c>
    </row>
    <row r="1956" spans="1:26" x14ac:dyDescent="0.2">
      <c r="A1956" t="s">
        <v>3597</v>
      </c>
      <c r="B1956" t="s">
        <v>3667</v>
      </c>
      <c r="C1956" t="s">
        <v>3668</v>
      </c>
      <c r="D1956" t="s">
        <v>98</v>
      </c>
      <c r="E1956">
        <v>599.99</v>
      </c>
      <c r="F1956" t="s">
        <v>7092</v>
      </c>
      <c r="G1956">
        <v>599.99</v>
      </c>
      <c r="H1956">
        <v>391.3</v>
      </c>
      <c r="L1956" t="s">
        <v>5922</v>
      </c>
      <c r="Q1956">
        <v>391.3</v>
      </c>
      <c r="R1956">
        <v>391.3</v>
      </c>
      <c r="U1956">
        <v>399.91</v>
      </c>
      <c r="V1956">
        <v>438.25</v>
      </c>
      <c r="W1956">
        <v>427.82</v>
      </c>
      <c r="X1956">
        <v>417.38</v>
      </c>
      <c r="Y1956">
        <v>599.99</v>
      </c>
      <c r="Z1956" t="s">
        <v>5922</v>
      </c>
    </row>
    <row r="1957" spans="1:26" x14ac:dyDescent="0.2">
      <c r="A1957" t="s">
        <v>3597</v>
      </c>
      <c r="B1957" t="s">
        <v>3669</v>
      </c>
      <c r="C1957" t="s">
        <v>3670</v>
      </c>
      <c r="D1957" t="s">
        <v>98</v>
      </c>
      <c r="E1957">
        <v>224.95</v>
      </c>
      <c r="F1957" t="s">
        <v>5922</v>
      </c>
      <c r="G1957">
        <v>195.61</v>
      </c>
      <c r="H1957">
        <v>166.27</v>
      </c>
      <c r="I1957">
        <v>156.49</v>
      </c>
      <c r="J1957">
        <v>156.49</v>
      </c>
      <c r="K1957">
        <v>156.49</v>
      </c>
      <c r="L1957" t="s">
        <v>5922</v>
      </c>
      <c r="M1957">
        <v>195.61</v>
      </c>
      <c r="N1957">
        <v>195.61</v>
      </c>
      <c r="O1957">
        <v>136.93</v>
      </c>
      <c r="P1957">
        <v>156.49</v>
      </c>
      <c r="Q1957">
        <v>156.49</v>
      </c>
      <c r="R1957">
        <v>195.61</v>
      </c>
      <c r="S1957">
        <v>195.61</v>
      </c>
      <c r="T1957">
        <v>156.49</v>
      </c>
      <c r="U1957">
        <v>141.93</v>
      </c>
      <c r="V1957">
        <v>136.93</v>
      </c>
      <c r="W1957">
        <v>156.49</v>
      </c>
      <c r="X1957">
        <v>156.49</v>
      </c>
      <c r="Y1957">
        <v>199.99</v>
      </c>
      <c r="Z1957" t="s">
        <v>5922</v>
      </c>
    </row>
    <row r="1958" spans="1:26" x14ac:dyDescent="0.2">
      <c r="A1958" t="s">
        <v>3597</v>
      </c>
      <c r="B1958" t="s">
        <v>3671</v>
      </c>
      <c r="C1958" t="s">
        <v>3672</v>
      </c>
      <c r="D1958" t="s">
        <v>98</v>
      </c>
      <c r="E1958">
        <v>329.99</v>
      </c>
      <c r="F1958" t="s">
        <v>5922</v>
      </c>
      <c r="G1958">
        <v>286.95</v>
      </c>
      <c r="H1958">
        <v>243.91</v>
      </c>
      <c r="I1958">
        <v>229.56</v>
      </c>
      <c r="J1958">
        <v>229.56</v>
      </c>
      <c r="K1958">
        <v>229.56</v>
      </c>
      <c r="L1958" t="s">
        <v>5922</v>
      </c>
      <c r="M1958">
        <v>286.95</v>
      </c>
      <c r="N1958">
        <v>286.95</v>
      </c>
      <c r="O1958">
        <v>200.86</v>
      </c>
      <c r="P1958">
        <v>229.56</v>
      </c>
      <c r="Q1958">
        <v>229.56</v>
      </c>
      <c r="R1958">
        <v>286.95</v>
      </c>
      <c r="S1958">
        <v>286.95</v>
      </c>
      <c r="T1958">
        <v>229.56</v>
      </c>
      <c r="U1958">
        <v>200.86</v>
      </c>
      <c r="V1958">
        <v>200.86</v>
      </c>
      <c r="W1958">
        <v>229.56</v>
      </c>
      <c r="X1958">
        <v>229.56</v>
      </c>
      <c r="Y1958">
        <v>329.99</v>
      </c>
      <c r="Z1958" t="s">
        <v>5922</v>
      </c>
    </row>
    <row r="1959" spans="1:26" x14ac:dyDescent="0.2">
      <c r="A1959" t="s">
        <v>3597</v>
      </c>
      <c r="B1959" t="s">
        <v>3673</v>
      </c>
      <c r="C1959" t="s">
        <v>3674</v>
      </c>
      <c r="D1959" t="s">
        <v>98</v>
      </c>
      <c r="E1959">
        <v>269.99</v>
      </c>
      <c r="F1959" t="s">
        <v>5922</v>
      </c>
      <c r="G1959">
        <v>234.77</v>
      </c>
      <c r="H1959">
        <v>199.56</v>
      </c>
      <c r="I1959">
        <v>187.82</v>
      </c>
      <c r="J1959">
        <v>187.82</v>
      </c>
      <c r="K1959">
        <v>187.82</v>
      </c>
      <c r="L1959" t="s">
        <v>5922</v>
      </c>
      <c r="M1959">
        <v>234.77</v>
      </c>
      <c r="N1959">
        <v>234.77</v>
      </c>
      <c r="O1959">
        <v>164.34</v>
      </c>
      <c r="P1959">
        <v>187.82</v>
      </c>
      <c r="Q1959">
        <v>187.82</v>
      </c>
      <c r="R1959">
        <v>234.77</v>
      </c>
      <c r="S1959">
        <v>234.77</v>
      </c>
      <c r="T1959">
        <v>187.82</v>
      </c>
      <c r="U1959">
        <v>164.34</v>
      </c>
      <c r="V1959">
        <v>164.34</v>
      </c>
      <c r="W1959">
        <v>187.82</v>
      </c>
      <c r="X1959">
        <v>187.82</v>
      </c>
      <c r="Y1959">
        <v>269.99</v>
      </c>
      <c r="Z1959" t="s">
        <v>5922</v>
      </c>
    </row>
    <row r="1960" spans="1:26" x14ac:dyDescent="0.2">
      <c r="A1960" t="s">
        <v>3597</v>
      </c>
      <c r="B1960" t="s">
        <v>6072</v>
      </c>
      <c r="C1960" t="s">
        <v>3675</v>
      </c>
      <c r="D1960" t="s">
        <v>98</v>
      </c>
      <c r="E1960">
        <v>209.99</v>
      </c>
      <c r="F1960" t="s">
        <v>5922</v>
      </c>
      <c r="G1960">
        <v>209.99</v>
      </c>
      <c r="H1960">
        <v>136.94999999999999</v>
      </c>
      <c r="L1960" t="s">
        <v>5922</v>
      </c>
      <c r="Q1960">
        <v>136.94999999999999</v>
      </c>
      <c r="R1960">
        <v>136.94999999999999</v>
      </c>
      <c r="U1960">
        <v>139.65</v>
      </c>
      <c r="V1960">
        <v>139.65</v>
      </c>
      <c r="W1960">
        <v>155.21</v>
      </c>
      <c r="X1960">
        <v>146.08000000000001</v>
      </c>
      <c r="Y1960">
        <v>209.99</v>
      </c>
      <c r="Z1960" t="s">
        <v>5922</v>
      </c>
    </row>
    <row r="1961" spans="1:26" x14ac:dyDescent="0.2">
      <c r="A1961" t="s">
        <v>3597</v>
      </c>
      <c r="B1961" t="s">
        <v>6073</v>
      </c>
      <c r="C1961" t="s">
        <v>3676</v>
      </c>
      <c r="D1961" t="s">
        <v>98</v>
      </c>
      <c r="E1961">
        <v>114.99</v>
      </c>
      <c r="F1961" t="s">
        <v>5922</v>
      </c>
      <c r="G1961">
        <v>114.99</v>
      </c>
      <c r="H1961">
        <v>74.989999999999995</v>
      </c>
      <c r="L1961" t="s">
        <v>5922</v>
      </c>
      <c r="Q1961">
        <v>74.989999999999995</v>
      </c>
      <c r="R1961">
        <v>74.989999999999995</v>
      </c>
      <c r="U1961">
        <v>79.34</v>
      </c>
      <c r="V1961">
        <v>79.34</v>
      </c>
      <c r="W1961">
        <v>84.99</v>
      </c>
      <c r="X1961">
        <v>79.989999999999995</v>
      </c>
      <c r="Y1961">
        <v>114.99</v>
      </c>
      <c r="Z1961" t="s">
        <v>5922</v>
      </c>
    </row>
    <row r="1962" spans="1:26" x14ac:dyDescent="0.2">
      <c r="A1962" t="s">
        <v>3597</v>
      </c>
      <c r="B1962" t="s">
        <v>6074</v>
      </c>
      <c r="C1962" t="s">
        <v>3677</v>
      </c>
      <c r="D1962" t="s">
        <v>98</v>
      </c>
      <c r="E1962">
        <v>289.99</v>
      </c>
      <c r="F1962" t="s">
        <v>5922</v>
      </c>
      <c r="G1962">
        <v>289.99</v>
      </c>
      <c r="H1962">
        <v>189.12</v>
      </c>
      <c r="L1962" t="s">
        <v>5922</v>
      </c>
      <c r="Q1962">
        <v>189.12</v>
      </c>
      <c r="R1962">
        <v>189.12</v>
      </c>
      <c r="U1962">
        <v>190.43</v>
      </c>
      <c r="V1962">
        <v>190.43</v>
      </c>
      <c r="W1962">
        <v>214.34</v>
      </c>
      <c r="X1962">
        <v>201.73</v>
      </c>
      <c r="Y1962">
        <v>289.99</v>
      </c>
      <c r="Z1962" t="s">
        <v>5922</v>
      </c>
    </row>
    <row r="1963" spans="1:26" x14ac:dyDescent="0.2">
      <c r="A1963" t="s">
        <v>3597</v>
      </c>
      <c r="B1963" t="s">
        <v>3678</v>
      </c>
      <c r="C1963" t="s">
        <v>3679</v>
      </c>
      <c r="D1963" t="s">
        <v>138</v>
      </c>
      <c r="E1963">
        <v>174.99</v>
      </c>
      <c r="F1963" t="s">
        <v>7198</v>
      </c>
      <c r="G1963">
        <v>159.99</v>
      </c>
      <c r="H1963">
        <v>121.73</v>
      </c>
      <c r="I1963">
        <v>104.34</v>
      </c>
      <c r="J1963">
        <v>104.34</v>
      </c>
      <c r="K1963">
        <v>104.34</v>
      </c>
      <c r="L1963" t="s">
        <v>5922</v>
      </c>
      <c r="M1963">
        <v>130.43</v>
      </c>
      <c r="N1963">
        <v>130.43</v>
      </c>
      <c r="O1963">
        <v>91.3</v>
      </c>
      <c r="P1963">
        <v>104.34</v>
      </c>
      <c r="Q1963">
        <v>104.34</v>
      </c>
      <c r="R1963">
        <v>104.34</v>
      </c>
      <c r="S1963">
        <v>130.43</v>
      </c>
      <c r="T1963">
        <v>104.34</v>
      </c>
      <c r="U1963">
        <v>111.08</v>
      </c>
      <c r="V1963">
        <v>121.73</v>
      </c>
      <c r="W1963">
        <v>118.25</v>
      </c>
      <c r="X1963">
        <v>111.3</v>
      </c>
      <c r="Y1963">
        <v>174.99</v>
      </c>
      <c r="Z1963" t="s">
        <v>5922</v>
      </c>
    </row>
    <row r="1964" spans="1:26" x14ac:dyDescent="0.2">
      <c r="A1964" t="s">
        <v>3597</v>
      </c>
      <c r="B1964" t="s">
        <v>3680</v>
      </c>
      <c r="C1964" t="s">
        <v>3681</v>
      </c>
      <c r="D1964" t="s">
        <v>98</v>
      </c>
      <c r="E1964">
        <v>229.99</v>
      </c>
      <c r="F1964" t="s">
        <v>5922</v>
      </c>
      <c r="G1964">
        <v>199.99</v>
      </c>
      <c r="H1964">
        <v>169.99</v>
      </c>
      <c r="I1964">
        <v>159.99</v>
      </c>
      <c r="J1964">
        <v>159.99</v>
      </c>
      <c r="K1964">
        <v>159.99</v>
      </c>
      <c r="L1964" t="s">
        <v>5922</v>
      </c>
      <c r="M1964">
        <v>199.99</v>
      </c>
      <c r="N1964">
        <v>199.99</v>
      </c>
      <c r="O1964">
        <v>139.99</v>
      </c>
      <c r="P1964">
        <v>159.99</v>
      </c>
      <c r="Q1964">
        <v>159.99</v>
      </c>
      <c r="R1964">
        <v>199.99</v>
      </c>
      <c r="S1964">
        <v>199.99</v>
      </c>
      <c r="T1964">
        <v>159.99</v>
      </c>
      <c r="U1964">
        <v>139.99</v>
      </c>
      <c r="V1964">
        <v>139.99</v>
      </c>
      <c r="W1964">
        <v>159.99</v>
      </c>
      <c r="X1964">
        <v>159.99</v>
      </c>
      <c r="Y1964">
        <v>199.99</v>
      </c>
      <c r="Z1964" t="s">
        <v>5922</v>
      </c>
    </row>
    <row r="1965" spans="1:26" x14ac:dyDescent="0.2">
      <c r="A1965" t="s">
        <v>3597</v>
      </c>
      <c r="B1965" t="s">
        <v>3682</v>
      </c>
      <c r="C1965" t="s">
        <v>3683</v>
      </c>
      <c r="D1965" t="s">
        <v>98</v>
      </c>
      <c r="E1965">
        <v>499.99</v>
      </c>
      <c r="F1965" t="s">
        <v>5922</v>
      </c>
      <c r="G1965">
        <v>434.77</v>
      </c>
      <c r="H1965">
        <v>369.56</v>
      </c>
      <c r="I1965">
        <v>347.82</v>
      </c>
      <c r="J1965">
        <v>347.82</v>
      </c>
      <c r="K1965">
        <v>347.82</v>
      </c>
      <c r="L1965" t="s">
        <v>5922</v>
      </c>
      <c r="M1965">
        <v>434.77</v>
      </c>
      <c r="N1965">
        <v>434.77</v>
      </c>
      <c r="O1965">
        <v>304.33999999999997</v>
      </c>
      <c r="P1965">
        <v>347.82</v>
      </c>
      <c r="Q1965">
        <v>347.82</v>
      </c>
      <c r="R1965">
        <v>434.77</v>
      </c>
      <c r="S1965">
        <v>434.77</v>
      </c>
      <c r="T1965">
        <v>347.82</v>
      </c>
      <c r="U1965">
        <v>304.33999999999997</v>
      </c>
      <c r="V1965">
        <v>304.33999999999997</v>
      </c>
      <c r="W1965">
        <v>347.82</v>
      </c>
      <c r="X1965">
        <v>347.82</v>
      </c>
      <c r="Y1965">
        <v>499.99</v>
      </c>
      <c r="Z1965" t="s">
        <v>5922</v>
      </c>
    </row>
    <row r="1966" spans="1:26" x14ac:dyDescent="0.2">
      <c r="A1966" t="s">
        <v>3597</v>
      </c>
      <c r="B1966" t="s">
        <v>3684</v>
      </c>
      <c r="C1966" t="s">
        <v>3685</v>
      </c>
      <c r="D1966" t="s">
        <v>138</v>
      </c>
      <c r="E1966">
        <v>219.99</v>
      </c>
      <c r="F1966" t="s">
        <v>7051</v>
      </c>
      <c r="G1966">
        <v>199.99</v>
      </c>
      <c r="H1966">
        <v>153.04</v>
      </c>
      <c r="I1966">
        <v>125.21</v>
      </c>
      <c r="J1966">
        <v>125.21</v>
      </c>
      <c r="L1966" t="s">
        <v>5922</v>
      </c>
      <c r="Q1966">
        <v>130.43</v>
      </c>
      <c r="R1966">
        <v>130.43</v>
      </c>
      <c r="U1966">
        <v>141.56</v>
      </c>
      <c r="V1966">
        <v>146.08000000000001</v>
      </c>
      <c r="W1966">
        <v>147.82</v>
      </c>
      <c r="X1966">
        <v>139.12</v>
      </c>
      <c r="Y1966">
        <v>219.99</v>
      </c>
      <c r="Z1966" t="s">
        <v>5922</v>
      </c>
    </row>
    <row r="1967" spans="1:26" x14ac:dyDescent="0.2">
      <c r="A1967" t="s">
        <v>3597</v>
      </c>
      <c r="B1967" t="s">
        <v>3686</v>
      </c>
      <c r="C1967" t="s">
        <v>3687</v>
      </c>
      <c r="D1967" t="s">
        <v>98</v>
      </c>
      <c r="E1967">
        <v>159.99</v>
      </c>
      <c r="F1967" t="s">
        <v>5922</v>
      </c>
      <c r="G1967">
        <v>139.12</v>
      </c>
      <c r="H1967">
        <v>118.25</v>
      </c>
      <c r="I1967">
        <v>111.3</v>
      </c>
      <c r="J1967">
        <v>111.3</v>
      </c>
      <c r="K1967">
        <v>111.3</v>
      </c>
      <c r="L1967" t="s">
        <v>5922</v>
      </c>
      <c r="M1967">
        <v>139.12</v>
      </c>
      <c r="N1967">
        <v>139.12</v>
      </c>
      <c r="O1967">
        <v>97.39</v>
      </c>
      <c r="P1967">
        <v>111.3</v>
      </c>
      <c r="Q1967">
        <v>111.3</v>
      </c>
      <c r="R1967">
        <v>139.12</v>
      </c>
      <c r="S1967">
        <v>139.12</v>
      </c>
      <c r="T1967">
        <v>111.3</v>
      </c>
      <c r="U1967">
        <v>102.39</v>
      </c>
      <c r="V1967">
        <v>97.39</v>
      </c>
      <c r="W1967">
        <v>111.3</v>
      </c>
      <c r="X1967">
        <v>111.3</v>
      </c>
      <c r="Y1967">
        <v>149.99</v>
      </c>
      <c r="Z1967" t="s">
        <v>5922</v>
      </c>
    </row>
    <row r="1968" spans="1:26" x14ac:dyDescent="0.2">
      <c r="A1968" t="s">
        <v>3597</v>
      </c>
      <c r="B1968" t="s">
        <v>3688</v>
      </c>
      <c r="C1968" t="s">
        <v>3689</v>
      </c>
      <c r="D1968" t="s">
        <v>98</v>
      </c>
      <c r="E1968">
        <v>329.99</v>
      </c>
      <c r="F1968" t="s">
        <v>5922</v>
      </c>
      <c r="G1968">
        <v>286.95</v>
      </c>
      <c r="H1968">
        <v>243.91</v>
      </c>
      <c r="I1968">
        <v>229.56</v>
      </c>
      <c r="J1968">
        <v>229.56</v>
      </c>
      <c r="K1968">
        <v>229.56</v>
      </c>
      <c r="L1968" t="s">
        <v>5922</v>
      </c>
      <c r="M1968">
        <v>286.95</v>
      </c>
      <c r="N1968">
        <v>286.95</v>
      </c>
      <c r="O1968">
        <v>200.86</v>
      </c>
      <c r="P1968">
        <v>229.56</v>
      </c>
      <c r="Q1968">
        <v>229.56</v>
      </c>
      <c r="R1968">
        <v>286.95</v>
      </c>
      <c r="S1968">
        <v>286.95</v>
      </c>
      <c r="T1968">
        <v>229.56</v>
      </c>
      <c r="U1968">
        <v>200.86</v>
      </c>
      <c r="V1968">
        <v>200.86</v>
      </c>
      <c r="W1968">
        <v>229.56</v>
      </c>
      <c r="X1968">
        <v>229.56</v>
      </c>
      <c r="Y1968">
        <v>329.99</v>
      </c>
      <c r="Z1968" t="s">
        <v>5922</v>
      </c>
    </row>
    <row r="1969" spans="1:26" x14ac:dyDescent="0.2">
      <c r="A1969" t="s">
        <v>3597</v>
      </c>
      <c r="B1969" t="s">
        <v>3690</v>
      </c>
      <c r="C1969" t="s">
        <v>3691</v>
      </c>
      <c r="D1969" t="s">
        <v>98</v>
      </c>
      <c r="E1969">
        <v>239.99</v>
      </c>
      <c r="F1969" t="s">
        <v>5922</v>
      </c>
      <c r="G1969">
        <v>208.69</v>
      </c>
      <c r="H1969">
        <v>177.38</v>
      </c>
      <c r="I1969">
        <v>166.95</v>
      </c>
      <c r="J1969">
        <v>166.95</v>
      </c>
      <c r="K1969">
        <v>166.95</v>
      </c>
      <c r="L1969" t="s">
        <v>5922</v>
      </c>
      <c r="M1969">
        <v>208.69</v>
      </c>
      <c r="N1969">
        <v>208.69</v>
      </c>
      <c r="O1969">
        <v>146.08000000000001</v>
      </c>
      <c r="P1969">
        <v>166.95</v>
      </c>
      <c r="Q1969">
        <v>166.95</v>
      </c>
      <c r="R1969">
        <v>208.69</v>
      </c>
      <c r="S1969">
        <v>208.69</v>
      </c>
      <c r="T1969">
        <v>166.95</v>
      </c>
      <c r="U1969">
        <v>146.08000000000001</v>
      </c>
      <c r="V1969">
        <v>146.08000000000001</v>
      </c>
      <c r="W1969">
        <v>166.95</v>
      </c>
      <c r="X1969">
        <v>166.95</v>
      </c>
      <c r="Y1969">
        <v>239.99</v>
      </c>
      <c r="Z1969" t="s">
        <v>5922</v>
      </c>
    </row>
    <row r="1970" spans="1:26" x14ac:dyDescent="0.2">
      <c r="A1970" t="s">
        <v>3597</v>
      </c>
      <c r="B1970" t="s">
        <v>3692</v>
      </c>
      <c r="C1970" t="s">
        <v>3693</v>
      </c>
      <c r="D1970" t="s">
        <v>138</v>
      </c>
      <c r="E1970">
        <v>99.99</v>
      </c>
      <c r="F1970" t="s">
        <v>6903</v>
      </c>
      <c r="G1970">
        <v>89.99</v>
      </c>
      <c r="H1970">
        <v>69.56</v>
      </c>
      <c r="I1970">
        <v>69.56</v>
      </c>
      <c r="J1970">
        <v>69.56</v>
      </c>
      <c r="K1970">
        <v>69.56</v>
      </c>
      <c r="L1970" t="s">
        <v>5922</v>
      </c>
      <c r="M1970">
        <v>86.95</v>
      </c>
      <c r="N1970">
        <v>86.95</v>
      </c>
      <c r="O1970">
        <v>60.86</v>
      </c>
      <c r="P1970">
        <v>69.56</v>
      </c>
      <c r="Q1970">
        <v>58.69</v>
      </c>
      <c r="R1970">
        <v>58.69</v>
      </c>
      <c r="S1970">
        <v>86.95</v>
      </c>
      <c r="T1970">
        <v>69.56</v>
      </c>
      <c r="U1970">
        <v>66.95</v>
      </c>
      <c r="V1970">
        <v>69.56</v>
      </c>
      <c r="W1970">
        <v>73.91</v>
      </c>
      <c r="X1970">
        <v>69.56</v>
      </c>
      <c r="Y1970">
        <v>99.99</v>
      </c>
      <c r="Z1970" t="s">
        <v>5922</v>
      </c>
    </row>
    <row r="1971" spans="1:26" x14ac:dyDescent="0.2">
      <c r="A1971" t="s">
        <v>3597</v>
      </c>
      <c r="B1971" t="s">
        <v>3694</v>
      </c>
      <c r="C1971" t="s">
        <v>3695</v>
      </c>
      <c r="D1971" t="s">
        <v>98</v>
      </c>
      <c r="E1971">
        <v>449.99</v>
      </c>
      <c r="F1971" t="s">
        <v>5922</v>
      </c>
      <c r="G1971">
        <v>391.3</v>
      </c>
      <c r="H1971">
        <v>332.6</v>
      </c>
      <c r="I1971">
        <v>313.04000000000002</v>
      </c>
      <c r="J1971">
        <v>313.04000000000002</v>
      </c>
      <c r="K1971">
        <v>313.04000000000002</v>
      </c>
      <c r="L1971" t="s">
        <v>5922</v>
      </c>
      <c r="M1971">
        <v>391.3</v>
      </c>
      <c r="N1971">
        <v>391.3</v>
      </c>
      <c r="O1971">
        <v>273.91000000000003</v>
      </c>
      <c r="P1971">
        <v>313.04000000000002</v>
      </c>
      <c r="Q1971">
        <v>313.04000000000002</v>
      </c>
      <c r="R1971">
        <v>391.3</v>
      </c>
      <c r="S1971">
        <v>391.3</v>
      </c>
      <c r="T1971">
        <v>313.04000000000002</v>
      </c>
      <c r="U1971">
        <v>273.91000000000003</v>
      </c>
      <c r="V1971">
        <v>273.91000000000003</v>
      </c>
      <c r="W1971">
        <v>313.04000000000002</v>
      </c>
      <c r="X1971">
        <v>313.04000000000002</v>
      </c>
      <c r="Y1971">
        <v>449.99</v>
      </c>
      <c r="Z1971" t="s">
        <v>5922</v>
      </c>
    </row>
    <row r="1972" spans="1:26" x14ac:dyDescent="0.2">
      <c r="A1972" t="s">
        <v>3597</v>
      </c>
      <c r="B1972" t="s">
        <v>3696</v>
      </c>
      <c r="C1972" t="s">
        <v>3697</v>
      </c>
      <c r="D1972" t="s">
        <v>98</v>
      </c>
      <c r="E1972">
        <v>37.99</v>
      </c>
      <c r="F1972" t="s">
        <v>5922</v>
      </c>
      <c r="G1972">
        <v>26.59</v>
      </c>
      <c r="H1972">
        <v>36.950000000000003</v>
      </c>
      <c r="L1972" t="s">
        <v>5922</v>
      </c>
      <c r="U1972">
        <v>30.43</v>
      </c>
      <c r="V1972">
        <v>30.43</v>
      </c>
      <c r="W1972">
        <v>34.79</v>
      </c>
      <c r="X1972">
        <v>34.78</v>
      </c>
      <c r="Y1972">
        <v>37.99</v>
      </c>
      <c r="Z1972" t="s">
        <v>5922</v>
      </c>
    </row>
    <row r="1973" spans="1:26" x14ac:dyDescent="0.2">
      <c r="A1973" t="s">
        <v>3597</v>
      </c>
      <c r="B1973" t="s">
        <v>3698</v>
      </c>
      <c r="C1973" t="s">
        <v>3697</v>
      </c>
      <c r="D1973" t="s">
        <v>98</v>
      </c>
      <c r="E1973">
        <v>49.99</v>
      </c>
      <c r="F1973" t="s">
        <v>5922</v>
      </c>
      <c r="G1973">
        <v>43.47</v>
      </c>
      <c r="H1973">
        <v>36.950000000000003</v>
      </c>
      <c r="I1973">
        <v>34.78</v>
      </c>
      <c r="J1973">
        <v>34.78</v>
      </c>
      <c r="K1973">
        <v>34.78</v>
      </c>
      <c r="L1973" t="s">
        <v>5922</v>
      </c>
      <c r="M1973">
        <v>43.47</v>
      </c>
      <c r="N1973">
        <v>43.47</v>
      </c>
      <c r="O1973">
        <v>30.43</v>
      </c>
      <c r="P1973">
        <v>34.78</v>
      </c>
      <c r="Q1973">
        <v>34.78</v>
      </c>
      <c r="R1973">
        <v>43.47</v>
      </c>
      <c r="S1973">
        <v>43.47</v>
      </c>
      <c r="T1973">
        <v>34.78</v>
      </c>
      <c r="U1973">
        <v>35.43</v>
      </c>
      <c r="V1973">
        <v>30.43</v>
      </c>
      <c r="W1973">
        <v>34.78</v>
      </c>
      <c r="X1973">
        <v>34.78</v>
      </c>
      <c r="Y1973">
        <v>37.99</v>
      </c>
      <c r="Z1973" t="s">
        <v>5922</v>
      </c>
    </row>
    <row r="1974" spans="1:26" x14ac:dyDescent="0.2">
      <c r="A1974" t="s">
        <v>3597</v>
      </c>
      <c r="B1974" t="s">
        <v>3699</v>
      </c>
      <c r="C1974" t="s">
        <v>3700</v>
      </c>
      <c r="D1974" t="s">
        <v>98</v>
      </c>
      <c r="E1974">
        <v>49.99</v>
      </c>
      <c r="F1974" t="s">
        <v>5922</v>
      </c>
      <c r="G1974">
        <v>43.47</v>
      </c>
      <c r="H1974">
        <v>36.950000000000003</v>
      </c>
      <c r="I1974">
        <v>34.78</v>
      </c>
      <c r="J1974">
        <v>34.78</v>
      </c>
      <c r="K1974">
        <v>34.78</v>
      </c>
      <c r="L1974" t="s">
        <v>5922</v>
      </c>
      <c r="M1974">
        <v>43.47</v>
      </c>
      <c r="N1974">
        <v>43.47</v>
      </c>
      <c r="O1974">
        <v>30.43</v>
      </c>
      <c r="P1974">
        <v>34.78</v>
      </c>
      <c r="Q1974">
        <v>34.78</v>
      </c>
      <c r="R1974">
        <v>43.47</v>
      </c>
      <c r="S1974">
        <v>43.47</v>
      </c>
      <c r="T1974">
        <v>34.78</v>
      </c>
      <c r="U1974">
        <v>35.43</v>
      </c>
      <c r="V1974">
        <v>30.43</v>
      </c>
      <c r="W1974">
        <v>34.78</v>
      </c>
      <c r="X1974">
        <v>34.78</v>
      </c>
      <c r="Y1974">
        <v>37.99</v>
      </c>
      <c r="Z1974" t="s">
        <v>5922</v>
      </c>
    </row>
    <row r="1975" spans="1:26" x14ac:dyDescent="0.2">
      <c r="A1975" t="s">
        <v>3597</v>
      </c>
      <c r="B1975" t="s">
        <v>3703</v>
      </c>
      <c r="C1975" t="s">
        <v>3702</v>
      </c>
      <c r="D1975" t="s">
        <v>98</v>
      </c>
      <c r="E1975">
        <v>37.99</v>
      </c>
      <c r="F1975" t="s">
        <v>5922</v>
      </c>
      <c r="G1975">
        <v>22.79</v>
      </c>
      <c r="H1975">
        <v>36.950000000000003</v>
      </c>
      <c r="L1975" t="s">
        <v>5922</v>
      </c>
      <c r="U1975">
        <v>30.43</v>
      </c>
      <c r="V1975">
        <v>30.43</v>
      </c>
      <c r="W1975">
        <v>34.79</v>
      </c>
      <c r="X1975">
        <v>34.78</v>
      </c>
      <c r="Y1975">
        <v>37.99</v>
      </c>
      <c r="Z1975" t="s">
        <v>5922</v>
      </c>
    </row>
    <row r="1976" spans="1:26" x14ac:dyDescent="0.2">
      <c r="A1976" t="s">
        <v>3597</v>
      </c>
      <c r="B1976" t="s">
        <v>3701</v>
      </c>
      <c r="C1976" t="s">
        <v>3702</v>
      </c>
      <c r="D1976" t="s">
        <v>98</v>
      </c>
      <c r="E1976">
        <v>49.99</v>
      </c>
      <c r="F1976" t="s">
        <v>5922</v>
      </c>
      <c r="G1976">
        <v>43.47</v>
      </c>
      <c r="H1976">
        <v>36.950000000000003</v>
      </c>
      <c r="I1976">
        <v>34.78</v>
      </c>
      <c r="J1976">
        <v>34.78</v>
      </c>
      <c r="K1976">
        <v>34.78</v>
      </c>
      <c r="L1976" t="s">
        <v>5922</v>
      </c>
      <c r="M1976">
        <v>43.47</v>
      </c>
      <c r="N1976">
        <v>43.47</v>
      </c>
      <c r="O1976">
        <v>30.43</v>
      </c>
      <c r="P1976">
        <v>34.78</v>
      </c>
      <c r="Q1976">
        <v>34.78</v>
      </c>
      <c r="R1976">
        <v>43.47</v>
      </c>
      <c r="S1976">
        <v>43.47</v>
      </c>
      <c r="T1976">
        <v>34.78</v>
      </c>
      <c r="U1976">
        <v>35.43</v>
      </c>
      <c r="V1976">
        <v>30.43</v>
      </c>
      <c r="W1976">
        <v>34.78</v>
      </c>
      <c r="X1976">
        <v>34.78</v>
      </c>
      <c r="Y1976">
        <v>37.99</v>
      </c>
      <c r="Z1976" t="s">
        <v>5922</v>
      </c>
    </row>
    <row r="1977" spans="1:26" x14ac:dyDescent="0.2">
      <c r="A1977" t="s">
        <v>3597</v>
      </c>
      <c r="B1977" t="s">
        <v>6075</v>
      </c>
      <c r="C1977" t="s">
        <v>3704</v>
      </c>
      <c r="D1977" t="s">
        <v>98</v>
      </c>
      <c r="E1977">
        <v>334.99</v>
      </c>
      <c r="F1977" t="s">
        <v>5922</v>
      </c>
      <c r="G1977">
        <v>334.99</v>
      </c>
      <c r="H1977">
        <v>218.47</v>
      </c>
      <c r="L1977" t="s">
        <v>5922</v>
      </c>
      <c r="Q1977">
        <v>218.47</v>
      </c>
      <c r="R1977">
        <v>218.47</v>
      </c>
      <c r="U1977">
        <v>215.82</v>
      </c>
      <c r="V1977">
        <v>215.82</v>
      </c>
      <c r="W1977">
        <v>251.3</v>
      </c>
      <c r="X1977">
        <v>236.51</v>
      </c>
      <c r="Y1977">
        <v>334.99</v>
      </c>
      <c r="Z1977" t="s">
        <v>5922</v>
      </c>
    </row>
    <row r="1978" spans="1:26" x14ac:dyDescent="0.2">
      <c r="A1978" t="s">
        <v>3597</v>
      </c>
      <c r="B1978" t="s">
        <v>6123</v>
      </c>
      <c r="C1978" t="s">
        <v>3705</v>
      </c>
      <c r="D1978" t="s">
        <v>138</v>
      </c>
      <c r="E1978">
        <v>559.99</v>
      </c>
      <c r="F1978" t="s">
        <v>7380</v>
      </c>
      <c r="G1978">
        <v>514.99</v>
      </c>
      <c r="H1978">
        <v>389.56</v>
      </c>
      <c r="L1978" t="s">
        <v>5922</v>
      </c>
      <c r="Q1978">
        <v>335.86</v>
      </c>
      <c r="R1978">
        <v>335.86</v>
      </c>
      <c r="U1978">
        <v>355.47</v>
      </c>
      <c r="V1978">
        <v>389.56</v>
      </c>
      <c r="W1978">
        <v>403.04</v>
      </c>
      <c r="X1978">
        <v>358.25</v>
      </c>
      <c r="Y1978">
        <v>559.99</v>
      </c>
      <c r="Z1978" t="s">
        <v>5922</v>
      </c>
    </row>
    <row r="1979" spans="1:26" x14ac:dyDescent="0.2">
      <c r="A1979" t="s">
        <v>3597</v>
      </c>
      <c r="B1979" t="s">
        <v>3706</v>
      </c>
      <c r="C1979" t="s">
        <v>3707</v>
      </c>
      <c r="D1979" t="s">
        <v>138</v>
      </c>
      <c r="E1979">
        <v>324.99</v>
      </c>
      <c r="F1979" t="s">
        <v>7381</v>
      </c>
      <c r="G1979">
        <v>299.99</v>
      </c>
      <c r="H1979">
        <v>226.08</v>
      </c>
      <c r="I1979">
        <v>208.69</v>
      </c>
      <c r="J1979">
        <v>208.69</v>
      </c>
      <c r="K1979">
        <v>208.69</v>
      </c>
      <c r="L1979" t="s">
        <v>5922</v>
      </c>
      <c r="M1979">
        <v>260.86</v>
      </c>
      <c r="N1979">
        <v>260.86</v>
      </c>
      <c r="O1979">
        <v>182.6</v>
      </c>
      <c r="P1979">
        <v>208.69</v>
      </c>
      <c r="Q1979">
        <v>195.65</v>
      </c>
      <c r="R1979">
        <v>195.65</v>
      </c>
      <c r="S1979">
        <v>260.86</v>
      </c>
      <c r="T1979">
        <v>208.69</v>
      </c>
      <c r="U1979">
        <v>209.47</v>
      </c>
      <c r="V1979">
        <v>222.6</v>
      </c>
      <c r="W1979">
        <v>208.69</v>
      </c>
      <c r="X1979">
        <v>208.69</v>
      </c>
      <c r="Y1979">
        <v>324.99</v>
      </c>
      <c r="Z1979" t="s">
        <v>5922</v>
      </c>
    </row>
    <row r="1980" spans="1:26" x14ac:dyDescent="0.2">
      <c r="A1980" t="s">
        <v>3597</v>
      </c>
      <c r="B1980" t="s">
        <v>6076</v>
      </c>
      <c r="C1980" t="s">
        <v>3708</v>
      </c>
      <c r="D1980" t="s">
        <v>138</v>
      </c>
      <c r="E1980">
        <v>274.99</v>
      </c>
      <c r="F1980" t="s">
        <v>7382</v>
      </c>
      <c r="G1980">
        <v>249.99</v>
      </c>
      <c r="H1980">
        <v>191.3</v>
      </c>
      <c r="L1980" t="s">
        <v>5922</v>
      </c>
      <c r="Q1980">
        <v>163.04</v>
      </c>
      <c r="R1980">
        <v>163.04</v>
      </c>
      <c r="U1980">
        <v>176.95</v>
      </c>
      <c r="V1980">
        <v>187.82</v>
      </c>
      <c r="W1980">
        <v>195.64</v>
      </c>
      <c r="X1980">
        <v>173.91</v>
      </c>
      <c r="Y1980">
        <v>274.99</v>
      </c>
      <c r="Z1980" t="s">
        <v>5922</v>
      </c>
    </row>
    <row r="1981" spans="1:26" x14ac:dyDescent="0.2">
      <c r="A1981" t="s">
        <v>3597</v>
      </c>
      <c r="B1981" t="s">
        <v>6077</v>
      </c>
      <c r="C1981" t="s">
        <v>3709</v>
      </c>
      <c r="D1981" t="s">
        <v>138</v>
      </c>
      <c r="E1981">
        <v>174.99</v>
      </c>
      <c r="F1981" t="s">
        <v>7198</v>
      </c>
      <c r="G1981">
        <v>159.99</v>
      </c>
      <c r="H1981">
        <v>121.73</v>
      </c>
      <c r="L1981" t="s">
        <v>5922</v>
      </c>
      <c r="Q1981">
        <v>104.34</v>
      </c>
      <c r="R1981">
        <v>104.34</v>
      </c>
      <c r="U1981">
        <v>111.08</v>
      </c>
      <c r="V1981">
        <v>125.21</v>
      </c>
      <c r="W1981">
        <v>125.21</v>
      </c>
      <c r="X1981">
        <v>111.3</v>
      </c>
      <c r="Y1981">
        <v>174.99</v>
      </c>
      <c r="Z1981" t="s">
        <v>5922</v>
      </c>
    </row>
    <row r="1982" spans="1:26" x14ac:dyDescent="0.2">
      <c r="A1982" t="s">
        <v>3597</v>
      </c>
      <c r="B1982" t="s">
        <v>6078</v>
      </c>
      <c r="C1982" t="s">
        <v>3710</v>
      </c>
      <c r="D1982" t="s">
        <v>98</v>
      </c>
      <c r="E1982">
        <v>459.99</v>
      </c>
      <c r="F1982" t="s">
        <v>5922</v>
      </c>
      <c r="G1982">
        <v>459.99</v>
      </c>
      <c r="H1982">
        <v>299.99</v>
      </c>
      <c r="L1982" t="s">
        <v>5922</v>
      </c>
      <c r="Q1982">
        <v>299.99</v>
      </c>
      <c r="R1982">
        <v>299.99</v>
      </c>
      <c r="U1982">
        <v>298.33999999999997</v>
      </c>
      <c r="V1982">
        <v>298.33999999999997</v>
      </c>
      <c r="W1982">
        <v>327.99</v>
      </c>
      <c r="X1982">
        <v>319.99</v>
      </c>
      <c r="Y1982">
        <v>459.99</v>
      </c>
      <c r="Z1982" t="s">
        <v>5922</v>
      </c>
    </row>
    <row r="1983" spans="1:26" x14ac:dyDescent="0.2">
      <c r="A1983" t="s">
        <v>3597</v>
      </c>
      <c r="B1983" t="s">
        <v>3711</v>
      </c>
      <c r="C1983" t="s">
        <v>3712</v>
      </c>
      <c r="D1983" t="s">
        <v>105</v>
      </c>
      <c r="E1983">
        <v>369.99</v>
      </c>
      <c r="F1983" t="s">
        <v>7252</v>
      </c>
      <c r="G1983">
        <v>339.99</v>
      </c>
      <c r="H1983">
        <v>257.38</v>
      </c>
      <c r="I1983">
        <v>222.6</v>
      </c>
      <c r="J1983">
        <v>222.6</v>
      </c>
      <c r="K1983">
        <v>222.6</v>
      </c>
      <c r="L1983" t="s">
        <v>5922</v>
      </c>
      <c r="M1983">
        <v>278.25</v>
      </c>
      <c r="N1983">
        <v>278.25</v>
      </c>
      <c r="O1983">
        <v>194.78</v>
      </c>
      <c r="P1983">
        <v>222.6</v>
      </c>
      <c r="Q1983">
        <v>221.73</v>
      </c>
      <c r="R1983">
        <v>221.73</v>
      </c>
      <c r="S1983">
        <v>278.25</v>
      </c>
      <c r="T1983">
        <v>222.6</v>
      </c>
      <c r="U1983">
        <v>234.86</v>
      </c>
      <c r="V1983">
        <v>257.38</v>
      </c>
      <c r="W1983">
        <v>236.51</v>
      </c>
      <c r="X1983">
        <v>236.51</v>
      </c>
      <c r="Y1983">
        <v>369.99</v>
      </c>
      <c r="Z1983" t="s">
        <v>5922</v>
      </c>
    </row>
    <row r="1984" spans="1:26" x14ac:dyDescent="0.2">
      <c r="A1984" t="s">
        <v>3597</v>
      </c>
      <c r="B1984" t="s">
        <v>3713</v>
      </c>
      <c r="C1984" t="s">
        <v>3714</v>
      </c>
      <c r="D1984" t="s">
        <v>138</v>
      </c>
      <c r="E1984">
        <v>219.99</v>
      </c>
      <c r="F1984" t="s">
        <v>7051</v>
      </c>
      <c r="G1984">
        <v>194.99</v>
      </c>
      <c r="H1984">
        <v>153.04</v>
      </c>
      <c r="I1984">
        <v>159.99</v>
      </c>
      <c r="J1984">
        <v>159.99</v>
      </c>
      <c r="K1984">
        <v>159.99</v>
      </c>
      <c r="L1984" t="s">
        <v>5922</v>
      </c>
      <c r="M1984">
        <v>199.99</v>
      </c>
      <c r="N1984">
        <v>199.99</v>
      </c>
      <c r="O1984">
        <v>139.99</v>
      </c>
      <c r="P1984">
        <v>159.99</v>
      </c>
      <c r="Q1984">
        <v>130.43</v>
      </c>
      <c r="R1984">
        <v>130.43</v>
      </c>
      <c r="S1984">
        <v>199.99</v>
      </c>
      <c r="T1984">
        <v>159.99</v>
      </c>
      <c r="U1984">
        <v>139.65</v>
      </c>
      <c r="V1984">
        <v>146.08000000000001</v>
      </c>
      <c r="W1984">
        <v>139.12</v>
      </c>
      <c r="X1984">
        <v>139.12</v>
      </c>
      <c r="Y1984">
        <v>219.99</v>
      </c>
      <c r="Z1984" t="s">
        <v>5922</v>
      </c>
    </row>
    <row r="1985" spans="1:26" x14ac:dyDescent="0.2">
      <c r="A1985" t="s">
        <v>3597</v>
      </c>
      <c r="B1985" t="s">
        <v>3715</v>
      </c>
      <c r="C1985" t="s">
        <v>3716</v>
      </c>
      <c r="D1985" t="s">
        <v>98</v>
      </c>
      <c r="E1985">
        <v>79.989999999999995</v>
      </c>
      <c r="F1985" t="s">
        <v>5922</v>
      </c>
      <c r="G1985">
        <v>69.56</v>
      </c>
      <c r="H1985">
        <v>59.12</v>
      </c>
      <c r="I1985">
        <v>55.65</v>
      </c>
      <c r="J1985">
        <v>55.65</v>
      </c>
      <c r="K1985">
        <v>55.65</v>
      </c>
      <c r="L1985" t="s">
        <v>5922</v>
      </c>
      <c r="M1985">
        <v>69.56</v>
      </c>
      <c r="N1985">
        <v>69.56</v>
      </c>
      <c r="O1985">
        <v>48.69</v>
      </c>
      <c r="P1985">
        <v>55.65</v>
      </c>
      <c r="Q1985">
        <v>55.65</v>
      </c>
      <c r="R1985">
        <v>69.56</v>
      </c>
      <c r="S1985">
        <v>69.56</v>
      </c>
      <c r="T1985">
        <v>55.65</v>
      </c>
      <c r="U1985">
        <v>48.69</v>
      </c>
      <c r="V1985">
        <v>48.69</v>
      </c>
      <c r="W1985">
        <v>55.65</v>
      </c>
      <c r="X1985">
        <v>55.65</v>
      </c>
      <c r="Y1985">
        <v>79.989999999999995</v>
      </c>
      <c r="Z1985" t="s">
        <v>5922</v>
      </c>
    </row>
    <row r="1986" spans="1:26" x14ac:dyDescent="0.2">
      <c r="A1986" t="s">
        <v>3597</v>
      </c>
      <c r="B1986" t="s">
        <v>3717</v>
      </c>
      <c r="C1986" t="s">
        <v>3718</v>
      </c>
      <c r="D1986" t="s">
        <v>98</v>
      </c>
      <c r="E1986">
        <v>699.99</v>
      </c>
      <c r="F1986" t="s">
        <v>5922</v>
      </c>
      <c r="G1986">
        <v>489.99</v>
      </c>
      <c r="H1986">
        <v>554.34</v>
      </c>
      <c r="I1986">
        <v>521.73</v>
      </c>
      <c r="J1986">
        <v>521.73</v>
      </c>
      <c r="K1986">
        <v>521.73</v>
      </c>
      <c r="L1986" t="s">
        <v>5922</v>
      </c>
      <c r="M1986">
        <v>652.16999999999996</v>
      </c>
      <c r="N1986">
        <v>652.16999999999996</v>
      </c>
      <c r="O1986">
        <v>456.52</v>
      </c>
      <c r="P1986">
        <v>521.73</v>
      </c>
      <c r="Q1986">
        <v>521.73</v>
      </c>
      <c r="R1986">
        <v>652.16999999999996</v>
      </c>
      <c r="S1986">
        <v>652.16999999999996</v>
      </c>
      <c r="T1986">
        <v>521.73</v>
      </c>
      <c r="U1986">
        <v>456.52</v>
      </c>
      <c r="V1986">
        <v>456.52</v>
      </c>
      <c r="W1986">
        <v>521.73</v>
      </c>
      <c r="X1986">
        <v>521.73</v>
      </c>
      <c r="Y1986">
        <v>699.99</v>
      </c>
      <c r="Z1986" t="s">
        <v>5922</v>
      </c>
    </row>
    <row r="1987" spans="1:26" x14ac:dyDescent="0.2">
      <c r="A1987" t="s">
        <v>3597</v>
      </c>
      <c r="B1987" t="s">
        <v>3719</v>
      </c>
      <c r="C1987" t="s">
        <v>3720</v>
      </c>
      <c r="D1987" t="s">
        <v>98</v>
      </c>
      <c r="E1987">
        <v>879.99</v>
      </c>
      <c r="F1987" t="s">
        <v>5922</v>
      </c>
      <c r="G1987">
        <v>527.99</v>
      </c>
      <c r="H1987">
        <v>665.21</v>
      </c>
      <c r="I1987">
        <v>626.08000000000004</v>
      </c>
      <c r="J1987">
        <v>626.08000000000004</v>
      </c>
      <c r="K1987">
        <v>626.08000000000004</v>
      </c>
      <c r="L1987" t="s">
        <v>5922</v>
      </c>
      <c r="M1987">
        <v>782.6</v>
      </c>
      <c r="N1987">
        <v>782.6</v>
      </c>
      <c r="O1987">
        <v>547.82000000000005</v>
      </c>
      <c r="P1987">
        <v>626.08000000000004</v>
      </c>
      <c r="Q1987">
        <v>626.08000000000004</v>
      </c>
      <c r="R1987">
        <v>782.6</v>
      </c>
      <c r="S1987">
        <v>782.6</v>
      </c>
      <c r="T1987">
        <v>626.08000000000004</v>
      </c>
      <c r="U1987">
        <v>547.82000000000005</v>
      </c>
      <c r="V1987">
        <v>547.82000000000005</v>
      </c>
      <c r="W1987">
        <v>626.08000000000004</v>
      </c>
      <c r="X1987">
        <v>626.08000000000004</v>
      </c>
      <c r="Y1987">
        <v>879.99</v>
      </c>
      <c r="Z1987" t="s">
        <v>5922</v>
      </c>
    </row>
    <row r="1988" spans="1:26" x14ac:dyDescent="0.2">
      <c r="A1988" t="s">
        <v>3597</v>
      </c>
      <c r="B1988" t="s">
        <v>6079</v>
      </c>
      <c r="C1988" t="s">
        <v>3721</v>
      </c>
      <c r="D1988" t="s">
        <v>98</v>
      </c>
      <c r="E1988">
        <v>839.99</v>
      </c>
      <c r="F1988" t="s">
        <v>5922</v>
      </c>
      <c r="H1988">
        <v>547.82000000000005</v>
      </c>
      <c r="I1988">
        <v>556.51</v>
      </c>
      <c r="J1988">
        <v>556.51</v>
      </c>
      <c r="K1988">
        <v>556.51</v>
      </c>
      <c r="L1988" t="s">
        <v>5922</v>
      </c>
      <c r="M1988">
        <v>695.64</v>
      </c>
      <c r="N1988">
        <v>695.64</v>
      </c>
      <c r="O1988">
        <v>486.95</v>
      </c>
      <c r="P1988">
        <v>556.51</v>
      </c>
      <c r="Q1988">
        <v>547.82000000000005</v>
      </c>
      <c r="R1988">
        <v>547.82000000000005</v>
      </c>
      <c r="S1988">
        <v>695.64</v>
      </c>
      <c r="T1988">
        <v>556.51</v>
      </c>
      <c r="U1988">
        <v>539.55999999999995</v>
      </c>
      <c r="V1988">
        <v>539.55999999999995</v>
      </c>
      <c r="W1988">
        <v>606.08000000000004</v>
      </c>
      <c r="X1988">
        <v>591.29999999999995</v>
      </c>
      <c r="Y1988">
        <v>839.99</v>
      </c>
      <c r="Z1988" t="s">
        <v>5922</v>
      </c>
    </row>
    <row r="1989" spans="1:26" x14ac:dyDescent="0.2">
      <c r="A1989" t="s">
        <v>3597</v>
      </c>
      <c r="B1989" t="s">
        <v>6080</v>
      </c>
      <c r="C1989" t="s">
        <v>3722</v>
      </c>
      <c r="D1989" t="s">
        <v>98</v>
      </c>
      <c r="E1989">
        <v>459.99</v>
      </c>
      <c r="F1989" t="s">
        <v>5922</v>
      </c>
      <c r="G1989">
        <v>459.99</v>
      </c>
      <c r="H1989">
        <v>299.99</v>
      </c>
      <c r="L1989" t="s">
        <v>5922</v>
      </c>
      <c r="Q1989">
        <v>299.99</v>
      </c>
      <c r="R1989">
        <v>299.99</v>
      </c>
      <c r="U1989">
        <v>298.33999999999997</v>
      </c>
      <c r="V1989">
        <v>298.33999999999997</v>
      </c>
      <c r="W1989">
        <v>327.99</v>
      </c>
      <c r="X1989">
        <v>319.99</v>
      </c>
      <c r="Y1989">
        <v>459.99</v>
      </c>
      <c r="Z1989" t="s">
        <v>5922</v>
      </c>
    </row>
    <row r="1990" spans="1:26" x14ac:dyDescent="0.2">
      <c r="A1990" t="s">
        <v>3597</v>
      </c>
      <c r="B1990" t="s">
        <v>6081</v>
      </c>
      <c r="C1990" t="s">
        <v>3723</v>
      </c>
      <c r="D1990" t="s">
        <v>105</v>
      </c>
      <c r="E1990">
        <v>519.99</v>
      </c>
      <c r="F1990" t="s">
        <v>7383</v>
      </c>
      <c r="G1990">
        <v>479.99</v>
      </c>
      <c r="H1990">
        <v>361.73</v>
      </c>
      <c r="L1990" t="s">
        <v>5922</v>
      </c>
      <c r="Q1990">
        <v>313.04000000000002</v>
      </c>
      <c r="R1990">
        <v>313.04000000000002</v>
      </c>
      <c r="U1990">
        <v>336.43</v>
      </c>
      <c r="V1990">
        <v>368.69</v>
      </c>
      <c r="W1990">
        <v>391.3</v>
      </c>
      <c r="X1990">
        <v>333.91</v>
      </c>
      <c r="Y1990">
        <v>519.99</v>
      </c>
      <c r="Z1990" t="s">
        <v>5922</v>
      </c>
    </row>
    <row r="1991" spans="1:26" x14ac:dyDescent="0.2">
      <c r="A1991" t="s">
        <v>3597</v>
      </c>
      <c r="B1991" t="s">
        <v>6082</v>
      </c>
      <c r="C1991" t="s">
        <v>3724</v>
      </c>
      <c r="D1991" t="s">
        <v>98</v>
      </c>
      <c r="E1991">
        <v>444.99</v>
      </c>
      <c r="F1991" t="s">
        <v>5922</v>
      </c>
      <c r="G1991">
        <v>444.99</v>
      </c>
      <c r="H1991">
        <v>290.20999999999998</v>
      </c>
      <c r="I1991">
        <v>326.95</v>
      </c>
      <c r="J1991">
        <v>326.95</v>
      </c>
      <c r="K1991">
        <v>326.95</v>
      </c>
      <c r="L1991" t="s">
        <v>5922</v>
      </c>
      <c r="M1991">
        <v>408.69</v>
      </c>
      <c r="N1991">
        <v>408.69</v>
      </c>
      <c r="O1991">
        <v>286.08</v>
      </c>
      <c r="P1991">
        <v>326.95</v>
      </c>
      <c r="Q1991">
        <v>290.20999999999998</v>
      </c>
      <c r="R1991">
        <v>290.20999999999998</v>
      </c>
      <c r="S1991">
        <v>408.69</v>
      </c>
      <c r="T1991">
        <v>326.95</v>
      </c>
      <c r="U1991">
        <v>304.69</v>
      </c>
      <c r="V1991">
        <v>304.69</v>
      </c>
      <c r="W1991">
        <v>335.12</v>
      </c>
      <c r="X1991">
        <v>326.95</v>
      </c>
      <c r="Y1991">
        <v>444.99</v>
      </c>
      <c r="Z1991" t="s">
        <v>5922</v>
      </c>
    </row>
    <row r="1992" spans="1:26" x14ac:dyDescent="0.2">
      <c r="A1992" t="s">
        <v>3597</v>
      </c>
      <c r="B1992" t="s">
        <v>6083</v>
      </c>
      <c r="C1992" t="s">
        <v>3725</v>
      </c>
      <c r="D1992" t="s">
        <v>138</v>
      </c>
      <c r="E1992">
        <v>544.99</v>
      </c>
      <c r="F1992" t="s">
        <v>7384</v>
      </c>
      <c r="G1992">
        <v>499.99</v>
      </c>
      <c r="L1992" t="s">
        <v>5922</v>
      </c>
      <c r="Q1992">
        <v>326.08</v>
      </c>
      <c r="R1992">
        <v>326.08</v>
      </c>
      <c r="U1992">
        <v>349.12</v>
      </c>
      <c r="V1992">
        <v>382.6</v>
      </c>
      <c r="W1992">
        <v>422.6</v>
      </c>
      <c r="X1992">
        <v>347.82</v>
      </c>
      <c r="Y1992">
        <v>544.99</v>
      </c>
      <c r="Z1992" t="s">
        <v>5922</v>
      </c>
    </row>
    <row r="1993" spans="1:26" x14ac:dyDescent="0.2">
      <c r="A1993" t="s">
        <v>3597</v>
      </c>
      <c r="B1993" t="s">
        <v>6084</v>
      </c>
      <c r="C1993" t="s">
        <v>3726</v>
      </c>
      <c r="D1993" t="s">
        <v>98</v>
      </c>
      <c r="E1993">
        <v>564.99</v>
      </c>
      <c r="F1993" t="s">
        <v>5922</v>
      </c>
      <c r="G1993">
        <v>564.99</v>
      </c>
      <c r="H1993">
        <v>368.47</v>
      </c>
      <c r="I1993">
        <v>403.47</v>
      </c>
      <c r="J1993">
        <v>403.47</v>
      </c>
      <c r="K1993">
        <v>403.47</v>
      </c>
      <c r="L1993" t="s">
        <v>5922</v>
      </c>
      <c r="M1993">
        <v>504.34</v>
      </c>
      <c r="N1993">
        <v>504.34</v>
      </c>
      <c r="O1993">
        <v>353.04</v>
      </c>
      <c r="P1993">
        <v>403.47</v>
      </c>
      <c r="Q1993">
        <v>368.47</v>
      </c>
      <c r="R1993">
        <v>368.47</v>
      </c>
      <c r="S1993">
        <v>504.34</v>
      </c>
      <c r="T1993">
        <v>403.47</v>
      </c>
      <c r="U1993">
        <v>368.17</v>
      </c>
      <c r="V1993">
        <v>368.17</v>
      </c>
      <c r="W1993">
        <v>413.56</v>
      </c>
      <c r="X1993">
        <v>403.47</v>
      </c>
      <c r="Y1993">
        <v>564.99</v>
      </c>
      <c r="Z1993" t="s">
        <v>5922</v>
      </c>
    </row>
    <row r="1994" spans="1:26" x14ac:dyDescent="0.2">
      <c r="A1994" t="s">
        <v>3597</v>
      </c>
      <c r="B1994" t="s">
        <v>6085</v>
      </c>
      <c r="C1994" t="s">
        <v>3727</v>
      </c>
      <c r="D1994" t="s">
        <v>138</v>
      </c>
      <c r="E1994">
        <v>629.99</v>
      </c>
      <c r="F1994" t="s">
        <v>7226</v>
      </c>
      <c r="G1994">
        <v>579.99</v>
      </c>
      <c r="H1994">
        <v>438.25</v>
      </c>
      <c r="L1994" t="s">
        <v>5922</v>
      </c>
      <c r="Q1994">
        <v>378.25</v>
      </c>
      <c r="R1994">
        <v>378.25</v>
      </c>
      <c r="U1994">
        <v>399.91</v>
      </c>
      <c r="V1994">
        <v>438.25</v>
      </c>
      <c r="W1994">
        <v>461.73</v>
      </c>
      <c r="X1994">
        <v>403.47</v>
      </c>
      <c r="Y1994">
        <v>629.99</v>
      </c>
      <c r="Z1994" t="s">
        <v>5922</v>
      </c>
    </row>
    <row r="1995" spans="1:26" x14ac:dyDescent="0.2">
      <c r="A1995" t="s">
        <v>3597</v>
      </c>
      <c r="B1995" t="s">
        <v>6086</v>
      </c>
      <c r="C1995" t="s">
        <v>3728</v>
      </c>
      <c r="D1995" t="s">
        <v>98</v>
      </c>
      <c r="E1995">
        <v>99999</v>
      </c>
      <c r="F1995" t="s">
        <v>5922</v>
      </c>
      <c r="G1995">
        <v>690</v>
      </c>
      <c r="L1995" t="s">
        <v>5922</v>
      </c>
      <c r="U1995">
        <v>844.99</v>
      </c>
      <c r="V1995">
        <v>839.99</v>
      </c>
      <c r="W1995">
        <v>959.99</v>
      </c>
      <c r="X1995">
        <v>959.99</v>
      </c>
      <c r="Y1995">
        <v>1379.99</v>
      </c>
      <c r="Z1995" t="s">
        <v>5922</v>
      </c>
    </row>
    <row r="1996" spans="1:26" x14ac:dyDescent="0.2">
      <c r="A1996" t="s">
        <v>3597</v>
      </c>
      <c r="B1996" t="s">
        <v>6087</v>
      </c>
      <c r="C1996" t="s">
        <v>3729</v>
      </c>
      <c r="D1996" t="s">
        <v>98</v>
      </c>
      <c r="E1996">
        <v>789.99</v>
      </c>
      <c r="F1996" t="s">
        <v>5922</v>
      </c>
      <c r="G1996">
        <v>395</v>
      </c>
      <c r="L1996" t="s">
        <v>5922</v>
      </c>
      <c r="U1996">
        <v>485.86</v>
      </c>
      <c r="V1996">
        <v>480.86</v>
      </c>
      <c r="W1996">
        <v>549.55999999999995</v>
      </c>
      <c r="X1996">
        <v>549.55999999999995</v>
      </c>
      <c r="Y1996">
        <v>789.99</v>
      </c>
      <c r="Z1996" t="s">
        <v>5922</v>
      </c>
    </row>
    <row r="1997" spans="1:26" x14ac:dyDescent="0.2">
      <c r="A1997" t="s">
        <v>3597</v>
      </c>
      <c r="B1997" t="s">
        <v>6088</v>
      </c>
      <c r="C1997" t="s">
        <v>3730</v>
      </c>
      <c r="D1997" t="s">
        <v>138</v>
      </c>
      <c r="E1997">
        <v>1899.99</v>
      </c>
      <c r="F1997" t="s">
        <v>7385</v>
      </c>
      <c r="G1997">
        <v>1799.99</v>
      </c>
      <c r="H1997">
        <v>1321.73</v>
      </c>
      <c r="L1997" t="s">
        <v>5922</v>
      </c>
      <c r="Q1997">
        <v>1173.9100000000001</v>
      </c>
      <c r="R1997">
        <v>1173.9100000000001</v>
      </c>
      <c r="U1997">
        <v>1206.08</v>
      </c>
      <c r="V1997">
        <v>1321.73</v>
      </c>
      <c r="W1997">
        <v>1408.69</v>
      </c>
      <c r="X1997">
        <v>1252.17</v>
      </c>
      <c r="Y1997">
        <v>1899.99</v>
      </c>
      <c r="Z1997" t="s">
        <v>5922</v>
      </c>
    </row>
    <row r="1998" spans="1:26" x14ac:dyDescent="0.2">
      <c r="A1998" t="s">
        <v>3597</v>
      </c>
      <c r="B1998" t="s">
        <v>6089</v>
      </c>
      <c r="C1998" t="s">
        <v>3731</v>
      </c>
      <c r="D1998" t="s">
        <v>138</v>
      </c>
      <c r="E1998">
        <v>1999.99</v>
      </c>
      <c r="F1998" t="s">
        <v>7386</v>
      </c>
      <c r="G1998">
        <v>1999.99</v>
      </c>
      <c r="H1998">
        <v>1391.3</v>
      </c>
      <c r="L1998" t="s">
        <v>5922</v>
      </c>
      <c r="Q1998">
        <v>1304.3399999999999</v>
      </c>
      <c r="R1998">
        <v>1304.3399999999999</v>
      </c>
      <c r="U1998">
        <v>1269.56</v>
      </c>
      <c r="V1998">
        <v>1391.3</v>
      </c>
      <c r="W1998">
        <v>1565.21</v>
      </c>
      <c r="X1998">
        <v>1391.3</v>
      </c>
      <c r="Y1998">
        <v>1999.99</v>
      </c>
      <c r="Z1998" t="s">
        <v>5922</v>
      </c>
    </row>
    <row r="1999" spans="1:26" x14ac:dyDescent="0.2">
      <c r="A1999" t="s">
        <v>3597</v>
      </c>
      <c r="B1999" t="s">
        <v>6090</v>
      </c>
      <c r="C1999" t="s">
        <v>3732</v>
      </c>
      <c r="D1999" t="s">
        <v>138</v>
      </c>
      <c r="E1999">
        <v>999.99</v>
      </c>
      <c r="F1999" t="s">
        <v>7387</v>
      </c>
      <c r="G1999">
        <v>999.99</v>
      </c>
      <c r="H1999">
        <v>695.65</v>
      </c>
      <c r="L1999" t="s">
        <v>5922</v>
      </c>
      <c r="Q1999">
        <v>652.16999999999996</v>
      </c>
      <c r="R1999">
        <v>652.16999999999996</v>
      </c>
      <c r="U1999">
        <v>634.78</v>
      </c>
      <c r="V1999">
        <v>695.65</v>
      </c>
      <c r="W1999">
        <v>782.6</v>
      </c>
      <c r="X1999">
        <v>695.65</v>
      </c>
      <c r="Y1999">
        <v>999.99</v>
      </c>
      <c r="Z1999" t="s">
        <v>5922</v>
      </c>
    </row>
    <row r="2000" spans="1:26" x14ac:dyDescent="0.2">
      <c r="A2000" t="s">
        <v>3597</v>
      </c>
      <c r="B2000" t="s">
        <v>6091</v>
      </c>
      <c r="C2000" t="s">
        <v>3733</v>
      </c>
      <c r="D2000" t="s">
        <v>98</v>
      </c>
      <c r="E2000">
        <v>359.99</v>
      </c>
      <c r="F2000" t="s">
        <v>5922</v>
      </c>
      <c r="G2000">
        <v>359.99</v>
      </c>
      <c r="H2000">
        <v>234.78</v>
      </c>
      <c r="L2000" t="s">
        <v>5922</v>
      </c>
      <c r="Q2000">
        <v>234.78</v>
      </c>
      <c r="R2000">
        <v>234.78</v>
      </c>
      <c r="U2000">
        <v>228.52</v>
      </c>
      <c r="V2000">
        <v>228.52</v>
      </c>
      <c r="W2000">
        <v>256.69</v>
      </c>
      <c r="X2000">
        <v>250.43</v>
      </c>
      <c r="Y2000">
        <v>359.99</v>
      </c>
      <c r="Z2000" t="s">
        <v>5922</v>
      </c>
    </row>
    <row r="2001" spans="1:26" x14ac:dyDescent="0.2">
      <c r="A2001" t="s">
        <v>3597</v>
      </c>
      <c r="B2001" t="s">
        <v>3734</v>
      </c>
      <c r="C2001" t="s">
        <v>3733</v>
      </c>
      <c r="D2001" t="s">
        <v>98</v>
      </c>
      <c r="E2001">
        <v>289.95</v>
      </c>
      <c r="F2001" t="s">
        <v>5922</v>
      </c>
      <c r="G2001">
        <v>252.13</v>
      </c>
      <c r="H2001">
        <v>214.31</v>
      </c>
      <c r="I2001">
        <v>201.7</v>
      </c>
      <c r="J2001">
        <v>201.7</v>
      </c>
      <c r="K2001">
        <v>201.7</v>
      </c>
      <c r="L2001" t="s">
        <v>5922</v>
      </c>
      <c r="M2001">
        <v>252.13</v>
      </c>
      <c r="N2001">
        <v>252.13</v>
      </c>
      <c r="O2001">
        <v>176.49</v>
      </c>
      <c r="P2001">
        <v>201.7</v>
      </c>
      <c r="Q2001">
        <v>201.7</v>
      </c>
      <c r="R2001">
        <v>252.13</v>
      </c>
      <c r="S2001">
        <v>252.13</v>
      </c>
      <c r="T2001">
        <v>201.7</v>
      </c>
      <c r="U2001">
        <v>181.49</v>
      </c>
      <c r="V2001">
        <v>176.49</v>
      </c>
      <c r="W2001">
        <v>201.7</v>
      </c>
      <c r="X2001">
        <v>201.7</v>
      </c>
      <c r="Y2001">
        <v>249.99</v>
      </c>
      <c r="Z2001" t="s">
        <v>5922</v>
      </c>
    </row>
    <row r="2002" spans="1:26" x14ac:dyDescent="0.2">
      <c r="A2002" t="s">
        <v>3597</v>
      </c>
      <c r="B2002" t="s">
        <v>3736</v>
      </c>
      <c r="C2002" t="s">
        <v>3735</v>
      </c>
      <c r="D2002" t="s">
        <v>98</v>
      </c>
      <c r="E2002">
        <v>199.95</v>
      </c>
      <c r="F2002" t="s">
        <v>5922</v>
      </c>
      <c r="G2002">
        <v>173.87</v>
      </c>
      <c r="H2002">
        <v>147.79</v>
      </c>
      <c r="I2002">
        <v>139.1</v>
      </c>
      <c r="J2002">
        <v>139.1</v>
      </c>
      <c r="K2002">
        <v>139.1</v>
      </c>
      <c r="L2002" t="s">
        <v>5922</v>
      </c>
      <c r="M2002">
        <v>173.87</v>
      </c>
      <c r="N2002">
        <v>173.87</v>
      </c>
      <c r="O2002">
        <v>121.71</v>
      </c>
      <c r="P2002">
        <v>139.1</v>
      </c>
      <c r="Q2002">
        <v>139.1</v>
      </c>
      <c r="R2002">
        <v>173.87</v>
      </c>
      <c r="S2002">
        <v>173.87</v>
      </c>
      <c r="T2002">
        <v>139.1</v>
      </c>
      <c r="U2002">
        <v>126.71</v>
      </c>
      <c r="V2002">
        <v>121.71</v>
      </c>
      <c r="W2002">
        <v>139.1</v>
      </c>
      <c r="X2002">
        <v>139.1</v>
      </c>
      <c r="Y2002">
        <v>179.99</v>
      </c>
      <c r="Z2002" t="s">
        <v>5922</v>
      </c>
    </row>
    <row r="2003" spans="1:26" x14ac:dyDescent="0.2">
      <c r="A2003" t="s">
        <v>3597</v>
      </c>
      <c r="B2003" t="s">
        <v>6092</v>
      </c>
      <c r="C2003" t="s">
        <v>3735</v>
      </c>
      <c r="D2003" t="s">
        <v>98</v>
      </c>
      <c r="E2003">
        <v>239.99</v>
      </c>
      <c r="F2003" t="s">
        <v>5922</v>
      </c>
      <c r="G2003">
        <v>239.99</v>
      </c>
      <c r="H2003">
        <v>156.52000000000001</v>
      </c>
      <c r="L2003" t="s">
        <v>5922</v>
      </c>
      <c r="Q2003">
        <v>156.52000000000001</v>
      </c>
      <c r="R2003">
        <v>156.52000000000001</v>
      </c>
      <c r="U2003">
        <v>152.34</v>
      </c>
      <c r="V2003">
        <v>152.34</v>
      </c>
      <c r="W2003">
        <v>171.12</v>
      </c>
      <c r="X2003">
        <v>166.95</v>
      </c>
      <c r="Y2003">
        <v>239.99</v>
      </c>
      <c r="Z2003" t="s">
        <v>5922</v>
      </c>
    </row>
    <row r="2004" spans="1:26" x14ac:dyDescent="0.2">
      <c r="A2004" t="s">
        <v>3597</v>
      </c>
      <c r="B2004" t="s">
        <v>6093</v>
      </c>
      <c r="C2004" t="s">
        <v>3737</v>
      </c>
      <c r="D2004" t="s">
        <v>98</v>
      </c>
      <c r="E2004">
        <v>1499.99</v>
      </c>
      <c r="F2004" t="s">
        <v>5922</v>
      </c>
      <c r="G2004">
        <v>1499.99</v>
      </c>
      <c r="H2004">
        <v>978.25</v>
      </c>
      <c r="I2004">
        <v>973.91</v>
      </c>
      <c r="J2004">
        <v>973.91</v>
      </c>
      <c r="L2004" t="s">
        <v>5922</v>
      </c>
      <c r="Q2004">
        <v>978.25</v>
      </c>
      <c r="R2004">
        <v>978.25</v>
      </c>
      <c r="U2004">
        <v>952.17</v>
      </c>
      <c r="V2004">
        <v>952.17</v>
      </c>
      <c r="W2004">
        <v>1069.56</v>
      </c>
      <c r="X2004">
        <v>1043.47</v>
      </c>
      <c r="Y2004">
        <v>1499.99</v>
      </c>
      <c r="Z2004" t="s">
        <v>5922</v>
      </c>
    </row>
    <row r="2005" spans="1:26" x14ac:dyDescent="0.2">
      <c r="A2005" t="s">
        <v>3597</v>
      </c>
      <c r="B2005" t="s">
        <v>6094</v>
      </c>
      <c r="C2005" t="s">
        <v>3738</v>
      </c>
      <c r="D2005" t="s">
        <v>98</v>
      </c>
      <c r="E2005">
        <v>1739.99</v>
      </c>
      <c r="F2005" t="s">
        <v>5922</v>
      </c>
      <c r="H2005">
        <v>1134.78</v>
      </c>
      <c r="I2005">
        <v>1113.04</v>
      </c>
      <c r="J2005">
        <v>1113.04</v>
      </c>
      <c r="L2005" t="s">
        <v>5922</v>
      </c>
      <c r="Q2005">
        <v>1134.78</v>
      </c>
      <c r="R2005">
        <v>1134.78</v>
      </c>
      <c r="U2005">
        <v>1104.52</v>
      </c>
      <c r="V2005">
        <v>1104.52</v>
      </c>
      <c r="W2005">
        <v>1240.69</v>
      </c>
      <c r="X2005">
        <v>1210.43</v>
      </c>
      <c r="Y2005">
        <v>1739.99</v>
      </c>
      <c r="Z2005" t="s">
        <v>5922</v>
      </c>
    </row>
    <row r="2006" spans="1:26" x14ac:dyDescent="0.2">
      <c r="A2006" t="s">
        <v>3597</v>
      </c>
      <c r="B2006" t="s">
        <v>6095</v>
      </c>
      <c r="C2006" t="s">
        <v>3739</v>
      </c>
      <c r="D2006" t="s">
        <v>98</v>
      </c>
      <c r="E2006">
        <v>874.99</v>
      </c>
      <c r="F2006" t="s">
        <v>5922</v>
      </c>
      <c r="G2006">
        <v>874.99</v>
      </c>
      <c r="H2006">
        <v>570.65</v>
      </c>
      <c r="I2006">
        <v>556.51</v>
      </c>
      <c r="J2006">
        <v>556.51</v>
      </c>
      <c r="L2006" t="s">
        <v>5922</v>
      </c>
      <c r="Q2006">
        <v>570.65</v>
      </c>
      <c r="R2006">
        <v>570.65</v>
      </c>
      <c r="U2006">
        <v>571.29999999999995</v>
      </c>
      <c r="V2006">
        <v>571.29999999999995</v>
      </c>
      <c r="W2006">
        <v>627.47</v>
      </c>
      <c r="X2006">
        <v>612.16999999999996</v>
      </c>
      <c r="Y2006">
        <v>874.99</v>
      </c>
      <c r="Z2006" t="s">
        <v>5922</v>
      </c>
    </row>
    <row r="2007" spans="1:26" x14ac:dyDescent="0.2">
      <c r="A2007" t="s">
        <v>3597</v>
      </c>
      <c r="B2007" t="s">
        <v>3740</v>
      </c>
      <c r="C2007" t="s">
        <v>3741</v>
      </c>
      <c r="D2007" t="s">
        <v>98</v>
      </c>
      <c r="E2007">
        <v>699.99</v>
      </c>
      <c r="F2007" t="s">
        <v>5922</v>
      </c>
      <c r="G2007">
        <v>608.69000000000005</v>
      </c>
      <c r="H2007">
        <v>517.38</v>
      </c>
      <c r="I2007">
        <v>486.95</v>
      </c>
      <c r="J2007">
        <v>486.95</v>
      </c>
      <c r="K2007">
        <v>486.95</v>
      </c>
      <c r="L2007" t="s">
        <v>5922</v>
      </c>
      <c r="M2007">
        <v>608.69000000000005</v>
      </c>
      <c r="N2007">
        <v>608.69000000000005</v>
      </c>
      <c r="O2007">
        <v>426.08</v>
      </c>
      <c r="P2007">
        <v>486.95</v>
      </c>
      <c r="Q2007">
        <v>486.95</v>
      </c>
      <c r="R2007">
        <v>608.69000000000005</v>
      </c>
      <c r="S2007">
        <v>608.69000000000005</v>
      </c>
      <c r="T2007">
        <v>486.95</v>
      </c>
      <c r="U2007">
        <v>426.08</v>
      </c>
      <c r="V2007">
        <v>426.08</v>
      </c>
      <c r="W2007">
        <v>486.95</v>
      </c>
      <c r="X2007">
        <v>486.95</v>
      </c>
      <c r="Y2007">
        <v>699.99</v>
      </c>
      <c r="Z2007" t="s">
        <v>5922</v>
      </c>
    </row>
    <row r="2008" spans="1:26" x14ac:dyDescent="0.2">
      <c r="A2008" t="s">
        <v>3597</v>
      </c>
      <c r="B2008" t="s">
        <v>3742</v>
      </c>
      <c r="C2008" t="s">
        <v>3743</v>
      </c>
      <c r="D2008" t="s">
        <v>98</v>
      </c>
      <c r="E2008">
        <v>1099.99</v>
      </c>
      <c r="F2008" t="s">
        <v>5922</v>
      </c>
      <c r="G2008">
        <v>956.51</v>
      </c>
      <c r="H2008">
        <v>813.04</v>
      </c>
      <c r="I2008">
        <v>765.21</v>
      </c>
      <c r="J2008">
        <v>765.21</v>
      </c>
      <c r="K2008">
        <v>765.21</v>
      </c>
      <c r="L2008" t="s">
        <v>5922</v>
      </c>
      <c r="M2008">
        <v>956.51</v>
      </c>
      <c r="N2008">
        <v>956.51</v>
      </c>
      <c r="O2008">
        <v>669.56</v>
      </c>
      <c r="P2008">
        <v>765.21</v>
      </c>
      <c r="Q2008">
        <v>765.21</v>
      </c>
      <c r="R2008">
        <v>956.51</v>
      </c>
      <c r="S2008">
        <v>956.51</v>
      </c>
      <c r="T2008">
        <v>765.21</v>
      </c>
      <c r="U2008">
        <v>669.56</v>
      </c>
      <c r="V2008">
        <v>669.56</v>
      </c>
      <c r="W2008">
        <v>765.21</v>
      </c>
      <c r="X2008">
        <v>765.21</v>
      </c>
      <c r="Y2008">
        <v>1099.99</v>
      </c>
      <c r="Z2008" t="s">
        <v>5922</v>
      </c>
    </row>
    <row r="2009" spans="1:26" x14ac:dyDescent="0.2">
      <c r="A2009" t="s">
        <v>3597</v>
      </c>
      <c r="B2009" t="s">
        <v>3744</v>
      </c>
      <c r="C2009" t="s">
        <v>3745</v>
      </c>
      <c r="D2009" t="s">
        <v>138</v>
      </c>
      <c r="E2009">
        <v>79.989999999999995</v>
      </c>
      <c r="F2009" t="s">
        <v>6934</v>
      </c>
      <c r="G2009">
        <v>69.989999999999995</v>
      </c>
      <c r="H2009">
        <v>55.65</v>
      </c>
      <c r="I2009">
        <v>52.17</v>
      </c>
      <c r="J2009">
        <v>52.17</v>
      </c>
      <c r="K2009">
        <v>52.17</v>
      </c>
      <c r="L2009" t="s">
        <v>5922</v>
      </c>
      <c r="M2009">
        <v>65.209999999999994</v>
      </c>
      <c r="N2009">
        <v>65.209999999999994</v>
      </c>
      <c r="O2009">
        <v>45.65</v>
      </c>
      <c r="P2009">
        <v>52.17</v>
      </c>
      <c r="Q2009">
        <v>45.65</v>
      </c>
      <c r="R2009">
        <v>45.65</v>
      </c>
      <c r="S2009">
        <v>65.209999999999994</v>
      </c>
      <c r="T2009">
        <v>52.17</v>
      </c>
      <c r="U2009">
        <v>50.86</v>
      </c>
      <c r="V2009">
        <v>52.17</v>
      </c>
      <c r="W2009">
        <v>55.43</v>
      </c>
      <c r="X2009">
        <v>52.17</v>
      </c>
      <c r="Y2009">
        <v>79.989999999999995</v>
      </c>
      <c r="Z2009" t="s">
        <v>5922</v>
      </c>
    </row>
    <row r="2010" spans="1:26" x14ac:dyDescent="0.2">
      <c r="A2010" t="s">
        <v>3597</v>
      </c>
      <c r="B2010" t="s">
        <v>6096</v>
      </c>
      <c r="C2010" t="s">
        <v>3746</v>
      </c>
      <c r="D2010" t="s">
        <v>138</v>
      </c>
      <c r="E2010">
        <v>249.99</v>
      </c>
      <c r="F2010" t="s">
        <v>7134</v>
      </c>
      <c r="G2010">
        <v>229.99</v>
      </c>
      <c r="H2010">
        <v>173.91</v>
      </c>
      <c r="L2010" t="s">
        <v>5922</v>
      </c>
      <c r="Q2010">
        <v>149.99</v>
      </c>
      <c r="R2010">
        <v>149.99</v>
      </c>
      <c r="U2010">
        <v>158.69</v>
      </c>
      <c r="V2010">
        <v>173.91</v>
      </c>
      <c r="W2010">
        <v>179.99</v>
      </c>
      <c r="X2010">
        <v>159.99</v>
      </c>
      <c r="Y2010">
        <v>249.99</v>
      </c>
      <c r="Z2010" t="s">
        <v>5922</v>
      </c>
    </row>
    <row r="2011" spans="1:26" x14ac:dyDescent="0.2">
      <c r="A2011" t="s">
        <v>3597</v>
      </c>
      <c r="B2011" t="s">
        <v>6097</v>
      </c>
      <c r="C2011" t="s">
        <v>3747</v>
      </c>
      <c r="D2011" t="s">
        <v>138</v>
      </c>
      <c r="E2011">
        <v>239.99</v>
      </c>
      <c r="F2011" t="s">
        <v>7279</v>
      </c>
      <c r="G2011">
        <v>219.99</v>
      </c>
      <c r="H2011">
        <v>166.95</v>
      </c>
      <c r="L2011" t="s">
        <v>5922</v>
      </c>
      <c r="Q2011">
        <v>143.47</v>
      </c>
      <c r="R2011">
        <v>143.47</v>
      </c>
      <c r="U2011">
        <v>152.34</v>
      </c>
      <c r="V2011">
        <v>166.95</v>
      </c>
      <c r="W2011">
        <v>162.6</v>
      </c>
      <c r="X2011">
        <v>153.04</v>
      </c>
      <c r="Y2011">
        <v>239.99</v>
      </c>
      <c r="Z2011" t="s">
        <v>5922</v>
      </c>
    </row>
    <row r="2012" spans="1:26" x14ac:dyDescent="0.2">
      <c r="A2012" t="s">
        <v>3597</v>
      </c>
      <c r="B2012" t="s">
        <v>3748</v>
      </c>
      <c r="C2012" t="s">
        <v>3747</v>
      </c>
      <c r="D2012" t="s">
        <v>98</v>
      </c>
      <c r="E2012">
        <v>179.99</v>
      </c>
      <c r="F2012" t="s">
        <v>5922</v>
      </c>
      <c r="G2012">
        <v>179.99</v>
      </c>
      <c r="H2012">
        <v>133.04</v>
      </c>
      <c r="I2012">
        <v>125.21</v>
      </c>
      <c r="J2012">
        <v>125.21</v>
      </c>
      <c r="L2012" t="s">
        <v>5922</v>
      </c>
      <c r="R2012">
        <v>156.51</v>
      </c>
      <c r="U2012">
        <v>109.56</v>
      </c>
      <c r="V2012">
        <v>109.56</v>
      </c>
      <c r="W2012">
        <v>125.21</v>
      </c>
      <c r="X2012">
        <v>125.21</v>
      </c>
      <c r="Y2012">
        <v>179.99</v>
      </c>
      <c r="Z2012" t="s">
        <v>5922</v>
      </c>
    </row>
    <row r="2013" spans="1:26" x14ac:dyDescent="0.2">
      <c r="A2013" t="s">
        <v>3597</v>
      </c>
      <c r="B2013" t="s">
        <v>6098</v>
      </c>
      <c r="C2013" t="s">
        <v>3749</v>
      </c>
      <c r="D2013" t="s">
        <v>138</v>
      </c>
      <c r="E2013">
        <v>169.99</v>
      </c>
      <c r="F2013" t="s">
        <v>6888</v>
      </c>
      <c r="G2013">
        <v>154.99</v>
      </c>
      <c r="H2013">
        <v>118.25</v>
      </c>
      <c r="I2013">
        <v>111.3</v>
      </c>
      <c r="J2013">
        <v>111.3</v>
      </c>
      <c r="K2013">
        <v>111.3</v>
      </c>
      <c r="L2013" t="s">
        <v>5922</v>
      </c>
      <c r="M2013">
        <v>139.12</v>
      </c>
      <c r="N2013">
        <v>139.12</v>
      </c>
      <c r="O2013">
        <v>97.39</v>
      </c>
      <c r="P2013">
        <v>111.3</v>
      </c>
      <c r="Q2013">
        <v>101.08</v>
      </c>
      <c r="R2013">
        <v>101.08</v>
      </c>
      <c r="S2013">
        <v>139.12</v>
      </c>
      <c r="T2013">
        <v>111.3</v>
      </c>
      <c r="U2013">
        <v>107.91</v>
      </c>
      <c r="V2013">
        <v>118.25</v>
      </c>
      <c r="W2013">
        <v>118.25</v>
      </c>
      <c r="X2013">
        <v>111.3</v>
      </c>
      <c r="Y2013">
        <v>169.99</v>
      </c>
      <c r="Z2013" t="s">
        <v>5922</v>
      </c>
    </row>
    <row r="2014" spans="1:26" x14ac:dyDescent="0.2">
      <c r="A2014" t="s">
        <v>3597</v>
      </c>
      <c r="B2014" t="s">
        <v>6099</v>
      </c>
      <c r="C2014" t="s">
        <v>3750</v>
      </c>
      <c r="D2014" t="s">
        <v>138</v>
      </c>
      <c r="E2014">
        <v>234.99</v>
      </c>
      <c r="F2014" t="s">
        <v>7388</v>
      </c>
      <c r="G2014">
        <v>214.99</v>
      </c>
      <c r="H2014">
        <v>163.47</v>
      </c>
      <c r="I2014">
        <v>159.99</v>
      </c>
      <c r="J2014">
        <v>159.99</v>
      </c>
      <c r="K2014">
        <v>159.99</v>
      </c>
      <c r="L2014" t="s">
        <v>5922</v>
      </c>
      <c r="M2014">
        <v>199.99</v>
      </c>
      <c r="N2014">
        <v>199.99</v>
      </c>
      <c r="O2014">
        <v>139.99</v>
      </c>
      <c r="P2014">
        <v>159.99</v>
      </c>
      <c r="Q2014">
        <v>140.21</v>
      </c>
      <c r="R2014">
        <v>140.21</v>
      </c>
      <c r="S2014">
        <v>199.99</v>
      </c>
      <c r="T2014">
        <v>159.99</v>
      </c>
      <c r="U2014">
        <v>149.16999999999999</v>
      </c>
      <c r="V2014">
        <v>159.99</v>
      </c>
      <c r="W2014">
        <v>169.99</v>
      </c>
      <c r="X2014">
        <v>159.99</v>
      </c>
      <c r="Y2014">
        <v>234.99</v>
      </c>
      <c r="Z2014" t="s">
        <v>5922</v>
      </c>
    </row>
    <row r="2015" spans="1:26" x14ac:dyDescent="0.2">
      <c r="A2015" t="s">
        <v>3597</v>
      </c>
      <c r="B2015" t="s">
        <v>6100</v>
      </c>
      <c r="C2015" t="s">
        <v>3751</v>
      </c>
      <c r="D2015" t="s">
        <v>98</v>
      </c>
      <c r="E2015">
        <v>159.99</v>
      </c>
      <c r="F2015" t="s">
        <v>5922</v>
      </c>
      <c r="G2015">
        <v>159.99</v>
      </c>
      <c r="H2015">
        <v>104.34</v>
      </c>
      <c r="L2015" t="s">
        <v>5922</v>
      </c>
      <c r="Q2015">
        <v>104.34</v>
      </c>
      <c r="R2015">
        <v>104.34</v>
      </c>
      <c r="U2015">
        <v>107.91</v>
      </c>
      <c r="V2015">
        <v>107.91</v>
      </c>
      <c r="W2015">
        <v>118.25</v>
      </c>
      <c r="X2015">
        <v>111.3</v>
      </c>
      <c r="Y2015">
        <v>159.99</v>
      </c>
      <c r="Z2015" t="s">
        <v>5922</v>
      </c>
    </row>
    <row r="2016" spans="1:26" x14ac:dyDescent="0.2">
      <c r="A2016" t="s">
        <v>3597</v>
      </c>
      <c r="B2016" t="s">
        <v>3752</v>
      </c>
      <c r="C2016" t="s">
        <v>3753</v>
      </c>
      <c r="D2016" t="s">
        <v>138</v>
      </c>
      <c r="E2016">
        <v>94.99</v>
      </c>
      <c r="F2016" t="s">
        <v>6928</v>
      </c>
      <c r="G2016">
        <v>87.99</v>
      </c>
      <c r="H2016">
        <v>66.08</v>
      </c>
      <c r="I2016">
        <v>55.65</v>
      </c>
      <c r="J2016">
        <v>55.65</v>
      </c>
      <c r="K2016">
        <v>55.65</v>
      </c>
      <c r="L2016" t="s">
        <v>5922</v>
      </c>
      <c r="M2016">
        <v>69.56</v>
      </c>
      <c r="N2016">
        <v>69.56</v>
      </c>
      <c r="O2016">
        <v>48.69</v>
      </c>
      <c r="P2016">
        <v>55.65</v>
      </c>
      <c r="Q2016">
        <v>57.38</v>
      </c>
      <c r="R2016">
        <v>57.38</v>
      </c>
      <c r="S2016">
        <v>69.56</v>
      </c>
      <c r="T2016">
        <v>55.65</v>
      </c>
      <c r="U2016">
        <v>63.47</v>
      </c>
      <c r="V2016">
        <v>66.08</v>
      </c>
      <c r="W2016">
        <v>66.510000000000005</v>
      </c>
      <c r="X2016">
        <v>62.6</v>
      </c>
      <c r="Y2016">
        <v>94.99</v>
      </c>
      <c r="Z2016" t="s">
        <v>5922</v>
      </c>
    </row>
    <row r="2017" spans="1:26" x14ac:dyDescent="0.2">
      <c r="A2017" t="s">
        <v>3597</v>
      </c>
      <c r="B2017" t="s">
        <v>6101</v>
      </c>
      <c r="C2017" t="s">
        <v>3754</v>
      </c>
      <c r="D2017" t="s">
        <v>98</v>
      </c>
      <c r="E2017">
        <v>249.99</v>
      </c>
      <c r="F2017" t="s">
        <v>5922</v>
      </c>
      <c r="G2017">
        <v>149.99</v>
      </c>
      <c r="H2017">
        <v>184.78</v>
      </c>
      <c r="I2017">
        <v>173.91</v>
      </c>
      <c r="J2017">
        <v>173.91</v>
      </c>
      <c r="K2017">
        <v>173.91</v>
      </c>
      <c r="L2017" t="s">
        <v>5922</v>
      </c>
      <c r="M2017">
        <v>217.38</v>
      </c>
      <c r="N2017">
        <v>217.38</v>
      </c>
      <c r="O2017">
        <v>152.16999999999999</v>
      </c>
      <c r="P2017">
        <v>173.91</v>
      </c>
      <c r="Q2017">
        <v>173.91</v>
      </c>
      <c r="R2017">
        <v>217.38</v>
      </c>
      <c r="S2017">
        <v>217.38</v>
      </c>
      <c r="T2017">
        <v>173.91</v>
      </c>
      <c r="U2017">
        <v>152.16999999999999</v>
      </c>
      <c r="V2017">
        <v>152.16999999999999</v>
      </c>
      <c r="W2017">
        <v>173.91</v>
      </c>
      <c r="X2017">
        <v>173.91</v>
      </c>
      <c r="Y2017">
        <v>249.99</v>
      </c>
      <c r="Z2017" t="s">
        <v>5922</v>
      </c>
    </row>
    <row r="2018" spans="1:26" x14ac:dyDescent="0.2">
      <c r="A2018" t="s">
        <v>3597</v>
      </c>
      <c r="B2018" t="s">
        <v>3755</v>
      </c>
      <c r="C2018" t="s">
        <v>3756</v>
      </c>
      <c r="D2018" t="s">
        <v>98</v>
      </c>
      <c r="E2018">
        <v>369.99</v>
      </c>
      <c r="F2018" t="s">
        <v>5922</v>
      </c>
      <c r="G2018">
        <v>369.99</v>
      </c>
      <c r="H2018">
        <v>241.3</v>
      </c>
      <c r="I2018">
        <v>264.33999999999997</v>
      </c>
      <c r="J2018">
        <v>264.33999999999997</v>
      </c>
      <c r="K2018">
        <v>264.33999999999997</v>
      </c>
      <c r="L2018" t="s">
        <v>5922</v>
      </c>
      <c r="M2018">
        <v>330.43</v>
      </c>
      <c r="N2018">
        <v>330.43</v>
      </c>
      <c r="O2018">
        <v>231.3</v>
      </c>
      <c r="P2018">
        <v>264.33999999999997</v>
      </c>
      <c r="Q2018">
        <v>241.3</v>
      </c>
      <c r="R2018">
        <v>241.3</v>
      </c>
      <c r="S2018">
        <v>330.43</v>
      </c>
      <c r="T2018">
        <v>264.33999999999997</v>
      </c>
      <c r="U2018">
        <v>241.21</v>
      </c>
      <c r="V2018">
        <v>241.21</v>
      </c>
      <c r="W2018">
        <v>280.86</v>
      </c>
      <c r="X2018">
        <v>264.33999999999997</v>
      </c>
      <c r="Y2018">
        <v>369.99</v>
      </c>
      <c r="Z2018" t="s">
        <v>5922</v>
      </c>
    </row>
    <row r="2019" spans="1:26" x14ac:dyDescent="0.2">
      <c r="A2019" t="s">
        <v>3597</v>
      </c>
      <c r="B2019" t="s">
        <v>3757</v>
      </c>
      <c r="C2019" t="s">
        <v>3758</v>
      </c>
      <c r="D2019" t="s">
        <v>98</v>
      </c>
      <c r="E2019">
        <v>39.99</v>
      </c>
      <c r="F2019" t="s">
        <v>5922</v>
      </c>
      <c r="G2019">
        <v>34.770000000000003</v>
      </c>
      <c r="H2019">
        <v>29.56</v>
      </c>
      <c r="I2019">
        <v>27.82</v>
      </c>
      <c r="J2019">
        <v>27.82</v>
      </c>
      <c r="K2019">
        <v>27.82</v>
      </c>
      <c r="L2019" t="s">
        <v>5922</v>
      </c>
      <c r="M2019">
        <v>34.770000000000003</v>
      </c>
      <c r="N2019">
        <v>34.770000000000003</v>
      </c>
      <c r="O2019">
        <v>24.34</v>
      </c>
      <c r="P2019">
        <v>27.82</v>
      </c>
      <c r="Q2019">
        <v>27.82</v>
      </c>
      <c r="R2019">
        <v>34.770000000000003</v>
      </c>
      <c r="S2019">
        <v>34.770000000000003</v>
      </c>
      <c r="T2019">
        <v>27.82</v>
      </c>
      <c r="U2019">
        <v>24.34</v>
      </c>
      <c r="V2019">
        <v>24.34</v>
      </c>
      <c r="W2019">
        <v>27.82</v>
      </c>
      <c r="X2019">
        <v>27.82</v>
      </c>
      <c r="Y2019">
        <v>39.99</v>
      </c>
      <c r="Z2019" t="s">
        <v>5922</v>
      </c>
    </row>
    <row r="2020" spans="1:26" x14ac:dyDescent="0.2">
      <c r="A2020" t="s">
        <v>3597</v>
      </c>
      <c r="B2020" t="s">
        <v>3759</v>
      </c>
      <c r="C2020" t="s">
        <v>3760</v>
      </c>
      <c r="D2020" t="s">
        <v>98</v>
      </c>
      <c r="E2020">
        <v>79.989999999999995</v>
      </c>
      <c r="F2020" t="s">
        <v>5922</v>
      </c>
      <c r="G2020">
        <v>69.56</v>
      </c>
      <c r="H2020">
        <v>59.12</v>
      </c>
      <c r="I2020">
        <v>55.65</v>
      </c>
      <c r="J2020">
        <v>55.65</v>
      </c>
      <c r="K2020">
        <v>55.65</v>
      </c>
      <c r="L2020" t="s">
        <v>5922</v>
      </c>
      <c r="M2020">
        <v>69.56</v>
      </c>
      <c r="N2020">
        <v>69.56</v>
      </c>
      <c r="O2020">
        <v>48.69</v>
      </c>
      <c r="P2020">
        <v>55.65</v>
      </c>
      <c r="Q2020">
        <v>55.65</v>
      </c>
      <c r="R2020">
        <v>69.56</v>
      </c>
      <c r="S2020">
        <v>69.56</v>
      </c>
      <c r="T2020">
        <v>55.65</v>
      </c>
      <c r="U2020">
        <v>48.69</v>
      </c>
      <c r="V2020">
        <v>48.69</v>
      </c>
      <c r="W2020">
        <v>55.65</v>
      </c>
      <c r="X2020">
        <v>55.65</v>
      </c>
      <c r="Y2020">
        <v>79.989999999999995</v>
      </c>
      <c r="Z2020" t="s">
        <v>5922</v>
      </c>
    </row>
    <row r="2021" spans="1:26" x14ac:dyDescent="0.2">
      <c r="A2021" t="s">
        <v>3597</v>
      </c>
      <c r="B2021" t="s">
        <v>3761</v>
      </c>
      <c r="C2021" t="s">
        <v>3762</v>
      </c>
      <c r="D2021" t="s">
        <v>98</v>
      </c>
      <c r="E2021">
        <v>89.99</v>
      </c>
      <c r="F2021" t="s">
        <v>5922</v>
      </c>
      <c r="G2021">
        <v>79.989999999999995</v>
      </c>
      <c r="H2021">
        <v>66.510000000000005</v>
      </c>
      <c r="I2021">
        <v>62.6</v>
      </c>
      <c r="J2021">
        <v>62.6</v>
      </c>
      <c r="K2021">
        <v>62.6</v>
      </c>
      <c r="L2021" t="s">
        <v>5922</v>
      </c>
      <c r="M2021">
        <v>78.25</v>
      </c>
      <c r="N2021">
        <v>78.25</v>
      </c>
      <c r="O2021">
        <v>54.78</v>
      </c>
      <c r="P2021">
        <v>62.6</v>
      </c>
      <c r="Q2021">
        <v>62.6</v>
      </c>
      <c r="R2021">
        <v>78.25</v>
      </c>
      <c r="S2021">
        <v>78.25</v>
      </c>
      <c r="T2021">
        <v>62.6</v>
      </c>
      <c r="U2021">
        <v>59.78</v>
      </c>
      <c r="V2021">
        <v>54.78</v>
      </c>
      <c r="W2021">
        <v>62.6</v>
      </c>
      <c r="X2021">
        <v>62.6</v>
      </c>
      <c r="Y2021">
        <v>79.989999999999995</v>
      </c>
      <c r="Z2021" t="s">
        <v>5922</v>
      </c>
    </row>
    <row r="2022" spans="1:26" x14ac:dyDescent="0.2">
      <c r="A2022" t="s">
        <v>3597</v>
      </c>
      <c r="B2022" t="s">
        <v>3763</v>
      </c>
      <c r="C2022" t="s">
        <v>3764</v>
      </c>
      <c r="D2022" t="s">
        <v>98</v>
      </c>
      <c r="E2022">
        <v>49.99</v>
      </c>
      <c r="F2022" t="s">
        <v>5922</v>
      </c>
      <c r="G2022">
        <v>44.99</v>
      </c>
      <c r="H2022">
        <v>36.950000000000003</v>
      </c>
      <c r="I2022">
        <v>34.78</v>
      </c>
      <c r="J2022">
        <v>34.78</v>
      </c>
      <c r="K2022">
        <v>34.78</v>
      </c>
      <c r="L2022" t="s">
        <v>5922</v>
      </c>
      <c r="M2022">
        <v>43.47</v>
      </c>
      <c r="N2022">
        <v>43.47</v>
      </c>
      <c r="O2022">
        <v>30.43</v>
      </c>
      <c r="P2022">
        <v>34.78</v>
      </c>
      <c r="Q2022">
        <v>34.78</v>
      </c>
      <c r="R2022">
        <v>43.47</v>
      </c>
      <c r="S2022">
        <v>43.47</v>
      </c>
      <c r="T2022">
        <v>34.78</v>
      </c>
      <c r="U2022">
        <v>35.43</v>
      </c>
      <c r="V2022">
        <v>30.43</v>
      </c>
      <c r="W2022">
        <v>34.78</v>
      </c>
      <c r="X2022">
        <v>34.78</v>
      </c>
      <c r="Y2022">
        <v>44.99</v>
      </c>
      <c r="Z2022" t="s">
        <v>5922</v>
      </c>
    </row>
    <row r="2023" spans="1:26" x14ac:dyDescent="0.2">
      <c r="A2023" t="s">
        <v>3597</v>
      </c>
      <c r="B2023" t="s">
        <v>3765</v>
      </c>
      <c r="C2023" t="s">
        <v>3766</v>
      </c>
      <c r="D2023" t="s">
        <v>98</v>
      </c>
      <c r="E2023">
        <v>29.99</v>
      </c>
      <c r="F2023" t="s">
        <v>5922</v>
      </c>
      <c r="G2023">
        <v>26.08</v>
      </c>
      <c r="H2023">
        <v>22.17</v>
      </c>
      <c r="I2023">
        <v>20.86</v>
      </c>
      <c r="J2023">
        <v>20.86</v>
      </c>
      <c r="K2023">
        <v>20.86</v>
      </c>
      <c r="L2023" t="s">
        <v>5922</v>
      </c>
      <c r="M2023">
        <v>26.08</v>
      </c>
      <c r="N2023">
        <v>26.08</v>
      </c>
      <c r="O2023">
        <v>18.25</v>
      </c>
      <c r="P2023">
        <v>20.86</v>
      </c>
      <c r="Q2023">
        <v>20.86</v>
      </c>
      <c r="R2023">
        <v>26.08</v>
      </c>
      <c r="S2023">
        <v>26.08</v>
      </c>
      <c r="T2023">
        <v>20.86</v>
      </c>
      <c r="U2023">
        <v>18.25</v>
      </c>
      <c r="V2023">
        <v>18.25</v>
      </c>
      <c r="W2023">
        <v>20.86</v>
      </c>
      <c r="X2023">
        <v>20.86</v>
      </c>
      <c r="Y2023">
        <v>29.99</v>
      </c>
      <c r="Z2023" t="s">
        <v>5922</v>
      </c>
    </row>
    <row r="2024" spans="1:26" x14ac:dyDescent="0.2">
      <c r="A2024" t="s">
        <v>3597</v>
      </c>
      <c r="B2024" t="s">
        <v>3767</v>
      </c>
      <c r="C2024" t="s">
        <v>3768</v>
      </c>
      <c r="D2024" t="s">
        <v>98</v>
      </c>
      <c r="E2024">
        <v>49.99</v>
      </c>
      <c r="F2024" t="s">
        <v>5922</v>
      </c>
      <c r="G2024">
        <v>43.47</v>
      </c>
      <c r="H2024">
        <v>36.950000000000003</v>
      </c>
      <c r="I2024">
        <v>34.78</v>
      </c>
      <c r="J2024">
        <v>34.78</v>
      </c>
      <c r="K2024">
        <v>34.78</v>
      </c>
      <c r="L2024" t="s">
        <v>5922</v>
      </c>
      <c r="M2024">
        <v>43.47</v>
      </c>
      <c r="N2024">
        <v>43.47</v>
      </c>
      <c r="O2024">
        <v>30.43</v>
      </c>
      <c r="P2024">
        <v>34.78</v>
      </c>
      <c r="Q2024">
        <v>34.78</v>
      </c>
      <c r="R2024">
        <v>43.47</v>
      </c>
      <c r="S2024">
        <v>43.47</v>
      </c>
      <c r="T2024">
        <v>34.78</v>
      </c>
      <c r="U2024">
        <v>30.43</v>
      </c>
      <c r="V2024">
        <v>30.43</v>
      </c>
      <c r="W2024">
        <v>34.78</v>
      </c>
      <c r="X2024">
        <v>34.78</v>
      </c>
      <c r="Y2024">
        <v>49.99</v>
      </c>
      <c r="Z2024" t="s">
        <v>5922</v>
      </c>
    </row>
    <row r="2025" spans="1:26" x14ac:dyDescent="0.2">
      <c r="A2025" t="s">
        <v>3597</v>
      </c>
      <c r="B2025" t="s">
        <v>3769</v>
      </c>
      <c r="C2025" t="s">
        <v>3770</v>
      </c>
      <c r="D2025" t="s">
        <v>98</v>
      </c>
      <c r="E2025">
        <v>44.99</v>
      </c>
      <c r="F2025" t="s">
        <v>5922</v>
      </c>
      <c r="G2025">
        <v>39.119999999999997</v>
      </c>
      <c r="H2025">
        <v>33.25</v>
      </c>
      <c r="I2025">
        <v>31.3</v>
      </c>
      <c r="J2025">
        <v>31.3</v>
      </c>
      <c r="K2025">
        <v>31.3</v>
      </c>
      <c r="L2025" t="s">
        <v>5922</v>
      </c>
      <c r="M2025">
        <v>39.119999999999997</v>
      </c>
      <c r="N2025">
        <v>39.119999999999997</v>
      </c>
      <c r="O2025">
        <v>27.39</v>
      </c>
      <c r="P2025">
        <v>31.3</v>
      </c>
      <c r="Q2025">
        <v>31.3</v>
      </c>
      <c r="R2025">
        <v>39.119999999999997</v>
      </c>
      <c r="S2025">
        <v>39.119999999999997</v>
      </c>
      <c r="T2025">
        <v>31.3</v>
      </c>
      <c r="U2025">
        <v>27.39</v>
      </c>
      <c r="V2025">
        <v>27.39</v>
      </c>
      <c r="W2025">
        <v>31.3</v>
      </c>
      <c r="X2025">
        <v>31.3</v>
      </c>
      <c r="Y2025">
        <v>44.99</v>
      </c>
      <c r="Z2025" t="s">
        <v>5922</v>
      </c>
    </row>
    <row r="2026" spans="1:26" x14ac:dyDescent="0.2">
      <c r="A2026" t="s">
        <v>3597</v>
      </c>
      <c r="B2026" t="s">
        <v>6102</v>
      </c>
      <c r="C2026" t="s">
        <v>3771</v>
      </c>
      <c r="D2026" t="s">
        <v>98</v>
      </c>
      <c r="E2026">
        <v>84.99</v>
      </c>
      <c r="F2026" t="s">
        <v>5922</v>
      </c>
      <c r="G2026">
        <v>84.99</v>
      </c>
      <c r="H2026">
        <v>55.43</v>
      </c>
      <c r="L2026" t="s">
        <v>5922</v>
      </c>
      <c r="Q2026">
        <v>55.43</v>
      </c>
      <c r="R2026">
        <v>55.43</v>
      </c>
      <c r="U2026">
        <v>63.47</v>
      </c>
      <c r="V2026">
        <v>69.56</v>
      </c>
      <c r="W2026">
        <v>66.510000000000005</v>
      </c>
      <c r="X2026">
        <v>59.12</v>
      </c>
      <c r="Y2026">
        <v>84.99</v>
      </c>
      <c r="Z2026" t="s">
        <v>5922</v>
      </c>
    </row>
    <row r="2027" spans="1:26" x14ac:dyDescent="0.2">
      <c r="A2027" t="s">
        <v>3597</v>
      </c>
      <c r="B2027" t="s">
        <v>3772</v>
      </c>
      <c r="C2027" t="s">
        <v>3773</v>
      </c>
      <c r="D2027" t="s">
        <v>98</v>
      </c>
      <c r="E2027">
        <v>199.9</v>
      </c>
      <c r="F2027" t="s">
        <v>5922</v>
      </c>
      <c r="G2027">
        <v>173.83</v>
      </c>
      <c r="H2027">
        <v>147.75</v>
      </c>
      <c r="I2027">
        <v>139.06</v>
      </c>
      <c r="J2027">
        <v>139.06</v>
      </c>
      <c r="K2027">
        <v>139.06</v>
      </c>
      <c r="L2027" t="s">
        <v>5922</v>
      </c>
      <c r="M2027">
        <v>173.83</v>
      </c>
      <c r="N2027">
        <v>173.83</v>
      </c>
      <c r="O2027">
        <v>121.68</v>
      </c>
      <c r="P2027">
        <v>139.06</v>
      </c>
      <c r="Q2027">
        <v>139.06</v>
      </c>
      <c r="R2027">
        <v>173.83</v>
      </c>
      <c r="S2027">
        <v>173.83</v>
      </c>
      <c r="T2027">
        <v>139.06</v>
      </c>
      <c r="U2027">
        <v>126.68</v>
      </c>
      <c r="V2027">
        <v>121.68</v>
      </c>
      <c r="W2027">
        <v>139.06</v>
      </c>
      <c r="X2027">
        <v>139.06</v>
      </c>
      <c r="Y2027">
        <v>179.99</v>
      </c>
      <c r="Z2027" t="s">
        <v>5922</v>
      </c>
    </row>
    <row r="2028" spans="1:26" x14ac:dyDescent="0.2">
      <c r="A2028" t="s">
        <v>3597</v>
      </c>
      <c r="B2028" t="s">
        <v>3774</v>
      </c>
      <c r="C2028" t="s">
        <v>3775</v>
      </c>
      <c r="D2028" t="s">
        <v>98</v>
      </c>
      <c r="E2028">
        <v>419.99</v>
      </c>
      <c r="F2028" t="s">
        <v>7389</v>
      </c>
      <c r="G2028">
        <v>419.99</v>
      </c>
      <c r="H2028">
        <v>273.91000000000003</v>
      </c>
      <c r="L2028" t="s">
        <v>5922</v>
      </c>
      <c r="Q2028">
        <v>273.91000000000003</v>
      </c>
      <c r="R2028">
        <v>273.91000000000003</v>
      </c>
      <c r="U2028">
        <v>299.99</v>
      </c>
      <c r="V2028">
        <v>319.99</v>
      </c>
      <c r="W2028">
        <v>336.51</v>
      </c>
      <c r="X2028">
        <v>299.12</v>
      </c>
      <c r="Y2028">
        <v>419.99</v>
      </c>
      <c r="Z2028" t="s">
        <v>5922</v>
      </c>
    </row>
    <row r="2029" spans="1:26" x14ac:dyDescent="0.2">
      <c r="A2029" t="s">
        <v>3597</v>
      </c>
      <c r="B2029" t="s">
        <v>3776</v>
      </c>
      <c r="C2029" t="s">
        <v>3777</v>
      </c>
      <c r="D2029" t="s">
        <v>98</v>
      </c>
      <c r="E2029">
        <v>99999</v>
      </c>
      <c r="F2029" t="s">
        <v>5922</v>
      </c>
      <c r="L2029" t="s">
        <v>5922</v>
      </c>
      <c r="Z2029" t="s">
        <v>5922</v>
      </c>
    </row>
    <row r="2030" spans="1:26" x14ac:dyDescent="0.2">
      <c r="A2030" t="s">
        <v>3597</v>
      </c>
      <c r="B2030" t="s">
        <v>3778</v>
      </c>
      <c r="C2030" t="s">
        <v>3779</v>
      </c>
      <c r="D2030" t="s">
        <v>138</v>
      </c>
      <c r="E2030">
        <v>159.99</v>
      </c>
      <c r="F2030" t="s">
        <v>6970</v>
      </c>
      <c r="G2030">
        <v>144.99</v>
      </c>
      <c r="H2030">
        <v>111.3</v>
      </c>
      <c r="I2030">
        <v>104.31</v>
      </c>
      <c r="J2030">
        <v>104.31</v>
      </c>
      <c r="K2030">
        <v>104.31</v>
      </c>
      <c r="L2030" t="s">
        <v>5922</v>
      </c>
      <c r="M2030">
        <v>130.38999999999999</v>
      </c>
      <c r="N2030">
        <v>130.38999999999999</v>
      </c>
      <c r="O2030">
        <v>91.27</v>
      </c>
      <c r="P2030">
        <v>104.31</v>
      </c>
      <c r="Q2030">
        <v>94.56</v>
      </c>
      <c r="R2030">
        <v>94.56</v>
      </c>
      <c r="S2030">
        <v>130.38999999999999</v>
      </c>
      <c r="T2030">
        <v>104.31</v>
      </c>
      <c r="U2030">
        <v>101.56</v>
      </c>
      <c r="V2030">
        <v>111.3</v>
      </c>
      <c r="W2030">
        <v>110.86</v>
      </c>
      <c r="X2030">
        <v>104.34</v>
      </c>
      <c r="Y2030">
        <v>159.99</v>
      </c>
      <c r="Z2030" t="s">
        <v>5922</v>
      </c>
    </row>
    <row r="2031" spans="1:26" x14ac:dyDescent="0.2">
      <c r="A2031" t="s">
        <v>3597</v>
      </c>
      <c r="B2031" t="s">
        <v>3780</v>
      </c>
      <c r="C2031" t="s">
        <v>3781</v>
      </c>
      <c r="D2031" t="s">
        <v>98</v>
      </c>
      <c r="E2031">
        <v>154.99</v>
      </c>
      <c r="F2031" t="s">
        <v>5922</v>
      </c>
      <c r="G2031">
        <v>154.99</v>
      </c>
      <c r="H2031">
        <v>114.56</v>
      </c>
      <c r="I2031">
        <v>104.34</v>
      </c>
      <c r="J2031">
        <v>104.34</v>
      </c>
      <c r="L2031" t="s">
        <v>5922</v>
      </c>
      <c r="R2031">
        <v>130.43</v>
      </c>
      <c r="U2031">
        <v>104.34</v>
      </c>
      <c r="V2031">
        <v>94.34</v>
      </c>
      <c r="W2031">
        <v>107.82</v>
      </c>
      <c r="X2031">
        <v>107.82</v>
      </c>
      <c r="Y2031">
        <v>154.99</v>
      </c>
      <c r="Z2031" t="s">
        <v>5922</v>
      </c>
    </row>
    <row r="2032" spans="1:26" x14ac:dyDescent="0.2">
      <c r="A2032" t="s">
        <v>3597</v>
      </c>
      <c r="B2032" t="s">
        <v>3782</v>
      </c>
      <c r="C2032" t="s">
        <v>3783</v>
      </c>
      <c r="D2032" t="s">
        <v>138</v>
      </c>
      <c r="E2032">
        <v>209.99</v>
      </c>
      <c r="F2032" t="s">
        <v>7277</v>
      </c>
      <c r="G2032">
        <v>189.99</v>
      </c>
      <c r="H2032">
        <v>146.08000000000001</v>
      </c>
      <c r="I2032">
        <v>132.16999999999999</v>
      </c>
      <c r="J2032">
        <v>132.16999999999999</v>
      </c>
      <c r="K2032">
        <v>132.16999999999999</v>
      </c>
      <c r="L2032" t="s">
        <v>5922</v>
      </c>
      <c r="M2032">
        <v>165.21</v>
      </c>
      <c r="N2032">
        <v>165.21</v>
      </c>
      <c r="O2032">
        <v>115.65</v>
      </c>
      <c r="P2032">
        <v>132.16999999999999</v>
      </c>
      <c r="Q2032">
        <v>123.91</v>
      </c>
      <c r="R2032">
        <v>123.91</v>
      </c>
      <c r="S2032">
        <v>165.21</v>
      </c>
      <c r="T2032">
        <v>132.16999999999999</v>
      </c>
      <c r="U2032">
        <v>133.30000000000001</v>
      </c>
      <c r="V2032">
        <v>146.08000000000001</v>
      </c>
      <c r="W2032">
        <v>140.43</v>
      </c>
      <c r="X2032">
        <v>132.16999999999999</v>
      </c>
      <c r="Y2032">
        <v>209.99</v>
      </c>
      <c r="Z2032" t="s">
        <v>5922</v>
      </c>
    </row>
    <row r="2033" spans="1:26" x14ac:dyDescent="0.2">
      <c r="A2033" t="s">
        <v>3597</v>
      </c>
      <c r="B2033" t="s">
        <v>3784</v>
      </c>
      <c r="C2033" t="s">
        <v>3785</v>
      </c>
      <c r="D2033" t="s">
        <v>98</v>
      </c>
      <c r="E2033">
        <v>99.95</v>
      </c>
      <c r="F2033" t="s">
        <v>5922</v>
      </c>
      <c r="G2033">
        <v>86.91</v>
      </c>
      <c r="H2033">
        <v>73.88</v>
      </c>
      <c r="I2033">
        <v>69.53</v>
      </c>
      <c r="J2033">
        <v>69.53</v>
      </c>
      <c r="K2033">
        <v>69.53</v>
      </c>
      <c r="L2033" t="s">
        <v>5922</v>
      </c>
      <c r="M2033">
        <v>86.91</v>
      </c>
      <c r="N2033">
        <v>86.91</v>
      </c>
      <c r="O2033">
        <v>60.84</v>
      </c>
      <c r="P2033">
        <v>69.53</v>
      </c>
      <c r="Q2033">
        <v>69.53</v>
      </c>
      <c r="R2033">
        <v>86.91</v>
      </c>
      <c r="S2033">
        <v>86.91</v>
      </c>
      <c r="T2033">
        <v>69.53</v>
      </c>
      <c r="U2033">
        <v>60.84</v>
      </c>
      <c r="V2033">
        <v>60.84</v>
      </c>
      <c r="W2033">
        <v>69.53</v>
      </c>
      <c r="X2033">
        <v>69.53</v>
      </c>
      <c r="Y2033">
        <v>99.95</v>
      </c>
      <c r="Z2033" t="s">
        <v>5922</v>
      </c>
    </row>
    <row r="2034" spans="1:26" x14ac:dyDescent="0.2">
      <c r="A2034" t="s">
        <v>3597</v>
      </c>
      <c r="B2034" t="s">
        <v>6103</v>
      </c>
      <c r="C2034" t="s">
        <v>3786</v>
      </c>
      <c r="D2034" t="s">
        <v>138</v>
      </c>
      <c r="E2034">
        <v>74.989999999999995</v>
      </c>
      <c r="F2034" t="s">
        <v>7377</v>
      </c>
      <c r="G2034">
        <v>69.989999999999995</v>
      </c>
      <c r="H2034">
        <v>52.17</v>
      </c>
      <c r="L2034" t="s">
        <v>5922</v>
      </c>
      <c r="Q2034">
        <v>45.65</v>
      </c>
      <c r="R2034">
        <v>45.65</v>
      </c>
      <c r="U2034">
        <v>48.91</v>
      </c>
      <c r="V2034">
        <v>52.17</v>
      </c>
      <c r="W2034">
        <v>62.6</v>
      </c>
      <c r="X2034">
        <v>48.69</v>
      </c>
      <c r="Y2034">
        <v>74.989999999999995</v>
      </c>
      <c r="Z2034" t="s">
        <v>5922</v>
      </c>
    </row>
    <row r="2035" spans="1:26" x14ac:dyDescent="0.2">
      <c r="A2035" t="s">
        <v>3597</v>
      </c>
      <c r="B2035" t="s">
        <v>6104</v>
      </c>
      <c r="C2035" t="s">
        <v>3787</v>
      </c>
      <c r="D2035" t="s">
        <v>138</v>
      </c>
      <c r="E2035">
        <v>69.989999999999995</v>
      </c>
      <c r="F2035" t="s">
        <v>6890</v>
      </c>
      <c r="G2035">
        <v>62.99</v>
      </c>
      <c r="H2035">
        <v>48.69</v>
      </c>
      <c r="L2035" t="s">
        <v>5922</v>
      </c>
      <c r="Q2035">
        <v>41.08</v>
      </c>
      <c r="R2035">
        <v>41.08</v>
      </c>
      <c r="U2035">
        <v>45.04</v>
      </c>
      <c r="V2035">
        <v>48.69</v>
      </c>
      <c r="W2035">
        <v>53.21</v>
      </c>
      <c r="X2035">
        <v>47.3</v>
      </c>
      <c r="Y2035">
        <v>69.989999999999995</v>
      </c>
      <c r="Z2035" t="s">
        <v>5922</v>
      </c>
    </row>
    <row r="2036" spans="1:26" x14ac:dyDescent="0.2">
      <c r="A2036" t="s">
        <v>3597</v>
      </c>
      <c r="B2036" t="s">
        <v>6105</v>
      </c>
      <c r="C2036" t="s">
        <v>3788</v>
      </c>
      <c r="D2036" t="s">
        <v>98</v>
      </c>
      <c r="E2036">
        <v>62.99</v>
      </c>
      <c r="F2036" t="s">
        <v>5922</v>
      </c>
      <c r="G2036">
        <v>62.99</v>
      </c>
      <c r="H2036">
        <v>41.08</v>
      </c>
      <c r="I2036">
        <v>47.3</v>
      </c>
      <c r="J2036">
        <v>47.3</v>
      </c>
      <c r="K2036">
        <v>47.3</v>
      </c>
      <c r="L2036" t="s">
        <v>5922</v>
      </c>
      <c r="M2036">
        <v>59.12</v>
      </c>
      <c r="N2036">
        <v>59.12</v>
      </c>
      <c r="O2036">
        <v>41.39</v>
      </c>
      <c r="P2036">
        <v>47.3</v>
      </c>
      <c r="Q2036">
        <v>41.08</v>
      </c>
      <c r="R2036">
        <v>41.08</v>
      </c>
      <c r="S2036">
        <v>59.12</v>
      </c>
      <c r="T2036">
        <v>47.3</v>
      </c>
      <c r="U2036">
        <v>52.17</v>
      </c>
      <c r="V2036">
        <v>50.78</v>
      </c>
      <c r="W2036">
        <v>53.21</v>
      </c>
      <c r="X2036">
        <v>47.3</v>
      </c>
      <c r="Y2036">
        <v>62.99</v>
      </c>
      <c r="Z2036" t="s">
        <v>5922</v>
      </c>
    </row>
    <row r="2037" spans="1:26" x14ac:dyDescent="0.2">
      <c r="A2037" t="s">
        <v>3597</v>
      </c>
      <c r="B2037" t="s">
        <v>6106</v>
      </c>
      <c r="C2037" t="s">
        <v>3789</v>
      </c>
      <c r="D2037" t="s">
        <v>98</v>
      </c>
      <c r="E2037">
        <v>69.989999999999995</v>
      </c>
      <c r="F2037" t="s">
        <v>5922</v>
      </c>
      <c r="G2037">
        <v>69.989999999999995</v>
      </c>
      <c r="H2037">
        <v>45.65</v>
      </c>
      <c r="I2037">
        <v>48.69</v>
      </c>
      <c r="J2037">
        <v>48.69</v>
      </c>
      <c r="K2037">
        <v>48.69</v>
      </c>
      <c r="L2037" t="s">
        <v>5922</v>
      </c>
      <c r="M2037">
        <v>60.86</v>
      </c>
      <c r="N2037">
        <v>60.86</v>
      </c>
      <c r="O2037">
        <v>42.6</v>
      </c>
      <c r="P2037">
        <v>48.69</v>
      </c>
      <c r="Q2037">
        <v>45.65</v>
      </c>
      <c r="R2037">
        <v>45.65</v>
      </c>
      <c r="S2037">
        <v>60.86</v>
      </c>
      <c r="T2037">
        <v>48.69</v>
      </c>
      <c r="U2037">
        <v>52.17</v>
      </c>
      <c r="V2037">
        <v>50.78</v>
      </c>
      <c r="W2037">
        <v>54.77</v>
      </c>
      <c r="X2037">
        <v>48.69</v>
      </c>
      <c r="Y2037">
        <v>69.989999999999995</v>
      </c>
      <c r="Z2037" t="s">
        <v>5922</v>
      </c>
    </row>
    <row r="2038" spans="1:26" x14ac:dyDescent="0.2">
      <c r="A2038" t="s">
        <v>3597</v>
      </c>
      <c r="B2038" t="s">
        <v>6107</v>
      </c>
      <c r="C2038" t="s">
        <v>3790</v>
      </c>
      <c r="D2038" t="s">
        <v>98</v>
      </c>
      <c r="E2038">
        <v>114.99</v>
      </c>
      <c r="F2038" t="s">
        <v>5922</v>
      </c>
      <c r="G2038">
        <v>114.99</v>
      </c>
      <c r="H2038">
        <v>74.989999999999995</v>
      </c>
      <c r="L2038" t="s">
        <v>5922</v>
      </c>
      <c r="Q2038">
        <v>74.989999999999995</v>
      </c>
      <c r="R2038">
        <v>74.989999999999995</v>
      </c>
      <c r="U2038">
        <v>81.52</v>
      </c>
      <c r="V2038">
        <v>79.34</v>
      </c>
      <c r="W2038">
        <v>89.99</v>
      </c>
      <c r="X2038">
        <v>84.99</v>
      </c>
      <c r="Y2038">
        <v>114.99</v>
      </c>
      <c r="Z2038" t="s">
        <v>5922</v>
      </c>
    </row>
    <row r="2039" spans="1:26" x14ac:dyDescent="0.2">
      <c r="A2039" t="s">
        <v>3597</v>
      </c>
      <c r="B2039" t="s">
        <v>6108</v>
      </c>
      <c r="C2039" t="s">
        <v>3791</v>
      </c>
      <c r="D2039" t="s">
        <v>98</v>
      </c>
      <c r="E2039">
        <v>99.99</v>
      </c>
      <c r="F2039" t="s">
        <v>5922</v>
      </c>
      <c r="G2039">
        <v>99.99</v>
      </c>
      <c r="H2039">
        <v>65.209999999999994</v>
      </c>
      <c r="L2039" t="s">
        <v>5922</v>
      </c>
      <c r="Q2039">
        <v>65.209999999999994</v>
      </c>
      <c r="R2039">
        <v>65.209999999999994</v>
      </c>
      <c r="U2039">
        <v>71.73</v>
      </c>
      <c r="V2039">
        <v>69.819999999999993</v>
      </c>
      <c r="W2039">
        <v>78.25</v>
      </c>
      <c r="X2039">
        <v>69.56</v>
      </c>
      <c r="Y2039">
        <v>99.99</v>
      </c>
      <c r="Z2039" t="s">
        <v>5922</v>
      </c>
    </row>
    <row r="2040" spans="1:26" x14ac:dyDescent="0.2">
      <c r="A2040" t="s">
        <v>3597</v>
      </c>
      <c r="B2040" t="s">
        <v>6109</v>
      </c>
      <c r="C2040" t="s">
        <v>3792</v>
      </c>
      <c r="D2040" t="s">
        <v>98</v>
      </c>
      <c r="E2040">
        <v>299.99</v>
      </c>
      <c r="F2040" t="s">
        <v>6918</v>
      </c>
      <c r="G2040">
        <v>299.99</v>
      </c>
      <c r="H2040">
        <v>195.65</v>
      </c>
      <c r="L2040" t="s">
        <v>5922</v>
      </c>
      <c r="Q2040">
        <v>195.65</v>
      </c>
      <c r="R2040">
        <v>195.65</v>
      </c>
      <c r="U2040">
        <v>196.78</v>
      </c>
      <c r="V2040">
        <v>215.65</v>
      </c>
      <c r="W2040">
        <v>221.73</v>
      </c>
      <c r="X2040">
        <v>208.69</v>
      </c>
      <c r="Y2040">
        <v>299.99</v>
      </c>
      <c r="Z2040" t="s">
        <v>5922</v>
      </c>
    </row>
    <row r="2041" spans="1:26" x14ac:dyDescent="0.2">
      <c r="A2041" t="s">
        <v>3597</v>
      </c>
      <c r="B2041" t="s">
        <v>3793</v>
      </c>
      <c r="C2041" t="s">
        <v>3794</v>
      </c>
      <c r="D2041" t="s">
        <v>98</v>
      </c>
      <c r="E2041">
        <v>99.99</v>
      </c>
      <c r="F2041" t="s">
        <v>5922</v>
      </c>
      <c r="G2041">
        <v>67.989999999999995</v>
      </c>
      <c r="H2041">
        <v>73.91</v>
      </c>
      <c r="I2041">
        <v>69.56</v>
      </c>
      <c r="J2041">
        <v>69.56</v>
      </c>
      <c r="K2041">
        <v>69.56</v>
      </c>
      <c r="L2041" t="s">
        <v>5922</v>
      </c>
      <c r="M2041">
        <v>86.95</v>
      </c>
      <c r="N2041">
        <v>86.95</v>
      </c>
      <c r="O2041">
        <v>60.86</v>
      </c>
      <c r="P2041">
        <v>69.56</v>
      </c>
      <c r="Q2041">
        <v>69.56</v>
      </c>
      <c r="R2041">
        <v>86.95</v>
      </c>
      <c r="S2041">
        <v>86.95</v>
      </c>
      <c r="T2041">
        <v>69.56</v>
      </c>
      <c r="U2041">
        <v>65.86</v>
      </c>
      <c r="V2041">
        <v>60.86</v>
      </c>
      <c r="W2041">
        <v>69.56</v>
      </c>
      <c r="X2041">
        <v>69.56</v>
      </c>
      <c r="Y2041">
        <v>79.989999999999995</v>
      </c>
      <c r="Z2041" t="s">
        <v>5922</v>
      </c>
    </row>
    <row r="2042" spans="1:26" x14ac:dyDescent="0.2">
      <c r="A2042" t="s">
        <v>3597</v>
      </c>
      <c r="B2042" t="s">
        <v>3795</v>
      </c>
      <c r="C2042" t="s">
        <v>3796</v>
      </c>
      <c r="D2042" t="s">
        <v>98</v>
      </c>
      <c r="E2042">
        <v>109.99</v>
      </c>
      <c r="F2042" t="s">
        <v>5922</v>
      </c>
      <c r="G2042">
        <v>95.64</v>
      </c>
      <c r="H2042">
        <v>81.3</v>
      </c>
      <c r="I2042">
        <v>76.510000000000005</v>
      </c>
      <c r="J2042">
        <v>76.510000000000005</v>
      </c>
      <c r="K2042">
        <v>76.510000000000005</v>
      </c>
      <c r="L2042" t="s">
        <v>5922</v>
      </c>
      <c r="M2042">
        <v>95.64</v>
      </c>
      <c r="N2042">
        <v>95.64</v>
      </c>
      <c r="O2042">
        <v>66.95</v>
      </c>
      <c r="P2042">
        <v>76.510000000000005</v>
      </c>
      <c r="Q2042">
        <v>76.510000000000005</v>
      </c>
      <c r="R2042">
        <v>95.64</v>
      </c>
      <c r="S2042">
        <v>95.64</v>
      </c>
      <c r="T2042">
        <v>76.510000000000005</v>
      </c>
      <c r="U2042">
        <v>71.95</v>
      </c>
      <c r="V2042">
        <v>66.95</v>
      </c>
      <c r="W2042">
        <v>76.510000000000005</v>
      </c>
      <c r="X2042">
        <v>76.510000000000005</v>
      </c>
      <c r="Y2042">
        <v>99.99</v>
      </c>
      <c r="Z2042" t="s">
        <v>5922</v>
      </c>
    </row>
    <row r="2043" spans="1:26" x14ac:dyDescent="0.2">
      <c r="A2043" t="s">
        <v>3597</v>
      </c>
      <c r="B2043" t="s">
        <v>3797</v>
      </c>
      <c r="C2043" t="s">
        <v>3798</v>
      </c>
      <c r="D2043" t="s">
        <v>98</v>
      </c>
      <c r="E2043">
        <v>129.99</v>
      </c>
      <c r="F2043" t="s">
        <v>5922</v>
      </c>
      <c r="G2043">
        <v>95.99</v>
      </c>
      <c r="H2043">
        <v>96.08</v>
      </c>
      <c r="I2043">
        <v>90.43</v>
      </c>
      <c r="J2043">
        <v>90.43</v>
      </c>
      <c r="K2043">
        <v>90.43</v>
      </c>
      <c r="L2043" t="s">
        <v>5922</v>
      </c>
      <c r="M2043">
        <v>113.03</v>
      </c>
      <c r="N2043">
        <v>113.03</v>
      </c>
      <c r="O2043">
        <v>79.12</v>
      </c>
      <c r="P2043">
        <v>90.43</v>
      </c>
      <c r="Q2043">
        <v>90.43</v>
      </c>
      <c r="R2043">
        <v>113.03</v>
      </c>
      <c r="S2043">
        <v>113.03</v>
      </c>
      <c r="T2043">
        <v>90.43</v>
      </c>
      <c r="U2043">
        <v>84.12</v>
      </c>
      <c r="V2043">
        <v>79.12</v>
      </c>
      <c r="W2043">
        <v>90.43</v>
      </c>
      <c r="X2043">
        <v>90.43</v>
      </c>
      <c r="Y2043">
        <v>119.99</v>
      </c>
      <c r="Z2043" t="s">
        <v>5922</v>
      </c>
    </row>
    <row r="2044" spans="1:26" x14ac:dyDescent="0.2">
      <c r="A2044" t="s">
        <v>3597</v>
      </c>
      <c r="B2044" t="s">
        <v>3799</v>
      </c>
      <c r="C2044" t="s">
        <v>3800</v>
      </c>
      <c r="D2044" t="s">
        <v>98</v>
      </c>
      <c r="E2044">
        <v>89.99</v>
      </c>
      <c r="F2044" t="s">
        <v>5922</v>
      </c>
      <c r="G2044">
        <v>78.25</v>
      </c>
      <c r="H2044">
        <v>66.510000000000005</v>
      </c>
      <c r="I2044">
        <v>62.6</v>
      </c>
      <c r="J2044">
        <v>62.6</v>
      </c>
      <c r="K2044">
        <v>62.6</v>
      </c>
      <c r="L2044" t="s">
        <v>5922</v>
      </c>
      <c r="M2044">
        <v>78.25</v>
      </c>
      <c r="N2044">
        <v>78.25</v>
      </c>
      <c r="O2044">
        <v>54.78</v>
      </c>
      <c r="P2044">
        <v>62.6</v>
      </c>
      <c r="Q2044">
        <v>62.6</v>
      </c>
      <c r="R2044">
        <v>78.25</v>
      </c>
      <c r="S2044">
        <v>78.25</v>
      </c>
      <c r="T2044">
        <v>62.6</v>
      </c>
      <c r="U2044">
        <v>54.78</v>
      </c>
      <c r="V2044">
        <v>54.78</v>
      </c>
      <c r="W2044">
        <v>62.6</v>
      </c>
      <c r="X2044">
        <v>62.6</v>
      </c>
      <c r="Y2044">
        <v>89.99</v>
      </c>
      <c r="Z2044" t="s">
        <v>5922</v>
      </c>
    </row>
    <row r="2045" spans="1:26" x14ac:dyDescent="0.2">
      <c r="A2045" t="s">
        <v>3597</v>
      </c>
      <c r="B2045" t="s">
        <v>6110</v>
      </c>
      <c r="C2045" t="s">
        <v>3801</v>
      </c>
      <c r="D2045" t="s">
        <v>98</v>
      </c>
      <c r="E2045">
        <v>39.99</v>
      </c>
      <c r="F2045" t="s">
        <v>5922</v>
      </c>
      <c r="G2045">
        <v>34.99</v>
      </c>
      <c r="H2045">
        <v>29.56</v>
      </c>
      <c r="L2045" t="s">
        <v>5922</v>
      </c>
      <c r="U2045">
        <v>24.34</v>
      </c>
      <c r="V2045">
        <v>24.34</v>
      </c>
      <c r="W2045">
        <v>27.82</v>
      </c>
      <c r="X2045">
        <v>27.82</v>
      </c>
      <c r="Y2045">
        <v>34.99</v>
      </c>
      <c r="Z2045" t="s">
        <v>5922</v>
      </c>
    </row>
    <row r="2046" spans="1:26" x14ac:dyDescent="0.2">
      <c r="A2046" t="s">
        <v>3597</v>
      </c>
      <c r="B2046" t="s">
        <v>6111</v>
      </c>
      <c r="C2046" t="s">
        <v>3802</v>
      </c>
      <c r="D2046" t="s">
        <v>98</v>
      </c>
      <c r="E2046">
        <v>49.99</v>
      </c>
      <c r="F2046" t="s">
        <v>5922</v>
      </c>
      <c r="G2046">
        <v>47.99</v>
      </c>
      <c r="H2046">
        <v>36.950000000000003</v>
      </c>
      <c r="L2046" t="s">
        <v>5922</v>
      </c>
      <c r="U2046">
        <v>30.43</v>
      </c>
      <c r="V2046">
        <v>30.43</v>
      </c>
      <c r="W2046">
        <v>34.78</v>
      </c>
      <c r="X2046">
        <v>34.78</v>
      </c>
      <c r="Y2046">
        <v>47.99</v>
      </c>
      <c r="Z2046" t="s">
        <v>5922</v>
      </c>
    </row>
    <row r="2047" spans="1:26" x14ac:dyDescent="0.2">
      <c r="A2047" t="s">
        <v>3597</v>
      </c>
      <c r="B2047" t="s">
        <v>6112</v>
      </c>
      <c r="C2047" t="s">
        <v>3803</v>
      </c>
      <c r="D2047" t="s">
        <v>98</v>
      </c>
      <c r="E2047">
        <v>71.989999999999995</v>
      </c>
      <c r="F2047" t="s">
        <v>7280</v>
      </c>
      <c r="G2047">
        <v>71.989999999999995</v>
      </c>
      <c r="H2047">
        <v>46.95</v>
      </c>
      <c r="L2047" t="s">
        <v>5922</v>
      </c>
      <c r="Q2047">
        <v>46.95</v>
      </c>
      <c r="R2047">
        <v>46.95</v>
      </c>
      <c r="U2047">
        <v>52.17</v>
      </c>
      <c r="V2047">
        <v>55.65</v>
      </c>
      <c r="W2047">
        <v>55.43</v>
      </c>
      <c r="X2047">
        <v>52.17</v>
      </c>
      <c r="Y2047">
        <v>71.989999999999995</v>
      </c>
      <c r="Z2047" t="s">
        <v>5922</v>
      </c>
    </row>
    <row r="2048" spans="1:26" x14ac:dyDescent="0.2">
      <c r="A2048" t="s">
        <v>3597</v>
      </c>
      <c r="B2048" t="s">
        <v>6113</v>
      </c>
      <c r="C2048" t="s">
        <v>3804</v>
      </c>
      <c r="D2048" t="s">
        <v>98</v>
      </c>
      <c r="E2048">
        <v>129.99</v>
      </c>
      <c r="F2048" t="s">
        <v>5922</v>
      </c>
      <c r="G2048">
        <v>129.99</v>
      </c>
      <c r="H2048">
        <v>84.78</v>
      </c>
      <c r="L2048" t="s">
        <v>5922</v>
      </c>
      <c r="Q2048">
        <v>84.78</v>
      </c>
      <c r="R2048">
        <v>84.78</v>
      </c>
      <c r="U2048">
        <v>88.86</v>
      </c>
      <c r="V2048">
        <v>88.86</v>
      </c>
      <c r="W2048">
        <v>96.08</v>
      </c>
      <c r="X2048">
        <v>90.43</v>
      </c>
      <c r="Y2048">
        <v>129.99</v>
      </c>
      <c r="Z2048" t="s">
        <v>5922</v>
      </c>
    </row>
    <row r="2049" spans="1:26" x14ac:dyDescent="0.2">
      <c r="A2049" t="s">
        <v>3597</v>
      </c>
      <c r="B2049" t="s">
        <v>3805</v>
      </c>
      <c r="C2049" t="s">
        <v>3806</v>
      </c>
      <c r="D2049" t="s">
        <v>138</v>
      </c>
      <c r="E2049">
        <v>99.99</v>
      </c>
      <c r="F2049" t="s">
        <v>6903</v>
      </c>
      <c r="G2049">
        <v>89.99</v>
      </c>
      <c r="H2049">
        <v>69.56</v>
      </c>
      <c r="I2049">
        <v>55.65</v>
      </c>
      <c r="J2049">
        <v>55.65</v>
      </c>
      <c r="K2049">
        <v>55.65</v>
      </c>
      <c r="L2049" t="s">
        <v>5922</v>
      </c>
      <c r="M2049">
        <v>69.56</v>
      </c>
      <c r="N2049">
        <v>69.56</v>
      </c>
      <c r="O2049">
        <v>48.69</v>
      </c>
      <c r="P2049">
        <v>55.65</v>
      </c>
      <c r="Q2049">
        <v>58.69</v>
      </c>
      <c r="R2049">
        <v>58.69</v>
      </c>
      <c r="S2049">
        <v>69.56</v>
      </c>
      <c r="T2049">
        <v>55.65</v>
      </c>
      <c r="U2049">
        <v>63.47</v>
      </c>
      <c r="V2049">
        <v>69.56</v>
      </c>
      <c r="W2049">
        <v>66.510000000000005</v>
      </c>
      <c r="X2049">
        <v>62.6</v>
      </c>
      <c r="Y2049">
        <v>99.99</v>
      </c>
      <c r="Z2049" t="s">
        <v>5922</v>
      </c>
    </row>
    <row r="2050" spans="1:26" x14ac:dyDescent="0.2">
      <c r="A2050" t="s">
        <v>3597</v>
      </c>
      <c r="B2050" t="s">
        <v>6114</v>
      </c>
      <c r="C2050" t="s">
        <v>3807</v>
      </c>
      <c r="D2050" t="s">
        <v>98</v>
      </c>
      <c r="E2050">
        <v>259.99</v>
      </c>
      <c r="F2050" t="s">
        <v>7186</v>
      </c>
      <c r="G2050">
        <v>239.99</v>
      </c>
      <c r="H2050">
        <v>180.86</v>
      </c>
      <c r="L2050" t="s">
        <v>5922</v>
      </c>
      <c r="Q2050">
        <v>156.52000000000001</v>
      </c>
      <c r="R2050">
        <v>156.52000000000001</v>
      </c>
      <c r="U2050">
        <v>165.04</v>
      </c>
      <c r="V2050">
        <v>180.86</v>
      </c>
      <c r="W2050">
        <v>177.38</v>
      </c>
      <c r="X2050">
        <v>166.95</v>
      </c>
      <c r="Y2050">
        <v>259.99</v>
      </c>
      <c r="Z2050" t="s">
        <v>5922</v>
      </c>
    </row>
    <row r="2051" spans="1:26" x14ac:dyDescent="0.2">
      <c r="A2051" t="s">
        <v>3597</v>
      </c>
      <c r="B2051" t="s">
        <v>6115</v>
      </c>
      <c r="C2051" t="s">
        <v>3808</v>
      </c>
      <c r="D2051" t="s">
        <v>98</v>
      </c>
      <c r="E2051">
        <v>109.99</v>
      </c>
      <c r="F2051" t="s">
        <v>5922</v>
      </c>
      <c r="G2051">
        <v>109.99</v>
      </c>
      <c r="H2051">
        <v>71.73</v>
      </c>
      <c r="L2051" t="s">
        <v>5922</v>
      </c>
      <c r="Q2051">
        <v>71.73</v>
      </c>
      <c r="R2051">
        <v>71.73</v>
      </c>
      <c r="U2051">
        <v>76.17</v>
      </c>
      <c r="V2051">
        <v>76.17</v>
      </c>
      <c r="W2051">
        <v>81.3</v>
      </c>
      <c r="X2051">
        <v>76.510000000000005</v>
      </c>
      <c r="Y2051">
        <v>109.99</v>
      </c>
      <c r="Z2051" t="s">
        <v>5922</v>
      </c>
    </row>
    <row r="2052" spans="1:26" x14ac:dyDescent="0.2">
      <c r="A2052" t="s">
        <v>3597</v>
      </c>
      <c r="B2052" t="s">
        <v>6116</v>
      </c>
      <c r="C2052" t="s">
        <v>3809</v>
      </c>
      <c r="D2052" t="s">
        <v>98</v>
      </c>
      <c r="E2052">
        <v>169.99</v>
      </c>
      <c r="F2052" t="s">
        <v>5922</v>
      </c>
      <c r="G2052">
        <v>169.99</v>
      </c>
      <c r="H2052">
        <v>110.86</v>
      </c>
      <c r="L2052" t="s">
        <v>5922</v>
      </c>
      <c r="Q2052">
        <v>110.86</v>
      </c>
      <c r="R2052">
        <v>110.86</v>
      </c>
      <c r="U2052">
        <v>114.25</v>
      </c>
      <c r="V2052">
        <v>114.25</v>
      </c>
      <c r="W2052">
        <v>125.64</v>
      </c>
      <c r="X2052">
        <v>118.25</v>
      </c>
      <c r="Y2052">
        <v>169.99</v>
      </c>
      <c r="Z2052" t="s">
        <v>5922</v>
      </c>
    </row>
    <row r="2053" spans="1:26" x14ac:dyDescent="0.2">
      <c r="A2053" t="s">
        <v>3597</v>
      </c>
      <c r="B2053" t="s">
        <v>3810</v>
      </c>
      <c r="C2053" t="s">
        <v>3811</v>
      </c>
      <c r="D2053" t="s">
        <v>98</v>
      </c>
      <c r="E2053">
        <v>139.99</v>
      </c>
      <c r="F2053" t="s">
        <v>5922</v>
      </c>
      <c r="G2053">
        <v>121.73</v>
      </c>
      <c r="H2053">
        <v>103.47</v>
      </c>
      <c r="I2053">
        <v>97.38</v>
      </c>
      <c r="J2053">
        <v>97.38</v>
      </c>
      <c r="K2053">
        <v>97.38</v>
      </c>
      <c r="L2053" t="s">
        <v>5922</v>
      </c>
      <c r="M2053">
        <v>121.73</v>
      </c>
      <c r="N2053">
        <v>121.73</v>
      </c>
      <c r="O2053">
        <v>85.21</v>
      </c>
      <c r="P2053">
        <v>97.38</v>
      </c>
      <c r="Q2053">
        <v>97.38</v>
      </c>
      <c r="R2053">
        <v>121.73</v>
      </c>
      <c r="S2053">
        <v>121.73</v>
      </c>
      <c r="T2053">
        <v>97.38</v>
      </c>
      <c r="U2053">
        <v>85.21</v>
      </c>
      <c r="V2053">
        <v>85.21</v>
      </c>
      <c r="W2053">
        <v>97.38</v>
      </c>
      <c r="X2053">
        <v>97.38</v>
      </c>
      <c r="Y2053">
        <v>139.99</v>
      </c>
      <c r="Z2053" t="s">
        <v>5922</v>
      </c>
    </row>
    <row r="2054" spans="1:26" x14ac:dyDescent="0.2">
      <c r="A2054" t="s">
        <v>3597</v>
      </c>
      <c r="B2054" t="s">
        <v>3812</v>
      </c>
      <c r="C2054" t="s">
        <v>3813</v>
      </c>
      <c r="D2054" t="s">
        <v>98</v>
      </c>
      <c r="E2054">
        <v>189.99</v>
      </c>
      <c r="F2054" t="s">
        <v>5922</v>
      </c>
      <c r="G2054">
        <v>169.99</v>
      </c>
      <c r="H2054">
        <v>140.43</v>
      </c>
      <c r="I2054">
        <v>132.16999999999999</v>
      </c>
      <c r="J2054">
        <v>132.16999999999999</v>
      </c>
      <c r="K2054">
        <v>132.16999999999999</v>
      </c>
      <c r="L2054" t="s">
        <v>5922</v>
      </c>
      <c r="M2054">
        <v>165.21</v>
      </c>
      <c r="N2054">
        <v>165.21</v>
      </c>
      <c r="O2054">
        <v>115.65</v>
      </c>
      <c r="P2054">
        <v>132.16999999999999</v>
      </c>
      <c r="Q2054">
        <v>132.16999999999999</v>
      </c>
      <c r="R2054">
        <v>165.21</v>
      </c>
      <c r="S2054">
        <v>165.21</v>
      </c>
      <c r="T2054">
        <v>132.16999999999999</v>
      </c>
      <c r="U2054">
        <v>120.65</v>
      </c>
      <c r="V2054">
        <v>115.65</v>
      </c>
      <c r="W2054">
        <v>132.16999999999999</v>
      </c>
      <c r="X2054">
        <v>132.16999999999999</v>
      </c>
      <c r="Y2054">
        <v>169.99</v>
      </c>
      <c r="Z2054" t="s">
        <v>5922</v>
      </c>
    </row>
    <row r="2055" spans="1:26" x14ac:dyDescent="0.2">
      <c r="A2055" t="s">
        <v>3597</v>
      </c>
      <c r="B2055" t="s">
        <v>3814</v>
      </c>
      <c r="C2055" t="s">
        <v>3815</v>
      </c>
      <c r="D2055" t="s">
        <v>98</v>
      </c>
      <c r="E2055">
        <v>179.99</v>
      </c>
      <c r="F2055" t="s">
        <v>5922</v>
      </c>
      <c r="G2055">
        <v>156.51</v>
      </c>
      <c r="H2055">
        <v>133.04</v>
      </c>
      <c r="I2055">
        <v>125.21</v>
      </c>
      <c r="J2055">
        <v>125.21</v>
      </c>
      <c r="K2055">
        <v>125.21</v>
      </c>
      <c r="L2055" t="s">
        <v>5922</v>
      </c>
      <c r="M2055">
        <v>156.51</v>
      </c>
      <c r="N2055">
        <v>156.51</v>
      </c>
      <c r="O2055">
        <v>109.56</v>
      </c>
      <c r="P2055">
        <v>125.21</v>
      </c>
      <c r="Q2055">
        <v>125.21</v>
      </c>
      <c r="R2055">
        <v>156.51</v>
      </c>
      <c r="S2055">
        <v>156.51</v>
      </c>
      <c r="T2055">
        <v>125.21</v>
      </c>
      <c r="U2055">
        <v>114.56</v>
      </c>
      <c r="V2055">
        <v>109.56</v>
      </c>
      <c r="W2055">
        <v>125.21</v>
      </c>
      <c r="X2055">
        <v>125.21</v>
      </c>
      <c r="Y2055">
        <v>149.99</v>
      </c>
      <c r="Z2055" t="s">
        <v>5922</v>
      </c>
    </row>
    <row r="2056" spans="1:26" x14ac:dyDescent="0.2">
      <c r="A2056" t="s">
        <v>3597</v>
      </c>
      <c r="B2056" t="s">
        <v>3816</v>
      </c>
      <c r="C2056" t="s">
        <v>3817</v>
      </c>
      <c r="D2056" t="s">
        <v>98</v>
      </c>
      <c r="E2056">
        <v>249.99</v>
      </c>
      <c r="F2056" t="s">
        <v>5922</v>
      </c>
      <c r="G2056">
        <v>189.99</v>
      </c>
      <c r="H2056">
        <v>184.78</v>
      </c>
      <c r="I2056">
        <v>173.91</v>
      </c>
      <c r="J2056">
        <v>173.91</v>
      </c>
      <c r="L2056" t="s">
        <v>5922</v>
      </c>
      <c r="R2056">
        <v>217.38</v>
      </c>
      <c r="U2056">
        <v>157.16999999999999</v>
      </c>
      <c r="V2056">
        <v>152.16999999999999</v>
      </c>
      <c r="W2056">
        <v>173.91</v>
      </c>
      <c r="X2056">
        <v>173.91</v>
      </c>
      <c r="Y2056">
        <v>189.99</v>
      </c>
      <c r="Z2056" t="s">
        <v>5922</v>
      </c>
    </row>
    <row r="2057" spans="1:26" x14ac:dyDescent="0.2">
      <c r="A2057" t="s">
        <v>3597</v>
      </c>
      <c r="B2057" t="s">
        <v>3818</v>
      </c>
      <c r="C2057" t="s">
        <v>3819</v>
      </c>
      <c r="D2057" t="s">
        <v>98</v>
      </c>
      <c r="E2057">
        <v>54.99</v>
      </c>
      <c r="F2057" t="s">
        <v>5922</v>
      </c>
      <c r="G2057">
        <v>47.82</v>
      </c>
      <c r="H2057">
        <v>40.64</v>
      </c>
      <c r="I2057">
        <v>38.25</v>
      </c>
      <c r="J2057">
        <v>38.25</v>
      </c>
      <c r="K2057">
        <v>38.25</v>
      </c>
      <c r="L2057" t="s">
        <v>5922</v>
      </c>
      <c r="M2057">
        <v>47.82</v>
      </c>
      <c r="N2057">
        <v>47.82</v>
      </c>
      <c r="O2057">
        <v>33.47</v>
      </c>
      <c r="P2057">
        <v>38.25</v>
      </c>
      <c r="Q2057">
        <v>38.25</v>
      </c>
      <c r="R2057">
        <v>47.82</v>
      </c>
      <c r="S2057">
        <v>47.82</v>
      </c>
      <c r="T2057">
        <v>38.25</v>
      </c>
      <c r="U2057">
        <v>33.47</v>
      </c>
      <c r="V2057">
        <v>33.47</v>
      </c>
      <c r="W2057">
        <v>38.25</v>
      </c>
      <c r="X2057">
        <v>38.25</v>
      </c>
      <c r="Y2057">
        <v>54.99</v>
      </c>
      <c r="Z2057" t="s">
        <v>5922</v>
      </c>
    </row>
    <row r="2058" spans="1:26" x14ac:dyDescent="0.2">
      <c r="A2058" t="s">
        <v>3597</v>
      </c>
      <c r="B2058" t="s">
        <v>3820</v>
      </c>
      <c r="C2058" t="s">
        <v>3821</v>
      </c>
      <c r="D2058" t="s">
        <v>98</v>
      </c>
      <c r="E2058">
        <v>159.99</v>
      </c>
      <c r="F2058" t="s">
        <v>5922</v>
      </c>
      <c r="G2058">
        <v>139.12</v>
      </c>
      <c r="H2058">
        <v>118.25</v>
      </c>
      <c r="I2058">
        <v>111.3</v>
      </c>
      <c r="J2058">
        <v>111.3</v>
      </c>
      <c r="K2058">
        <v>111.3</v>
      </c>
      <c r="L2058" t="s">
        <v>5922</v>
      </c>
      <c r="M2058">
        <v>139.12</v>
      </c>
      <c r="N2058">
        <v>139.12</v>
      </c>
      <c r="O2058">
        <v>97.39</v>
      </c>
      <c r="P2058">
        <v>111.3</v>
      </c>
      <c r="Q2058">
        <v>111.3</v>
      </c>
      <c r="R2058">
        <v>139.12</v>
      </c>
      <c r="S2058">
        <v>139.12</v>
      </c>
      <c r="T2058">
        <v>111.3</v>
      </c>
      <c r="U2058">
        <v>97.39</v>
      </c>
      <c r="V2058">
        <v>97.39</v>
      </c>
      <c r="W2058">
        <v>111.3</v>
      </c>
      <c r="X2058">
        <v>111.3</v>
      </c>
      <c r="Y2058">
        <v>159.99</v>
      </c>
      <c r="Z2058" t="s">
        <v>5922</v>
      </c>
    </row>
    <row r="2059" spans="1:26" x14ac:dyDescent="0.2">
      <c r="A2059" t="s">
        <v>3597</v>
      </c>
      <c r="B2059" t="s">
        <v>3822</v>
      </c>
      <c r="C2059" t="s">
        <v>3823</v>
      </c>
      <c r="D2059" t="s">
        <v>98</v>
      </c>
      <c r="E2059">
        <v>179.99</v>
      </c>
      <c r="F2059" t="s">
        <v>5922</v>
      </c>
      <c r="G2059">
        <v>156.51</v>
      </c>
      <c r="H2059">
        <v>133.04</v>
      </c>
      <c r="I2059">
        <v>125.21</v>
      </c>
      <c r="J2059">
        <v>125.21</v>
      </c>
      <c r="K2059">
        <v>125.21</v>
      </c>
      <c r="L2059" t="s">
        <v>5922</v>
      </c>
      <c r="M2059">
        <v>156.51</v>
      </c>
      <c r="N2059">
        <v>156.51</v>
      </c>
      <c r="O2059">
        <v>109.56</v>
      </c>
      <c r="P2059">
        <v>125.21</v>
      </c>
      <c r="Q2059">
        <v>125.21</v>
      </c>
      <c r="R2059">
        <v>156.51</v>
      </c>
      <c r="S2059">
        <v>156.51</v>
      </c>
      <c r="T2059">
        <v>125.21</v>
      </c>
      <c r="U2059">
        <v>109.56</v>
      </c>
      <c r="V2059">
        <v>109.56</v>
      </c>
      <c r="W2059">
        <v>125.21</v>
      </c>
      <c r="X2059">
        <v>125.21</v>
      </c>
      <c r="Y2059">
        <v>179.99</v>
      </c>
      <c r="Z2059" t="s">
        <v>5922</v>
      </c>
    </row>
    <row r="2060" spans="1:26" x14ac:dyDescent="0.2">
      <c r="A2060" t="s">
        <v>3597</v>
      </c>
      <c r="B2060" t="s">
        <v>3824</v>
      </c>
      <c r="C2060" t="s">
        <v>3825</v>
      </c>
      <c r="D2060" t="s">
        <v>98</v>
      </c>
      <c r="E2060">
        <v>259.99</v>
      </c>
      <c r="F2060" t="s">
        <v>5922</v>
      </c>
      <c r="G2060">
        <v>259.99</v>
      </c>
      <c r="H2060">
        <v>169.56</v>
      </c>
      <c r="I2060">
        <v>173.91</v>
      </c>
      <c r="J2060">
        <v>173.91</v>
      </c>
      <c r="K2060">
        <v>173.91</v>
      </c>
      <c r="L2060" t="s">
        <v>5922</v>
      </c>
      <c r="M2060">
        <v>217.38</v>
      </c>
      <c r="N2060">
        <v>217.38</v>
      </c>
      <c r="O2060">
        <v>152.16999999999999</v>
      </c>
      <c r="P2060">
        <v>173.91</v>
      </c>
      <c r="Q2060">
        <v>169.56</v>
      </c>
      <c r="R2060">
        <v>169.56</v>
      </c>
      <c r="S2060">
        <v>217.38</v>
      </c>
      <c r="T2060">
        <v>173.91</v>
      </c>
      <c r="U2060">
        <v>171.38</v>
      </c>
      <c r="V2060">
        <v>171.38</v>
      </c>
      <c r="W2060">
        <v>192.17</v>
      </c>
      <c r="X2060">
        <v>180.86</v>
      </c>
      <c r="Y2060">
        <v>259.99</v>
      </c>
      <c r="Z2060" t="s">
        <v>5922</v>
      </c>
    </row>
    <row r="2061" spans="1:26" x14ac:dyDescent="0.2">
      <c r="A2061" t="s">
        <v>3597</v>
      </c>
      <c r="B2061" t="s">
        <v>3826</v>
      </c>
      <c r="C2061" t="s">
        <v>3827</v>
      </c>
      <c r="D2061" t="s">
        <v>138</v>
      </c>
      <c r="E2061">
        <v>204.99</v>
      </c>
      <c r="F2061" t="s">
        <v>7390</v>
      </c>
      <c r="G2061">
        <v>189.99</v>
      </c>
      <c r="H2061">
        <v>142.6</v>
      </c>
      <c r="I2061">
        <v>125.21</v>
      </c>
      <c r="J2061">
        <v>125.21</v>
      </c>
      <c r="K2061">
        <v>125.21</v>
      </c>
      <c r="L2061" t="s">
        <v>5922</v>
      </c>
      <c r="M2061">
        <v>156.51</v>
      </c>
      <c r="N2061">
        <v>156.51</v>
      </c>
      <c r="O2061">
        <v>109.56</v>
      </c>
      <c r="P2061">
        <v>125.21</v>
      </c>
      <c r="Q2061">
        <v>123.91</v>
      </c>
      <c r="R2061">
        <v>123.91</v>
      </c>
      <c r="S2061">
        <v>156.51</v>
      </c>
      <c r="T2061">
        <v>125.21</v>
      </c>
      <c r="U2061">
        <v>133.30000000000001</v>
      </c>
      <c r="V2061">
        <v>139.12</v>
      </c>
      <c r="W2061">
        <v>140.43</v>
      </c>
      <c r="X2061">
        <v>132.16999999999999</v>
      </c>
      <c r="Y2061">
        <v>204.99</v>
      </c>
      <c r="Z2061" t="s">
        <v>5922</v>
      </c>
    </row>
    <row r="2062" spans="1:26" x14ac:dyDescent="0.2">
      <c r="A2062" t="s">
        <v>3597</v>
      </c>
      <c r="B2062" t="s">
        <v>6117</v>
      </c>
      <c r="C2062" t="s">
        <v>3828</v>
      </c>
      <c r="D2062" t="s">
        <v>105</v>
      </c>
      <c r="E2062">
        <v>79.989999999999995</v>
      </c>
      <c r="F2062" t="s">
        <v>6934</v>
      </c>
      <c r="G2062">
        <v>69.989999999999995</v>
      </c>
      <c r="H2062">
        <v>55.65</v>
      </c>
      <c r="L2062" t="s">
        <v>5922</v>
      </c>
      <c r="Q2062">
        <v>45.65</v>
      </c>
      <c r="R2062">
        <v>45.65</v>
      </c>
      <c r="U2062">
        <v>50.78</v>
      </c>
      <c r="V2062">
        <v>55.65</v>
      </c>
      <c r="W2062">
        <v>62.6</v>
      </c>
      <c r="X2062">
        <v>48.69</v>
      </c>
      <c r="Y2062">
        <v>79.989999999999995</v>
      </c>
      <c r="Z2062" t="s">
        <v>5922</v>
      </c>
    </row>
    <row r="2063" spans="1:26" x14ac:dyDescent="0.2">
      <c r="A2063" t="s">
        <v>3597</v>
      </c>
      <c r="B2063" t="s">
        <v>6118</v>
      </c>
      <c r="C2063" t="s">
        <v>3829</v>
      </c>
      <c r="D2063" t="s">
        <v>98</v>
      </c>
      <c r="E2063">
        <v>79.989999999999995</v>
      </c>
      <c r="F2063" t="s">
        <v>6934</v>
      </c>
      <c r="G2063">
        <v>69.989999999999995</v>
      </c>
      <c r="H2063">
        <v>55.65</v>
      </c>
      <c r="L2063" t="s">
        <v>5922</v>
      </c>
      <c r="Q2063">
        <v>45.65</v>
      </c>
      <c r="R2063">
        <v>45.65</v>
      </c>
      <c r="U2063">
        <v>50.78</v>
      </c>
      <c r="V2063">
        <v>55.65</v>
      </c>
      <c r="W2063">
        <v>62.6</v>
      </c>
      <c r="X2063">
        <v>48.69</v>
      </c>
      <c r="Y2063">
        <v>79.989999999999995</v>
      </c>
      <c r="Z2063" t="s">
        <v>5922</v>
      </c>
    </row>
    <row r="2064" spans="1:26" x14ac:dyDescent="0.2">
      <c r="A2064" t="s">
        <v>3597</v>
      </c>
      <c r="B2064" t="s">
        <v>3830</v>
      </c>
      <c r="C2064" t="s">
        <v>3831</v>
      </c>
      <c r="D2064" t="s">
        <v>98</v>
      </c>
      <c r="E2064">
        <v>149.99</v>
      </c>
      <c r="F2064" t="s">
        <v>5922</v>
      </c>
      <c r="G2064">
        <v>144.99</v>
      </c>
      <c r="H2064">
        <v>110.86</v>
      </c>
      <c r="L2064" t="s">
        <v>5922</v>
      </c>
      <c r="U2064">
        <v>91.3</v>
      </c>
      <c r="V2064">
        <v>91.3</v>
      </c>
      <c r="W2064">
        <v>104.34</v>
      </c>
      <c r="X2064">
        <v>104.34</v>
      </c>
      <c r="Y2064">
        <v>144.99</v>
      </c>
      <c r="Z2064" t="s">
        <v>5922</v>
      </c>
    </row>
    <row r="2065" spans="1:26" x14ac:dyDescent="0.2">
      <c r="A2065" t="s">
        <v>3597</v>
      </c>
      <c r="B2065" t="s">
        <v>6119</v>
      </c>
      <c r="C2065" t="s">
        <v>3832</v>
      </c>
      <c r="D2065" t="s">
        <v>138</v>
      </c>
      <c r="E2065">
        <v>274.99</v>
      </c>
      <c r="F2065" t="s">
        <v>7382</v>
      </c>
      <c r="G2065">
        <v>249.99</v>
      </c>
      <c r="H2065">
        <v>191.3</v>
      </c>
      <c r="L2065" t="s">
        <v>5922</v>
      </c>
      <c r="Q2065">
        <v>149.99</v>
      </c>
      <c r="R2065">
        <v>149.99</v>
      </c>
      <c r="U2065">
        <v>174.56</v>
      </c>
      <c r="V2065">
        <v>187.82</v>
      </c>
      <c r="W2065">
        <v>179.99</v>
      </c>
      <c r="X2065">
        <v>159.99</v>
      </c>
      <c r="Y2065">
        <v>274.99</v>
      </c>
      <c r="Z2065" t="s">
        <v>5922</v>
      </c>
    </row>
    <row r="2066" spans="1:26" x14ac:dyDescent="0.2">
      <c r="A2066" t="s">
        <v>3597</v>
      </c>
      <c r="B2066" t="s">
        <v>3833</v>
      </c>
      <c r="C2066" t="s">
        <v>3834</v>
      </c>
      <c r="D2066" t="s">
        <v>98</v>
      </c>
      <c r="E2066">
        <v>264.99</v>
      </c>
      <c r="F2066" t="s">
        <v>5922</v>
      </c>
      <c r="G2066">
        <v>264.99</v>
      </c>
      <c r="H2066">
        <v>172.82</v>
      </c>
      <c r="L2066" t="s">
        <v>5922</v>
      </c>
      <c r="Q2066">
        <v>172.82</v>
      </c>
      <c r="R2066">
        <v>172.82</v>
      </c>
      <c r="U2066">
        <v>171.38</v>
      </c>
      <c r="V2066">
        <v>171.38</v>
      </c>
      <c r="W2066">
        <v>199.56</v>
      </c>
      <c r="X2066">
        <v>187.82</v>
      </c>
      <c r="Y2066">
        <v>264.99</v>
      </c>
      <c r="Z2066" t="s">
        <v>5922</v>
      </c>
    </row>
    <row r="2067" spans="1:26" x14ac:dyDescent="0.2">
      <c r="A2067" t="s">
        <v>3597</v>
      </c>
      <c r="B2067" t="s">
        <v>6120</v>
      </c>
      <c r="C2067" t="s">
        <v>3835</v>
      </c>
      <c r="D2067" t="s">
        <v>98</v>
      </c>
      <c r="E2067">
        <v>129.99</v>
      </c>
      <c r="F2067" t="s">
        <v>5922</v>
      </c>
      <c r="G2067">
        <v>124.99</v>
      </c>
      <c r="H2067">
        <v>96.08</v>
      </c>
      <c r="L2067" t="s">
        <v>5922</v>
      </c>
      <c r="U2067">
        <v>79.12</v>
      </c>
      <c r="V2067">
        <v>79.12</v>
      </c>
      <c r="W2067">
        <v>90.43</v>
      </c>
      <c r="X2067">
        <v>90.43</v>
      </c>
      <c r="Y2067">
        <v>124.99</v>
      </c>
      <c r="Z2067" t="s">
        <v>5922</v>
      </c>
    </row>
    <row r="2068" spans="1:26" x14ac:dyDescent="0.2">
      <c r="A2068" t="s">
        <v>3597</v>
      </c>
      <c r="B2068" t="s">
        <v>6121</v>
      </c>
      <c r="C2068" t="s">
        <v>3836</v>
      </c>
      <c r="D2068" t="s">
        <v>138</v>
      </c>
      <c r="E2068">
        <v>139.99</v>
      </c>
      <c r="F2068" t="s">
        <v>7085</v>
      </c>
      <c r="G2068">
        <v>129.99</v>
      </c>
      <c r="H2068">
        <v>97.38</v>
      </c>
      <c r="L2068" t="s">
        <v>5922</v>
      </c>
      <c r="Q2068">
        <v>84.78</v>
      </c>
      <c r="R2068">
        <v>84.78</v>
      </c>
      <c r="U2068">
        <v>88.86</v>
      </c>
      <c r="V2068">
        <v>97.38</v>
      </c>
      <c r="W2068">
        <v>96.25</v>
      </c>
      <c r="X2068">
        <v>93.91</v>
      </c>
      <c r="Y2068">
        <v>139.99</v>
      </c>
      <c r="Z2068" t="s">
        <v>5922</v>
      </c>
    </row>
    <row r="2069" spans="1:26" x14ac:dyDescent="0.2">
      <c r="A2069" t="s">
        <v>3597</v>
      </c>
      <c r="B2069" t="s">
        <v>6122</v>
      </c>
      <c r="C2069" t="s">
        <v>3837</v>
      </c>
      <c r="D2069" t="s">
        <v>98</v>
      </c>
      <c r="E2069">
        <v>189.99</v>
      </c>
      <c r="F2069" t="s">
        <v>5922</v>
      </c>
      <c r="H2069">
        <v>140.43</v>
      </c>
      <c r="L2069" t="s">
        <v>5922</v>
      </c>
      <c r="U2069">
        <v>115.65</v>
      </c>
      <c r="W2069">
        <v>132.16999999999999</v>
      </c>
      <c r="X2069">
        <v>132.16999999999999</v>
      </c>
      <c r="Y2069">
        <v>189.99</v>
      </c>
      <c r="Z2069" t="s">
        <v>5922</v>
      </c>
    </row>
    <row r="2070" spans="1:26" x14ac:dyDescent="0.2">
      <c r="A2070" t="s">
        <v>3597</v>
      </c>
      <c r="B2070" t="s">
        <v>3838</v>
      </c>
      <c r="C2070" t="s">
        <v>3839</v>
      </c>
      <c r="D2070" t="s">
        <v>98</v>
      </c>
      <c r="E2070">
        <v>77.989999999999995</v>
      </c>
      <c r="F2070" t="s">
        <v>5922</v>
      </c>
      <c r="G2070">
        <v>77.989999999999995</v>
      </c>
      <c r="H2070">
        <v>50.86</v>
      </c>
      <c r="I2070">
        <v>55.65</v>
      </c>
      <c r="J2070">
        <v>55.65</v>
      </c>
      <c r="L2070" t="s">
        <v>5922</v>
      </c>
      <c r="Q2070">
        <v>50.86</v>
      </c>
      <c r="R2070">
        <v>50.86</v>
      </c>
      <c r="U2070">
        <v>55.43</v>
      </c>
      <c r="V2070">
        <v>53.95</v>
      </c>
      <c r="W2070">
        <v>59.12</v>
      </c>
      <c r="X2070">
        <v>55.65</v>
      </c>
      <c r="Y2070">
        <v>77.989999999999995</v>
      </c>
      <c r="Z2070" t="s">
        <v>5922</v>
      </c>
    </row>
    <row r="2071" spans="1:26" x14ac:dyDescent="0.2">
      <c r="A2071" t="s">
        <v>3597</v>
      </c>
      <c r="B2071" t="s">
        <v>3840</v>
      </c>
      <c r="C2071" t="s">
        <v>3841</v>
      </c>
      <c r="D2071" t="s">
        <v>98</v>
      </c>
      <c r="E2071">
        <v>79.989999999999995</v>
      </c>
      <c r="F2071" t="s">
        <v>5922</v>
      </c>
      <c r="G2071">
        <v>69.56</v>
      </c>
      <c r="H2071">
        <v>59.12</v>
      </c>
      <c r="I2071">
        <v>55.65</v>
      </c>
      <c r="J2071">
        <v>55.65</v>
      </c>
      <c r="K2071">
        <v>55.65</v>
      </c>
      <c r="L2071" t="s">
        <v>5922</v>
      </c>
      <c r="M2071">
        <v>69.56</v>
      </c>
      <c r="N2071">
        <v>69.56</v>
      </c>
      <c r="O2071">
        <v>48.69</v>
      </c>
      <c r="P2071">
        <v>55.65</v>
      </c>
      <c r="Q2071">
        <v>55.65</v>
      </c>
      <c r="R2071">
        <v>69.56</v>
      </c>
      <c r="S2071">
        <v>69.56</v>
      </c>
      <c r="T2071">
        <v>55.65</v>
      </c>
      <c r="U2071">
        <v>48.69</v>
      </c>
      <c r="V2071">
        <v>48.69</v>
      </c>
      <c r="W2071">
        <v>55.65</v>
      </c>
      <c r="X2071">
        <v>55.65</v>
      </c>
      <c r="Y2071">
        <v>79.989999999999995</v>
      </c>
      <c r="Z2071" t="s">
        <v>5922</v>
      </c>
    </row>
    <row r="2072" spans="1:26" x14ac:dyDescent="0.2">
      <c r="A2072" t="s">
        <v>3597</v>
      </c>
      <c r="B2072" t="s">
        <v>3842</v>
      </c>
      <c r="C2072" t="s">
        <v>3843</v>
      </c>
      <c r="D2072" t="s">
        <v>98</v>
      </c>
      <c r="E2072">
        <v>49.99</v>
      </c>
      <c r="F2072" t="s">
        <v>5922</v>
      </c>
      <c r="G2072">
        <v>43.47</v>
      </c>
      <c r="H2072">
        <v>36.950000000000003</v>
      </c>
      <c r="I2072">
        <v>34.78</v>
      </c>
      <c r="J2072">
        <v>34.78</v>
      </c>
      <c r="K2072">
        <v>34.78</v>
      </c>
      <c r="L2072" t="s">
        <v>5922</v>
      </c>
      <c r="M2072">
        <v>43.47</v>
      </c>
      <c r="N2072">
        <v>43.47</v>
      </c>
      <c r="O2072">
        <v>30.43</v>
      </c>
      <c r="P2072">
        <v>34.78</v>
      </c>
      <c r="Q2072">
        <v>34.78</v>
      </c>
      <c r="R2072">
        <v>43.47</v>
      </c>
      <c r="S2072">
        <v>43.47</v>
      </c>
      <c r="T2072">
        <v>34.78</v>
      </c>
      <c r="U2072">
        <v>30.43</v>
      </c>
      <c r="V2072">
        <v>30.43</v>
      </c>
      <c r="W2072">
        <v>34.78</v>
      </c>
      <c r="X2072">
        <v>34.78</v>
      </c>
      <c r="Y2072">
        <v>49.99</v>
      </c>
      <c r="Z2072" t="s">
        <v>5922</v>
      </c>
    </row>
    <row r="2073" spans="1:26" x14ac:dyDescent="0.2">
      <c r="A2073" t="s">
        <v>3597</v>
      </c>
      <c r="B2073" t="s">
        <v>3844</v>
      </c>
      <c r="C2073" t="s">
        <v>3845</v>
      </c>
      <c r="D2073" t="s">
        <v>98</v>
      </c>
      <c r="E2073">
        <v>79.989999999999995</v>
      </c>
      <c r="F2073" t="s">
        <v>5922</v>
      </c>
      <c r="G2073">
        <v>69.56</v>
      </c>
      <c r="H2073">
        <v>59.12</v>
      </c>
      <c r="I2073">
        <v>55.65</v>
      </c>
      <c r="J2073">
        <v>55.65</v>
      </c>
      <c r="K2073">
        <v>55.65</v>
      </c>
      <c r="L2073" t="s">
        <v>5922</v>
      </c>
      <c r="M2073">
        <v>69.56</v>
      </c>
      <c r="N2073">
        <v>69.56</v>
      </c>
      <c r="O2073">
        <v>48.69</v>
      </c>
      <c r="P2073">
        <v>55.65</v>
      </c>
      <c r="Q2073">
        <v>55.65</v>
      </c>
      <c r="R2073">
        <v>69.56</v>
      </c>
      <c r="S2073">
        <v>69.56</v>
      </c>
      <c r="T2073">
        <v>55.65</v>
      </c>
      <c r="U2073">
        <v>48.69</v>
      </c>
      <c r="V2073">
        <v>48.69</v>
      </c>
      <c r="W2073">
        <v>55.65</v>
      </c>
      <c r="X2073">
        <v>55.65</v>
      </c>
      <c r="Y2073">
        <v>79.989999999999995</v>
      </c>
      <c r="Z2073" t="s">
        <v>5922</v>
      </c>
    </row>
    <row r="2074" spans="1:26" x14ac:dyDescent="0.2">
      <c r="A2074" t="s">
        <v>3597</v>
      </c>
      <c r="B2074" t="s">
        <v>3846</v>
      </c>
      <c r="C2074" t="s">
        <v>3847</v>
      </c>
      <c r="D2074" t="s">
        <v>98</v>
      </c>
      <c r="E2074">
        <v>99.95</v>
      </c>
      <c r="F2074" t="s">
        <v>5922</v>
      </c>
      <c r="G2074">
        <v>86.91</v>
      </c>
      <c r="H2074">
        <v>73.88</v>
      </c>
      <c r="I2074">
        <v>69.53</v>
      </c>
      <c r="J2074">
        <v>69.53</v>
      </c>
      <c r="K2074">
        <v>69.53</v>
      </c>
      <c r="L2074" t="s">
        <v>5922</v>
      </c>
      <c r="M2074">
        <v>86.91</v>
      </c>
      <c r="N2074">
        <v>86.91</v>
      </c>
      <c r="O2074">
        <v>60.84</v>
      </c>
      <c r="P2074">
        <v>69.53</v>
      </c>
      <c r="Q2074">
        <v>69.53</v>
      </c>
      <c r="R2074">
        <v>86.91</v>
      </c>
      <c r="S2074">
        <v>86.91</v>
      </c>
      <c r="T2074">
        <v>69.53</v>
      </c>
      <c r="U2074">
        <v>65.84</v>
      </c>
      <c r="V2074">
        <v>60.84</v>
      </c>
      <c r="W2074">
        <v>69.53</v>
      </c>
      <c r="X2074">
        <v>69.53</v>
      </c>
      <c r="Y2074">
        <v>99.95</v>
      </c>
      <c r="Z2074" t="s">
        <v>5922</v>
      </c>
    </row>
    <row r="2075" spans="1:26" x14ac:dyDescent="0.2">
      <c r="A2075" t="s">
        <v>3597</v>
      </c>
      <c r="B2075" t="s">
        <v>3848</v>
      </c>
      <c r="C2075" t="s">
        <v>3849</v>
      </c>
      <c r="D2075" t="s">
        <v>98</v>
      </c>
      <c r="E2075">
        <v>159.99</v>
      </c>
      <c r="F2075" t="s">
        <v>5922</v>
      </c>
      <c r="G2075">
        <v>124.99</v>
      </c>
      <c r="H2075">
        <v>118.25</v>
      </c>
      <c r="I2075">
        <v>111.3</v>
      </c>
      <c r="J2075">
        <v>111.3</v>
      </c>
      <c r="K2075">
        <v>111.3</v>
      </c>
      <c r="L2075" t="s">
        <v>5922</v>
      </c>
      <c r="M2075">
        <v>139.12</v>
      </c>
      <c r="N2075">
        <v>139.12</v>
      </c>
      <c r="O2075">
        <v>97.39</v>
      </c>
      <c r="P2075">
        <v>111.3</v>
      </c>
      <c r="Q2075">
        <v>111.3</v>
      </c>
      <c r="R2075">
        <v>139.12</v>
      </c>
      <c r="S2075">
        <v>139.12</v>
      </c>
      <c r="T2075">
        <v>111.3</v>
      </c>
      <c r="U2075">
        <v>102.39</v>
      </c>
      <c r="V2075">
        <v>97.39</v>
      </c>
      <c r="W2075">
        <v>111.3</v>
      </c>
      <c r="X2075">
        <v>111.3</v>
      </c>
      <c r="Y2075">
        <v>124.99</v>
      </c>
      <c r="Z2075" t="s">
        <v>5922</v>
      </c>
    </row>
    <row r="2076" spans="1:26" x14ac:dyDescent="0.2">
      <c r="A2076" t="s">
        <v>3597</v>
      </c>
      <c r="B2076" t="s">
        <v>3850</v>
      </c>
      <c r="C2076" t="s">
        <v>3851</v>
      </c>
      <c r="D2076" t="s">
        <v>98</v>
      </c>
      <c r="E2076">
        <v>179.99</v>
      </c>
      <c r="F2076" t="s">
        <v>5922</v>
      </c>
      <c r="G2076">
        <v>156.51</v>
      </c>
      <c r="H2076">
        <v>133.04</v>
      </c>
      <c r="I2076">
        <v>125.21</v>
      </c>
      <c r="J2076">
        <v>125.21</v>
      </c>
      <c r="K2076">
        <v>125.21</v>
      </c>
      <c r="L2076" t="s">
        <v>5922</v>
      </c>
      <c r="M2076">
        <v>156.51</v>
      </c>
      <c r="N2076">
        <v>156.51</v>
      </c>
      <c r="O2076">
        <v>109.56</v>
      </c>
      <c r="P2076">
        <v>125.21</v>
      </c>
      <c r="Q2076">
        <v>125.21</v>
      </c>
      <c r="R2076">
        <v>156.51</v>
      </c>
      <c r="S2076">
        <v>156.51</v>
      </c>
      <c r="T2076">
        <v>125.21</v>
      </c>
      <c r="U2076">
        <v>109.56</v>
      </c>
      <c r="V2076">
        <v>109.56</v>
      </c>
      <c r="W2076">
        <v>125.21</v>
      </c>
      <c r="X2076">
        <v>125.21</v>
      </c>
      <c r="Y2076">
        <v>179.99</v>
      </c>
      <c r="Z2076" t="s">
        <v>5922</v>
      </c>
    </row>
    <row r="2077" spans="1:26" x14ac:dyDescent="0.2">
      <c r="A2077" t="s">
        <v>3597</v>
      </c>
      <c r="B2077" t="s">
        <v>3852</v>
      </c>
      <c r="C2077" t="s">
        <v>3853</v>
      </c>
      <c r="D2077" t="s">
        <v>98</v>
      </c>
      <c r="E2077">
        <v>69.989999999999995</v>
      </c>
      <c r="F2077" t="s">
        <v>5922</v>
      </c>
      <c r="G2077">
        <v>69.989999999999995</v>
      </c>
      <c r="H2077">
        <v>51.73</v>
      </c>
      <c r="I2077">
        <v>48.69</v>
      </c>
      <c r="J2077">
        <v>48.69</v>
      </c>
      <c r="K2077">
        <v>48.69</v>
      </c>
      <c r="L2077" t="s">
        <v>5922</v>
      </c>
      <c r="M2077">
        <v>60.86</v>
      </c>
      <c r="N2077">
        <v>60.86</v>
      </c>
      <c r="O2077">
        <v>42.6</v>
      </c>
      <c r="P2077">
        <v>48.69</v>
      </c>
      <c r="Q2077">
        <v>48.69</v>
      </c>
      <c r="R2077">
        <v>60.86</v>
      </c>
      <c r="S2077">
        <v>60.86</v>
      </c>
      <c r="T2077">
        <v>48.69</v>
      </c>
      <c r="U2077">
        <v>42.6</v>
      </c>
      <c r="V2077">
        <v>42.6</v>
      </c>
      <c r="W2077">
        <v>48.69</v>
      </c>
      <c r="X2077">
        <v>48.69</v>
      </c>
      <c r="Y2077">
        <v>69.989999999999995</v>
      </c>
      <c r="Z2077" t="s">
        <v>5922</v>
      </c>
    </row>
    <row r="2078" spans="1:26" x14ac:dyDescent="0.2">
      <c r="A2078" t="s">
        <v>3597</v>
      </c>
      <c r="B2078" t="s">
        <v>3854</v>
      </c>
      <c r="C2078" t="s">
        <v>3855</v>
      </c>
      <c r="D2078" t="s">
        <v>98</v>
      </c>
      <c r="E2078">
        <v>519.99</v>
      </c>
      <c r="F2078" t="s">
        <v>7383</v>
      </c>
      <c r="G2078">
        <v>519.99</v>
      </c>
      <c r="H2078">
        <v>339.12</v>
      </c>
      <c r="L2078" t="s">
        <v>5922</v>
      </c>
      <c r="Q2078">
        <v>339.12</v>
      </c>
      <c r="R2078">
        <v>339.12</v>
      </c>
      <c r="U2078">
        <v>349.12</v>
      </c>
      <c r="V2078">
        <v>382.6</v>
      </c>
      <c r="W2078">
        <v>370.78</v>
      </c>
      <c r="X2078">
        <v>361.73</v>
      </c>
      <c r="Y2078">
        <v>519.99</v>
      </c>
      <c r="Z2078" t="s">
        <v>5922</v>
      </c>
    </row>
    <row r="2079" spans="1:26" x14ac:dyDescent="0.2">
      <c r="A2079" t="s">
        <v>3597</v>
      </c>
      <c r="B2079" t="s">
        <v>3856</v>
      </c>
      <c r="C2079" t="s">
        <v>3857</v>
      </c>
      <c r="D2079" t="s">
        <v>98</v>
      </c>
      <c r="E2079">
        <v>59.99</v>
      </c>
      <c r="F2079" t="s">
        <v>5922</v>
      </c>
      <c r="G2079">
        <v>52.17</v>
      </c>
      <c r="H2079">
        <v>44.34</v>
      </c>
      <c r="I2079">
        <v>41.73</v>
      </c>
      <c r="J2079">
        <v>41.73</v>
      </c>
      <c r="K2079">
        <v>41.73</v>
      </c>
      <c r="L2079" t="s">
        <v>5922</v>
      </c>
      <c r="M2079">
        <v>52.17</v>
      </c>
      <c r="N2079">
        <v>52.17</v>
      </c>
      <c r="O2079">
        <v>36.520000000000003</v>
      </c>
      <c r="P2079">
        <v>41.73</v>
      </c>
      <c r="Q2079">
        <v>41.73</v>
      </c>
      <c r="R2079">
        <v>52.17</v>
      </c>
      <c r="S2079">
        <v>52.17</v>
      </c>
      <c r="T2079">
        <v>41.73</v>
      </c>
      <c r="U2079">
        <v>36.520000000000003</v>
      </c>
      <c r="V2079">
        <v>36.520000000000003</v>
      </c>
      <c r="W2079">
        <v>41.73</v>
      </c>
      <c r="X2079">
        <v>41.73</v>
      </c>
      <c r="Y2079">
        <v>59.99</v>
      </c>
      <c r="Z2079" t="s">
        <v>5922</v>
      </c>
    </row>
    <row r="2080" spans="1:26" x14ac:dyDescent="0.2">
      <c r="A2080" t="s">
        <v>3597</v>
      </c>
      <c r="B2080" t="s">
        <v>3858</v>
      </c>
      <c r="C2080" t="s">
        <v>3859</v>
      </c>
      <c r="D2080" t="s">
        <v>98</v>
      </c>
      <c r="E2080">
        <v>59.99</v>
      </c>
      <c r="F2080" t="s">
        <v>5922</v>
      </c>
      <c r="G2080">
        <v>34.99</v>
      </c>
      <c r="H2080">
        <v>44.34</v>
      </c>
      <c r="L2080" t="s">
        <v>5922</v>
      </c>
      <c r="U2080">
        <v>36.520000000000003</v>
      </c>
      <c r="V2080">
        <v>36.520000000000003</v>
      </c>
      <c r="W2080">
        <v>41.73</v>
      </c>
      <c r="X2080">
        <v>41.73</v>
      </c>
      <c r="Y2080">
        <v>49.99</v>
      </c>
      <c r="Z2080" t="s">
        <v>5922</v>
      </c>
    </row>
    <row r="2081" spans="1:26" x14ac:dyDescent="0.2">
      <c r="A2081" t="s">
        <v>3597</v>
      </c>
      <c r="B2081" t="s">
        <v>3860</v>
      </c>
      <c r="C2081" t="s">
        <v>3861</v>
      </c>
      <c r="D2081" t="s">
        <v>98</v>
      </c>
      <c r="E2081">
        <v>239.99</v>
      </c>
      <c r="F2081" t="s">
        <v>5922</v>
      </c>
      <c r="G2081">
        <v>208.69</v>
      </c>
      <c r="H2081">
        <v>177.38</v>
      </c>
      <c r="I2081">
        <v>166.95</v>
      </c>
      <c r="J2081">
        <v>166.95</v>
      </c>
      <c r="K2081">
        <v>166.95</v>
      </c>
      <c r="L2081" t="s">
        <v>5922</v>
      </c>
      <c r="M2081">
        <v>208.69</v>
      </c>
      <c r="N2081">
        <v>208.69</v>
      </c>
      <c r="O2081">
        <v>146.08000000000001</v>
      </c>
      <c r="P2081">
        <v>166.95</v>
      </c>
      <c r="Q2081">
        <v>166.95</v>
      </c>
      <c r="R2081">
        <v>208.69</v>
      </c>
      <c r="S2081">
        <v>208.69</v>
      </c>
      <c r="T2081">
        <v>166.95</v>
      </c>
      <c r="U2081">
        <v>146.08000000000001</v>
      </c>
      <c r="V2081">
        <v>146.08000000000001</v>
      </c>
      <c r="W2081">
        <v>166.95</v>
      </c>
      <c r="X2081">
        <v>166.95</v>
      </c>
      <c r="Y2081">
        <v>239.99</v>
      </c>
      <c r="Z2081" t="s">
        <v>5922</v>
      </c>
    </row>
    <row r="2082" spans="1:26" x14ac:dyDescent="0.2">
      <c r="A2082" t="s">
        <v>3597</v>
      </c>
      <c r="B2082" t="s">
        <v>6124</v>
      </c>
      <c r="C2082" t="s">
        <v>3862</v>
      </c>
      <c r="D2082" t="s">
        <v>98</v>
      </c>
      <c r="E2082">
        <v>92.99</v>
      </c>
      <c r="F2082" t="s">
        <v>5922</v>
      </c>
      <c r="G2082">
        <v>92.99</v>
      </c>
      <c r="H2082">
        <v>60.65</v>
      </c>
      <c r="L2082" t="s">
        <v>5922</v>
      </c>
      <c r="Q2082">
        <v>60.65</v>
      </c>
      <c r="R2082">
        <v>60.65</v>
      </c>
      <c r="U2082">
        <v>63.47</v>
      </c>
      <c r="V2082">
        <v>63.47</v>
      </c>
      <c r="W2082">
        <v>72.77</v>
      </c>
      <c r="X2082">
        <v>64.69</v>
      </c>
      <c r="Y2082">
        <v>92.99</v>
      </c>
      <c r="Z2082" t="s">
        <v>5922</v>
      </c>
    </row>
    <row r="2083" spans="1:26" x14ac:dyDescent="0.2">
      <c r="A2083" t="s">
        <v>3597</v>
      </c>
      <c r="B2083" t="s">
        <v>3863</v>
      </c>
      <c r="C2083" t="s">
        <v>3864</v>
      </c>
      <c r="D2083" t="s">
        <v>98</v>
      </c>
      <c r="E2083">
        <v>139.99</v>
      </c>
      <c r="F2083" t="s">
        <v>5922</v>
      </c>
      <c r="G2083">
        <v>121.73</v>
      </c>
      <c r="H2083">
        <v>103.47</v>
      </c>
      <c r="I2083">
        <v>97.38</v>
      </c>
      <c r="J2083">
        <v>97.38</v>
      </c>
      <c r="K2083">
        <v>97.38</v>
      </c>
      <c r="L2083" t="s">
        <v>5922</v>
      </c>
      <c r="M2083">
        <v>121.73</v>
      </c>
      <c r="N2083">
        <v>121.73</v>
      </c>
      <c r="O2083">
        <v>85.21</v>
      </c>
      <c r="P2083">
        <v>97.38</v>
      </c>
      <c r="Q2083">
        <v>97.38</v>
      </c>
      <c r="R2083">
        <v>121.73</v>
      </c>
      <c r="S2083">
        <v>121.73</v>
      </c>
      <c r="T2083">
        <v>97.38</v>
      </c>
      <c r="U2083">
        <v>85.21</v>
      </c>
      <c r="V2083">
        <v>85.21</v>
      </c>
      <c r="W2083">
        <v>97.38</v>
      </c>
      <c r="X2083">
        <v>97.38</v>
      </c>
      <c r="Y2083">
        <v>139.99</v>
      </c>
      <c r="Z2083" t="s">
        <v>5922</v>
      </c>
    </row>
    <row r="2084" spans="1:26" x14ac:dyDescent="0.2">
      <c r="A2084" t="s">
        <v>3597</v>
      </c>
      <c r="B2084" t="s">
        <v>3865</v>
      </c>
      <c r="C2084" t="s">
        <v>3864</v>
      </c>
      <c r="D2084" t="s">
        <v>138</v>
      </c>
      <c r="E2084">
        <v>139.99</v>
      </c>
      <c r="F2084" t="s">
        <v>7085</v>
      </c>
      <c r="G2084">
        <v>129.99</v>
      </c>
      <c r="H2084">
        <v>97.38</v>
      </c>
      <c r="I2084">
        <v>104.34</v>
      </c>
      <c r="J2084">
        <v>104.34</v>
      </c>
      <c r="K2084">
        <v>104.34</v>
      </c>
      <c r="L2084" t="s">
        <v>5922</v>
      </c>
      <c r="M2084">
        <v>130.43</v>
      </c>
      <c r="N2084">
        <v>130.43</v>
      </c>
      <c r="O2084">
        <v>91.3</v>
      </c>
      <c r="P2084">
        <v>104.34</v>
      </c>
      <c r="Q2084">
        <v>84.78</v>
      </c>
      <c r="R2084">
        <v>84.78</v>
      </c>
      <c r="S2084">
        <v>130.43</v>
      </c>
      <c r="T2084">
        <v>104.34</v>
      </c>
      <c r="U2084">
        <v>88.86</v>
      </c>
      <c r="V2084">
        <v>97.38</v>
      </c>
      <c r="W2084">
        <v>106.95</v>
      </c>
      <c r="X2084">
        <v>104.34</v>
      </c>
      <c r="Y2084">
        <v>139.99</v>
      </c>
      <c r="Z2084" t="s">
        <v>5922</v>
      </c>
    </row>
    <row r="2085" spans="1:26" x14ac:dyDescent="0.2">
      <c r="A2085" t="s">
        <v>3597</v>
      </c>
      <c r="B2085" t="s">
        <v>3866</v>
      </c>
      <c r="C2085" t="s">
        <v>3867</v>
      </c>
      <c r="D2085" t="s">
        <v>138</v>
      </c>
      <c r="E2085">
        <v>379.99</v>
      </c>
      <c r="F2085" t="s">
        <v>7391</v>
      </c>
      <c r="G2085">
        <v>349.99</v>
      </c>
      <c r="H2085">
        <v>264.33999999999997</v>
      </c>
      <c r="L2085" t="s">
        <v>5922</v>
      </c>
      <c r="Q2085">
        <v>228.25</v>
      </c>
      <c r="R2085">
        <v>228.25</v>
      </c>
      <c r="U2085">
        <v>241.21</v>
      </c>
      <c r="V2085">
        <v>264.33999999999997</v>
      </c>
      <c r="W2085">
        <v>270.95</v>
      </c>
      <c r="X2085">
        <v>264.33999999999997</v>
      </c>
      <c r="Y2085">
        <v>379.99</v>
      </c>
      <c r="Z2085" t="s">
        <v>5922</v>
      </c>
    </row>
    <row r="2086" spans="1:26" x14ac:dyDescent="0.2">
      <c r="A2086" t="s">
        <v>3597</v>
      </c>
      <c r="B2086" t="s">
        <v>3868</v>
      </c>
      <c r="C2086" t="s">
        <v>3869</v>
      </c>
      <c r="D2086" t="s">
        <v>98</v>
      </c>
      <c r="E2086">
        <v>159.99</v>
      </c>
      <c r="F2086" t="s">
        <v>5922</v>
      </c>
      <c r="G2086">
        <v>139.12</v>
      </c>
      <c r="H2086">
        <v>118.25</v>
      </c>
      <c r="I2086">
        <v>111.3</v>
      </c>
      <c r="J2086">
        <v>111.3</v>
      </c>
      <c r="K2086">
        <v>111.3</v>
      </c>
      <c r="L2086" t="s">
        <v>5922</v>
      </c>
      <c r="M2086">
        <v>139.12</v>
      </c>
      <c r="N2086">
        <v>139.12</v>
      </c>
      <c r="O2086">
        <v>97.39</v>
      </c>
      <c r="P2086">
        <v>111.3</v>
      </c>
      <c r="Q2086">
        <v>111.3</v>
      </c>
      <c r="R2086">
        <v>139.12</v>
      </c>
      <c r="S2086">
        <v>139.12</v>
      </c>
      <c r="T2086">
        <v>111.3</v>
      </c>
      <c r="U2086">
        <v>97.39</v>
      </c>
      <c r="V2086">
        <v>97.39</v>
      </c>
      <c r="W2086">
        <v>111.3</v>
      </c>
      <c r="X2086">
        <v>111.3</v>
      </c>
      <c r="Y2086">
        <v>159.99</v>
      </c>
      <c r="Z2086" t="s">
        <v>5922</v>
      </c>
    </row>
    <row r="2087" spans="1:26" x14ac:dyDescent="0.2">
      <c r="A2087" t="s">
        <v>3597</v>
      </c>
      <c r="B2087" t="s">
        <v>3870</v>
      </c>
      <c r="C2087" t="s">
        <v>3871</v>
      </c>
      <c r="D2087" t="s">
        <v>98</v>
      </c>
      <c r="E2087">
        <v>149.99</v>
      </c>
      <c r="F2087" t="s">
        <v>5922</v>
      </c>
      <c r="G2087">
        <v>104.99</v>
      </c>
      <c r="H2087">
        <v>110.86</v>
      </c>
      <c r="L2087" t="s">
        <v>5922</v>
      </c>
      <c r="U2087">
        <v>91.3</v>
      </c>
      <c r="V2087">
        <v>91.3</v>
      </c>
      <c r="W2087">
        <v>104.34</v>
      </c>
      <c r="X2087">
        <v>104.34</v>
      </c>
      <c r="Y2087">
        <v>149.99</v>
      </c>
      <c r="Z2087" t="s">
        <v>5922</v>
      </c>
    </row>
    <row r="2088" spans="1:26" x14ac:dyDescent="0.2">
      <c r="A2088" t="s">
        <v>3597</v>
      </c>
      <c r="B2088" t="s">
        <v>3872</v>
      </c>
      <c r="C2088" t="s">
        <v>3873</v>
      </c>
      <c r="D2088" t="s">
        <v>98</v>
      </c>
      <c r="E2088">
        <v>129.99</v>
      </c>
      <c r="F2088" t="s">
        <v>5922</v>
      </c>
      <c r="G2088">
        <v>113.03</v>
      </c>
      <c r="H2088">
        <v>96.08</v>
      </c>
      <c r="I2088">
        <v>90.43</v>
      </c>
      <c r="J2088">
        <v>90.43</v>
      </c>
      <c r="K2088">
        <v>90.43</v>
      </c>
      <c r="L2088" t="s">
        <v>5922</v>
      </c>
      <c r="M2088">
        <v>113.03</v>
      </c>
      <c r="N2088">
        <v>113.03</v>
      </c>
      <c r="O2088">
        <v>79.12</v>
      </c>
      <c r="P2088">
        <v>90.43</v>
      </c>
      <c r="Q2088">
        <v>90.43</v>
      </c>
      <c r="R2088">
        <v>113.03</v>
      </c>
      <c r="S2088">
        <v>113.03</v>
      </c>
      <c r="T2088">
        <v>90.43</v>
      </c>
      <c r="U2088">
        <v>84.12</v>
      </c>
      <c r="V2088">
        <v>79.12</v>
      </c>
      <c r="W2088">
        <v>90.43</v>
      </c>
      <c r="X2088">
        <v>90.43</v>
      </c>
      <c r="Y2088">
        <v>99.99</v>
      </c>
      <c r="Z2088" t="s">
        <v>5922</v>
      </c>
    </row>
    <row r="2089" spans="1:26" x14ac:dyDescent="0.2">
      <c r="A2089" t="s">
        <v>3597</v>
      </c>
      <c r="B2089" t="s">
        <v>3874</v>
      </c>
      <c r="C2089" t="s">
        <v>3875</v>
      </c>
      <c r="D2089" t="s">
        <v>98</v>
      </c>
      <c r="E2089">
        <v>89.99</v>
      </c>
      <c r="F2089" t="s">
        <v>5922</v>
      </c>
      <c r="G2089">
        <v>78.25</v>
      </c>
      <c r="H2089">
        <v>66.510000000000005</v>
      </c>
      <c r="I2089">
        <v>62.6</v>
      </c>
      <c r="J2089">
        <v>62.6</v>
      </c>
      <c r="K2089">
        <v>62.6</v>
      </c>
      <c r="L2089" t="s">
        <v>5922</v>
      </c>
      <c r="M2089">
        <v>78.25</v>
      </c>
      <c r="N2089">
        <v>78.25</v>
      </c>
      <c r="O2089">
        <v>54.78</v>
      </c>
      <c r="P2089">
        <v>62.6</v>
      </c>
      <c r="Q2089">
        <v>62.6</v>
      </c>
      <c r="R2089">
        <v>78.25</v>
      </c>
      <c r="S2089">
        <v>78.25</v>
      </c>
      <c r="T2089">
        <v>62.6</v>
      </c>
      <c r="U2089">
        <v>54.78</v>
      </c>
      <c r="V2089">
        <v>54.78</v>
      </c>
      <c r="W2089">
        <v>62.6</v>
      </c>
      <c r="X2089">
        <v>62.6</v>
      </c>
      <c r="Y2089">
        <v>89.99</v>
      </c>
      <c r="Z2089" t="s">
        <v>5922</v>
      </c>
    </row>
    <row r="2090" spans="1:26" x14ac:dyDescent="0.2">
      <c r="A2090" t="s">
        <v>3876</v>
      </c>
      <c r="B2090" t="s">
        <v>3877</v>
      </c>
      <c r="C2090" t="s">
        <v>3878</v>
      </c>
      <c r="D2090" t="s">
        <v>105</v>
      </c>
      <c r="E2090">
        <v>74.989999999999995</v>
      </c>
      <c r="F2090" t="s">
        <v>7392</v>
      </c>
      <c r="H2090">
        <v>39.130000000000003</v>
      </c>
      <c r="I2090">
        <v>48.91</v>
      </c>
      <c r="L2090" t="s">
        <v>5922</v>
      </c>
      <c r="M2090">
        <v>35.86</v>
      </c>
      <c r="N2090">
        <v>42.39</v>
      </c>
      <c r="P2090">
        <v>34.56</v>
      </c>
      <c r="R2090">
        <v>35.86</v>
      </c>
      <c r="S2090">
        <v>37.82</v>
      </c>
      <c r="U2090">
        <v>45.64</v>
      </c>
      <c r="V2090">
        <v>42.39</v>
      </c>
      <c r="X2090">
        <v>45.64</v>
      </c>
      <c r="Y2090">
        <v>74.989999999999995</v>
      </c>
      <c r="Z2090" t="s">
        <v>5922</v>
      </c>
    </row>
    <row r="2091" spans="1:26" x14ac:dyDescent="0.2">
      <c r="A2091" t="s">
        <v>3876</v>
      </c>
      <c r="B2091" t="s">
        <v>3879</v>
      </c>
      <c r="C2091" t="s">
        <v>3880</v>
      </c>
      <c r="D2091" t="s">
        <v>105</v>
      </c>
      <c r="E2091">
        <v>74.989999999999995</v>
      </c>
      <c r="F2091" t="s">
        <v>7392</v>
      </c>
      <c r="H2091">
        <v>39.130000000000003</v>
      </c>
      <c r="I2091">
        <v>48.91</v>
      </c>
      <c r="L2091" t="s">
        <v>5922</v>
      </c>
      <c r="M2091">
        <v>35.86</v>
      </c>
      <c r="N2091">
        <v>42.39</v>
      </c>
      <c r="P2091">
        <v>34.56</v>
      </c>
      <c r="R2091">
        <v>35.86</v>
      </c>
      <c r="S2091">
        <v>37.82</v>
      </c>
      <c r="U2091">
        <v>45.64</v>
      </c>
      <c r="V2091">
        <v>42.39</v>
      </c>
      <c r="X2091">
        <v>45.64</v>
      </c>
      <c r="Y2091">
        <v>74.989999999999995</v>
      </c>
      <c r="Z2091" t="s">
        <v>5922</v>
      </c>
    </row>
    <row r="2092" spans="1:26" x14ac:dyDescent="0.2">
      <c r="A2092" t="s">
        <v>3876</v>
      </c>
      <c r="B2092" t="s">
        <v>3881</v>
      </c>
      <c r="C2092" t="s">
        <v>7393</v>
      </c>
      <c r="D2092" t="s">
        <v>105</v>
      </c>
      <c r="E2092">
        <v>74.989999999999995</v>
      </c>
      <c r="F2092" t="s">
        <v>7392</v>
      </c>
      <c r="H2092">
        <v>39.130000000000003</v>
      </c>
      <c r="I2092">
        <v>48.91</v>
      </c>
      <c r="L2092" t="s">
        <v>5922</v>
      </c>
      <c r="M2092">
        <v>35.86</v>
      </c>
      <c r="N2092">
        <v>42.39</v>
      </c>
      <c r="P2092">
        <v>34.56</v>
      </c>
      <c r="R2092">
        <v>35.86</v>
      </c>
      <c r="S2092">
        <v>37.82</v>
      </c>
      <c r="U2092">
        <v>45.64</v>
      </c>
      <c r="V2092">
        <v>42.39</v>
      </c>
      <c r="X2092">
        <v>45.64</v>
      </c>
      <c r="Y2092">
        <v>74.989999999999995</v>
      </c>
      <c r="Z2092" t="s">
        <v>5922</v>
      </c>
    </row>
    <row r="2093" spans="1:26" x14ac:dyDescent="0.2">
      <c r="A2093" t="s">
        <v>3876</v>
      </c>
      <c r="B2093" t="s">
        <v>3882</v>
      </c>
      <c r="C2093" t="s">
        <v>3883</v>
      </c>
      <c r="D2093" t="s">
        <v>105</v>
      </c>
      <c r="E2093">
        <v>74.989999999999995</v>
      </c>
      <c r="F2093" t="s">
        <v>7392</v>
      </c>
      <c r="H2093">
        <v>39.130000000000003</v>
      </c>
      <c r="I2093">
        <v>48.91</v>
      </c>
      <c r="L2093" t="s">
        <v>5922</v>
      </c>
      <c r="M2093">
        <v>35.86</v>
      </c>
      <c r="N2093">
        <v>42.39</v>
      </c>
      <c r="P2093">
        <v>34.56</v>
      </c>
      <c r="R2093">
        <v>35.86</v>
      </c>
      <c r="S2093">
        <v>37.82</v>
      </c>
      <c r="U2093">
        <v>45.64</v>
      </c>
      <c r="V2093">
        <v>42.39</v>
      </c>
      <c r="X2093">
        <v>45.64</v>
      </c>
      <c r="Y2093">
        <v>74.989999999999995</v>
      </c>
      <c r="Z2093" t="s">
        <v>5922</v>
      </c>
    </row>
    <row r="2094" spans="1:26" x14ac:dyDescent="0.2">
      <c r="A2094" t="s">
        <v>3876</v>
      </c>
      <c r="B2094" t="s">
        <v>3884</v>
      </c>
      <c r="C2094" t="s">
        <v>3885</v>
      </c>
      <c r="D2094" t="s">
        <v>105</v>
      </c>
      <c r="E2094">
        <v>74.989999999999995</v>
      </c>
      <c r="F2094" t="s">
        <v>7392</v>
      </c>
      <c r="H2094">
        <v>39.130000000000003</v>
      </c>
      <c r="I2094">
        <v>48.91</v>
      </c>
      <c r="L2094" t="s">
        <v>5922</v>
      </c>
      <c r="M2094">
        <v>35.86</v>
      </c>
      <c r="N2094">
        <v>42.39</v>
      </c>
      <c r="P2094">
        <v>34.56</v>
      </c>
      <c r="R2094">
        <v>35.86</v>
      </c>
      <c r="S2094">
        <v>37.82</v>
      </c>
      <c r="U2094">
        <v>45.64</v>
      </c>
      <c r="V2094">
        <v>42.39</v>
      </c>
      <c r="X2094">
        <v>45.64</v>
      </c>
      <c r="Y2094">
        <v>74.989999999999995</v>
      </c>
      <c r="Z2094" t="s">
        <v>5922</v>
      </c>
    </row>
    <row r="2095" spans="1:26" x14ac:dyDescent="0.2">
      <c r="A2095" t="s">
        <v>3876</v>
      </c>
      <c r="B2095" t="s">
        <v>3886</v>
      </c>
      <c r="C2095" t="s">
        <v>7394</v>
      </c>
      <c r="D2095" t="s">
        <v>105</v>
      </c>
      <c r="E2095">
        <v>74.989999999999995</v>
      </c>
      <c r="F2095" t="s">
        <v>7392</v>
      </c>
      <c r="H2095">
        <v>39.130000000000003</v>
      </c>
      <c r="I2095">
        <v>48.91</v>
      </c>
      <c r="L2095" t="s">
        <v>5922</v>
      </c>
      <c r="M2095">
        <v>35.86</v>
      </c>
      <c r="N2095">
        <v>42.39</v>
      </c>
      <c r="P2095">
        <v>34.56</v>
      </c>
      <c r="R2095">
        <v>35.86</v>
      </c>
      <c r="S2095">
        <v>37.82</v>
      </c>
      <c r="U2095">
        <v>45.64</v>
      </c>
      <c r="V2095">
        <v>42.39</v>
      </c>
      <c r="X2095">
        <v>45.64</v>
      </c>
      <c r="Y2095">
        <v>74.989999999999995</v>
      </c>
      <c r="Z2095" t="s">
        <v>5922</v>
      </c>
    </row>
    <row r="2096" spans="1:26" x14ac:dyDescent="0.2">
      <c r="A2096" t="s">
        <v>3876</v>
      </c>
      <c r="B2096" t="s">
        <v>3887</v>
      </c>
      <c r="C2096" t="s">
        <v>7395</v>
      </c>
      <c r="D2096" t="s">
        <v>105</v>
      </c>
      <c r="E2096">
        <v>74.989999999999995</v>
      </c>
      <c r="F2096" t="s">
        <v>7392</v>
      </c>
      <c r="H2096">
        <v>39.130000000000003</v>
      </c>
      <c r="I2096">
        <v>48.91</v>
      </c>
      <c r="L2096" t="s">
        <v>5922</v>
      </c>
      <c r="M2096">
        <v>35.86</v>
      </c>
      <c r="N2096">
        <v>42.39</v>
      </c>
      <c r="P2096">
        <v>34.56</v>
      </c>
      <c r="R2096">
        <v>35.86</v>
      </c>
      <c r="S2096">
        <v>37.82</v>
      </c>
      <c r="U2096">
        <v>45.64</v>
      </c>
      <c r="V2096">
        <v>42.39</v>
      </c>
      <c r="X2096">
        <v>45.64</v>
      </c>
      <c r="Y2096">
        <v>74.989999999999995</v>
      </c>
      <c r="Z2096" t="s">
        <v>5922</v>
      </c>
    </row>
    <row r="2097" spans="1:26" x14ac:dyDescent="0.2">
      <c r="A2097" t="s">
        <v>3876</v>
      </c>
      <c r="B2097" t="s">
        <v>3888</v>
      </c>
      <c r="C2097" t="s">
        <v>7396</v>
      </c>
      <c r="D2097" t="s">
        <v>105</v>
      </c>
      <c r="E2097">
        <v>74.989999999999995</v>
      </c>
      <c r="F2097" t="s">
        <v>7392</v>
      </c>
      <c r="H2097">
        <v>39.130000000000003</v>
      </c>
      <c r="I2097">
        <v>48.91</v>
      </c>
      <c r="L2097" t="s">
        <v>5922</v>
      </c>
      <c r="M2097">
        <v>35.86</v>
      </c>
      <c r="N2097">
        <v>42.39</v>
      </c>
      <c r="P2097">
        <v>34.56</v>
      </c>
      <c r="R2097">
        <v>35.86</v>
      </c>
      <c r="S2097">
        <v>37.82</v>
      </c>
      <c r="U2097">
        <v>45.64</v>
      </c>
      <c r="V2097">
        <v>42.39</v>
      </c>
      <c r="X2097">
        <v>45.64</v>
      </c>
      <c r="Y2097">
        <v>74.989999999999995</v>
      </c>
      <c r="Z2097" t="s">
        <v>5922</v>
      </c>
    </row>
    <row r="2098" spans="1:26" x14ac:dyDescent="0.2">
      <c r="A2098" t="s">
        <v>3876</v>
      </c>
      <c r="B2098" t="s">
        <v>3889</v>
      </c>
      <c r="C2098" t="s">
        <v>3890</v>
      </c>
      <c r="D2098" t="s">
        <v>105</v>
      </c>
      <c r="E2098">
        <v>34.99</v>
      </c>
      <c r="F2098" t="s">
        <v>7397</v>
      </c>
      <c r="H2098">
        <v>18.260000000000002</v>
      </c>
      <c r="I2098">
        <v>22.82</v>
      </c>
      <c r="J2098">
        <v>22.82</v>
      </c>
      <c r="L2098" t="s">
        <v>5922</v>
      </c>
      <c r="M2098">
        <v>16.73</v>
      </c>
      <c r="N2098">
        <v>19.5</v>
      </c>
      <c r="P2098">
        <v>16.13</v>
      </c>
      <c r="S2098">
        <v>17.649999999999999</v>
      </c>
      <c r="Z2098" t="s">
        <v>5922</v>
      </c>
    </row>
    <row r="2099" spans="1:26" x14ac:dyDescent="0.2">
      <c r="A2099" t="s">
        <v>3876</v>
      </c>
      <c r="B2099" t="s">
        <v>3891</v>
      </c>
      <c r="C2099" t="s">
        <v>3892</v>
      </c>
      <c r="D2099" t="s">
        <v>98</v>
      </c>
      <c r="E2099">
        <v>59.99</v>
      </c>
      <c r="F2099" t="s">
        <v>5922</v>
      </c>
      <c r="G2099">
        <v>59.99</v>
      </c>
      <c r="H2099">
        <v>31.3</v>
      </c>
      <c r="I2099">
        <v>36.520000000000003</v>
      </c>
      <c r="J2099">
        <v>41.73</v>
      </c>
      <c r="K2099">
        <v>41.73</v>
      </c>
      <c r="L2099" t="s">
        <v>5922</v>
      </c>
      <c r="M2099">
        <v>26.08</v>
      </c>
      <c r="N2099">
        <v>28.69</v>
      </c>
      <c r="O2099">
        <v>31.3</v>
      </c>
      <c r="P2099">
        <v>27.65</v>
      </c>
      <c r="Q2099">
        <v>26.08</v>
      </c>
      <c r="R2099">
        <v>26.08</v>
      </c>
      <c r="S2099">
        <v>30.26</v>
      </c>
      <c r="T2099">
        <v>31.3</v>
      </c>
      <c r="U2099">
        <v>36.520000000000003</v>
      </c>
      <c r="V2099">
        <v>31.3</v>
      </c>
      <c r="W2099">
        <v>36.520000000000003</v>
      </c>
      <c r="X2099">
        <v>36.520000000000003</v>
      </c>
      <c r="Y2099">
        <v>59.99</v>
      </c>
      <c r="Z2099" t="s">
        <v>5922</v>
      </c>
    </row>
    <row r="2100" spans="1:26" x14ac:dyDescent="0.2">
      <c r="A2100" t="s">
        <v>3876</v>
      </c>
      <c r="B2100" t="s">
        <v>3899</v>
      </c>
      <c r="C2100" t="s">
        <v>3900</v>
      </c>
      <c r="D2100" t="s">
        <v>138</v>
      </c>
      <c r="E2100">
        <v>69.989999999999995</v>
      </c>
      <c r="F2100" t="s">
        <v>6890</v>
      </c>
      <c r="G2100">
        <v>69.989999999999995</v>
      </c>
      <c r="H2100">
        <v>36.520000000000003</v>
      </c>
      <c r="I2100">
        <v>45.65</v>
      </c>
      <c r="J2100">
        <v>51.73</v>
      </c>
      <c r="K2100">
        <v>39.56</v>
      </c>
      <c r="L2100" t="s">
        <v>5922</v>
      </c>
      <c r="M2100">
        <v>33.47</v>
      </c>
      <c r="N2100">
        <v>39.590000000000003</v>
      </c>
      <c r="O2100">
        <v>42.6</v>
      </c>
      <c r="P2100">
        <v>32.26</v>
      </c>
      <c r="Q2100">
        <v>33.47</v>
      </c>
      <c r="R2100">
        <v>33.47</v>
      </c>
      <c r="S2100">
        <v>35.299999999999997</v>
      </c>
      <c r="T2100">
        <v>42.6</v>
      </c>
      <c r="U2100">
        <v>42.6</v>
      </c>
      <c r="V2100">
        <v>39.56</v>
      </c>
      <c r="W2100">
        <v>48.69</v>
      </c>
      <c r="X2100">
        <v>42.6</v>
      </c>
      <c r="Y2100">
        <v>59.99</v>
      </c>
      <c r="Z2100" t="s">
        <v>5922</v>
      </c>
    </row>
    <row r="2101" spans="1:26" x14ac:dyDescent="0.2">
      <c r="A2101" t="s">
        <v>3876</v>
      </c>
      <c r="B2101" t="s">
        <v>3901</v>
      </c>
      <c r="C2101" t="s">
        <v>5735</v>
      </c>
      <c r="D2101" t="s">
        <v>138</v>
      </c>
      <c r="E2101">
        <v>69.989999999999995</v>
      </c>
      <c r="F2101" t="s">
        <v>6890</v>
      </c>
      <c r="G2101">
        <v>69.989999999999995</v>
      </c>
      <c r="H2101">
        <v>36.520000000000003</v>
      </c>
      <c r="I2101">
        <v>45.65</v>
      </c>
      <c r="J2101">
        <v>51.73</v>
      </c>
      <c r="K2101">
        <v>39.56</v>
      </c>
      <c r="L2101" t="s">
        <v>5922</v>
      </c>
      <c r="M2101">
        <v>33.47</v>
      </c>
      <c r="N2101">
        <v>39.56</v>
      </c>
      <c r="O2101">
        <v>42.6</v>
      </c>
      <c r="P2101">
        <v>32.26</v>
      </c>
      <c r="Q2101">
        <v>33.47</v>
      </c>
      <c r="R2101">
        <v>33.47</v>
      </c>
      <c r="S2101">
        <v>35.299999999999997</v>
      </c>
      <c r="T2101">
        <v>42.6</v>
      </c>
      <c r="U2101">
        <v>42.6</v>
      </c>
      <c r="V2101">
        <v>39.56</v>
      </c>
      <c r="W2101">
        <v>48.69</v>
      </c>
      <c r="X2101">
        <v>42.6</v>
      </c>
      <c r="Y2101">
        <v>59.99</v>
      </c>
      <c r="Z2101" t="s">
        <v>5922</v>
      </c>
    </row>
    <row r="2102" spans="1:26" x14ac:dyDescent="0.2">
      <c r="A2102" t="s">
        <v>3876</v>
      </c>
      <c r="B2102" t="s">
        <v>3902</v>
      </c>
      <c r="C2102" t="s">
        <v>5737</v>
      </c>
      <c r="D2102" t="s">
        <v>138</v>
      </c>
      <c r="E2102">
        <v>69.989999999999995</v>
      </c>
      <c r="F2102" t="s">
        <v>6890</v>
      </c>
      <c r="G2102">
        <v>69.989999999999995</v>
      </c>
      <c r="H2102">
        <v>36.520000000000003</v>
      </c>
      <c r="I2102">
        <v>45.65</v>
      </c>
      <c r="J2102">
        <v>51.73</v>
      </c>
      <c r="K2102">
        <v>39.56</v>
      </c>
      <c r="L2102" t="s">
        <v>5922</v>
      </c>
      <c r="M2102">
        <v>33.47</v>
      </c>
      <c r="N2102">
        <v>39.56</v>
      </c>
      <c r="O2102">
        <v>42.6</v>
      </c>
      <c r="P2102">
        <v>32.26</v>
      </c>
      <c r="Q2102">
        <v>33.47</v>
      </c>
      <c r="R2102">
        <v>33.47</v>
      </c>
      <c r="S2102">
        <v>35.299999999999997</v>
      </c>
      <c r="T2102">
        <v>42.6</v>
      </c>
      <c r="U2102">
        <v>42.6</v>
      </c>
      <c r="V2102">
        <v>39.56</v>
      </c>
      <c r="W2102">
        <v>48.69</v>
      </c>
      <c r="X2102">
        <v>42.6</v>
      </c>
      <c r="Y2102">
        <v>69.989999999999995</v>
      </c>
      <c r="Z2102" t="s">
        <v>5922</v>
      </c>
    </row>
    <row r="2103" spans="1:26" x14ac:dyDescent="0.2">
      <c r="A2103" t="s">
        <v>3876</v>
      </c>
      <c r="B2103" t="s">
        <v>3903</v>
      </c>
      <c r="C2103" t="s">
        <v>5739</v>
      </c>
      <c r="D2103" t="s">
        <v>138</v>
      </c>
      <c r="E2103">
        <v>69.989999999999995</v>
      </c>
      <c r="F2103" t="s">
        <v>6890</v>
      </c>
      <c r="G2103">
        <v>69.989999999999995</v>
      </c>
      <c r="H2103">
        <v>36.520000000000003</v>
      </c>
      <c r="I2103">
        <v>45.65</v>
      </c>
      <c r="J2103">
        <v>51.73</v>
      </c>
      <c r="K2103">
        <v>39.56</v>
      </c>
      <c r="L2103" t="s">
        <v>5922</v>
      </c>
      <c r="M2103">
        <v>33.47</v>
      </c>
      <c r="N2103">
        <v>39.56</v>
      </c>
      <c r="O2103">
        <v>42.6</v>
      </c>
      <c r="P2103">
        <v>32.26</v>
      </c>
      <c r="Q2103">
        <v>33.47</v>
      </c>
      <c r="R2103">
        <v>33.47</v>
      </c>
      <c r="S2103">
        <v>35.299999999999997</v>
      </c>
      <c r="T2103">
        <v>42.6</v>
      </c>
      <c r="U2103">
        <v>42.6</v>
      </c>
      <c r="V2103">
        <v>39.56</v>
      </c>
      <c r="W2103">
        <v>48.69</v>
      </c>
      <c r="X2103">
        <v>42.6</v>
      </c>
      <c r="Y2103">
        <v>69.989999999999995</v>
      </c>
      <c r="Z2103" t="s">
        <v>5922</v>
      </c>
    </row>
    <row r="2104" spans="1:26" x14ac:dyDescent="0.2">
      <c r="A2104" t="s">
        <v>3876</v>
      </c>
      <c r="B2104" t="s">
        <v>3904</v>
      </c>
      <c r="C2104" t="s">
        <v>5752</v>
      </c>
      <c r="D2104" t="s">
        <v>138</v>
      </c>
      <c r="E2104">
        <v>69.989999999999995</v>
      </c>
      <c r="F2104" t="s">
        <v>6890</v>
      </c>
      <c r="H2104">
        <v>36.520000000000003</v>
      </c>
      <c r="I2104">
        <v>45.65</v>
      </c>
      <c r="K2104">
        <v>39.56</v>
      </c>
      <c r="L2104" t="s">
        <v>5922</v>
      </c>
      <c r="M2104">
        <v>33.47</v>
      </c>
      <c r="N2104">
        <v>39.56</v>
      </c>
      <c r="P2104">
        <v>32.26</v>
      </c>
      <c r="S2104">
        <v>35.299999999999997</v>
      </c>
      <c r="U2104">
        <v>42.6</v>
      </c>
      <c r="Y2104">
        <v>69.989999999999995</v>
      </c>
      <c r="Z2104" t="s">
        <v>5922</v>
      </c>
    </row>
    <row r="2105" spans="1:26" x14ac:dyDescent="0.2">
      <c r="A2105" t="s">
        <v>3876</v>
      </c>
      <c r="B2105" t="s">
        <v>3906</v>
      </c>
      <c r="C2105" t="s">
        <v>3907</v>
      </c>
      <c r="D2105" t="s">
        <v>138</v>
      </c>
      <c r="E2105">
        <v>69.989999999999995</v>
      </c>
      <c r="F2105" t="s">
        <v>6890</v>
      </c>
      <c r="G2105">
        <v>69.989999999999995</v>
      </c>
      <c r="H2105">
        <v>36.520000000000003</v>
      </c>
      <c r="I2105">
        <v>45.65</v>
      </c>
      <c r="J2105">
        <v>51.73</v>
      </c>
      <c r="K2105">
        <v>39.56</v>
      </c>
      <c r="L2105" t="s">
        <v>5922</v>
      </c>
      <c r="M2105">
        <v>33.47</v>
      </c>
      <c r="N2105">
        <v>39.56</v>
      </c>
      <c r="O2105">
        <v>42.6</v>
      </c>
      <c r="P2105">
        <v>32.26</v>
      </c>
      <c r="Q2105">
        <v>33.47</v>
      </c>
      <c r="R2105">
        <v>33.47</v>
      </c>
      <c r="S2105">
        <v>35.299999999999997</v>
      </c>
      <c r="T2105">
        <v>42.6</v>
      </c>
      <c r="U2105">
        <v>42.6</v>
      </c>
      <c r="V2105">
        <v>39.56</v>
      </c>
      <c r="W2105">
        <v>48.69</v>
      </c>
      <c r="X2105">
        <v>42.6</v>
      </c>
      <c r="Y2105">
        <v>59.99</v>
      </c>
      <c r="Z2105" t="s">
        <v>5922</v>
      </c>
    </row>
    <row r="2106" spans="1:26" x14ac:dyDescent="0.2">
      <c r="A2106" t="s">
        <v>3876</v>
      </c>
      <c r="B2106" t="s">
        <v>3908</v>
      </c>
      <c r="C2106" t="s">
        <v>3909</v>
      </c>
      <c r="D2106" t="s">
        <v>138</v>
      </c>
      <c r="E2106">
        <v>69.989999999999995</v>
      </c>
      <c r="F2106" t="s">
        <v>6890</v>
      </c>
      <c r="G2106">
        <v>69.989999999999995</v>
      </c>
      <c r="H2106">
        <v>36.520000000000003</v>
      </c>
      <c r="I2106">
        <v>45.65</v>
      </c>
      <c r="J2106">
        <v>51.73</v>
      </c>
      <c r="K2106">
        <v>39.56</v>
      </c>
      <c r="L2106" t="s">
        <v>5922</v>
      </c>
      <c r="M2106">
        <v>33.47</v>
      </c>
      <c r="N2106">
        <v>39.56</v>
      </c>
      <c r="O2106">
        <v>42.6</v>
      </c>
      <c r="P2106">
        <v>32.26</v>
      </c>
      <c r="Q2106">
        <v>33.47</v>
      </c>
      <c r="R2106">
        <v>33.47</v>
      </c>
      <c r="S2106">
        <v>35.299999999999997</v>
      </c>
      <c r="T2106">
        <v>42.6</v>
      </c>
      <c r="U2106">
        <v>42.6</v>
      </c>
      <c r="V2106">
        <v>39.56</v>
      </c>
      <c r="W2106">
        <v>48.69</v>
      </c>
      <c r="X2106">
        <v>42.6</v>
      </c>
      <c r="Y2106">
        <v>69.989999999999995</v>
      </c>
      <c r="Z2106" t="s">
        <v>5922</v>
      </c>
    </row>
    <row r="2107" spans="1:26" x14ac:dyDescent="0.2">
      <c r="A2107" t="s">
        <v>3876</v>
      </c>
      <c r="B2107" t="s">
        <v>3910</v>
      </c>
      <c r="C2107" t="s">
        <v>3911</v>
      </c>
      <c r="D2107" t="s">
        <v>138</v>
      </c>
      <c r="E2107">
        <v>69.989999999999995</v>
      </c>
      <c r="F2107" t="s">
        <v>6890</v>
      </c>
      <c r="G2107">
        <v>69.989999999999995</v>
      </c>
      <c r="H2107">
        <v>36.520000000000003</v>
      </c>
      <c r="I2107">
        <v>45.65</v>
      </c>
      <c r="J2107">
        <v>51.73</v>
      </c>
      <c r="K2107">
        <v>39.56</v>
      </c>
      <c r="L2107" t="s">
        <v>5922</v>
      </c>
      <c r="M2107">
        <v>33.47</v>
      </c>
      <c r="N2107">
        <v>39.56</v>
      </c>
      <c r="O2107">
        <v>42.6</v>
      </c>
      <c r="P2107">
        <v>32.26</v>
      </c>
      <c r="Q2107">
        <v>33.47</v>
      </c>
      <c r="R2107">
        <v>33.47</v>
      </c>
      <c r="S2107">
        <v>35.299999999999997</v>
      </c>
      <c r="T2107">
        <v>42.6</v>
      </c>
      <c r="U2107">
        <v>42.6</v>
      </c>
      <c r="V2107">
        <v>39.56</v>
      </c>
      <c r="W2107">
        <v>48.69</v>
      </c>
      <c r="X2107">
        <v>42.6</v>
      </c>
      <c r="Y2107">
        <v>59.99</v>
      </c>
      <c r="Z2107" t="s">
        <v>5922</v>
      </c>
    </row>
    <row r="2108" spans="1:26" x14ac:dyDescent="0.2">
      <c r="A2108" t="s">
        <v>3876</v>
      </c>
      <c r="B2108" t="s">
        <v>3912</v>
      </c>
      <c r="C2108" t="s">
        <v>3913</v>
      </c>
      <c r="D2108" t="s">
        <v>138</v>
      </c>
      <c r="E2108">
        <v>69.989999999999995</v>
      </c>
      <c r="F2108" t="s">
        <v>6890</v>
      </c>
      <c r="G2108">
        <v>69.989999999999995</v>
      </c>
      <c r="H2108">
        <v>36.520000000000003</v>
      </c>
      <c r="I2108">
        <v>45.65</v>
      </c>
      <c r="J2108">
        <v>51.73</v>
      </c>
      <c r="K2108">
        <v>39.56</v>
      </c>
      <c r="L2108" t="s">
        <v>5922</v>
      </c>
      <c r="M2108">
        <v>33.47</v>
      </c>
      <c r="N2108">
        <v>39.56</v>
      </c>
      <c r="O2108">
        <v>42.6</v>
      </c>
      <c r="P2108">
        <v>32.26</v>
      </c>
      <c r="Q2108">
        <v>33.47</v>
      </c>
      <c r="R2108">
        <v>33.47</v>
      </c>
      <c r="S2108">
        <v>35.299999999999997</v>
      </c>
      <c r="T2108">
        <v>42.6</v>
      </c>
      <c r="U2108">
        <v>42.6</v>
      </c>
      <c r="V2108">
        <v>39.56</v>
      </c>
      <c r="W2108">
        <v>48.69</v>
      </c>
      <c r="X2108">
        <v>42.6</v>
      </c>
      <c r="Y2108">
        <v>69.989999999999995</v>
      </c>
      <c r="Z2108" t="s">
        <v>5922</v>
      </c>
    </row>
    <row r="2109" spans="1:26" x14ac:dyDescent="0.2">
      <c r="A2109" t="s">
        <v>3914</v>
      </c>
      <c r="B2109" t="s">
        <v>3915</v>
      </c>
      <c r="C2109" t="s">
        <v>3916</v>
      </c>
      <c r="D2109" t="s">
        <v>98</v>
      </c>
      <c r="E2109">
        <v>0</v>
      </c>
      <c r="F2109" t="s">
        <v>5922</v>
      </c>
      <c r="G2109">
        <v>0</v>
      </c>
      <c r="L2109" t="s">
        <v>5922</v>
      </c>
      <c r="Z2109" t="s">
        <v>5922</v>
      </c>
    </row>
    <row r="2110" spans="1:26" x14ac:dyDescent="0.2">
      <c r="A2110" t="s">
        <v>3914</v>
      </c>
      <c r="B2110" t="s">
        <v>3917</v>
      </c>
      <c r="C2110" t="s">
        <v>3918</v>
      </c>
      <c r="D2110" t="s">
        <v>98</v>
      </c>
      <c r="E2110">
        <v>0</v>
      </c>
      <c r="F2110" t="s">
        <v>5922</v>
      </c>
      <c r="G2110">
        <v>0</v>
      </c>
      <c r="L2110" t="s">
        <v>5922</v>
      </c>
      <c r="Z2110" t="s">
        <v>5922</v>
      </c>
    </row>
    <row r="2111" spans="1:26" x14ac:dyDescent="0.2">
      <c r="A2111" t="s">
        <v>3914</v>
      </c>
      <c r="B2111" t="s">
        <v>3919</v>
      </c>
      <c r="C2111" t="s">
        <v>3920</v>
      </c>
      <c r="D2111" t="s">
        <v>98</v>
      </c>
      <c r="E2111">
        <v>0</v>
      </c>
      <c r="F2111" t="s">
        <v>5922</v>
      </c>
      <c r="G2111">
        <v>0</v>
      </c>
      <c r="L2111" t="s">
        <v>5922</v>
      </c>
      <c r="Z2111" t="s">
        <v>5922</v>
      </c>
    </row>
    <row r="2112" spans="1:26" x14ac:dyDescent="0.2">
      <c r="A2112" t="s">
        <v>3924</v>
      </c>
      <c r="B2112" t="s">
        <v>6125</v>
      </c>
      <c r="C2112" t="s">
        <v>3925</v>
      </c>
      <c r="D2112" t="s">
        <v>98</v>
      </c>
      <c r="E2112">
        <v>139.99</v>
      </c>
      <c r="F2112" t="s">
        <v>5922</v>
      </c>
      <c r="G2112">
        <v>129.99</v>
      </c>
      <c r="H2112">
        <v>91.3</v>
      </c>
      <c r="I2112">
        <v>90.43</v>
      </c>
      <c r="J2112">
        <v>90.43</v>
      </c>
      <c r="L2112" t="s">
        <v>5922</v>
      </c>
      <c r="R2112">
        <v>90.43</v>
      </c>
      <c r="U2112">
        <v>85.21</v>
      </c>
      <c r="V2112">
        <v>90.43</v>
      </c>
      <c r="W2112">
        <v>97.38</v>
      </c>
      <c r="X2112">
        <v>91.3</v>
      </c>
      <c r="Y2112">
        <v>129.99</v>
      </c>
      <c r="Z2112" t="s">
        <v>5922</v>
      </c>
    </row>
    <row r="2113" spans="1:26" x14ac:dyDescent="0.2">
      <c r="A2113" t="s">
        <v>3929</v>
      </c>
      <c r="B2113" t="s">
        <v>3930</v>
      </c>
      <c r="C2113" t="s">
        <v>3931</v>
      </c>
      <c r="D2113" t="s">
        <v>105</v>
      </c>
      <c r="E2113">
        <v>139.99</v>
      </c>
      <c r="F2113" t="s">
        <v>7085</v>
      </c>
      <c r="G2113">
        <v>139.99</v>
      </c>
      <c r="H2113">
        <v>85.21</v>
      </c>
      <c r="I2113">
        <v>97.38</v>
      </c>
      <c r="J2113">
        <v>109.56</v>
      </c>
      <c r="K2113">
        <v>85.21</v>
      </c>
      <c r="L2113" t="s">
        <v>5922</v>
      </c>
      <c r="M2113">
        <v>85.21</v>
      </c>
      <c r="N2113">
        <v>85.21</v>
      </c>
      <c r="O2113">
        <v>73.040000000000006</v>
      </c>
      <c r="P2113">
        <v>77.099999999999994</v>
      </c>
      <c r="Q2113">
        <v>73.040000000000006</v>
      </c>
      <c r="R2113">
        <v>73.040000000000006</v>
      </c>
      <c r="S2113">
        <v>86.95</v>
      </c>
      <c r="T2113">
        <v>73.040000000000006</v>
      </c>
      <c r="U2113">
        <v>85.21</v>
      </c>
      <c r="V2113">
        <v>91.3</v>
      </c>
      <c r="W2113">
        <v>91.3</v>
      </c>
      <c r="X2113">
        <v>104.69</v>
      </c>
      <c r="Y2113">
        <v>139.99</v>
      </c>
      <c r="Z2113" t="s">
        <v>5922</v>
      </c>
    </row>
    <row r="2114" spans="1:26" x14ac:dyDescent="0.2">
      <c r="A2114" t="s">
        <v>3929</v>
      </c>
      <c r="B2114" t="s">
        <v>3932</v>
      </c>
      <c r="C2114" t="s">
        <v>3933</v>
      </c>
      <c r="D2114" t="s">
        <v>105</v>
      </c>
      <c r="E2114">
        <v>129.99</v>
      </c>
      <c r="F2114" t="s">
        <v>7023</v>
      </c>
      <c r="G2114">
        <v>129.99</v>
      </c>
      <c r="H2114">
        <v>79.12</v>
      </c>
      <c r="I2114">
        <v>90.43</v>
      </c>
      <c r="J2114">
        <v>101.73</v>
      </c>
      <c r="K2114">
        <v>79.12</v>
      </c>
      <c r="L2114" t="s">
        <v>5922</v>
      </c>
      <c r="M2114">
        <v>84.78</v>
      </c>
      <c r="N2114">
        <v>79.12</v>
      </c>
      <c r="O2114">
        <v>57.39</v>
      </c>
      <c r="P2114">
        <v>71.59</v>
      </c>
      <c r="Q2114">
        <v>67.819999999999993</v>
      </c>
      <c r="R2114">
        <v>67.819999999999993</v>
      </c>
      <c r="S2114">
        <v>80.739999999999995</v>
      </c>
      <c r="T2114">
        <v>67.819999999999993</v>
      </c>
      <c r="U2114">
        <v>79.12</v>
      </c>
      <c r="V2114">
        <v>84.78</v>
      </c>
      <c r="W2114">
        <v>84.78</v>
      </c>
      <c r="X2114">
        <v>97.21</v>
      </c>
      <c r="Y2114">
        <v>129.99</v>
      </c>
      <c r="Z2114" t="s">
        <v>5922</v>
      </c>
    </row>
    <row r="2115" spans="1:26" x14ac:dyDescent="0.2">
      <c r="A2115" t="s">
        <v>3929</v>
      </c>
      <c r="B2115" t="s">
        <v>3934</v>
      </c>
      <c r="C2115" t="s">
        <v>3935</v>
      </c>
      <c r="D2115" t="s">
        <v>138</v>
      </c>
      <c r="E2115">
        <v>159.99</v>
      </c>
      <c r="F2115" t="s">
        <v>6970</v>
      </c>
      <c r="G2115">
        <v>159.99</v>
      </c>
      <c r="H2115">
        <v>97.39</v>
      </c>
      <c r="I2115">
        <v>111.3</v>
      </c>
      <c r="J2115">
        <v>125.21</v>
      </c>
      <c r="K2115">
        <v>97.39</v>
      </c>
      <c r="L2115" t="s">
        <v>5922</v>
      </c>
      <c r="M2115">
        <v>104.34</v>
      </c>
      <c r="N2115">
        <v>97.39</v>
      </c>
      <c r="O2115">
        <v>78.260000000000005</v>
      </c>
      <c r="P2115">
        <v>88.11</v>
      </c>
      <c r="Q2115">
        <v>83.47</v>
      </c>
      <c r="R2115">
        <v>83.47</v>
      </c>
      <c r="S2115">
        <v>97.39</v>
      </c>
      <c r="T2115">
        <v>83.47</v>
      </c>
      <c r="U2115">
        <v>97.39</v>
      </c>
      <c r="V2115">
        <v>104.34</v>
      </c>
      <c r="W2115">
        <v>104.34</v>
      </c>
      <c r="X2115">
        <v>119.64</v>
      </c>
      <c r="Y2115">
        <v>159.99</v>
      </c>
      <c r="Z2115" t="s">
        <v>5922</v>
      </c>
    </row>
    <row r="2116" spans="1:26" x14ac:dyDescent="0.2">
      <c r="A2116" t="s">
        <v>3929</v>
      </c>
      <c r="B2116" t="s">
        <v>3936</v>
      </c>
      <c r="C2116" t="s">
        <v>3937</v>
      </c>
      <c r="D2116" t="s">
        <v>105</v>
      </c>
      <c r="E2116">
        <v>179.99</v>
      </c>
      <c r="F2116" t="s">
        <v>7024</v>
      </c>
      <c r="H2116">
        <v>109.56</v>
      </c>
      <c r="I2116">
        <v>125.21</v>
      </c>
      <c r="J2116">
        <v>140.86000000000001</v>
      </c>
      <c r="K2116">
        <v>109.56</v>
      </c>
      <c r="L2116" t="s">
        <v>5922</v>
      </c>
      <c r="M2116">
        <v>109.56</v>
      </c>
      <c r="N2116">
        <v>109.56</v>
      </c>
      <c r="O2116">
        <v>93.91</v>
      </c>
      <c r="P2116">
        <v>99.12</v>
      </c>
      <c r="Q2116">
        <v>93.91</v>
      </c>
      <c r="R2116">
        <v>86.08</v>
      </c>
      <c r="S2116">
        <v>109.56</v>
      </c>
      <c r="U2116">
        <v>101.73</v>
      </c>
      <c r="W2116">
        <v>117.38</v>
      </c>
      <c r="X2116">
        <v>134.6</v>
      </c>
      <c r="Y2116">
        <v>179.99</v>
      </c>
      <c r="Z2116" t="s">
        <v>5922</v>
      </c>
    </row>
    <row r="2117" spans="1:26" x14ac:dyDescent="0.2">
      <c r="A2117" t="s">
        <v>3929</v>
      </c>
      <c r="B2117" t="s">
        <v>3938</v>
      </c>
      <c r="C2117" t="s">
        <v>3939</v>
      </c>
      <c r="D2117" t="s">
        <v>105</v>
      </c>
      <c r="E2117">
        <v>259.99</v>
      </c>
      <c r="F2117" t="s">
        <v>7186</v>
      </c>
      <c r="H2117">
        <v>158.25</v>
      </c>
      <c r="I2117">
        <v>180.86</v>
      </c>
      <c r="J2117">
        <v>203.47</v>
      </c>
      <c r="K2117">
        <v>158.25</v>
      </c>
      <c r="L2117" t="s">
        <v>5922</v>
      </c>
      <c r="M2117">
        <v>158.25</v>
      </c>
      <c r="N2117">
        <v>158.25</v>
      </c>
      <c r="O2117">
        <v>135.65</v>
      </c>
      <c r="P2117">
        <v>143.18</v>
      </c>
      <c r="Q2117">
        <v>135.65</v>
      </c>
      <c r="R2117">
        <v>135.65</v>
      </c>
      <c r="S2117">
        <v>161.49</v>
      </c>
      <c r="U2117">
        <v>158.25</v>
      </c>
      <c r="W2117">
        <v>169.56</v>
      </c>
      <c r="X2117">
        <v>194.43</v>
      </c>
      <c r="Y2117">
        <v>259.99</v>
      </c>
      <c r="Z2117" t="s">
        <v>5922</v>
      </c>
    </row>
    <row r="2118" spans="1:26" x14ac:dyDescent="0.2">
      <c r="A2118" t="s">
        <v>3929</v>
      </c>
      <c r="B2118" t="s">
        <v>3940</v>
      </c>
      <c r="C2118" t="s">
        <v>3941</v>
      </c>
      <c r="D2118" t="s">
        <v>105</v>
      </c>
      <c r="E2118">
        <v>209.99</v>
      </c>
      <c r="F2118" t="s">
        <v>7277</v>
      </c>
      <c r="G2118">
        <v>209.99</v>
      </c>
      <c r="H2118">
        <v>127.82</v>
      </c>
      <c r="I2118">
        <v>146.08000000000001</v>
      </c>
      <c r="J2118">
        <v>164.34</v>
      </c>
      <c r="K2118">
        <v>127.82</v>
      </c>
      <c r="L2118" t="s">
        <v>5922</v>
      </c>
      <c r="M2118">
        <v>127.82</v>
      </c>
      <c r="N2118">
        <v>127.82</v>
      </c>
      <c r="O2118">
        <v>99.13</v>
      </c>
      <c r="P2118">
        <v>115.65</v>
      </c>
      <c r="Q2118">
        <v>109.56</v>
      </c>
      <c r="R2118">
        <v>109.56</v>
      </c>
      <c r="S2118">
        <v>130.43</v>
      </c>
      <c r="T2118">
        <v>109.56</v>
      </c>
      <c r="U2118">
        <v>127.82</v>
      </c>
      <c r="V2118">
        <v>136.94999999999999</v>
      </c>
      <c r="W2118">
        <v>136.94999999999999</v>
      </c>
      <c r="X2118">
        <v>157.04</v>
      </c>
      <c r="Y2118">
        <v>209.99</v>
      </c>
      <c r="Z2118" t="s">
        <v>5922</v>
      </c>
    </row>
    <row r="2119" spans="1:26" x14ac:dyDescent="0.2">
      <c r="A2119" t="s">
        <v>3929</v>
      </c>
      <c r="B2119" t="s">
        <v>3942</v>
      </c>
      <c r="C2119" t="s">
        <v>3943</v>
      </c>
      <c r="D2119" t="s">
        <v>138</v>
      </c>
      <c r="E2119">
        <v>149.99</v>
      </c>
      <c r="F2119" t="s">
        <v>7022</v>
      </c>
      <c r="G2119">
        <v>149.99</v>
      </c>
      <c r="H2119">
        <v>91.3</v>
      </c>
      <c r="I2119">
        <v>104.34</v>
      </c>
      <c r="J2119">
        <v>117.38</v>
      </c>
      <c r="K2119">
        <v>91.3</v>
      </c>
      <c r="L2119" t="s">
        <v>5922</v>
      </c>
      <c r="M2119">
        <v>97.82</v>
      </c>
      <c r="N2119">
        <v>91.3</v>
      </c>
      <c r="O2119">
        <v>73.040000000000006</v>
      </c>
      <c r="P2119">
        <v>82.6</v>
      </c>
      <c r="Q2119">
        <v>91.3</v>
      </c>
      <c r="R2119">
        <v>78.260000000000005</v>
      </c>
      <c r="S2119">
        <v>97.82</v>
      </c>
      <c r="T2119">
        <v>78.260000000000005</v>
      </c>
      <c r="U2119">
        <v>84.78</v>
      </c>
      <c r="V2119">
        <v>97.82</v>
      </c>
      <c r="W2119">
        <v>97.82</v>
      </c>
      <c r="X2119">
        <v>112.17</v>
      </c>
      <c r="Y2119">
        <v>149.99</v>
      </c>
      <c r="Z2119" t="s">
        <v>5922</v>
      </c>
    </row>
    <row r="2120" spans="1:26" x14ac:dyDescent="0.2">
      <c r="A2120" t="s">
        <v>3929</v>
      </c>
      <c r="B2120" t="s">
        <v>3944</v>
      </c>
      <c r="C2120" t="s">
        <v>5767</v>
      </c>
      <c r="D2120" t="s">
        <v>105</v>
      </c>
      <c r="E2120">
        <v>179.99</v>
      </c>
      <c r="F2120" t="s">
        <v>7024</v>
      </c>
      <c r="H2120">
        <v>109.56</v>
      </c>
      <c r="I2120">
        <v>125.21</v>
      </c>
      <c r="J2120">
        <v>140.86000000000001</v>
      </c>
      <c r="K2120">
        <v>109.56</v>
      </c>
      <c r="L2120" t="s">
        <v>5922</v>
      </c>
      <c r="M2120">
        <v>117.38</v>
      </c>
      <c r="N2120">
        <v>117.38</v>
      </c>
      <c r="O2120">
        <v>93.91</v>
      </c>
      <c r="P2120">
        <v>105.74</v>
      </c>
      <c r="Q2120">
        <v>101.73</v>
      </c>
      <c r="R2120">
        <v>93.91</v>
      </c>
      <c r="S2120">
        <v>117.38</v>
      </c>
      <c r="U2120">
        <v>117.38</v>
      </c>
      <c r="W2120">
        <v>117.38</v>
      </c>
      <c r="X2120">
        <v>134.6</v>
      </c>
      <c r="Y2120">
        <v>179.99</v>
      </c>
      <c r="Z2120" t="s">
        <v>5922</v>
      </c>
    </row>
    <row r="2121" spans="1:26" x14ac:dyDescent="0.2">
      <c r="A2121" t="s">
        <v>3929</v>
      </c>
      <c r="B2121" t="s">
        <v>3946</v>
      </c>
      <c r="C2121" t="s">
        <v>3947</v>
      </c>
      <c r="D2121" t="s">
        <v>138</v>
      </c>
      <c r="E2121">
        <v>269.99</v>
      </c>
      <c r="F2121" t="s">
        <v>7287</v>
      </c>
      <c r="G2121">
        <v>269.99</v>
      </c>
      <c r="H2121">
        <v>164.34</v>
      </c>
      <c r="I2121">
        <v>187.82</v>
      </c>
      <c r="J2121">
        <v>211.3</v>
      </c>
      <c r="K2121">
        <v>164.34</v>
      </c>
      <c r="L2121" t="s">
        <v>5922</v>
      </c>
      <c r="M2121">
        <v>164.34</v>
      </c>
      <c r="N2121">
        <v>176.08</v>
      </c>
      <c r="P2121">
        <v>154.94999999999999</v>
      </c>
      <c r="Q2121">
        <v>152.6</v>
      </c>
      <c r="R2121">
        <v>140.86000000000001</v>
      </c>
      <c r="S2121">
        <v>187.82</v>
      </c>
      <c r="U2121">
        <v>164.34</v>
      </c>
      <c r="V2121">
        <v>176.08</v>
      </c>
      <c r="W2121">
        <v>176.08</v>
      </c>
      <c r="X2121">
        <v>201.91</v>
      </c>
      <c r="Y2121">
        <v>269.99</v>
      </c>
      <c r="Z2121" t="s">
        <v>5922</v>
      </c>
    </row>
    <row r="2122" spans="1:26" x14ac:dyDescent="0.2">
      <c r="A2122" t="s">
        <v>3929</v>
      </c>
      <c r="B2122" t="s">
        <v>3948</v>
      </c>
      <c r="C2122" t="s">
        <v>3949</v>
      </c>
      <c r="D2122" t="s">
        <v>105</v>
      </c>
      <c r="E2122">
        <v>279.99</v>
      </c>
      <c r="F2122" t="s">
        <v>7213</v>
      </c>
      <c r="H2122">
        <v>170.43</v>
      </c>
      <c r="I2122">
        <v>194.78</v>
      </c>
      <c r="J2122">
        <v>219.12</v>
      </c>
      <c r="K2122">
        <v>170.43</v>
      </c>
      <c r="L2122" t="s">
        <v>5922</v>
      </c>
      <c r="M2122">
        <v>182.6</v>
      </c>
      <c r="N2122">
        <v>182.6</v>
      </c>
      <c r="O2122">
        <v>146.08000000000001</v>
      </c>
      <c r="P2122">
        <v>164.49</v>
      </c>
      <c r="Q2122">
        <v>158.26</v>
      </c>
      <c r="R2122">
        <v>146.08000000000001</v>
      </c>
      <c r="S2122">
        <v>182.6</v>
      </c>
      <c r="U2122">
        <v>182.6</v>
      </c>
      <c r="W2122">
        <v>195.65</v>
      </c>
      <c r="X2122">
        <v>209.38</v>
      </c>
      <c r="Y2122">
        <v>279.99</v>
      </c>
      <c r="Z2122" t="s">
        <v>5922</v>
      </c>
    </row>
    <row r="2123" spans="1:26" x14ac:dyDescent="0.2">
      <c r="A2123" t="s">
        <v>3929</v>
      </c>
      <c r="B2123" t="s">
        <v>3950</v>
      </c>
      <c r="C2123" t="s">
        <v>3951</v>
      </c>
      <c r="D2123" t="s">
        <v>105</v>
      </c>
      <c r="E2123">
        <v>119.99</v>
      </c>
      <c r="F2123" t="s">
        <v>6905</v>
      </c>
      <c r="H2123">
        <v>73.040000000000006</v>
      </c>
      <c r="I2123">
        <v>83.47</v>
      </c>
      <c r="J2123">
        <v>93.91</v>
      </c>
      <c r="K2123">
        <v>73.040000000000006</v>
      </c>
      <c r="L2123" t="s">
        <v>5922</v>
      </c>
      <c r="M2123">
        <v>73.040000000000006</v>
      </c>
      <c r="N2123">
        <v>73.040000000000006</v>
      </c>
      <c r="O2123">
        <v>62.6</v>
      </c>
      <c r="P2123">
        <v>66.08</v>
      </c>
      <c r="Q2123">
        <v>62.6</v>
      </c>
      <c r="R2123">
        <v>57.39</v>
      </c>
      <c r="S2123">
        <v>73.040000000000006</v>
      </c>
      <c r="U2123">
        <v>67.819999999999993</v>
      </c>
      <c r="W2123">
        <v>78.25</v>
      </c>
      <c r="X2123">
        <v>89.73</v>
      </c>
      <c r="Y2123">
        <v>119.99</v>
      </c>
      <c r="Z2123" t="s">
        <v>5922</v>
      </c>
    </row>
    <row r="2124" spans="1:26" x14ac:dyDescent="0.2">
      <c r="A2124" t="s">
        <v>3929</v>
      </c>
      <c r="B2124" t="s">
        <v>3952</v>
      </c>
      <c r="C2124" t="s">
        <v>3953</v>
      </c>
      <c r="D2124" t="s">
        <v>105</v>
      </c>
      <c r="E2124">
        <v>99.99</v>
      </c>
      <c r="F2124" t="s">
        <v>6903</v>
      </c>
      <c r="H2124">
        <v>60.86</v>
      </c>
      <c r="I2124">
        <v>69.56</v>
      </c>
      <c r="J2124">
        <v>78.25</v>
      </c>
      <c r="K2124">
        <v>60.86</v>
      </c>
      <c r="L2124" t="s">
        <v>5922</v>
      </c>
      <c r="M2124">
        <v>65.209999999999994</v>
      </c>
      <c r="N2124">
        <v>60.86</v>
      </c>
      <c r="O2124">
        <v>52.17</v>
      </c>
      <c r="P2124">
        <v>55.07</v>
      </c>
      <c r="Q2124">
        <v>52.17</v>
      </c>
      <c r="R2124">
        <v>47.82</v>
      </c>
      <c r="S2124">
        <v>60.86</v>
      </c>
      <c r="U2124">
        <v>60.86</v>
      </c>
      <c r="W2124">
        <v>65.209999999999994</v>
      </c>
      <c r="X2124">
        <v>74.78</v>
      </c>
      <c r="Y2124">
        <v>99.99</v>
      </c>
      <c r="Z2124" t="s">
        <v>5922</v>
      </c>
    </row>
    <row r="2125" spans="1:26" x14ac:dyDescent="0.2">
      <c r="A2125" t="s">
        <v>3929</v>
      </c>
      <c r="B2125" t="s">
        <v>3954</v>
      </c>
      <c r="C2125" t="s">
        <v>3955</v>
      </c>
      <c r="D2125" t="s">
        <v>138</v>
      </c>
      <c r="E2125">
        <v>64.989999999999995</v>
      </c>
      <c r="F2125" t="s">
        <v>7028</v>
      </c>
      <c r="G2125">
        <v>64.989999999999995</v>
      </c>
      <c r="H2125">
        <v>39.56</v>
      </c>
      <c r="I2125">
        <v>45.21</v>
      </c>
      <c r="J2125">
        <v>50.86</v>
      </c>
      <c r="K2125">
        <v>39.56</v>
      </c>
      <c r="L2125" t="s">
        <v>5922</v>
      </c>
      <c r="M2125">
        <v>42.38</v>
      </c>
      <c r="N2125">
        <v>39.56</v>
      </c>
      <c r="O2125">
        <v>26.08</v>
      </c>
      <c r="P2125">
        <v>35.79</v>
      </c>
      <c r="Q2125">
        <v>33.909999999999997</v>
      </c>
      <c r="R2125">
        <v>31.08</v>
      </c>
      <c r="S2125">
        <v>42.38</v>
      </c>
      <c r="T2125">
        <v>33.909999999999997</v>
      </c>
      <c r="U2125">
        <v>39.56</v>
      </c>
      <c r="V2125">
        <v>42.38</v>
      </c>
      <c r="W2125">
        <v>42.38</v>
      </c>
      <c r="X2125">
        <v>48.6</v>
      </c>
      <c r="Y2125">
        <v>64.989999999999995</v>
      </c>
      <c r="Z2125" t="s">
        <v>5922</v>
      </c>
    </row>
    <row r="2126" spans="1:26" x14ac:dyDescent="0.2">
      <c r="A2126" t="s">
        <v>3929</v>
      </c>
      <c r="B2126" t="s">
        <v>3956</v>
      </c>
      <c r="C2126" t="s">
        <v>3957</v>
      </c>
      <c r="D2126" t="s">
        <v>105</v>
      </c>
      <c r="E2126">
        <v>129.99</v>
      </c>
      <c r="F2126" t="s">
        <v>7023</v>
      </c>
      <c r="H2126">
        <v>79.12</v>
      </c>
      <c r="I2126">
        <v>90.43</v>
      </c>
      <c r="J2126">
        <v>101.73</v>
      </c>
      <c r="K2126">
        <v>79.12</v>
      </c>
      <c r="L2126" t="s">
        <v>5922</v>
      </c>
      <c r="M2126">
        <v>79.12</v>
      </c>
      <c r="N2126">
        <v>79.12</v>
      </c>
      <c r="O2126">
        <v>67.819999999999993</v>
      </c>
      <c r="P2126">
        <v>71.59</v>
      </c>
      <c r="Q2126">
        <v>67.819999999999993</v>
      </c>
      <c r="R2126">
        <v>62.17</v>
      </c>
      <c r="S2126">
        <v>79.12</v>
      </c>
      <c r="U2126">
        <v>73.47</v>
      </c>
      <c r="W2126">
        <v>84.78</v>
      </c>
      <c r="X2126">
        <v>97.21</v>
      </c>
      <c r="Y2126">
        <v>129.99</v>
      </c>
      <c r="Z2126" t="s">
        <v>5922</v>
      </c>
    </row>
    <row r="2127" spans="1:26" x14ac:dyDescent="0.2">
      <c r="A2127" t="s">
        <v>3929</v>
      </c>
      <c r="B2127" t="s">
        <v>3958</v>
      </c>
      <c r="C2127" t="s">
        <v>3959</v>
      </c>
      <c r="D2127" t="s">
        <v>105</v>
      </c>
      <c r="E2127">
        <v>149.99</v>
      </c>
      <c r="F2127" t="s">
        <v>7022</v>
      </c>
      <c r="H2127">
        <v>91.3</v>
      </c>
      <c r="I2127">
        <v>104.34</v>
      </c>
      <c r="J2127">
        <v>117.38</v>
      </c>
      <c r="K2127">
        <v>91.3</v>
      </c>
      <c r="L2127" t="s">
        <v>5922</v>
      </c>
      <c r="M2127">
        <v>91.3</v>
      </c>
      <c r="N2127">
        <v>91.3</v>
      </c>
      <c r="O2127">
        <v>78.260000000000005</v>
      </c>
      <c r="P2127">
        <v>82.6</v>
      </c>
      <c r="Q2127">
        <v>78.260000000000005</v>
      </c>
      <c r="R2127">
        <v>71.73</v>
      </c>
      <c r="S2127">
        <v>91.3</v>
      </c>
      <c r="U2127">
        <v>84.78</v>
      </c>
      <c r="W2127">
        <v>97.82</v>
      </c>
      <c r="X2127">
        <v>112.17</v>
      </c>
      <c r="Y2127">
        <v>149.99</v>
      </c>
      <c r="Z2127" t="s">
        <v>5922</v>
      </c>
    </row>
    <row r="2128" spans="1:26" x14ac:dyDescent="0.2">
      <c r="A2128" t="s">
        <v>3929</v>
      </c>
      <c r="B2128" t="s">
        <v>3960</v>
      </c>
      <c r="C2128" t="s">
        <v>3961</v>
      </c>
      <c r="D2128" t="s">
        <v>105</v>
      </c>
      <c r="E2128">
        <v>64.989999999999995</v>
      </c>
      <c r="F2128" t="s">
        <v>7028</v>
      </c>
      <c r="G2128">
        <v>64.989999999999995</v>
      </c>
      <c r="H2128">
        <v>39.56</v>
      </c>
      <c r="I2128">
        <v>45.21</v>
      </c>
      <c r="J2128">
        <v>50.86</v>
      </c>
      <c r="K2128">
        <v>42.38</v>
      </c>
      <c r="L2128" t="s">
        <v>5922</v>
      </c>
      <c r="M2128">
        <v>42.38</v>
      </c>
      <c r="N2128">
        <v>39.56</v>
      </c>
      <c r="O2128">
        <v>31.3</v>
      </c>
      <c r="P2128">
        <v>35.79</v>
      </c>
      <c r="Q2128">
        <v>33.909999999999997</v>
      </c>
      <c r="R2128">
        <v>31.08</v>
      </c>
      <c r="S2128">
        <v>40.369999999999997</v>
      </c>
      <c r="T2128">
        <v>33.909999999999997</v>
      </c>
      <c r="U2128">
        <v>39.56</v>
      </c>
      <c r="V2128">
        <v>42.38</v>
      </c>
      <c r="W2128">
        <v>42.38</v>
      </c>
      <c r="X2128">
        <v>48.6</v>
      </c>
      <c r="Y2128">
        <v>64.989999999999995</v>
      </c>
      <c r="Z2128" t="s">
        <v>5922</v>
      </c>
    </row>
    <row r="2129" spans="1:26" x14ac:dyDescent="0.2">
      <c r="A2129" t="s">
        <v>3929</v>
      </c>
      <c r="B2129" t="s">
        <v>3962</v>
      </c>
      <c r="C2129" t="s">
        <v>3963</v>
      </c>
      <c r="D2129" t="s">
        <v>138</v>
      </c>
      <c r="E2129">
        <v>64.989999999999995</v>
      </c>
      <c r="F2129" t="s">
        <v>7028</v>
      </c>
      <c r="G2129">
        <v>64.989999999999995</v>
      </c>
      <c r="H2129">
        <v>39.56</v>
      </c>
      <c r="I2129">
        <v>45.21</v>
      </c>
      <c r="J2129">
        <v>50.86</v>
      </c>
      <c r="K2129">
        <v>39.56</v>
      </c>
      <c r="L2129" t="s">
        <v>5922</v>
      </c>
      <c r="M2129">
        <v>42.38</v>
      </c>
      <c r="N2129">
        <v>39.56</v>
      </c>
      <c r="P2129">
        <v>35.04</v>
      </c>
      <c r="Q2129">
        <v>32.78</v>
      </c>
      <c r="R2129">
        <v>31.08</v>
      </c>
      <c r="S2129">
        <v>42.38</v>
      </c>
      <c r="T2129">
        <v>33.909999999999997</v>
      </c>
      <c r="U2129">
        <v>39.56</v>
      </c>
      <c r="V2129">
        <v>42.38</v>
      </c>
      <c r="W2129">
        <v>42.38</v>
      </c>
      <c r="X2129">
        <v>48.6</v>
      </c>
      <c r="Y2129">
        <v>64.989999999999995</v>
      </c>
      <c r="Z2129" t="s">
        <v>5922</v>
      </c>
    </row>
    <row r="2130" spans="1:26" x14ac:dyDescent="0.2">
      <c r="A2130" t="s">
        <v>3929</v>
      </c>
      <c r="B2130" t="s">
        <v>3964</v>
      </c>
      <c r="C2130" t="s">
        <v>3965</v>
      </c>
      <c r="D2130" t="s">
        <v>138</v>
      </c>
      <c r="E2130">
        <v>64.989999999999995</v>
      </c>
      <c r="F2130" t="s">
        <v>5922</v>
      </c>
      <c r="G2130">
        <v>64.989999999999995</v>
      </c>
      <c r="H2130">
        <v>32.78</v>
      </c>
      <c r="I2130">
        <v>45.21</v>
      </c>
      <c r="J2130">
        <v>50.86</v>
      </c>
      <c r="K2130">
        <v>45.21</v>
      </c>
      <c r="L2130" t="s">
        <v>5922</v>
      </c>
      <c r="M2130">
        <v>42.38</v>
      </c>
      <c r="N2130">
        <v>39.56</v>
      </c>
      <c r="O2130">
        <v>31.3</v>
      </c>
      <c r="P2130">
        <v>35.79</v>
      </c>
      <c r="Q2130">
        <v>33.909999999999997</v>
      </c>
      <c r="R2130">
        <v>33.909999999999997</v>
      </c>
      <c r="S2130">
        <v>42.38</v>
      </c>
      <c r="T2130">
        <v>33.909999999999997</v>
      </c>
      <c r="U2130">
        <v>42.38</v>
      </c>
      <c r="V2130">
        <v>45.21</v>
      </c>
      <c r="W2130">
        <v>45.21</v>
      </c>
      <c r="X2130">
        <v>48.6</v>
      </c>
      <c r="Y2130">
        <v>64.989999999999995</v>
      </c>
      <c r="Z2130" t="s">
        <v>5922</v>
      </c>
    </row>
    <row r="2131" spans="1:26" x14ac:dyDescent="0.2">
      <c r="A2131" t="s">
        <v>3929</v>
      </c>
      <c r="B2131" t="s">
        <v>3968</v>
      </c>
      <c r="C2131" t="s">
        <v>3969</v>
      </c>
      <c r="D2131" t="s">
        <v>138</v>
      </c>
      <c r="E2131">
        <v>184.99</v>
      </c>
      <c r="F2131" t="s">
        <v>5922</v>
      </c>
      <c r="G2131">
        <v>184.99</v>
      </c>
      <c r="H2131">
        <v>112.6</v>
      </c>
      <c r="I2131">
        <v>128.69</v>
      </c>
      <c r="J2131">
        <v>144.77000000000001</v>
      </c>
      <c r="K2131">
        <v>112.6</v>
      </c>
      <c r="L2131" t="s">
        <v>5922</v>
      </c>
      <c r="M2131">
        <v>120.65</v>
      </c>
      <c r="N2131">
        <v>112.6</v>
      </c>
      <c r="O2131">
        <v>88.69</v>
      </c>
      <c r="P2131">
        <v>101.88</v>
      </c>
      <c r="Q2131">
        <v>96.52</v>
      </c>
      <c r="R2131">
        <v>96.52</v>
      </c>
      <c r="S2131">
        <v>120.65</v>
      </c>
      <c r="T2131">
        <v>96.52</v>
      </c>
      <c r="U2131">
        <v>96.52</v>
      </c>
      <c r="V2131">
        <v>120.65</v>
      </c>
      <c r="W2131">
        <v>120.65</v>
      </c>
      <c r="X2131">
        <v>138.34</v>
      </c>
      <c r="Y2131">
        <v>184.99</v>
      </c>
      <c r="Z2131" t="s">
        <v>5922</v>
      </c>
    </row>
    <row r="2132" spans="1:26" x14ac:dyDescent="0.2">
      <c r="A2132" t="s">
        <v>3929</v>
      </c>
      <c r="B2132" t="s">
        <v>3972</v>
      </c>
      <c r="C2132" t="s">
        <v>3973</v>
      </c>
      <c r="D2132" t="s">
        <v>98</v>
      </c>
      <c r="E2132">
        <v>129.99</v>
      </c>
      <c r="F2132" t="s">
        <v>5922</v>
      </c>
      <c r="G2132">
        <v>129.99</v>
      </c>
      <c r="H2132">
        <v>65.56</v>
      </c>
      <c r="I2132">
        <v>84.78</v>
      </c>
      <c r="J2132">
        <v>90.43</v>
      </c>
      <c r="K2132">
        <v>107.38</v>
      </c>
      <c r="L2132" t="s">
        <v>5922</v>
      </c>
      <c r="M2132">
        <v>84.78</v>
      </c>
      <c r="N2132">
        <v>79.12</v>
      </c>
      <c r="O2132">
        <v>67.819999999999993</v>
      </c>
      <c r="P2132">
        <v>67.819999999999993</v>
      </c>
      <c r="Q2132">
        <v>67.819999999999993</v>
      </c>
      <c r="R2132">
        <v>67.819999999999993</v>
      </c>
      <c r="S2132">
        <v>84.78</v>
      </c>
      <c r="T2132">
        <v>67.819999999999993</v>
      </c>
      <c r="U2132">
        <v>67.819999999999993</v>
      </c>
      <c r="V2132">
        <v>84.78</v>
      </c>
      <c r="W2132">
        <v>84.78</v>
      </c>
      <c r="X2132">
        <v>97.21</v>
      </c>
      <c r="Y2132">
        <v>129.99</v>
      </c>
      <c r="Z2132" t="s">
        <v>5922</v>
      </c>
    </row>
    <row r="2133" spans="1:26" x14ac:dyDescent="0.2">
      <c r="A2133" t="s">
        <v>3929</v>
      </c>
      <c r="B2133" t="s">
        <v>3974</v>
      </c>
      <c r="C2133" t="s">
        <v>3975</v>
      </c>
      <c r="D2133" t="s">
        <v>138</v>
      </c>
      <c r="E2133">
        <v>199.99</v>
      </c>
      <c r="F2133" t="s">
        <v>6916</v>
      </c>
      <c r="G2133">
        <v>199.99</v>
      </c>
      <c r="H2133">
        <v>121.73</v>
      </c>
      <c r="I2133">
        <v>139.12</v>
      </c>
      <c r="J2133">
        <v>156.51</v>
      </c>
      <c r="K2133">
        <v>121.73</v>
      </c>
      <c r="L2133" t="s">
        <v>5922</v>
      </c>
      <c r="M2133">
        <v>130.43</v>
      </c>
      <c r="N2133">
        <v>121.73</v>
      </c>
      <c r="O2133">
        <v>93.91</v>
      </c>
      <c r="P2133">
        <v>110.14</v>
      </c>
      <c r="Q2133">
        <v>104.34</v>
      </c>
      <c r="R2133">
        <v>104.34</v>
      </c>
      <c r="S2133">
        <v>130.43</v>
      </c>
      <c r="T2133">
        <v>104.34</v>
      </c>
      <c r="U2133">
        <v>104.34</v>
      </c>
      <c r="V2133">
        <v>130.43</v>
      </c>
      <c r="W2133">
        <v>130.43</v>
      </c>
      <c r="X2133">
        <v>149.56</v>
      </c>
      <c r="Y2133">
        <v>199.99</v>
      </c>
      <c r="Z2133" t="s">
        <v>5922</v>
      </c>
    </row>
    <row r="2134" spans="1:26" x14ac:dyDescent="0.2">
      <c r="A2134" t="s">
        <v>3929</v>
      </c>
      <c r="B2134" t="s">
        <v>3976</v>
      </c>
      <c r="C2134" t="s">
        <v>3977</v>
      </c>
      <c r="D2134" t="s">
        <v>138</v>
      </c>
      <c r="E2134">
        <v>99.99</v>
      </c>
      <c r="F2134" t="s">
        <v>5922</v>
      </c>
      <c r="G2134">
        <v>99.99</v>
      </c>
      <c r="H2134">
        <v>60.86</v>
      </c>
      <c r="I2134">
        <v>69.56</v>
      </c>
      <c r="J2134">
        <v>78.25</v>
      </c>
      <c r="K2134">
        <v>60.86</v>
      </c>
      <c r="L2134" t="s">
        <v>5922</v>
      </c>
      <c r="M2134">
        <v>65.209999999999994</v>
      </c>
      <c r="N2134">
        <v>60.86</v>
      </c>
      <c r="O2134">
        <v>46.95</v>
      </c>
      <c r="P2134">
        <v>55.07</v>
      </c>
      <c r="Q2134">
        <v>52.17</v>
      </c>
      <c r="R2134">
        <v>52.17</v>
      </c>
      <c r="S2134">
        <v>65.209999999999994</v>
      </c>
      <c r="T2134">
        <v>52.17</v>
      </c>
      <c r="U2134">
        <v>56.52</v>
      </c>
      <c r="V2134">
        <v>65.209999999999994</v>
      </c>
      <c r="W2134">
        <v>65.209999999999994</v>
      </c>
      <c r="X2134">
        <v>74.78</v>
      </c>
      <c r="Y2134">
        <v>99.99</v>
      </c>
      <c r="Z2134" t="s">
        <v>5922</v>
      </c>
    </row>
    <row r="2135" spans="1:26" x14ac:dyDescent="0.2">
      <c r="A2135" t="s">
        <v>3929</v>
      </c>
      <c r="B2135" t="s">
        <v>3978</v>
      </c>
      <c r="C2135" t="s">
        <v>3979</v>
      </c>
      <c r="D2135" t="s">
        <v>105</v>
      </c>
      <c r="E2135">
        <v>24.99</v>
      </c>
      <c r="F2135" t="s">
        <v>6933</v>
      </c>
      <c r="G2135">
        <v>24.99</v>
      </c>
      <c r="H2135">
        <v>15.21</v>
      </c>
      <c r="I2135">
        <v>17.38</v>
      </c>
      <c r="J2135">
        <v>19.559999999999999</v>
      </c>
      <c r="K2135">
        <v>18.47</v>
      </c>
      <c r="L2135" t="s">
        <v>5922</v>
      </c>
      <c r="M2135">
        <v>14.12</v>
      </c>
      <c r="N2135">
        <v>15.21</v>
      </c>
      <c r="O2135">
        <v>13.04</v>
      </c>
      <c r="P2135">
        <v>13.47</v>
      </c>
      <c r="Q2135">
        <v>13.04</v>
      </c>
      <c r="R2135">
        <v>10.87</v>
      </c>
      <c r="S2135">
        <v>16.3</v>
      </c>
      <c r="T2135">
        <v>13.04</v>
      </c>
      <c r="U2135">
        <v>17.38</v>
      </c>
      <c r="V2135">
        <v>18.47</v>
      </c>
      <c r="W2135">
        <v>18.47</v>
      </c>
      <c r="X2135">
        <v>18.690000000000001</v>
      </c>
      <c r="Y2135">
        <v>24.99</v>
      </c>
      <c r="Z2135" t="s">
        <v>5922</v>
      </c>
    </row>
    <row r="2136" spans="1:26" x14ac:dyDescent="0.2">
      <c r="A2136" t="s">
        <v>3929</v>
      </c>
      <c r="B2136" t="s">
        <v>3980</v>
      </c>
      <c r="C2136" t="s">
        <v>3981</v>
      </c>
      <c r="D2136" t="s">
        <v>105</v>
      </c>
      <c r="E2136">
        <v>24.99</v>
      </c>
      <c r="F2136" t="s">
        <v>6933</v>
      </c>
      <c r="H2136">
        <v>15.21</v>
      </c>
      <c r="I2136">
        <v>17.38</v>
      </c>
      <c r="J2136">
        <v>19.559999999999999</v>
      </c>
      <c r="K2136">
        <v>18.47</v>
      </c>
      <c r="L2136" t="s">
        <v>5922</v>
      </c>
      <c r="M2136">
        <v>14.12</v>
      </c>
      <c r="N2136">
        <v>15.21</v>
      </c>
      <c r="O2136">
        <v>13.04</v>
      </c>
      <c r="P2136">
        <v>13.47</v>
      </c>
      <c r="Q2136">
        <v>13.04</v>
      </c>
      <c r="R2136">
        <v>10.87</v>
      </c>
      <c r="S2136">
        <v>14.11</v>
      </c>
      <c r="U2136">
        <v>17.38</v>
      </c>
      <c r="V2136">
        <v>18.47</v>
      </c>
      <c r="W2136">
        <v>18.47</v>
      </c>
      <c r="X2136">
        <v>18.690000000000001</v>
      </c>
      <c r="Y2136">
        <v>24.99</v>
      </c>
      <c r="Z2136" t="s">
        <v>5922</v>
      </c>
    </row>
    <row r="2137" spans="1:26" x14ac:dyDescent="0.2">
      <c r="A2137" t="s">
        <v>3929</v>
      </c>
      <c r="B2137" t="s">
        <v>3984</v>
      </c>
      <c r="C2137" t="s">
        <v>3985</v>
      </c>
      <c r="D2137" t="s">
        <v>98</v>
      </c>
      <c r="E2137">
        <v>84.99</v>
      </c>
      <c r="F2137" t="s">
        <v>5922</v>
      </c>
      <c r="G2137">
        <v>84.99</v>
      </c>
      <c r="H2137">
        <v>42.86</v>
      </c>
      <c r="I2137">
        <v>55.43</v>
      </c>
      <c r="J2137">
        <v>55.65</v>
      </c>
      <c r="K2137">
        <v>66.08</v>
      </c>
      <c r="L2137" t="s">
        <v>5922</v>
      </c>
      <c r="M2137">
        <v>55.43</v>
      </c>
      <c r="N2137">
        <v>51.73</v>
      </c>
      <c r="O2137">
        <v>41.73</v>
      </c>
      <c r="P2137">
        <v>44.34</v>
      </c>
      <c r="Q2137">
        <v>44.34</v>
      </c>
      <c r="R2137">
        <v>44.34</v>
      </c>
      <c r="S2137">
        <v>55.43</v>
      </c>
      <c r="T2137">
        <v>44.34</v>
      </c>
      <c r="U2137">
        <v>48.69</v>
      </c>
      <c r="V2137">
        <v>55.43</v>
      </c>
      <c r="W2137">
        <v>55.43</v>
      </c>
      <c r="X2137">
        <v>63.56</v>
      </c>
      <c r="Y2137">
        <v>84.99</v>
      </c>
      <c r="Z2137" t="s">
        <v>5922</v>
      </c>
    </row>
    <row r="2138" spans="1:26" x14ac:dyDescent="0.2">
      <c r="A2138" t="s">
        <v>3929</v>
      </c>
      <c r="B2138" t="s">
        <v>3986</v>
      </c>
      <c r="C2138" t="s">
        <v>3987</v>
      </c>
      <c r="D2138" t="s">
        <v>98</v>
      </c>
      <c r="E2138">
        <v>84.99</v>
      </c>
      <c r="F2138" t="s">
        <v>5922</v>
      </c>
      <c r="G2138">
        <v>84.99</v>
      </c>
      <c r="H2138">
        <v>42.86</v>
      </c>
      <c r="I2138">
        <v>55.43</v>
      </c>
      <c r="J2138">
        <v>55.65</v>
      </c>
      <c r="K2138">
        <v>66.08</v>
      </c>
      <c r="L2138" t="s">
        <v>5922</v>
      </c>
      <c r="M2138">
        <v>55.43</v>
      </c>
      <c r="N2138">
        <v>51.73</v>
      </c>
      <c r="O2138">
        <v>41.73</v>
      </c>
      <c r="P2138">
        <v>44.34</v>
      </c>
      <c r="Q2138">
        <v>44.34</v>
      </c>
      <c r="R2138">
        <v>47.82</v>
      </c>
      <c r="S2138">
        <v>55.43</v>
      </c>
      <c r="T2138">
        <v>44.34</v>
      </c>
      <c r="U2138">
        <v>48.69</v>
      </c>
      <c r="V2138">
        <v>55.43</v>
      </c>
      <c r="W2138">
        <v>55.43</v>
      </c>
      <c r="X2138">
        <v>63.56</v>
      </c>
      <c r="Y2138">
        <v>84.99</v>
      </c>
      <c r="Z2138" t="s">
        <v>5922</v>
      </c>
    </row>
    <row r="2139" spans="1:26" x14ac:dyDescent="0.2">
      <c r="A2139" t="s">
        <v>3929</v>
      </c>
      <c r="B2139" t="s">
        <v>3988</v>
      </c>
      <c r="C2139" t="s">
        <v>3989</v>
      </c>
      <c r="D2139" t="s">
        <v>105</v>
      </c>
      <c r="E2139">
        <v>59.99</v>
      </c>
      <c r="F2139" t="s">
        <v>6889</v>
      </c>
      <c r="G2139">
        <v>59.99</v>
      </c>
      <c r="H2139">
        <v>36.520000000000003</v>
      </c>
      <c r="I2139">
        <v>41.73</v>
      </c>
      <c r="J2139">
        <v>46.95</v>
      </c>
      <c r="K2139">
        <v>39.119999999999997</v>
      </c>
      <c r="L2139" t="s">
        <v>5922</v>
      </c>
      <c r="M2139">
        <v>39.119999999999997</v>
      </c>
      <c r="N2139">
        <v>36.520000000000003</v>
      </c>
      <c r="O2139">
        <v>28.69</v>
      </c>
      <c r="P2139">
        <v>33.04</v>
      </c>
      <c r="Q2139">
        <v>31.3</v>
      </c>
      <c r="R2139">
        <v>31.3</v>
      </c>
      <c r="S2139">
        <v>39.119999999999997</v>
      </c>
      <c r="T2139">
        <v>31.3</v>
      </c>
      <c r="U2139">
        <v>33.909999999999997</v>
      </c>
      <c r="V2139">
        <v>39.119999999999997</v>
      </c>
      <c r="W2139">
        <v>39.119999999999997</v>
      </c>
      <c r="X2139">
        <v>44.86</v>
      </c>
      <c r="Y2139">
        <v>59.99</v>
      </c>
      <c r="Z2139" t="s">
        <v>5922</v>
      </c>
    </row>
    <row r="2140" spans="1:26" x14ac:dyDescent="0.2">
      <c r="A2140" t="s">
        <v>3929</v>
      </c>
      <c r="B2140" t="s">
        <v>3990</v>
      </c>
      <c r="C2140" t="s">
        <v>3991</v>
      </c>
      <c r="D2140" t="s">
        <v>105</v>
      </c>
      <c r="E2140">
        <v>129.99</v>
      </c>
      <c r="F2140" t="s">
        <v>7023</v>
      </c>
      <c r="G2140">
        <v>129.99</v>
      </c>
      <c r="H2140">
        <v>79.12</v>
      </c>
      <c r="I2140">
        <v>90.43</v>
      </c>
      <c r="J2140">
        <v>101.73</v>
      </c>
      <c r="K2140">
        <v>79.12</v>
      </c>
      <c r="L2140" t="s">
        <v>5922</v>
      </c>
      <c r="M2140">
        <v>79.12</v>
      </c>
      <c r="N2140">
        <v>79.12</v>
      </c>
      <c r="O2140">
        <v>62.6</v>
      </c>
      <c r="P2140">
        <v>71.59</v>
      </c>
      <c r="Q2140">
        <v>67.819999999999993</v>
      </c>
      <c r="R2140">
        <v>62.17</v>
      </c>
      <c r="S2140">
        <v>80.739999999999995</v>
      </c>
      <c r="T2140">
        <v>67.819999999999993</v>
      </c>
      <c r="U2140">
        <v>79.12</v>
      </c>
      <c r="V2140">
        <v>84.78</v>
      </c>
      <c r="W2140">
        <v>84.78</v>
      </c>
      <c r="X2140">
        <v>97.21</v>
      </c>
      <c r="Y2140">
        <v>129.99</v>
      </c>
      <c r="Z2140" t="s">
        <v>5922</v>
      </c>
    </row>
    <row r="2141" spans="1:26" x14ac:dyDescent="0.2">
      <c r="A2141" t="s">
        <v>3929</v>
      </c>
      <c r="B2141" t="s">
        <v>4000</v>
      </c>
      <c r="C2141" t="s">
        <v>4001</v>
      </c>
      <c r="D2141" t="s">
        <v>138</v>
      </c>
      <c r="E2141">
        <v>59.99</v>
      </c>
      <c r="F2141" t="s">
        <v>5922</v>
      </c>
      <c r="H2141">
        <v>39.119999999999997</v>
      </c>
      <c r="I2141">
        <v>44.34</v>
      </c>
      <c r="J2141">
        <v>46.95</v>
      </c>
      <c r="K2141">
        <v>44.34</v>
      </c>
      <c r="L2141" t="s">
        <v>5922</v>
      </c>
      <c r="M2141">
        <v>41.73</v>
      </c>
      <c r="O2141">
        <v>33.909999999999997</v>
      </c>
      <c r="P2141">
        <v>34.770000000000003</v>
      </c>
      <c r="Q2141">
        <v>36.520000000000003</v>
      </c>
      <c r="R2141">
        <v>31.3</v>
      </c>
      <c r="S2141">
        <v>43.04</v>
      </c>
      <c r="U2141">
        <v>44.34</v>
      </c>
      <c r="W2141">
        <v>46.95</v>
      </c>
      <c r="X2141">
        <v>41.73</v>
      </c>
      <c r="Y2141">
        <v>59.99</v>
      </c>
      <c r="Z2141" t="s">
        <v>5922</v>
      </c>
    </row>
    <row r="2142" spans="1:26" x14ac:dyDescent="0.2">
      <c r="A2142" t="s">
        <v>3929</v>
      </c>
      <c r="B2142" t="s">
        <v>4002</v>
      </c>
      <c r="C2142" t="s">
        <v>4003</v>
      </c>
      <c r="D2142" t="s">
        <v>98</v>
      </c>
      <c r="E2142">
        <v>59.99</v>
      </c>
      <c r="F2142" t="s">
        <v>5922</v>
      </c>
      <c r="G2142">
        <v>59.99</v>
      </c>
      <c r="H2142">
        <v>30.26</v>
      </c>
      <c r="I2142">
        <v>36.520000000000003</v>
      </c>
      <c r="J2142">
        <v>41.73</v>
      </c>
      <c r="K2142">
        <v>49.56</v>
      </c>
      <c r="L2142" t="s">
        <v>5922</v>
      </c>
      <c r="M2142">
        <v>39.119999999999997</v>
      </c>
      <c r="N2142">
        <v>36.520000000000003</v>
      </c>
      <c r="O2142">
        <v>31.3</v>
      </c>
      <c r="P2142">
        <v>31.3</v>
      </c>
      <c r="Q2142">
        <v>31.3</v>
      </c>
      <c r="R2142">
        <v>31.3</v>
      </c>
      <c r="S2142">
        <v>39.119999999999997</v>
      </c>
      <c r="T2142">
        <v>31.3</v>
      </c>
      <c r="U2142">
        <v>31.3</v>
      </c>
      <c r="V2142">
        <v>36.520000000000003</v>
      </c>
      <c r="W2142">
        <v>39.119999999999997</v>
      </c>
      <c r="X2142">
        <v>44.86</v>
      </c>
      <c r="Y2142">
        <v>59.99</v>
      </c>
      <c r="Z2142" t="s">
        <v>5922</v>
      </c>
    </row>
    <row r="2143" spans="1:26" x14ac:dyDescent="0.2">
      <c r="A2143" t="s">
        <v>3929</v>
      </c>
      <c r="B2143" t="s">
        <v>4004</v>
      </c>
      <c r="C2143" t="s">
        <v>4005</v>
      </c>
      <c r="D2143" t="s">
        <v>105</v>
      </c>
      <c r="E2143">
        <v>64.989999999999995</v>
      </c>
      <c r="F2143" t="s">
        <v>7028</v>
      </c>
      <c r="G2143">
        <v>64.989999999999995</v>
      </c>
      <c r="H2143">
        <v>39.56</v>
      </c>
      <c r="I2143">
        <v>45.21</v>
      </c>
      <c r="J2143">
        <v>50.86</v>
      </c>
      <c r="K2143">
        <v>42.38</v>
      </c>
      <c r="L2143" t="s">
        <v>5922</v>
      </c>
      <c r="M2143">
        <v>42.38</v>
      </c>
      <c r="N2143">
        <v>39.56</v>
      </c>
      <c r="O2143">
        <v>31.3</v>
      </c>
      <c r="P2143">
        <v>35.79</v>
      </c>
      <c r="Q2143">
        <v>39.56</v>
      </c>
      <c r="R2143">
        <v>33.909999999999997</v>
      </c>
      <c r="S2143">
        <v>42.38</v>
      </c>
      <c r="T2143">
        <v>33.909999999999997</v>
      </c>
      <c r="U2143">
        <v>39.56</v>
      </c>
      <c r="V2143">
        <v>42.38</v>
      </c>
      <c r="W2143">
        <v>42.38</v>
      </c>
      <c r="X2143">
        <v>48.6</v>
      </c>
      <c r="Y2143">
        <v>64.989999999999995</v>
      </c>
      <c r="Z2143" t="s">
        <v>5922</v>
      </c>
    </row>
    <row r="2144" spans="1:26" x14ac:dyDescent="0.2">
      <c r="A2144" t="s">
        <v>3929</v>
      </c>
      <c r="B2144" t="s">
        <v>4006</v>
      </c>
      <c r="C2144" t="s">
        <v>4007</v>
      </c>
      <c r="D2144" t="s">
        <v>105</v>
      </c>
      <c r="E2144">
        <v>64.989999999999995</v>
      </c>
      <c r="F2144" t="s">
        <v>7028</v>
      </c>
      <c r="G2144">
        <v>64.989999999999995</v>
      </c>
      <c r="H2144">
        <v>39.56</v>
      </c>
      <c r="I2144">
        <v>45.21</v>
      </c>
      <c r="J2144">
        <v>50.86</v>
      </c>
      <c r="K2144">
        <v>42.38</v>
      </c>
      <c r="L2144" t="s">
        <v>5922</v>
      </c>
      <c r="M2144">
        <v>42.38</v>
      </c>
      <c r="N2144">
        <v>39.56</v>
      </c>
      <c r="O2144">
        <v>31.3</v>
      </c>
      <c r="P2144">
        <v>35.79</v>
      </c>
      <c r="Q2144">
        <v>33.909999999999997</v>
      </c>
      <c r="R2144">
        <v>33.909999999999997</v>
      </c>
      <c r="S2144">
        <v>42.38</v>
      </c>
      <c r="T2144">
        <v>33.909999999999997</v>
      </c>
      <c r="U2144">
        <v>39.56</v>
      </c>
      <c r="V2144">
        <v>42.38</v>
      </c>
      <c r="W2144">
        <v>42.38</v>
      </c>
      <c r="X2144">
        <v>48.6</v>
      </c>
      <c r="Y2144">
        <v>64.989999999999995</v>
      </c>
      <c r="Z2144" t="s">
        <v>5922</v>
      </c>
    </row>
    <row r="2145" spans="1:26" x14ac:dyDescent="0.2">
      <c r="A2145" t="s">
        <v>3929</v>
      </c>
      <c r="B2145" t="s">
        <v>4008</v>
      </c>
      <c r="C2145" t="s">
        <v>4009</v>
      </c>
      <c r="D2145" t="s">
        <v>105</v>
      </c>
      <c r="E2145">
        <v>249.99</v>
      </c>
      <c r="F2145" t="s">
        <v>7134</v>
      </c>
      <c r="H2145">
        <v>173.91</v>
      </c>
      <c r="I2145">
        <v>173.91</v>
      </c>
      <c r="J2145">
        <v>195.64</v>
      </c>
      <c r="K2145">
        <v>152.16999999999999</v>
      </c>
      <c r="L2145" t="s">
        <v>5922</v>
      </c>
      <c r="M2145">
        <v>163.04</v>
      </c>
      <c r="P2145">
        <v>137.66999999999999</v>
      </c>
      <c r="Q2145">
        <v>130.43</v>
      </c>
      <c r="R2145">
        <v>119.56</v>
      </c>
      <c r="S2145">
        <v>163.04</v>
      </c>
      <c r="U2145">
        <v>141.30000000000001</v>
      </c>
      <c r="W2145">
        <v>163.04</v>
      </c>
      <c r="X2145">
        <v>173.91</v>
      </c>
      <c r="Y2145">
        <v>219.99</v>
      </c>
      <c r="Z2145" t="s">
        <v>5922</v>
      </c>
    </row>
    <row r="2146" spans="1:26" x14ac:dyDescent="0.2">
      <c r="A2146" t="s">
        <v>3929</v>
      </c>
      <c r="B2146" t="s">
        <v>4014</v>
      </c>
      <c r="C2146" t="s">
        <v>4015</v>
      </c>
      <c r="D2146" t="s">
        <v>138</v>
      </c>
      <c r="E2146">
        <v>99.99</v>
      </c>
      <c r="F2146" t="s">
        <v>6903</v>
      </c>
      <c r="H2146">
        <v>60.86</v>
      </c>
      <c r="I2146">
        <v>69.56</v>
      </c>
      <c r="J2146">
        <v>78.25</v>
      </c>
      <c r="K2146">
        <v>60.86</v>
      </c>
      <c r="L2146" t="s">
        <v>5922</v>
      </c>
      <c r="M2146">
        <v>65.209999999999994</v>
      </c>
      <c r="P2146">
        <v>55.07</v>
      </c>
      <c r="Q2146">
        <v>52.17</v>
      </c>
      <c r="R2146">
        <v>47.82</v>
      </c>
      <c r="S2146">
        <v>65.209999999999994</v>
      </c>
      <c r="Y2146">
        <v>99.99</v>
      </c>
      <c r="Z2146" t="s">
        <v>5922</v>
      </c>
    </row>
    <row r="2147" spans="1:26" x14ac:dyDescent="0.2">
      <c r="A2147" t="s">
        <v>3929</v>
      </c>
      <c r="B2147" t="s">
        <v>4016</v>
      </c>
      <c r="C2147" t="s">
        <v>4017</v>
      </c>
      <c r="D2147" t="s">
        <v>138</v>
      </c>
      <c r="E2147">
        <v>99.99</v>
      </c>
      <c r="F2147" t="s">
        <v>6903</v>
      </c>
      <c r="H2147">
        <v>60.86</v>
      </c>
      <c r="I2147">
        <v>69.56</v>
      </c>
      <c r="J2147">
        <v>78.25</v>
      </c>
      <c r="K2147">
        <v>60.86</v>
      </c>
      <c r="L2147" t="s">
        <v>5922</v>
      </c>
      <c r="M2147">
        <v>65.209999999999994</v>
      </c>
      <c r="P2147">
        <v>55.07</v>
      </c>
      <c r="Q2147">
        <v>52.17</v>
      </c>
      <c r="R2147">
        <v>47.82</v>
      </c>
      <c r="S2147">
        <v>65.209999999999994</v>
      </c>
      <c r="Y2147">
        <v>99.99</v>
      </c>
      <c r="Z2147" t="s">
        <v>5922</v>
      </c>
    </row>
    <row r="2148" spans="1:26" x14ac:dyDescent="0.2">
      <c r="A2148" t="s">
        <v>3929</v>
      </c>
      <c r="B2148" t="s">
        <v>4018</v>
      </c>
      <c r="C2148" t="s">
        <v>4019</v>
      </c>
      <c r="D2148" t="s">
        <v>98</v>
      </c>
      <c r="E2148">
        <v>179.99</v>
      </c>
      <c r="F2148" t="s">
        <v>7024</v>
      </c>
      <c r="H2148">
        <v>117.38</v>
      </c>
      <c r="I2148">
        <v>125.21</v>
      </c>
      <c r="J2148">
        <v>140.86000000000001</v>
      </c>
      <c r="K2148">
        <v>109.56</v>
      </c>
      <c r="L2148" t="s">
        <v>5922</v>
      </c>
      <c r="M2148">
        <v>121.3</v>
      </c>
      <c r="O2148">
        <v>93.91</v>
      </c>
      <c r="P2148">
        <v>104.33</v>
      </c>
      <c r="Q2148">
        <v>101.73</v>
      </c>
      <c r="R2148">
        <v>101.73</v>
      </c>
      <c r="S2148">
        <v>125.21</v>
      </c>
      <c r="U2148">
        <v>109.56</v>
      </c>
      <c r="W2148">
        <v>117.38</v>
      </c>
      <c r="X2148">
        <v>125.21</v>
      </c>
      <c r="Y2148">
        <v>179.99</v>
      </c>
      <c r="Z2148" t="s">
        <v>5922</v>
      </c>
    </row>
    <row r="2149" spans="1:26" x14ac:dyDescent="0.2">
      <c r="A2149" t="s">
        <v>3929</v>
      </c>
      <c r="B2149" t="s">
        <v>4020</v>
      </c>
      <c r="C2149" t="s">
        <v>4021</v>
      </c>
      <c r="D2149" t="s">
        <v>98</v>
      </c>
      <c r="E2149">
        <v>179.99</v>
      </c>
      <c r="F2149" t="s">
        <v>7024</v>
      </c>
      <c r="H2149">
        <v>117.38</v>
      </c>
      <c r="I2149">
        <v>125.21</v>
      </c>
      <c r="J2149">
        <v>140.86000000000001</v>
      </c>
      <c r="K2149">
        <v>109.56</v>
      </c>
      <c r="L2149" t="s">
        <v>5922</v>
      </c>
      <c r="M2149">
        <v>121.3</v>
      </c>
      <c r="O2149">
        <v>93.91</v>
      </c>
      <c r="P2149">
        <v>104.33</v>
      </c>
      <c r="Q2149">
        <v>101.73</v>
      </c>
      <c r="R2149">
        <v>101.73</v>
      </c>
      <c r="S2149">
        <v>125.21</v>
      </c>
      <c r="U2149">
        <v>109.56</v>
      </c>
      <c r="W2149">
        <v>117.38</v>
      </c>
      <c r="X2149">
        <v>125.21</v>
      </c>
      <c r="Y2149">
        <v>179.99</v>
      </c>
      <c r="Z2149" t="s">
        <v>5922</v>
      </c>
    </row>
    <row r="2150" spans="1:26" x14ac:dyDescent="0.2">
      <c r="A2150" t="s">
        <v>3929</v>
      </c>
      <c r="B2150" t="s">
        <v>4022</v>
      </c>
      <c r="C2150" t="s">
        <v>4023</v>
      </c>
      <c r="D2150" t="s">
        <v>105</v>
      </c>
      <c r="E2150">
        <v>219.99</v>
      </c>
      <c r="F2150" t="s">
        <v>7051</v>
      </c>
      <c r="H2150">
        <v>143.47</v>
      </c>
      <c r="I2150">
        <v>153.04</v>
      </c>
      <c r="J2150">
        <v>172.17</v>
      </c>
      <c r="K2150">
        <v>133.91</v>
      </c>
      <c r="L2150" t="s">
        <v>5922</v>
      </c>
      <c r="M2150">
        <v>148.25</v>
      </c>
      <c r="O2150">
        <v>114.78</v>
      </c>
      <c r="P2150">
        <v>127.52</v>
      </c>
      <c r="Q2150">
        <v>124.34</v>
      </c>
      <c r="R2150">
        <v>114.78</v>
      </c>
      <c r="S2150">
        <v>153.04</v>
      </c>
      <c r="U2150">
        <v>133.91</v>
      </c>
      <c r="W2150">
        <v>143.47</v>
      </c>
      <c r="X2150">
        <v>153.04</v>
      </c>
      <c r="Y2150">
        <v>219.99</v>
      </c>
      <c r="Z2150" t="s">
        <v>5922</v>
      </c>
    </row>
    <row r="2151" spans="1:26" x14ac:dyDescent="0.2">
      <c r="A2151" t="s">
        <v>3929</v>
      </c>
      <c r="B2151" t="s">
        <v>4024</v>
      </c>
      <c r="C2151" t="s">
        <v>4025</v>
      </c>
      <c r="D2151" t="s">
        <v>98</v>
      </c>
      <c r="E2151">
        <v>219.99</v>
      </c>
      <c r="F2151" t="s">
        <v>7051</v>
      </c>
      <c r="H2151">
        <v>143.47</v>
      </c>
      <c r="I2151">
        <v>153.04</v>
      </c>
      <c r="J2151">
        <v>172.17</v>
      </c>
      <c r="K2151">
        <v>133.91</v>
      </c>
      <c r="L2151" t="s">
        <v>5922</v>
      </c>
      <c r="M2151">
        <v>148.25</v>
      </c>
      <c r="O2151">
        <v>114.78</v>
      </c>
      <c r="P2151">
        <v>127.52</v>
      </c>
      <c r="Q2151">
        <v>124.34</v>
      </c>
      <c r="R2151">
        <v>124.34</v>
      </c>
      <c r="S2151">
        <v>153.04</v>
      </c>
      <c r="U2151">
        <v>133.91</v>
      </c>
      <c r="W2151">
        <v>143.47</v>
      </c>
      <c r="X2151">
        <v>153.04</v>
      </c>
      <c r="Y2151">
        <v>219.99</v>
      </c>
      <c r="Z2151" t="s">
        <v>5922</v>
      </c>
    </row>
    <row r="2152" spans="1:26" x14ac:dyDescent="0.2">
      <c r="A2152" t="s">
        <v>3929</v>
      </c>
      <c r="B2152" t="s">
        <v>4026</v>
      </c>
      <c r="C2152" t="s">
        <v>4027</v>
      </c>
      <c r="D2152" t="s">
        <v>105</v>
      </c>
      <c r="E2152">
        <v>219.99</v>
      </c>
      <c r="F2152" t="s">
        <v>7051</v>
      </c>
      <c r="H2152">
        <v>143.47</v>
      </c>
      <c r="I2152">
        <v>153.04</v>
      </c>
      <c r="J2152">
        <v>172.17</v>
      </c>
      <c r="K2152">
        <v>133.91</v>
      </c>
      <c r="L2152" t="s">
        <v>5922</v>
      </c>
      <c r="M2152">
        <v>148.25</v>
      </c>
      <c r="O2152">
        <v>114.78</v>
      </c>
      <c r="P2152">
        <v>127.52</v>
      </c>
      <c r="Q2152">
        <v>124.34</v>
      </c>
      <c r="R2152">
        <v>114.78</v>
      </c>
      <c r="S2152">
        <v>153.04</v>
      </c>
      <c r="U2152">
        <v>133.91</v>
      </c>
      <c r="W2152">
        <v>143.47</v>
      </c>
      <c r="X2152">
        <v>153.04</v>
      </c>
      <c r="Y2152">
        <v>219.99</v>
      </c>
      <c r="Z2152" t="s">
        <v>5922</v>
      </c>
    </row>
    <row r="2153" spans="1:26" x14ac:dyDescent="0.2">
      <c r="A2153" t="s">
        <v>3929</v>
      </c>
      <c r="B2153" t="s">
        <v>4028</v>
      </c>
      <c r="C2153" t="s">
        <v>4029</v>
      </c>
      <c r="D2153" t="s">
        <v>105</v>
      </c>
      <c r="E2153">
        <v>159.99</v>
      </c>
      <c r="F2153" t="s">
        <v>6970</v>
      </c>
      <c r="H2153">
        <v>97.39</v>
      </c>
      <c r="I2153">
        <v>111.3</v>
      </c>
      <c r="J2153">
        <v>125.21</v>
      </c>
      <c r="K2153">
        <v>97.39</v>
      </c>
      <c r="L2153" t="s">
        <v>5922</v>
      </c>
      <c r="M2153">
        <v>104.34</v>
      </c>
      <c r="N2153">
        <v>107.82</v>
      </c>
      <c r="O2153">
        <v>83.47</v>
      </c>
      <c r="P2153">
        <v>88.11</v>
      </c>
      <c r="Q2153">
        <v>83.47</v>
      </c>
      <c r="R2153">
        <v>83.47</v>
      </c>
      <c r="S2153">
        <v>111.3</v>
      </c>
      <c r="U2153">
        <v>90.43</v>
      </c>
      <c r="W2153">
        <v>104.34</v>
      </c>
      <c r="X2153">
        <v>104.34</v>
      </c>
      <c r="Y2153">
        <v>159.99</v>
      </c>
      <c r="Z2153" t="s">
        <v>5922</v>
      </c>
    </row>
    <row r="2154" spans="1:26" x14ac:dyDescent="0.2">
      <c r="A2154" t="s">
        <v>3929</v>
      </c>
      <c r="B2154" t="s">
        <v>4030</v>
      </c>
      <c r="C2154" t="s">
        <v>4031</v>
      </c>
      <c r="D2154" t="s">
        <v>105</v>
      </c>
      <c r="E2154">
        <v>159.99</v>
      </c>
      <c r="F2154" t="s">
        <v>6970</v>
      </c>
      <c r="H2154">
        <v>97.39</v>
      </c>
      <c r="I2154">
        <v>111.3</v>
      </c>
      <c r="J2154">
        <v>125.21</v>
      </c>
      <c r="K2154">
        <v>97.39</v>
      </c>
      <c r="L2154" t="s">
        <v>5922</v>
      </c>
      <c r="M2154">
        <v>104.34</v>
      </c>
      <c r="N2154">
        <v>107.82</v>
      </c>
      <c r="O2154">
        <v>83.47</v>
      </c>
      <c r="P2154">
        <v>88.11</v>
      </c>
      <c r="Q2154">
        <v>83.47</v>
      </c>
      <c r="R2154">
        <v>83.47</v>
      </c>
      <c r="S2154">
        <v>111.3</v>
      </c>
      <c r="U2154">
        <v>90.43</v>
      </c>
      <c r="W2154">
        <v>104.34</v>
      </c>
      <c r="X2154">
        <v>104.34</v>
      </c>
      <c r="Y2154">
        <v>159.99</v>
      </c>
      <c r="Z2154" t="s">
        <v>5922</v>
      </c>
    </row>
    <row r="2155" spans="1:26" x14ac:dyDescent="0.2">
      <c r="A2155" t="s">
        <v>3929</v>
      </c>
      <c r="B2155" t="s">
        <v>4032</v>
      </c>
      <c r="C2155" t="s">
        <v>4033</v>
      </c>
      <c r="D2155" t="s">
        <v>105</v>
      </c>
      <c r="E2155">
        <v>69.989999999999995</v>
      </c>
      <c r="F2155" t="s">
        <v>6890</v>
      </c>
      <c r="H2155">
        <v>42.6</v>
      </c>
      <c r="I2155">
        <v>48.69</v>
      </c>
      <c r="J2155">
        <v>54.77</v>
      </c>
      <c r="K2155">
        <v>42.6</v>
      </c>
      <c r="L2155" t="s">
        <v>5922</v>
      </c>
      <c r="M2155">
        <v>42.6</v>
      </c>
      <c r="N2155">
        <v>42.6</v>
      </c>
      <c r="O2155">
        <v>36.520000000000003</v>
      </c>
      <c r="P2155">
        <v>38.549999999999997</v>
      </c>
      <c r="Q2155">
        <v>42.6</v>
      </c>
      <c r="R2155">
        <v>36.520000000000003</v>
      </c>
      <c r="S2155">
        <v>42.6</v>
      </c>
      <c r="U2155">
        <v>42.6</v>
      </c>
      <c r="W2155">
        <v>45.65</v>
      </c>
      <c r="X2155">
        <v>45.65</v>
      </c>
      <c r="Y2155">
        <v>69.989999999999995</v>
      </c>
      <c r="Z2155" t="s">
        <v>5922</v>
      </c>
    </row>
    <row r="2156" spans="1:26" x14ac:dyDescent="0.2">
      <c r="A2156" t="s">
        <v>3929</v>
      </c>
      <c r="B2156" t="s">
        <v>4034</v>
      </c>
      <c r="C2156" t="s">
        <v>4035</v>
      </c>
      <c r="D2156" t="s">
        <v>105</v>
      </c>
      <c r="E2156">
        <v>69.989999999999995</v>
      </c>
      <c r="F2156" t="s">
        <v>6890</v>
      </c>
      <c r="H2156">
        <v>42.6</v>
      </c>
      <c r="I2156">
        <v>48.69</v>
      </c>
      <c r="J2156">
        <v>54.77</v>
      </c>
      <c r="K2156">
        <v>42.6</v>
      </c>
      <c r="L2156" t="s">
        <v>5922</v>
      </c>
      <c r="M2156">
        <v>42.6</v>
      </c>
      <c r="N2156">
        <v>42.6</v>
      </c>
      <c r="O2156">
        <v>36.520000000000003</v>
      </c>
      <c r="P2156">
        <v>38.549999999999997</v>
      </c>
      <c r="Q2156">
        <v>42.6</v>
      </c>
      <c r="R2156">
        <v>36.520000000000003</v>
      </c>
      <c r="S2156">
        <v>42.6</v>
      </c>
      <c r="U2156">
        <v>42.6</v>
      </c>
      <c r="W2156">
        <v>45.65</v>
      </c>
      <c r="X2156">
        <v>45.65</v>
      </c>
      <c r="Y2156">
        <v>69.989999999999995</v>
      </c>
      <c r="Z2156" t="s">
        <v>5922</v>
      </c>
    </row>
    <row r="2157" spans="1:26" x14ac:dyDescent="0.2">
      <c r="A2157" t="s">
        <v>3929</v>
      </c>
      <c r="B2157" t="s">
        <v>4036</v>
      </c>
      <c r="C2157" t="s">
        <v>4037</v>
      </c>
      <c r="D2157" t="s">
        <v>105</v>
      </c>
      <c r="E2157">
        <v>129.99</v>
      </c>
      <c r="F2157" t="s">
        <v>7023</v>
      </c>
      <c r="H2157">
        <v>79.12</v>
      </c>
      <c r="I2157">
        <v>90.43</v>
      </c>
      <c r="J2157">
        <v>101.73</v>
      </c>
      <c r="K2157">
        <v>79.12</v>
      </c>
      <c r="L2157" t="s">
        <v>5922</v>
      </c>
      <c r="M2157">
        <v>79.12</v>
      </c>
      <c r="N2157">
        <v>79.12</v>
      </c>
      <c r="O2157">
        <v>67.819999999999993</v>
      </c>
      <c r="P2157">
        <v>71.59</v>
      </c>
      <c r="Q2157">
        <v>67.819999999999993</v>
      </c>
      <c r="R2157">
        <v>62.17</v>
      </c>
      <c r="S2157">
        <v>84.78</v>
      </c>
      <c r="U2157">
        <v>79.12</v>
      </c>
      <c r="W2157">
        <v>84.78</v>
      </c>
      <c r="X2157">
        <v>97.21</v>
      </c>
      <c r="Y2157">
        <v>129.99</v>
      </c>
      <c r="Z2157" t="s">
        <v>5922</v>
      </c>
    </row>
    <row r="2158" spans="1:26" x14ac:dyDescent="0.2">
      <c r="A2158" t="s">
        <v>3929</v>
      </c>
      <c r="B2158" t="s">
        <v>7398</v>
      </c>
      <c r="C2158" t="s">
        <v>7399</v>
      </c>
      <c r="D2158" t="s">
        <v>105</v>
      </c>
      <c r="E2158">
        <v>159.99</v>
      </c>
      <c r="F2158" t="s">
        <v>6970</v>
      </c>
      <c r="L2158" t="s">
        <v>5922</v>
      </c>
      <c r="P2158">
        <v>88.11</v>
      </c>
      <c r="Z2158" t="s">
        <v>5922</v>
      </c>
    </row>
    <row r="2159" spans="1:26" x14ac:dyDescent="0.2">
      <c r="A2159" t="s">
        <v>3929</v>
      </c>
      <c r="B2159" t="s">
        <v>7400</v>
      </c>
      <c r="C2159" t="s">
        <v>7401</v>
      </c>
      <c r="D2159" t="s">
        <v>105</v>
      </c>
      <c r="E2159">
        <v>69.989999999999995</v>
      </c>
      <c r="F2159" t="s">
        <v>6890</v>
      </c>
      <c r="L2159" t="s">
        <v>5922</v>
      </c>
      <c r="P2159">
        <v>38.549999999999997</v>
      </c>
      <c r="Z2159" t="s">
        <v>5922</v>
      </c>
    </row>
    <row r="2160" spans="1:26" x14ac:dyDescent="0.2">
      <c r="A2160" t="s">
        <v>3929</v>
      </c>
      <c r="B2160" t="s">
        <v>7402</v>
      </c>
      <c r="C2160" t="s">
        <v>7403</v>
      </c>
      <c r="D2160" t="s">
        <v>105</v>
      </c>
      <c r="E2160">
        <v>119.99</v>
      </c>
      <c r="F2160" t="s">
        <v>7404</v>
      </c>
      <c r="L2160" t="s">
        <v>5922</v>
      </c>
      <c r="P2160">
        <v>66.08</v>
      </c>
      <c r="Z2160" t="s">
        <v>5922</v>
      </c>
    </row>
    <row r="2161" spans="1:26" x14ac:dyDescent="0.2">
      <c r="A2161" t="s">
        <v>3929</v>
      </c>
      <c r="B2161" t="s">
        <v>7405</v>
      </c>
      <c r="C2161" t="s">
        <v>7406</v>
      </c>
      <c r="D2161" t="s">
        <v>105</v>
      </c>
      <c r="E2161">
        <v>159.99</v>
      </c>
      <c r="F2161" t="s">
        <v>6970</v>
      </c>
      <c r="L2161" t="s">
        <v>5922</v>
      </c>
      <c r="P2161">
        <v>88.11</v>
      </c>
      <c r="Z2161" t="s">
        <v>5922</v>
      </c>
    </row>
    <row r="2162" spans="1:26" x14ac:dyDescent="0.2">
      <c r="A2162" t="s">
        <v>3929</v>
      </c>
      <c r="B2162" t="s">
        <v>4042</v>
      </c>
      <c r="C2162" t="s">
        <v>4043</v>
      </c>
      <c r="D2162" t="s">
        <v>105</v>
      </c>
      <c r="E2162">
        <v>109.99</v>
      </c>
      <c r="F2162" t="s">
        <v>7025</v>
      </c>
      <c r="G2162">
        <v>109.99</v>
      </c>
      <c r="H2162">
        <v>66.95</v>
      </c>
      <c r="I2162">
        <v>76.510000000000005</v>
      </c>
      <c r="J2162">
        <v>86.08</v>
      </c>
      <c r="K2162">
        <v>71.73</v>
      </c>
      <c r="L2162" t="s">
        <v>5922</v>
      </c>
      <c r="M2162">
        <v>71.73</v>
      </c>
      <c r="N2162">
        <v>66.95</v>
      </c>
      <c r="O2162">
        <v>52.17</v>
      </c>
      <c r="P2162">
        <v>60.57</v>
      </c>
      <c r="Q2162">
        <v>57.39</v>
      </c>
      <c r="R2162">
        <v>57.39</v>
      </c>
      <c r="S2162">
        <v>71.73</v>
      </c>
      <c r="T2162">
        <v>57.39</v>
      </c>
      <c r="U2162">
        <v>62.17</v>
      </c>
      <c r="V2162">
        <v>71.73</v>
      </c>
      <c r="W2162">
        <v>71.73</v>
      </c>
      <c r="X2162">
        <v>82.25</v>
      </c>
      <c r="Y2162">
        <v>109.99</v>
      </c>
      <c r="Z2162" t="s">
        <v>5922</v>
      </c>
    </row>
    <row r="2163" spans="1:26" x14ac:dyDescent="0.2">
      <c r="A2163" t="s">
        <v>3929</v>
      </c>
      <c r="B2163" t="s">
        <v>4044</v>
      </c>
      <c r="C2163" t="s">
        <v>4045</v>
      </c>
      <c r="D2163" t="s">
        <v>105</v>
      </c>
      <c r="E2163">
        <v>129.99</v>
      </c>
      <c r="F2163" t="s">
        <v>7023</v>
      </c>
      <c r="G2163">
        <v>129.99</v>
      </c>
      <c r="H2163">
        <v>79.12</v>
      </c>
      <c r="I2163">
        <v>90.43</v>
      </c>
      <c r="J2163">
        <v>101.73</v>
      </c>
      <c r="K2163">
        <v>84.78</v>
      </c>
      <c r="L2163" t="s">
        <v>5922</v>
      </c>
      <c r="M2163">
        <v>84.78</v>
      </c>
      <c r="N2163">
        <v>90.43</v>
      </c>
      <c r="O2163">
        <v>62.6</v>
      </c>
      <c r="P2163">
        <v>71.59</v>
      </c>
      <c r="Q2163">
        <v>67.819999999999993</v>
      </c>
      <c r="R2163">
        <v>67.819999999999993</v>
      </c>
      <c r="S2163">
        <v>84.78</v>
      </c>
      <c r="T2163">
        <v>67.819999999999993</v>
      </c>
      <c r="U2163">
        <v>73.47</v>
      </c>
      <c r="V2163">
        <v>84.78</v>
      </c>
      <c r="W2163">
        <v>84.78</v>
      </c>
      <c r="X2163">
        <v>97.21</v>
      </c>
      <c r="Y2163">
        <v>129.99</v>
      </c>
      <c r="Z2163" t="s">
        <v>5922</v>
      </c>
    </row>
    <row r="2164" spans="1:26" x14ac:dyDescent="0.2">
      <c r="A2164" t="s">
        <v>3929</v>
      </c>
      <c r="B2164" t="s">
        <v>4048</v>
      </c>
      <c r="C2164" t="s">
        <v>4049</v>
      </c>
      <c r="D2164" t="s">
        <v>105</v>
      </c>
      <c r="E2164">
        <v>89.99</v>
      </c>
      <c r="F2164" t="s">
        <v>5922</v>
      </c>
      <c r="H2164">
        <v>54.78</v>
      </c>
      <c r="I2164">
        <v>62.6</v>
      </c>
      <c r="J2164">
        <v>70.430000000000007</v>
      </c>
      <c r="K2164">
        <v>54.78</v>
      </c>
      <c r="L2164" t="s">
        <v>5922</v>
      </c>
      <c r="M2164">
        <v>58.69</v>
      </c>
      <c r="N2164">
        <v>62.6</v>
      </c>
      <c r="P2164">
        <v>49.56</v>
      </c>
      <c r="Q2164">
        <v>46.95</v>
      </c>
      <c r="R2164">
        <v>46.95</v>
      </c>
      <c r="S2164">
        <v>58.69</v>
      </c>
      <c r="U2164">
        <v>54.78</v>
      </c>
      <c r="W2164">
        <v>62.6</v>
      </c>
      <c r="X2164">
        <v>62.6</v>
      </c>
      <c r="Y2164">
        <v>89.99</v>
      </c>
      <c r="Z2164" t="s">
        <v>5922</v>
      </c>
    </row>
    <row r="2165" spans="1:26" x14ac:dyDescent="0.2">
      <c r="A2165" t="s">
        <v>3929</v>
      </c>
      <c r="B2165" t="s">
        <v>4050</v>
      </c>
      <c r="C2165" t="s">
        <v>7407</v>
      </c>
      <c r="D2165" t="s">
        <v>105</v>
      </c>
      <c r="E2165">
        <v>89.99</v>
      </c>
      <c r="F2165" t="s">
        <v>5922</v>
      </c>
      <c r="H2165">
        <v>54.78</v>
      </c>
      <c r="I2165">
        <v>62.6</v>
      </c>
      <c r="J2165">
        <v>70.430000000000007</v>
      </c>
      <c r="K2165">
        <v>54.78</v>
      </c>
      <c r="L2165" t="s">
        <v>5922</v>
      </c>
      <c r="M2165">
        <v>58.69</v>
      </c>
      <c r="N2165">
        <v>62.6</v>
      </c>
      <c r="P2165">
        <v>49.56</v>
      </c>
      <c r="Q2165">
        <v>46.95</v>
      </c>
      <c r="R2165">
        <v>46.95</v>
      </c>
      <c r="S2165">
        <v>58.69</v>
      </c>
      <c r="U2165">
        <v>54.78</v>
      </c>
      <c r="W2165">
        <v>62.6</v>
      </c>
      <c r="X2165">
        <v>62.6</v>
      </c>
      <c r="Y2165">
        <v>89.99</v>
      </c>
      <c r="Z2165" t="s">
        <v>5922</v>
      </c>
    </row>
    <row r="2166" spans="1:26" x14ac:dyDescent="0.2">
      <c r="A2166" t="s">
        <v>3929</v>
      </c>
      <c r="B2166" t="s">
        <v>4051</v>
      </c>
      <c r="C2166" t="s">
        <v>4052</v>
      </c>
      <c r="D2166" t="s">
        <v>105</v>
      </c>
      <c r="E2166">
        <v>129.99</v>
      </c>
      <c r="F2166" t="s">
        <v>7023</v>
      </c>
      <c r="G2166">
        <v>129.99</v>
      </c>
      <c r="H2166">
        <v>79.12</v>
      </c>
      <c r="I2166">
        <v>90.43</v>
      </c>
      <c r="J2166">
        <v>101.73</v>
      </c>
      <c r="K2166">
        <v>84.78</v>
      </c>
      <c r="L2166" t="s">
        <v>5922</v>
      </c>
      <c r="M2166">
        <v>84.78</v>
      </c>
      <c r="N2166">
        <v>79.12</v>
      </c>
      <c r="O2166">
        <v>62.6</v>
      </c>
      <c r="P2166">
        <v>71.59</v>
      </c>
      <c r="Q2166">
        <v>67.819999999999993</v>
      </c>
      <c r="R2166">
        <v>67.819999999999993</v>
      </c>
      <c r="S2166">
        <v>84.78</v>
      </c>
      <c r="T2166">
        <v>67.819999999999993</v>
      </c>
      <c r="U2166">
        <v>73.47</v>
      </c>
      <c r="V2166">
        <v>84.78</v>
      </c>
      <c r="W2166">
        <v>84.78</v>
      </c>
      <c r="X2166">
        <v>97.21</v>
      </c>
      <c r="Y2166">
        <v>129.99</v>
      </c>
      <c r="Z2166" t="s">
        <v>5922</v>
      </c>
    </row>
    <row r="2167" spans="1:26" x14ac:dyDescent="0.2">
      <c r="A2167" t="s">
        <v>3929</v>
      </c>
      <c r="B2167" t="s">
        <v>4053</v>
      </c>
      <c r="C2167" t="s">
        <v>4054</v>
      </c>
      <c r="D2167" t="s">
        <v>105</v>
      </c>
      <c r="E2167">
        <v>149.99</v>
      </c>
      <c r="F2167" t="s">
        <v>7022</v>
      </c>
      <c r="G2167">
        <v>149.99</v>
      </c>
      <c r="H2167">
        <v>91.3</v>
      </c>
      <c r="I2167">
        <v>104.34</v>
      </c>
      <c r="J2167">
        <v>117.38</v>
      </c>
      <c r="K2167">
        <v>97.82</v>
      </c>
      <c r="L2167" t="s">
        <v>5922</v>
      </c>
      <c r="M2167">
        <v>97.82</v>
      </c>
      <c r="N2167">
        <v>91.3</v>
      </c>
      <c r="O2167">
        <v>73.040000000000006</v>
      </c>
      <c r="P2167">
        <v>82.6</v>
      </c>
      <c r="Q2167">
        <v>78.260000000000005</v>
      </c>
      <c r="R2167">
        <v>78.260000000000005</v>
      </c>
      <c r="S2167">
        <v>97.82</v>
      </c>
      <c r="T2167">
        <v>78.260000000000005</v>
      </c>
      <c r="U2167">
        <v>84.78</v>
      </c>
      <c r="V2167">
        <v>97.82</v>
      </c>
      <c r="W2167">
        <v>97.82</v>
      </c>
      <c r="X2167">
        <v>112.17</v>
      </c>
      <c r="Y2167">
        <v>149.99</v>
      </c>
      <c r="Z2167" t="s">
        <v>5922</v>
      </c>
    </row>
    <row r="2168" spans="1:26" x14ac:dyDescent="0.2">
      <c r="A2168" t="s">
        <v>3929</v>
      </c>
      <c r="B2168" t="s">
        <v>4055</v>
      </c>
      <c r="C2168" t="s">
        <v>4056</v>
      </c>
      <c r="D2168" t="s">
        <v>105</v>
      </c>
      <c r="E2168">
        <v>159.99</v>
      </c>
      <c r="F2168" t="s">
        <v>6970</v>
      </c>
      <c r="G2168">
        <v>159.99</v>
      </c>
      <c r="H2168">
        <v>97.39</v>
      </c>
      <c r="I2168">
        <v>111.3</v>
      </c>
      <c r="J2168">
        <v>125.21</v>
      </c>
      <c r="K2168">
        <v>104.34</v>
      </c>
      <c r="L2168" t="s">
        <v>5922</v>
      </c>
      <c r="M2168">
        <v>104.34</v>
      </c>
      <c r="N2168">
        <v>91.3</v>
      </c>
      <c r="O2168">
        <v>78.260000000000005</v>
      </c>
      <c r="P2168">
        <v>88.11</v>
      </c>
      <c r="Q2168">
        <v>83.47</v>
      </c>
      <c r="R2168">
        <v>83.47</v>
      </c>
      <c r="S2168">
        <v>104.34</v>
      </c>
      <c r="T2168">
        <v>83.47</v>
      </c>
      <c r="U2168">
        <v>90.43</v>
      </c>
      <c r="V2168">
        <v>104.34</v>
      </c>
      <c r="W2168">
        <v>104.34</v>
      </c>
      <c r="X2168">
        <v>119.64</v>
      </c>
      <c r="Y2168">
        <v>159.99</v>
      </c>
      <c r="Z2168" t="s">
        <v>5922</v>
      </c>
    </row>
    <row r="2169" spans="1:26" x14ac:dyDescent="0.2">
      <c r="A2169" t="s">
        <v>3929</v>
      </c>
      <c r="B2169" t="s">
        <v>7408</v>
      </c>
      <c r="C2169" t="s">
        <v>7409</v>
      </c>
      <c r="D2169" t="s">
        <v>105</v>
      </c>
      <c r="E2169">
        <v>199.99</v>
      </c>
      <c r="F2169" t="s">
        <v>6916</v>
      </c>
      <c r="L2169" t="s">
        <v>5922</v>
      </c>
      <c r="P2169">
        <v>110.14</v>
      </c>
      <c r="Z2169" t="s">
        <v>5922</v>
      </c>
    </row>
    <row r="2170" spans="1:26" x14ac:dyDescent="0.2">
      <c r="A2170" t="s">
        <v>3929</v>
      </c>
      <c r="B2170" t="s">
        <v>4057</v>
      </c>
      <c r="C2170" t="s">
        <v>4058</v>
      </c>
      <c r="D2170" t="s">
        <v>105</v>
      </c>
      <c r="E2170">
        <v>229.99</v>
      </c>
      <c r="F2170" t="s">
        <v>7129</v>
      </c>
      <c r="H2170">
        <v>139.99</v>
      </c>
      <c r="I2170">
        <v>159.99</v>
      </c>
      <c r="J2170">
        <v>179.99</v>
      </c>
      <c r="K2170">
        <v>149.99</v>
      </c>
      <c r="L2170" t="s">
        <v>5922</v>
      </c>
      <c r="M2170">
        <v>149.99</v>
      </c>
      <c r="N2170">
        <v>149.99</v>
      </c>
      <c r="O2170">
        <v>119.99</v>
      </c>
      <c r="P2170">
        <v>126.66</v>
      </c>
      <c r="Q2170">
        <v>119.99</v>
      </c>
      <c r="R2170">
        <v>119.99</v>
      </c>
      <c r="S2170">
        <v>149.99</v>
      </c>
      <c r="U2170">
        <v>129.99</v>
      </c>
      <c r="V2170">
        <v>149.99</v>
      </c>
      <c r="W2170">
        <v>149.99</v>
      </c>
      <c r="X2170">
        <v>171.99</v>
      </c>
      <c r="Y2170">
        <v>229.99</v>
      </c>
      <c r="Z2170" t="s">
        <v>5922</v>
      </c>
    </row>
    <row r="2171" spans="1:26" x14ac:dyDescent="0.2">
      <c r="A2171" t="s">
        <v>3929</v>
      </c>
      <c r="B2171" t="s">
        <v>4059</v>
      </c>
      <c r="C2171" t="s">
        <v>4060</v>
      </c>
      <c r="D2171" t="s">
        <v>105</v>
      </c>
      <c r="E2171">
        <v>229.99</v>
      </c>
      <c r="F2171" t="s">
        <v>7129</v>
      </c>
      <c r="H2171">
        <v>139.99</v>
      </c>
      <c r="I2171">
        <v>159.99</v>
      </c>
      <c r="J2171">
        <v>179.99</v>
      </c>
      <c r="K2171">
        <v>149.99</v>
      </c>
      <c r="L2171" t="s">
        <v>5922</v>
      </c>
      <c r="M2171">
        <v>149.99</v>
      </c>
      <c r="N2171">
        <v>149.99</v>
      </c>
      <c r="O2171">
        <v>119.99</v>
      </c>
      <c r="P2171">
        <v>126.66</v>
      </c>
      <c r="Q2171">
        <v>119.99</v>
      </c>
      <c r="R2171">
        <v>119.99</v>
      </c>
      <c r="S2171">
        <v>149.99</v>
      </c>
      <c r="U2171">
        <v>129.99</v>
      </c>
      <c r="V2171">
        <v>149.99</v>
      </c>
      <c r="W2171">
        <v>149.99</v>
      </c>
      <c r="X2171">
        <v>171.99</v>
      </c>
      <c r="Y2171">
        <v>229.99</v>
      </c>
      <c r="Z2171" t="s">
        <v>5922</v>
      </c>
    </row>
    <row r="2172" spans="1:26" x14ac:dyDescent="0.2">
      <c r="A2172" t="s">
        <v>3929</v>
      </c>
      <c r="B2172" t="s">
        <v>4061</v>
      </c>
      <c r="C2172" t="s">
        <v>4062</v>
      </c>
      <c r="D2172" t="s">
        <v>105</v>
      </c>
      <c r="E2172">
        <v>259.99</v>
      </c>
      <c r="F2172" t="s">
        <v>7186</v>
      </c>
      <c r="H2172">
        <v>158.25</v>
      </c>
      <c r="I2172">
        <v>180.86</v>
      </c>
      <c r="J2172">
        <v>203.47</v>
      </c>
      <c r="K2172">
        <v>169.56</v>
      </c>
      <c r="L2172" t="s">
        <v>5922</v>
      </c>
      <c r="M2172">
        <v>169.56</v>
      </c>
      <c r="N2172">
        <v>180.86</v>
      </c>
      <c r="O2172">
        <v>135.65</v>
      </c>
      <c r="P2172">
        <v>146.94999999999999</v>
      </c>
      <c r="Q2172">
        <v>135.65</v>
      </c>
      <c r="R2172">
        <v>135.65</v>
      </c>
      <c r="S2172">
        <v>180.86</v>
      </c>
      <c r="U2172">
        <v>146.94999999999999</v>
      </c>
      <c r="W2172">
        <v>169.56</v>
      </c>
      <c r="X2172">
        <v>194.43</v>
      </c>
      <c r="Y2172">
        <v>259.99</v>
      </c>
      <c r="Z2172" t="s">
        <v>5922</v>
      </c>
    </row>
    <row r="2173" spans="1:26" x14ac:dyDescent="0.2">
      <c r="A2173" t="s">
        <v>3929</v>
      </c>
      <c r="B2173" t="s">
        <v>4063</v>
      </c>
      <c r="C2173" t="s">
        <v>4064</v>
      </c>
      <c r="D2173" t="s">
        <v>105</v>
      </c>
      <c r="E2173">
        <v>259.99</v>
      </c>
      <c r="F2173" t="s">
        <v>7186</v>
      </c>
      <c r="H2173">
        <v>158.25</v>
      </c>
      <c r="I2173">
        <v>180.86</v>
      </c>
      <c r="J2173">
        <v>203.47</v>
      </c>
      <c r="K2173">
        <v>169.56</v>
      </c>
      <c r="L2173" t="s">
        <v>5922</v>
      </c>
      <c r="M2173">
        <v>169.56</v>
      </c>
      <c r="N2173">
        <v>180.86</v>
      </c>
      <c r="O2173">
        <v>135.65</v>
      </c>
      <c r="P2173">
        <v>146.94999999999999</v>
      </c>
      <c r="Q2173">
        <v>135.65</v>
      </c>
      <c r="R2173">
        <v>135.65</v>
      </c>
      <c r="S2173">
        <v>180.86</v>
      </c>
      <c r="U2173">
        <v>146.94999999999999</v>
      </c>
      <c r="W2173">
        <v>169.56</v>
      </c>
      <c r="X2173">
        <v>194.43</v>
      </c>
      <c r="Y2173">
        <v>259.99</v>
      </c>
      <c r="Z2173" t="s">
        <v>5922</v>
      </c>
    </row>
    <row r="2174" spans="1:26" x14ac:dyDescent="0.2">
      <c r="A2174" t="s">
        <v>3929</v>
      </c>
      <c r="B2174" t="s">
        <v>4065</v>
      </c>
      <c r="C2174" t="s">
        <v>4066</v>
      </c>
      <c r="D2174" t="s">
        <v>98</v>
      </c>
      <c r="E2174">
        <v>259.99</v>
      </c>
      <c r="F2174" t="s">
        <v>5922</v>
      </c>
      <c r="H2174">
        <v>158.25</v>
      </c>
      <c r="I2174">
        <v>180.86</v>
      </c>
      <c r="J2174">
        <v>203.47</v>
      </c>
      <c r="K2174">
        <v>158.25</v>
      </c>
      <c r="L2174" t="s">
        <v>5922</v>
      </c>
      <c r="M2174">
        <v>169.56</v>
      </c>
      <c r="N2174">
        <v>169.56</v>
      </c>
      <c r="P2174">
        <v>143.18</v>
      </c>
      <c r="Q2174">
        <v>135.65</v>
      </c>
      <c r="R2174">
        <v>135.65</v>
      </c>
      <c r="S2174">
        <v>169.56</v>
      </c>
      <c r="U2174">
        <v>146.94999999999999</v>
      </c>
      <c r="W2174">
        <v>169.56</v>
      </c>
      <c r="X2174">
        <v>194.43</v>
      </c>
      <c r="Y2174">
        <v>259.99</v>
      </c>
      <c r="Z2174" t="s">
        <v>5922</v>
      </c>
    </row>
    <row r="2175" spans="1:26" x14ac:dyDescent="0.2">
      <c r="A2175" t="s">
        <v>3929</v>
      </c>
      <c r="B2175" t="s">
        <v>4067</v>
      </c>
      <c r="C2175" t="s">
        <v>4068</v>
      </c>
      <c r="D2175" t="s">
        <v>105</v>
      </c>
      <c r="E2175">
        <v>89.99</v>
      </c>
      <c r="F2175" t="s">
        <v>6914</v>
      </c>
      <c r="G2175">
        <v>89.99</v>
      </c>
      <c r="H2175">
        <v>54.78</v>
      </c>
      <c r="I2175">
        <v>62.6</v>
      </c>
      <c r="J2175">
        <v>70.430000000000007</v>
      </c>
      <c r="K2175">
        <v>62.6</v>
      </c>
      <c r="L2175" t="s">
        <v>5922</v>
      </c>
      <c r="M2175">
        <v>62.6</v>
      </c>
      <c r="N2175">
        <v>58.69</v>
      </c>
      <c r="P2175">
        <v>49.56</v>
      </c>
      <c r="Q2175">
        <v>50.86</v>
      </c>
      <c r="R2175">
        <v>46.95</v>
      </c>
      <c r="S2175">
        <v>62.6</v>
      </c>
      <c r="U2175">
        <v>62.6</v>
      </c>
      <c r="V2175">
        <v>66.510000000000005</v>
      </c>
      <c r="W2175">
        <v>66.510000000000005</v>
      </c>
      <c r="X2175">
        <v>67.3</v>
      </c>
      <c r="Y2175">
        <v>89.99</v>
      </c>
      <c r="Z2175" t="s">
        <v>5922</v>
      </c>
    </row>
    <row r="2176" spans="1:26" x14ac:dyDescent="0.2">
      <c r="A2176" t="s">
        <v>3929</v>
      </c>
      <c r="B2176" t="s">
        <v>4071</v>
      </c>
      <c r="C2176" t="s">
        <v>4072</v>
      </c>
      <c r="D2176" t="s">
        <v>98</v>
      </c>
      <c r="E2176">
        <v>199.99</v>
      </c>
      <c r="F2176" t="s">
        <v>5922</v>
      </c>
      <c r="H2176">
        <v>100.86</v>
      </c>
      <c r="I2176">
        <v>130.43</v>
      </c>
      <c r="J2176">
        <v>139.12</v>
      </c>
      <c r="K2176">
        <v>165.21</v>
      </c>
      <c r="L2176" t="s">
        <v>5922</v>
      </c>
      <c r="M2176">
        <v>109.56</v>
      </c>
      <c r="N2176">
        <v>121.73</v>
      </c>
      <c r="O2176">
        <v>104.34</v>
      </c>
      <c r="P2176">
        <v>104.34</v>
      </c>
      <c r="Q2176">
        <v>104.34</v>
      </c>
      <c r="R2176">
        <v>104.34</v>
      </c>
      <c r="S2176">
        <v>121.73</v>
      </c>
      <c r="T2176">
        <v>104.34</v>
      </c>
      <c r="U2176">
        <v>104.34</v>
      </c>
      <c r="V2176">
        <v>121.73</v>
      </c>
      <c r="W2176">
        <v>130.43</v>
      </c>
      <c r="X2176">
        <v>149.56</v>
      </c>
      <c r="Y2176">
        <v>199.99</v>
      </c>
      <c r="Z2176" t="s">
        <v>5922</v>
      </c>
    </row>
    <row r="2177" spans="1:26" x14ac:dyDescent="0.2">
      <c r="A2177" t="s">
        <v>3929</v>
      </c>
      <c r="B2177" t="s">
        <v>4073</v>
      </c>
      <c r="C2177" t="s">
        <v>4074</v>
      </c>
      <c r="D2177" t="s">
        <v>105</v>
      </c>
      <c r="E2177">
        <v>69.989999999999995</v>
      </c>
      <c r="F2177" t="s">
        <v>6890</v>
      </c>
      <c r="G2177">
        <v>69.989999999999995</v>
      </c>
      <c r="H2177">
        <v>42.6</v>
      </c>
      <c r="I2177">
        <v>48.69</v>
      </c>
      <c r="J2177">
        <v>54.77</v>
      </c>
      <c r="K2177">
        <v>45.65</v>
      </c>
      <c r="L2177" t="s">
        <v>5922</v>
      </c>
      <c r="M2177">
        <v>42.6</v>
      </c>
      <c r="N2177">
        <v>42.6</v>
      </c>
      <c r="O2177">
        <v>33.909999999999997</v>
      </c>
      <c r="P2177">
        <v>37.729999999999997</v>
      </c>
      <c r="Q2177">
        <v>36.520000000000003</v>
      </c>
      <c r="R2177">
        <v>36.520000000000003</v>
      </c>
      <c r="S2177">
        <v>42.6</v>
      </c>
      <c r="T2177">
        <v>36.520000000000003</v>
      </c>
      <c r="U2177">
        <v>39.56</v>
      </c>
      <c r="V2177">
        <v>45.65</v>
      </c>
      <c r="W2177">
        <v>45.65</v>
      </c>
      <c r="X2177">
        <v>52.34</v>
      </c>
      <c r="Y2177">
        <v>69.989999999999995</v>
      </c>
      <c r="Z2177" t="s">
        <v>5922</v>
      </c>
    </row>
    <row r="2178" spans="1:26" x14ac:dyDescent="0.2">
      <c r="A2178" t="s">
        <v>3929</v>
      </c>
      <c r="B2178" t="s">
        <v>4075</v>
      </c>
      <c r="C2178" t="s">
        <v>4076</v>
      </c>
      <c r="D2178" t="s">
        <v>105</v>
      </c>
      <c r="E2178">
        <v>64.989999999999995</v>
      </c>
      <c r="F2178" t="s">
        <v>7028</v>
      </c>
      <c r="G2178">
        <v>64.989999999999995</v>
      </c>
      <c r="H2178">
        <v>39.56</v>
      </c>
      <c r="I2178">
        <v>45.21</v>
      </c>
      <c r="J2178">
        <v>50.86</v>
      </c>
      <c r="K2178">
        <v>42.38</v>
      </c>
      <c r="L2178" t="s">
        <v>5922</v>
      </c>
      <c r="M2178">
        <v>42.38</v>
      </c>
      <c r="N2178">
        <v>39.56</v>
      </c>
      <c r="O2178">
        <v>31.3</v>
      </c>
      <c r="P2178">
        <v>35.04</v>
      </c>
      <c r="Q2178">
        <v>33.909999999999997</v>
      </c>
      <c r="R2178">
        <v>31.08</v>
      </c>
      <c r="S2178">
        <v>39.56</v>
      </c>
      <c r="T2178">
        <v>33.909999999999997</v>
      </c>
      <c r="U2178">
        <v>36.520000000000003</v>
      </c>
      <c r="V2178">
        <v>42.38</v>
      </c>
      <c r="W2178">
        <v>42.38</v>
      </c>
      <c r="X2178">
        <v>48.6</v>
      </c>
      <c r="Y2178">
        <v>64.989999999999995</v>
      </c>
      <c r="Z2178" t="s">
        <v>5922</v>
      </c>
    </row>
    <row r="2179" spans="1:26" x14ac:dyDescent="0.2">
      <c r="A2179" t="s">
        <v>3929</v>
      </c>
      <c r="B2179" t="s">
        <v>4077</v>
      </c>
      <c r="C2179" t="s">
        <v>4078</v>
      </c>
      <c r="D2179" t="s">
        <v>105</v>
      </c>
      <c r="E2179">
        <v>74.989999999999995</v>
      </c>
      <c r="F2179" t="s">
        <v>7377</v>
      </c>
      <c r="G2179">
        <v>74.989999999999995</v>
      </c>
      <c r="H2179">
        <v>45.65</v>
      </c>
      <c r="I2179">
        <v>52.17</v>
      </c>
      <c r="J2179">
        <v>58.69</v>
      </c>
      <c r="K2179">
        <v>45.65</v>
      </c>
      <c r="L2179" t="s">
        <v>5922</v>
      </c>
      <c r="M2179">
        <v>45.65</v>
      </c>
      <c r="N2179">
        <v>45.65</v>
      </c>
      <c r="O2179">
        <v>36.520000000000003</v>
      </c>
      <c r="P2179">
        <v>41.3</v>
      </c>
      <c r="Q2179">
        <v>39.130000000000003</v>
      </c>
      <c r="R2179">
        <v>35.86</v>
      </c>
      <c r="S2179">
        <v>45.65</v>
      </c>
      <c r="T2179">
        <v>39.130000000000003</v>
      </c>
      <c r="U2179">
        <v>42.39</v>
      </c>
      <c r="V2179">
        <v>48.91</v>
      </c>
      <c r="W2179">
        <v>48.91</v>
      </c>
      <c r="X2179">
        <v>56.08</v>
      </c>
      <c r="Y2179">
        <v>74.989999999999995</v>
      </c>
      <c r="Z2179" t="s">
        <v>5922</v>
      </c>
    </row>
    <row r="2180" spans="1:26" x14ac:dyDescent="0.2">
      <c r="A2180" t="s">
        <v>3929</v>
      </c>
      <c r="B2180" t="s">
        <v>4081</v>
      </c>
      <c r="C2180" t="s">
        <v>4082</v>
      </c>
      <c r="D2180" t="s">
        <v>98</v>
      </c>
      <c r="E2180">
        <v>109.99</v>
      </c>
      <c r="F2180" t="s">
        <v>7025</v>
      </c>
      <c r="H2180">
        <v>73.040000000000006</v>
      </c>
      <c r="I2180">
        <v>83.47</v>
      </c>
      <c r="J2180">
        <v>93.91</v>
      </c>
      <c r="K2180">
        <v>73.040000000000006</v>
      </c>
      <c r="L2180" t="s">
        <v>5922</v>
      </c>
      <c r="M2180">
        <v>78.25</v>
      </c>
      <c r="P2180">
        <v>66.08</v>
      </c>
      <c r="Q2180">
        <v>62.6</v>
      </c>
      <c r="R2180">
        <v>62.6</v>
      </c>
      <c r="Y2180">
        <v>119.99</v>
      </c>
      <c r="Z2180" t="s">
        <v>5922</v>
      </c>
    </row>
    <row r="2181" spans="1:26" x14ac:dyDescent="0.2">
      <c r="A2181" t="s">
        <v>3929</v>
      </c>
      <c r="B2181" t="s">
        <v>4083</v>
      </c>
      <c r="C2181" t="s">
        <v>4084</v>
      </c>
      <c r="D2181" t="s">
        <v>105</v>
      </c>
      <c r="E2181">
        <v>74.989999999999995</v>
      </c>
      <c r="F2181" t="s">
        <v>7377</v>
      </c>
      <c r="G2181">
        <v>74.989999999999995</v>
      </c>
      <c r="H2181">
        <v>45.65</v>
      </c>
      <c r="I2181">
        <v>52.17</v>
      </c>
      <c r="J2181">
        <v>58.69</v>
      </c>
      <c r="K2181">
        <v>45.65</v>
      </c>
      <c r="L2181" t="s">
        <v>5922</v>
      </c>
      <c r="M2181">
        <v>45.65</v>
      </c>
      <c r="N2181">
        <v>45.65</v>
      </c>
      <c r="O2181">
        <v>36.520000000000003</v>
      </c>
      <c r="P2181">
        <v>40.43</v>
      </c>
      <c r="Q2181">
        <v>39.130000000000003</v>
      </c>
      <c r="R2181">
        <v>35.86</v>
      </c>
      <c r="S2181">
        <v>45.65</v>
      </c>
      <c r="T2181">
        <v>39.130000000000003</v>
      </c>
      <c r="U2181">
        <v>42.39</v>
      </c>
      <c r="V2181">
        <v>48.91</v>
      </c>
      <c r="W2181">
        <v>48.91</v>
      </c>
      <c r="X2181">
        <v>56.08</v>
      </c>
      <c r="Y2181">
        <v>74.989999999999995</v>
      </c>
      <c r="Z2181" t="s">
        <v>5922</v>
      </c>
    </row>
    <row r="2182" spans="1:26" x14ac:dyDescent="0.2">
      <c r="A2182" t="s">
        <v>3929</v>
      </c>
      <c r="B2182" t="s">
        <v>4085</v>
      </c>
      <c r="C2182" t="s">
        <v>4086</v>
      </c>
      <c r="D2182" t="s">
        <v>105</v>
      </c>
      <c r="E2182">
        <v>119.99</v>
      </c>
      <c r="F2182" t="s">
        <v>5922</v>
      </c>
      <c r="G2182">
        <v>119.99</v>
      </c>
      <c r="H2182">
        <v>60.52</v>
      </c>
      <c r="I2182">
        <v>78.25</v>
      </c>
      <c r="J2182">
        <v>76.510000000000005</v>
      </c>
      <c r="K2182">
        <v>90.86</v>
      </c>
      <c r="L2182" t="s">
        <v>5922</v>
      </c>
      <c r="M2182">
        <v>78.25</v>
      </c>
      <c r="N2182">
        <v>73.040000000000006</v>
      </c>
      <c r="O2182">
        <v>57.39</v>
      </c>
      <c r="P2182">
        <v>62.6</v>
      </c>
      <c r="Q2182">
        <v>62.6</v>
      </c>
      <c r="R2182">
        <v>62.6</v>
      </c>
      <c r="S2182">
        <v>73.040000000000006</v>
      </c>
      <c r="T2182">
        <v>62.6</v>
      </c>
      <c r="U2182">
        <v>66.95</v>
      </c>
      <c r="V2182">
        <v>78.25</v>
      </c>
      <c r="W2182">
        <v>78.25</v>
      </c>
      <c r="X2182">
        <v>89.73</v>
      </c>
      <c r="Y2182">
        <v>119.99</v>
      </c>
      <c r="Z2182" t="s">
        <v>5922</v>
      </c>
    </row>
    <row r="2183" spans="1:26" x14ac:dyDescent="0.2">
      <c r="A2183" t="s">
        <v>3929</v>
      </c>
      <c r="B2183" t="s">
        <v>4087</v>
      </c>
      <c r="C2183" t="s">
        <v>4088</v>
      </c>
      <c r="D2183" t="s">
        <v>138</v>
      </c>
      <c r="E2183">
        <v>99.99</v>
      </c>
      <c r="F2183" t="s">
        <v>6903</v>
      </c>
      <c r="H2183">
        <v>60.86</v>
      </c>
      <c r="I2183">
        <v>69.56</v>
      </c>
      <c r="J2183">
        <v>78.25</v>
      </c>
      <c r="K2183">
        <v>60.86</v>
      </c>
      <c r="L2183" t="s">
        <v>5922</v>
      </c>
      <c r="M2183">
        <v>60.86</v>
      </c>
      <c r="N2183">
        <v>60.86</v>
      </c>
      <c r="O2183">
        <v>52.17</v>
      </c>
      <c r="P2183">
        <v>55.07</v>
      </c>
      <c r="Q2183">
        <v>52.17</v>
      </c>
      <c r="R2183">
        <v>52.17</v>
      </c>
      <c r="S2183">
        <v>60.86</v>
      </c>
      <c r="U2183">
        <v>65.209999999999994</v>
      </c>
      <c r="W2183">
        <v>65.209999999999994</v>
      </c>
      <c r="X2183">
        <v>74.78</v>
      </c>
      <c r="Y2183">
        <v>99.99</v>
      </c>
      <c r="Z2183" t="s">
        <v>5922</v>
      </c>
    </row>
    <row r="2184" spans="1:26" x14ac:dyDescent="0.2">
      <c r="A2184" t="s">
        <v>3929</v>
      </c>
      <c r="B2184" t="s">
        <v>4089</v>
      </c>
      <c r="C2184" t="s">
        <v>4090</v>
      </c>
      <c r="D2184" t="s">
        <v>98</v>
      </c>
      <c r="E2184">
        <v>149.99</v>
      </c>
      <c r="F2184" t="s">
        <v>5922</v>
      </c>
      <c r="H2184">
        <v>75.650000000000006</v>
      </c>
      <c r="I2184">
        <v>91.3</v>
      </c>
      <c r="J2184">
        <v>104.34</v>
      </c>
      <c r="K2184">
        <v>123.9</v>
      </c>
      <c r="L2184" t="s">
        <v>5922</v>
      </c>
      <c r="M2184">
        <v>97.82</v>
      </c>
      <c r="N2184">
        <v>91.3</v>
      </c>
      <c r="O2184">
        <v>78.260000000000005</v>
      </c>
      <c r="P2184">
        <v>78.260000000000005</v>
      </c>
      <c r="Q2184">
        <v>78.260000000000005</v>
      </c>
      <c r="R2184">
        <v>78.260000000000005</v>
      </c>
      <c r="S2184">
        <v>97.82</v>
      </c>
      <c r="T2184">
        <v>78.260000000000005</v>
      </c>
      <c r="U2184">
        <v>78.260000000000005</v>
      </c>
      <c r="V2184">
        <v>91.3</v>
      </c>
      <c r="W2184">
        <v>110.86</v>
      </c>
      <c r="X2184">
        <v>112.17</v>
      </c>
      <c r="Y2184">
        <v>149.99</v>
      </c>
      <c r="Z2184" t="s">
        <v>5922</v>
      </c>
    </row>
    <row r="2185" spans="1:26" x14ac:dyDescent="0.2">
      <c r="A2185" t="s">
        <v>3929</v>
      </c>
      <c r="B2185" t="s">
        <v>4093</v>
      </c>
      <c r="C2185" t="s">
        <v>4094</v>
      </c>
      <c r="D2185" t="s">
        <v>138</v>
      </c>
      <c r="E2185">
        <v>129.99</v>
      </c>
      <c r="F2185" t="s">
        <v>7023</v>
      </c>
      <c r="H2185">
        <v>79.12</v>
      </c>
      <c r="I2185">
        <v>90.43</v>
      </c>
      <c r="J2185">
        <v>101.73</v>
      </c>
      <c r="K2185">
        <v>79.12</v>
      </c>
      <c r="L2185" t="s">
        <v>5922</v>
      </c>
      <c r="M2185">
        <v>84.78</v>
      </c>
      <c r="P2185">
        <v>71.59</v>
      </c>
      <c r="Q2185">
        <v>67.819999999999993</v>
      </c>
      <c r="R2185">
        <v>62.17</v>
      </c>
      <c r="S2185">
        <v>84.78</v>
      </c>
      <c r="Y2185">
        <v>129.99</v>
      </c>
      <c r="Z2185" t="s">
        <v>5922</v>
      </c>
    </row>
    <row r="2186" spans="1:26" x14ac:dyDescent="0.2">
      <c r="A2186" t="s">
        <v>3929</v>
      </c>
      <c r="B2186" t="s">
        <v>4095</v>
      </c>
      <c r="C2186" t="s">
        <v>4096</v>
      </c>
      <c r="D2186" t="s">
        <v>98</v>
      </c>
      <c r="E2186">
        <v>99.99</v>
      </c>
      <c r="F2186" t="s">
        <v>5922</v>
      </c>
      <c r="G2186">
        <v>99.99</v>
      </c>
      <c r="H2186">
        <v>50.43</v>
      </c>
      <c r="I2186">
        <v>65.209999999999994</v>
      </c>
      <c r="J2186">
        <v>69.56</v>
      </c>
      <c r="K2186">
        <v>82.6</v>
      </c>
      <c r="L2186" t="s">
        <v>5922</v>
      </c>
      <c r="M2186">
        <v>65.209999999999994</v>
      </c>
      <c r="N2186">
        <v>60.86</v>
      </c>
      <c r="O2186">
        <v>52.17</v>
      </c>
      <c r="P2186">
        <v>52.17</v>
      </c>
      <c r="Q2186">
        <v>52.17</v>
      </c>
      <c r="R2186">
        <v>52.17</v>
      </c>
      <c r="S2186">
        <v>65.209999999999994</v>
      </c>
      <c r="T2186">
        <v>52.17</v>
      </c>
      <c r="U2186">
        <v>52.17</v>
      </c>
      <c r="V2186">
        <v>65.209999999999994</v>
      </c>
      <c r="W2186">
        <v>65.209999999999994</v>
      </c>
      <c r="X2186">
        <v>74.78</v>
      </c>
      <c r="Y2186">
        <v>99.99</v>
      </c>
      <c r="Z2186" t="s">
        <v>5922</v>
      </c>
    </row>
    <row r="2187" spans="1:26" x14ac:dyDescent="0.2">
      <c r="A2187" t="s">
        <v>3929</v>
      </c>
      <c r="B2187" t="s">
        <v>4097</v>
      </c>
      <c r="C2187" t="s">
        <v>4098</v>
      </c>
      <c r="D2187" t="s">
        <v>105</v>
      </c>
      <c r="E2187">
        <v>199.99</v>
      </c>
      <c r="F2187" t="s">
        <v>6916</v>
      </c>
      <c r="G2187">
        <v>199.99</v>
      </c>
      <c r="H2187">
        <v>121.73</v>
      </c>
      <c r="I2187">
        <v>139.12</v>
      </c>
      <c r="J2187">
        <v>156.51</v>
      </c>
      <c r="K2187">
        <v>121.73</v>
      </c>
      <c r="L2187" t="s">
        <v>5922</v>
      </c>
      <c r="M2187">
        <v>130.43</v>
      </c>
      <c r="N2187">
        <v>121.73</v>
      </c>
      <c r="O2187">
        <v>93.91</v>
      </c>
      <c r="P2187">
        <v>110.14</v>
      </c>
      <c r="Q2187">
        <v>104.34</v>
      </c>
      <c r="R2187">
        <v>104.34</v>
      </c>
      <c r="S2187">
        <v>121.73</v>
      </c>
      <c r="T2187">
        <v>100.86</v>
      </c>
      <c r="U2187">
        <v>109.56</v>
      </c>
      <c r="V2187">
        <v>130.43</v>
      </c>
      <c r="W2187">
        <v>130.43</v>
      </c>
      <c r="X2187">
        <v>149.56</v>
      </c>
      <c r="Y2187">
        <v>199.99</v>
      </c>
      <c r="Z2187" t="s">
        <v>5922</v>
      </c>
    </row>
    <row r="2188" spans="1:26" x14ac:dyDescent="0.2">
      <c r="A2188" t="s">
        <v>3929</v>
      </c>
      <c r="B2188" t="s">
        <v>4099</v>
      </c>
      <c r="C2188" t="s">
        <v>4100</v>
      </c>
      <c r="D2188" t="s">
        <v>138</v>
      </c>
      <c r="E2188">
        <v>249.99</v>
      </c>
      <c r="F2188" t="s">
        <v>7134</v>
      </c>
      <c r="G2188">
        <v>249.99</v>
      </c>
      <c r="H2188">
        <v>152.16999999999999</v>
      </c>
      <c r="I2188">
        <v>173.91</v>
      </c>
      <c r="J2188">
        <v>195.64</v>
      </c>
      <c r="K2188">
        <v>152.16999999999999</v>
      </c>
      <c r="L2188" t="s">
        <v>5922</v>
      </c>
      <c r="M2188">
        <v>163.04</v>
      </c>
      <c r="N2188">
        <v>152.16999999999999</v>
      </c>
      <c r="O2188">
        <v>119.99</v>
      </c>
      <c r="P2188">
        <v>137.66999999999999</v>
      </c>
      <c r="Q2188">
        <v>130.43</v>
      </c>
      <c r="R2188">
        <v>130.43</v>
      </c>
      <c r="S2188">
        <v>163.04</v>
      </c>
      <c r="T2188">
        <v>130.43</v>
      </c>
      <c r="U2188">
        <v>130.43</v>
      </c>
      <c r="V2188">
        <v>163.04</v>
      </c>
      <c r="W2188">
        <v>163.04</v>
      </c>
      <c r="X2188">
        <v>186.95</v>
      </c>
      <c r="Y2188">
        <v>249.99</v>
      </c>
      <c r="Z2188" t="s">
        <v>5922</v>
      </c>
    </row>
    <row r="2189" spans="1:26" x14ac:dyDescent="0.2">
      <c r="A2189" t="s">
        <v>3929</v>
      </c>
      <c r="B2189" t="s">
        <v>4101</v>
      </c>
      <c r="C2189" t="s">
        <v>4102</v>
      </c>
      <c r="D2189" t="s">
        <v>105</v>
      </c>
      <c r="E2189">
        <v>199.99</v>
      </c>
      <c r="F2189" t="s">
        <v>6916</v>
      </c>
      <c r="H2189">
        <v>121.73</v>
      </c>
      <c r="I2189">
        <v>139.12</v>
      </c>
      <c r="J2189">
        <v>156.51</v>
      </c>
      <c r="K2189">
        <v>121.73</v>
      </c>
      <c r="L2189" t="s">
        <v>5922</v>
      </c>
      <c r="M2189">
        <v>130.43</v>
      </c>
      <c r="N2189">
        <v>121.73</v>
      </c>
      <c r="P2189">
        <v>110.14</v>
      </c>
      <c r="Q2189">
        <v>104.34</v>
      </c>
      <c r="R2189">
        <v>104.34</v>
      </c>
      <c r="S2189">
        <v>130.43</v>
      </c>
      <c r="U2189">
        <v>113.04</v>
      </c>
      <c r="W2189">
        <v>130.43</v>
      </c>
      <c r="X2189">
        <v>149.56</v>
      </c>
      <c r="Y2189">
        <v>199.99</v>
      </c>
      <c r="Z2189" t="s">
        <v>5922</v>
      </c>
    </row>
    <row r="2190" spans="1:26" x14ac:dyDescent="0.2">
      <c r="A2190" t="s">
        <v>3929</v>
      </c>
      <c r="B2190" t="s">
        <v>4115</v>
      </c>
      <c r="C2190" t="s">
        <v>4116</v>
      </c>
      <c r="D2190" t="s">
        <v>105</v>
      </c>
      <c r="E2190">
        <v>44.99</v>
      </c>
      <c r="F2190" t="s">
        <v>6926</v>
      </c>
      <c r="G2190">
        <v>44.99</v>
      </c>
      <c r="H2190">
        <v>27.39</v>
      </c>
      <c r="I2190">
        <v>31.3</v>
      </c>
      <c r="J2190">
        <v>35.21</v>
      </c>
      <c r="K2190">
        <v>31.3</v>
      </c>
      <c r="L2190" t="s">
        <v>5922</v>
      </c>
      <c r="M2190">
        <v>29.34</v>
      </c>
      <c r="N2190">
        <v>27.39</v>
      </c>
      <c r="O2190">
        <v>20.86</v>
      </c>
      <c r="P2190">
        <v>24.26</v>
      </c>
      <c r="Q2190">
        <v>23.47</v>
      </c>
      <c r="R2190">
        <v>21.52</v>
      </c>
      <c r="S2190">
        <v>27.39</v>
      </c>
      <c r="T2190">
        <v>23.47</v>
      </c>
      <c r="U2190">
        <v>29.34</v>
      </c>
      <c r="V2190">
        <v>29.34</v>
      </c>
      <c r="W2190">
        <v>29.34</v>
      </c>
      <c r="X2190">
        <v>33.64</v>
      </c>
      <c r="Y2190">
        <v>44.99</v>
      </c>
      <c r="Z2190" t="s">
        <v>5922</v>
      </c>
    </row>
    <row r="2191" spans="1:26" x14ac:dyDescent="0.2">
      <c r="A2191" t="s">
        <v>3929</v>
      </c>
      <c r="B2191" t="s">
        <v>4117</v>
      </c>
      <c r="C2191" t="s">
        <v>4118</v>
      </c>
      <c r="D2191" t="s">
        <v>105</v>
      </c>
      <c r="E2191">
        <v>34.99</v>
      </c>
      <c r="F2191" t="s">
        <v>7021</v>
      </c>
      <c r="H2191">
        <v>21.3</v>
      </c>
      <c r="I2191">
        <v>24.34</v>
      </c>
      <c r="J2191">
        <v>27.38</v>
      </c>
      <c r="K2191">
        <v>25.86</v>
      </c>
      <c r="L2191" t="s">
        <v>5922</v>
      </c>
      <c r="M2191">
        <v>19.78</v>
      </c>
      <c r="N2191">
        <v>24.34</v>
      </c>
      <c r="O2191">
        <v>18.260000000000002</v>
      </c>
      <c r="P2191">
        <v>21.56</v>
      </c>
      <c r="Q2191">
        <v>19.78</v>
      </c>
      <c r="R2191">
        <v>15.21</v>
      </c>
      <c r="S2191">
        <v>22.58</v>
      </c>
      <c r="U2191">
        <v>24.34</v>
      </c>
      <c r="V2191">
        <v>26.08</v>
      </c>
      <c r="W2191">
        <v>26.08</v>
      </c>
      <c r="X2191">
        <v>29.91</v>
      </c>
      <c r="Y2191">
        <v>34.99</v>
      </c>
      <c r="Z2191" t="s">
        <v>5922</v>
      </c>
    </row>
    <row r="2192" spans="1:26" x14ac:dyDescent="0.2">
      <c r="A2192" t="s">
        <v>3929</v>
      </c>
      <c r="B2192" t="s">
        <v>4119</v>
      </c>
      <c r="C2192" t="s">
        <v>4120</v>
      </c>
      <c r="D2192" t="s">
        <v>138</v>
      </c>
      <c r="E2192">
        <v>34.99</v>
      </c>
      <c r="F2192" t="s">
        <v>7021</v>
      </c>
      <c r="G2192">
        <v>34.99</v>
      </c>
      <c r="H2192">
        <v>21.3</v>
      </c>
      <c r="I2192">
        <v>24.34</v>
      </c>
      <c r="J2192">
        <v>27.38</v>
      </c>
      <c r="K2192">
        <v>25.86</v>
      </c>
      <c r="L2192" t="s">
        <v>5922</v>
      </c>
      <c r="M2192">
        <v>22.82</v>
      </c>
      <c r="N2192">
        <v>21.3</v>
      </c>
      <c r="O2192">
        <v>18.260000000000002</v>
      </c>
      <c r="P2192">
        <v>18.86</v>
      </c>
      <c r="Q2192">
        <v>18.260000000000002</v>
      </c>
      <c r="R2192">
        <v>15.21</v>
      </c>
      <c r="S2192">
        <v>16.93</v>
      </c>
      <c r="T2192">
        <v>18.260000000000002</v>
      </c>
      <c r="U2192">
        <v>22.82</v>
      </c>
      <c r="V2192">
        <v>25.86</v>
      </c>
      <c r="W2192">
        <v>25.86</v>
      </c>
      <c r="X2192">
        <v>26.17</v>
      </c>
      <c r="Y2192">
        <v>34.99</v>
      </c>
      <c r="Z2192" t="s">
        <v>5922</v>
      </c>
    </row>
    <row r="2193" spans="1:26" x14ac:dyDescent="0.2">
      <c r="A2193" t="s">
        <v>3929</v>
      </c>
      <c r="B2193" t="s">
        <v>4121</v>
      </c>
      <c r="C2193" t="s">
        <v>4122</v>
      </c>
      <c r="D2193" t="s">
        <v>138</v>
      </c>
      <c r="E2193">
        <v>44.99</v>
      </c>
      <c r="F2193" t="s">
        <v>6926</v>
      </c>
      <c r="H2193">
        <v>27.39</v>
      </c>
      <c r="I2193">
        <v>31.3</v>
      </c>
      <c r="J2193">
        <v>35.21</v>
      </c>
      <c r="K2193">
        <v>31.3</v>
      </c>
      <c r="L2193" t="s">
        <v>5922</v>
      </c>
      <c r="M2193">
        <v>27.39</v>
      </c>
      <c r="N2193">
        <v>27.39</v>
      </c>
      <c r="O2193">
        <v>23.47</v>
      </c>
      <c r="P2193">
        <v>24.78</v>
      </c>
      <c r="Q2193">
        <v>23.47</v>
      </c>
      <c r="R2193">
        <v>21.52</v>
      </c>
      <c r="S2193">
        <v>29.34</v>
      </c>
      <c r="U2193">
        <v>31.3</v>
      </c>
      <c r="V2193">
        <v>33.25</v>
      </c>
      <c r="W2193">
        <v>33.25</v>
      </c>
      <c r="X2193">
        <v>33.64</v>
      </c>
      <c r="Y2193">
        <v>44.99</v>
      </c>
      <c r="Z2193" t="s">
        <v>5922</v>
      </c>
    </row>
    <row r="2194" spans="1:26" x14ac:dyDescent="0.2">
      <c r="A2194" t="s">
        <v>3929</v>
      </c>
      <c r="B2194" t="s">
        <v>4123</v>
      </c>
      <c r="C2194" t="s">
        <v>4124</v>
      </c>
      <c r="D2194" t="s">
        <v>105</v>
      </c>
      <c r="E2194">
        <v>29.99</v>
      </c>
      <c r="F2194" t="s">
        <v>6886</v>
      </c>
      <c r="G2194">
        <v>29.99</v>
      </c>
      <c r="H2194">
        <v>18.25</v>
      </c>
      <c r="I2194">
        <v>20.86</v>
      </c>
      <c r="J2194">
        <v>23.47</v>
      </c>
      <c r="K2194">
        <v>20.86</v>
      </c>
      <c r="L2194" t="s">
        <v>5922</v>
      </c>
      <c r="M2194">
        <v>19.559999999999999</v>
      </c>
      <c r="N2194">
        <v>18.25</v>
      </c>
      <c r="O2194">
        <v>13.04</v>
      </c>
      <c r="P2194">
        <v>16.170000000000002</v>
      </c>
      <c r="Q2194">
        <v>15.65</v>
      </c>
      <c r="R2194">
        <v>14.34</v>
      </c>
      <c r="S2194">
        <v>18.25</v>
      </c>
      <c r="T2194">
        <v>15.65</v>
      </c>
      <c r="U2194">
        <v>19.559999999999999</v>
      </c>
      <c r="V2194">
        <v>20.86</v>
      </c>
      <c r="W2194">
        <v>20.86</v>
      </c>
      <c r="X2194">
        <v>22.43</v>
      </c>
      <c r="Y2194">
        <v>29.99</v>
      </c>
      <c r="Z2194" t="s">
        <v>5922</v>
      </c>
    </row>
    <row r="2195" spans="1:26" x14ac:dyDescent="0.2">
      <c r="A2195" t="s">
        <v>3929</v>
      </c>
      <c r="B2195" t="s">
        <v>4125</v>
      </c>
      <c r="C2195" t="s">
        <v>4126</v>
      </c>
      <c r="D2195" t="s">
        <v>138</v>
      </c>
      <c r="E2195">
        <v>89.99</v>
      </c>
      <c r="F2195" t="s">
        <v>5922</v>
      </c>
      <c r="H2195">
        <v>54.78</v>
      </c>
      <c r="I2195">
        <v>62.6</v>
      </c>
      <c r="J2195">
        <v>78.25</v>
      </c>
      <c r="K2195">
        <v>54.78</v>
      </c>
      <c r="L2195" t="s">
        <v>5922</v>
      </c>
      <c r="M2195">
        <v>58.69</v>
      </c>
      <c r="P2195">
        <v>49.56</v>
      </c>
      <c r="Q2195">
        <v>46.95</v>
      </c>
      <c r="R2195">
        <v>43.04</v>
      </c>
      <c r="S2195">
        <v>54.78</v>
      </c>
      <c r="U2195">
        <v>52.17</v>
      </c>
      <c r="W2195">
        <v>58.69</v>
      </c>
      <c r="X2195">
        <v>67.3</v>
      </c>
      <c r="Y2195">
        <v>89.99</v>
      </c>
      <c r="Z2195" t="s">
        <v>5922</v>
      </c>
    </row>
    <row r="2196" spans="1:26" x14ac:dyDescent="0.2">
      <c r="A2196" t="s">
        <v>3929</v>
      </c>
      <c r="B2196" t="s">
        <v>4129</v>
      </c>
      <c r="C2196" t="s">
        <v>4130</v>
      </c>
      <c r="D2196" t="s">
        <v>105</v>
      </c>
      <c r="E2196">
        <v>69.989999999999995</v>
      </c>
      <c r="F2196" t="s">
        <v>6890</v>
      </c>
      <c r="H2196">
        <v>42.6</v>
      </c>
      <c r="I2196">
        <v>48.69</v>
      </c>
      <c r="J2196">
        <v>54.77</v>
      </c>
      <c r="K2196">
        <v>42.6</v>
      </c>
      <c r="L2196" t="s">
        <v>5922</v>
      </c>
      <c r="M2196">
        <v>42.6</v>
      </c>
      <c r="N2196">
        <v>42.6</v>
      </c>
      <c r="P2196">
        <v>37.729999999999997</v>
      </c>
      <c r="Q2196">
        <v>36.520000000000003</v>
      </c>
      <c r="R2196">
        <v>33.47</v>
      </c>
      <c r="S2196">
        <v>42.6</v>
      </c>
      <c r="U2196">
        <v>45.65</v>
      </c>
      <c r="V2196">
        <v>48.69</v>
      </c>
      <c r="W2196">
        <v>48.69</v>
      </c>
      <c r="X2196">
        <v>52.34</v>
      </c>
      <c r="Y2196">
        <v>69.989999999999995</v>
      </c>
      <c r="Z2196" t="s">
        <v>5922</v>
      </c>
    </row>
    <row r="2197" spans="1:26" x14ac:dyDescent="0.2">
      <c r="A2197" t="s">
        <v>3929</v>
      </c>
      <c r="B2197" t="s">
        <v>4133</v>
      </c>
      <c r="C2197" t="s">
        <v>4134</v>
      </c>
      <c r="D2197" t="s">
        <v>138</v>
      </c>
      <c r="E2197">
        <v>89.99</v>
      </c>
      <c r="F2197" t="s">
        <v>6914</v>
      </c>
      <c r="H2197">
        <v>58.69</v>
      </c>
      <c r="I2197">
        <v>66.510000000000005</v>
      </c>
      <c r="J2197">
        <v>70.430000000000007</v>
      </c>
      <c r="K2197">
        <v>62.6</v>
      </c>
      <c r="L2197" t="s">
        <v>5922</v>
      </c>
      <c r="M2197">
        <v>62.6</v>
      </c>
      <c r="O2197">
        <v>46.95</v>
      </c>
      <c r="P2197">
        <v>52.16</v>
      </c>
      <c r="Q2197">
        <v>54.78</v>
      </c>
      <c r="R2197">
        <v>46.95</v>
      </c>
      <c r="S2197">
        <v>64.56</v>
      </c>
      <c r="U2197">
        <v>62.6</v>
      </c>
      <c r="W2197">
        <v>62.6</v>
      </c>
      <c r="X2197">
        <v>62.6</v>
      </c>
      <c r="Y2197">
        <v>89.99</v>
      </c>
      <c r="Z2197" t="s">
        <v>5922</v>
      </c>
    </row>
    <row r="2198" spans="1:26" x14ac:dyDescent="0.2">
      <c r="A2198" t="s">
        <v>3929</v>
      </c>
      <c r="B2198" t="s">
        <v>4135</v>
      </c>
      <c r="C2198" t="s">
        <v>4136</v>
      </c>
      <c r="D2198" t="s">
        <v>138</v>
      </c>
      <c r="E2198">
        <v>89.99</v>
      </c>
      <c r="F2198" t="s">
        <v>6914</v>
      </c>
      <c r="H2198">
        <v>58.69</v>
      </c>
      <c r="I2198">
        <v>66.510000000000005</v>
      </c>
      <c r="J2198">
        <v>70.430000000000007</v>
      </c>
      <c r="K2198">
        <v>62.6</v>
      </c>
      <c r="L2198" t="s">
        <v>5922</v>
      </c>
      <c r="M2198">
        <v>62.6</v>
      </c>
      <c r="O2198">
        <v>46.95</v>
      </c>
      <c r="P2198">
        <v>52.16</v>
      </c>
      <c r="Q2198">
        <v>54.78</v>
      </c>
      <c r="R2198">
        <v>50.86</v>
      </c>
      <c r="S2198">
        <v>64.56</v>
      </c>
      <c r="U2198">
        <v>62.6</v>
      </c>
      <c r="W2198">
        <v>62.6</v>
      </c>
      <c r="X2198">
        <v>62.6</v>
      </c>
      <c r="Y2198">
        <v>89.99</v>
      </c>
      <c r="Z2198" t="s">
        <v>5922</v>
      </c>
    </row>
    <row r="2199" spans="1:26" x14ac:dyDescent="0.2">
      <c r="A2199" t="s">
        <v>3929</v>
      </c>
      <c r="B2199" t="s">
        <v>4137</v>
      </c>
      <c r="C2199" t="s">
        <v>4138</v>
      </c>
      <c r="D2199" t="s">
        <v>138</v>
      </c>
      <c r="E2199">
        <v>59.99</v>
      </c>
      <c r="F2199" t="s">
        <v>5922</v>
      </c>
      <c r="H2199">
        <v>39.119999999999997</v>
      </c>
      <c r="I2199">
        <v>44.34</v>
      </c>
      <c r="J2199">
        <v>46.95</v>
      </c>
      <c r="K2199">
        <v>41.73</v>
      </c>
      <c r="L2199" t="s">
        <v>5922</v>
      </c>
      <c r="M2199">
        <v>41.73</v>
      </c>
      <c r="O2199">
        <v>31.3</v>
      </c>
      <c r="P2199">
        <v>34.770000000000003</v>
      </c>
      <c r="Q2199">
        <v>36.520000000000003</v>
      </c>
      <c r="R2199">
        <v>31.3</v>
      </c>
      <c r="S2199">
        <v>43.04</v>
      </c>
      <c r="U2199">
        <v>41.73</v>
      </c>
      <c r="W2199">
        <v>46.95</v>
      </c>
      <c r="X2199">
        <v>41.73</v>
      </c>
      <c r="Y2199">
        <v>59.99</v>
      </c>
      <c r="Z2199" t="s">
        <v>5922</v>
      </c>
    </row>
    <row r="2200" spans="1:26" x14ac:dyDescent="0.2">
      <c r="A2200" t="s">
        <v>3929</v>
      </c>
      <c r="B2200" t="s">
        <v>4139</v>
      </c>
      <c r="C2200" t="s">
        <v>4140</v>
      </c>
      <c r="D2200" t="s">
        <v>138</v>
      </c>
      <c r="E2200">
        <v>59.99</v>
      </c>
      <c r="F2200" t="s">
        <v>6889</v>
      </c>
      <c r="H2200">
        <v>39.119999999999997</v>
      </c>
      <c r="I2200">
        <v>44.34</v>
      </c>
      <c r="J2200">
        <v>46.95</v>
      </c>
      <c r="K2200">
        <v>41.73</v>
      </c>
      <c r="L2200" t="s">
        <v>5922</v>
      </c>
      <c r="M2200">
        <v>41.73</v>
      </c>
      <c r="O2200">
        <v>31.3</v>
      </c>
      <c r="P2200">
        <v>34.770000000000003</v>
      </c>
      <c r="Q2200">
        <v>36.520000000000003</v>
      </c>
      <c r="R2200">
        <v>31.3</v>
      </c>
      <c r="S2200">
        <v>43.04</v>
      </c>
      <c r="U2200">
        <v>41.73</v>
      </c>
      <c r="W2200">
        <v>46.95</v>
      </c>
      <c r="X2200">
        <v>41.73</v>
      </c>
      <c r="Y2200">
        <v>59.99</v>
      </c>
      <c r="Z2200" t="s">
        <v>5922</v>
      </c>
    </row>
    <row r="2201" spans="1:26" x14ac:dyDescent="0.2">
      <c r="A2201" t="s">
        <v>3929</v>
      </c>
      <c r="B2201" t="s">
        <v>4141</v>
      </c>
      <c r="C2201" t="s">
        <v>4142</v>
      </c>
      <c r="D2201" t="s">
        <v>138</v>
      </c>
      <c r="E2201">
        <v>59.99</v>
      </c>
      <c r="F2201" t="s">
        <v>5922</v>
      </c>
      <c r="H2201">
        <v>39.119999999999997</v>
      </c>
      <c r="I2201">
        <v>44.34</v>
      </c>
      <c r="J2201">
        <v>46.95</v>
      </c>
      <c r="K2201">
        <v>41.73</v>
      </c>
      <c r="L2201" t="s">
        <v>5922</v>
      </c>
      <c r="M2201">
        <v>41.73</v>
      </c>
      <c r="O2201">
        <v>31.3</v>
      </c>
      <c r="P2201">
        <v>34.770000000000003</v>
      </c>
      <c r="Q2201">
        <v>36.520000000000003</v>
      </c>
      <c r="R2201">
        <v>31.3</v>
      </c>
      <c r="S2201">
        <v>43.04</v>
      </c>
      <c r="U2201">
        <v>41.73</v>
      </c>
      <c r="W2201">
        <v>46.95</v>
      </c>
      <c r="X2201">
        <v>41.73</v>
      </c>
      <c r="Y2201">
        <v>59.99</v>
      </c>
      <c r="Z2201" t="s">
        <v>5922</v>
      </c>
    </row>
    <row r="2202" spans="1:26" x14ac:dyDescent="0.2">
      <c r="A2202" t="s">
        <v>3929</v>
      </c>
      <c r="B2202" t="s">
        <v>4143</v>
      </c>
      <c r="C2202" t="s">
        <v>4144</v>
      </c>
      <c r="D2202" t="s">
        <v>138</v>
      </c>
      <c r="E2202">
        <v>79.989999999999995</v>
      </c>
      <c r="F2202" t="s">
        <v>6934</v>
      </c>
      <c r="H2202">
        <v>52.17</v>
      </c>
      <c r="I2202">
        <v>59.12</v>
      </c>
      <c r="J2202">
        <v>62.6</v>
      </c>
      <c r="K2202">
        <v>55.65</v>
      </c>
      <c r="L2202" t="s">
        <v>5922</v>
      </c>
      <c r="M2202">
        <v>55.65</v>
      </c>
      <c r="O2202">
        <v>41.73</v>
      </c>
      <c r="P2202">
        <v>46.37</v>
      </c>
      <c r="Q2202">
        <v>48.69</v>
      </c>
      <c r="R2202">
        <v>41.73</v>
      </c>
      <c r="S2202">
        <v>57.38</v>
      </c>
      <c r="U2202">
        <v>55.65</v>
      </c>
      <c r="W2202">
        <v>55.65</v>
      </c>
      <c r="X2202">
        <v>55.65</v>
      </c>
      <c r="Y2202">
        <v>79.989999999999995</v>
      </c>
      <c r="Z2202" t="s">
        <v>5922</v>
      </c>
    </row>
    <row r="2203" spans="1:26" x14ac:dyDescent="0.2">
      <c r="A2203" t="s">
        <v>3929</v>
      </c>
      <c r="B2203" t="s">
        <v>4145</v>
      </c>
      <c r="C2203" t="s">
        <v>4146</v>
      </c>
      <c r="D2203" t="s">
        <v>138</v>
      </c>
      <c r="E2203">
        <v>79.989999999999995</v>
      </c>
      <c r="F2203" t="s">
        <v>6934</v>
      </c>
      <c r="H2203">
        <v>52.17</v>
      </c>
      <c r="I2203">
        <v>59.12</v>
      </c>
      <c r="J2203">
        <v>62.6</v>
      </c>
      <c r="K2203">
        <v>55.65</v>
      </c>
      <c r="L2203" t="s">
        <v>5922</v>
      </c>
      <c r="M2203">
        <v>55.65</v>
      </c>
      <c r="O2203">
        <v>41.73</v>
      </c>
      <c r="P2203">
        <v>46.37</v>
      </c>
      <c r="Q2203">
        <v>48.69</v>
      </c>
      <c r="R2203">
        <v>41.73</v>
      </c>
      <c r="S2203">
        <v>57.38</v>
      </c>
      <c r="U2203">
        <v>55.65</v>
      </c>
      <c r="W2203">
        <v>55.65</v>
      </c>
      <c r="X2203">
        <v>55.65</v>
      </c>
      <c r="Y2203">
        <v>79.989999999999995</v>
      </c>
      <c r="Z2203" t="s">
        <v>5922</v>
      </c>
    </row>
    <row r="2204" spans="1:26" x14ac:dyDescent="0.2">
      <c r="A2204" t="s">
        <v>3929</v>
      </c>
      <c r="B2204" t="s">
        <v>4147</v>
      </c>
      <c r="C2204" t="s">
        <v>4148</v>
      </c>
      <c r="D2204" t="s">
        <v>138</v>
      </c>
      <c r="E2204">
        <v>119.99</v>
      </c>
      <c r="F2204" t="s">
        <v>6905</v>
      </c>
      <c r="H2204">
        <v>78.25</v>
      </c>
      <c r="I2204">
        <v>88.69</v>
      </c>
      <c r="J2204">
        <v>93.91</v>
      </c>
      <c r="K2204">
        <v>83.47</v>
      </c>
      <c r="L2204" t="s">
        <v>5922</v>
      </c>
      <c r="M2204">
        <v>83.47</v>
      </c>
      <c r="N2204">
        <v>86.08</v>
      </c>
      <c r="O2204">
        <v>67.819999999999993</v>
      </c>
      <c r="P2204">
        <v>73.040000000000006</v>
      </c>
      <c r="Q2204">
        <v>67.819999999999993</v>
      </c>
      <c r="R2204">
        <v>67.819999999999993</v>
      </c>
      <c r="S2204">
        <v>83.47</v>
      </c>
      <c r="U2204">
        <v>78.25</v>
      </c>
      <c r="W2204">
        <v>83.47</v>
      </c>
      <c r="X2204">
        <v>89.73</v>
      </c>
      <c r="Y2204">
        <v>119.99</v>
      </c>
      <c r="Z2204" t="s">
        <v>5922</v>
      </c>
    </row>
    <row r="2205" spans="1:26" x14ac:dyDescent="0.2">
      <c r="A2205" t="s">
        <v>3929</v>
      </c>
      <c r="B2205" t="s">
        <v>4149</v>
      </c>
      <c r="C2205" t="s">
        <v>4150</v>
      </c>
      <c r="D2205" t="s">
        <v>105</v>
      </c>
      <c r="E2205">
        <v>89.99</v>
      </c>
      <c r="F2205" t="s">
        <v>6914</v>
      </c>
      <c r="H2205">
        <v>54.78</v>
      </c>
      <c r="I2205">
        <v>62.6</v>
      </c>
      <c r="J2205">
        <v>70.430000000000007</v>
      </c>
      <c r="K2205">
        <v>62.6</v>
      </c>
      <c r="L2205" t="s">
        <v>5922</v>
      </c>
      <c r="M2205">
        <v>54.78</v>
      </c>
      <c r="N2205">
        <v>54.78</v>
      </c>
      <c r="O2205">
        <v>46.95</v>
      </c>
      <c r="P2205">
        <v>48.52</v>
      </c>
      <c r="Q2205">
        <v>46.95</v>
      </c>
      <c r="R2205">
        <v>46.95</v>
      </c>
      <c r="S2205">
        <v>54.78</v>
      </c>
      <c r="U2205">
        <v>58.69</v>
      </c>
      <c r="W2205">
        <v>62.6</v>
      </c>
      <c r="X2205">
        <v>62.6</v>
      </c>
      <c r="Y2205">
        <v>89.99</v>
      </c>
      <c r="Z2205" t="s">
        <v>5922</v>
      </c>
    </row>
    <row r="2206" spans="1:26" x14ac:dyDescent="0.2">
      <c r="A2206" t="s">
        <v>3929</v>
      </c>
      <c r="B2206" t="s">
        <v>4151</v>
      </c>
      <c r="C2206" t="s">
        <v>4152</v>
      </c>
      <c r="D2206" t="s">
        <v>105</v>
      </c>
      <c r="E2206">
        <v>89.99</v>
      </c>
      <c r="F2206" t="s">
        <v>6914</v>
      </c>
      <c r="H2206">
        <v>54.78</v>
      </c>
      <c r="I2206">
        <v>62.6</v>
      </c>
      <c r="J2206">
        <v>70.430000000000007</v>
      </c>
      <c r="K2206">
        <v>62.6</v>
      </c>
      <c r="L2206" t="s">
        <v>5922</v>
      </c>
      <c r="M2206">
        <v>54.78</v>
      </c>
      <c r="N2206">
        <v>54.78</v>
      </c>
      <c r="O2206">
        <v>46.95</v>
      </c>
      <c r="P2206">
        <v>48.52</v>
      </c>
      <c r="Q2206">
        <v>46.95</v>
      </c>
      <c r="R2206">
        <v>46.95</v>
      </c>
      <c r="S2206">
        <v>54.78</v>
      </c>
      <c r="U2206">
        <v>58.69</v>
      </c>
      <c r="W2206">
        <v>62.6</v>
      </c>
      <c r="X2206">
        <v>62.6</v>
      </c>
      <c r="Y2206">
        <v>89.99</v>
      </c>
      <c r="Z2206" t="s">
        <v>5922</v>
      </c>
    </row>
    <row r="2207" spans="1:26" x14ac:dyDescent="0.2">
      <c r="A2207" t="s">
        <v>3929</v>
      </c>
      <c r="B2207" t="s">
        <v>4153</v>
      </c>
      <c r="C2207" t="s">
        <v>4154</v>
      </c>
      <c r="D2207" t="s">
        <v>105</v>
      </c>
      <c r="E2207">
        <v>89.99</v>
      </c>
      <c r="F2207" t="s">
        <v>6914</v>
      </c>
      <c r="H2207">
        <v>54.78</v>
      </c>
      <c r="I2207">
        <v>62.6</v>
      </c>
      <c r="J2207">
        <v>70.430000000000007</v>
      </c>
      <c r="K2207">
        <v>62.6</v>
      </c>
      <c r="L2207" t="s">
        <v>5922</v>
      </c>
      <c r="M2207">
        <v>54.78</v>
      </c>
      <c r="N2207">
        <v>54.78</v>
      </c>
      <c r="O2207">
        <v>46.95</v>
      </c>
      <c r="P2207">
        <v>48.52</v>
      </c>
      <c r="Q2207">
        <v>46.95</v>
      </c>
      <c r="R2207">
        <v>46.95</v>
      </c>
      <c r="S2207">
        <v>54.78</v>
      </c>
      <c r="U2207">
        <v>58.69</v>
      </c>
      <c r="W2207">
        <v>62.6</v>
      </c>
      <c r="X2207">
        <v>62.6</v>
      </c>
      <c r="Y2207">
        <v>89.99</v>
      </c>
      <c r="Z2207" t="s">
        <v>5922</v>
      </c>
    </row>
    <row r="2208" spans="1:26" x14ac:dyDescent="0.2">
      <c r="A2208" t="s">
        <v>3929</v>
      </c>
      <c r="B2208" t="s">
        <v>4155</v>
      </c>
      <c r="C2208" t="s">
        <v>4156</v>
      </c>
      <c r="D2208" t="s">
        <v>105</v>
      </c>
      <c r="E2208">
        <v>39.99</v>
      </c>
      <c r="F2208" t="s">
        <v>6887</v>
      </c>
      <c r="H2208">
        <v>24.34</v>
      </c>
      <c r="I2208">
        <v>27.82</v>
      </c>
      <c r="J2208">
        <v>31.3</v>
      </c>
      <c r="K2208">
        <v>27.82</v>
      </c>
      <c r="L2208" t="s">
        <v>5922</v>
      </c>
      <c r="M2208">
        <v>24.34</v>
      </c>
      <c r="N2208">
        <v>24.34</v>
      </c>
      <c r="O2208">
        <v>20.86</v>
      </c>
      <c r="P2208">
        <v>21.56</v>
      </c>
      <c r="Q2208">
        <v>20.86</v>
      </c>
      <c r="R2208">
        <v>20.86</v>
      </c>
      <c r="S2208">
        <v>24.34</v>
      </c>
      <c r="U2208">
        <v>29.56</v>
      </c>
      <c r="W2208">
        <v>31.3</v>
      </c>
      <c r="X2208">
        <v>27.82</v>
      </c>
      <c r="Y2208">
        <v>39.99</v>
      </c>
      <c r="Z2208" t="s">
        <v>5922</v>
      </c>
    </row>
    <row r="2209" spans="1:26" x14ac:dyDescent="0.2">
      <c r="A2209" t="s">
        <v>3929</v>
      </c>
      <c r="B2209" t="s">
        <v>4157</v>
      </c>
      <c r="C2209" t="s">
        <v>4158</v>
      </c>
      <c r="D2209" t="s">
        <v>105</v>
      </c>
      <c r="E2209">
        <v>39.99</v>
      </c>
      <c r="F2209" t="s">
        <v>6887</v>
      </c>
      <c r="H2209">
        <v>24.34</v>
      </c>
      <c r="I2209">
        <v>27.82</v>
      </c>
      <c r="J2209">
        <v>31.3</v>
      </c>
      <c r="K2209">
        <v>27.82</v>
      </c>
      <c r="L2209" t="s">
        <v>5922</v>
      </c>
      <c r="M2209">
        <v>24.34</v>
      </c>
      <c r="N2209">
        <v>24.34</v>
      </c>
      <c r="O2209">
        <v>20.86</v>
      </c>
      <c r="P2209">
        <v>21.56</v>
      </c>
      <c r="Q2209">
        <v>20.86</v>
      </c>
      <c r="R2209">
        <v>20.86</v>
      </c>
      <c r="S2209">
        <v>24.34</v>
      </c>
      <c r="U2209">
        <v>29.56</v>
      </c>
      <c r="W2209">
        <v>31.3</v>
      </c>
      <c r="X2209">
        <v>27.82</v>
      </c>
      <c r="Y2209">
        <v>39.99</v>
      </c>
      <c r="Z2209" t="s">
        <v>5922</v>
      </c>
    </row>
    <row r="2210" spans="1:26" x14ac:dyDescent="0.2">
      <c r="A2210" t="s">
        <v>3929</v>
      </c>
      <c r="B2210" t="s">
        <v>4159</v>
      </c>
      <c r="C2210" t="s">
        <v>4160</v>
      </c>
      <c r="D2210" t="s">
        <v>138</v>
      </c>
      <c r="E2210">
        <v>39.99</v>
      </c>
      <c r="F2210" t="s">
        <v>6887</v>
      </c>
      <c r="H2210">
        <v>24.34</v>
      </c>
      <c r="I2210">
        <v>27.82</v>
      </c>
      <c r="J2210">
        <v>31.3</v>
      </c>
      <c r="K2210">
        <v>27.82</v>
      </c>
      <c r="L2210" t="s">
        <v>5922</v>
      </c>
      <c r="M2210">
        <v>24.34</v>
      </c>
      <c r="N2210">
        <v>24.34</v>
      </c>
      <c r="O2210">
        <v>20.86</v>
      </c>
      <c r="P2210">
        <v>21.56</v>
      </c>
      <c r="Q2210">
        <v>20.86</v>
      </c>
      <c r="R2210">
        <v>20.86</v>
      </c>
      <c r="S2210">
        <v>24.34</v>
      </c>
      <c r="U2210">
        <v>29.56</v>
      </c>
      <c r="W2210">
        <v>31.3</v>
      </c>
      <c r="X2210">
        <v>27.82</v>
      </c>
      <c r="Y2210">
        <v>39.99</v>
      </c>
      <c r="Z2210" t="s">
        <v>5922</v>
      </c>
    </row>
    <row r="2211" spans="1:26" x14ac:dyDescent="0.2">
      <c r="A2211" t="s">
        <v>3929</v>
      </c>
      <c r="B2211" t="s">
        <v>4161</v>
      </c>
      <c r="C2211" t="s">
        <v>4162</v>
      </c>
      <c r="D2211" t="s">
        <v>98</v>
      </c>
      <c r="E2211">
        <v>139.99</v>
      </c>
      <c r="F2211" t="s">
        <v>7085</v>
      </c>
      <c r="G2211">
        <v>139.99</v>
      </c>
      <c r="H2211">
        <v>85.21</v>
      </c>
      <c r="I2211">
        <v>97.38</v>
      </c>
      <c r="J2211">
        <v>109.56</v>
      </c>
      <c r="K2211">
        <v>91.3</v>
      </c>
      <c r="L2211" t="s">
        <v>5922</v>
      </c>
      <c r="M2211">
        <v>91.3</v>
      </c>
      <c r="N2211">
        <v>85.21</v>
      </c>
      <c r="O2211">
        <v>67.819999999999993</v>
      </c>
      <c r="P2211">
        <v>77.099999999999994</v>
      </c>
      <c r="Q2211">
        <v>73.040000000000006</v>
      </c>
      <c r="R2211">
        <v>73.040000000000006</v>
      </c>
      <c r="S2211">
        <v>91.3</v>
      </c>
      <c r="T2211">
        <v>73.040000000000006</v>
      </c>
      <c r="U2211">
        <v>79.12</v>
      </c>
      <c r="V2211">
        <v>91.3</v>
      </c>
      <c r="W2211">
        <v>91.3</v>
      </c>
      <c r="X2211">
        <v>104.69</v>
      </c>
      <c r="Y2211">
        <v>139.99</v>
      </c>
      <c r="Z2211" t="s">
        <v>5922</v>
      </c>
    </row>
    <row r="2212" spans="1:26" x14ac:dyDescent="0.2">
      <c r="A2212" t="s">
        <v>4163</v>
      </c>
      <c r="B2212" t="s">
        <v>6126</v>
      </c>
      <c r="C2212" t="s">
        <v>4164</v>
      </c>
      <c r="D2212" t="s">
        <v>98</v>
      </c>
      <c r="E2212">
        <v>39</v>
      </c>
      <c r="F2212" t="s">
        <v>5922</v>
      </c>
      <c r="G2212">
        <v>39</v>
      </c>
      <c r="H2212">
        <v>28.83</v>
      </c>
      <c r="I2212">
        <v>27.13</v>
      </c>
      <c r="J2212">
        <v>27.13</v>
      </c>
      <c r="L2212" t="s">
        <v>5922</v>
      </c>
      <c r="R2212">
        <v>33.909999999999997</v>
      </c>
      <c r="U2212">
        <v>23.74</v>
      </c>
      <c r="V2212">
        <v>23.74</v>
      </c>
      <c r="W2212">
        <v>28.83</v>
      </c>
      <c r="X2212">
        <v>25.43</v>
      </c>
      <c r="Y2212">
        <v>39</v>
      </c>
      <c r="Z2212" t="s">
        <v>5922</v>
      </c>
    </row>
    <row r="2213" spans="1:26" x14ac:dyDescent="0.2">
      <c r="A2213" t="s">
        <v>4163</v>
      </c>
      <c r="B2213" t="s">
        <v>4165</v>
      </c>
      <c r="C2213" t="s">
        <v>4166</v>
      </c>
      <c r="D2213" t="s">
        <v>98</v>
      </c>
      <c r="E2213">
        <v>349.99</v>
      </c>
      <c r="F2213" t="s">
        <v>5922</v>
      </c>
      <c r="G2213">
        <v>349.99</v>
      </c>
      <c r="H2213">
        <v>228.25</v>
      </c>
      <c r="I2213">
        <v>304.33999999999997</v>
      </c>
      <c r="J2213">
        <v>304.33999999999997</v>
      </c>
      <c r="L2213" t="s">
        <v>5922</v>
      </c>
      <c r="M2213">
        <v>304.33999999999997</v>
      </c>
      <c r="N2213">
        <v>304.33999999999997</v>
      </c>
      <c r="O2213">
        <v>228.25</v>
      </c>
      <c r="P2213">
        <v>304.33999999999997</v>
      </c>
      <c r="Q2213">
        <v>304.33999999999997</v>
      </c>
      <c r="R2213">
        <v>228.25</v>
      </c>
      <c r="S2213">
        <v>304.33999999999997</v>
      </c>
      <c r="T2213">
        <v>228.25</v>
      </c>
      <c r="U2213">
        <v>228.25</v>
      </c>
      <c r="V2213">
        <v>228.25</v>
      </c>
      <c r="W2213">
        <v>273.91000000000003</v>
      </c>
      <c r="X2213">
        <v>228.25</v>
      </c>
      <c r="Y2213">
        <v>349.99</v>
      </c>
      <c r="Z2213" t="s">
        <v>5922</v>
      </c>
    </row>
    <row r="2214" spans="1:26" x14ac:dyDescent="0.2">
      <c r="A2214" t="s">
        <v>4163</v>
      </c>
      <c r="B2214" t="s">
        <v>6127</v>
      </c>
      <c r="C2214" t="s">
        <v>4166</v>
      </c>
      <c r="D2214" t="s">
        <v>105</v>
      </c>
      <c r="E2214">
        <v>399</v>
      </c>
      <c r="F2214" t="s">
        <v>6948</v>
      </c>
      <c r="G2214">
        <v>399</v>
      </c>
      <c r="H2214">
        <v>260.22000000000003</v>
      </c>
      <c r="I2214">
        <v>242.78</v>
      </c>
      <c r="J2214">
        <v>242.78</v>
      </c>
      <c r="L2214" t="s">
        <v>5922</v>
      </c>
      <c r="Q2214">
        <v>260.22000000000003</v>
      </c>
      <c r="R2214">
        <v>260.22000000000003</v>
      </c>
      <c r="U2214">
        <v>260.22000000000003</v>
      </c>
      <c r="V2214">
        <v>253.28</v>
      </c>
      <c r="W2214">
        <v>294.91000000000003</v>
      </c>
      <c r="X2214">
        <v>260.22000000000003</v>
      </c>
      <c r="Y2214">
        <v>399</v>
      </c>
      <c r="Z2214" t="s">
        <v>5922</v>
      </c>
    </row>
    <row r="2215" spans="1:26" x14ac:dyDescent="0.2">
      <c r="A2215" t="s">
        <v>4163</v>
      </c>
      <c r="B2215" t="s">
        <v>6128</v>
      </c>
      <c r="C2215" t="s">
        <v>4167</v>
      </c>
      <c r="D2215" t="s">
        <v>98</v>
      </c>
      <c r="E2215">
        <v>45</v>
      </c>
      <c r="F2215" t="s">
        <v>5922</v>
      </c>
      <c r="G2215">
        <v>45</v>
      </c>
      <c r="H2215">
        <v>33.26</v>
      </c>
      <c r="I2215">
        <v>31.3</v>
      </c>
      <c r="J2215">
        <v>31.3</v>
      </c>
      <c r="L2215" t="s">
        <v>5922</v>
      </c>
      <c r="R2215">
        <v>39.130000000000003</v>
      </c>
      <c r="U2215">
        <v>27.39</v>
      </c>
      <c r="V2215">
        <v>27.39</v>
      </c>
      <c r="W2215">
        <v>33.26</v>
      </c>
      <c r="X2215">
        <v>29.35</v>
      </c>
      <c r="Y2215">
        <v>45</v>
      </c>
      <c r="Z2215" t="s">
        <v>5922</v>
      </c>
    </row>
    <row r="2216" spans="1:26" x14ac:dyDescent="0.2">
      <c r="A2216" t="s">
        <v>4163</v>
      </c>
      <c r="B2216" t="s">
        <v>4168</v>
      </c>
      <c r="C2216" t="s">
        <v>4169</v>
      </c>
      <c r="D2216" t="s">
        <v>98</v>
      </c>
      <c r="E2216">
        <v>0</v>
      </c>
      <c r="F2216" t="s">
        <v>5922</v>
      </c>
      <c r="G2216">
        <v>0</v>
      </c>
      <c r="L2216" t="s">
        <v>5922</v>
      </c>
      <c r="U2216">
        <v>0</v>
      </c>
      <c r="V2216">
        <v>0</v>
      </c>
      <c r="W2216">
        <v>0</v>
      </c>
      <c r="X2216">
        <v>0</v>
      </c>
      <c r="Y2216">
        <v>0</v>
      </c>
      <c r="Z2216" t="s">
        <v>5922</v>
      </c>
    </row>
    <row r="2217" spans="1:26" x14ac:dyDescent="0.2">
      <c r="A2217" t="s">
        <v>4163</v>
      </c>
      <c r="B2217" t="s">
        <v>6129</v>
      </c>
      <c r="C2217" t="s">
        <v>4170</v>
      </c>
      <c r="D2217" t="s">
        <v>105</v>
      </c>
      <c r="E2217">
        <v>459</v>
      </c>
      <c r="F2217" t="s">
        <v>7410</v>
      </c>
      <c r="G2217">
        <v>459</v>
      </c>
      <c r="H2217">
        <v>299.35000000000002</v>
      </c>
      <c r="I2217">
        <v>291.48</v>
      </c>
      <c r="J2217">
        <v>291.48</v>
      </c>
      <c r="L2217" t="s">
        <v>5922</v>
      </c>
      <c r="Q2217">
        <v>299.35000000000002</v>
      </c>
      <c r="R2217">
        <v>299.35000000000002</v>
      </c>
      <c r="U2217">
        <v>291.37</v>
      </c>
      <c r="V2217">
        <v>291.37</v>
      </c>
      <c r="W2217">
        <v>339.26</v>
      </c>
      <c r="X2217">
        <v>299.35000000000002</v>
      </c>
      <c r="Y2217">
        <v>459</v>
      </c>
      <c r="Z2217" t="s">
        <v>5922</v>
      </c>
    </row>
    <row r="2218" spans="1:26" x14ac:dyDescent="0.2">
      <c r="A2218" t="s">
        <v>4163</v>
      </c>
      <c r="B2218" t="s">
        <v>6130</v>
      </c>
      <c r="C2218" t="s">
        <v>4171</v>
      </c>
      <c r="D2218" t="s">
        <v>105</v>
      </c>
      <c r="E2218">
        <v>479</v>
      </c>
      <c r="F2218" t="s">
        <v>7411</v>
      </c>
      <c r="G2218">
        <v>479</v>
      </c>
      <c r="H2218">
        <v>312.39</v>
      </c>
      <c r="I2218">
        <v>312.35000000000002</v>
      </c>
      <c r="J2218">
        <v>312.35000000000002</v>
      </c>
      <c r="L2218" t="s">
        <v>5922</v>
      </c>
      <c r="Q2218">
        <v>312.39</v>
      </c>
      <c r="R2218">
        <v>312.39</v>
      </c>
      <c r="U2218">
        <v>304.06</v>
      </c>
      <c r="V2218">
        <v>304.06</v>
      </c>
      <c r="W2218">
        <v>354.04</v>
      </c>
      <c r="X2218">
        <v>312.39</v>
      </c>
      <c r="Y2218">
        <v>479</v>
      </c>
      <c r="Z2218" t="s">
        <v>5922</v>
      </c>
    </row>
    <row r="2219" spans="1:26" x14ac:dyDescent="0.2">
      <c r="A2219" t="s">
        <v>4163</v>
      </c>
      <c r="B2219" t="s">
        <v>6131</v>
      </c>
      <c r="C2219" t="s">
        <v>4172</v>
      </c>
      <c r="D2219" t="s">
        <v>98</v>
      </c>
      <c r="E2219">
        <v>379</v>
      </c>
      <c r="F2219" t="s">
        <v>5922</v>
      </c>
      <c r="G2219">
        <v>329.57</v>
      </c>
      <c r="H2219">
        <v>280.13</v>
      </c>
      <c r="I2219">
        <v>263.64999999999998</v>
      </c>
      <c r="J2219">
        <v>263.64999999999998</v>
      </c>
      <c r="L2219" t="s">
        <v>5922</v>
      </c>
      <c r="R2219">
        <v>329.57</v>
      </c>
      <c r="U2219">
        <v>230.7</v>
      </c>
      <c r="V2219">
        <v>230.7</v>
      </c>
      <c r="W2219">
        <v>280.13</v>
      </c>
      <c r="X2219">
        <v>247.17</v>
      </c>
      <c r="Y2219">
        <v>379</v>
      </c>
      <c r="Z2219" t="s">
        <v>5922</v>
      </c>
    </row>
    <row r="2220" spans="1:26" x14ac:dyDescent="0.2">
      <c r="A2220" t="s">
        <v>4163</v>
      </c>
      <c r="B2220" t="s">
        <v>6132</v>
      </c>
      <c r="C2220" t="s">
        <v>4173</v>
      </c>
      <c r="D2220" t="s">
        <v>105</v>
      </c>
      <c r="E2220">
        <v>119</v>
      </c>
      <c r="F2220" t="s">
        <v>6950</v>
      </c>
      <c r="G2220">
        <v>119</v>
      </c>
      <c r="H2220">
        <v>77.61</v>
      </c>
      <c r="I2220">
        <v>80</v>
      </c>
      <c r="J2220">
        <v>80</v>
      </c>
      <c r="L2220" t="s">
        <v>5922</v>
      </c>
      <c r="Q2220">
        <v>77.61</v>
      </c>
      <c r="R2220">
        <v>77.61</v>
      </c>
      <c r="U2220">
        <v>85.06</v>
      </c>
      <c r="V2220">
        <v>85.06</v>
      </c>
      <c r="W2220">
        <v>87.96</v>
      </c>
      <c r="X2220">
        <v>77.61</v>
      </c>
      <c r="Y2220">
        <v>119</v>
      </c>
      <c r="Z2220" t="s">
        <v>5922</v>
      </c>
    </row>
    <row r="2221" spans="1:26" x14ac:dyDescent="0.2">
      <c r="A2221" t="s">
        <v>4163</v>
      </c>
      <c r="B2221" t="s">
        <v>6133</v>
      </c>
      <c r="C2221" t="s">
        <v>4174</v>
      </c>
      <c r="D2221" t="s">
        <v>105</v>
      </c>
      <c r="E2221">
        <v>159</v>
      </c>
      <c r="F2221" t="s">
        <v>7412</v>
      </c>
      <c r="G2221">
        <v>159</v>
      </c>
      <c r="H2221">
        <v>103.7</v>
      </c>
      <c r="I2221">
        <v>107.83</v>
      </c>
      <c r="J2221">
        <v>107.83</v>
      </c>
      <c r="L2221" t="s">
        <v>5922</v>
      </c>
      <c r="Q2221">
        <v>103.7</v>
      </c>
      <c r="R2221">
        <v>103.7</v>
      </c>
      <c r="U2221">
        <v>107.28</v>
      </c>
      <c r="V2221">
        <v>107.28</v>
      </c>
      <c r="W2221">
        <v>117.52</v>
      </c>
      <c r="X2221">
        <v>103.7</v>
      </c>
      <c r="Y2221">
        <v>159</v>
      </c>
      <c r="Z2221" t="s">
        <v>5922</v>
      </c>
    </row>
    <row r="2222" spans="1:26" x14ac:dyDescent="0.2">
      <c r="A2222" t="s">
        <v>4163</v>
      </c>
      <c r="B2222" t="s">
        <v>6134</v>
      </c>
      <c r="C2222" t="s">
        <v>4175</v>
      </c>
      <c r="D2222" t="s">
        <v>105</v>
      </c>
      <c r="E2222">
        <v>189</v>
      </c>
      <c r="F2222" t="s">
        <v>7057</v>
      </c>
      <c r="G2222">
        <v>189</v>
      </c>
      <c r="H2222">
        <v>123.26</v>
      </c>
      <c r="I2222">
        <v>131.47999999999999</v>
      </c>
      <c r="J2222">
        <v>131.47999999999999</v>
      </c>
      <c r="L2222" t="s">
        <v>5922</v>
      </c>
      <c r="Q2222">
        <v>123.26</v>
      </c>
      <c r="R2222">
        <v>123.26</v>
      </c>
      <c r="U2222">
        <v>132.66999999999999</v>
      </c>
      <c r="V2222">
        <v>132.66999999999999</v>
      </c>
      <c r="W2222">
        <v>139.69999999999999</v>
      </c>
      <c r="X2222">
        <v>123.26</v>
      </c>
      <c r="Y2222">
        <v>189</v>
      </c>
      <c r="Z2222" t="s">
        <v>5922</v>
      </c>
    </row>
    <row r="2223" spans="1:26" x14ac:dyDescent="0.2">
      <c r="A2223" t="s">
        <v>4163</v>
      </c>
      <c r="B2223" t="s">
        <v>6135</v>
      </c>
      <c r="C2223" t="s">
        <v>4176</v>
      </c>
      <c r="D2223" t="s">
        <v>105</v>
      </c>
      <c r="E2223">
        <v>239</v>
      </c>
      <c r="F2223" t="s">
        <v>7056</v>
      </c>
      <c r="G2223">
        <v>239</v>
      </c>
      <c r="H2223">
        <v>155.87</v>
      </c>
      <c r="I2223">
        <v>173.22</v>
      </c>
      <c r="J2223">
        <v>173.22</v>
      </c>
      <c r="L2223" t="s">
        <v>5922</v>
      </c>
      <c r="Q2223">
        <v>155.87</v>
      </c>
      <c r="R2223">
        <v>155.87</v>
      </c>
      <c r="U2223">
        <v>161.22999999999999</v>
      </c>
      <c r="V2223">
        <v>161.22999999999999</v>
      </c>
      <c r="W2223">
        <v>184.04</v>
      </c>
      <c r="X2223">
        <v>162.38999999999999</v>
      </c>
      <c r="Y2223">
        <v>239</v>
      </c>
      <c r="Z2223" t="s">
        <v>5922</v>
      </c>
    </row>
    <row r="2224" spans="1:26" x14ac:dyDescent="0.2">
      <c r="A2224" t="s">
        <v>4163</v>
      </c>
      <c r="B2224" t="s">
        <v>6136</v>
      </c>
      <c r="C2224" t="s">
        <v>4177</v>
      </c>
      <c r="D2224" t="s">
        <v>105</v>
      </c>
      <c r="E2224">
        <v>289</v>
      </c>
      <c r="F2224" t="s">
        <v>6935</v>
      </c>
      <c r="G2224">
        <v>289</v>
      </c>
      <c r="H2224">
        <v>188.48</v>
      </c>
      <c r="I2224">
        <v>194.09</v>
      </c>
      <c r="J2224">
        <v>194.09</v>
      </c>
      <c r="L2224" t="s">
        <v>5922</v>
      </c>
      <c r="Q2224">
        <v>188.48</v>
      </c>
      <c r="R2224">
        <v>188.48</v>
      </c>
      <c r="U2224">
        <v>189.8</v>
      </c>
      <c r="V2224">
        <v>189.8</v>
      </c>
      <c r="W2224">
        <v>213.61</v>
      </c>
      <c r="X2224">
        <v>188.48</v>
      </c>
      <c r="Y2224">
        <v>289</v>
      </c>
      <c r="Z2224" t="s">
        <v>5922</v>
      </c>
    </row>
    <row r="2225" spans="1:26" x14ac:dyDescent="0.2">
      <c r="A2225" t="s">
        <v>4163</v>
      </c>
      <c r="B2225" t="s">
        <v>6137</v>
      </c>
      <c r="C2225" t="s">
        <v>4178</v>
      </c>
      <c r="D2225" t="s">
        <v>105</v>
      </c>
      <c r="E2225">
        <v>289</v>
      </c>
      <c r="F2225" t="s">
        <v>6935</v>
      </c>
      <c r="G2225">
        <v>289</v>
      </c>
      <c r="H2225">
        <v>188.48</v>
      </c>
      <c r="I2225">
        <v>180.17</v>
      </c>
      <c r="J2225">
        <v>180.17</v>
      </c>
      <c r="L2225" t="s">
        <v>5922</v>
      </c>
      <c r="Q2225">
        <v>188.48</v>
      </c>
      <c r="R2225">
        <v>188.48</v>
      </c>
      <c r="U2225">
        <v>189.8</v>
      </c>
      <c r="V2225">
        <v>189.8</v>
      </c>
      <c r="W2225">
        <v>213.61</v>
      </c>
      <c r="X2225">
        <v>188.48</v>
      </c>
      <c r="Y2225">
        <v>289</v>
      </c>
      <c r="Z2225" t="s">
        <v>5922</v>
      </c>
    </row>
    <row r="2226" spans="1:26" x14ac:dyDescent="0.2">
      <c r="A2226" t="s">
        <v>4163</v>
      </c>
      <c r="B2226" t="s">
        <v>6138</v>
      </c>
      <c r="C2226" t="s">
        <v>4179</v>
      </c>
      <c r="D2226" t="s">
        <v>105</v>
      </c>
      <c r="E2226">
        <v>84.95</v>
      </c>
      <c r="F2226" t="s">
        <v>7059</v>
      </c>
      <c r="G2226">
        <v>89</v>
      </c>
      <c r="H2226">
        <v>58.04</v>
      </c>
      <c r="I2226">
        <v>59.1</v>
      </c>
      <c r="J2226">
        <v>59.1</v>
      </c>
      <c r="L2226" t="s">
        <v>5922</v>
      </c>
      <c r="Q2226">
        <v>58.04</v>
      </c>
      <c r="R2226">
        <v>58.04</v>
      </c>
      <c r="U2226">
        <v>66.02</v>
      </c>
      <c r="V2226">
        <v>66.02</v>
      </c>
      <c r="W2226">
        <v>65.78</v>
      </c>
      <c r="X2226">
        <v>58.04</v>
      </c>
      <c r="Y2226">
        <v>89</v>
      </c>
      <c r="Z2226" t="s">
        <v>5922</v>
      </c>
    </row>
    <row r="2227" spans="1:26" x14ac:dyDescent="0.2">
      <c r="A2227" t="s">
        <v>4163</v>
      </c>
      <c r="B2227" t="s">
        <v>6139</v>
      </c>
      <c r="C2227" t="s">
        <v>4180</v>
      </c>
      <c r="D2227" t="s">
        <v>105</v>
      </c>
      <c r="E2227">
        <v>399</v>
      </c>
      <c r="F2227" t="s">
        <v>6948</v>
      </c>
      <c r="G2227">
        <v>399</v>
      </c>
      <c r="H2227">
        <v>260.22000000000003</v>
      </c>
      <c r="I2227">
        <v>249.74</v>
      </c>
      <c r="J2227">
        <v>249.74</v>
      </c>
      <c r="L2227" t="s">
        <v>5922</v>
      </c>
      <c r="Q2227">
        <v>260.22000000000003</v>
      </c>
      <c r="R2227">
        <v>260.22000000000003</v>
      </c>
      <c r="U2227">
        <v>259.63</v>
      </c>
      <c r="V2227">
        <v>259.63</v>
      </c>
      <c r="W2227">
        <v>294.91000000000003</v>
      </c>
      <c r="X2227">
        <v>260.22000000000003</v>
      </c>
      <c r="Y2227">
        <v>399</v>
      </c>
      <c r="Z2227" t="s">
        <v>5922</v>
      </c>
    </row>
    <row r="2228" spans="1:26" x14ac:dyDescent="0.2">
      <c r="A2228" t="s">
        <v>4163</v>
      </c>
      <c r="B2228" t="s">
        <v>6140</v>
      </c>
      <c r="C2228" t="s">
        <v>4181</v>
      </c>
      <c r="D2228" t="s">
        <v>105</v>
      </c>
      <c r="E2228">
        <v>399</v>
      </c>
      <c r="F2228" t="s">
        <v>6948</v>
      </c>
      <c r="G2228">
        <v>399</v>
      </c>
      <c r="H2228">
        <v>260.22000000000003</v>
      </c>
      <c r="I2228">
        <v>270.61</v>
      </c>
      <c r="J2228">
        <v>270.61</v>
      </c>
      <c r="L2228" t="s">
        <v>5922</v>
      </c>
      <c r="Q2228">
        <v>260.22000000000003</v>
      </c>
      <c r="R2228">
        <v>260.22000000000003</v>
      </c>
      <c r="U2228">
        <v>259.63</v>
      </c>
      <c r="V2228">
        <v>259.63</v>
      </c>
      <c r="W2228">
        <v>294.91000000000003</v>
      </c>
      <c r="X2228">
        <v>260.22000000000003</v>
      </c>
      <c r="Y2228">
        <v>399</v>
      </c>
      <c r="Z2228" t="s">
        <v>5922</v>
      </c>
    </row>
    <row r="2229" spans="1:26" x14ac:dyDescent="0.2">
      <c r="A2229" t="s">
        <v>4163</v>
      </c>
      <c r="B2229" t="s">
        <v>6141</v>
      </c>
      <c r="C2229" t="s">
        <v>4182</v>
      </c>
      <c r="D2229" t="s">
        <v>105</v>
      </c>
      <c r="E2229">
        <v>489</v>
      </c>
      <c r="F2229" t="s">
        <v>6945</v>
      </c>
      <c r="G2229">
        <v>489</v>
      </c>
      <c r="H2229">
        <v>318.91000000000003</v>
      </c>
      <c r="I2229">
        <v>312.35000000000002</v>
      </c>
      <c r="J2229">
        <v>312.35000000000002</v>
      </c>
      <c r="L2229" t="s">
        <v>5922</v>
      </c>
      <c r="Q2229">
        <v>318.91000000000003</v>
      </c>
      <c r="R2229">
        <v>318.91000000000003</v>
      </c>
      <c r="U2229">
        <v>310.41000000000003</v>
      </c>
      <c r="V2229">
        <v>310.41000000000003</v>
      </c>
      <c r="W2229">
        <v>361.43</v>
      </c>
      <c r="X2229">
        <v>318.91000000000003</v>
      </c>
      <c r="Y2229">
        <v>489</v>
      </c>
      <c r="Z2229" t="s">
        <v>5922</v>
      </c>
    </row>
    <row r="2230" spans="1:26" x14ac:dyDescent="0.2">
      <c r="A2230" t="s">
        <v>4163</v>
      </c>
      <c r="B2230" t="s">
        <v>6142</v>
      </c>
      <c r="C2230" t="s">
        <v>4183</v>
      </c>
      <c r="D2230" t="s">
        <v>105</v>
      </c>
      <c r="E2230">
        <v>359</v>
      </c>
      <c r="F2230" t="s">
        <v>7413</v>
      </c>
      <c r="G2230">
        <v>359</v>
      </c>
      <c r="H2230">
        <v>234.13</v>
      </c>
      <c r="I2230">
        <v>235.83</v>
      </c>
      <c r="J2230">
        <v>235.83</v>
      </c>
      <c r="L2230" t="s">
        <v>5922</v>
      </c>
      <c r="Q2230">
        <v>234.13</v>
      </c>
      <c r="R2230">
        <v>234.13</v>
      </c>
      <c r="U2230">
        <v>234.23</v>
      </c>
      <c r="V2230">
        <v>234.23</v>
      </c>
      <c r="W2230">
        <v>265.35000000000002</v>
      </c>
      <c r="X2230">
        <v>234.13</v>
      </c>
      <c r="Y2230">
        <v>359</v>
      </c>
      <c r="Z2230" t="s">
        <v>5922</v>
      </c>
    </row>
    <row r="2231" spans="1:26" x14ac:dyDescent="0.2">
      <c r="A2231" t="s">
        <v>4163</v>
      </c>
      <c r="B2231" t="s">
        <v>6143</v>
      </c>
      <c r="C2231" t="s">
        <v>4184</v>
      </c>
      <c r="D2231" t="s">
        <v>98</v>
      </c>
      <c r="E2231">
        <v>249</v>
      </c>
      <c r="F2231" t="s">
        <v>5922</v>
      </c>
      <c r="G2231">
        <v>216.52</v>
      </c>
      <c r="H2231">
        <v>184.04</v>
      </c>
      <c r="I2231">
        <v>173.22</v>
      </c>
      <c r="J2231">
        <v>173.22</v>
      </c>
      <c r="L2231" t="s">
        <v>5922</v>
      </c>
      <c r="R2231">
        <v>216.52</v>
      </c>
      <c r="U2231">
        <v>151.57</v>
      </c>
      <c r="V2231">
        <v>151.57</v>
      </c>
      <c r="W2231">
        <v>184.04</v>
      </c>
      <c r="X2231">
        <v>162.38999999999999</v>
      </c>
      <c r="Y2231">
        <v>249</v>
      </c>
      <c r="Z2231" t="s">
        <v>5922</v>
      </c>
    </row>
    <row r="2232" spans="1:26" x14ac:dyDescent="0.2">
      <c r="A2232" t="s">
        <v>4163</v>
      </c>
      <c r="B2232" t="s">
        <v>6144</v>
      </c>
      <c r="C2232" t="s">
        <v>4185</v>
      </c>
      <c r="D2232" t="s">
        <v>105</v>
      </c>
      <c r="E2232">
        <v>489</v>
      </c>
      <c r="F2232" t="s">
        <v>6945</v>
      </c>
      <c r="G2232">
        <v>489</v>
      </c>
      <c r="H2232">
        <v>318.91000000000003</v>
      </c>
      <c r="I2232">
        <v>340.17</v>
      </c>
      <c r="J2232">
        <v>340.17</v>
      </c>
      <c r="L2232" t="s">
        <v>5922</v>
      </c>
      <c r="Q2232">
        <v>318.91000000000003</v>
      </c>
      <c r="R2232">
        <v>318.91000000000003</v>
      </c>
      <c r="U2232">
        <v>318.91000000000003</v>
      </c>
      <c r="V2232">
        <v>310.41000000000003</v>
      </c>
      <c r="W2232">
        <v>361.43</v>
      </c>
      <c r="X2232">
        <v>318.91000000000003</v>
      </c>
      <c r="Y2232">
        <v>489</v>
      </c>
      <c r="Z2232" t="s">
        <v>5922</v>
      </c>
    </row>
    <row r="2233" spans="1:26" x14ac:dyDescent="0.2">
      <c r="A2233" t="s">
        <v>4163</v>
      </c>
      <c r="B2233" t="s">
        <v>4186</v>
      </c>
      <c r="C2233" t="s">
        <v>4187</v>
      </c>
      <c r="D2233" t="s">
        <v>98</v>
      </c>
      <c r="E2233">
        <v>199.99</v>
      </c>
      <c r="F2233" t="s">
        <v>5922</v>
      </c>
      <c r="G2233">
        <v>199.99</v>
      </c>
      <c r="H2233">
        <v>130.43</v>
      </c>
      <c r="I2233">
        <v>173.9</v>
      </c>
      <c r="J2233">
        <v>173.9</v>
      </c>
      <c r="L2233" t="s">
        <v>5922</v>
      </c>
      <c r="M2233">
        <v>173.9</v>
      </c>
      <c r="N2233">
        <v>173.9</v>
      </c>
      <c r="O2233">
        <v>130.43</v>
      </c>
      <c r="P2233">
        <v>173.9</v>
      </c>
      <c r="Q2233">
        <v>173.9</v>
      </c>
      <c r="R2233">
        <v>130.43</v>
      </c>
      <c r="S2233">
        <v>173.9</v>
      </c>
      <c r="T2233">
        <v>130.43</v>
      </c>
      <c r="U2233">
        <v>130.43</v>
      </c>
      <c r="V2233">
        <v>130.43</v>
      </c>
      <c r="W2233">
        <v>156.51</v>
      </c>
      <c r="X2233">
        <v>130.43</v>
      </c>
      <c r="Y2233">
        <v>199.99</v>
      </c>
      <c r="Z2233" t="s">
        <v>5922</v>
      </c>
    </row>
    <row r="2234" spans="1:26" x14ac:dyDescent="0.2">
      <c r="A2234" t="s">
        <v>4163</v>
      </c>
      <c r="B2234" t="s">
        <v>6145</v>
      </c>
      <c r="C2234" t="s">
        <v>4189</v>
      </c>
      <c r="D2234" t="s">
        <v>105</v>
      </c>
      <c r="E2234">
        <v>799</v>
      </c>
      <c r="F2234" t="s">
        <v>7047</v>
      </c>
      <c r="G2234">
        <v>799</v>
      </c>
      <c r="H2234">
        <v>521.09</v>
      </c>
      <c r="I2234">
        <v>534.96</v>
      </c>
      <c r="J2234">
        <v>534.96</v>
      </c>
      <c r="L2234" t="s">
        <v>5922</v>
      </c>
      <c r="Q2234">
        <v>521.09</v>
      </c>
      <c r="R2234">
        <v>521.09</v>
      </c>
      <c r="U2234">
        <v>521.09</v>
      </c>
      <c r="V2234">
        <v>507.19</v>
      </c>
      <c r="W2234">
        <v>590.57000000000005</v>
      </c>
      <c r="X2234">
        <v>521.09</v>
      </c>
      <c r="Y2234">
        <v>799</v>
      </c>
      <c r="Z2234" t="s">
        <v>5922</v>
      </c>
    </row>
    <row r="2235" spans="1:26" x14ac:dyDescent="0.2">
      <c r="A2235" t="s">
        <v>4163</v>
      </c>
      <c r="B2235" t="s">
        <v>4188</v>
      </c>
      <c r="C2235" t="s">
        <v>4189</v>
      </c>
      <c r="D2235" t="s">
        <v>98</v>
      </c>
      <c r="E2235">
        <v>799.99</v>
      </c>
      <c r="F2235" t="s">
        <v>5922</v>
      </c>
      <c r="G2235">
        <v>799.99</v>
      </c>
      <c r="H2235">
        <v>521.73</v>
      </c>
      <c r="I2235">
        <v>695.64</v>
      </c>
      <c r="J2235">
        <v>695.64</v>
      </c>
      <c r="L2235" t="s">
        <v>5922</v>
      </c>
      <c r="M2235">
        <v>695.64</v>
      </c>
      <c r="N2235">
        <v>695.64</v>
      </c>
      <c r="O2235">
        <v>521.73</v>
      </c>
      <c r="P2235">
        <v>695.64</v>
      </c>
      <c r="Q2235">
        <v>695.64</v>
      </c>
      <c r="R2235">
        <v>521.73</v>
      </c>
      <c r="S2235">
        <v>695.64</v>
      </c>
      <c r="T2235">
        <v>521.73</v>
      </c>
      <c r="U2235">
        <v>521.73</v>
      </c>
      <c r="V2235">
        <v>521.73</v>
      </c>
      <c r="W2235">
        <v>626.08000000000004</v>
      </c>
      <c r="X2235">
        <v>521.73</v>
      </c>
      <c r="Y2235">
        <v>799.99</v>
      </c>
      <c r="Z2235" t="s">
        <v>5922</v>
      </c>
    </row>
    <row r="2236" spans="1:26" x14ac:dyDescent="0.2">
      <c r="A2236" t="s">
        <v>4163</v>
      </c>
      <c r="B2236" t="s">
        <v>6146</v>
      </c>
      <c r="C2236" t="s">
        <v>4190</v>
      </c>
      <c r="D2236" t="s">
        <v>98</v>
      </c>
      <c r="E2236">
        <v>1199</v>
      </c>
      <c r="F2236" t="s">
        <v>5922</v>
      </c>
      <c r="G2236">
        <v>1199</v>
      </c>
      <c r="H2236">
        <v>886.22</v>
      </c>
      <c r="I2236">
        <v>834.09</v>
      </c>
      <c r="J2236">
        <v>834.09</v>
      </c>
      <c r="L2236" t="s">
        <v>5922</v>
      </c>
      <c r="R2236">
        <v>1042.6099999999999</v>
      </c>
      <c r="U2236">
        <v>729.83</v>
      </c>
      <c r="V2236">
        <v>729.83</v>
      </c>
      <c r="W2236">
        <v>886.22</v>
      </c>
      <c r="X2236">
        <v>781.96</v>
      </c>
      <c r="Y2236">
        <v>1199</v>
      </c>
      <c r="Z2236" t="s">
        <v>5922</v>
      </c>
    </row>
    <row r="2237" spans="1:26" x14ac:dyDescent="0.2">
      <c r="A2237" t="s">
        <v>4163</v>
      </c>
      <c r="B2237" t="s">
        <v>6147</v>
      </c>
      <c r="C2237" t="s">
        <v>4191</v>
      </c>
      <c r="D2237" t="s">
        <v>105</v>
      </c>
      <c r="E2237">
        <v>199</v>
      </c>
      <c r="F2237" t="s">
        <v>6954</v>
      </c>
      <c r="G2237">
        <v>199</v>
      </c>
      <c r="H2237">
        <v>129.78</v>
      </c>
      <c r="I2237">
        <v>131.47999999999999</v>
      </c>
      <c r="J2237">
        <v>131.47999999999999</v>
      </c>
      <c r="L2237" t="s">
        <v>5922</v>
      </c>
      <c r="Q2237">
        <v>129.78</v>
      </c>
      <c r="R2237">
        <v>129.78</v>
      </c>
      <c r="U2237">
        <v>142.83000000000001</v>
      </c>
      <c r="V2237">
        <v>139.02000000000001</v>
      </c>
      <c r="W2237">
        <v>147.09</v>
      </c>
      <c r="X2237">
        <v>129.78</v>
      </c>
      <c r="Y2237">
        <v>199</v>
      </c>
      <c r="Z2237" t="s">
        <v>5922</v>
      </c>
    </row>
    <row r="2238" spans="1:26" x14ac:dyDescent="0.2">
      <c r="A2238" t="s">
        <v>4163</v>
      </c>
      <c r="B2238" t="s">
        <v>6148</v>
      </c>
      <c r="C2238" t="s">
        <v>4192</v>
      </c>
      <c r="D2238" t="s">
        <v>105</v>
      </c>
      <c r="E2238">
        <v>329</v>
      </c>
      <c r="F2238" t="s">
        <v>7063</v>
      </c>
      <c r="G2238">
        <v>329</v>
      </c>
      <c r="H2238">
        <v>214.57</v>
      </c>
      <c r="I2238">
        <v>215.65</v>
      </c>
      <c r="J2238">
        <v>215.65</v>
      </c>
      <c r="L2238" t="s">
        <v>5922</v>
      </c>
      <c r="Q2238">
        <v>214.57</v>
      </c>
      <c r="R2238">
        <v>214.57</v>
      </c>
      <c r="U2238">
        <v>215.19</v>
      </c>
      <c r="V2238">
        <v>215.19</v>
      </c>
      <c r="W2238">
        <v>243.17</v>
      </c>
      <c r="X2238">
        <v>214.57</v>
      </c>
      <c r="Y2238">
        <v>329</v>
      </c>
      <c r="Z2238" t="s">
        <v>5922</v>
      </c>
    </row>
    <row r="2239" spans="1:26" x14ac:dyDescent="0.2">
      <c r="A2239" t="s">
        <v>4163</v>
      </c>
      <c r="B2239" t="s">
        <v>4193</v>
      </c>
      <c r="C2239" t="s">
        <v>4192</v>
      </c>
      <c r="D2239" t="s">
        <v>98</v>
      </c>
      <c r="E2239">
        <v>319.99</v>
      </c>
      <c r="F2239" t="s">
        <v>5922</v>
      </c>
      <c r="G2239">
        <v>319.99</v>
      </c>
      <c r="H2239">
        <v>208.69</v>
      </c>
      <c r="I2239">
        <v>278.25</v>
      </c>
      <c r="J2239">
        <v>278.25</v>
      </c>
      <c r="L2239" t="s">
        <v>5922</v>
      </c>
      <c r="M2239">
        <v>278.25</v>
      </c>
      <c r="N2239">
        <v>278.25</v>
      </c>
      <c r="O2239">
        <v>208.69</v>
      </c>
      <c r="P2239">
        <v>278.25</v>
      </c>
      <c r="Q2239">
        <v>278.25</v>
      </c>
      <c r="R2239">
        <v>208.69</v>
      </c>
      <c r="S2239">
        <v>278.25</v>
      </c>
      <c r="T2239">
        <v>208.69</v>
      </c>
      <c r="U2239">
        <v>208.69</v>
      </c>
      <c r="V2239">
        <v>208.69</v>
      </c>
      <c r="W2239">
        <v>250.43</v>
      </c>
      <c r="X2239">
        <v>208.69</v>
      </c>
      <c r="Y2239">
        <v>319.99</v>
      </c>
      <c r="Z2239" t="s">
        <v>5922</v>
      </c>
    </row>
    <row r="2240" spans="1:26" x14ac:dyDescent="0.2">
      <c r="A2240" t="s">
        <v>4163</v>
      </c>
      <c r="B2240" t="s">
        <v>4195</v>
      </c>
      <c r="C2240" t="s">
        <v>4194</v>
      </c>
      <c r="D2240" t="s">
        <v>98</v>
      </c>
      <c r="E2240">
        <v>379.99</v>
      </c>
      <c r="F2240" t="s">
        <v>5922</v>
      </c>
      <c r="G2240">
        <v>379.99</v>
      </c>
      <c r="H2240">
        <v>247.82</v>
      </c>
      <c r="I2240">
        <v>330.43</v>
      </c>
      <c r="J2240">
        <v>330.43</v>
      </c>
      <c r="L2240" t="s">
        <v>5922</v>
      </c>
      <c r="M2240">
        <v>330.43</v>
      </c>
      <c r="N2240">
        <v>330.43</v>
      </c>
      <c r="O2240">
        <v>247.82</v>
      </c>
      <c r="P2240">
        <v>330.43</v>
      </c>
      <c r="Q2240">
        <v>330.43</v>
      </c>
      <c r="R2240">
        <v>247.82</v>
      </c>
      <c r="S2240">
        <v>330.43</v>
      </c>
      <c r="T2240">
        <v>247.82</v>
      </c>
      <c r="U2240">
        <v>247.82</v>
      </c>
      <c r="V2240">
        <v>247.82</v>
      </c>
      <c r="W2240">
        <v>297.38</v>
      </c>
      <c r="X2240">
        <v>247.82</v>
      </c>
      <c r="Y2240">
        <v>379.99</v>
      </c>
      <c r="Z2240" t="s">
        <v>5922</v>
      </c>
    </row>
    <row r="2241" spans="1:26" x14ac:dyDescent="0.2">
      <c r="A2241" t="s">
        <v>4163</v>
      </c>
      <c r="B2241" t="s">
        <v>6149</v>
      </c>
      <c r="C2241" t="s">
        <v>4194</v>
      </c>
      <c r="D2241" t="s">
        <v>105</v>
      </c>
      <c r="E2241">
        <v>389</v>
      </c>
      <c r="F2241" t="s">
        <v>7414</v>
      </c>
      <c r="G2241">
        <v>389</v>
      </c>
      <c r="H2241">
        <v>253.7</v>
      </c>
      <c r="I2241">
        <v>256.7</v>
      </c>
      <c r="J2241">
        <v>256.7</v>
      </c>
      <c r="L2241" t="s">
        <v>5922</v>
      </c>
      <c r="Q2241">
        <v>253.7</v>
      </c>
      <c r="R2241">
        <v>253.7</v>
      </c>
      <c r="U2241">
        <v>253.28</v>
      </c>
      <c r="V2241">
        <v>253.28</v>
      </c>
      <c r="W2241">
        <v>287.52</v>
      </c>
      <c r="X2241">
        <v>253.7</v>
      </c>
      <c r="Y2241">
        <v>389</v>
      </c>
      <c r="Z2241" t="s">
        <v>5922</v>
      </c>
    </row>
    <row r="2242" spans="1:26" x14ac:dyDescent="0.2">
      <c r="A2242" t="s">
        <v>4163</v>
      </c>
      <c r="B2242" t="s">
        <v>6150</v>
      </c>
      <c r="C2242" t="s">
        <v>4197</v>
      </c>
      <c r="D2242" t="s">
        <v>105</v>
      </c>
      <c r="E2242">
        <v>449</v>
      </c>
      <c r="F2242" t="s">
        <v>7309</v>
      </c>
      <c r="G2242">
        <v>449</v>
      </c>
      <c r="H2242">
        <v>292.83</v>
      </c>
      <c r="I2242">
        <v>298.43</v>
      </c>
      <c r="J2242">
        <v>298.43</v>
      </c>
      <c r="L2242" t="s">
        <v>5922</v>
      </c>
      <c r="Q2242">
        <v>292.83</v>
      </c>
      <c r="R2242">
        <v>292.83</v>
      </c>
      <c r="U2242">
        <v>285.02</v>
      </c>
      <c r="V2242">
        <v>285.02</v>
      </c>
      <c r="W2242">
        <v>331.87</v>
      </c>
      <c r="X2242">
        <v>292.83</v>
      </c>
      <c r="Y2242">
        <v>449</v>
      </c>
      <c r="Z2242" t="s">
        <v>5922</v>
      </c>
    </row>
    <row r="2243" spans="1:26" x14ac:dyDescent="0.2">
      <c r="A2243" t="s">
        <v>4163</v>
      </c>
      <c r="B2243" t="s">
        <v>4196</v>
      </c>
      <c r="C2243" t="s">
        <v>4197</v>
      </c>
      <c r="D2243" t="s">
        <v>98</v>
      </c>
      <c r="E2243">
        <v>449.99</v>
      </c>
      <c r="F2243" t="s">
        <v>5922</v>
      </c>
      <c r="G2243">
        <v>449.99</v>
      </c>
      <c r="H2243">
        <v>293.47000000000003</v>
      </c>
      <c r="I2243">
        <v>391.3</v>
      </c>
      <c r="J2243">
        <v>391.3</v>
      </c>
      <c r="L2243" t="s">
        <v>5922</v>
      </c>
      <c r="M2243">
        <v>391.3</v>
      </c>
      <c r="N2243">
        <v>391.3</v>
      </c>
      <c r="O2243">
        <v>293.47000000000003</v>
      </c>
      <c r="P2243">
        <v>391.3</v>
      </c>
      <c r="Q2243">
        <v>391.3</v>
      </c>
      <c r="R2243">
        <v>293.47000000000003</v>
      </c>
      <c r="S2243">
        <v>391.3</v>
      </c>
      <c r="T2243">
        <v>293.47000000000003</v>
      </c>
      <c r="U2243">
        <v>293.47000000000003</v>
      </c>
      <c r="V2243">
        <v>293.47000000000003</v>
      </c>
      <c r="W2243">
        <v>352.17</v>
      </c>
      <c r="X2243">
        <v>293.47000000000003</v>
      </c>
      <c r="Y2243">
        <v>449.99</v>
      </c>
      <c r="Z2243" t="s">
        <v>5922</v>
      </c>
    </row>
    <row r="2244" spans="1:26" x14ac:dyDescent="0.2">
      <c r="A2244" t="s">
        <v>4163</v>
      </c>
      <c r="B2244" t="s">
        <v>6151</v>
      </c>
      <c r="C2244" t="s">
        <v>4198</v>
      </c>
      <c r="D2244" t="s">
        <v>105</v>
      </c>
      <c r="E2244">
        <v>569</v>
      </c>
      <c r="F2244" t="s">
        <v>7115</v>
      </c>
      <c r="G2244">
        <v>569</v>
      </c>
      <c r="H2244">
        <v>371.09</v>
      </c>
      <c r="I2244">
        <v>354.78</v>
      </c>
      <c r="J2244">
        <v>354.78</v>
      </c>
      <c r="L2244" t="s">
        <v>5922</v>
      </c>
      <c r="Q2244">
        <v>371.09</v>
      </c>
      <c r="R2244">
        <v>371.09</v>
      </c>
      <c r="U2244">
        <v>361.19</v>
      </c>
      <c r="V2244">
        <v>361.19</v>
      </c>
      <c r="W2244">
        <v>420.57</v>
      </c>
      <c r="X2244">
        <v>371.09</v>
      </c>
      <c r="Y2244">
        <v>569</v>
      </c>
      <c r="Z2244" t="s">
        <v>5922</v>
      </c>
    </row>
    <row r="2245" spans="1:26" x14ac:dyDescent="0.2">
      <c r="A2245" t="s">
        <v>4163</v>
      </c>
      <c r="B2245" t="s">
        <v>4199</v>
      </c>
      <c r="C2245" t="s">
        <v>4198</v>
      </c>
      <c r="D2245" t="s">
        <v>98</v>
      </c>
      <c r="E2245">
        <v>529.99</v>
      </c>
      <c r="F2245" t="s">
        <v>5922</v>
      </c>
      <c r="G2245">
        <v>529.99</v>
      </c>
      <c r="H2245">
        <v>345.65</v>
      </c>
      <c r="I2245">
        <v>460.86</v>
      </c>
      <c r="J2245">
        <v>460.86</v>
      </c>
      <c r="L2245" t="s">
        <v>5922</v>
      </c>
      <c r="M2245">
        <v>460.86</v>
      </c>
      <c r="N2245">
        <v>460.86</v>
      </c>
      <c r="O2245">
        <v>345.65</v>
      </c>
      <c r="P2245">
        <v>460.86</v>
      </c>
      <c r="Q2245">
        <v>460.86</v>
      </c>
      <c r="R2245">
        <v>345.65</v>
      </c>
      <c r="S2245">
        <v>460.86</v>
      </c>
      <c r="T2245">
        <v>345.65</v>
      </c>
      <c r="U2245">
        <v>345.65</v>
      </c>
      <c r="V2245">
        <v>345.65</v>
      </c>
      <c r="W2245">
        <v>414.77</v>
      </c>
      <c r="X2245">
        <v>345.65</v>
      </c>
      <c r="Y2245">
        <v>529.99</v>
      </c>
      <c r="Z2245" t="s">
        <v>5922</v>
      </c>
    </row>
    <row r="2246" spans="1:26" x14ac:dyDescent="0.2">
      <c r="A2246" t="s">
        <v>4163</v>
      </c>
      <c r="B2246" t="s">
        <v>4200</v>
      </c>
      <c r="C2246" t="s">
        <v>4201</v>
      </c>
      <c r="D2246" t="s">
        <v>98</v>
      </c>
      <c r="E2246">
        <v>549.99</v>
      </c>
      <c r="F2246" t="s">
        <v>5922</v>
      </c>
      <c r="G2246">
        <v>549.99</v>
      </c>
      <c r="H2246">
        <v>358.69</v>
      </c>
      <c r="I2246">
        <v>478.25</v>
      </c>
      <c r="J2246">
        <v>478.25</v>
      </c>
      <c r="L2246" t="s">
        <v>5922</v>
      </c>
      <c r="M2246">
        <v>478.25</v>
      </c>
      <c r="N2246">
        <v>478.25</v>
      </c>
      <c r="O2246">
        <v>358.69</v>
      </c>
      <c r="P2246">
        <v>478.25</v>
      </c>
      <c r="Q2246">
        <v>478.25</v>
      </c>
      <c r="R2246">
        <v>358.69</v>
      </c>
      <c r="S2246">
        <v>478.25</v>
      </c>
      <c r="T2246">
        <v>358.69</v>
      </c>
      <c r="U2246">
        <v>358.69</v>
      </c>
      <c r="V2246">
        <v>358.69</v>
      </c>
      <c r="W2246">
        <v>430.43</v>
      </c>
      <c r="X2246">
        <v>358.69</v>
      </c>
      <c r="Y2246">
        <v>549.99</v>
      </c>
      <c r="Z2246" t="s">
        <v>5922</v>
      </c>
    </row>
    <row r="2247" spans="1:26" x14ac:dyDescent="0.2">
      <c r="A2247" t="s">
        <v>4163</v>
      </c>
      <c r="B2247" t="s">
        <v>6152</v>
      </c>
      <c r="C2247" t="s">
        <v>4203</v>
      </c>
      <c r="D2247" t="s">
        <v>105</v>
      </c>
      <c r="E2247">
        <v>549</v>
      </c>
      <c r="F2247" t="s">
        <v>7060</v>
      </c>
      <c r="G2247">
        <v>549</v>
      </c>
      <c r="H2247">
        <v>358.04</v>
      </c>
      <c r="I2247">
        <v>347.13</v>
      </c>
      <c r="J2247">
        <v>347.13</v>
      </c>
      <c r="L2247" t="s">
        <v>5922</v>
      </c>
      <c r="Q2247">
        <v>358.04</v>
      </c>
      <c r="R2247">
        <v>358.04</v>
      </c>
      <c r="U2247">
        <v>348.5</v>
      </c>
      <c r="V2247">
        <v>348.5</v>
      </c>
      <c r="W2247">
        <v>405.78</v>
      </c>
      <c r="X2247">
        <v>358.04</v>
      </c>
      <c r="Y2247">
        <v>549</v>
      </c>
      <c r="Z2247" t="s">
        <v>5922</v>
      </c>
    </row>
    <row r="2248" spans="1:26" x14ac:dyDescent="0.2">
      <c r="A2248" t="s">
        <v>4163</v>
      </c>
      <c r="B2248" t="s">
        <v>4202</v>
      </c>
      <c r="C2248" t="s">
        <v>4203</v>
      </c>
      <c r="D2248" t="s">
        <v>98</v>
      </c>
      <c r="E2248">
        <v>499</v>
      </c>
      <c r="F2248" t="s">
        <v>5922</v>
      </c>
      <c r="G2248">
        <v>499</v>
      </c>
      <c r="H2248">
        <v>325.43</v>
      </c>
      <c r="I2248">
        <v>433.91</v>
      </c>
      <c r="J2248">
        <v>433.91</v>
      </c>
      <c r="L2248" t="s">
        <v>5922</v>
      </c>
      <c r="M2248">
        <v>433.91</v>
      </c>
      <c r="N2248">
        <v>433.91</v>
      </c>
      <c r="O2248">
        <v>325.43</v>
      </c>
      <c r="P2248">
        <v>433.91</v>
      </c>
      <c r="Q2248">
        <v>433.91</v>
      </c>
      <c r="R2248">
        <v>325.43</v>
      </c>
      <c r="S2248">
        <v>433.91</v>
      </c>
      <c r="T2248">
        <v>325.43</v>
      </c>
      <c r="U2248">
        <v>325.43</v>
      </c>
      <c r="V2248">
        <v>325.43</v>
      </c>
      <c r="W2248">
        <v>390.52</v>
      </c>
      <c r="X2248">
        <v>325.43</v>
      </c>
      <c r="Y2248">
        <v>499</v>
      </c>
      <c r="Z2248" t="s">
        <v>5922</v>
      </c>
    </row>
    <row r="2249" spans="1:26" x14ac:dyDescent="0.2">
      <c r="A2249" t="s">
        <v>4163</v>
      </c>
      <c r="B2249" t="s">
        <v>6153</v>
      </c>
      <c r="C2249" t="s">
        <v>4204</v>
      </c>
      <c r="D2249" t="s">
        <v>105</v>
      </c>
      <c r="E2249">
        <v>529</v>
      </c>
      <c r="F2249" t="s">
        <v>7069</v>
      </c>
      <c r="G2249">
        <v>529</v>
      </c>
      <c r="H2249">
        <v>345</v>
      </c>
      <c r="I2249">
        <v>340.17</v>
      </c>
      <c r="J2249">
        <v>340.17</v>
      </c>
      <c r="L2249" t="s">
        <v>5922</v>
      </c>
      <c r="Q2249">
        <v>345</v>
      </c>
      <c r="R2249">
        <v>345</v>
      </c>
      <c r="U2249">
        <v>335.8</v>
      </c>
      <c r="V2249">
        <v>335.8</v>
      </c>
      <c r="W2249">
        <v>391</v>
      </c>
      <c r="X2249">
        <v>345</v>
      </c>
      <c r="Y2249">
        <v>529</v>
      </c>
      <c r="Z2249" t="s">
        <v>5922</v>
      </c>
    </row>
    <row r="2250" spans="1:26" x14ac:dyDescent="0.2">
      <c r="A2250" t="s">
        <v>4163</v>
      </c>
      <c r="B2250" t="s">
        <v>4205</v>
      </c>
      <c r="C2250" t="s">
        <v>4204</v>
      </c>
      <c r="D2250" t="s">
        <v>98</v>
      </c>
      <c r="E2250">
        <v>499.99</v>
      </c>
      <c r="F2250" t="s">
        <v>5922</v>
      </c>
      <c r="G2250">
        <v>499.99</v>
      </c>
      <c r="H2250">
        <v>326.08</v>
      </c>
      <c r="I2250">
        <v>434.77</v>
      </c>
      <c r="J2250">
        <v>434.77</v>
      </c>
      <c r="L2250" t="s">
        <v>5922</v>
      </c>
      <c r="M2250">
        <v>434.77</v>
      </c>
      <c r="N2250">
        <v>434.77</v>
      </c>
      <c r="O2250">
        <v>326.08</v>
      </c>
      <c r="P2250">
        <v>434.77</v>
      </c>
      <c r="Q2250">
        <v>434.77</v>
      </c>
      <c r="R2250">
        <v>326.08</v>
      </c>
      <c r="S2250">
        <v>434.77</v>
      </c>
      <c r="T2250">
        <v>326.08</v>
      </c>
      <c r="U2250">
        <v>326.08</v>
      </c>
      <c r="V2250">
        <v>326.08</v>
      </c>
      <c r="W2250">
        <v>391.3</v>
      </c>
      <c r="X2250">
        <v>326.08</v>
      </c>
      <c r="Y2250">
        <v>499.99</v>
      </c>
      <c r="Z2250" t="s">
        <v>5922</v>
      </c>
    </row>
    <row r="2251" spans="1:26" x14ac:dyDescent="0.2">
      <c r="A2251" t="s">
        <v>4163</v>
      </c>
      <c r="B2251" t="s">
        <v>6154</v>
      </c>
      <c r="C2251" t="s">
        <v>4206</v>
      </c>
      <c r="D2251" t="s">
        <v>105</v>
      </c>
      <c r="E2251">
        <v>889</v>
      </c>
      <c r="F2251" t="s">
        <v>7415</v>
      </c>
      <c r="G2251">
        <v>889</v>
      </c>
      <c r="H2251">
        <v>579.78</v>
      </c>
      <c r="I2251">
        <v>646.26</v>
      </c>
      <c r="J2251">
        <v>646.26</v>
      </c>
      <c r="L2251" t="s">
        <v>5922</v>
      </c>
      <c r="Q2251">
        <v>579.78</v>
      </c>
      <c r="R2251">
        <v>579.78</v>
      </c>
      <c r="U2251">
        <v>605.87</v>
      </c>
      <c r="V2251">
        <v>589.71</v>
      </c>
      <c r="W2251">
        <v>686.65</v>
      </c>
      <c r="X2251">
        <v>605.87</v>
      </c>
      <c r="Y2251">
        <v>889</v>
      </c>
      <c r="Z2251" t="s">
        <v>5922</v>
      </c>
    </row>
    <row r="2252" spans="1:26" x14ac:dyDescent="0.2">
      <c r="A2252" t="s">
        <v>4163</v>
      </c>
      <c r="B2252" t="s">
        <v>6155</v>
      </c>
      <c r="C2252" t="s">
        <v>4207</v>
      </c>
      <c r="D2252" t="s">
        <v>105</v>
      </c>
      <c r="E2252">
        <v>159</v>
      </c>
      <c r="F2252" t="s">
        <v>7412</v>
      </c>
      <c r="G2252">
        <v>159</v>
      </c>
      <c r="H2252">
        <v>103.7</v>
      </c>
      <c r="L2252" t="s">
        <v>5922</v>
      </c>
      <c r="Q2252">
        <v>103.7</v>
      </c>
      <c r="R2252">
        <v>103.7</v>
      </c>
      <c r="U2252">
        <v>116.74</v>
      </c>
      <c r="V2252">
        <v>113.63</v>
      </c>
      <c r="W2252">
        <v>132.30000000000001</v>
      </c>
      <c r="X2252">
        <v>116.74</v>
      </c>
      <c r="Y2252">
        <v>159</v>
      </c>
      <c r="Z2252" t="s">
        <v>5922</v>
      </c>
    </row>
    <row r="2253" spans="1:26" x14ac:dyDescent="0.2">
      <c r="A2253" t="s">
        <v>4163</v>
      </c>
      <c r="B2253" t="s">
        <v>6156</v>
      </c>
      <c r="C2253" t="s">
        <v>4208</v>
      </c>
      <c r="D2253" t="s">
        <v>105</v>
      </c>
      <c r="E2253">
        <v>179</v>
      </c>
      <c r="F2253" t="s">
        <v>7072</v>
      </c>
      <c r="G2253">
        <v>179</v>
      </c>
      <c r="H2253">
        <v>116.74</v>
      </c>
      <c r="I2253">
        <v>124.52</v>
      </c>
      <c r="J2253">
        <v>124.52</v>
      </c>
      <c r="L2253" t="s">
        <v>5922</v>
      </c>
      <c r="Q2253">
        <v>116.74</v>
      </c>
      <c r="R2253">
        <v>116.74</v>
      </c>
      <c r="U2253">
        <v>126.52</v>
      </c>
      <c r="V2253">
        <v>123.15</v>
      </c>
      <c r="W2253">
        <v>132.30000000000001</v>
      </c>
      <c r="X2253">
        <v>116.74</v>
      </c>
      <c r="Y2253">
        <v>179</v>
      </c>
      <c r="Z2253" t="s">
        <v>5922</v>
      </c>
    </row>
    <row r="2254" spans="1:26" x14ac:dyDescent="0.2">
      <c r="A2254" t="s">
        <v>4163</v>
      </c>
      <c r="B2254" t="s">
        <v>4209</v>
      </c>
      <c r="C2254" t="s">
        <v>4210</v>
      </c>
      <c r="D2254" t="s">
        <v>98</v>
      </c>
      <c r="E2254">
        <v>199.99</v>
      </c>
      <c r="F2254" t="s">
        <v>5922</v>
      </c>
      <c r="G2254">
        <v>199.99</v>
      </c>
      <c r="H2254">
        <v>130.43</v>
      </c>
      <c r="I2254">
        <v>173.9</v>
      </c>
      <c r="J2254">
        <v>173.9</v>
      </c>
      <c r="L2254" t="s">
        <v>5922</v>
      </c>
      <c r="M2254">
        <v>173.9</v>
      </c>
      <c r="N2254">
        <v>173.9</v>
      </c>
      <c r="O2254">
        <v>130.43</v>
      </c>
      <c r="P2254">
        <v>173.9</v>
      </c>
      <c r="Q2254">
        <v>173.9</v>
      </c>
      <c r="R2254">
        <v>130.43</v>
      </c>
      <c r="S2254">
        <v>173.9</v>
      </c>
      <c r="T2254">
        <v>130.43</v>
      </c>
      <c r="U2254">
        <v>130.43</v>
      </c>
      <c r="V2254">
        <v>130.43</v>
      </c>
      <c r="W2254">
        <v>156.51</v>
      </c>
      <c r="X2254">
        <v>130.43</v>
      </c>
      <c r="Y2254">
        <v>199.99</v>
      </c>
      <c r="Z2254" t="s">
        <v>5922</v>
      </c>
    </row>
    <row r="2255" spans="1:26" x14ac:dyDescent="0.2">
      <c r="A2255" t="s">
        <v>4163</v>
      </c>
      <c r="B2255" t="s">
        <v>6157</v>
      </c>
      <c r="C2255" t="s">
        <v>4210</v>
      </c>
      <c r="D2255" t="s">
        <v>98</v>
      </c>
      <c r="E2255">
        <v>189</v>
      </c>
      <c r="F2255" t="s">
        <v>5922</v>
      </c>
      <c r="G2255">
        <v>164.35</v>
      </c>
      <c r="H2255">
        <v>139.69999999999999</v>
      </c>
      <c r="I2255">
        <v>131.47999999999999</v>
      </c>
      <c r="J2255">
        <v>131.47999999999999</v>
      </c>
      <c r="L2255" t="s">
        <v>5922</v>
      </c>
      <c r="R2255">
        <v>164.35</v>
      </c>
      <c r="U2255">
        <v>115.04</v>
      </c>
      <c r="V2255">
        <v>115.04</v>
      </c>
      <c r="W2255">
        <v>139.69999999999999</v>
      </c>
      <c r="X2255">
        <v>123.26</v>
      </c>
      <c r="Y2255">
        <v>189</v>
      </c>
      <c r="Z2255" t="s">
        <v>5922</v>
      </c>
    </row>
    <row r="2256" spans="1:26" x14ac:dyDescent="0.2">
      <c r="A2256" t="s">
        <v>4163</v>
      </c>
      <c r="B2256" t="s">
        <v>4211</v>
      </c>
      <c r="C2256" t="s">
        <v>4212</v>
      </c>
      <c r="D2256" t="s">
        <v>98</v>
      </c>
      <c r="E2256">
        <v>199.99</v>
      </c>
      <c r="F2256" t="s">
        <v>5922</v>
      </c>
      <c r="G2256">
        <v>199.99</v>
      </c>
      <c r="H2256">
        <v>130.43</v>
      </c>
      <c r="I2256">
        <v>173.9</v>
      </c>
      <c r="J2256">
        <v>173.9</v>
      </c>
      <c r="L2256" t="s">
        <v>5922</v>
      </c>
      <c r="M2256">
        <v>173.9</v>
      </c>
      <c r="N2256">
        <v>173.9</v>
      </c>
      <c r="O2256">
        <v>130.43</v>
      </c>
      <c r="P2256">
        <v>173.9</v>
      </c>
      <c r="Q2256">
        <v>173.9</v>
      </c>
      <c r="R2256">
        <v>130.43</v>
      </c>
      <c r="S2256">
        <v>173.9</v>
      </c>
      <c r="T2256">
        <v>130.43</v>
      </c>
      <c r="U2256">
        <v>130.43</v>
      </c>
      <c r="V2256">
        <v>130.43</v>
      </c>
      <c r="W2256">
        <v>156.51</v>
      </c>
      <c r="X2256">
        <v>130.43</v>
      </c>
      <c r="Y2256">
        <v>199.99</v>
      </c>
      <c r="Z2256" t="s">
        <v>5922</v>
      </c>
    </row>
    <row r="2257" spans="1:26" x14ac:dyDescent="0.2">
      <c r="A2257" t="s">
        <v>4163</v>
      </c>
      <c r="B2257" t="s">
        <v>6158</v>
      </c>
      <c r="C2257" t="s">
        <v>4212</v>
      </c>
      <c r="D2257" t="s">
        <v>98</v>
      </c>
      <c r="E2257">
        <v>179</v>
      </c>
      <c r="F2257" t="s">
        <v>5922</v>
      </c>
      <c r="G2257">
        <v>155.65</v>
      </c>
      <c r="H2257">
        <v>132.30000000000001</v>
      </c>
      <c r="I2257">
        <v>124.52</v>
      </c>
      <c r="J2257">
        <v>124.52</v>
      </c>
      <c r="L2257" t="s">
        <v>5922</v>
      </c>
      <c r="R2257">
        <v>155.65</v>
      </c>
      <c r="U2257">
        <v>108.96</v>
      </c>
      <c r="V2257">
        <v>108.96</v>
      </c>
      <c r="W2257">
        <v>132.30000000000001</v>
      </c>
      <c r="X2257">
        <v>116.74</v>
      </c>
      <c r="Y2257">
        <v>179</v>
      </c>
      <c r="Z2257" t="s">
        <v>5922</v>
      </c>
    </row>
    <row r="2258" spans="1:26" x14ac:dyDescent="0.2">
      <c r="A2258" t="s">
        <v>4163</v>
      </c>
      <c r="B2258" t="s">
        <v>6159</v>
      </c>
      <c r="C2258" t="s">
        <v>4213</v>
      </c>
      <c r="D2258" t="s">
        <v>98</v>
      </c>
      <c r="E2258">
        <v>259</v>
      </c>
      <c r="F2258" t="s">
        <v>5922</v>
      </c>
      <c r="G2258">
        <v>259</v>
      </c>
      <c r="H2258">
        <v>191.43</v>
      </c>
      <c r="I2258">
        <v>180.17</v>
      </c>
      <c r="J2258">
        <v>180.17</v>
      </c>
      <c r="L2258" t="s">
        <v>5922</v>
      </c>
      <c r="R2258">
        <v>225.22</v>
      </c>
      <c r="U2258">
        <v>157.65</v>
      </c>
      <c r="V2258">
        <v>157.65</v>
      </c>
      <c r="W2258">
        <v>191.43</v>
      </c>
      <c r="X2258">
        <v>168.91</v>
      </c>
      <c r="Y2258">
        <v>259</v>
      </c>
      <c r="Z2258" t="s">
        <v>5922</v>
      </c>
    </row>
    <row r="2259" spans="1:26" x14ac:dyDescent="0.2">
      <c r="A2259" t="s">
        <v>4163</v>
      </c>
      <c r="B2259" t="s">
        <v>6160</v>
      </c>
      <c r="C2259" t="s">
        <v>4214</v>
      </c>
      <c r="D2259" t="s">
        <v>105</v>
      </c>
      <c r="E2259">
        <v>259</v>
      </c>
      <c r="F2259" t="s">
        <v>7066</v>
      </c>
      <c r="G2259">
        <v>259</v>
      </c>
      <c r="H2259">
        <v>168.91</v>
      </c>
      <c r="I2259">
        <v>194.09</v>
      </c>
      <c r="J2259">
        <v>194.09</v>
      </c>
      <c r="L2259" t="s">
        <v>5922</v>
      </c>
      <c r="Q2259">
        <v>168.91</v>
      </c>
      <c r="R2259">
        <v>168.91</v>
      </c>
      <c r="U2259">
        <v>181.96</v>
      </c>
      <c r="V2259">
        <v>177.1</v>
      </c>
      <c r="W2259">
        <v>206.22</v>
      </c>
      <c r="X2259">
        <v>181.96</v>
      </c>
      <c r="Y2259">
        <v>259</v>
      </c>
      <c r="Z2259" t="s">
        <v>5922</v>
      </c>
    </row>
    <row r="2260" spans="1:26" x14ac:dyDescent="0.2">
      <c r="A2260" t="s">
        <v>4163</v>
      </c>
      <c r="B2260" t="s">
        <v>6161</v>
      </c>
      <c r="C2260" t="s">
        <v>4215</v>
      </c>
      <c r="D2260" t="s">
        <v>105</v>
      </c>
      <c r="E2260">
        <v>529</v>
      </c>
      <c r="F2260" t="s">
        <v>7069</v>
      </c>
      <c r="G2260">
        <v>529</v>
      </c>
      <c r="H2260">
        <v>345</v>
      </c>
      <c r="I2260">
        <v>409.74</v>
      </c>
      <c r="J2260">
        <v>409.74</v>
      </c>
      <c r="L2260" t="s">
        <v>5922</v>
      </c>
      <c r="Q2260">
        <v>345</v>
      </c>
      <c r="R2260">
        <v>345</v>
      </c>
      <c r="U2260">
        <v>384.13</v>
      </c>
      <c r="V2260">
        <v>373.89</v>
      </c>
      <c r="W2260">
        <v>435.35</v>
      </c>
      <c r="X2260">
        <v>384.13</v>
      </c>
      <c r="Y2260">
        <v>529</v>
      </c>
      <c r="Z2260" t="s">
        <v>5922</v>
      </c>
    </row>
    <row r="2261" spans="1:26" x14ac:dyDescent="0.2">
      <c r="A2261" t="s">
        <v>4163</v>
      </c>
      <c r="B2261" t="s">
        <v>6162</v>
      </c>
      <c r="C2261" t="s">
        <v>4216</v>
      </c>
      <c r="D2261" t="s">
        <v>105</v>
      </c>
      <c r="E2261">
        <v>459</v>
      </c>
      <c r="F2261" t="s">
        <v>7410</v>
      </c>
      <c r="G2261">
        <v>459</v>
      </c>
      <c r="H2261">
        <v>299.35000000000002</v>
      </c>
      <c r="I2261">
        <v>368</v>
      </c>
      <c r="J2261">
        <v>368</v>
      </c>
      <c r="L2261" t="s">
        <v>5922</v>
      </c>
      <c r="Q2261">
        <v>299.35000000000002</v>
      </c>
      <c r="R2261">
        <v>299.35000000000002</v>
      </c>
      <c r="U2261">
        <v>345</v>
      </c>
      <c r="V2261">
        <v>335.8</v>
      </c>
      <c r="W2261">
        <v>391</v>
      </c>
      <c r="X2261">
        <v>345</v>
      </c>
      <c r="Y2261">
        <v>459</v>
      </c>
      <c r="Z2261" t="s">
        <v>5922</v>
      </c>
    </row>
    <row r="2262" spans="1:26" x14ac:dyDescent="0.2">
      <c r="A2262" t="s">
        <v>4163</v>
      </c>
      <c r="B2262" t="s">
        <v>6163</v>
      </c>
      <c r="C2262" t="s">
        <v>4217</v>
      </c>
      <c r="D2262" t="s">
        <v>105</v>
      </c>
      <c r="E2262">
        <v>619</v>
      </c>
      <c r="F2262" t="s">
        <v>6938</v>
      </c>
      <c r="G2262">
        <v>619</v>
      </c>
      <c r="H2262">
        <v>403.7</v>
      </c>
      <c r="I2262">
        <v>424.35</v>
      </c>
      <c r="J2262">
        <v>424.35</v>
      </c>
      <c r="L2262" t="s">
        <v>5922</v>
      </c>
      <c r="Q2262">
        <v>403.7</v>
      </c>
      <c r="R2262">
        <v>403.7</v>
      </c>
      <c r="U2262">
        <v>403.7</v>
      </c>
      <c r="V2262">
        <v>392.93</v>
      </c>
      <c r="W2262">
        <v>457.52</v>
      </c>
      <c r="X2262">
        <v>403.7</v>
      </c>
      <c r="Y2262">
        <v>619</v>
      </c>
      <c r="Z2262" t="s">
        <v>5922</v>
      </c>
    </row>
    <row r="2263" spans="1:26" x14ac:dyDescent="0.2">
      <c r="A2263" t="s">
        <v>4163</v>
      </c>
      <c r="B2263" t="s">
        <v>6164</v>
      </c>
      <c r="C2263" t="s">
        <v>4218</v>
      </c>
      <c r="D2263" t="s">
        <v>105</v>
      </c>
      <c r="E2263">
        <v>329</v>
      </c>
      <c r="F2263" t="s">
        <v>7063</v>
      </c>
      <c r="G2263">
        <v>329</v>
      </c>
      <c r="H2263">
        <v>214.57</v>
      </c>
      <c r="I2263">
        <v>208</v>
      </c>
      <c r="J2263">
        <v>208</v>
      </c>
      <c r="L2263" t="s">
        <v>5922</v>
      </c>
      <c r="Q2263">
        <v>214.57</v>
      </c>
      <c r="R2263">
        <v>214.57</v>
      </c>
      <c r="U2263">
        <v>215.19</v>
      </c>
      <c r="V2263">
        <v>215.19</v>
      </c>
      <c r="W2263">
        <v>243.17</v>
      </c>
      <c r="X2263">
        <v>214.57</v>
      </c>
      <c r="Y2263">
        <v>329</v>
      </c>
      <c r="Z2263" t="s">
        <v>5922</v>
      </c>
    </row>
    <row r="2264" spans="1:26" x14ac:dyDescent="0.2">
      <c r="A2264" t="s">
        <v>4163</v>
      </c>
      <c r="B2264" t="s">
        <v>6165</v>
      </c>
      <c r="C2264" t="s">
        <v>4219</v>
      </c>
      <c r="D2264" t="s">
        <v>98</v>
      </c>
      <c r="E2264">
        <v>389</v>
      </c>
      <c r="F2264" t="s">
        <v>5922</v>
      </c>
      <c r="G2264">
        <v>399</v>
      </c>
      <c r="H2264">
        <v>287.52</v>
      </c>
      <c r="I2264">
        <v>270.61</v>
      </c>
      <c r="J2264">
        <v>270.61</v>
      </c>
      <c r="L2264" t="s">
        <v>5922</v>
      </c>
      <c r="R2264">
        <v>338.26</v>
      </c>
      <c r="U2264">
        <v>259.63</v>
      </c>
      <c r="V2264">
        <v>259.63</v>
      </c>
      <c r="W2264">
        <v>294.91000000000003</v>
      </c>
      <c r="X2264">
        <v>260.22000000000003</v>
      </c>
      <c r="Y2264">
        <v>399</v>
      </c>
      <c r="Z2264" t="s">
        <v>5922</v>
      </c>
    </row>
    <row r="2265" spans="1:26" x14ac:dyDescent="0.2">
      <c r="A2265" t="s">
        <v>4163</v>
      </c>
      <c r="B2265" t="s">
        <v>6166</v>
      </c>
      <c r="C2265" t="s">
        <v>4220</v>
      </c>
      <c r="D2265" t="s">
        <v>105</v>
      </c>
      <c r="E2265">
        <v>99.95</v>
      </c>
      <c r="F2265" t="s">
        <v>6964</v>
      </c>
      <c r="G2265">
        <v>99</v>
      </c>
      <c r="H2265">
        <v>64.569999999999993</v>
      </c>
      <c r="I2265">
        <v>55.62</v>
      </c>
      <c r="J2265">
        <v>55.62</v>
      </c>
      <c r="L2265" t="s">
        <v>5922</v>
      </c>
      <c r="Q2265">
        <v>64.569999999999993</v>
      </c>
      <c r="R2265">
        <v>64.569999999999993</v>
      </c>
      <c r="U2265">
        <v>72.37</v>
      </c>
      <c r="V2265">
        <v>72.37</v>
      </c>
      <c r="W2265">
        <v>73.17</v>
      </c>
      <c r="X2265">
        <v>64.569999999999993</v>
      </c>
      <c r="Y2265">
        <v>99</v>
      </c>
      <c r="Z2265" t="s">
        <v>5922</v>
      </c>
    </row>
    <row r="2266" spans="1:26" x14ac:dyDescent="0.2">
      <c r="A2266" t="s">
        <v>4163</v>
      </c>
      <c r="B2266" t="s">
        <v>6167</v>
      </c>
      <c r="C2266" t="s">
        <v>4221</v>
      </c>
      <c r="D2266" t="s">
        <v>105</v>
      </c>
      <c r="E2266">
        <v>319</v>
      </c>
      <c r="F2266" t="s">
        <v>6940</v>
      </c>
      <c r="G2266">
        <v>319</v>
      </c>
      <c r="H2266">
        <v>208.04</v>
      </c>
      <c r="L2266" t="s">
        <v>5922</v>
      </c>
      <c r="Q2266">
        <v>208.04</v>
      </c>
      <c r="R2266">
        <v>208.04</v>
      </c>
      <c r="U2266">
        <v>221.09</v>
      </c>
      <c r="V2266">
        <v>215.19</v>
      </c>
      <c r="W2266">
        <v>250.57</v>
      </c>
      <c r="X2266">
        <v>221.09</v>
      </c>
      <c r="Y2266">
        <v>319</v>
      </c>
      <c r="Z2266" t="s">
        <v>5922</v>
      </c>
    </row>
    <row r="2267" spans="1:26" x14ac:dyDescent="0.2">
      <c r="A2267" t="s">
        <v>4163</v>
      </c>
      <c r="B2267" t="s">
        <v>6168</v>
      </c>
      <c r="C2267" t="s">
        <v>4222</v>
      </c>
      <c r="D2267" t="s">
        <v>105</v>
      </c>
      <c r="E2267">
        <v>479</v>
      </c>
      <c r="F2267" t="s">
        <v>7411</v>
      </c>
      <c r="G2267">
        <v>479</v>
      </c>
      <c r="H2267">
        <v>312.39</v>
      </c>
      <c r="I2267">
        <v>312.35000000000002</v>
      </c>
      <c r="J2267">
        <v>312.35000000000002</v>
      </c>
      <c r="L2267" t="s">
        <v>5922</v>
      </c>
      <c r="Q2267">
        <v>312.39</v>
      </c>
      <c r="R2267">
        <v>312.39</v>
      </c>
      <c r="U2267">
        <v>304.06</v>
      </c>
      <c r="V2267">
        <v>304.06</v>
      </c>
      <c r="W2267">
        <v>354.04</v>
      </c>
      <c r="X2267">
        <v>312.39</v>
      </c>
      <c r="Y2267">
        <v>479</v>
      </c>
      <c r="Z2267" t="s">
        <v>5922</v>
      </c>
    </row>
    <row r="2268" spans="1:26" x14ac:dyDescent="0.2">
      <c r="A2268" t="s">
        <v>4163</v>
      </c>
      <c r="B2268" t="s">
        <v>4223</v>
      </c>
      <c r="C2268" t="s">
        <v>4224</v>
      </c>
      <c r="D2268" t="s">
        <v>98</v>
      </c>
      <c r="E2268">
        <v>449.99</v>
      </c>
      <c r="F2268" t="s">
        <v>5922</v>
      </c>
      <c r="G2268">
        <v>449.99</v>
      </c>
      <c r="H2268">
        <v>293.47000000000003</v>
      </c>
      <c r="I2268">
        <v>391.3</v>
      </c>
      <c r="J2268">
        <v>391.3</v>
      </c>
      <c r="L2268" t="s">
        <v>5922</v>
      </c>
      <c r="M2268">
        <v>391.3</v>
      </c>
      <c r="N2268">
        <v>391.3</v>
      </c>
      <c r="O2268">
        <v>293.47000000000003</v>
      </c>
      <c r="P2268">
        <v>391.3</v>
      </c>
      <c r="Q2268">
        <v>391.3</v>
      </c>
      <c r="R2268">
        <v>293.47000000000003</v>
      </c>
      <c r="S2268">
        <v>391.3</v>
      </c>
      <c r="T2268">
        <v>293.47000000000003</v>
      </c>
      <c r="U2268">
        <v>293.47000000000003</v>
      </c>
      <c r="V2268">
        <v>293.47000000000003</v>
      </c>
      <c r="W2268">
        <v>352.17</v>
      </c>
      <c r="X2268">
        <v>293.47000000000003</v>
      </c>
      <c r="Y2268">
        <v>449.99</v>
      </c>
      <c r="Z2268" t="s">
        <v>5922</v>
      </c>
    </row>
    <row r="2269" spans="1:26" x14ac:dyDescent="0.2">
      <c r="A2269" t="s">
        <v>4163</v>
      </c>
      <c r="B2269" t="s">
        <v>6169</v>
      </c>
      <c r="C2269" t="s">
        <v>4225</v>
      </c>
      <c r="D2269" t="s">
        <v>105</v>
      </c>
      <c r="E2269">
        <v>249</v>
      </c>
      <c r="F2269" t="s">
        <v>7067</v>
      </c>
      <c r="G2269">
        <v>249</v>
      </c>
      <c r="H2269">
        <v>162.38999999999999</v>
      </c>
      <c r="L2269" t="s">
        <v>5922</v>
      </c>
      <c r="Q2269">
        <v>162.38999999999999</v>
      </c>
      <c r="R2269">
        <v>162.38999999999999</v>
      </c>
      <c r="U2269">
        <v>175.43</v>
      </c>
      <c r="V2269">
        <v>170.76</v>
      </c>
      <c r="W2269">
        <v>198.83</v>
      </c>
      <c r="X2269">
        <v>175.43</v>
      </c>
      <c r="Y2269">
        <v>249</v>
      </c>
      <c r="Z2269" t="s">
        <v>5922</v>
      </c>
    </row>
    <row r="2270" spans="1:26" x14ac:dyDescent="0.2">
      <c r="A2270" t="s">
        <v>4163</v>
      </c>
      <c r="B2270" t="s">
        <v>6170</v>
      </c>
      <c r="C2270" t="s">
        <v>4226</v>
      </c>
      <c r="D2270" t="s">
        <v>105</v>
      </c>
      <c r="E2270">
        <v>199</v>
      </c>
      <c r="F2270" t="s">
        <v>6954</v>
      </c>
      <c r="G2270">
        <v>199</v>
      </c>
      <c r="H2270">
        <v>129.78</v>
      </c>
      <c r="L2270" t="s">
        <v>5922</v>
      </c>
      <c r="Q2270">
        <v>129.78</v>
      </c>
      <c r="R2270">
        <v>129.78</v>
      </c>
      <c r="U2270">
        <v>142.83000000000001</v>
      </c>
      <c r="V2270">
        <v>139.02000000000001</v>
      </c>
      <c r="W2270">
        <v>161.87</v>
      </c>
      <c r="X2270">
        <v>142.83000000000001</v>
      </c>
      <c r="Y2270">
        <v>199</v>
      </c>
      <c r="Z2270" t="s">
        <v>5922</v>
      </c>
    </row>
    <row r="2271" spans="1:26" x14ac:dyDescent="0.2">
      <c r="A2271" t="s">
        <v>4163</v>
      </c>
      <c r="B2271" t="s">
        <v>6171</v>
      </c>
      <c r="C2271" t="s">
        <v>4227</v>
      </c>
      <c r="D2271" t="s">
        <v>105</v>
      </c>
      <c r="E2271">
        <v>219</v>
      </c>
      <c r="F2271" t="s">
        <v>7058</v>
      </c>
      <c r="G2271">
        <v>219</v>
      </c>
      <c r="H2271">
        <v>142.83000000000001</v>
      </c>
      <c r="L2271" t="s">
        <v>5922</v>
      </c>
      <c r="Q2271">
        <v>142.83000000000001</v>
      </c>
      <c r="R2271">
        <v>142.83000000000001</v>
      </c>
      <c r="U2271">
        <v>155.87</v>
      </c>
      <c r="V2271">
        <v>151.71</v>
      </c>
      <c r="W2271">
        <v>176.65</v>
      </c>
      <c r="X2271">
        <v>155.87</v>
      </c>
      <c r="Y2271">
        <v>219</v>
      </c>
      <c r="Z2271" t="s">
        <v>5922</v>
      </c>
    </row>
    <row r="2272" spans="1:26" x14ac:dyDescent="0.2">
      <c r="A2272" t="s">
        <v>4163</v>
      </c>
      <c r="B2272" t="s">
        <v>6172</v>
      </c>
      <c r="C2272" t="s">
        <v>4228</v>
      </c>
      <c r="D2272" t="s">
        <v>105</v>
      </c>
      <c r="E2272">
        <v>329</v>
      </c>
      <c r="F2272" t="s">
        <v>7063</v>
      </c>
      <c r="G2272">
        <v>329</v>
      </c>
      <c r="H2272">
        <v>214.57</v>
      </c>
      <c r="L2272" t="s">
        <v>5922</v>
      </c>
      <c r="Q2272">
        <v>214.57</v>
      </c>
      <c r="R2272">
        <v>214.57</v>
      </c>
      <c r="U2272">
        <v>227.61</v>
      </c>
      <c r="V2272">
        <v>221.54</v>
      </c>
      <c r="W2272">
        <v>257.95999999999998</v>
      </c>
      <c r="X2272">
        <v>227.61</v>
      </c>
      <c r="Y2272">
        <v>329</v>
      </c>
      <c r="Z2272" t="s">
        <v>5922</v>
      </c>
    </row>
    <row r="2273" spans="1:26" x14ac:dyDescent="0.2">
      <c r="A2273" t="s">
        <v>4163</v>
      </c>
      <c r="B2273" t="s">
        <v>6173</v>
      </c>
      <c r="C2273" t="s">
        <v>4229</v>
      </c>
      <c r="D2273" t="s">
        <v>105</v>
      </c>
      <c r="E2273">
        <v>549</v>
      </c>
      <c r="F2273" t="s">
        <v>7060</v>
      </c>
      <c r="G2273">
        <v>549</v>
      </c>
      <c r="H2273">
        <v>358.04</v>
      </c>
      <c r="L2273" t="s">
        <v>5922</v>
      </c>
      <c r="Q2273">
        <v>358.04</v>
      </c>
      <c r="R2273">
        <v>358.04</v>
      </c>
      <c r="U2273">
        <v>358.04</v>
      </c>
      <c r="V2273">
        <v>348.5</v>
      </c>
      <c r="W2273">
        <v>405.78</v>
      </c>
      <c r="X2273">
        <v>358.04</v>
      </c>
      <c r="Y2273">
        <v>549</v>
      </c>
      <c r="Z2273" t="s">
        <v>5922</v>
      </c>
    </row>
    <row r="2274" spans="1:26" x14ac:dyDescent="0.2">
      <c r="A2274" t="s">
        <v>4230</v>
      </c>
      <c r="B2274" t="s">
        <v>4231</v>
      </c>
      <c r="C2274" t="s">
        <v>4232</v>
      </c>
      <c r="D2274" t="s">
        <v>105</v>
      </c>
      <c r="E2274">
        <v>54.95</v>
      </c>
      <c r="F2274" t="s">
        <v>6961</v>
      </c>
      <c r="H2274">
        <v>39.18</v>
      </c>
      <c r="L2274" t="s">
        <v>5922</v>
      </c>
      <c r="M2274">
        <v>38.229999999999997</v>
      </c>
      <c r="P2274">
        <v>37.270000000000003</v>
      </c>
      <c r="S2274">
        <v>37.270000000000003</v>
      </c>
      <c r="U2274">
        <v>38.229999999999997</v>
      </c>
      <c r="Z2274" t="s">
        <v>5922</v>
      </c>
    </row>
    <row r="2275" spans="1:26" x14ac:dyDescent="0.2">
      <c r="A2275" t="s">
        <v>4230</v>
      </c>
      <c r="B2275" t="s">
        <v>4233</v>
      </c>
      <c r="C2275" t="s">
        <v>4234</v>
      </c>
      <c r="D2275" t="s">
        <v>105</v>
      </c>
      <c r="F2275" t="s">
        <v>5922</v>
      </c>
      <c r="L2275" t="s">
        <v>5922</v>
      </c>
      <c r="M2275">
        <v>0</v>
      </c>
      <c r="Z2275" t="s">
        <v>5922</v>
      </c>
    </row>
    <row r="2276" spans="1:26" x14ac:dyDescent="0.2">
      <c r="A2276" t="s">
        <v>4230</v>
      </c>
      <c r="B2276" t="s">
        <v>4235</v>
      </c>
      <c r="C2276" t="s">
        <v>4236</v>
      </c>
      <c r="D2276" t="s">
        <v>105</v>
      </c>
      <c r="E2276">
        <v>14.95</v>
      </c>
      <c r="F2276" t="s">
        <v>7416</v>
      </c>
      <c r="H2276">
        <v>10.66</v>
      </c>
      <c r="L2276" t="s">
        <v>5922</v>
      </c>
      <c r="M2276">
        <v>9.8800000000000008</v>
      </c>
      <c r="P2276">
        <v>10.14</v>
      </c>
      <c r="S2276">
        <v>10.14</v>
      </c>
      <c r="U2276">
        <v>10.4</v>
      </c>
      <c r="Z2276" t="s">
        <v>5922</v>
      </c>
    </row>
    <row r="2277" spans="1:26" x14ac:dyDescent="0.2">
      <c r="A2277" t="s">
        <v>4230</v>
      </c>
      <c r="B2277" t="s">
        <v>4237</v>
      </c>
      <c r="C2277" t="s">
        <v>4238</v>
      </c>
      <c r="D2277" t="s">
        <v>105</v>
      </c>
      <c r="E2277">
        <v>379</v>
      </c>
      <c r="F2277" t="s">
        <v>7349</v>
      </c>
      <c r="H2277">
        <v>270.24</v>
      </c>
      <c r="L2277" t="s">
        <v>5922</v>
      </c>
      <c r="M2277">
        <v>290.02</v>
      </c>
      <c r="P2277">
        <v>263.64999999999998</v>
      </c>
      <c r="S2277">
        <v>280.13</v>
      </c>
      <c r="U2277">
        <v>263.64999999999998</v>
      </c>
      <c r="V2277">
        <v>273.54000000000002</v>
      </c>
      <c r="W2277">
        <v>296.61</v>
      </c>
      <c r="Y2277">
        <v>379</v>
      </c>
      <c r="Z2277" t="s">
        <v>5922</v>
      </c>
    </row>
    <row r="2278" spans="1:26" x14ac:dyDescent="0.2">
      <c r="A2278" t="s">
        <v>4230</v>
      </c>
      <c r="B2278" t="s">
        <v>4239</v>
      </c>
      <c r="C2278" t="s">
        <v>4240</v>
      </c>
      <c r="D2278" t="s">
        <v>105</v>
      </c>
      <c r="E2278">
        <v>379</v>
      </c>
      <c r="F2278" t="s">
        <v>7349</v>
      </c>
      <c r="H2278">
        <v>270.24</v>
      </c>
      <c r="L2278" t="s">
        <v>5922</v>
      </c>
      <c r="M2278">
        <v>290.02</v>
      </c>
      <c r="P2278">
        <v>263.64999999999998</v>
      </c>
      <c r="S2278">
        <v>280.13</v>
      </c>
      <c r="U2278">
        <v>263.64999999999998</v>
      </c>
      <c r="V2278">
        <v>273.54000000000002</v>
      </c>
      <c r="W2278">
        <v>296.61</v>
      </c>
      <c r="Y2278">
        <v>379</v>
      </c>
      <c r="Z2278" t="s">
        <v>5922</v>
      </c>
    </row>
    <row r="2279" spans="1:26" x14ac:dyDescent="0.2">
      <c r="A2279" t="s">
        <v>4230</v>
      </c>
      <c r="B2279" t="s">
        <v>4241</v>
      </c>
      <c r="C2279" t="s">
        <v>4242</v>
      </c>
      <c r="D2279" t="s">
        <v>105</v>
      </c>
      <c r="E2279">
        <v>29.95</v>
      </c>
      <c r="F2279" t="s">
        <v>7417</v>
      </c>
      <c r="H2279">
        <v>21.36</v>
      </c>
      <c r="L2279" t="s">
        <v>5922</v>
      </c>
      <c r="M2279">
        <v>19.79</v>
      </c>
      <c r="P2279">
        <v>20.309999999999999</v>
      </c>
      <c r="S2279">
        <v>20.309999999999999</v>
      </c>
      <c r="U2279">
        <v>20.83</v>
      </c>
      <c r="Z2279" t="s">
        <v>5922</v>
      </c>
    </row>
    <row r="2280" spans="1:26" x14ac:dyDescent="0.2">
      <c r="A2280" t="s">
        <v>4230</v>
      </c>
      <c r="B2280" t="s">
        <v>4243</v>
      </c>
      <c r="C2280" t="s">
        <v>4244</v>
      </c>
      <c r="D2280" t="s">
        <v>105</v>
      </c>
      <c r="E2280">
        <v>29.95</v>
      </c>
      <c r="F2280" t="s">
        <v>7417</v>
      </c>
      <c r="H2280">
        <v>21.36</v>
      </c>
      <c r="L2280" t="s">
        <v>5922</v>
      </c>
      <c r="M2280">
        <v>19.79</v>
      </c>
      <c r="P2280">
        <v>20.309999999999999</v>
      </c>
      <c r="S2280">
        <v>20.309999999999999</v>
      </c>
      <c r="U2280">
        <v>20.83</v>
      </c>
      <c r="Z2280" t="s">
        <v>5922</v>
      </c>
    </row>
    <row r="2281" spans="1:26" x14ac:dyDescent="0.2">
      <c r="A2281" t="s">
        <v>4230</v>
      </c>
      <c r="B2281" t="s">
        <v>4245</v>
      </c>
      <c r="C2281" t="s">
        <v>4246</v>
      </c>
      <c r="D2281" t="s">
        <v>105</v>
      </c>
      <c r="E2281">
        <v>29.95</v>
      </c>
      <c r="F2281" t="s">
        <v>7417</v>
      </c>
      <c r="H2281">
        <v>21.36</v>
      </c>
      <c r="L2281" t="s">
        <v>5922</v>
      </c>
      <c r="M2281">
        <v>19.79</v>
      </c>
      <c r="P2281">
        <v>20.309999999999999</v>
      </c>
      <c r="S2281">
        <v>20.309999999999999</v>
      </c>
      <c r="U2281">
        <v>20.83</v>
      </c>
      <c r="Z2281" t="s">
        <v>5922</v>
      </c>
    </row>
    <row r="2282" spans="1:26" x14ac:dyDescent="0.2">
      <c r="A2282" t="s">
        <v>4230</v>
      </c>
      <c r="B2282" t="s">
        <v>4247</v>
      </c>
      <c r="C2282" t="s">
        <v>4248</v>
      </c>
      <c r="D2282" t="s">
        <v>105</v>
      </c>
      <c r="E2282">
        <v>29.95</v>
      </c>
      <c r="F2282" t="s">
        <v>7417</v>
      </c>
      <c r="H2282">
        <v>21.36</v>
      </c>
      <c r="L2282" t="s">
        <v>5922</v>
      </c>
      <c r="M2282">
        <v>19.79</v>
      </c>
      <c r="P2282">
        <v>20.309999999999999</v>
      </c>
      <c r="S2282">
        <v>20.309999999999999</v>
      </c>
      <c r="U2282">
        <v>20.83</v>
      </c>
      <c r="Z2282" t="s">
        <v>5922</v>
      </c>
    </row>
    <row r="2283" spans="1:26" x14ac:dyDescent="0.2">
      <c r="A2283" t="s">
        <v>4230</v>
      </c>
      <c r="B2283" t="s">
        <v>4249</v>
      </c>
      <c r="C2283" t="s">
        <v>4250</v>
      </c>
      <c r="D2283" t="s">
        <v>98</v>
      </c>
      <c r="E2283">
        <v>29.95</v>
      </c>
      <c r="F2283" t="s">
        <v>7417</v>
      </c>
      <c r="H2283">
        <v>21.36</v>
      </c>
      <c r="L2283" t="s">
        <v>5922</v>
      </c>
      <c r="P2283">
        <v>20.309999999999999</v>
      </c>
      <c r="S2283">
        <v>20.309999999999999</v>
      </c>
      <c r="Z2283" t="s">
        <v>5922</v>
      </c>
    </row>
    <row r="2284" spans="1:26" x14ac:dyDescent="0.2">
      <c r="A2284" t="s">
        <v>4230</v>
      </c>
      <c r="B2284" t="s">
        <v>4251</v>
      </c>
      <c r="C2284" t="s">
        <v>4252</v>
      </c>
      <c r="D2284" t="s">
        <v>105</v>
      </c>
      <c r="E2284">
        <v>29.95</v>
      </c>
      <c r="F2284" t="s">
        <v>7417</v>
      </c>
      <c r="H2284">
        <v>21.36</v>
      </c>
      <c r="L2284" t="s">
        <v>5922</v>
      </c>
      <c r="M2284">
        <v>19.79</v>
      </c>
      <c r="P2284">
        <v>20.309999999999999</v>
      </c>
      <c r="S2284">
        <v>20.309999999999999</v>
      </c>
      <c r="U2284">
        <v>20.83</v>
      </c>
      <c r="Z2284" t="s">
        <v>5922</v>
      </c>
    </row>
    <row r="2285" spans="1:26" x14ac:dyDescent="0.2">
      <c r="A2285" t="s">
        <v>4230</v>
      </c>
      <c r="B2285" t="s">
        <v>4253</v>
      </c>
      <c r="C2285" t="s">
        <v>4254</v>
      </c>
      <c r="D2285" t="s">
        <v>105</v>
      </c>
      <c r="E2285">
        <v>29.95</v>
      </c>
      <c r="F2285" t="s">
        <v>7417</v>
      </c>
      <c r="H2285">
        <v>21.36</v>
      </c>
      <c r="L2285" t="s">
        <v>5922</v>
      </c>
      <c r="M2285">
        <v>19.79</v>
      </c>
      <c r="P2285">
        <v>20.309999999999999</v>
      </c>
      <c r="S2285">
        <v>20.309999999999999</v>
      </c>
      <c r="U2285">
        <v>20.83</v>
      </c>
      <c r="Z2285" t="s">
        <v>5922</v>
      </c>
    </row>
    <row r="2286" spans="1:26" x14ac:dyDescent="0.2">
      <c r="A2286" t="s">
        <v>4230</v>
      </c>
      <c r="B2286" t="s">
        <v>4255</v>
      </c>
      <c r="C2286" t="s">
        <v>4256</v>
      </c>
      <c r="D2286" t="s">
        <v>105</v>
      </c>
      <c r="E2286">
        <v>29.95</v>
      </c>
      <c r="F2286" t="s">
        <v>7417</v>
      </c>
      <c r="H2286">
        <v>21.36</v>
      </c>
      <c r="L2286" t="s">
        <v>5922</v>
      </c>
      <c r="M2286">
        <v>19.79</v>
      </c>
      <c r="P2286">
        <v>20.309999999999999</v>
      </c>
      <c r="S2286">
        <v>20.309999999999999</v>
      </c>
      <c r="U2286">
        <v>20.83</v>
      </c>
      <c r="Z2286" t="s">
        <v>5922</v>
      </c>
    </row>
    <row r="2287" spans="1:26" x14ac:dyDescent="0.2">
      <c r="A2287" t="s">
        <v>4230</v>
      </c>
      <c r="B2287" t="s">
        <v>4257</v>
      </c>
      <c r="C2287" t="s">
        <v>4258</v>
      </c>
      <c r="D2287" t="s">
        <v>98</v>
      </c>
      <c r="E2287">
        <v>29.95</v>
      </c>
      <c r="F2287" t="s">
        <v>7417</v>
      </c>
      <c r="H2287">
        <v>21.36</v>
      </c>
      <c r="L2287" t="s">
        <v>5922</v>
      </c>
      <c r="M2287">
        <v>19.79</v>
      </c>
      <c r="P2287">
        <v>20.309999999999999</v>
      </c>
      <c r="S2287">
        <v>20.309999999999999</v>
      </c>
      <c r="Z2287" t="s">
        <v>5922</v>
      </c>
    </row>
    <row r="2288" spans="1:26" x14ac:dyDescent="0.2">
      <c r="A2288" t="s">
        <v>4230</v>
      </c>
      <c r="B2288" t="s">
        <v>4259</v>
      </c>
      <c r="C2288" t="s">
        <v>4260</v>
      </c>
      <c r="D2288" t="s">
        <v>98</v>
      </c>
      <c r="E2288">
        <v>29.95</v>
      </c>
      <c r="F2288" t="s">
        <v>7417</v>
      </c>
      <c r="H2288">
        <v>21.36</v>
      </c>
      <c r="L2288" t="s">
        <v>5922</v>
      </c>
      <c r="M2288">
        <v>19.79</v>
      </c>
      <c r="P2288">
        <v>20.309999999999999</v>
      </c>
      <c r="S2288">
        <v>20.309999999999999</v>
      </c>
      <c r="Z2288" t="s">
        <v>5922</v>
      </c>
    </row>
    <row r="2289" spans="1:26" x14ac:dyDescent="0.2">
      <c r="A2289" t="s">
        <v>4230</v>
      </c>
      <c r="B2289" t="s">
        <v>4261</v>
      </c>
      <c r="C2289" t="s">
        <v>4262</v>
      </c>
      <c r="D2289" t="s">
        <v>105</v>
      </c>
      <c r="E2289">
        <v>29.95</v>
      </c>
      <c r="F2289" t="s">
        <v>7417</v>
      </c>
      <c r="H2289">
        <v>21.36</v>
      </c>
      <c r="L2289" t="s">
        <v>5922</v>
      </c>
      <c r="M2289">
        <v>19.79</v>
      </c>
      <c r="P2289">
        <v>20.309999999999999</v>
      </c>
      <c r="S2289">
        <v>20.309999999999999</v>
      </c>
      <c r="U2289">
        <v>20.83</v>
      </c>
      <c r="Z2289" t="s">
        <v>5922</v>
      </c>
    </row>
    <row r="2290" spans="1:26" x14ac:dyDescent="0.2">
      <c r="A2290" t="s">
        <v>4230</v>
      </c>
      <c r="B2290" t="s">
        <v>4263</v>
      </c>
      <c r="C2290" t="s">
        <v>4264</v>
      </c>
      <c r="D2290" t="s">
        <v>98</v>
      </c>
      <c r="E2290">
        <v>29.95</v>
      </c>
      <c r="F2290" t="s">
        <v>7417</v>
      </c>
      <c r="H2290">
        <v>21.36</v>
      </c>
      <c r="L2290" t="s">
        <v>5922</v>
      </c>
      <c r="M2290">
        <v>19.79</v>
      </c>
      <c r="P2290">
        <v>20.309999999999999</v>
      </c>
      <c r="S2290">
        <v>20.309999999999999</v>
      </c>
      <c r="Z2290" t="s">
        <v>5922</v>
      </c>
    </row>
    <row r="2291" spans="1:26" x14ac:dyDescent="0.2">
      <c r="A2291" t="s">
        <v>4230</v>
      </c>
      <c r="B2291" t="s">
        <v>4265</v>
      </c>
      <c r="C2291" t="s">
        <v>4266</v>
      </c>
      <c r="D2291" t="s">
        <v>105</v>
      </c>
      <c r="E2291">
        <v>29.95</v>
      </c>
      <c r="F2291" t="s">
        <v>7417</v>
      </c>
      <c r="H2291">
        <v>21.36</v>
      </c>
      <c r="L2291" t="s">
        <v>5922</v>
      </c>
      <c r="M2291">
        <v>19.79</v>
      </c>
      <c r="P2291">
        <v>20.309999999999999</v>
      </c>
      <c r="S2291">
        <v>20.309999999999999</v>
      </c>
      <c r="U2291">
        <v>20.83</v>
      </c>
      <c r="Z2291" t="s">
        <v>5922</v>
      </c>
    </row>
    <row r="2292" spans="1:26" x14ac:dyDescent="0.2">
      <c r="A2292" t="s">
        <v>4230</v>
      </c>
      <c r="B2292" t="s">
        <v>4267</v>
      </c>
      <c r="C2292" t="s">
        <v>4268</v>
      </c>
      <c r="D2292" t="s">
        <v>98</v>
      </c>
      <c r="E2292">
        <v>399</v>
      </c>
      <c r="F2292" t="s">
        <v>6948</v>
      </c>
      <c r="L2292" t="s">
        <v>5922</v>
      </c>
      <c r="S2292">
        <v>55.95</v>
      </c>
      <c r="Z2292" t="s">
        <v>5922</v>
      </c>
    </row>
    <row r="2293" spans="1:26" x14ac:dyDescent="0.2">
      <c r="A2293" t="s">
        <v>4230</v>
      </c>
      <c r="B2293" t="s">
        <v>4269</v>
      </c>
      <c r="C2293" t="s">
        <v>4270</v>
      </c>
      <c r="D2293" t="s">
        <v>105</v>
      </c>
      <c r="E2293">
        <v>29.95</v>
      </c>
      <c r="F2293" t="s">
        <v>7417</v>
      </c>
      <c r="H2293">
        <v>21.36</v>
      </c>
      <c r="L2293" t="s">
        <v>5922</v>
      </c>
      <c r="M2293">
        <v>19.79</v>
      </c>
      <c r="P2293">
        <v>20.309999999999999</v>
      </c>
      <c r="S2293">
        <v>20.309999999999999</v>
      </c>
      <c r="U2293">
        <v>20.83</v>
      </c>
      <c r="Z2293" t="s">
        <v>5922</v>
      </c>
    </row>
    <row r="2294" spans="1:26" x14ac:dyDescent="0.2">
      <c r="A2294" t="s">
        <v>4230</v>
      </c>
      <c r="B2294" t="s">
        <v>4271</v>
      </c>
      <c r="C2294" t="s">
        <v>4272</v>
      </c>
      <c r="D2294" t="s">
        <v>105</v>
      </c>
      <c r="F2294" t="s">
        <v>5922</v>
      </c>
      <c r="L2294" t="s">
        <v>5922</v>
      </c>
      <c r="M2294">
        <v>0</v>
      </c>
      <c r="Z2294" t="s">
        <v>5922</v>
      </c>
    </row>
    <row r="2295" spans="1:26" x14ac:dyDescent="0.2">
      <c r="A2295" t="s">
        <v>4230</v>
      </c>
      <c r="B2295" t="s">
        <v>4273</v>
      </c>
      <c r="C2295" t="s">
        <v>4274</v>
      </c>
      <c r="D2295" t="s">
        <v>105</v>
      </c>
      <c r="E2295">
        <v>14.95</v>
      </c>
      <c r="F2295" t="s">
        <v>7416</v>
      </c>
      <c r="H2295">
        <v>10.66</v>
      </c>
      <c r="L2295" t="s">
        <v>5922</v>
      </c>
      <c r="M2295">
        <v>9.8800000000000008</v>
      </c>
      <c r="P2295">
        <v>10.14</v>
      </c>
      <c r="S2295">
        <v>10.14</v>
      </c>
      <c r="U2295">
        <v>10.4</v>
      </c>
      <c r="Z2295" t="s">
        <v>5922</v>
      </c>
    </row>
    <row r="2296" spans="1:26" x14ac:dyDescent="0.2">
      <c r="A2296" t="s">
        <v>4230</v>
      </c>
      <c r="B2296" t="s">
        <v>4275</v>
      </c>
      <c r="C2296" t="s">
        <v>4276</v>
      </c>
      <c r="D2296" t="s">
        <v>105</v>
      </c>
      <c r="E2296">
        <v>249</v>
      </c>
      <c r="F2296" t="s">
        <v>7067</v>
      </c>
      <c r="H2296">
        <v>177.55</v>
      </c>
      <c r="L2296" t="s">
        <v>5922</v>
      </c>
      <c r="M2296">
        <v>190.54</v>
      </c>
      <c r="P2296">
        <v>173.22</v>
      </c>
      <c r="S2296">
        <v>184.04</v>
      </c>
      <c r="U2296">
        <v>173.22</v>
      </c>
      <c r="V2296">
        <v>179.71</v>
      </c>
      <c r="W2296">
        <v>194.87</v>
      </c>
      <c r="Y2296">
        <v>249</v>
      </c>
      <c r="Z2296" t="s">
        <v>5922</v>
      </c>
    </row>
    <row r="2297" spans="1:26" x14ac:dyDescent="0.2">
      <c r="A2297" t="s">
        <v>4230</v>
      </c>
      <c r="B2297" t="s">
        <v>4277</v>
      </c>
      <c r="C2297" t="s">
        <v>4278</v>
      </c>
      <c r="D2297" t="s">
        <v>105</v>
      </c>
      <c r="E2297">
        <v>249</v>
      </c>
      <c r="F2297" t="s">
        <v>7067</v>
      </c>
      <c r="H2297">
        <v>177.55</v>
      </c>
      <c r="L2297" t="s">
        <v>5922</v>
      </c>
      <c r="M2297">
        <v>190.54</v>
      </c>
      <c r="P2297">
        <v>173.22</v>
      </c>
      <c r="S2297">
        <v>184.04</v>
      </c>
      <c r="U2297">
        <v>173.22</v>
      </c>
      <c r="V2297">
        <v>179.71</v>
      </c>
      <c r="W2297">
        <v>194.87</v>
      </c>
      <c r="Y2297">
        <v>249</v>
      </c>
      <c r="Z2297" t="s">
        <v>5922</v>
      </c>
    </row>
    <row r="2298" spans="1:26" x14ac:dyDescent="0.2">
      <c r="A2298" t="s">
        <v>4230</v>
      </c>
      <c r="B2298" t="s">
        <v>4279</v>
      </c>
      <c r="C2298" t="s">
        <v>4280</v>
      </c>
      <c r="D2298" t="s">
        <v>105</v>
      </c>
      <c r="E2298">
        <v>69.95</v>
      </c>
      <c r="F2298" t="s">
        <v>7418</v>
      </c>
      <c r="H2298">
        <v>49.88</v>
      </c>
      <c r="L2298" t="s">
        <v>5922</v>
      </c>
      <c r="M2298">
        <v>46.23</v>
      </c>
      <c r="P2298">
        <v>47.44</v>
      </c>
      <c r="S2298">
        <v>47.44</v>
      </c>
      <c r="U2298">
        <v>48.66</v>
      </c>
      <c r="Z2298" t="s">
        <v>5922</v>
      </c>
    </row>
    <row r="2299" spans="1:26" x14ac:dyDescent="0.2">
      <c r="A2299" t="s">
        <v>4230</v>
      </c>
      <c r="B2299" t="s">
        <v>4281</v>
      </c>
      <c r="C2299" t="s">
        <v>4282</v>
      </c>
      <c r="D2299" t="s">
        <v>105</v>
      </c>
      <c r="E2299">
        <v>69.95</v>
      </c>
      <c r="F2299" t="s">
        <v>7418</v>
      </c>
      <c r="H2299">
        <v>49.88</v>
      </c>
      <c r="L2299" t="s">
        <v>5922</v>
      </c>
      <c r="M2299">
        <v>46.23</v>
      </c>
      <c r="P2299">
        <v>47.44</v>
      </c>
      <c r="S2299">
        <v>47.44</v>
      </c>
      <c r="U2299">
        <v>48.66</v>
      </c>
      <c r="Z2299" t="s">
        <v>5922</v>
      </c>
    </row>
    <row r="2300" spans="1:26" x14ac:dyDescent="0.2">
      <c r="A2300" t="s">
        <v>4283</v>
      </c>
      <c r="B2300" t="s">
        <v>4284</v>
      </c>
      <c r="C2300" t="s">
        <v>4285</v>
      </c>
      <c r="D2300" t="s">
        <v>105</v>
      </c>
      <c r="E2300">
        <v>4499.99</v>
      </c>
      <c r="F2300" t="s">
        <v>7419</v>
      </c>
      <c r="H2300">
        <v>3326.08</v>
      </c>
      <c r="I2300">
        <v>3521.73</v>
      </c>
      <c r="K2300">
        <v>3326.08</v>
      </c>
      <c r="L2300" t="s">
        <v>5922</v>
      </c>
      <c r="M2300">
        <v>4157.6000000000004</v>
      </c>
      <c r="P2300">
        <v>3501.14</v>
      </c>
      <c r="Q2300">
        <v>3326.08</v>
      </c>
      <c r="R2300">
        <v>3326.08</v>
      </c>
      <c r="S2300">
        <v>3959.62</v>
      </c>
      <c r="Y2300">
        <v>4499.99</v>
      </c>
      <c r="Z2300" t="s">
        <v>5922</v>
      </c>
    </row>
    <row r="2301" spans="1:26" x14ac:dyDescent="0.2">
      <c r="A2301" t="s">
        <v>4283</v>
      </c>
      <c r="B2301" t="s">
        <v>4286</v>
      </c>
      <c r="C2301" t="s">
        <v>4287</v>
      </c>
      <c r="D2301" t="s">
        <v>105</v>
      </c>
      <c r="E2301">
        <v>999.99</v>
      </c>
      <c r="F2301" t="s">
        <v>7387</v>
      </c>
      <c r="H2301">
        <v>695.65</v>
      </c>
      <c r="I2301">
        <v>739.12</v>
      </c>
      <c r="J2301">
        <v>782.6</v>
      </c>
      <c r="K2301">
        <v>695.65</v>
      </c>
      <c r="L2301" t="s">
        <v>5922</v>
      </c>
      <c r="M2301">
        <v>869.56</v>
      </c>
      <c r="N2301">
        <v>834.77</v>
      </c>
      <c r="P2301">
        <v>695.65</v>
      </c>
      <c r="Q2301">
        <v>695.65</v>
      </c>
      <c r="R2301">
        <v>695.65</v>
      </c>
      <c r="S2301">
        <v>799.99</v>
      </c>
      <c r="Y2301">
        <v>999.99</v>
      </c>
      <c r="Z2301" t="s">
        <v>5922</v>
      </c>
    </row>
    <row r="2302" spans="1:26" x14ac:dyDescent="0.2">
      <c r="A2302" t="s">
        <v>4283</v>
      </c>
      <c r="B2302" t="s">
        <v>4288</v>
      </c>
      <c r="C2302" t="s">
        <v>4289</v>
      </c>
      <c r="D2302" t="s">
        <v>105</v>
      </c>
      <c r="E2302">
        <v>189.99</v>
      </c>
      <c r="F2302" t="s">
        <v>6976</v>
      </c>
      <c r="H2302">
        <v>140.43</v>
      </c>
      <c r="I2302">
        <v>148.69</v>
      </c>
      <c r="K2302">
        <v>140.43</v>
      </c>
      <c r="L2302" t="s">
        <v>5922</v>
      </c>
      <c r="N2302">
        <v>140.43</v>
      </c>
      <c r="P2302">
        <v>147.82</v>
      </c>
      <c r="Q2302">
        <v>140.43</v>
      </c>
      <c r="R2302">
        <v>140.43</v>
      </c>
      <c r="Y2302">
        <v>189.99</v>
      </c>
      <c r="Z2302" t="s">
        <v>5922</v>
      </c>
    </row>
    <row r="2303" spans="1:26" x14ac:dyDescent="0.2">
      <c r="A2303" t="s">
        <v>4283</v>
      </c>
      <c r="B2303" t="s">
        <v>4290</v>
      </c>
      <c r="C2303" t="s">
        <v>7420</v>
      </c>
      <c r="D2303" t="s">
        <v>105</v>
      </c>
      <c r="E2303">
        <v>429.99</v>
      </c>
      <c r="F2303" t="s">
        <v>7135</v>
      </c>
      <c r="H2303">
        <v>299.12</v>
      </c>
      <c r="I2303">
        <v>317.82</v>
      </c>
      <c r="J2303">
        <v>336.51</v>
      </c>
      <c r="K2303">
        <v>299.12</v>
      </c>
      <c r="L2303" t="s">
        <v>5922</v>
      </c>
      <c r="M2303">
        <v>373.9</v>
      </c>
      <c r="N2303">
        <v>358.95</v>
      </c>
      <c r="P2303">
        <v>299.12</v>
      </c>
      <c r="Q2303">
        <v>299.12</v>
      </c>
      <c r="R2303">
        <v>299.12</v>
      </c>
      <c r="S2303">
        <v>343.99</v>
      </c>
      <c r="U2303">
        <v>317.82</v>
      </c>
      <c r="W2303">
        <v>317.82</v>
      </c>
      <c r="X2303">
        <v>317.82</v>
      </c>
      <c r="Z2303" t="s">
        <v>5922</v>
      </c>
    </row>
    <row r="2304" spans="1:26" x14ac:dyDescent="0.2">
      <c r="A2304" t="s">
        <v>4283</v>
      </c>
      <c r="B2304" t="s">
        <v>4291</v>
      </c>
      <c r="C2304" t="s">
        <v>7421</v>
      </c>
      <c r="D2304" t="s">
        <v>105</v>
      </c>
      <c r="E2304">
        <v>2899.99</v>
      </c>
      <c r="F2304" t="s">
        <v>7422</v>
      </c>
      <c r="H2304">
        <v>2143.4699999999998</v>
      </c>
      <c r="I2304">
        <v>2269.56</v>
      </c>
      <c r="K2304">
        <v>2143.4699999999998</v>
      </c>
      <c r="L2304" t="s">
        <v>5922</v>
      </c>
      <c r="M2304">
        <v>2679.34</v>
      </c>
      <c r="P2304">
        <v>2256.2800000000002</v>
      </c>
      <c r="Q2304">
        <v>2143.4699999999998</v>
      </c>
      <c r="R2304">
        <v>2143.4699999999998</v>
      </c>
      <c r="Z2304" t="s">
        <v>5922</v>
      </c>
    </row>
    <row r="2305" spans="1:26" x14ac:dyDescent="0.2">
      <c r="A2305" t="s">
        <v>4283</v>
      </c>
      <c r="B2305" t="s">
        <v>4292</v>
      </c>
      <c r="C2305" t="s">
        <v>4293</v>
      </c>
      <c r="D2305" t="s">
        <v>138</v>
      </c>
      <c r="E2305">
        <v>379.99</v>
      </c>
      <c r="F2305" t="s">
        <v>7391</v>
      </c>
      <c r="G2305">
        <v>379.99</v>
      </c>
      <c r="H2305">
        <v>264.33999999999997</v>
      </c>
      <c r="I2305">
        <v>280.86</v>
      </c>
      <c r="J2305">
        <v>297.38</v>
      </c>
      <c r="K2305">
        <v>264.33999999999997</v>
      </c>
      <c r="L2305" t="s">
        <v>5922</v>
      </c>
      <c r="M2305">
        <v>330.43</v>
      </c>
      <c r="N2305">
        <v>317.20999999999998</v>
      </c>
      <c r="P2305">
        <v>264.33999999999997</v>
      </c>
      <c r="Q2305">
        <v>264.33999999999997</v>
      </c>
      <c r="R2305">
        <v>264.33999999999997</v>
      </c>
      <c r="S2305">
        <v>303.99</v>
      </c>
      <c r="T2305">
        <v>264.33999999999997</v>
      </c>
      <c r="U2305">
        <v>264.33999999999997</v>
      </c>
      <c r="V2305">
        <v>280.86</v>
      </c>
      <c r="W2305">
        <v>280.86</v>
      </c>
      <c r="X2305">
        <v>297.38</v>
      </c>
      <c r="Y2305">
        <v>379.99</v>
      </c>
      <c r="Z2305" t="s">
        <v>5922</v>
      </c>
    </row>
    <row r="2306" spans="1:26" x14ac:dyDescent="0.2">
      <c r="A2306" t="s">
        <v>4283</v>
      </c>
      <c r="B2306" t="s">
        <v>4296</v>
      </c>
      <c r="C2306" t="s">
        <v>4297</v>
      </c>
      <c r="D2306" t="s">
        <v>105</v>
      </c>
      <c r="E2306">
        <v>429.99</v>
      </c>
      <c r="F2306" t="s">
        <v>7135</v>
      </c>
      <c r="H2306">
        <v>299.12</v>
      </c>
      <c r="I2306">
        <v>317.82</v>
      </c>
      <c r="J2306">
        <v>336.51</v>
      </c>
      <c r="K2306">
        <v>299.12</v>
      </c>
      <c r="L2306" t="s">
        <v>5922</v>
      </c>
      <c r="M2306">
        <v>355.21</v>
      </c>
      <c r="N2306">
        <v>358.95</v>
      </c>
      <c r="P2306">
        <v>299.12</v>
      </c>
      <c r="Q2306">
        <v>299.12</v>
      </c>
      <c r="R2306">
        <v>299.12</v>
      </c>
      <c r="S2306">
        <v>343.99</v>
      </c>
      <c r="U2306">
        <v>317.82</v>
      </c>
      <c r="W2306">
        <v>317.82</v>
      </c>
      <c r="X2306">
        <v>336.51</v>
      </c>
      <c r="Y2306">
        <v>429.99</v>
      </c>
      <c r="Z2306" t="s">
        <v>5922</v>
      </c>
    </row>
    <row r="2307" spans="1:26" x14ac:dyDescent="0.2">
      <c r="A2307" t="s">
        <v>4283</v>
      </c>
      <c r="B2307" t="s">
        <v>7423</v>
      </c>
      <c r="C2307" t="s">
        <v>7424</v>
      </c>
      <c r="D2307" t="s">
        <v>105</v>
      </c>
      <c r="E2307">
        <v>4799.99</v>
      </c>
      <c r="F2307" t="s">
        <v>7425</v>
      </c>
      <c r="H2307">
        <v>3756.51</v>
      </c>
      <c r="K2307">
        <v>3756.51</v>
      </c>
      <c r="L2307" t="s">
        <v>5922</v>
      </c>
      <c r="M2307">
        <v>4581.1099999999997</v>
      </c>
      <c r="P2307">
        <v>3954.22</v>
      </c>
      <c r="Q2307">
        <v>3860.86</v>
      </c>
      <c r="R2307">
        <v>3756.51</v>
      </c>
      <c r="Z2307" t="s">
        <v>5922</v>
      </c>
    </row>
    <row r="2308" spans="1:26" x14ac:dyDescent="0.2">
      <c r="A2308" t="s">
        <v>4283</v>
      </c>
      <c r="B2308" t="s">
        <v>4298</v>
      </c>
      <c r="C2308" t="s">
        <v>4299</v>
      </c>
      <c r="D2308" t="s">
        <v>138</v>
      </c>
      <c r="E2308">
        <v>4799.99</v>
      </c>
      <c r="F2308" t="s">
        <v>7425</v>
      </c>
      <c r="H2308">
        <v>3756.51</v>
      </c>
      <c r="K2308">
        <v>3756.51</v>
      </c>
      <c r="L2308" t="s">
        <v>5922</v>
      </c>
      <c r="M2308">
        <v>4581.1099999999997</v>
      </c>
      <c r="P2308">
        <v>3954.22</v>
      </c>
      <c r="Q2308">
        <v>3860.86</v>
      </c>
      <c r="R2308">
        <v>3756.51</v>
      </c>
      <c r="Z2308" t="s">
        <v>5922</v>
      </c>
    </row>
    <row r="2309" spans="1:26" x14ac:dyDescent="0.2">
      <c r="A2309" t="s">
        <v>4283</v>
      </c>
      <c r="B2309" t="s">
        <v>4300</v>
      </c>
      <c r="C2309" t="s">
        <v>4301</v>
      </c>
      <c r="D2309" t="s">
        <v>105</v>
      </c>
      <c r="E2309">
        <v>6499.99</v>
      </c>
      <c r="F2309" t="s">
        <v>7426</v>
      </c>
      <c r="H2309">
        <v>4804.34</v>
      </c>
      <c r="I2309">
        <v>5086.95</v>
      </c>
      <c r="K2309">
        <v>4804.34</v>
      </c>
      <c r="L2309" t="s">
        <v>5922</v>
      </c>
      <c r="M2309">
        <v>6005.4250000000002</v>
      </c>
      <c r="P2309">
        <v>4938.21</v>
      </c>
      <c r="Q2309">
        <v>4804.34</v>
      </c>
      <c r="R2309">
        <v>4804.34</v>
      </c>
      <c r="Y2309">
        <v>6499.99</v>
      </c>
      <c r="Z2309" t="s">
        <v>5922</v>
      </c>
    </row>
    <row r="2310" spans="1:26" x14ac:dyDescent="0.2">
      <c r="A2310" t="s">
        <v>4283</v>
      </c>
      <c r="B2310" t="s">
        <v>4302</v>
      </c>
      <c r="C2310" t="s">
        <v>4303</v>
      </c>
      <c r="D2310" t="s">
        <v>105</v>
      </c>
      <c r="E2310">
        <v>189.99</v>
      </c>
      <c r="F2310" t="s">
        <v>6976</v>
      </c>
      <c r="H2310">
        <v>140.43</v>
      </c>
      <c r="I2310">
        <v>148.69</v>
      </c>
      <c r="K2310">
        <v>140.43</v>
      </c>
      <c r="L2310" t="s">
        <v>5922</v>
      </c>
      <c r="N2310">
        <v>140.43</v>
      </c>
      <c r="P2310">
        <v>147.82</v>
      </c>
      <c r="Q2310">
        <v>140.43</v>
      </c>
      <c r="R2310">
        <v>140.43</v>
      </c>
      <c r="Y2310">
        <v>189.99</v>
      </c>
      <c r="Z2310" t="s">
        <v>5922</v>
      </c>
    </row>
    <row r="2311" spans="1:26" x14ac:dyDescent="0.2">
      <c r="A2311" t="s">
        <v>4283</v>
      </c>
      <c r="B2311" t="s">
        <v>7427</v>
      </c>
      <c r="C2311" t="s">
        <v>7428</v>
      </c>
      <c r="D2311" t="s">
        <v>105</v>
      </c>
      <c r="E2311">
        <v>319.99</v>
      </c>
      <c r="F2311" t="s">
        <v>7168</v>
      </c>
      <c r="H2311">
        <v>236.51</v>
      </c>
      <c r="I2311">
        <v>250.43</v>
      </c>
      <c r="K2311">
        <v>236.51</v>
      </c>
      <c r="L2311" t="s">
        <v>5922</v>
      </c>
      <c r="P2311">
        <v>236.51</v>
      </c>
      <c r="Q2311">
        <v>236.51</v>
      </c>
      <c r="R2311">
        <v>236.51</v>
      </c>
      <c r="Z2311" t="s">
        <v>5922</v>
      </c>
    </row>
    <row r="2312" spans="1:26" x14ac:dyDescent="0.2">
      <c r="A2312" t="s">
        <v>4283</v>
      </c>
      <c r="B2312" t="s">
        <v>4304</v>
      </c>
      <c r="C2312" t="s">
        <v>4305</v>
      </c>
      <c r="D2312" t="s">
        <v>138</v>
      </c>
      <c r="E2312">
        <v>319.99</v>
      </c>
      <c r="F2312" t="s">
        <v>7168</v>
      </c>
      <c r="H2312">
        <v>236.51</v>
      </c>
      <c r="I2312">
        <v>250.43</v>
      </c>
      <c r="K2312">
        <v>236.51</v>
      </c>
      <c r="L2312" t="s">
        <v>5922</v>
      </c>
      <c r="P2312">
        <v>236.51</v>
      </c>
      <c r="Q2312">
        <v>236.51</v>
      </c>
      <c r="R2312">
        <v>236.51</v>
      </c>
      <c r="Z2312" t="s">
        <v>5922</v>
      </c>
    </row>
    <row r="2313" spans="1:26" x14ac:dyDescent="0.2">
      <c r="A2313" t="s">
        <v>4283</v>
      </c>
      <c r="B2313" t="s">
        <v>4306</v>
      </c>
      <c r="C2313" t="s">
        <v>4307</v>
      </c>
      <c r="D2313" t="s">
        <v>98</v>
      </c>
      <c r="E2313">
        <v>369.99</v>
      </c>
      <c r="F2313" t="s">
        <v>7252</v>
      </c>
      <c r="G2313">
        <v>299.99</v>
      </c>
      <c r="H2313">
        <v>257.38</v>
      </c>
      <c r="I2313">
        <v>273.47000000000003</v>
      </c>
      <c r="J2313">
        <v>289.56</v>
      </c>
      <c r="K2313">
        <v>257.38</v>
      </c>
      <c r="L2313" t="s">
        <v>5922</v>
      </c>
      <c r="M2313">
        <v>321.73</v>
      </c>
      <c r="N2313">
        <v>275.47000000000003</v>
      </c>
      <c r="O2313">
        <v>229.56</v>
      </c>
      <c r="P2313">
        <v>270.93</v>
      </c>
      <c r="Q2313">
        <v>257.38</v>
      </c>
      <c r="R2313">
        <v>257.38</v>
      </c>
      <c r="S2313">
        <v>295.99</v>
      </c>
      <c r="T2313">
        <v>229.56</v>
      </c>
      <c r="U2313">
        <v>200.86</v>
      </c>
      <c r="V2313">
        <v>229.56</v>
      </c>
      <c r="W2313">
        <v>243.91</v>
      </c>
      <c r="X2313">
        <v>258.25</v>
      </c>
      <c r="Y2313">
        <v>369.99</v>
      </c>
      <c r="Z2313" t="s">
        <v>5922</v>
      </c>
    </row>
    <row r="2314" spans="1:26" x14ac:dyDescent="0.2">
      <c r="A2314" t="s">
        <v>4283</v>
      </c>
      <c r="B2314" t="s">
        <v>4308</v>
      </c>
      <c r="C2314" t="s">
        <v>4309</v>
      </c>
      <c r="D2314" t="s">
        <v>105</v>
      </c>
      <c r="E2314">
        <v>399.99</v>
      </c>
      <c r="F2314" t="s">
        <v>7153</v>
      </c>
      <c r="H2314">
        <v>278.25</v>
      </c>
      <c r="I2314">
        <v>295.64</v>
      </c>
      <c r="J2314">
        <v>313.04000000000002</v>
      </c>
      <c r="K2314">
        <v>278.25</v>
      </c>
      <c r="L2314" t="s">
        <v>5922</v>
      </c>
      <c r="M2314">
        <v>347.81</v>
      </c>
      <c r="P2314">
        <v>292.89</v>
      </c>
      <c r="Q2314">
        <v>278.25</v>
      </c>
      <c r="R2314">
        <v>278.25</v>
      </c>
      <c r="S2314">
        <v>319.99</v>
      </c>
      <c r="Y2314">
        <v>399.99</v>
      </c>
      <c r="Z2314" t="s">
        <v>5922</v>
      </c>
    </row>
    <row r="2315" spans="1:26" x14ac:dyDescent="0.2">
      <c r="A2315" t="s">
        <v>4283</v>
      </c>
      <c r="B2315" t="s">
        <v>4310</v>
      </c>
      <c r="C2315" t="s">
        <v>4311</v>
      </c>
      <c r="D2315" t="s">
        <v>105</v>
      </c>
      <c r="E2315">
        <v>329.99</v>
      </c>
      <c r="F2315" t="s">
        <v>7212</v>
      </c>
      <c r="H2315">
        <v>229.56</v>
      </c>
      <c r="I2315">
        <v>243.91</v>
      </c>
      <c r="J2315">
        <v>258.25</v>
      </c>
      <c r="K2315">
        <v>229.56</v>
      </c>
      <c r="L2315" t="s">
        <v>5922</v>
      </c>
      <c r="M2315">
        <v>286.95</v>
      </c>
      <c r="P2315">
        <v>241.64</v>
      </c>
      <c r="Q2315">
        <v>229.56</v>
      </c>
      <c r="R2315">
        <v>229.56</v>
      </c>
      <c r="S2315">
        <v>263.99</v>
      </c>
      <c r="Y2315">
        <v>329.99</v>
      </c>
      <c r="Z2315" t="s">
        <v>5922</v>
      </c>
    </row>
    <row r="2316" spans="1:26" x14ac:dyDescent="0.2">
      <c r="A2316" t="s">
        <v>4283</v>
      </c>
      <c r="B2316" t="s">
        <v>4312</v>
      </c>
      <c r="C2316" t="s">
        <v>4313</v>
      </c>
      <c r="D2316" t="s">
        <v>98</v>
      </c>
      <c r="E2316">
        <v>369.99</v>
      </c>
      <c r="F2316" t="s">
        <v>7252</v>
      </c>
      <c r="G2316">
        <v>299.99</v>
      </c>
      <c r="H2316">
        <v>257.38</v>
      </c>
      <c r="I2316">
        <v>273.47000000000003</v>
      </c>
      <c r="J2316">
        <v>289.56</v>
      </c>
      <c r="K2316">
        <v>257.38</v>
      </c>
      <c r="L2316" t="s">
        <v>5922</v>
      </c>
      <c r="M2316">
        <v>321.73</v>
      </c>
      <c r="N2316">
        <v>275.47000000000003</v>
      </c>
      <c r="O2316">
        <v>229.56</v>
      </c>
      <c r="P2316">
        <v>270.93</v>
      </c>
      <c r="Q2316">
        <v>257.38</v>
      </c>
      <c r="R2316">
        <v>257.38</v>
      </c>
      <c r="S2316">
        <v>295.99</v>
      </c>
      <c r="T2316">
        <v>229.56</v>
      </c>
      <c r="U2316">
        <v>200.86</v>
      </c>
      <c r="V2316">
        <v>229.56</v>
      </c>
      <c r="W2316">
        <v>243.91</v>
      </c>
      <c r="X2316">
        <v>258.25</v>
      </c>
      <c r="Y2316">
        <v>369.99</v>
      </c>
      <c r="Z2316" t="s">
        <v>5922</v>
      </c>
    </row>
    <row r="2317" spans="1:26" x14ac:dyDescent="0.2">
      <c r="A2317" t="s">
        <v>4283</v>
      </c>
      <c r="B2317" t="s">
        <v>4314</v>
      </c>
      <c r="C2317" t="s">
        <v>4315</v>
      </c>
      <c r="D2317" t="s">
        <v>105</v>
      </c>
      <c r="E2317">
        <v>189.99</v>
      </c>
      <c r="F2317" t="s">
        <v>6976</v>
      </c>
      <c r="H2317">
        <v>140.43</v>
      </c>
      <c r="I2317">
        <v>148.69</v>
      </c>
      <c r="K2317">
        <v>140.43</v>
      </c>
      <c r="L2317" t="s">
        <v>5922</v>
      </c>
      <c r="N2317">
        <v>140.43</v>
      </c>
      <c r="P2317">
        <v>147.82</v>
      </c>
      <c r="Q2317">
        <v>140.43</v>
      </c>
      <c r="R2317">
        <v>140.43</v>
      </c>
      <c r="Y2317">
        <v>189.99</v>
      </c>
      <c r="Z2317" t="s">
        <v>5922</v>
      </c>
    </row>
    <row r="2318" spans="1:26" x14ac:dyDescent="0.2">
      <c r="A2318" t="s">
        <v>4283</v>
      </c>
      <c r="B2318" t="s">
        <v>4316</v>
      </c>
      <c r="C2318" t="s">
        <v>4317</v>
      </c>
      <c r="D2318" t="s">
        <v>105</v>
      </c>
      <c r="E2318">
        <v>249.99</v>
      </c>
      <c r="F2318" t="s">
        <v>7134</v>
      </c>
      <c r="H2318">
        <v>173.91</v>
      </c>
      <c r="I2318">
        <v>184.78</v>
      </c>
      <c r="J2318">
        <v>195.64</v>
      </c>
      <c r="K2318">
        <v>173.91</v>
      </c>
      <c r="L2318" t="s">
        <v>5922</v>
      </c>
      <c r="N2318">
        <v>195.64</v>
      </c>
      <c r="P2318">
        <v>173.91</v>
      </c>
      <c r="Q2318">
        <v>173.91</v>
      </c>
      <c r="R2318">
        <v>173.91</v>
      </c>
      <c r="T2318">
        <v>173.91</v>
      </c>
      <c r="U2318">
        <v>184.78</v>
      </c>
      <c r="V2318">
        <v>184.78</v>
      </c>
      <c r="W2318">
        <v>184.78</v>
      </c>
      <c r="X2318">
        <v>195.64</v>
      </c>
      <c r="Y2318">
        <v>249.99</v>
      </c>
      <c r="Z2318" t="s">
        <v>5922</v>
      </c>
    </row>
    <row r="2319" spans="1:26" x14ac:dyDescent="0.2">
      <c r="A2319" t="s">
        <v>4283</v>
      </c>
      <c r="B2319" t="s">
        <v>4318</v>
      </c>
      <c r="C2319" t="s">
        <v>4319</v>
      </c>
      <c r="D2319" t="s">
        <v>105</v>
      </c>
      <c r="E2319">
        <v>2899.99</v>
      </c>
      <c r="F2319" t="s">
        <v>7422</v>
      </c>
      <c r="H2319">
        <v>2143.4699999999998</v>
      </c>
      <c r="K2319">
        <v>2143.4699999999998</v>
      </c>
      <c r="L2319" t="s">
        <v>5922</v>
      </c>
      <c r="M2319">
        <v>2679.34</v>
      </c>
      <c r="P2319">
        <v>2123.56</v>
      </c>
      <c r="Q2319">
        <v>2143.4699999999998</v>
      </c>
      <c r="R2319">
        <v>2143.4699999999998</v>
      </c>
      <c r="Y2319">
        <v>2899.99</v>
      </c>
      <c r="Z2319" t="s">
        <v>5922</v>
      </c>
    </row>
    <row r="2320" spans="1:26" x14ac:dyDescent="0.2">
      <c r="A2320" t="s">
        <v>4283</v>
      </c>
      <c r="B2320" t="s">
        <v>4320</v>
      </c>
      <c r="C2320" t="s">
        <v>4321</v>
      </c>
      <c r="D2320" t="s">
        <v>105</v>
      </c>
      <c r="E2320">
        <v>44.99</v>
      </c>
      <c r="F2320" t="s">
        <v>6926</v>
      </c>
      <c r="H2320">
        <v>33.25</v>
      </c>
      <c r="I2320">
        <v>35.21</v>
      </c>
      <c r="K2320">
        <v>33.25</v>
      </c>
      <c r="L2320" t="s">
        <v>5922</v>
      </c>
      <c r="N2320">
        <v>33.25</v>
      </c>
      <c r="P2320">
        <v>35</v>
      </c>
      <c r="Q2320">
        <v>33.25</v>
      </c>
      <c r="R2320">
        <v>33.25</v>
      </c>
      <c r="Y2320">
        <v>44.99</v>
      </c>
      <c r="Z2320" t="s">
        <v>5922</v>
      </c>
    </row>
    <row r="2321" spans="1:26" x14ac:dyDescent="0.2">
      <c r="A2321" t="s">
        <v>4283</v>
      </c>
      <c r="B2321" t="s">
        <v>4322</v>
      </c>
      <c r="C2321" t="s">
        <v>4323</v>
      </c>
      <c r="D2321" t="s">
        <v>105</v>
      </c>
      <c r="E2321">
        <v>299.99</v>
      </c>
      <c r="F2321" t="s">
        <v>6918</v>
      </c>
      <c r="H2321">
        <v>208.69</v>
      </c>
      <c r="I2321">
        <v>221.73</v>
      </c>
      <c r="J2321">
        <v>234.77</v>
      </c>
      <c r="K2321">
        <v>208.69</v>
      </c>
      <c r="L2321" t="s">
        <v>5922</v>
      </c>
      <c r="N2321">
        <v>234.77</v>
      </c>
      <c r="P2321">
        <v>208.69</v>
      </c>
      <c r="Q2321">
        <v>208.69</v>
      </c>
      <c r="R2321">
        <v>208.69</v>
      </c>
      <c r="T2321">
        <v>208.69</v>
      </c>
      <c r="U2321">
        <v>221.73</v>
      </c>
      <c r="V2321">
        <v>221.73</v>
      </c>
      <c r="W2321">
        <v>221.73</v>
      </c>
      <c r="X2321">
        <v>234.77</v>
      </c>
      <c r="Y2321">
        <v>299.99</v>
      </c>
      <c r="Z2321" t="s">
        <v>5922</v>
      </c>
    </row>
    <row r="2322" spans="1:26" x14ac:dyDescent="0.2">
      <c r="A2322" t="s">
        <v>4283</v>
      </c>
      <c r="B2322" t="s">
        <v>4324</v>
      </c>
      <c r="C2322" t="s">
        <v>4325</v>
      </c>
      <c r="D2322" t="s">
        <v>105</v>
      </c>
      <c r="E2322">
        <v>99.99</v>
      </c>
      <c r="F2322" t="s">
        <v>6903</v>
      </c>
      <c r="H2322">
        <v>69.56</v>
      </c>
      <c r="I2322">
        <v>73.91</v>
      </c>
      <c r="J2322">
        <v>78.25</v>
      </c>
      <c r="K2322">
        <v>73.91</v>
      </c>
      <c r="L2322" t="s">
        <v>5922</v>
      </c>
      <c r="M2322">
        <v>86.95</v>
      </c>
      <c r="N2322">
        <v>83.47</v>
      </c>
      <c r="P2322">
        <v>69.56</v>
      </c>
      <c r="Q2322">
        <v>69.56</v>
      </c>
      <c r="R2322">
        <v>69.56</v>
      </c>
      <c r="S2322">
        <v>79.989999999999995</v>
      </c>
      <c r="T2322">
        <v>69.56</v>
      </c>
      <c r="U2322">
        <v>82.6</v>
      </c>
      <c r="V2322">
        <v>82.6</v>
      </c>
      <c r="W2322">
        <v>73.91</v>
      </c>
      <c r="X2322">
        <v>73.91</v>
      </c>
      <c r="Y2322">
        <v>99.99</v>
      </c>
      <c r="Z2322" t="s">
        <v>5922</v>
      </c>
    </row>
    <row r="2323" spans="1:26" x14ac:dyDescent="0.2">
      <c r="A2323" t="s">
        <v>4283</v>
      </c>
      <c r="B2323" t="s">
        <v>4326</v>
      </c>
      <c r="C2323" t="s">
        <v>4327</v>
      </c>
      <c r="D2323" t="s">
        <v>98</v>
      </c>
      <c r="E2323">
        <v>89.99</v>
      </c>
      <c r="F2323" t="s">
        <v>5922</v>
      </c>
      <c r="G2323">
        <v>89.99</v>
      </c>
      <c r="H2323">
        <v>54.78</v>
      </c>
      <c r="I2323">
        <v>70.430000000000007</v>
      </c>
      <c r="J2323">
        <v>70.430000000000007</v>
      </c>
      <c r="K2323">
        <v>74.34</v>
      </c>
      <c r="L2323" t="s">
        <v>5922</v>
      </c>
      <c r="M2323">
        <v>62.6</v>
      </c>
      <c r="N2323">
        <v>65.73</v>
      </c>
      <c r="O2323">
        <v>54.78</v>
      </c>
      <c r="P2323">
        <v>54.78</v>
      </c>
      <c r="Q2323">
        <v>54.78</v>
      </c>
      <c r="R2323">
        <v>54.78</v>
      </c>
      <c r="S2323">
        <v>62.6</v>
      </c>
      <c r="T2323">
        <v>54.78</v>
      </c>
      <c r="U2323">
        <v>54.78</v>
      </c>
      <c r="V2323">
        <v>54.78</v>
      </c>
      <c r="W2323">
        <v>58.69</v>
      </c>
      <c r="X2323">
        <v>70.430000000000007</v>
      </c>
      <c r="Y2323">
        <v>89.99</v>
      </c>
      <c r="Z2323" t="s">
        <v>5922</v>
      </c>
    </row>
    <row r="2324" spans="1:26" x14ac:dyDescent="0.2">
      <c r="A2324" t="s">
        <v>4283</v>
      </c>
      <c r="B2324" t="s">
        <v>4328</v>
      </c>
      <c r="C2324" t="s">
        <v>4329</v>
      </c>
      <c r="D2324" t="s">
        <v>105</v>
      </c>
      <c r="E2324">
        <v>179.99</v>
      </c>
      <c r="F2324" t="s">
        <v>7024</v>
      </c>
      <c r="H2324">
        <v>125.21</v>
      </c>
      <c r="I2324">
        <v>133.04</v>
      </c>
      <c r="J2324">
        <v>140.86000000000001</v>
      </c>
      <c r="K2324">
        <v>125.21</v>
      </c>
      <c r="L2324" t="s">
        <v>5922</v>
      </c>
      <c r="N2324">
        <v>140.86000000000001</v>
      </c>
      <c r="P2324">
        <v>125.21</v>
      </c>
      <c r="Q2324">
        <v>125.21</v>
      </c>
      <c r="R2324">
        <v>125.21</v>
      </c>
      <c r="T2324">
        <v>125.21</v>
      </c>
      <c r="U2324">
        <v>133.04</v>
      </c>
      <c r="V2324">
        <v>133.91</v>
      </c>
      <c r="W2324">
        <v>133.04</v>
      </c>
      <c r="X2324">
        <v>140.86000000000001</v>
      </c>
      <c r="Y2324">
        <v>179.99</v>
      </c>
      <c r="Z2324" t="s">
        <v>5922</v>
      </c>
    </row>
    <row r="2325" spans="1:26" x14ac:dyDescent="0.2">
      <c r="A2325" t="s">
        <v>4283</v>
      </c>
      <c r="B2325" t="s">
        <v>4330</v>
      </c>
      <c r="C2325" t="s">
        <v>4331</v>
      </c>
      <c r="D2325" t="s">
        <v>98</v>
      </c>
      <c r="E2325">
        <v>89.99</v>
      </c>
      <c r="F2325" t="s">
        <v>5922</v>
      </c>
      <c r="G2325">
        <v>89.99</v>
      </c>
      <c r="H2325">
        <v>54.78</v>
      </c>
      <c r="I2325">
        <v>70.430000000000007</v>
      </c>
      <c r="J2325">
        <v>70.430000000000007</v>
      </c>
      <c r="K2325">
        <v>74.34</v>
      </c>
      <c r="L2325" t="s">
        <v>5922</v>
      </c>
      <c r="M2325">
        <v>62.6</v>
      </c>
      <c r="N2325">
        <v>65.73</v>
      </c>
      <c r="O2325">
        <v>54.78</v>
      </c>
      <c r="P2325">
        <v>54.78</v>
      </c>
      <c r="Q2325">
        <v>54.78</v>
      </c>
      <c r="R2325">
        <v>54.78</v>
      </c>
      <c r="S2325">
        <v>62.6</v>
      </c>
      <c r="T2325">
        <v>54.78</v>
      </c>
      <c r="U2325">
        <v>54.78</v>
      </c>
      <c r="V2325">
        <v>54.78</v>
      </c>
      <c r="W2325">
        <v>66.510000000000005</v>
      </c>
      <c r="X2325">
        <v>70.430000000000007</v>
      </c>
      <c r="Y2325">
        <v>89.99</v>
      </c>
      <c r="Z2325" t="s">
        <v>5922</v>
      </c>
    </row>
    <row r="2326" spans="1:26" x14ac:dyDescent="0.2">
      <c r="A2326" t="s">
        <v>4283</v>
      </c>
      <c r="B2326" t="s">
        <v>4332</v>
      </c>
      <c r="C2326" t="s">
        <v>4333</v>
      </c>
      <c r="D2326" t="s">
        <v>138</v>
      </c>
      <c r="E2326">
        <v>19.989999999999998</v>
      </c>
      <c r="F2326" t="s">
        <v>6931</v>
      </c>
      <c r="G2326">
        <v>0</v>
      </c>
      <c r="H2326">
        <v>13.91</v>
      </c>
      <c r="I2326">
        <v>14.78</v>
      </c>
      <c r="J2326">
        <v>15.64</v>
      </c>
      <c r="K2326">
        <v>13.91</v>
      </c>
      <c r="L2326" t="s">
        <v>5922</v>
      </c>
      <c r="M2326">
        <v>17.39</v>
      </c>
      <c r="P2326">
        <v>13.73</v>
      </c>
      <c r="Q2326">
        <v>13.91</v>
      </c>
      <c r="R2326">
        <v>13.91</v>
      </c>
      <c r="Y2326">
        <v>19.989999999999998</v>
      </c>
      <c r="Z2326" t="s">
        <v>5922</v>
      </c>
    </row>
    <row r="2327" spans="1:26" x14ac:dyDescent="0.2">
      <c r="A2327" t="s">
        <v>4283</v>
      </c>
      <c r="B2327" t="s">
        <v>4334</v>
      </c>
      <c r="C2327" t="s">
        <v>4335</v>
      </c>
      <c r="D2327" t="s">
        <v>138</v>
      </c>
      <c r="E2327">
        <v>44.99</v>
      </c>
      <c r="F2327" t="s">
        <v>6926</v>
      </c>
      <c r="H2327">
        <v>31.3</v>
      </c>
      <c r="I2327">
        <v>33.25</v>
      </c>
      <c r="J2327">
        <v>35.21</v>
      </c>
      <c r="K2327">
        <v>31.3</v>
      </c>
      <c r="L2327" t="s">
        <v>5922</v>
      </c>
      <c r="M2327">
        <v>39.130000000000003</v>
      </c>
      <c r="P2327">
        <v>32.950000000000003</v>
      </c>
      <c r="Q2327">
        <v>31.3</v>
      </c>
      <c r="R2327">
        <v>31.3</v>
      </c>
      <c r="S2327">
        <v>35.99</v>
      </c>
      <c r="Y2327">
        <v>44.99</v>
      </c>
      <c r="Z2327" t="s">
        <v>5922</v>
      </c>
    </row>
    <row r="2328" spans="1:26" x14ac:dyDescent="0.2">
      <c r="A2328" t="s">
        <v>4283</v>
      </c>
      <c r="B2328" t="s">
        <v>4336</v>
      </c>
      <c r="C2328" t="s">
        <v>4337</v>
      </c>
      <c r="D2328" t="s">
        <v>105</v>
      </c>
      <c r="E2328">
        <v>3299.99</v>
      </c>
      <c r="F2328" t="s">
        <v>6899</v>
      </c>
      <c r="H2328">
        <v>2439.12</v>
      </c>
      <c r="K2328">
        <v>2439.12</v>
      </c>
      <c r="L2328" t="s">
        <v>5922</v>
      </c>
      <c r="M2328">
        <v>3048.9</v>
      </c>
      <c r="P2328">
        <v>2416.4699999999998</v>
      </c>
      <c r="Q2328">
        <v>2439.12</v>
      </c>
      <c r="R2328">
        <v>2439.12</v>
      </c>
      <c r="Y2328">
        <v>3299.99</v>
      </c>
      <c r="Z2328" t="s">
        <v>5922</v>
      </c>
    </row>
    <row r="2329" spans="1:26" x14ac:dyDescent="0.2">
      <c r="A2329" t="s">
        <v>4283</v>
      </c>
      <c r="B2329" t="s">
        <v>4338</v>
      </c>
      <c r="C2329" t="s">
        <v>4339</v>
      </c>
      <c r="D2329" t="s">
        <v>105</v>
      </c>
      <c r="E2329">
        <v>189.99</v>
      </c>
      <c r="F2329" t="s">
        <v>6976</v>
      </c>
      <c r="H2329">
        <v>140.43</v>
      </c>
      <c r="I2329">
        <v>148.69</v>
      </c>
      <c r="K2329">
        <v>140.43</v>
      </c>
      <c r="L2329" t="s">
        <v>5922</v>
      </c>
      <c r="N2329">
        <v>140.43</v>
      </c>
      <c r="P2329">
        <v>147.82</v>
      </c>
      <c r="Q2329">
        <v>140.43</v>
      </c>
      <c r="R2329">
        <v>140.43</v>
      </c>
      <c r="Y2329">
        <v>189.99</v>
      </c>
      <c r="Z2329" t="s">
        <v>5922</v>
      </c>
    </row>
    <row r="2330" spans="1:26" x14ac:dyDescent="0.2">
      <c r="A2330" t="s">
        <v>4283</v>
      </c>
      <c r="B2330" t="s">
        <v>4340</v>
      </c>
      <c r="C2330" t="s">
        <v>4341</v>
      </c>
      <c r="D2330" t="s">
        <v>105</v>
      </c>
      <c r="E2330">
        <v>549.99</v>
      </c>
      <c r="F2330" t="s">
        <v>7089</v>
      </c>
      <c r="H2330">
        <v>382.6</v>
      </c>
      <c r="I2330">
        <v>406.51</v>
      </c>
      <c r="J2330">
        <v>430.43</v>
      </c>
      <c r="K2330">
        <v>382.6</v>
      </c>
      <c r="L2330" t="s">
        <v>5922</v>
      </c>
      <c r="N2330">
        <v>430.43</v>
      </c>
      <c r="P2330">
        <v>382.6</v>
      </c>
      <c r="Q2330">
        <v>382.6</v>
      </c>
      <c r="R2330">
        <v>382.6</v>
      </c>
      <c r="T2330">
        <v>382.6</v>
      </c>
      <c r="U2330">
        <v>406.51</v>
      </c>
      <c r="V2330">
        <v>406.51</v>
      </c>
      <c r="W2330">
        <v>406.51</v>
      </c>
      <c r="X2330">
        <v>430.43</v>
      </c>
      <c r="Y2330">
        <v>549.99</v>
      </c>
      <c r="Z2330" t="s">
        <v>5922</v>
      </c>
    </row>
    <row r="2331" spans="1:26" x14ac:dyDescent="0.2">
      <c r="A2331" t="s">
        <v>4283</v>
      </c>
      <c r="B2331" t="s">
        <v>7429</v>
      </c>
      <c r="C2331" t="s">
        <v>7430</v>
      </c>
      <c r="D2331" t="s">
        <v>105</v>
      </c>
      <c r="E2331">
        <v>549.99</v>
      </c>
      <c r="F2331" t="s">
        <v>7089</v>
      </c>
      <c r="H2331">
        <v>382.6</v>
      </c>
      <c r="I2331">
        <v>406.51</v>
      </c>
      <c r="J2331">
        <v>430.43</v>
      </c>
      <c r="K2331">
        <v>382.6</v>
      </c>
      <c r="L2331" t="s">
        <v>5922</v>
      </c>
      <c r="N2331">
        <v>430.43</v>
      </c>
      <c r="P2331">
        <v>382.6</v>
      </c>
      <c r="Q2331">
        <v>382.6</v>
      </c>
      <c r="R2331">
        <v>382.6</v>
      </c>
      <c r="T2331">
        <v>382.6</v>
      </c>
      <c r="U2331">
        <v>406.51</v>
      </c>
      <c r="V2331">
        <v>406.51</v>
      </c>
      <c r="W2331">
        <v>406.51</v>
      </c>
      <c r="X2331">
        <v>430.43</v>
      </c>
      <c r="Y2331">
        <v>549.99</v>
      </c>
      <c r="Z2331" t="s">
        <v>5922</v>
      </c>
    </row>
    <row r="2332" spans="1:26" x14ac:dyDescent="0.2">
      <c r="A2332" t="s">
        <v>4283</v>
      </c>
      <c r="B2332" t="s">
        <v>4342</v>
      </c>
      <c r="C2332" t="s">
        <v>4343</v>
      </c>
      <c r="D2332" t="s">
        <v>105</v>
      </c>
      <c r="E2332">
        <v>139.99</v>
      </c>
      <c r="F2332" t="s">
        <v>7085</v>
      </c>
      <c r="H2332">
        <v>97.38</v>
      </c>
      <c r="I2332">
        <v>103.47</v>
      </c>
      <c r="J2332">
        <v>109.56</v>
      </c>
      <c r="K2332">
        <v>97.38</v>
      </c>
      <c r="L2332" t="s">
        <v>5922</v>
      </c>
      <c r="M2332">
        <v>121.73</v>
      </c>
      <c r="P2332">
        <v>96.11</v>
      </c>
      <c r="Q2332">
        <v>97.38</v>
      </c>
      <c r="R2332">
        <v>97.38</v>
      </c>
      <c r="Y2332">
        <v>139.99</v>
      </c>
      <c r="Z2332" t="s">
        <v>5922</v>
      </c>
    </row>
    <row r="2333" spans="1:26" x14ac:dyDescent="0.2">
      <c r="A2333" t="s">
        <v>4344</v>
      </c>
      <c r="B2333" t="s">
        <v>4345</v>
      </c>
      <c r="C2333" t="s">
        <v>4346</v>
      </c>
      <c r="D2333" t="s">
        <v>105</v>
      </c>
      <c r="E2333">
        <v>169</v>
      </c>
      <c r="F2333" t="s">
        <v>6937</v>
      </c>
      <c r="G2333">
        <v>169</v>
      </c>
      <c r="H2333">
        <v>110.22</v>
      </c>
      <c r="L2333" t="s">
        <v>5922</v>
      </c>
      <c r="Q2333">
        <v>110.22</v>
      </c>
      <c r="R2333">
        <v>110.22</v>
      </c>
      <c r="U2333">
        <v>103.47</v>
      </c>
      <c r="V2333">
        <v>104.95</v>
      </c>
      <c r="W2333">
        <v>118.25</v>
      </c>
      <c r="X2333">
        <v>118.25</v>
      </c>
      <c r="Y2333">
        <v>169</v>
      </c>
      <c r="Z2333" t="s">
        <v>5922</v>
      </c>
    </row>
    <row r="2334" spans="1:26" x14ac:dyDescent="0.2">
      <c r="A2334" t="s">
        <v>4344</v>
      </c>
      <c r="B2334" t="s">
        <v>4347</v>
      </c>
      <c r="C2334" t="s">
        <v>4348</v>
      </c>
      <c r="D2334" t="s">
        <v>105</v>
      </c>
      <c r="E2334">
        <v>269</v>
      </c>
      <c r="F2334" t="s">
        <v>7431</v>
      </c>
      <c r="G2334">
        <v>269</v>
      </c>
      <c r="H2334">
        <v>175.43</v>
      </c>
      <c r="L2334" t="s">
        <v>5922</v>
      </c>
      <c r="Q2334">
        <v>175.43</v>
      </c>
      <c r="R2334">
        <v>175.43</v>
      </c>
      <c r="U2334">
        <v>164.34</v>
      </c>
      <c r="V2334">
        <v>166.69</v>
      </c>
      <c r="W2334">
        <v>187.82</v>
      </c>
      <c r="X2334">
        <v>187.82</v>
      </c>
      <c r="Y2334">
        <v>269</v>
      </c>
      <c r="Z2334" t="s">
        <v>5922</v>
      </c>
    </row>
    <row r="2335" spans="1:26" x14ac:dyDescent="0.2">
      <c r="A2335" t="s">
        <v>4344</v>
      </c>
      <c r="B2335" t="s">
        <v>4349</v>
      </c>
      <c r="C2335" t="s">
        <v>4350</v>
      </c>
      <c r="D2335" t="s">
        <v>98</v>
      </c>
      <c r="E2335">
        <v>349.99</v>
      </c>
      <c r="F2335" t="s">
        <v>7288</v>
      </c>
      <c r="G2335">
        <v>349.99</v>
      </c>
      <c r="H2335">
        <v>228.25</v>
      </c>
      <c r="L2335" t="s">
        <v>5922</v>
      </c>
      <c r="Q2335">
        <v>228.25</v>
      </c>
      <c r="R2335">
        <v>228.25</v>
      </c>
      <c r="U2335">
        <v>213.04</v>
      </c>
      <c r="V2335">
        <v>216.08</v>
      </c>
      <c r="W2335">
        <v>243.47</v>
      </c>
      <c r="X2335">
        <v>243.47</v>
      </c>
      <c r="Y2335">
        <v>349.99</v>
      </c>
      <c r="Z2335" t="s">
        <v>5922</v>
      </c>
    </row>
    <row r="2336" spans="1:26" x14ac:dyDescent="0.2">
      <c r="A2336" t="s">
        <v>4344</v>
      </c>
      <c r="B2336" t="s">
        <v>4351</v>
      </c>
      <c r="C2336" t="s">
        <v>4352</v>
      </c>
      <c r="D2336" t="s">
        <v>105</v>
      </c>
      <c r="E2336">
        <v>199.99</v>
      </c>
      <c r="F2336" t="s">
        <v>6916</v>
      </c>
      <c r="G2336">
        <v>199.99</v>
      </c>
      <c r="H2336">
        <v>130.43</v>
      </c>
      <c r="L2336" t="s">
        <v>5922</v>
      </c>
      <c r="Q2336">
        <v>130.43</v>
      </c>
      <c r="R2336">
        <v>130.43</v>
      </c>
      <c r="U2336">
        <v>121.73</v>
      </c>
      <c r="V2336">
        <v>123.47</v>
      </c>
      <c r="W2336">
        <v>139.12</v>
      </c>
      <c r="X2336">
        <v>139.12</v>
      </c>
      <c r="Y2336">
        <v>199.99</v>
      </c>
      <c r="Z2336" t="s">
        <v>5922</v>
      </c>
    </row>
    <row r="2337" spans="1:26" x14ac:dyDescent="0.2">
      <c r="A2337" t="s">
        <v>4344</v>
      </c>
      <c r="B2337" t="s">
        <v>4353</v>
      </c>
      <c r="C2337" t="s">
        <v>4354</v>
      </c>
      <c r="D2337" t="s">
        <v>105</v>
      </c>
      <c r="E2337">
        <v>419.99</v>
      </c>
      <c r="F2337" t="s">
        <v>7389</v>
      </c>
      <c r="G2337">
        <v>419.99</v>
      </c>
      <c r="H2337">
        <v>273.91000000000003</v>
      </c>
      <c r="L2337" t="s">
        <v>5922</v>
      </c>
      <c r="Q2337">
        <v>273.91000000000003</v>
      </c>
      <c r="R2337">
        <v>273.91000000000003</v>
      </c>
      <c r="U2337">
        <v>255.65</v>
      </c>
      <c r="V2337">
        <v>259.3</v>
      </c>
      <c r="W2337">
        <v>292.17</v>
      </c>
      <c r="X2337">
        <v>292.17</v>
      </c>
      <c r="Y2337">
        <v>419.99</v>
      </c>
      <c r="Z2337" t="s">
        <v>5922</v>
      </c>
    </row>
    <row r="2338" spans="1:26" x14ac:dyDescent="0.2">
      <c r="A2338" t="s">
        <v>4344</v>
      </c>
      <c r="B2338" t="s">
        <v>4355</v>
      </c>
      <c r="C2338" t="s">
        <v>4356</v>
      </c>
      <c r="D2338" t="s">
        <v>105</v>
      </c>
      <c r="E2338">
        <v>79.989999999999995</v>
      </c>
      <c r="F2338" t="s">
        <v>6934</v>
      </c>
      <c r="H2338">
        <v>52.17</v>
      </c>
      <c r="L2338" t="s">
        <v>5922</v>
      </c>
      <c r="U2338">
        <v>48.69</v>
      </c>
      <c r="V2338">
        <v>49.39</v>
      </c>
      <c r="X2338">
        <v>55.65</v>
      </c>
      <c r="Y2338">
        <v>79.989999999999995</v>
      </c>
      <c r="Z2338" t="s">
        <v>5922</v>
      </c>
    </row>
    <row r="2339" spans="1:26" x14ac:dyDescent="0.2">
      <c r="A2339" t="s">
        <v>4344</v>
      </c>
      <c r="B2339" t="s">
        <v>4357</v>
      </c>
      <c r="C2339" t="s">
        <v>4358</v>
      </c>
      <c r="D2339" t="s">
        <v>98</v>
      </c>
      <c r="E2339">
        <v>229.99</v>
      </c>
      <c r="F2339" t="s">
        <v>5922</v>
      </c>
      <c r="G2339">
        <v>219</v>
      </c>
      <c r="H2339">
        <v>159.99</v>
      </c>
      <c r="L2339" t="s">
        <v>5922</v>
      </c>
      <c r="U2339">
        <v>139.99</v>
      </c>
      <c r="W2339">
        <v>159.99</v>
      </c>
      <c r="X2339">
        <v>159.99</v>
      </c>
      <c r="Y2339">
        <v>219</v>
      </c>
      <c r="Z2339" t="s">
        <v>5922</v>
      </c>
    </row>
    <row r="2340" spans="1:26" x14ac:dyDescent="0.2">
      <c r="A2340" t="s">
        <v>4344</v>
      </c>
      <c r="B2340" t="s">
        <v>4359</v>
      </c>
      <c r="C2340" t="s">
        <v>4360</v>
      </c>
      <c r="D2340" t="s">
        <v>98</v>
      </c>
      <c r="E2340">
        <v>119</v>
      </c>
      <c r="F2340" t="s">
        <v>6950</v>
      </c>
      <c r="G2340">
        <v>119</v>
      </c>
      <c r="H2340">
        <v>77.61</v>
      </c>
      <c r="L2340" t="s">
        <v>5922</v>
      </c>
      <c r="Q2340">
        <v>77.61</v>
      </c>
      <c r="R2340">
        <v>77.61</v>
      </c>
      <c r="U2340">
        <v>79.12</v>
      </c>
      <c r="V2340">
        <v>80.25</v>
      </c>
      <c r="W2340">
        <v>90.43</v>
      </c>
      <c r="X2340">
        <v>90.43</v>
      </c>
      <c r="Y2340">
        <v>119</v>
      </c>
      <c r="Z2340" t="s">
        <v>5922</v>
      </c>
    </row>
    <row r="2341" spans="1:26" x14ac:dyDescent="0.2">
      <c r="A2341" t="s">
        <v>4344</v>
      </c>
      <c r="B2341" t="s">
        <v>4361</v>
      </c>
      <c r="C2341" t="s">
        <v>4362</v>
      </c>
      <c r="D2341" t="s">
        <v>98</v>
      </c>
      <c r="E2341">
        <v>139</v>
      </c>
      <c r="F2341" t="s">
        <v>7068</v>
      </c>
      <c r="G2341">
        <v>139</v>
      </c>
      <c r="H2341">
        <v>90.65</v>
      </c>
      <c r="L2341" t="s">
        <v>5922</v>
      </c>
      <c r="Q2341">
        <v>90.65</v>
      </c>
      <c r="R2341">
        <v>90.65</v>
      </c>
      <c r="U2341">
        <v>91.3</v>
      </c>
      <c r="V2341">
        <v>92.6</v>
      </c>
      <c r="W2341">
        <v>104.34</v>
      </c>
      <c r="X2341">
        <v>104.34</v>
      </c>
      <c r="Y2341">
        <v>139</v>
      </c>
      <c r="Z2341" t="s">
        <v>5922</v>
      </c>
    </row>
    <row r="2342" spans="1:26" x14ac:dyDescent="0.2">
      <c r="A2342" t="s">
        <v>4344</v>
      </c>
      <c r="B2342" t="s">
        <v>4363</v>
      </c>
      <c r="C2342" t="s">
        <v>4364</v>
      </c>
      <c r="D2342" t="s">
        <v>98</v>
      </c>
      <c r="E2342">
        <v>159</v>
      </c>
      <c r="F2342" t="s">
        <v>7412</v>
      </c>
      <c r="G2342">
        <v>159</v>
      </c>
      <c r="H2342">
        <v>103.7</v>
      </c>
      <c r="L2342" t="s">
        <v>5922</v>
      </c>
      <c r="Q2342">
        <v>103.7</v>
      </c>
      <c r="R2342">
        <v>103.7</v>
      </c>
      <c r="U2342">
        <v>103.47</v>
      </c>
      <c r="V2342">
        <v>104.95</v>
      </c>
      <c r="W2342">
        <v>118.25</v>
      </c>
      <c r="X2342">
        <v>118.25</v>
      </c>
      <c r="Y2342">
        <v>159</v>
      </c>
      <c r="Z2342" t="s">
        <v>5922</v>
      </c>
    </row>
    <row r="2343" spans="1:26" x14ac:dyDescent="0.2">
      <c r="A2343" t="s">
        <v>4344</v>
      </c>
      <c r="B2343" t="s">
        <v>4365</v>
      </c>
      <c r="C2343" t="s">
        <v>4366</v>
      </c>
      <c r="D2343" t="s">
        <v>98</v>
      </c>
      <c r="E2343">
        <v>179</v>
      </c>
      <c r="F2343" t="s">
        <v>7072</v>
      </c>
      <c r="G2343">
        <v>179</v>
      </c>
      <c r="H2343">
        <v>116.74</v>
      </c>
      <c r="L2343" t="s">
        <v>5922</v>
      </c>
      <c r="Q2343">
        <v>116.74</v>
      </c>
      <c r="R2343">
        <v>116.74</v>
      </c>
      <c r="U2343">
        <v>115.65</v>
      </c>
      <c r="V2343">
        <v>117.3</v>
      </c>
      <c r="W2343">
        <v>132.16999999999999</v>
      </c>
      <c r="X2343">
        <v>132.16999999999999</v>
      </c>
      <c r="Y2343">
        <v>179</v>
      </c>
      <c r="Z2343" t="s">
        <v>5922</v>
      </c>
    </row>
    <row r="2344" spans="1:26" x14ac:dyDescent="0.2">
      <c r="A2344" t="s">
        <v>4344</v>
      </c>
      <c r="B2344" t="s">
        <v>7432</v>
      </c>
      <c r="C2344" t="s">
        <v>7433</v>
      </c>
      <c r="D2344" t="s">
        <v>105</v>
      </c>
      <c r="E2344">
        <v>359.99</v>
      </c>
      <c r="F2344" t="s">
        <v>7332</v>
      </c>
      <c r="H2344">
        <v>234.78</v>
      </c>
      <c r="L2344" t="s">
        <v>5922</v>
      </c>
      <c r="U2344">
        <v>219.12</v>
      </c>
      <c r="V2344">
        <v>219.12</v>
      </c>
      <c r="X2344">
        <v>250.43</v>
      </c>
      <c r="Y2344">
        <v>359.99</v>
      </c>
      <c r="Z2344" t="s">
        <v>5922</v>
      </c>
    </row>
    <row r="2345" spans="1:26" x14ac:dyDescent="0.2">
      <c r="A2345" t="s">
        <v>4344</v>
      </c>
      <c r="B2345" t="s">
        <v>4367</v>
      </c>
      <c r="C2345" t="s">
        <v>4368</v>
      </c>
      <c r="D2345" t="s">
        <v>98</v>
      </c>
      <c r="E2345">
        <v>59.99</v>
      </c>
      <c r="F2345" t="s">
        <v>5922</v>
      </c>
      <c r="G2345">
        <v>49</v>
      </c>
      <c r="H2345">
        <v>41.73</v>
      </c>
      <c r="L2345" t="s">
        <v>5922</v>
      </c>
      <c r="U2345">
        <v>36.520000000000003</v>
      </c>
      <c r="W2345">
        <v>41.73</v>
      </c>
      <c r="X2345">
        <v>41.73</v>
      </c>
      <c r="Y2345">
        <v>49</v>
      </c>
      <c r="Z2345" t="s">
        <v>5922</v>
      </c>
    </row>
    <row r="2346" spans="1:26" x14ac:dyDescent="0.2">
      <c r="A2346" t="s">
        <v>4344</v>
      </c>
      <c r="B2346" t="s">
        <v>7434</v>
      </c>
      <c r="C2346" t="s">
        <v>7435</v>
      </c>
      <c r="D2346" t="s">
        <v>105</v>
      </c>
      <c r="E2346">
        <v>139</v>
      </c>
      <c r="F2346" t="s">
        <v>7068</v>
      </c>
      <c r="H2346">
        <v>90.65</v>
      </c>
      <c r="L2346" t="s">
        <v>5922</v>
      </c>
      <c r="U2346">
        <v>90.7</v>
      </c>
      <c r="V2346">
        <v>90.7</v>
      </c>
      <c r="X2346">
        <v>96.7</v>
      </c>
      <c r="Y2346">
        <v>139</v>
      </c>
      <c r="Z2346" t="s">
        <v>5922</v>
      </c>
    </row>
    <row r="2347" spans="1:26" x14ac:dyDescent="0.2">
      <c r="A2347" t="s">
        <v>4344</v>
      </c>
      <c r="B2347" t="s">
        <v>7436</v>
      </c>
      <c r="C2347" t="s">
        <v>7437</v>
      </c>
      <c r="D2347" t="s">
        <v>105</v>
      </c>
      <c r="E2347">
        <v>219</v>
      </c>
      <c r="F2347" t="s">
        <v>7058</v>
      </c>
      <c r="H2347">
        <v>142.83000000000001</v>
      </c>
      <c r="L2347" t="s">
        <v>5922</v>
      </c>
      <c r="U2347">
        <v>139.38999999999999</v>
      </c>
      <c r="V2347">
        <v>139.38999999999999</v>
      </c>
      <c r="X2347">
        <v>152.35</v>
      </c>
      <c r="Y2347">
        <v>219</v>
      </c>
      <c r="Z2347" t="s">
        <v>5922</v>
      </c>
    </row>
    <row r="2348" spans="1:26" x14ac:dyDescent="0.2">
      <c r="A2348" t="s">
        <v>4344</v>
      </c>
      <c r="B2348" t="s">
        <v>4369</v>
      </c>
      <c r="C2348" t="s">
        <v>4370</v>
      </c>
      <c r="D2348" t="s">
        <v>105</v>
      </c>
      <c r="E2348">
        <v>299</v>
      </c>
      <c r="F2348" t="s">
        <v>6946</v>
      </c>
      <c r="G2348">
        <v>299</v>
      </c>
      <c r="H2348">
        <v>195</v>
      </c>
      <c r="L2348" t="s">
        <v>5922</v>
      </c>
      <c r="Q2348">
        <v>195</v>
      </c>
      <c r="R2348">
        <v>195</v>
      </c>
      <c r="U2348">
        <v>194.78</v>
      </c>
      <c r="V2348">
        <v>197.56</v>
      </c>
      <c r="W2348">
        <v>222.6</v>
      </c>
      <c r="X2348">
        <v>222.6</v>
      </c>
      <c r="Y2348">
        <v>299</v>
      </c>
      <c r="Z2348" t="s">
        <v>5922</v>
      </c>
    </row>
    <row r="2349" spans="1:26" x14ac:dyDescent="0.2">
      <c r="A2349" t="s">
        <v>4344</v>
      </c>
      <c r="B2349" t="s">
        <v>4371</v>
      </c>
      <c r="C2349" t="s">
        <v>4372</v>
      </c>
      <c r="D2349" t="s">
        <v>105</v>
      </c>
      <c r="E2349">
        <v>299</v>
      </c>
      <c r="F2349" t="s">
        <v>6946</v>
      </c>
      <c r="G2349">
        <v>299</v>
      </c>
      <c r="H2349">
        <v>195</v>
      </c>
      <c r="L2349" t="s">
        <v>5922</v>
      </c>
      <c r="Q2349">
        <v>195</v>
      </c>
      <c r="R2349">
        <v>195</v>
      </c>
      <c r="U2349">
        <v>194.78</v>
      </c>
      <c r="V2349">
        <v>197.56</v>
      </c>
      <c r="W2349">
        <v>222.6</v>
      </c>
      <c r="X2349">
        <v>222.6</v>
      </c>
      <c r="Y2349">
        <v>299</v>
      </c>
      <c r="Z2349" t="s">
        <v>5922</v>
      </c>
    </row>
    <row r="2350" spans="1:26" x14ac:dyDescent="0.2">
      <c r="A2350" t="s">
        <v>4344</v>
      </c>
      <c r="B2350" t="s">
        <v>4373</v>
      </c>
      <c r="C2350" t="s">
        <v>4374</v>
      </c>
      <c r="D2350" t="s">
        <v>105</v>
      </c>
      <c r="E2350">
        <v>369</v>
      </c>
      <c r="F2350" t="s">
        <v>7126</v>
      </c>
      <c r="G2350">
        <v>369</v>
      </c>
      <c r="H2350">
        <v>240.65</v>
      </c>
      <c r="L2350" t="s">
        <v>5922</v>
      </c>
      <c r="Q2350">
        <v>240.65</v>
      </c>
      <c r="R2350">
        <v>240.65</v>
      </c>
      <c r="U2350">
        <v>231.3</v>
      </c>
      <c r="V2350">
        <v>234.6</v>
      </c>
      <c r="W2350">
        <v>264.33999999999997</v>
      </c>
      <c r="X2350">
        <v>264.33999999999997</v>
      </c>
      <c r="Y2350">
        <v>369</v>
      </c>
      <c r="Z2350" t="s">
        <v>5922</v>
      </c>
    </row>
    <row r="2351" spans="1:26" x14ac:dyDescent="0.2">
      <c r="A2351" t="s">
        <v>4344</v>
      </c>
      <c r="B2351" t="s">
        <v>4375</v>
      </c>
      <c r="C2351" t="s">
        <v>4376</v>
      </c>
      <c r="D2351" t="s">
        <v>98</v>
      </c>
      <c r="E2351">
        <v>369</v>
      </c>
      <c r="F2351" t="s">
        <v>7126</v>
      </c>
      <c r="G2351">
        <v>369</v>
      </c>
      <c r="H2351">
        <v>240.65</v>
      </c>
      <c r="L2351" t="s">
        <v>5922</v>
      </c>
      <c r="Q2351">
        <v>240.65</v>
      </c>
      <c r="R2351">
        <v>240.65</v>
      </c>
      <c r="U2351">
        <v>231.3</v>
      </c>
      <c r="V2351">
        <v>234.6</v>
      </c>
      <c r="W2351">
        <v>264.33999999999997</v>
      </c>
      <c r="X2351">
        <v>264.33999999999997</v>
      </c>
      <c r="Y2351">
        <v>369</v>
      </c>
      <c r="Z2351" t="s">
        <v>5922</v>
      </c>
    </row>
    <row r="2352" spans="1:26" x14ac:dyDescent="0.2">
      <c r="A2352" t="s">
        <v>4344</v>
      </c>
      <c r="B2352" t="s">
        <v>4377</v>
      </c>
      <c r="C2352" t="s">
        <v>4378</v>
      </c>
      <c r="D2352" t="s">
        <v>105</v>
      </c>
      <c r="E2352">
        <v>99</v>
      </c>
      <c r="F2352" t="s">
        <v>6942</v>
      </c>
      <c r="G2352">
        <v>99</v>
      </c>
      <c r="H2352">
        <v>64.569999999999993</v>
      </c>
      <c r="L2352" t="s">
        <v>5922</v>
      </c>
      <c r="Q2352">
        <v>64.569999999999993</v>
      </c>
      <c r="R2352">
        <v>64.569999999999993</v>
      </c>
      <c r="U2352">
        <v>63.91</v>
      </c>
      <c r="V2352">
        <v>63.91</v>
      </c>
      <c r="W2352">
        <v>73.040000000000006</v>
      </c>
      <c r="X2352">
        <v>73.040000000000006</v>
      </c>
      <c r="Y2352">
        <v>99</v>
      </c>
      <c r="Z2352" t="s">
        <v>5922</v>
      </c>
    </row>
    <row r="2353" spans="1:26" x14ac:dyDescent="0.2">
      <c r="A2353" t="s">
        <v>4344</v>
      </c>
      <c r="B2353" t="s">
        <v>7438</v>
      </c>
      <c r="C2353" t="s">
        <v>7439</v>
      </c>
      <c r="D2353" t="s">
        <v>105</v>
      </c>
      <c r="E2353">
        <v>249.99</v>
      </c>
      <c r="F2353" t="s">
        <v>7134</v>
      </c>
      <c r="H2353">
        <v>163.04</v>
      </c>
      <c r="L2353" t="s">
        <v>5922</v>
      </c>
      <c r="U2353">
        <v>152.16999999999999</v>
      </c>
      <c r="V2353">
        <v>152.16999999999999</v>
      </c>
      <c r="X2353">
        <v>173.91</v>
      </c>
      <c r="Y2353">
        <v>249.99</v>
      </c>
      <c r="Z2353" t="s">
        <v>5922</v>
      </c>
    </row>
    <row r="2354" spans="1:26" x14ac:dyDescent="0.2">
      <c r="A2354" t="s">
        <v>4344</v>
      </c>
      <c r="B2354" t="s">
        <v>4379</v>
      </c>
      <c r="C2354" t="s">
        <v>4380</v>
      </c>
      <c r="D2354" t="s">
        <v>98</v>
      </c>
      <c r="E2354">
        <v>79</v>
      </c>
      <c r="F2354" t="s">
        <v>7048</v>
      </c>
      <c r="G2354">
        <v>79</v>
      </c>
      <c r="H2354">
        <v>51.52</v>
      </c>
      <c r="L2354" t="s">
        <v>5922</v>
      </c>
      <c r="Q2354">
        <v>51.52</v>
      </c>
      <c r="R2354">
        <v>51.52</v>
      </c>
      <c r="U2354">
        <v>51.73</v>
      </c>
      <c r="V2354">
        <v>52.47</v>
      </c>
      <c r="W2354">
        <v>59.12</v>
      </c>
      <c r="X2354">
        <v>59.12</v>
      </c>
      <c r="Y2354">
        <v>79</v>
      </c>
      <c r="Z2354" t="s">
        <v>5922</v>
      </c>
    </row>
    <row r="2355" spans="1:26" x14ac:dyDescent="0.2">
      <c r="A2355" t="s">
        <v>4344</v>
      </c>
      <c r="B2355" t="s">
        <v>4381</v>
      </c>
      <c r="C2355" t="s">
        <v>4382</v>
      </c>
      <c r="D2355" t="s">
        <v>105</v>
      </c>
      <c r="E2355">
        <v>119</v>
      </c>
      <c r="F2355" t="s">
        <v>6950</v>
      </c>
      <c r="G2355">
        <v>119</v>
      </c>
      <c r="H2355">
        <v>77.61</v>
      </c>
      <c r="L2355" t="s">
        <v>5922</v>
      </c>
      <c r="Q2355">
        <v>77.61</v>
      </c>
      <c r="R2355">
        <v>77.61</v>
      </c>
      <c r="U2355">
        <v>79.12</v>
      </c>
      <c r="V2355">
        <v>80.25</v>
      </c>
      <c r="W2355">
        <v>90.43</v>
      </c>
      <c r="X2355">
        <v>90.43</v>
      </c>
      <c r="Y2355">
        <v>119</v>
      </c>
      <c r="Z2355" t="s">
        <v>5922</v>
      </c>
    </row>
    <row r="2356" spans="1:26" x14ac:dyDescent="0.2">
      <c r="A2356" t="s">
        <v>4344</v>
      </c>
      <c r="B2356" t="s">
        <v>4383</v>
      </c>
      <c r="C2356" t="s">
        <v>4384</v>
      </c>
      <c r="D2356" t="s">
        <v>105</v>
      </c>
      <c r="E2356">
        <v>109</v>
      </c>
      <c r="F2356" t="s">
        <v>7306</v>
      </c>
      <c r="G2356">
        <v>109</v>
      </c>
      <c r="H2356">
        <v>71.09</v>
      </c>
      <c r="L2356" t="s">
        <v>5922</v>
      </c>
      <c r="Q2356">
        <v>71.09</v>
      </c>
      <c r="R2356">
        <v>71.09</v>
      </c>
      <c r="U2356">
        <v>73.040000000000006</v>
      </c>
      <c r="V2356">
        <v>74.08</v>
      </c>
      <c r="W2356">
        <v>83.47</v>
      </c>
      <c r="X2356">
        <v>83.47</v>
      </c>
      <c r="Y2356">
        <v>109</v>
      </c>
      <c r="Z2356" t="s">
        <v>5922</v>
      </c>
    </row>
    <row r="2357" spans="1:26" x14ac:dyDescent="0.2">
      <c r="A2357" t="s">
        <v>4344</v>
      </c>
      <c r="B2357" t="s">
        <v>4385</v>
      </c>
      <c r="C2357" t="s">
        <v>4386</v>
      </c>
      <c r="D2357" t="s">
        <v>98</v>
      </c>
      <c r="E2357">
        <v>59.99</v>
      </c>
      <c r="F2357" t="s">
        <v>5922</v>
      </c>
      <c r="G2357">
        <v>49</v>
      </c>
      <c r="H2357">
        <v>41.73</v>
      </c>
      <c r="L2357" t="s">
        <v>5922</v>
      </c>
      <c r="U2357">
        <v>36.520000000000003</v>
      </c>
      <c r="W2357">
        <v>41.73</v>
      </c>
      <c r="X2357">
        <v>41.73</v>
      </c>
      <c r="Y2357">
        <v>49</v>
      </c>
      <c r="Z2357" t="s">
        <v>5922</v>
      </c>
    </row>
    <row r="2358" spans="1:26" x14ac:dyDescent="0.2">
      <c r="A2358" t="s">
        <v>4344</v>
      </c>
      <c r="B2358" t="s">
        <v>4387</v>
      </c>
      <c r="C2358" t="s">
        <v>4388</v>
      </c>
      <c r="D2358" t="s">
        <v>98</v>
      </c>
      <c r="E2358">
        <v>69.989999999999995</v>
      </c>
      <c r="F2358" t="s">
        <v>5922</v>
      </c>
      <c r="G2358">
        <v>59</v>
      </c>
      <c r="H2358">
        <v>48.69</v>
      </c>
      <c r="L2358" t="s">
        <v>5922</v>
      </c>
      <c r="U2358">
        <v>42.6</v>
      </c>
      <c r="W2358">
        <v>48.69</v>
      </c>
      <c r="X2358">
        <v>48.69</v>
      </c>
      <c r="Y2358">
        <v>59</v>
      </c>
      <c r="Z2358" t="s">
        <v>5922</v>
      </c>
    </row>
    <row r="2359" spans="1:26" x14ac:dyDescent="0.2">
      <c r="A2359" t="s">
        <v>4344</v>
      </c>
      <c r="B2359" t="s">
        <v>4389</v>
      </c>
      <c r="C2359" t="s">
        <v>4390</v>
      </c>
      <c r="D2359" t="s">
        <v>105</v>
      </c>
      <c r="E2359">
        <v>249.99</v>
      </c>
      <c r="F2359" t="s">
        <v>7134</v>
      </c>
      <c r="H2359">
        <v>163.04</v>
      </c>
      <c r="L2359" t="s">
        <v>5922</v>
      </c>
      <c r="U2359">
        <v>158.25</v>
      </c>
      <c r="V2359">
        <v>160.52000000000001</v>
      </c>
      <c r="X2359">
        <v>180.86</v>
      </c>
      <c r="Y2359">
        <v>249.99</v>
      </c>
      <c r="Z2359" t="s">
        <v>5922</v>
      </c>
    </row>
    <row r="2360" spans="1:26" x14ac:dyDescent="0.2">
      <c r="A2360" t="s">
        <v>4344</v>
      </c>
      <c r="B2360" t="s">
        <v>4391</v>
      </c>
      <c r="C2360" t="s">
        <v>4392</v>
      </c>
      <c r="D2360" t="s">
        <v>105</v>
      </c>
      <c r="E2360">
        <v>279.99</v>
      </c>
      <c r="F2360" t="s">
        <v>7213</v>
      </c>
      <c r="H2360">
        <v>182.6</v>
      </c>
      <c r="L2360" t="s">
        <v>5922</v>
      </c>
      <c r="U2360">
        <v>176.52</v>
      </c>
      <c r="V2360">
        <v>179.04</v>
      </c>
      <c r="X2360">
        <v>201.73</v>
      </c>
      <c r="Y2360">
        <v>279.99</v>
      </c>
      <c r="Z2360" t="s">
        <v>5922</v>
      </c>
    </row>
    <row r="2361" spans="1:26" x14ac:dyDescent="0.2">
      <c r="A2361" t="s">
        <v>4344</v>
      </c>
      <c r="B2361" t="s">
        <v>4393</v>
      </c>
      <c r="C2361" t="s">
        <v>4394</v>
      </c>
      <c r="D2361" t="s">
        <v>105</v>
      </c>
      <c r="E2361">
        <v>299.99</v>
      </c>
      <c r="F2361" t="s">
        <v>6918</v>
      </c>
      <c r="H2361">
        <v>195.65</v>
      </c>
      <c r="L2361" t="s">
        <v>5922</v>
      </c>
      <c r="U2361">
        <v>188.69</v>
      </c>
      <c r="V2361">
        <v>191.39</v>
      </c>
      <c r="X2361">
        <v>215.65</v>
      </c>
      <c r="Y2361">
        <v>299.99</v>
      </c>
      <c r="Z2361" t="s">
        <v>5922</v>
      </c>
    </row>
    <row r="2362" spans="1:26" x14ac:dyDescent="0.2">
      <c r="A2362" t="s">
        <v>4344</v>
      </c>
      <c r="B2362" t="s">
        <v>4395</v>
      </c>
      <c r="C2362" t="s">
        <v>4396</v>
      </c>
      <c r="D2362" t="s">
        <v>98</v>
      </c>
      <c r="E2362">
        <v>299.99</v>
      </c>
      <c r="F2362" t="s">
        <v>6918</v>
      </c>
      <c r="G2362">
        <v>299.99</v>
      </c>
      <c r="H2362">
        <v>195.65</v>
      </c>
      <c r="L2362" t="s">
        <v>5922</v>
      </c>
      <c r="Q2362">
        <v>195.65</v>
      </c>
      <c r="R2362">
        <v>195.65</v>
      </c>
      <c r="U2362">
        <v>182.6</v>
      </c>
      <c r="V2362">
        <v>185.21</v>
      </c>
      <c r="W2362">
        <v>208.69</v>
      </c>
      <c r="X2362">
        <v>208.69</v>
      </c>
      <c r="Y2362">
        <v>299.99</v>
      </c>
      <c r="Z2362" t="s">
        <v>5922</v>
      </c>
    </row>
    <row r="2363" spans="1:26" x14ac:dyDescent="0.2">
      <c r="A2363" t="s">
        <v>4344</v>
      </c>
      <c r="B2363" t="s">
        <v>4397</v>
      </c>
      <c r="C2363" t="s">
        <v>4398</v>
      </c>
      <c r="D2363" t="s">
        <v>105</v>
      </c>
      <c r="E2363">
        <v>119</v>
      </c>
      <c r="F2363" t="s">
        <v>6950</v>
      </c>
      <c r="G2363">
        <v>119</v>
      </c>
      <c r="H2363">
        <v>77.61</v>
      </c>
      <c r="L2363" t="s">
        <v>5922</v>
      </c>
      <c r="Q2363">
        <v>77.61</v>
      </c>
      <c r="R2363">
        <v>77.61</v>
      </c>
      <c r="U2363">
        <v>79.12</v>
      </c>
      <c r="V2363">
        <v>80.25</v>
      </c>
      <c r="W2363">
        <v>90.43</v>
      </c>
      <c r="X2363">
        <v>90.43</v>
      </c>
      <c r="Y2363">
        <v>119</v>
      </c>
      <c r="Z2363" t="s">
        <v>5922</v>
      </c>
    </row>
    <row r="2364" spans="1:26" x14ac:dyDescent="0.2">
      <c r="A2364" t="s">
        <v>4344</v>
      </c>
      <c r="B2364" t="s">
        <v>4399</v>
      </c>
      <c r="C2364" t="s">
        <v>4400</v>
      </c>
      <c r="D2364" t="s">
        <v>105</v>
      </c>
      <c r="E2364">
        <v>159</v>
      </c>
      <c r="F2364" t="s">
        <v>7412</v>
      </c>
      <c r="G2364">
        <v>159</v>
      </c>
      <c r="H2364">
        <v>103.7</v>
      </c>
      <c r="L2364" t="s">
        <v>5922</v>
      </c>
      <c r="Q2364">
        <v>103.7</v>
      </c>
      <c r="R2364">
        <v>103.7</v>
      </c>
      <c r="U2364">
        <v>103.47</v>
      </c>
      <c r="V2364">
        <v>104.95</v>
      </c>
      <c r="W2364">
        <v>118.25</v>
      </c>
      <c r="X2364">
        <v>118.25</v>
      </c>
      <c r="Y2364">
        <v>159</v>
      </c>
      <c r="Z2364" t="s">
        <v>5922</v>
      </c>
    </row>
    <row r="2365" spans="1:26" x14ac:dyDescent="0.2">
      <c r="A2365" t="s">
        <v>4344</v>
      </c>
      <c r="B2365" t="s">
        <v>4401</v>
      </c>
      <c r="C2365" t="s">
        <v>4402</v>
      </c>
      <c r="D2365" t="s">
        <v>105</v>
      </c>
      <c r="E2365">
        <v>179</v>
      </c>
      <c r="F2365" t="s">
        <v>7072</v>
      </c>
      <c r="G2365">
        <v>179</v>
      </c>
      <c r="H2365">
        <v>116.74</v>
      </c>
      <c r="L2365" t="s">
        <v>5922</v>
      </c>
      <c r="Q2365">
        <v>116.74</v>
      </c>
      <c r="R2365">
        <v>116.74</v>
      </c>
      <c r="U2365">
        <v>115.65</v>
      </c>
      <c r="V2365">
        <v>117.3</v>
      </c>
      <c r="W2365">
        <v>132.16999999999999</v>
      </c>
      <c r="X2365">
        <v>132.16999999999999</v>
      </c>
      <c r="Y2365">
        <v>179</v>
      </c>
      <c r="Z2365" t="s">
        <v>5922</v>
      </c>
    </row>
    <row r="2366" spans="1:26" x14ac:dyDescent="0.2">
      <c r="A2366" t="s">
        <v>4344</v>
      </c>
      <c r="B2366" t="s">
        <v>4403</v>
      </c>
      <c r="C2366" t="s">
        <v>4404</v>
      </c>
      <c r="D2366" t="s">
        <v>105</v>
      </c>
      <c r="E2366">
        <v>249</v>
      </c>
      <c r="F2366" t="s">
        <v>7067</v>
      </c>
      <c r="G2366">
        <v>249</v>
      </c>
      <c r="H2366">
        <v>162.38999999999999</v>
      </c>
      <c r="L2366" t="s">
        <v>5922</v>
      </c>
      <c r="Q2366">
        <v>162.38999999999999</v>
      </c>
      <c r="R2366">
        <v>162.38999999999999</v>
      </c>
      <c r="U2366">
        <v>155.21</v>
      </c>
      <c r="V2366">
        <v>157.43</v>
      </c>
      <c r="W2366">
        <v>177.38</v>
      </c>
      <c r="X2366">
        <v>177.38</v>
      </c>
      <c r="Y2366">
        <v>249</v>
      </c>
      <c r="Z2366" t="s">
        <v>5922</v>
      </c>
    </row>
    <row r="2367" spans="1:26" x14ac:dyDescent="0.2">
      <c r="A2367" t="s">
        <v>4344</v>
      </c>
      <c r="B2367" t="s">
        <v>4405</v>
      </c>
      <c r="C2367" t="s">
        <v>4406</v>
      </c>
      <c r="D2367" t="s">
        <v>105</v>
      </c>
      <c r="E2367">
        <v>279</v>
      </c>
      <c r="F2367" t="s">
        <v>7064</v>
      </c>
      <c r="G2367">
        <v>279</v>
      </c>
      <c r="H2367">
        <v>181.96</v>
      </c>
      <c r="L2367" t="s">
        <v>5922</v>
      </c>
      <c r="Q2367">
        <v>181.96</v>
      </c>
      <c r="R2367">
        <v>181.96</v>
      </c>
      <c r="U2367">
        <v>176.52</v>
      </c>
      <c r="V2367">
        <v>179.04</v>
      </c>
      <c r="W2367">
        <v>201.73</v>
      </c>
      <c r="X2367">
        <v>201.73</v>
      </c>
      <c r="Y2367">
        <v>279</v>
      </c>
      <c r="Z2367" t="s">
        <v>5922</v>
      </c>
    </row>
    <row r="2368" spans="1:26" x14ac:dyDescent="0.2">
      <c r="A2368" t="s">
        <v>4344</v>
      </c>
      <c r="B2368" t="s">
        <v>4407</v>
      </c>
      <c r="C2368" t="s">
        <v>4408</v>
      </c>
      <c r="D2368" t="s">
        <v>105</v>
      </c>
      <c r="E2368">
        <v>219.99</v>
      </c>
      <c r="F2368" t="s">
        <v>7051</v>
      </c>
      <c r="G2368">
        <v>219.99</v>
      </c>
      <c r="H2368">
        <v>143.47</v>
      </c>
      <c r="L2368" t="s">
        <v>5922</v>
      </c>
      <c r="Q2368">
        <v>143.47</v>
      </c>
      <c r="R2368">
        <v>143.47</v>
      </c>
      <c r="U2368">
        <v>133.91</v>
      </c>
      <c r="V2368">
        <v>135.82</v>
      </c>
      <c r="W2368">
        <v>153.04</v>
      </c>
      <c r="X2368">
        <v>153.04</v>
      </c>
      <c r="Y2368">
        <v>219.99</v>
      </c>
      <c r="Z2368" t="s">
        <v>5922</v>
      </c>
    </row>
    <row r="2369" spans="1:26" x14ac:dyDescent="0.2">
      <c r="A2369" t="s">
        <v>4344</v>
      </c>
      <c r="B2369" t="s">
        <v>4409</v>
      </c>
      <c r="C2369" t="s">
        <v>4410</v>
      </c>
      <c r="D2369" t="s">
        <v>105</v>
      </c>
      <c r="E2369">
        <v>449.99</v>
      </c>
      <c r="F2369" t="s">
        <v>7081</v>
      </c>
      <c r="G2369">
        <v>449.99</v>
      </c>
      <c r="H2369">
        <v>293.47000000000003</v>
      </c>
      <c r="L2369" t="s">
        <v>5922</v>
      </c>
      <c r="Q2369">
        <v>293.47000000000003</v>
      </c>
      <c r="R2369">
        <v>293.47000000000003</v>
      </c>
      <c r="U2369">
        <v>273.91000000000003</v>
      </c>
      <c r="V2369">
        <v>277.82</v>
      </c>
      <c r="W2369">
        <v>313.04000000000002</v>
      </c>
      <c r="X2369">
        <v>313.04000000000002</v>
      </c>
      <c r="Y2369">
        <v>449.99</v>
      </c>
      <c r="Z2369" t="s">
        <v>5922</v>
      </c>
    </row>
    <row r="2370" spans="1:26" x14ac:dyDescent="0.2">
      <c r="A2370" t="s">
        <v>4344</v>
      </c>
      <c r="B2370" t="s">
        <v>4411</v>
      </c>
      <c r="C2370" t="s">
        <v>4412</v>
      </c>
      <c r="D2370" t="s">
        <v>98</v>
      </c>
      <c r="E2370">
        <v>499</v>
      </c>
      <c r="F2370" t="s">
        <v>7062</v>
      </c>
      <c r="G2370">
        <v>499</v>
      </c>
      <c r="H2370">
        <v>325.43</v>
      </c>
      <c r="L2370" t="s">
        <v>5922</v>
      </c>
      <c r="Q2370">
        <v>325.43</v>
      </c>
      <c r="R2370">
        <v>325.43</v>
      </c>
      <c r="U2370">
        <v>304.33999999999997</v>
      </c>
      <c r="V2370">
        <v>304.33999999999997</v>
      </c>
      <c r="W2370">
        <v>347.82</v>
      </c>
      <c r="X2370">
        <v>347.82</v>
      </c>
      <c r="Y2370">
        <v>499</v>
      </c>
      <c r="Z2370" t="s">
        <v>5922</v>
      </c>
    </row>
    <row r="2371" spans="1:26" x14ac:dyDescent="0.2">
      <c r="A2371" t="s">
        <v>4344</v>
      </c>
      <c r="B2371" t="s">
        <v>4413</v>
      </c>
      <c r="C2371" t="s">
        <v>4414</v>
      </c>
      <c r="D2371" t="s">
        <v>98</v>
      </c>
      <c r="E2371">
        <v>149.99</v>
      </c>
      <c r="F2371" t="s">
        <v>5922</v>
      </c>
      <c r="G2371">
        <v>74.5</v>
      </c>
      <c r="H2371">
        <v>104.34</v>
      </c>
      <c r="L2371" t="s">
        <v>5922</v>
      </c>
      <c r="U2371">
        <v>91.3</v>
      </c>
      <c r="W2371">
        <v>104.34</v>
      </c>
      <c r="X2371">
        <v>104.34</v>
      </c>
      <c r="Y2371">
        <v>149</v>
      </c>
      <c r="Z2371" t="s">
        <v>5922</v>
      </c>
    </row>
    <row r="2372" spans="1:26" x14ac:dyDescent="0.2">
      <c r="A2372" t="s">
        <v>4344</v>
      </c>
      <c r="B2372" t="s">
        <v>4415</v>
      </c>
      <c r="C2372" t="s">
        <v>4416</v>
      </c>
      <c r="D2372" t="s">
        <v>98</v>
      </c>
      <c r="E2372">
        <v>199.99</v>
      </c>
      <c r="F2372" t="s">
        <v>5922</v>
      </c>
      <c r="H2372">
        <v>139.12</v>
      </c>
      <c r="L2372" t="s">
        <v>5922</v>
      </c>
      <c r="U2372">
        <v>121.73</v>
      </c>
      <c r="W2372">
        <v>139.12</v>
      </c>
      <c r="X2372">
        <v>139.12</v>
      </c>
      <c r="Y2372">
        <v>199</v>
      </c>
      <c r="Z2372" t="s">
        <v>5922</v>
      </c>
    </row>
    <row r="2373" spans="1:26" x14ac:dyDescent="0.2">
      <c r="A2373" t="s">
        <v>4344</v>
      </c>
      <c r="B2373" t="s">
        <v>4417</v>
      </c>
      <c r="C2373" t="s">
        <v>4418</v>
      </c>
      <c r="D2373" t="s">
        <v>105</v>
      </c>
      <c r="E2373">
        <v>99.99</v>
      </c>
      <c r="F2373" t="s">
        <v>6903</v>
      </c>
      <c r="G2373">
        <v>99.99</v>
      </c>
      <c r="H2373">
        <v>65.209999999999994</v>
      </c>
      <c r="L2373" t="s">
        <v>5922</v>
      </c>
      <c r="Q2373">
        <v>65.209999999999994</v>
      </c>
      <c r="R2373">
        <v>65.209999999999994</v>
      </c>
      <c r="U2373">
        <v>66.95</v>
      </c>
      <c r="V2373">
        <v>61.73</v>
      </c>
      <c r="W2373">
        <v>69.56</v>
      </c>
      <c r="X2373">
        <v>69.56</v>
      </c>
      <c r="Y2373">
        <v>99.99</v>
      </c>
      <c r="Z2373" t="s">
        <v>5922</v>
      </c>
    </row>
    <row r="2374" spans="1:26" x14ac:dyDescent="0.2">
      <c r="A2374" t="s">
        <v>4344</v>
      </c>
      <c r="B2374" t="s">
        <v>7440</v>
      </c>
      <c r="C2374" t="s">
        <v>7441</v>
      </c>
      <c r="D2374" t="s">
        <v>105</v>
      </c>
      <c r="E2374">
        <v>239.99</v>
      </c>
      <c r="F2374" t="s">
        <v>7279</v>
      </c>
      <c r="H2374">
        <v>156.52000000000001</v>
      </c>
      <c r="L2374" t="s">
        <v>5922</v>
      </c>
      <c r="U2374">
        <v>146.08000000000001</v>
      </c>
      <c r="V2374">
        <v>146.08000000000001</v>
      </c>
      <c r="X2374">
        <v>166.95</v>
      </c>
      <c r="Y2374">
        <v>239.99</v>
      </c>
      <c r="Z2374" t="s">
        <v>5922</v>
      </c>
    </row>
    <row r="2375" spans="1:26" x14ac:dyDescent="0.2">
      <c r="A2375" t="s">
        <v>4344</v>
      </c>
      <c r="B2375" t="s">
        <v>4419</v>
      </c>
      <c r="C2375" t="s">
        <v>4420</v>
      </c>
      <c r="D2375" t="s">
        <v>105</v>
      </c>
      <c r="E2375">
        <v>289</v>
      </c>
      <c r="F2375" t="s">
        <v>6935</v>
      </c>
      <c r="G2375">
        <v>289</v>
      </c>
      <c r="H2375">
        <v>188.48</v>
      </c>
      <c r="L2375" t="s">
        <v>5922</v>
      </c>
      <c r="Q2375">
        <v>188.48</v>
      </c>
      <c r="R2375">
        <v>188.48</v>
      </c>
      <c r="U2375">
        <v>176.52</v>
      </c>
      <c r="V2375">
        <v>176.52</v>
      </c>
      <c r="W2375">
        <v>201.73</v>
      </c>
      <c r="X2375">
        <v>201.73</v>
      </c>
      <c r="Y2375">
        <v>289</v>
      </c>
      <c r="Z2375" t="s">
        <v>5922</v>
      </c>
    </row>
    <row r="2376" spans="1:26" x14ac:dyDescent="0.2">
      <c r="A2376" t="s">
        <v>4344</v>
      </c>
      <c r="B2376" t="s">
        <v>4421</v>
      </c>
      <c r="C2376" t="s">
        <v>4422</v>
      </c>
      <c r="D2376" t="s">
        <v>98</v>
      </c>
      <c r="E2376">
        <v>599</v>
      </c>
      <c r="F2376" t="s">
        <v>6941</v>
      </c>
      <c r="G2376">
        <v>599</v>
      </c>
      <c r="H2376">
        <v>390.65</v>
      </c>
      <c r="L2376" t="s">
        <v>5922</v>
      </c>
      <c r="Q2376">
        <v>390.65</v>
      </c>
      <c r="R2376">
        <v>390.65</v>
      </c>
      <c r="U2376">
        <v>371.3</v>
      </c>
      <c r="V2376">
        <v>371.3</v>
      </c>
      <c r="W2376">
        <v>424.34</v>
      </c>
      <c r="X2376">
        <v>424.34</v>
      </c>
      <c r="Y2376">
        <v>599</v>
      </c>
      <c r="Z2376" t="s">
        <v>5922</v>
      </c>
    </row>
    <row r="2377" spans="1:26" x14ac:dyDescent="0.2">
      <c r="A2377" t="s">
        <v>4344</v>
      </c>
      <c r="B2377" t="s">
        <v>4423</v>
      </c>
      <c r="C2377" t="s">
        <v>4424</v>
      </c>
      <c r="D2377" t="s">
        <v>98</v>
      </c>
      <c r="E2377">
        <v>89</v>
      </c>
      <c r="F2377" t="s">
        <v>6936</v>
      </c>
      <c r="G2377">
        <v>89</v>
      </c>
      <c r="H2377">
        <v>58.04</v>
      </c>
      <c r="L2377" t="s">
        <v>5922</v>
      </c>
      <c r="Q2377">
        <v>58.04</v>
      </c>
      <c r="R2377">
        <v>58.04</v>
      </c>
      <c r="U2377">
        <v>54.78</v>
      </c>
      <c r="V2377">
        <v>55.56</v>
      </c>
      <c r="W2377">
        <v>62.6</v>
      </c>
      <c r="X2377">
        <v>62.6</v>
      </c>
      <c r="Y2377">
        <v>89</v>
      </c>
      <c r="Z2377" t="s">
        <v>5922</v>
      </c>
    </row>
    <row r="2378" spans="1:26" x14ac:dyDescent="0.2">
      <c r="A2378" t="s">
        <v>4344</v>
      </c>
      <c r="B2378" t="s">
        <v>4425</v>
      </c>
      <c r="C2378" t="s">
        <v>4426</v>
      </c>
      <c r="D2378" t="s">
        <v>98</v>
      </c>
      <c r="E2378">
        <v>129.99</v>
      </c>
      <c r="F2378" t="s">
        <v>5922</v>
      </c>
      <c r="G2378">
        <v>119</v>
      </c>
      <c r="H2378">
        <v>90.43</v>
      </c>
      <c r="L2378" t="s">
        <v>5922</v>
      </c>
      <c r="U2378">
        <v>79.12</v>
      </c>
      <c r="W2378">
        <v>90.43</v>
      </c>
      <c r="X2378">
        <v>90.43</v>
      </c>
      <c r="Y2378">
        <v>119</v>
      </c>
      <c r="Z2378" t="s">
        <v>5922</v>
      </c>
    </row>
    <row r="2379" spans="1:26" x14ac:dyDescent="0.2">
      <c r="A2379" t="s">
        <v>4344</v>
      </c>
      <c r="B2379" t="s">
        <v>4427</v>
      </c>
      <c r="C2379" t="s">
        <v>4428</v>
      </c>
      <c r="D2379" t="s">
        <v>98</v>
      </c>
      <c r="E2379">
        <v>99.99</v>
      </c>
      <c r="F2379" t="s">
        <v>5922</v>
      </c>
      <c r="G2379">
        <v>89</v>
      </c>
      <c r="H2379">
        <v>69.56</v>
      </c>
      <c r="L2379" t="s">
        <v>5922</v>
      </c>
      <c r="U2379">
        <v>60.86</v>
      </c>
      <c r="W2379">
        <v>69.56</v>
      </c>
      <c r="X2379">
        <v>69.56</v>
      </c>
      <c r="Y2379">
        <v>89</v>
      </c>
      <c r="Z2379" t="s">
        <v>5922</v>
      </c>
    </row>
    <row r="2380" spans="1:26" x14ac:dyDescent="0.2">
      <c r="A2380" t="s">
        <v>4344</v>
      </c>
      <c r="B2380" t="s">
        <v>4429</v>
      </c>
      <c r="C2380" t="s">
        <v>4430</v>
      </c>
      <c r="D2380" t="s">
        <v>98</v>
      </c>
      <c r="E2380">
        <v>159.99</v>
      </c>
      <c r="F2380" t="s">
        <v>5922</v>
      </c>
      <c r="G2380">
        <v>149</v>
      </c>
      <c r="H2380">
        <v>111.3</v>
      </c>
      <c r="L2380" t="s">
        <v>5922</v>
      </c>
      <c r="U2380">
        <v>97.39</v>
      </c>
      <c r="W2380">
        <v>111.3</v>
      </c>
      <c r="X2380">
        <v>111.3</v>
      </c>
      <c r="Y2380">
        <v>149</v>
      </c>
      <c r="Z2380" t="s">
        <v>5922</v>
      </c>
    </row>
    <row r="2381" spans="1:26" x14ac:dyDescent="0.2">
      <c r="A2381" t="s">
        <v>4344</v>
      </c>
      <c r="B2381" t="s">
        <v>4431</v>
      </c>
      <c r="C2381" t="s">
        <v>4432</v>
      </c>
      <c r="D2381" t="s">
        <v>98</v>
      </c>
      <c r="E2381">
        <v>99.99</v>
      </c>
      <c r="F2381" t="s">
        <v>5922</v>
      </c>
      <c r="G2381">
        <v>89</v>
      </c>
      <c r="H2381">
        <v>69.56</v>
      </c>
      <c r="L2381" t="s">
        <v>5922</v>
      </c>
      <c r="U2381">
        <v>60.86</v>
      </c>
      <c r="W2381">
        <v>69.56</v>
      </c>
      <c r="X2381">
        <v>69.56</v>
      </c>
      <c r="Y2381">
        <v>89</v>
      </c>
      <c r="Z2381" t="s">
        <v>5922</v>
      </c>
    </row>
    <row r="2382" spans="1:26" x14ac:dyDescent="0.2">
      <c r="A2382" t="s">
        <v>4344</v>
      </c>
      <c r="B2382" t="s">
        <v>4433</v>
      </c>
      <c r="C2382" t="s">
        <v>4434</v>
      </c>
      <c r="D2382" t="s">
        <v>98</v>
      </c>
      <c r="E2382">
        <v>69.989999999999995</v>
      </c>
      <c r="F2382" t="s">
        <v>5922</v>
      </c>
      <c r="G2382">
        <v>59</v>
      </c>
      <c r="H2382">
        <v>48.69</v>
      </c>
      <c r="L2382" t="s">
        <v>5922</v>
      </c>
      <c r="U2382">
        <v>42.6</v>
      </c>
      <c r="W2382">
        <v>48.69</v>
      </c>
      <c r="X2382">
        <v>48.69</v>
      </c>
      <c r="Y2382">
        <v>59</v>
      </c>
      <c r="Z2382" t="s">
        <v>5922</v>
      </c>
    </row>
    <row r="2383" spans="1:26" x14ac:dyDescent="0.2">
      <c r="A2383" t="s">
        <v>4437</v>
      </c>
      <c r="B2383" t="s">
        <v>4440</v>
      </c>
      <c r="C2383" t="s">
        <v>4441</v>
      </c>
      <c r="D2383" t="s">
        <v>98</v>
      </c>
      <c r="E2383">
        <v>99.99</v>
      </c>
      <c r="F2383" t="s">
        <v>5922</v>
      </c>
      <c r="G2383">
        <v>99.99</v>
      </c>
      <c r="H2383">
        <v>60.86</v>
      </c>
      <c r="I2383">
        <v>69.56</v>
      </c>
      <c r="J2383">
        <v>69.56</v>
      </c>
      <c r="K2383">
        <v>69.56</v>
      </c>
      <c r="L2383" t="s">
        <v>5922</v>
      </c>
      <c r="M2383">
        <v>69.56</v>
      </c>
      <c r="N2383">
        <v>69.56</v>
      </c>
      <c r="O2383">
        <v>60.86</v>
      </c>
      <c r="P2383">
        <v>65.209999999999994</v>
      </c>
      <c r="Q2383">
        <v>60.86</v>
      </c>
      <c r="R2383">
        <v>60.86</v>
      </c>
      <c r="S2383">
        <v>69.56</v>
      </c>
      <c r="T2383">
        <v>60.86</v>
      </c>
      <c r="U2383">
        <v>60.86</v>
      </c>
      <c r="V2383">
        <v>60.86</v>
      </c>
      <c r="W2383">
        <v>73.91</v>
      </c>
      <c r="X2383">
        <v>60.86</v>
      </c>
      <c r="Y2383">
        <v>99.99</v>
      </c>
      <c r="Z2383" t="s">
        <v>5922</v>
      </c>
    </row>
    <row r="2384" spans="1:26" x14ac:dyDescent="0.2">
      <c r="A2384" t="s">
        <v>4437</v>
      </c>
      <c r="B2384" t="s">
        <v>4453</v>
      </c>
      <c r="C2384" t="s">
        <v>4454</v>
      </c>
      <c r="D2384" t="s">
        <v>98</v>
      </c>
      <c r="E2384">
        <v>299.99</v>
      </c>
      <c r="F2384" t="s">
        <v>5922</v>
      </c>
      <c r="G2384">
        <v>209.99299999999999</v>
      </c>
      <c r="H2384">
        <v>182.6</v>
      </c>
      <c r="I2384">
        <v>208.69</v>
      </c>
      <c r="J2384">
        <v>208.69</v>
      </c>
      <c r="K2384">
        <v>208.69</v>
      </c>
      <c r="L2384" t="s">
        <v>5922</v>
      </c>
      <c r="M2384">
        <v>208.69</v>
      </c>
      <c r="N2384">
        <v>208.69</v>
      </c>
      <c r="O2384">
        <v>182.6</v>
      </c>
      <c r="P2384">
        <v>195.65</v>
      </c>
      <c r="Q2384">
        <v>182.6</v>
      </c>
      <c r="R2384">
        <v>182.6</v>
      </c>
      <c r="S2384">
        <v>208.69</v>
      </c>
      <c r="T2384">
        <v>182.6</v>
      </c>
      <c r="U2384">
        <v>182.6</v>
      </c>
      <c r="V2384">
        <v>182.6</v>
      </c>
      <c r="W2384">
        <v>221.73</v>
      </c>
      <c r="X2384">
        <v>182.6</v>
      </c>
      <c r="Y2384">
        <v>299.99</v>
      </c>
      <c r="Z2384" t="s">
        <v>5922</v>
      </c>
    </row>
    <row r="2385" spans="1:26" x14ac:dyDescent="0.2">
      <c r="A2385" t="s">
        <v>4437</v>
      </c>
      <c r="B2385" t="s">
        <v>4463</v>
      </c>
      <c r="C2385" t="s">
        <v>4464</v>
      </c>
      <c r="D2385" t="s">
        <v>98</v>
      </c>
      <c r="E2385">
        <v>83.99</v>
      </c>
      <c r="F2385" t="s">
        <v>5922</v>
      </c>
      <c r="G2385">
        <v>104.99</v>
      </c>
      <c r="H2385">
        <v>65</v>
      </c>
      <c r="I2385">
        <v>104.34</v>
      </c>
      <c r="J2385">
        <v>104.34</v>
      </c>
      <c r="K2385">
        <v>104.34</v>
      </c>
      <c r="L2385" t="s">
        <v>5922</v>
      </c>
      <c r="M2385">
        <v>104.34</v>
      </c>
      <c r="N2385">
        <v>104.34</v>
      </c>
      <c r="O2385">
        <v>91.3</v>
      </c>
      <c r="P2385">
        <v>65</v>
      </c>
      <c r="Q2385">
        <v>91.3</v>
      </c>
      <c r="R2385">
        <v>91.3</v>
      </c>
      <c r="S2385">
        <v>104.34</v>
      </c>
      <c r="T2385">
        <v>91.3</v>
      </c>
      <c r="U2385">
        <v>91.3</v>
      </c>
      <c r="V2385">
        <v>91.3</v>
      </c>
      <c r="W2385">
        <v>110.86</v>
      </c>
      <c r="X2385">
        <v>91.3</v>
      </c>
      <c r="Y2385">
        <v>149.99</v>
      </c>
      <c r="Z2385" t="s">
        <v>5922</v>
      </c>
    </row>
    <row r="2386" spans="1:26" x14ac:dyDescent="0.2">
      <c r="A2386" t="s">
        <v>4483</v>
      </c>
      <c r="B2386" t="s">
        <v>6174</v>
      </c>
      <c r="C2386" t="s">
        <v>4484</v>
      </c>
      <c r="D2386" t="s">
        <v>105</v>
      </c>
      <c r="E2386">
        <v>299.99</v>
      </c>
      <c r="F2386" t="s">
        <v>6918</v>
      </c>
      <c r="G2386">
        <v>299.99</v>
      </c>
      <c r="H2386">
        <v>208.69</v>
      </c>
      <c r="L2386" t="s">
        <v>5922</v>
      </c>
      <c r="Q2386">
        <v>208.69</v>
      </c>
      <c r="R2386">
        <v>208.69</v>
      </c>
      <c r="U2386">
        <v>182.6</v>
      </c>
      <c r="V2386">
        <v>208.69</v>
      </c>
      <c r="W2386">
        <v>0</v>
      </c>
      <c r="X2386">
        <v>195.65</v>
      </c>
      <c r="Y2386">
        <v>299.99</v>
      </c>
      <c r="Z2386" t="s">
        <v>5922</v>
      </c>
    </row>
    <row r="2387" spans="1:26" x14ac:dyDescent="0.2">
      <c r="A2387" t="s">
        <v>4483</v>
      </c>
      <c r="B2387" t="s">
        <v>6175</v>
      </c>
      <c r="C2387" t="s">
        <v>4485</v>
      </c>
      <c r="D2387" t="s">
        <v>105</v>
      </c>
      <c r="E2387">
        <v>299.99</v>
      </c>
      <c r="F2387" t="s">
        <v>6918</v>
      </c>
      <c r="G2387">
        <v>299.99</v>
      </c>
      <c r="H2387">
        <v>208.69</v>
      </c>
      <c r="L2387" t="s">
        <v>5922</v>
      </c>
      <c r="Q2387">
        <v>208.69</v>
      </c>
      <c r="R2387">
        <v>208.69</v>
      </c>
      <c r="U2387">
        <v>182.6</v>
      </c>
      <c r="V2387">
        <v>208.69</v>
      </c>
      <c r="W2387">
        <v>0</v>
      </c>
      <c r="X2387">
        <v>195.65</v>
      </c>
      <c r="Y2387">
        <v>299.99</v>
      </c>
      <c r="Z2387" t="s">
        <v>5922</v>
      </c>
    </row>
    <row r="2388" spans="1:26" x14ac:dyDescent="0.2">
      <c r="A2388" t="s">
        <v>4483</v>
      </c>
      <c r="B2388" t="s">
        <v>6176</v>
      </c>
      <c r="C2388" t="s">
        <v>4486</v>
      </c>
      <c r="D2388" t="s">
        <v>105</v>
      </c>
      <c r="E2388">
        <v>399.99</v>
      </c>
      <c r="F2388" t="s">
        <v>7153</v>
      </c>
      <c r="G2388">
        <v>399.99</v>
      </c>
      <c r="H2388">
        <v>278.25</v>
      </c>
      <c r="L2388" t="s">
        <v>5922</v>
      </c>
      <c r="Q2388">
        <v>278.25</v>
      </c>
      <c r="R2388">
        <v>278.25</v>
      </c>
      <c r="U2388">
        <v>243.47</v>
      </c>
      <c r="V2388">
        <v>278.25</v>
      </c>
      <c r="W2388">
        <v>0</v>
      </c>
      <c r="X2388">
        <v>260.86</v>
      </c>
      <c r="Y2388">
        <v>399.99</v>
      </c>
      <c r="Z2388" t="s">
        <v>5922</v>
      </c>
    </row>
    <row r="2389" spans="1:26" x14ac:dyDescent="0.2">
      <c r="A2389" t="s">
        <v>4483</v>
      </c>
      <c r="B2389" t="s">
        <v>6177</v>
      </c>
      <c r="C2389" t="s">
        <v>4487</v>
      </c>
      <c r="D2389" t="s">
        <v>105</v>
      </c>
      <c r="E2389">
        <v>399.99</v>
      </c>
      <c r="F2389" t="s">
        <v>7153</v>
      </c>
      <c r="G2389">
        <v>399.99</v>
      </c>
      <c r="H2389">
        <v>278.25</v>
      </c>
      <c r="L2389" t="s">
        <v>5922</v>
      </c>
      <c r="Q2389">
        <v>278.25</v>
      </c>
      <c r="R2389">
        <v>278.25</v>
      </c>
      <c r="U2389">
        <v>243.47</v>
      </c>
      <c r="V2389">
        <v>278.25</v>
      </c>
      <c r="W2389">
        <v>0</v>
      </c>
      <c r="X2389">
        <v>260.86</v>
      </c>
      <c r="Y2389">
        <v>399.99</v>
      </c>
      <c r="Z2389" t="s">
        <v>5922</v>
      </c>
    </row>
    <row r="2390" spans="1:26" x14ac:dyDescent="0.2">
      <c r="A2390" t="s">
        <v>4483</v>
      </c>
      <c r="B2390" t="s">
        <v>6178</v>
      </c>
      <c r="C2390" t="s">
        <v>4488</v>
      </c>
      <c r="D2390" t="s">
        <v>105</v>
      </c>
      <c r="E2390">
        <v>264.99</v>
      </c>
      <c r="F2390" t="s">
        <v>7442</v>
      </c>
      <c r="G2390">
        <v>264.99</v>
      </c>
      <c r="H2390">
        <v>184.34</v>
      </c>
      <c r="L2390" t="s">
        <v>5922</v>
      </c>
      <c r="Q2390">
        <v>184.34</v>
      </c>
      <c r="R2390">
        <v>184.34</v>
      </c>
      <c r="U2390">
        <v>161.30000000000001</v>
      </c>
      <c r="V2390">
        <v>184.34</v>
      </c>
      <c r="W2390">
        <v>0</v>
      </c>
      <c r="X2390">
        <v>172.82</v>
      </c>
      <c r="Y2390">
        <v>264.99</v>
      </c>
      <c r="Z2390" t="s">
        <v>5922</v>
      </c>
    </row>
    <row r="2391" spans="1:26" x14ac:dyDescent="0.2">
      <c r="A2391" t="s">
        <v>4483</v>
      </c>
      <c r="B2391" t="s">
        <v>6179</v>
      </c>
      <c r="C2391" t="s">
        <v>4489</v>
      </c>
      <c r="D2391" t="s">
        <v>105</v>
      </c>
      <c r="E2391">
        <v>229.99</v>
      </c>
      <c r="F2391" t="s">
        <v>7129</v>
      </c>
      <c r="G2391">
        <v>229.99</v>
      </c>
      <c r="H2391">
        <v>159.99</v>
      </c>
      <c r="L2391" t="s">
        <v>5922</v>
      </c>
      <c r="Q2391">
        <v>159.99</v>
      </c>
      <c r="R2391">
        <v>159.99</v>
      </c>
      <c r="U2391">
        <v>139.99</v>
      </c>
      <c r="V2391">
        <v>159.99</v>
      </c>
      <c r="W2391">
        <v>0</v>
      </c>
      <c r="X2391">
        <v>149.99</v>
      </c>
      <c r="Y2391">
        <v>229.99</v>
      </c>
      <c r="Z2391" t="s">
        <v>5922</v>
      </c>
    </row>
    <row r="2392" spans="1:26" x14ac:dyDescent="0.2">
      <c r="A2392" t="s">
        <v>4483</v>
      </c>
      <c r="B2392" t="s">
        <v>6180</v>
      </c>
      <c r="C2392" t="s">
        <v>4490</v>
      </c>
      <c r="D2392" t="s">
        <v>105</v>
      </c>
      <c r="E2392">
        <v>399.99</v>
      </c>
      <c r="F2392" t="s">
        <v>7153</v>
      </c>
      <c r="G2392">
        <v>399.99</v>
      </c>
      <c r="H2392">
        <v>278.25</v>
      </c>
      <c r="L2392" t="s">
        <v>5922</v>
      </c>
      <c r="Q2392">
        <v>278.25</v>
      </c>
      <c r="R2392">
        <v>278.25</v>
      </c>
      <c r="U2392">
        <v>243.47</v>
      </c>
      <c r="V2392">
        <v>278.25</v>
      </c>
      <c r="W2392">
        <v>0</v>
      </c>
      <c r="X2392">
        <v>260.86</v>
      </c>
      <c r="Y2392">
        <v>399.99</v>
      </c>
      <c r="Z2392" t="s">
        <v>5922</v>
      </c>
    </row>
    <row r="2393" spans="1:26" x14ac:dyDescent="0.2">
      <c r="A2393" t="s">
        <v>4483</v>
      </c>
      <c r="B2393" t="s">
        <v>6181</v>
      </c>
      <c r="C2393" t="s">
        <v>4491</v>
      </c>
      <c r="D2393" t="s">
        <v>105</v>
      </c>
      <c r="E2393">
        <v>399.99</v>
      </c>
      <c r="F2393" t="s">
        <v>7153</v>
      </c>
      <c r="G2393">
        <v>399.99</v>
      </c>
      <c r="H2393">
        <v>278.25</v>
      </c>
      <c r="L2393" t="s">
        <v>5922</v>
      </c>
      <c r="Q2393">
        <v>278.25</v>
      </c>
      <c r="R2393">
        <v>278.25</v>
      </c>
      <c r="U2393">
        <v>243.47</v>
      </c>
      <c r="V2393">
        <v>278.25</v>
      </c>
      <c r="W2393">
        <v>0</v>
      </c>
      <c r="X2393">
        <v>260.86</v>
      </c>
      <c r="Y2393">
        <v>399.99</v>
      </c>
      <c r="Z2393" t="s">
        <v>5922</v>
      </c>
    </row>
    <row r="2394" spans="1:26" x14ac:dyDescent="0.2">
      <c r="A2394" t="s">
        <v>4483</v>
      </c>
      <c r="B2394" t="s">
        <v>6182</v>
      </c>
      <c r="C2394" t="s">
        <v>4492</v>
      </c>
      <c r="D2394" t="s">
        <v>105</v>
      </c>
      <c r="E2394">
        <v>164.99</v>
      </c>
      <c r="F2394" t="s">
        <v>7443</v>
      </c>
      <c r="G2394">
        <v>164.99</v>
      </c>
      <c r="H2394">
        <v>114.78</v>
      </c>
      <c r="L2394" t="s">
        <v>5922</v>
      </c>
      <c r="Q2394">
        <v>114.78</v>
      </c>
      <c r="R2394">
        <v>114.78</v>
      </c>
      <c r="U2394">
        <v>100.43</v>
      </c>
      <c r="V2394">
        <v>114.78</v>
      </c>
      <c r="W2394">
        <v>0</v>
      </c>
      <c r="X2394">
        <v>107.6</v>
      </c>
      <c r="Y2394">
        <v>164.99</v>
      </c>
      <c r="Z2394" t="s">
        <v>5922</v>
      </c>
    </row>
    <row r="2395" spans="1:26" x14ac:dyDescent="0.2">
      <c r="A2395" t="s">
        <v>4483</v>
      </c>
      <c r="B2395" t="s">
        <v>6183</v>
      </c>
      <c r="C2395" t="s">
        <v>4493</v>
      </c>
      <c r="D2395" t="s">
        <v>105</v>
      </c>
      <c r="E2395">
        <v>229.99</v>
      </c>
      <c r="F2395" t="s">
        <v>7129</v>
      </c>
      <c r="G2395">
        <v>229.99</v>
      </c>
      <c r="H2395">
        <v>159.99</v>
      </c>
      <c r="L2395" t="s">
        <v>5922</v>
      </c>
      <c r="Q2395">
        <v>159.99</v>
      </c>
      <c r="R2395">
        <v>159.99</v>
      </c>
      <c r="U2395">
        <v>139.99</v>
      </c>
      <c r="V2395">
        <v>159.99</v>
      </c>
      <c r="W2395">
        <v>0</v>
      </c>
      <c r="X2395">
        <v>149.99</v>
      </c>
      <c r="Y2395">
        <v>229.99</v>
      </c>
      <c r="Z2395" t="s">
        <v>5922</v>
      </c>
    </row>
    <row r="2396" spans="1:26" x14ac:dyDescent="0.2">
      <c r="A2396" t="s">
        <v>4483</v>
      </c>
      <c r="B2396" t="s">
        <v>6184</v>
      </c>
      <c r="C2396" t="s">
        <v>4494</v>
      </c>
      <c r="D2396" t="s">
        <v>105</v>
      </c>
      <c r="E2396">
        <v>69.989999999999995</v>
      </c>
      <c r="F2396" t="s">
        <v>6890</v>
      </c>
      <c r="G2396">
        <v>69.989999999999995</v>
      </c>
      <c r="H2396">
        <v>48.69</v>
      </c>
      <c r="L2396" t="s">
        <v>5922</v>
      </c>
      <c r="Q2396">
        <v>48.69</v>
      </c>
      <c r="R2396">
        <v>48.69</v>
      </c>
      <c r="U2396">
        <v>42.6</v>
      </c>
      <c r="V2396">
        <v>48.69</v>
      </c>
      <c r="W2396">
        <v>0</v>
      </c>
      <c r="X2396">
        <v>45.65</v>
      </c>
      <c r="Y2396">
        <v>69.989999999999995</v>
      </c>
      <c r="Z2396" t="s">
        <v>5922</v>
      </c>
    </row>
    <row r="2397" spans="1:26" x14ac:dyDescent="0.2">
      <c r="A2397" t="s">
        <v>4483</v>
      </c>
      <c r="B2397" t="s">
        <v>6185</v>
      </c>
      <c r="C2397" t="s">
        <v>4495</v>
      </c>
      <c r="D2397" t="s">
        <v>105</v>
      </c>
      <c r="E2397">
        <v>269.99</v>
      </c>
      <c r="F2397" t="s">
        <v>7287</v>
      </c>
      <c r="G2397">
        <v>269.99</v>
      </c>
      <c r="H2397">
        <v>187.82</v>
      </c>
      <c r="L2397" t="s">
        <v>5922</v>
      </c>
      <c r="Q2397">
        <v>187.82</v>
      </c>
      <c r="R2397">
        <v>187.82</v>
      </c>
      <c r="U2397">
        <v>164.34</v>
      </c>
      <c r="V2397">
        <v>187.82</v>
      </c>
      <c r="W2397">
        <v>0</v>
      </c>
      <c r="X2397">
        <v>176.08</v>
      </c>
      <c r="Y2397">
        <v>269.99</v>
      </c>
      <c r="Z2397" t="s">
        <v>5922</v>
      </c>
    </row>
    <row r="2398" spans="1:26" x14ac:dyDescent="0.2">
      <c r="A2398" t="s">
        <v>4483</v>
      </c>
      <c r="B2398" t="s">
        <v>6186</v>
      </c>
      <c r="C2398" t="s">
        <v>4496</v>
      </c>
      <c r="D2398" t="s">
        <v>105</v>
      </c>
      <c r="E2398">
        <v>74.989999999999995</v>
      </c>
      <c r="F2398" t="s">
        <v>7377</v>
      </c>
      <c r="G2398">
        <v>74.989999999999995</v>
      </c>
      <c r="H2398">
        <v>52.17</v>
      </c>
      <c r="L2398" t="s">
        <v>5922</v>
      </c>
      <c r="Q2398">
        <v>52.17</v>
      </c>
      <c r="R2398">
        <v>52.17</v>
      </c>
      <c r="U2398">
        <v>45.65</v>
      </c>
      <c r="V2398">
        <v>52.17</v>
      </c>
      <c r="W2398">
        <v>0</v>
      </c>
      <c r="X2398">
        <v>48.91</v>
      </c>
      <c r="Y2398">
        <v>74.989999999999995</v>
      </c>
      <c r="Z2398" t="s">
        <v>5922</v>
      </c>
    </row>
    <row r="2399" spans="1:26" x14ac:dyDescent="0.2">
      <c r="A2399" t="s">
        <v>4483</v>
      </c>
      <c r="B2399" t="s">
        <v>6187</v>
      </c>
      <c r="C2399" t="s">
        <v>4497</v>
      </c>
      <c r="D2399" t="s">
        <v>105</v>
      </c>
      <c r="E2399">
        <v>74.989999999999995</v>
      </c>
      <c r="F2399" t="s">
        <v>7377</v>
      </c>
      <c r="G2399">
        <v>74.989999999999995</v>
      </c>
      <c r="H2399">
        <v>52.17</v>
      </c>
      <c r="L2399" t="s">
        <v>5922</v>
      </c>
      <c r="Q2399">
        <v>52.17</v>
      </c>
      <c r="R2399">
        <v>52.17</v>
      </c>
      <c r="U2399">
        <v>45.65</v>
      </c>
      <c r="V2399">
        <v>52.17</v>
      </c>
      <c r="W2399">
        <v>0</v>
      </c>
      <c r="X2399">
        <v>48.91</v>
      </c>
      <c r="Y2399">
        <v>74.989999999999995</v>
      </c>
      <c r="Z2399" t="s">
        <v>5922</v>
      </c>
    </row>
    <row r="2400" spans="1:26" x14ac:dyDescent="0.2">
      <c r="A2400" t="s">
        <v>4483</v>
      </c>
      <c r="B2400" t="s">
        <v>6188</v>
      </c>
      <c r="C2400" t="s">
        <v>4498</v>
      </c>
      <c r="D2400" t="s">
        <v>105</v>
      </c>
      <c r="E2400">
        <v>179.99</v>
      </c>
      <c r="F2400" t="s">
        <v>7024</v>
      </c>
      <c r="G2400">
        <v>179.99</v>
      </c>
      <c r="H2400">
        <v>125.21</v>
      </c>
      <c r="L2400" t="s">
        <v>5922</v>
      </c>
      <c r="Q2400">
        <v>125.21</v>
      </c>
      <c r="R2400">
        <v>125.21</v>
      </c>
      <c r="U2400">
        <v>109.56</v>
      </c>
      <c r="V2400">
        <v>125.21</v>
      </c>
      <c r="W2400">
        <v>0</v>
      </c>
      <c r="X2400">
        <v>117.38</v>
      </c>
      <c r="Y2400">
        <v>179.99</v>
      </c>
      <c r="Z2400" t="s">
        <v>5922</v>
      </c>
    </row>
    <row r="2401" spans="1:26" x14ac:dyDescent="0.2">
      <c r="A2401" t="s">
        <v>4483</v>
      </c>
      <c r="B2401" t="s">
        <v>6189</v>
      </c>
      <c r="C2401" t="s">
        <v>4499</v>
      </c>
      <c r="D2401" t="s">
        <v>105</v>
      </c>
      <c r="E2401">
        <v>74.989999999999995</v>
      </c>
      <c r="F2401" t="s">
        <v>7377</v>
      </c>
      <c r="G2401">
        <v>74.989999999999995</v>
      </c>
      <c r="H2401">
        <v>52.17</v>
      </c>
      <c r="L2401" t="s">
        <v>5922</v>
      </c>
      <c r="Q2401">
        <v>52.17</v>
      </c>
      <c r="R2401">
        <v>52.17</v>
      </c>
      <c r="U2401">
        <v>45.65</v>
      </c>
      <c r="V2401">
        <v>52.17</v>
      </c>
      <c r="W2401">
        <v>0</v>
      </c>
      <c r="X2401">
        <v>48.91</v>
      </c>
      <c r="Y2401">
        <v>74.989999999999995</v>
      </c>
      <c r="Z2401" t="s">
        <v>5922</v>
      </c>
    </row>
    <row r="2402" spans="1:26" x14ac:dyDescent="0.2">
      <c r="A2402" t="s">
        <v>4483</v>
      </c>
      <c r="B2402" t="s">
        <v>6190</v>
      </c>
      <c r="C2402" t="s">
        <v>4500</v>
      </c>
      <c r="D2402" t="s">
        <v>105</v>
      </c>
      <c r="E2402">
        <v>64.989999999999995</v>
      </c>
      <c r="F2402" t="s">
        <v>7028</v>
      </c>
      <c r="G2402">
        <v>64.989999999999995</v>
      </c>
      <c r="H2402">
        <v>45.21</v>
      </c>
      <c r="L2402" t="s">
        <v>5922</v>
      </c>
      <c r="Q2402">
        <v>45.21</v>
      </c>
      <c r="R2402">
        <v>45.21</v>
      </c>
      <c r="U2402">
        <v>39.56</v>
      </c>
      <c r="V2402">
        <v>45.21</v>
      </c>
      <c r="W2402">
        <v>0</v>
      </c>
      <c r="X2402">
        <v>42.38</v>
      </c>
      <c r="Y2402">
        <v>64.989999999999995</v>
      </c>
      <c r="Z2402" t="s">
        <v>5922</v>
      </c>
    </row>
    <row r="2403" spans="1:26" x14ac:dyDescent="0.2">
      <c r="A2403" t="s">
        <v>4483</v>
      </c>
      <c r="B2403" t="s">
        <v>6191</v>
      </c>
      <c r="C2403" t="s">
        <v>4501</v>
      </c>
      <c r="D2403" t="s">
        <v>105</v>
      </c>
      <c r="E2403">
        <v>129.99</v>
      </c>
      <c r="F2403" t="s">
        <v>7023</v>
      </c>
      <c r="G2403">
        <v>129.99</v>
      </c>
      <c r="H2403">
        <v>90.43</v>
      </c>
      <c r="L2403" t="s">
        <v>5922</v>
      </c>
      <c r="Q2403">
        <v>90.43</v>
      </c>
      <c r="R2403">
        <v>90.43</v>
      </c>
      <c r="U2403">
        <v>79.12</v>
      </c>
      <c r="V2403">
        <v>90.43</v>
      </c>
      <c r="W2403">
        <v>0</v>
      </c>
      <c r="X2403">
        <v>84.78</v>
      </c>
      <c r="Y2403">
        <v>129.99</v>
      </c>
      <c r="Z2403" t="s">
        <v>5922</v>
      </c>
    </row>
    <row r="2404" spans="1:26" x14ac:dyDescent="0.2">
      <c r="A2404" t="s">
        <v>4483</v>
      </c>
      <c r="B2404" t="s">
        <v>6192</v>
      </c>
      <c r="C2404" t="s">
        <v>4502</v>
      </c>
      <c r="D2404" t="s">
        <v>105</v>
      </c>
      <c r="E2404">
        <v>74.989999999999995</v>
      </c>
      <c r="F2404" t="s">
        <v>7377</v>
      </c>
      <c r="G2404">
        <v>74.989999999999995</v>
      </c>
      <c r="H2404">
        <v>52.17</v>
      </c>
      <c r="L2404" t="s">
        <v>5922</v>
      </c>
      <c r="Q2404">
        <v>52.17</v>
      </c>
      <c r="R2404">
        <v>52.17</v>
      </c>
      <c r="U2404">
        <v>45.65</v>
      </c>
      <c r="V2404">
        <v>52.17</v>
      </c>
      <c r="W2404">
        <v>0</v>
      </c>
      <c r="X2404">
        <v>48.91</v>
      </c>
      <c r="Y2404">
        <v>74.989999999999995</v>
      </c>
      <c r="Z2404" t="s">
        <v>5922</v>
      </c>
    </row>
    <row r="2405" spans="1:26" x14ac:dyDescent="0.2">
      <c r="A2405" t="s">
        <v>4483</v>
      </c>
      <c r="B2405" t="s">
        <v>6193</v>
      </c>
      <c r="C2405" t="s">
        <v>4503</v>
      </c>
      <c r="D2405" t="s">
        <v>105</v>
      </c>
      <c r="E2405">
        <v>519.99</v>
      </c>
      <c r="F2405" t="s">
        <v>7383</v>
      </c>
      <c r="G2405">
        <v>519.99</v>
      </c>
      <c r="H2405">
        <v>361.73</v>
      </c>
      <c r="L2405" t="s">
        <v>5922</v>
      </c>
      <c r="Q2405">
        <v>361.73</v>
      </c>
      <c r="R2405">
        <v>361.73</v>
      </c>
      <c r="U2405">
        <v>316.52</v>
      </c>
      <c r="V2405">
        <v>361.73</v>
      </c>
      <c r="W2405">
        <v>0</v>
      </c>
      <c r="X2405">
        <v>339.12</v>
      </c>
      <c r="Y2405">
        <v>519.99</v>
      </c>
      <c r="Z2405" t="s">
        <v>5922</v>
      </c>
    </row>
    <row r="2406" spans="1:26" x14ac:dyDescent="0.2">
      <c r="A2406" t="s">
        <v>4483</v>
      </c>
      <c r="B2406" t="s">
        <v>6194</v>
      </c>
      <c r="C2406" t="s">
        <v>4504</v>
      </c>
      <c r="D2406" t="s">
        <v>105</v>
      </c>
      <c r="E2406">
        <v>74.989999999999995</v>
      </c>
      <c r="F2406" t="s">
        <v>7377</v>
      </c>
      <c r="G2406">
        <v>74.989999999999995</v>
      </c>
      <c r="H2406">
        <v>52.17</v>
      </c>
      <c r="L2406" t="s">
        <v>5922</v>
      </c>
      <c r="Q2406">
        <v>52.17</v>
      </c>
      <c r="R2406">
        <v>52.17</v>
      </c>
      <c r="U2406">
        <v>45.65</v>
      </c>
      <c r="V2406">
        <v>52.17</v>
      </c>
      <c r="W2406">
        <v>0</v>
      </c>
      <c r="X2406">
        <v>48.91</v>
      </c>
      <c r="Y2406">
        <v>74.989999999999995</v>
      </c>
      <c r="Z2406" t="s">
        <v>5922</v>
      </c>
    </row>
    <row r="2407" spans="1:26" x14ac:dyDescent="0.2">
      <c r="A2407" t="s">
        <v>4483</v>
      </c>
      <c r="B2407" t="s">
        <v>4505</v>
      </c>
      <c r="C2407" t="s">
        <v>4506</v>
      </c>
      <c r="D2407" t="s">
        <v>105</v>
      </c>
      <c r="E2407">
        <v>99.99</v>
      </c>
      <c r="F2407" t="s">
        <v>6903</v>
      </c>
      <c r="H2407">
        <v>69.56</v>
      </c>
      <c r="L2407" t="s">
        <v>5922</v>
      </c>
      <c r="U2407">
        <v>60.86</v>
      </c>
      <c r="V2407">
        <v>69.56</v>
      </c>
      <c r="X2407">
        <v>65.209999999999994</v>
      </c>
      <c r="Y2407">
        <v>99.99</v>
      </c>
      <c r="Z2407" t="s">
        <v>5922</v>
      </c>
    </row>
    <row r="2408" spans="1:26" x14ac:dyDescent="0.2">
      <c r="A2408" t="s">
        <v>4483</v>
      </c>
      <c r="B2408" t="s">
        <v>6195</v>
      </c>
      <c r="C2408" t="s">
        <v>4507</v>
      </c>
      <c r="D2408" t="s">
        <v>105</v>
      </c>
      <c r="E2408">
        <v>112.99</v>
      </c>
      <c r="F2408" t="s">
        <v>7204</v>
      </c>
      <c r="G2408">
        <v>112.99</v>
      </c>
      <c r="H2408">
        <v>78.599999999999994</v>
      </c>
      <c r="L2408" t="s">
        <v>5922</v>
      </c>
      <c r="Q2408">
        <v>78.599999999999994</v>
      </c>
      <c r="R2408">
        <v>78.599999999999994</v>
      </c>
      <c r="U2408">
        <v>68.78</v>
      </c>
      <c r="V2408">
        <v>78.599999999999994</v>
      </c>
      <c r="W2408">
        <v>0</v>
      </c>
      <c r="X2408">
        <v>73.69</v>
      </c>
      <c r="Y2408">
        <v>112.99</v>
      </c>
      <c r="Z2408" t="s">
        <v>5922</v>
      </c>
    </row>
    <row r="2409" spans="1:26" x14ac:dyDescent="0.2">
      <c r="A2409" t="s">
        <v>4483</v>
      </c>
      <c r="B2409" t="s">
        <v>6196</v>
      </c>
      <c r="C2409" t="s">
        <v>4508</v>
      </c>
      <c r="D2409" t="s">
        <v>105</v>
      </c>
      <c r="E2409">
        <v>82.99</v>
      </c>
      <c r="F2409" t="s">
        <v>7444</v>
      </c>
      <c r="G2409">
        <v>82.99</v>
      </c>
      <c r="H2409">
        <v>57.73</v>
      </c>
      <c r="L2409" t="s">
        <v>5922</v>
      </c>
      <c r="Q2409">
        <v>57.73</v>
      </c>
      <c r="R2409">
        <v>57.73</v>
      </c>
      <c r="U2409">
        <v>50.52</v>
      </c>
      <c r="V2409">
        <v>57.73</v>
      </c>
      <c r="W2409">
        <v>0</v>
      </c>
      <c r="X2409">
        <v>54.12</v>
      </c>
      <c r="Y2409">
        <v>82.99</v>
      </c>
      <c r="Z2409" t="s">
        <v>5922</v>
      </c>
    </row>
    <row r="2410" spans="1:26" x14ac:dyDescent="0.2">
      <c r="A2410" t="s">
        <v>4483</v>
      </c>
      <c r="B2410" t="s">
        <v>6197</v>
      </c>
      <c r="C2410" t="s">
        <v>4509</v>
      </c>
      <c r="D2410" t="s">
        <v>105</v>
      </c>
      <c r="E2410">
        <v>134.99</v>
      </c>
      <c r="F2410" t="s">
        <v>7445</v>
      </c>
      <c r="G2410">
        <v>134.99</v>
      </c>
      <c r="H2410">
        <v>93.91</v>
      </c>
      <c r="L2410" t="s">
        <v>5922</v>
      </c>
      <c r="Q2410">
        <v>93.91</v>
      </c>
      <c r="R2410">
        <v>93.91</v>
      </c>
      <c r="U2410">
        <v>82.17</v>
      </c>
      <c r="V2410">
        <v>93.91</v>
      </c>
      <c r="W2410">
        <v>0</v>
      </c>
      <c r="X2410">
        <v>88.04</v>
      </c>
      <c r="Y2410">
        <v>134.99</v>
      </c>
      <c r="Z2410" t="s">
        <v>5922</v>
      </c>
    </row>
    <row r="2411" spans="1:26" x14ac:dyDescent="0.2">
      <c r="A2411" t="s">
        <v>4483</v>
      </c>
      <c r="B2411" t="s">
        <v>6198</v>
      </c>
      <c r="C2411" t="s">
        <v>4510</v>
      </c>
      <c r="D2411" t="s">
        <v>105</v>
      </c>
      <c r="E2411">
        <v>159.99</v>
      </c>
      <c r="F2411" t="s">
        <v>6970</v>
      </c>
      <c r="G2411">
        <v>159.99</v>
      </c>
      <c r="H2411">
        <v>111.3</v>
      </c>
      <c r="L2411" t="s">
        <v>5922</v>
      </c>
      <c r="Q2411">
        <v>111.3</v>
      </c>
      <c r="R2411">
        <v>111.3</v>
      </c>
      <c r="U2411">
        <v>97.39</v>
      </c>
      <c r="V2411">
        <v>111.3</v>
      </c>
      <c r="W2411">
        <v>0</v>
      </c>
      <c r="X2411">
        <v>104.34</v>
      </c>
      <c r="Y2411">
        <v>159.99</v>
      </c>
      <c r="Z2411" t="s">
        <v>5922</v>
      </c>
    </row>
    <row r="2412" spans="1:26" x14ac:dyDescent="0.2">
      <c r="A2412" t="s">
        <v>4483</v>
      </c>
      <c r="B2412" t="s">
        <v>6199</v>
      </c>
      <c r="C2412" t="s">
        <v>4511</v>
      </c>
      <c r="D2412" t="s">
        <v>105</v>
      </c>
      <c r="E2412">
        <v>339.99</v>
      </c>
      <c r="F2412" t="s">
        <v>7329</v>
      </c>
      <c r="G2412">
        <v>339.99</v>
      </c>
      <c r="H2412">
        <v>236.51</v>
      </c>
      <c r="L2412" t="s">
        <v>5922</v>
      </c>
      <c r="Q2412">
        <v>236.51</v>
      </c>
      <c r="R2412">
        <v>236.51</v>
      </c>
      <c r="U2412">
        <v>206.95</v>
      </c>
      <c r="V2412">
        <v>236.51</v>
      </c>
      <c r="W2412">
        <v>0</v>
      </c>
      <c r="X2412">
        <v>221.73</v>
      </c>
      <c r="Y2412">
        <v>339.99</v>
      </c>
      <c r="Z2412" t="s">
        <v>5922</v>
      </c>
    </row>
    <row r="2413" spans="1:26" x14ac:dyDescent="0.2">
      <c r="A2413" t="s">
        <v>4483</v>
      </c>
      <c r="B2413" t="s">
        <v>4512</v>
      </c>
      <c r="C2413" t="s">
        <v>4513</v>
      </c>
      <c r="D2413" t="s">
        <v>105</v>
      </c>
      <c r="E2413">
        <v>149.99</v>
      </c>
      <c r="F2413" t="s">
        <v>7022</v>
      </c>
      <c r="H2413">
        <v>104.34</v>
      </c>
      <c r="L2413" t="s">
        <v>5922</v>
      </c>
      <c r="U2413">
        <v>91.3</v>
      </c>
      <c r="V2413">
        <v>104.34</v>
      </c>
      <c r="X2413">
        <v>97.82</v>
      </c>
      <c r="Y2413">
        <v>149.99</v>
      </c>
      <c r="Z2413" t="s">
        <v>5922</v>
      </c>
    </row>
    <row r="2414" spans="1:26" x14ac:dyDescent="0.2">
      <c r="A2414" t="s">
        <v>4483</v>
      </c>
      <c r="B2414" t="s">
        <v>4514</v>
      </c>
      <c r="C2414" t="s">
        <v>4515</v>
      </c>
      <c r="D2414" t="s">
        <v>105</v>
      </c>
      <c r="E2414">
        <v>159.99</v>
      </c>
      <c r="F2414" t="s">
        <v>6970</v>
      </c>
      <c r="H2414">
        <v>111.3</v>
      </c>
      <c r="L2414" t="s">
        <v>5922</v>
      </c>
      <c r="U2414">
        <v>97.39</v>
      </c>
      <c r="V2414">
        <v>111.3</v>
      </c>
      <c r="X2414">
        <v>104.34</v>
      </c>
      <c r="Y2414">
        <v>159.99</v>
      </c>
      <c r="Z2414" t="s">
        <v>5922</v>
      </c>
    </row>
    <row r="2415" spans="1:26" x14ac:dyDescent="0.2">
      <c r="A2415" t="s">
        <v>4483</v>
      </c>
      <c r="B2415" t="s">
        <v>4516</v>
      </c>
      <c r="C2415" t="s">
        <v>4517</v>
      </c>
      <c r="D2415" t="s">
        <v>105</v>
      </c>
      <c r="E2415">
        <v>149.99</v>
      </c>
      <c r="F2415" t="s">
        <v>7022</v>
      </c>
      <c r="H2415">
        <v>104.34</v>
      </c>
      <c r="L2415" t="s">
        <v>5922</v>
      </c>
      <c r="U2415">
        <v>91.3</v>
      </c>
      <c r="V2415">
        <v>104.34</v>
      </c>
      <c r="X2415">
        <v>97.82</v>
      </c>
      <c r="Y2415">
        <v>149.99</v>
      </c>
      <c r="Z2415" t="s">
        <v>5922</v>
      </c>
    </row>
    <row r="2416" spans="1:26" x14ac:dyDescent="0.2">
      <c r="A2416" t="s">
        <v>4518</v>
      </c>
      <c r="B2416" t="s">
        <v>4519</v>
      </c>
      <c r="C2416" t="s">
        <v>4520</v>
      </c>
      <c r="D2416" t="s">
        <v>138</v>
      </c>
      <c r="E2416">
        <v>89.99</v>
      </c>
      <c r="F2416" t="s">
        <v>6914</v>
      </c>
      <c r="H2416">
        <v>50.86</v>
      </c>
      <c r="I2416">
        <v>62.6</v>
      </c>
      <c r="J2416">
        <v>62.6</v>
      </c>
      <c r="K2416">
        <v>62.6</v>
      </c>
      <c r="L2416" t="s">
        <v>5922</v>
      </c>
      <c r="M2416">
        <v>58.69</v>
      </c>
      <c r="N2416">
        <v>62.6</v>
      </c>
      <c r="P2416">
        <v>50.86</v>
      </c>
      <c r="R2416">
        <v>50.86</v>
      </c>
      <c r="S2416">
        <v>58.69</v>
      </c>
      <c r="U2416">
        <v>58.69</v>
      </c>
      <c r="V2416">
        <v>58.69</v>
      </c>
      <c r="Y2416">
        <v>89.99</v>
      </c>
      <c r="Z2416" t="s">
        <v>5922</v>
      </c>
    </row>
    <row r="2417" spans="1:26" x14ac:dyDescent="0.2">
      <c r="A2417" t="s">
        <v>4518</v>
      </c>
      <c r="B2417" t="s">
        <v>4521</v>
      </c>
      <c r="C2417" t="s">
        <v>4522</v>
      </c>
      <c r="D2417" t="s">
        <v>138</v>
      </c>
      <c r="E2417">
        <v>89.99</v>
      </c>
      <c r="F2417" t="s">
        <v>6914</v>
      </c>
      <c r="H2417">
        <v>50.86</v>
      </c>
      <c r="I2417">
        <v>62.6</v>
      </c>
      <c r="J2417">
        <v>62.6</v>
      </c>
      <c r="K2417">
        <v>62.6</v>
      </c>
      <c r="L2417" t="s">
        <v>5922</v>
      </c>
      <c r="M2417">
        <v>58.69</v>
      </c>
      <c r="N2417">
        <v>62.6</v>
      </c>
      <c r="O2417">
        <v>46.95</v>
      </c>
      <c r="P2417">
        <v>50.86</v>
      </c>
      <c r="Q2417">
        <v>54.78</v>
      </c>
      <c r="R2417">
        <v>50.86</v>
      </c>
      <c r="S2417">
        <v>58.69</v>
      </c>
      <c r="T2417">
        <v>50.86</v>
      </c>
      <c r="U2417">
        <v>58.69</v>
      </c>
      <c r="V2417">
        <v>58.69</v>
      </c>
      <c r="W2417">
        <v>62.6</v>
      </c>
      <c r="X2417">
        <v>62.6</v>
      </c>
      <c r="Y2417">
        <v>89.99</v>
      </c>
      <c r="Z2417" t="s">
        <v>5922</v>
      </c>
    </row>
    <row r="2418" spans="1:26" x14ac:dyDescent="0.2">
      <c r="A2418" t="s">
        <v>4518</v>
      </c>
      <c r="B2418" t="s">
        <v>4523</v>
      </c>
      <c r="C2418" t="s">
        <v>4524</v>
      </c>
      <c r="D2418" t="s">
        <v>105</v>
      </c>
      <c r="E2418">
        <v>89.99</v>
      </c>
      <c r="F2418" t="s">
        <v>6914</v>
      </c>
      <c r="H2418">
        <v>54.78</v>
      </c>
      <c r="I2418">
        <v>62.6</v>
      </c>
      <c r="J2418">
        <v>70.430000000000007</v>
      </c>
      <c r="K2418">
        <v>58.69</v>
      </c>
      <c r="L2418" t="s">
        <v>5922</v>
      </c>
      <c r="M2418">
        <v>58.69</v>
      </c>
      <c r="N2418">
        <v>62.6</v>
      </c>
      <c r="O2418">
        <v>46.95</v>
      </c>
      <c r="P2418">
        <v>50.86</v>
      </c>
      <c r="Q2418">
        <v>50.86</v>
      </c>
      <c r="R2418">
        <v>50.86</v>
      </c>
      <c r="S2418">
        <v>58.69</v>
      </c>
      <c r="T2418">
        <v>50.86</v>
      </c>
      <c r="U2418">
        <v>58.69</v>
      </c>
      <c r="V2418">
        <v>62.6</v>
      </c>
      <c r="W2418">
        <v>62.6</v>
      </c>
      <c r="X2418">
        <v>62.6</v>
      </c>
      <c r="Y2418">
        <v>89.99</v>
      </c>
      <c r="Z2418" t="s">
        <v>5922</v>
      </c>
    </row>
    <row r="2419" spans="1:26" x14ac:dyDescent="0.2">
      <c r="A2419" t="s">
        <v>4518</v>
      </c>
      <c r="B2419" t="s">
        <v>4525</v>
      </c>
      <c r="C2419" t="s">
        <v>4526</v>
      </c>
      <c r="D2419" t="s">
        <v>105</v>
      </c>
      <c r="E2419">
        <v>89.99</v>
      </c>
      <c r="F2419" t="s">
        <v>6914</v>
      </c>
      <c r="H2419">
        <v>54.78</v>
      </c>
      <c r="I2419">
        <v>62.6</v>
      </c>
      <c r="J2419">
        <v>70.430000000000007</v>
      </c>
      <c r="K2419">
        <v>58.69</v>
      </c>
      <c r="L2419" t="s">
        <v>5922</v>
      </c>
      <c r="M2419">
        <v>58.69</v>
      </c>
      <c r="N2419">
        <v>62.6</v>
      </c>
      <c r="O2419">
        <v>46.95</v>
      </c>
      <c r="P2419">
        <v>50.86</v>
      </c>
      <c r="Q2419">
        <v>50.86</v>
      </c>
      <c r="R2419">
        <v>50.86</v>
      </c>
      <c r="S2419">
        <v>58.69</v>
      </c>
      <c r="T2419">
        <v>50.86</v>
      </c>
      <c r="U2419">
        <v>58.69</v>
      </c>
      <c r="V2419">
        <v>62.6</v>
      </c>
      <c r="W2419">
        <v>62.6</v>
      </c>
      <c r="X2419">
        <v>62.6</v>
      </c>
      <c r="Y2419">
        <v>89.99</v>
      </c>
      <c r="Z2419" t="s">
        <v>5922</v>
      </c>
    </row>
    <row r="2420" spans="1:26" x14ac:dyDescent="0.2">
      <c r="A2420" t="s">
        <v>4518</v>
      </c>
      <c r="B2420" t="s">
        <v>4527</v>
      </c>
      <c r="C2420" t="s">
        <v>4528</v>
      </c>
      <c r="D2420" t="s">
        <v>138</v>
      </c>
      <c r="E2420">
        <v>89.99</v>
      </c>
      <c r="F2420" t="s">
        <v>6914</v>
      </c>
      <c r="L2420" t="s">
        <v>5922</v>
      </c>
      <c r="S2420">
        <v>58.69</v>
      </c>
      <c r="Z2420" t="s">
        <v>5922</v>
      </c>
    </row>
    <row r="2421" spans="1:26" x14ac:dyDescent="0.2">
      <c r="A2421" t="s">
        <v>4518</v>
      </c>
      <c r="B2421" t="s">
        <v>7446</v>
      </c>
      <c r="C2421" t="s">
        <v>7447</v>
      </c>
      <c r="D2421" t="s">
        <v>105</v>
      </c>
      <c r="E2421">
        <v>89.99</v>
      </c>
      <c r="F2421" t="s">
        <v>6914</v>
      </c>
      <c r="L2421" t="s">
        <v>5922</v>
      </c>
      <c r="P2421">
        <v>50.86</v>
      </c>
      <c r="Z2421" t="s">
        <v>5922</v>
      </c>
    </row>
    <row r="2422" spans="1:26" x14ac:dyDescent="0.2">
      <c r="A2422" t="s">
        <v>4518</v>
      </c>
      <c r="B2422" t="s">
        <v>4529</v>
      </c>
      <c r="C2422" t="s">
        <v>4530</v>
      </c>
      <c r="D2422" t="s">
        <v>105</v>
      </c>
      <c r="E2422">
        <v>89.99</v>
      </c>
      <c r="F2422" t="s">
        <v>6914</v>
      </c>
      <c r="H2422">
        <v>54.78</v>
      </c>
      <c r="I2422">
        <v>62.6</v>
      </c>
      <c r="J2422">
        <v>70.430000000000007</v>
      </c>
      <c r="K2422">
        <v>58.69</v>
      </c>
      <c r="L2422" t="s">
        <v>5922</v>
      </c>
      <c r="M2422">
        <v>58.69</v>
      </c>
      <c r="N2422">
        <v>62.6</v>
      </c>
      <c r="O2422">
        <v>46.95</v>
      </c>
      <c r="P2422">
        <v>50.86</v>
      </c>
      <c r="Q2422">
        <v>50.86</v>
      </c>
      <c r="R2422">
        <v>50.86</v>
      </c>
      <c r="S2422">
        <v>58.69</v>
      </c>
      <c r="T2422">
        <v>50.86</v>
      </c>
      <c r="U2422">
        <v>58.69</v>
      </c>
      <c r="V2422">
        <v>62.6</v>
      </c>
      <c r="W2422">
        <v>62.6</v>
      </c>
      <c r="X2422">
        <v>62.6</v>
      </c>
      <c r="Y2422">
        <v>89.99</v>
      </c>
      <c r="Z2422" t="s">
        <v>5922</v>
      </c>
    </row>
    <row r="2423" spans="1:26" x14ac:dyDescent="0.2">
      <c r="A2423" t="s">
        <v>4518</v>
      </c>
      <c r="B2423" t="s">
        <v>4531</v>
      </c>
      <c r="C2423" t="s">
        <v>4532</v>
      </c>
      <c r="D2423" t="s">
        <v>105</v>
      </c>
      <c r="E2423">
        <v>119.99</v>
      </c>
      <c r="F2423" t="s">
        <v>6905</v>
      </c>
      <c r="H2423">
        <v>73.040000000000006</v>
      </c>
      <c r="I2423">
        <v>83.47</v>
      </c>
      <c r="J2423">
        <v>93.91</v>
      </c>
      <c r="K2423">
        <v>78.25</v>
      </c>
      <c r="L2423" t="s">
        <v>5922</v>
      </c>
      <c r="M2423">
        <v>78.25</v>
      </c>
      <c r="N2423">
        <v>83.47</v>
      </c>
      <c r="O2423">
        <v>62.6</v>
      </c>
      <c r="P2423">
        <v>67.819999999999993</v>
      </c>
      <c r="Q2423">
        <v>67.819999999999993</v>
      </c>
      <c r="R2423">
        <v>67.819999999999993</v>
      </c>
      <c r="S2423">
        <v>78.25</v>
      </c>
      <c r="T2423">
        <v>67.819999999999993</v>
      </c>
      <c r="U2423">
        <v>78.25</v>
      </c>
      <c r="V2423">
        <v>83.47</v>
      </c>
      <c r="W2423">
        <v>83.47</v>
      </c>
      <c r="X2423">
        <v>83.47</v>
      </c>
      <c r="Y2423">
        <v>119.99</v>
      </c>
      <c r="Z2423" t="s">
        <v>5922</v>
      </c>
    </row>
    <row r="2424" spans="1:26" x14ac:dyDescent="0.2">
      <c r="A2424" t="s">
        <v>4518</v>
      </c>
      <c r="B2424" t="s">
        <v>4533</v>
      </c>
      <c r="C2424" t="s">
        <v>4534</v>
      </c>
      <c r="D2424" t="s">
        <v>138</v>
      </c>
      <c r="E2424">
        <v>119.99</v>
      </c>
      <c r="F2424" t="s">
        <v>6905</v>
      </c>
      <c r="H2424">
        <v>67.819999999999993</v>
      </c>
      <c r="I2424">
        <v>83.47</v>
      </c>
      <c r="J2424">
        <v>83.47</v>
      </c>
      <c r="K2424">
        <v>83.47</v>
      </c>
      <c r="L2424" t="s">
        <v>5922</v>
      </c>
      <c r="M2424">
        <v>78.25</v>
      </c>
      <c r="N2424">
        <v>83.47</v>
      </c>
      <c r="O2424">
        <v>62.6</v>
      </c>
      <c r="P2424">
        <v>67.819999999999993</v>
      </c>
      <c r="Q2424">
        <v>73.040000000000006</v>
      </c>
      <c r="R2424">
        <v>67.819999999999993</v>
      </c>
      <c r="S2424">
        <v>78.25</v>
      </c>
      <c r="U2424">
        <v>78.25</v>
      </c>
      <c r="W2424">
        <v>83.47</v>
      </c>
      <c r="X2424">
        <v>83.47</v>
      </c>
      <c r="Z2424" t="s">
        <v>5922</v>
      </c>
    </row>
    <row r="2425" spans="1:26" x14ac:dyDescent="0.2">
      <c r="A2425" t="s">
        <v>4518</v>
      </c>
      <c r="B2425" t="s">
        <v>4535</v>
      </c>
      <c r="C2425" t="s">
        <v>4536</v>
      </c>
      <c r="D2425" t="s">
        <v>105</v>
      </c>
      <c r="E2425">
        <v>69.989999999999995</v>
      </c>
      <c r="F2425" t="s">
        <v>6890</v>
      </c>
      <c r="G2425">
        <v>69.989999999999995</v>
      </c>
      <c r="H2425">
        <v>39.56</v>
      </c>
      <c r="K2425">
        <v>48.69</v>
      </c>
      <c r="L2425" t="s">
        <v>5922</v>
      </c>
      <c r="M2425">
        <v>45.65</v>
      </c>
      <c r="N2425">
        <v>45.65</v>
      </c>
      <c r="O2425">
        <v>36.520000000000003</v>
      </c>
      <c r="P2425">
        <v>39.56</v>
      </c>
      <c r="Q2425">
        <v>39.56</v>
      </c>
      <c r="R2425">
        <v>39.56</v>
      </c>
      <c r="S2425">
        <v>45.65</v>
      </c>
      <c r="T2425">
        <v>39.56</v>
      </c>
      <c r="U2425">
        <v>48.69</v>
      </c>
      <c r="V2425">
        <v>51.73</v>
      </c>
      <c r="W2425">
        <v>51.73</v>
      </c>
      <c r="X2425">
        <v>48.69</v>
      </c>
      <c r="Y2425">
        <v>69.989999999999995</v>
      </c>
      <c r="Z2425" t="s">
        <v>5922</v>
      </c>
    </row>
    <row r="2426" spans="1:26" x14ac:dyDescent="0.2">
      <c r="A2426" t="s">
        <v>4518</v>
      </c>
      <c r="B2426" t="s">
        <v>4537</v>
      </c>
      <c r="C2426" t="s">
        <v>4538</v>
      </c>
      <c r="D2426" t="s">
        <v>138</v>
      </c>
      <c r="E2426">
        <v>69.989999999999995</v>
      </c>
      <c r="F2426" t="s">
        <v>6890</v>
      </c>
      <c r="L2426" t="s">
        <v>5922</v>
      </c>
      <c r="S2426">
        <v>45.65</v>
      </c>
      <c r="Z2426" t="s">
        <v>5922</v>
      </c>
    </row>
    <row r="2427" spans="1:26" x14ac:dyDescent="0.2">
      <c r="A2427" t="s">
        <v>4518</v>
      </c>
      <c r="B2427" t="s">
        <v>4539</v>
      </c>
      <c r="C2427" t="s">
        <v>4540</v>
      </c>
      <c r="D2427" t="s">
        <v>98</v>
      </c>
      <c r="E2427">
        <v>59.99</v>
      </c>
      <c r="F2427" t="s">
        <v>5922</v>
      </c>
      <c r="G2427">
        <v>59.99</v>
      </c>
      <c r="H2427">
        <v>33.909999999999997</v>
      </c>
      <c r="I2427">
        <v>41.73</v>
      </c>
      <c r="J2427">
        <v>41.73</v>
      </c>
      <c r="K2427">
        <v>41.73</v>
      </c>
      <c r="L2427" t="s">
        <v>5922</v>
      </c>
      <c r="M2427">
        <v>41.73</v>
      </c>
      <c r="N2427">
        <v>39.119999999999997</v>
      </c>
      <c r="O2427">
        <v>31.3</v>
      </c>
      <c r="P2427">
        <v>33.909999999999997</v>
      </c>
      <c r="Q2427">
        <v>33.909999999999997</v>
      </c>
      <c r="R2427">
        <v>33.909999999999997</v>
      </c>
      <c r="S2427">
        <v>36.520000000000003</v>
      </c>
      <c r="T2427">
        <v>33.909999999999997</v>
      </c>
      <c r="U2427">
        <v>36.520000000000003</v>
      </c>
      <c r="V2427">
        <v>33.909999999999997</v>
      </c>
      <c r="W2427">
        <v>39.119999999999997</v>
      </c>
      <c r="X2427">
        <v>41.73</v>
      </c>
      <c r="Y2427">
        <v>59.99</v>
      </c>
      <c r="Z2427" t="s">
        <v>5922</v>
      </c>
    </row>
    <row r="2428" spans="1:26" x14ac:dyDescent="0.2">
      <c r="A2428" t="s">
        <v>4518</v>
      </c>
      <c r="B2428" t="s">
        <v>4541</v>
      </c>
      <c r="C2428" t="s">
        <v>4542</v>
      </c>
      <c r="D2428" t="s">
        <v>138</v>
      </c>
      <c r="E2428">
        <v>189.99</v>
      </c>
      <c r="F2428" t="s">
        <v>6976</v>
      </c>
      <c r="H2428">
        <v>115.65</v>
      </c>
      <c r="I2428">
        <v>132.16999999999999</v>
      </c>
      <c r="J2428">
        <v>148.69</v>
      </c>
      <c r="K2428">
        <v>132.16999999999999</v>
      </c>
      <c r="L2428" t="s">
        <v>5922</v>
      </c>
      <c r="M2428">
        <v>128.04</v>
      </c>
      <c r="N2428">
        <v>132.16999999999999</v>
      </c>
      <c r="O2428">
        <v>115.65</v>
      </c>
      <c r="P2428">
        <v>110.69</v>
      </c>
      <c r="Q2428">
        <v>115.65</v>
      </c>
      <c r="R2428">
        <v>115.65</v>
      </c>
      <c r="S2428">
        <v>132.16999999999999</v>
      </c>
      <c r="T2428">
        <v>115.65</v>
      </c>
      <c r="U2428">
        <v>132.16999999999999</v>
      </c>
      <c r="W2428">
        <v>140.43</v>
      </c>
      <c r="X2428">
        <v>132.16999999999999</v>
      </c>
      <c r="Y2428">
        <v>189.99</v>
      </c>
      <c r="Z2428" t="s">
        <v>5922</v>
      </c>
    </row>
    <row r="2429" spans="1:26" x14ac:dyDescent="0.2">
      <c r="A2429" t="s">
        <v>4518</v>
      </c>
      <c r="B2429" t="s">
        <v>4543</v>
      </c>
      <c r="C2429" t="s">
        <v>4544</v>
      </c>
      <c r="D2429" t="s">
        <v>138</v>
      </c>
      <c r="E2429">
        <v>99.99</v>
      </c>
      <c r="F2429" t="s">
        <v>6903</v>
      </c>
      <c r="L2429" t="s">
        <v>5922</v>
      </c>
      <c r="S2429">
        <v>80</v>
      </c>
      <c r="Z2429" t="s">
        <v>5922</v>
      </c>
    </row>
    <row r="2430" spans="1:26" x14ac:dyDescent="0.2">
      <c r="A2430" t="s">
        <v>4518</v>
      </c>
      <c r="B2430" t="s">
        <v>4545</v>
      </c>
      <c r="C2430" t="s">
        <v>4546</v>
      </c>
      <c r="D2430" t="s">
        <v>138</v>
      </c>
      <c r="E2430">
        <v>189.99</v>
      </c>
      <c r="F2430" t="s">
        <v>6976</v>
      </c>
      <c r="H2430">
        <v>115.65</v>
      </c>
      <c r="I2430">
        <v>132.16999999999999</v>
      </c>
      <c r="J2430">
        <v>148.69</v>
      </c>
      <c r="K2430">
        <v>132.16999999999999</v>
      </c>
      <c r="L2430" t="s">
        <v>5922</v>
      </c>
      <c r="M2430">
        <v>128.04</v>
      </c>
      <c r="N2430">
        <v>132.16999999999999</v>
      </c>
      <c r="O2430">
        <v>115.65</v>
      </c>
      <c r="P2430">
        <v>110.69</v>
      </c>
      <c r="Q2430">
        <v>115.65</v>
      </c>
      <c r="R2430">
        <v>115.65</v>
      </c>
      <c r="S2430">
        <v>132.16999999999999</v>
      </c>
      <c r="T2430">
        <v>115.65</v>
      </c>
      <c r="U2430">
        <v>132.16999999999999</v>
      </c>
      <c r="W2430">
        <v>140.43</v>
      </c>
      <c r="X2430">
        <v>132.16999999999999</v>
      </c>
      <c r="Y2430">
        <v>189.99</v>
      </c>
      <c r="Z2430" t="s">
        <v>5922</v>
      </c>
    </row>
    <row r="2431" spans="1:26" x14ac:dyDescent="0.2">
      <c r="A2431" t="s">
        <v>4518</v>
      </c>
      <c r="B2431" t="s">
        <v>4547</v>
      </c>
      <c r="C2431" t="s">
        <v>4548</v>
      </c>
      <c r="D2431" t="s">
        <v>138</v>
      </c>
      <c r="E2431">
        <v>189.99</v>
      </c>
      <c r="F2431" t="s">
        <v>6976</v>
      </c>
      <c r="H2431">
        <v>115.65</v>
      </c>
      <c r="I2431">
        <v>132.16999999999999</v>
      </c>
      <c r="J2431">
        <v>148.69</v>
      </c>
      <c r="K2431">
        <v>132.16999999999999</v>
      </c>
      <c r="L2431" t="s">
        <v>5922</v>
      </c>
      <c r="M2431">
        <v>128.04</v>
      </c>
      <c r="N2431">
        <v>132.16999999999999</v>
      </c>
      <c r="O2431">
        <v>115.65</v>
      </c>
      <c r="P2431">
        <v>110.69</v>
      </c>
      <c r="Q2431">
        <v>115.65</v>
      </c>
      <c r="R2431">
        <v>115.65</v>
      </c>
      <c r="S2431">
        <v>132.16999999999999</v>
      </c>
      <c r="T2431">
        <v>115.65</v>
      </c>
      <c r="U2431">
        <v>132.16999999999999</v>
      </c>
      <c r="W2431">
        <v>140.43</v>
      </c>
      <c r="X2431">
        <v>132.16999999999999</v>
      </c>
      <c r="Y2431">
        <v>189.99</v>
      </c>
      <c r="Z2431" t="s">
        <v>5922</v>
      </c>
    </row>
    <row r="2432" spans="1:26" x14ac:dyDescent="0.2">
      <c r="A2432" t="s">
        <v>4518</v>
      </c>
      <c r="B2432" t="s">
        <v>4549</v>
      </c>
      <c r="C2432" t="s">
        <v>4550</v>
      </c>
      <c r="D2432" t="s">
        <v>105</v>
      </c>
      <c r="E2432">
        <v>149.99</v>
      </c>
      <c r="F2432" t="s">
        <v>7022</v>
      </c>
      <c r="G2432">
        <v>149.99</v>
      </c>
      <c r="H2432">
        <v>91.3</v>
      </c>
      <c r="I2432">
        <v>104.34</v>
      </c>
      <c r="K2432">
        <v>97.82</v>
      </c>
      <c r="L2432" t="s">
        <v>5922</v>
      </c>
      <c r="M2432">
        <v>97.82</v>
      </c>
      <c r="N2432">
        <v>97.82</v>
      </c>
      <c r="P2432">
        <v>91.3</v>
      </c>
      <c r="Q2432">
        <v>84.78</v>
      </c>
      <c r="R2432">
        <v>84.78</v>
      </c>
      <c r="S2432">
        <v>97.82</v>
      </c>
      <c r="T2432">
        <v>84.78</v>
      </c>
      <c r="U2432">
        <v>91.3</v>
      </c>
      <c r="V2432">
        <v>97.82</v>
      </c>
      <c r="W2432">
        <v>97.82</v>
      </c>
      <c r="X2432">
        <v>104.34</v>
      </c>
      <c r="Y2432">
        <v>149.99</v>
      </c>
      <c r="Z2432" t="s">
        <v>5922</v>
      </c>
    </row>
    <row r="2433" spans="1:26" x14ac:dyDescent="0.2">
      <c r="A2433" t="s">
        <v>4518</v>
      </c>
      <c r="B2433" t="s">
        <v>4551</v>
      </c>
      <c r="C2433" t="s">
        <v>4552</v>
      </c>
      <c r="D2433" t="s">
        <v>105</v>
      </c>
      <c r="E2433">
        <v>149.99</v>
      </c>
      <c r="F2433" t="s">
        <v>7022</v>
      </c>
      <c r="G2433">
        <v>149.99</v>
      </c>
      <c r="H2433">
        <v>91.3</v>
      </c>
      <c r="I2433">
        <v>104.34</v>
      </c>
      <c r="K2433">
        <v>97.82</v>
      </c>
      <c r="L2433" t="s">
        <v>5922</v>
      </c>
      <c r="M2433">
        <v>97.82</v>
      </c>
      <c r="N2433">
        <v>97.82</v>
      </c>
      <c r="P2433">
        <v>91.3</v>
      </c>
      <c r="Q2433">
        <v>84.78</v>
      </c>
      <c r="R2433">
        <v>84.78</v>
      </c>
      <c r="S2433">
        <v>97.82</v>
      </c>
      <c r="T2433">
        <v>84.78</v>
      </c>
      <c r="U2433">
        <v>91.3</v>
      </c>
      <c r="V2433">
        <v>97.82</v>
      </c>
      <c r="W2433">
        <v>97.82</v>
      </c>
      <c r="X2433">
        <v>104.34</v>
      </c>
      <c r="Y2433">
        <v>149.99</v>
      </c>
      <c r="Z2433" t="s">
        <v>5922</v>
      </c>
    </row>
    <row r="2434" spans="1:26" x14ac:dyDescent="0.2">
      <c r="A2434" t="s">
        <v>4518</v>
      </c>
      <c r="B2434" t="s">
        <v>4553</v>
      </c>
      <c r="C2434" t="s">
        <v>4554</v>
      </c>
      <c r="D2434" t="s">
        <v>105</v>
      </c>
      <c r="E2434">
        <v>99.99</v>
      </c>
      <c r="F2434" t="s">
        <v>6903</v>
      </c>
      <c r="G2434">
        <v>99.99</v>
      </c>
      <c r="H2434">
        <v>56.52</v>
      </c>
      <c r="I2434">
        <v>69.56</v>
      </c>
      <c r="J2434">
        <v>69.56</v>
      </c>
      <c r="K2434">
        <v>65.209999999999994</v>
      </c>
      <c r="L2434" t="s">
        <v>5922</v>
      </c>
      <c r="M2434">
        <v>65.209999999999994</v>
      </c>
      <c r="N2434">
        <v>65.209999999999994</v>
      </c>
      <c r="O2434">
        <v>56.52</v>
      </c>
      <c r="P2434">
        <v>56.52</v>
      </c>
      <c r="Q2434">
        <v>56.52</v>
      </c>
      <c r="R2434">
        <v>56.52</v>
      </c>
      <c r="S2434">
        <v>65.209999999999994</v>
      </c>
      <c r="T2434">
        <v>56.52</v>
      </c>
      <c r="U2434">
        <v>60.86</v>
      </c>
      <c r="V2434">
        <v>65.209999999999994</v>
      </c>
      <c r="W2434">
        <v>65.209999999999994</v>
      </c>
      <c r="X2434">
        <v>69.56</v>
      </c>
      <c r="Y2434">
        <v>99.99</v>
      </c>
      <c r="Z2434" t="s">
        <v>5922</v>
      </c>
    </row>
    <row r="2435" spans="1:26" x14ac:dyDescent="0.2">
      <c r="A2435" t="s">
        <v>4518</v>
      </c>
      <c r="B2435" t="s">
        <v>4555</v>
      </c>
      <c r="C2435" t="s">
        <v>4556</v>
      </c>
      <c r="D2435" t="s">
        <v>105</v>
      </c>
      <c r="E2435">
        <v>99.99</v>
      </c>
      <c r="F2435" t="s">
        <v>6903</v>
      </c>
      <c r="G2435">
        <v>99.99</v>
      </c>
      <c r="H2435">
        <v>56.52</v>
      </c>
      <c r="I2435">
        <v>69.56</v>
      </c>
      <c r="J2435">
        <v>69.56</v>
      </c>
      <c r="K2435">
        <v>65.209999999999994</v>
      </c>
      <c r="L2435" t="s">
        <v>5922</v>
      </c>
      <c r="M2435">
        <v>65.209999999999994</v>
      </c>
      <c r="N2435">
        <v>65.209999999999994</v>
      </c>
      <c r="O2435">
        <v>56.52</v>
      </c>
      <c r="P2435">
        <v>56.52</v>
      </c>
      <c r="Q2435">
        <v>56.52</v>
      </c>
      <c r="R2435">
        <v>56.52</v>
      </c>
      <c r="S2435">
        <v>65.209999999999994</v>
      </c>
      <c r="T2435">
        <v>56.52</v>
      </c>
      <c r="U2435">
        <v>60.86</v>
      </c>
      <c r="V2435">
        <v>65.209999999999994</v>
      </c>
      <c r="W2435">
        <v>65.209999999999994</v>
      </c>
      <c r="X2435">
        <v>69.56</v>
      </c>
      <c r="Y2435">
        <v>99.99</v>
      </c>
      <c r="Z2435" t="s">
        <v>5922</v>
      </c>
    </row>
    <row r="2436" spans="1:26" x14ac:dyDescent="0.2">
      <c r="A2436" t="s">
        <v>4518</v>
      </c>
      <c r="B2436" t="s">
        <v>4557</v>
      </c>
      <c r="C2436" t="s">
        <v>4558</v>
      </c>
      <c r="D2436" t="s">
        <v>105</v>
      </c>
      <c r="E2436">
        <v>99.99</v>
      </c>
      <c r="F2436" t="s">
        <v>6903</v>
      </c>
      <c r="H2436">
        <v>60.86</v>
      </c>
      <c r="I2436">
        <v>69.56</v>
      </c>
      <c r="J2436">
        <v>78.25</v>
      </c>
      <c r="K2436">
        <v>60.86</v>
      </c>
      <c r="L2436" t="s">
        <v>5922</v>
      </c>
      <c r="M2436">
        <v>65.209999999999994</v>
      </c>
      <c r="N2436">
        <v>69.56</v>
      </c>
      <c r="P2436">
        <v>54.78</v>
      </c>
      <c r="Q2436">
        <v>52.17</v>
      </c>
      <c r="R2436">
        <v>52.17</v>
      </c>
      <c r="S2436">
        <v>67.73</v>
      </c>
      <c r="U2436">
        <v>69.56</v>
      </c>
      <c r="W2436">
        <v>69.56</v>
      </c>
      <c r="X2436">
        <v>69.56</v>
      </c>
      <c r="Y2436">
        <v>99.99</v>
      </c>
      <c r="Z2436" t="s">
        <v>5922</v>
      </c>
    </row>
    <row r="2437" spans="1:26" x14ac:dyDescent="0.2">
      <c r="A2437" t="s">
        <v>4518</v>
      </c>
      <c r="B2437" t="s">
        <v>4559</v>
      </c>
      <c r="C2437" t="s">
        <v>4560</v>
      </c>
      <c r="D2437" t="s">
        <v>138</v>
      </c>
      <c r="E2437">
        <v>79.989999999999995</v>
      </c>
      <c r="F2437" t="s">
        <v>6934</v>
      </c>
      <c r="H2437">
        <v>48.69</v>
      </c>
      <c r="I2437">
        <v>55.65</v>
      </c>
      <c r="J2437">
        <v>62.6</v>
      </c>
      <c r="K2437">
        <v>48.69</v>
      </c>
      <c r="L2437" t="s">
        <v>5922</v>
      </c>
      <c r="M2437">
        <v>45.21</v>
      </c>
      <c r="N2437">
        <v>48.69</v>
      </c>
      <c r="P2437">
        <v>38.26</v>
      </c>
      <c r="Q2437">
        <v>41.73</v>
      </c>
      <c r="R2437">
        <v>41.73</v>
      </c>
      <c r="S2437">
        <v>45.21</v>
      </c>
      <c r="U2437">
        <v>55.65</v>
      </c>
      <c r="W2437">
        <v>52.17</v>
      </c>
      <c r="X2437">
        <v>55.65</v>
      </c>
      <c r="Y2437">
        <v>79.989999999999995</v>
      </c>
      <c r="Z2437" t="s">
        <v>5922</v>
      </c>
    </row>
    <row r="2438" spans="1:26" x14ac:dyDescent="0.2">
      <c r="A2438" t="s">
        <v>4518</v>
      </c>
      <c r="B2438" t="s">
        <v>4561</v>
      </c>
      <c r="C2438" t="s">
        <v>4562</v>
      </c>
      <c r="D2438" t="s">
        <v>138</v>
      </c>
      <c r="E2438">
        <v>79.989999999999995</v>
      </c>
      <c r="F2438" t="s">
        <v>6934</v>
      </c>
      <c r="H2438">
        <v>48.69</v>
      </c>
      <c r="I2438">
        <v>55.65</v>
      </c>
      <c r="J2438">
        <v>62.6</v>
      </c>
      <c r="K2438">
        <v>48.69</v>
      </c>
      <c r="L2438" t="s">
        <v>5922</v>
      </c>
      <c r="M2438">
        <v>45.21</v>
      </c>
      <c r="N2438">
        <v>48.69</v>
      </c>
      <c r="P2438">
        <v>38.26</v>
      </c>
      <c r="Q2438">
        <v>41.73</v>
      </c>
      <c r="R2438">
        <v>41.73</v>
      </c>
      <c r="S2438">
        <v>45.21</v>
      </c>
      <c r="U2438">
        <v>55.65</v>
      </c>
      <c r="W2438">
        <v>52.17</v>
      </c>
      <c r="X2438">
        <v>55.65</v>
      </c>
      <c r="Y2438">
        <v>79.989999999999995</v>
      </c>
      <c r="Z2438" t="s">
        <v>5922</v>
      </c>
    </row>
    <row r="2439" spans="1:26" x14ac:dyDescent="0.2">
      <c r="A2439" t="s">
        <v>4518</v>
      </c>
      <c r="B2439" t="s">
        <v>4563</v>
      </c>
      <c r="C2439" t="s">
        <v>4564</v>
      </c>
      <c r="D2439" t="s">
        <v>105</v>
      </c>
      <c r="E2439">
        <v>69.989999999999995</v>
      </c>
      <c r="F2439" t="s">
        <v>6890</v>
      </c>
      <c r="H2439">
        <v>42.6</v>
      </c>
      <c r="I2439">
        <v>48.69</v>
      </c>
      <c r="J2439">
        <v>54.77</v>
      </c>
      <c r="K2439">
        <v>42.6</v>
      </c>
      <c r="L2439" t="s">
        <v>5922</v>
      </c>
      <c r="M2439">
        <v>42.6</v>
      </c>
      <c r="N2439">
        <v>45.65</v>
      </c>
      <c r="P2439">
        <v>38.340000000000003</v>
      </c>
      <c r="Q2439">
        <v>36.520000000000003</v>
      </c>
      <c r="R2439">
        <v>36.520000000000003</v>
      </c>
      <c r="S2439">
        <v>44.12</v>
      </c>
      <c r="U2439">
        <v>48.69</v>
      </c>
      <c r="W2439">
        <v>48.69</v>
      </c>
      <c r="X2439">
        <v>48.69</v>
      </c>
      <c r="Y2439">
        <v>69.989999999999995</v>
      </c>
      <c r="Z2439" t="s">
        <v>5922</v>
      </c>
    </row>
    <row r="2440" spans="1:26" x14ac:dyDescent="0.2">
      <c r="A2440" t="s">
        <v>4518</v>
      </c>
      <c r="B2440" t="s">
        <v>4565</v>
      </c>
      <c r="C2440" t="s">
        <v>4566</v>
      </c>
      <c r="D2440" t="s">
        <v>138</v>
      </c>
      <c r="E2440">
        <v>159.99</v>
      </c>
      <c r="F2440" t="s">
        <v>5922</v>
      </c>
      <c r="G2440">
        <v>159.99</v>
      </c>
      <c r="H2440">
        <v>90.43</v>
      </c>
      <c r="I2440">
        <v>111.3</v>
      </c>
      <c r="J2440">
        <v>111.3</v>
      </c>
      <c r="K2440">
        <v>104.34</v>
      </c>
      <c r="L2440" t="s">
        <v>5922</v>
      </c>
      <c r="M2440">
        <v>104.34</v>
      </c>
      <c r="N2440">
        <v>104.34</v>
      </c>
      <c r="O2440">
        <v>90.43</v>
      </c>
      <c r="P2440">
        <v>90.43</v>
      </c>
      <c r="Q2440">
        <v>90.43</v>
      </c>
      <c r="R2440">
        <v>90.43</v>
      </c>
      <c r="S2440">
        <v>104.34</v>
      </c>
      <c r="T2440">
        <v>90.43</v>
      </c>
      <c r="U2440">
        <v>97.39</v>
      </c>
      <c r="V2440">
        <v>104.34</v>
      </c>
      <c r="W2440">
        <v>104.34</v>
      </c>
      <c r="X2440">
        <v>111.3</v>
      </c>
      <c r="Y2440">
        <v>159.99</v>
      </c>
      <c r="Z2440" t="s">
        <v>5922</v>
      </c>
    </row>
    <row r="2441" spans="1:26" x14ac:dyDescent="0.2">
      <c r="A2441" t="s">
        <v>4518</v>
      </c>
      <c r="B2441" t="s">
        <v>4567</v>
      </c>
      <c r="C2441" t="s">
        <v>4568</v>
      </c>
      <c r="D2441" t="s">
        <v>138</v>
      </c>
      <c r="E2441">
        <v>89.99</v>
      </c>
      <c r="F2441" t="s">
        <v>6914</v>
      </c>
      <c r="G2441">
        <v>89.99</v>
      </c>
      <c r="H2441">
        <v>50.86</v>
      </c>
      <c r="I2441">
        <v>62.6</v>
      </c>
      <c r="J2441">
        <v>62.6</v>
      </c>
      <c r="K2441">
        <v>58.69</v>
      </c>
      <c r="L2441" t="s">
        <v>5922</v>
      </c>
      <c r="M2441">
        <v>58.69</v>
      </c>
      <c r="N2441">
        <v>58.69</v>
      </c>
      <c r="O2441">
        <v>46.95</v>
      </c>
      <c r="P2441">
        <v>50.86</v>
      </c>
      <c r="Q2441">
        <v>50.86</v>
      </c>
      <c r="R2441">
        <v>50.86</v>
      </c>
      <c r="S2441">
        <v>62.6</v>
      </c>
      <c r="U2441">
        <v>54.78</v>
      </c>
      <c r="V2441">
        <v>58.69</v>
      </c>
      <c r="W2441">
        <v>58.69</v>
      </c>
      <c r="X2441">
        <v>62.6</v>
      </c>
      <c r="Y2441">
        <v>89.99</v>
      </c>
      <c r="Z2441" t="s">
        <v>5922</v>
      </c>
    </row>
    <row r="2442" spans="1:26" x14ac:dyDescent="0.2">
      <c r="A2442" t="s">
        <v>4518</v>
      </c>
      <c r="B2442" t="s">
        <v>4569</v>
      </c>
      <c r="C2442" t="s">
        <v>4570</v>
      </c>
      <c r="D2442" t="s">
        <v>138</v>
      </c>
      <c r="E2442">
        <v>79.989999999999995</v>
      </c>
      <c r="F2442" t="s">
        <v>5922</v>
      </c>
      <c r="G2442">
        <v>63.99</v>
      </c>
      <c r="H2442">
        <v>45.21</v>
      </c>
      <c r="I2442">
        <v>55.65</v>
      </c>
      <c r="J2442">
        <v>45.18</v>
      </c>
      <c r="K2442">
        <v>59.12</v>
      </c>
      <c r="L2442" t="s">
        <v>5922</v>
      </c>
      <c r="M2442">
        <v>55.65</v>
      </c>
      <c r="N2442">
        <v>55.65</v>
      </c>
      <c r="O2442">
        <v>36.71</v>
      </c>
      <c r="P2442">
        <v>45.21</v>
      </c>
      <c r="Q2442">
        <v>45.21</v>
      </c>
      <c r="R2442">
        <v>45.21</v>
      </c>
      <c r="S2442">
        <v>55.65</v>
      </c>
      <c r="T2442">
        <v>45.21</v>
      </c>
      <c r="U2442">
        <v>55.65</v>
      </c>
      <c r="V2442">
        <v>59.12</v>
      </c>
      <c r="W2442">
        <v>59.12</v>
      </c>
      <c r="X2442">
        <v>55.65</v>
      </c>
      <c r="Y2442">
        <v>79.989999999999995</v>
      </c>
      <c r="Z2442" t="s">
        <v>5922</v>
      </c>
    </row>
    <row r="2443" spans="1:26" x14ac:dyDescent="0.2">
      <c r="A2443" t="s">
        <v>4518</v>
      </c>
      <c r="B2443" t="s">
        <v>4571</v>
      </c>
      <c r="C2443" t="s">
        <v>4572</v>
      </c>
      <c r="D2443" t="s">
        <v>105</v>
      </c>
      <c r="E2443">
        <v>159.99</v>
      </c>
      <c r="F2443" t="s">
        <v>6970</v>
      </c>
      <c r="H2443">
        <v>97.39</v>
      </c>
      <c r="I2443">
        <v>111.3</v>
      </c>
      <c r="J2443">
        <v>125.21</v>
      </c>
      <c r="K2443">
        <v>111.3</v>
      </c>
      <c r="L2443" t="s">
        <v>5922</v>
      </c>
      <c r="M2443">
        <v>107.82</v>
      </c>
      <c r="N2443">
        <v>111.3</v>
      </c>
      <c r="O2443">
        <v>97.39</v>
      </c>
      <c r="P2443">
        <v>93.21</v>
      </c>
      <c r="Q2443">
        <v>97.39</v>
      </c>
      <c r="R2443">
        <v>97.39</v>
      </c>
      <c r="S2443">
        <v>111.3</v>
      </c>
      <c r="T2443">
        <v>97.39</v>
      </c>
      <c r="U2443">
        <v>111.3</v>
      </c>
      <c r="W2443">
        <v>118.25</v>
      </c>
      <c r="X2443">
        <v>111.3</v>
      </c>
      <c r="Y2443">
        <v>159.99</v>
      </c>
      <c r="Z2443" t="s">
        <v>5922</v>
      </c>
    </row>
    <row r="2444" spans="1:26" x14ac:dyDescent="0.2">
      <c r="A2444" t="s">
        <v>4518</v>
      </c>
      <c r="B2444" t="s">
        <v>4573</v>
      </c>
      <c r="C2444" t="s">
        <v>4574</v>
      </c>
      <c r="D2444" t="s">
        <v>105</v>
      </c>
      <c r="E2444">
        <v>159.99</v>
      </c>
      <c r="F2444" t="s">
        <v>6970</v>
      </c>
      <c r="H2444">
        <v>97.39</v>
      </c>
      <c r="I2444">
        <v>111.3</v>
      </c>
      <c r="J2444">
        <v>125.21</v>
      </c>
      <c r="K2444">
        <v>111.3</v>
      </c>
      <c r="L2444" t="s">
        <v>5922</v>
      </c>
      <c r="M2444">
        <v>107.82</v>
      </c>
      <c r="N2444">
        <v>111.3</v>
      </c>
      <c r="O2444">
        <v>97.39</v>
      </c>
      <c r="P2444">
        <v>93.21</v>
      </c>
      <c r="Q2444">
        <v>97.39</v>
      </c>
      <c r="R2444">
        <v>97.39</v>
      </c>
      <c r="S2444">
        <v>111.3</v>
      </c>
      <c r="T2444">
        <v>97.39</v>
      </c>
      <c r="U2444">
        <v>111.3</v>
      </c>
      <c r="W2444">
        <v>118.25</v>
      </c>
      <c r="X2444">
        <v>111.3</v>
      </c>
      <c r="Y2444">
        <v>159.99</v>
      </c>
      <c r="Z2444" t="s">
        <v>5922</v>
      </c>
    </row>
    <row r="2445" spans="1:26" x14ac:dyDescent="0.2">
      <c r="A2445" t="s">
        <v>4518</v>
      </c>
      <c r="B2445" t="s">
        <v>4575</v>
      </c>
      <c r="C2445" t="s">
        <v>4576</v>
      </c>
      <c r="D2445" t="s">
        <v>138</v>
      </c>
      <c r="E2445">
        <v>149.99</v>
      </c>
      <c r="F2445" t="s">
        <v>7022</v>
      </c>
      <c r="G2445">
        <v>149.99</v>
      </c>
      <c r="H2445">
        <v>91.3</v>
      </c>
      <c r="I2445">
        <v>104.34</v>
      </c>
      <c r="J2445">
        <v>104.34</v>
      </c>
      <c r="K2445">
        <v>97.82</v>
      </c>
      <c r="L2445" t="s">
        <v>5922</v>
      </c>
      <c r="M2445">
        <v>97.82</v>
      </c>
      <c r="N2445">
        <v>104.34</v>
      </c>
      <c r="P2445">
        <v>91.3</v>
      </c>
      <c r="Q2445">
        <v>84.78</v>
      </c>
      <c r="R2445">
        <v>84.78</v>
      </c>
      <c r="S2445">
        <v>104.34</v>
      </c>
      <c r="T2445">
        <v>84.78</v>
      </c>
      <c r="U2445">
        <v>91.3</v>
      </c>
      <c r="V2445">
        <v>107.39</v>
      </c>
      <c r="W2445">
        <v>97.82</v>
      </c>
      <c r="X2445">
        <v>104.34</v>
      </c>
      <c r="Y2445">
        <v>149.99</v>
      </c>
      <c r="Z2445" t="s">
        <v>5922</v>
      </c>
    </row>
    <row r="2446" spans="1:26" x14ac:dyDescent="0.2">
      <c r="A2446" t="s">
        <v>4518</v>
      </c>
      <c r="B2446" t="s">
        <v>4577</v>
      </c>
      <c r="C2446" t="s">
        <v>4578</v>
      </c>
      <c r="D2446" t="s">
        <v>98</v>
      </c>
      <c r="E2446">
        <v>149.99</v>
      </c>
      <c r="F2446" t="s">
        <v>5922</v>
      </c>
      <c r="G2446">
        <v>149.99</v>
      </c>
      <c r="H2446">
        <v>84.78</v>
      </c>
      <c r="I2446">
        <v>104.34</v>
      </c>
      <c r="J2446">
        <v>104.34</v>
      </c>
      <c r="K2446">
        <v>104.34</v>
      </c>
      <c r="L2446" t="s">
        <v>5922</v>
      </c>
      <c r="M2446">
        <v>104.34</v>
      </c>
      <c r="N2446">
        <v>104.34</v>
      </c>
      <c r="O2446">
        <v>78.260000000000005</v>
      </c>
      <c r="P2446">
        <v>84.78</v>
      </c>
      <c r="Q2446">
        <v>84.78</v>
      </c>
      <c r="R2446">
        <v>84.78</v>
      </c>
      <c r="S2446">
        <v>104.34</v>
      </c>
      <c r="T2446">
        <v>84.78</v>
      </c>
      <c r="U2446">
        <v>91.3</v>
      </c>
      <c r="V2446">
        <v>84.78</v>
      </c>
      <c r="W2446">
        <v>97.82</v>
      </c>
      <c r="X2446">
        <v>104.34</v>
      </c>
      <c r="Y2446">
        <v>149.99</v>
      </c>
      <c r="Z2446" t="s">
        <v>5922</v>
      </c>
    </row>
    <row r="2447" spans="1:26" x14ac:dyDescent="0.2">
      <c r="A2447" t="s">
        <v>4518</v>
      </c>
      <c r="B2447" t="s">
        <v>4579</v>
      </c>
      <c r="C2447" t="s">
        <v>4580</v>
      </c>
      <c r="D2447" t="s">
        <v>105</v>
      </c>
      <c r="E2447">
        <v>139.99</v>
      </c>
      <c r="F2447" t="s">
        <v>7085</v>
      </c>
      <c r="G2447">
        <v>139.99</v>
      </c>
      <c r="H2447">
        <v>85.21</v>
      </c>
      <c r="I2447">
        <v>97.38</v>
      </c>
      <c r="K2447">
        <v>91.3</v>
      </c>
      <c r="L2447" t="s">
        <v>5922</v>
      </c>
      <c r="M2447">
        <v>91.3</v>
      </c>
      <c r="N2447">
        <v>91.3</v>
      </c>
      <c r="P2447">
        <v>85.21</v>
      </c>
      <c r="Q2447">
        <v>79.12</v>
      </c>
      <c r="R2447">
        <v>79.12</v>
      </c>
      <c r="S2447">
        <v>91.3</v>
      </c>
      <c r="T2447">
        <v>79.12</v>
      </c>
      <c r="U2447">
        <v>85.21</v>
      </c>
      <c r="V2447">
        <v>91.3</v>
      </c>
      <c r="W2447">
        <v>91.3</v>
      </c>
      <c r="X2447">
        <v>97.38</v>
      </c>
      <c r="Y2447">
        <v>139.99</v>
      </c>
      <c r="Z2447" t="s">
        <v>5922</v>
      </c>
    </row>
    <row r="2448" spans="1:26" x14ac:dyDescent="0.2">
      <c r="A2448" t="s">
        <v>4518</v>
      </c>
      <c r="B2448" t="s">
        <v>4581</v>
      </c>
      <c r="C2448" t="s">
        <v>4582</v>
      </c>
      <c r="D2448" t="s">
        <v>138</v>
      </c>
      <c r="E2448">
        <v>249.99</v>
      </c>
      <c r="F2448" t="s">
        <v>7134</v>
      </c>
      <c r="G2448">
        <v>249.99</v>
      </c>
      <c r="H2448">
        <v>141.30000000000001</v>
      </c>
      <c r="I2448">
        <v>173.91</v>
      </c>
      <c r="K2448">
        <v>163.04</v>
      </c>
      <c r="L2448" t="s">
        <v>5922</v>
      </c>
      <c r="M2448">
        <v>173.91</v>
      </c>
      <c r="N2448">
        <v>169.56</v>
      </c>
      <c r="P2448">
        <v>160.86000000000001</v>
      </c>
      <c r="Q2448">
        <v>141.30000000000001</v>
      </c>
      <c r="R2448">
        <v>141.30000000000001</v>
      </c>
      <c r="S2448">
        <v>176.08</v>
      </c>
      <c r="T2448">
        <v>141.30000000000001</v>
      </c>
      <c r="U2448">
        <v>152.16999999999999</v>
      </c>
      <c r="V2448">
        <v>163.04</v>
      </c>
      <c r="W2448">
        <v>163.04</v>
      </c>
      <c r="X2448">
        <v>173.91</v>
      </c>
      <c r="Y2448">
        <v>249.99</v>
      </c>
      <c r="Z2448" t="s">
        <v>5922</v>
      </c>
    </row>
    <row r="2449" spans="1:26" x14ac:dyDescent="0.2">
      <c r="A2449" t="s">
        <v>4518</v>
      </c>
      <c r="B2449" t="s">
        <v>4585</v>
      </c>
      <c r="C2449" t="s">
        <v>4586</v>
      </c>
      <c r="D2449" t="s">
        <v>105</v>
      </c>
      <c r="E2449">
        <v>239.99</v>
      </c>
      <c r="F2449" t="s">
        <v>7279</v>
      </c>
      <c r="H2449">
        <v>146.08000000000001</v>
      </c>
      <c r="I2449">
        <v>166.95</v>
      </c>
      <c r="J2449">
        <v>187.82</v>
      </c>
      <c r="K2449">
        <v>146.08000000000001</v>
      </c>
      <c r="L2449" t="s">
        <v>5922</v>
      </c>
      <c r="M2449">
        <v>156.52000000000001</v>
      </c>
      <c r="O2449">
        <v>125.21</v>
      </c>
      <c r="P2449">
        <v>125.21</v>
      </c>
      <c r="Q2449">
        <v>125.21</v>
      </c>
      <c r="R2449">
        <v>125.21</v>
      </c>
      <c r="S2449">
        <v>156.52000000000001</v>
      </c>
      <c r="T2449">
        <v>125.21</v>
      </c>
      <c r="U2449">
        <v>156.52000000000001</v>
      </c>
      <c r="W2449">
        <v>166.95</v>
      </c>
      <c r="X2449">
        <v>166.95</v>
      </c>
      <c r="Y2449">
        <v>239.99</v>
      </c>
      <c r="Z2449" t="s">
        <v>5922</v>
      </c>
    </row>
    <row r="2450" spans="1:26" x14ac:dyDescent="0.2">
      <c r="A2450" t="s">
        <v>4518</v>
      </c>
      <c r="B2450" t="s">
        <v>4587</v>
      </c>
      <c r="C2450" t="s">
        <v>4588</v>
      </c>
      <c r="D2450" t="s">
        <v>138</v>
      </c>
      <c r="E2450">
        <v>149.99</v>
      </c>
      <c r="F2450" t="s">
        <v>7022</v>
      </c>
      <c r="H2450">
        <v>91.3</v>
      </c>
      <c r="I2450">
        <v>104.34</v>
      </c>
      <c r="J2450">
        <v>117.38</v>
      </c>
      <c r="K2450">
        <v>91.3</v>
      </c>
      <c r="L2450" t="s">
        <v>5922</v>
      </c>
      <c r="M2450">
        <v>97.82</v>
      </c>
      <c r="O2450">
        <v>78.260000000000005</v>
      </c>
      <c r="P2450">
        <v>78.260000000000005</v>
      </c>
      <c r="Q2450">
        <v>78.260000000000005</v>
      </c>
      <c r="R2450">
        <v>78.260000000000005</v>
      </c>
      <c r="S2450">
        <v>97.82</v>
      </c>
      <c r="T2450">
        <v>78.260000000000005</v>
      </c>
      <c r="U2450">
        <v>97.82</v>
      </c>
      <c r="W2450">
        <v>104.34</v>
      </c>
      <c r="X2450">
        <v>104.34</v>
      </c>
      <c r="Y2450">
        <v>149.99</v>
      </c>
      <c r="Z2450" t="s">
        <v>5922</v>
      </c>
    </row>
    <row r="2451" spans="1:26" x14ac:dyDescent="0.2">
      <c r="A2451" t="s">
        <v>4518</v>
      </c>
      <c r="B2451" t="s">
        <v>4589</v>
      </c>
      <c r="C2451" t="s">
        <v>4590</v>
      </c>
      <c r="D2451" t="s">
        <v>98</v>
      </c>
      <c r="E2451">
        <v>119.99</v>
      </c>
      <c r="F2451" t="s">
        <v>5922</v>
      </c>
      <c r="G2451">
        <v>95.99</v>
      </c>
      <c r="H2451">
        <v>67.819999999999993</v>
      </c>
      <c r="I2451">
        <v>83.47</v>
      </c>
      <c r="J2451">
        <v>69.56</v>
      </c>
      <c r="K2451">
        <v>69.56</v>
      </c>
      <c r="L2451" t="s">
        <v>5922</v>
      </c>
      <c r="M2451">
        <v>83.47</v>
      </c>
      <c r="N2451">
        <v>83.47</v>
      </c>
      <c r="O2451">
        <v>56.52</v>
      </c>
      <c r="P2451">
        <v>67.819999999999993</v>
      </c>
      <c r="Q2451">
        <v>67.819999999999993</v>
      </c>
      <c r="R2451">
        <v>67.819999999999993</v>
      </c>
      <c r="S2451">
        <v>83.47</v>
      </c>
      <c r="T2451">
        <v>67.819999999999993</v>
      </c>
      <c r="U2451">
        <v>60.86</v>
      </c>
      <c r="V2451">
        <v>78.25</v>
      </c>
      <c r="W2451">
        <v>78.25</v>
      </c>
      <c r="X2451">
        <v>83.47</v>
      </c>
      <c r="Y2451">
        <v>119.99</v>
      </c>
      <c r="Z2451" t="s">
        <v>5922</v>
      </c>
    </row>
    <row r="2452" spans="1:26" x14ac:dyDescent="0.2">
      <c r="A2452" t="s">
        <v>4518</v>
      </c>
      <c r="B2452" t="s">
        <v>4595</v>
      </c>
      <c r="C2452" t="s">
        <v>4596</v>
      </c>
      <c r="D2452" t="s">
        <v>98</v>
      </c>
      <c r="E2452">
        <v>179.99</v>
      </c>
      <c r="F2452" t="s">
        <v>5922</v>
      </c>
      <c r="G2452">
        <v>179.99</v>
      </c>
      <c r="H2452">
        <v>93.91</v>
      </c>
      <c r="I2452">
        <v>125.21</v>
      </c>
      <c r="J2452">
        <v>125.21</v>
      </c>
      <c r="K2452">
        <v>125.21</v>
      </c>
      <c r="L2452" t="s">
        <v>5922</v>
      </c>
      <c r="M2452">
        <v>117.38</v>
      </c>
      <c r="N2452">
        <v>117.38</v>
      </c>
      <c r="O2452">
        <v>101.73</v>
      </c>
      <c r="P2452">
        <v>101.73</v>
      </c>
      <c r="Q2452">
        <v>101.73</v>
      </c>
      <c r="R2452">
        <v>101.73</v>
      </c>
      <c r="S2452">
        <v>117.38</v>
      </c>
      <c r="T2452">
        <v>101.73</v>
      </c>
      <c r="U2452">
        <v>109.56</v>
      </c>
      <c r="V2452">
        <v>117.38</v>
      </c>
      <c r="W2452">
        <v>117.38</v>
      </c>
      <c r="X2452">
        <v>125.21</v>
      </c>
      <c r="Y2452">
        <v>179.99</v>
      </c>
      <c r="Z2452" t="s">
        <v>5922</v>
      </c>
    </row>
    <row r="2453" spans="1:26" x14ac:dyDescent="0.2">
      <c r="A2453" t="s">
        <v>4610</v>
      </c>
      <c r="B2453" t="s">
        <v>4611</v>
      </c>
      <c r="C2453" t="s">
        <v>4612</v>
      </c>
      <c r="D2453" t="s">
        <v>105</v>
      </c>
      <c r="E2453">
        <v>799</v>
      </c>
      <c r="F2453" t="s">
        <v>7047</v>
      </c>
      <c r="L2453" t="s">
        <v>5922</v>
      </c>
      <c r="N2453">
        <v>618.35</v>
      </c>
      <c r="S2453">
        <v>604.16</v>
      </c>
      <c r="Z2453" t="s">
        <v>5922</v>
      </c>
    </row>
    <row r="2454" spans="1:26" x14ac:dyDescent="0.2">
      <c r="A2454" t="s">
        <v>4610</v>
      </c>
      <c r="B2454" t="s">
        <v>4613</v>
      </c>
      <c r="C2454" t="s">
        <v>4614</v>
      </c>
      <c r="D2454" t="s">
        <v>105</v>
      </c>
      <c r="E2454">
        <v>699</v>
      </c>
      <c r="F2454" t="s">
        <v>6951</v>
      </c>
      <c r="L2454" t="s">
        <v>5922</v>
      </c>
      <c r="N2454">
        <v>540.96</v>
      </c>
      <c r="S2454">
        <v>528.54</v>
      </c>
      <c r="Z2454" t="s">
        <v>5922</v>
      </c>
    </row>
    <row r="2455" spans="1:26" x14ac:dyDescent="0.2">
      <c r="A2455" t="s">
        <v>4615</v>
      </c>
      <c r="B2455" t="s">
        <v>4616</v>
      </c>
      <c r="C2455" t="s">
        <v>4617</v>
      </c>
      <c r="D2455" t="s">
        <v>98</v>
      </c>
      <c r="E2455">
        <v>279.89999999999998</v>
      </c>
      <c r="F2455" t="s">
        <v>5922</v>
      </c>
      <c r="G2455">
        <v>279.89999999999998</v>
      </c>
      <c r="H2455">
        <v>206.88</v>
      </c>
      <c r="I2455">
        <v>219.05</v>
      </c>
      <c r="J2455">
        <v>194.71</v>
      </c>
      <c r="L2455" t="s">
        <v>5922</v>
      </c>
      <c r="M2455">
        <v>0</v>
      </c>
      <c r="N2455">
        <v>0</v>
      </c>
      <c r="O2455">
        <v>0</v>
      </c>
      <c r="P2455">
        <v>0</v>
      </c>
      <c r="Q2455">
        <v>206.88</v>
      </c>
      <c r="R2455">
        <v>206.88</v>
      </c>
      <c r="S2455">
        <v>0</v>
      </c>
      <c r="T2455">
        <v>0</v>
      </c>
      <c r="U2455">
        <v>210.58</v>
      </c>
      <c r="V2455">
        <v>206.88</v>
      </c>
      <c r="W2455">
        <v>235.35</v>
      </c>
      <c r="X2455">
        <v>210.58</v>
      </c>
      <c r="Y2455">
        <v>279.89999999999998</v>
      </c>
      <c r="Z2455" t="s">
        <v>5922</v>
      </c>
    </row>
    <row r="2456" spans="1:26" x14ac:dyDescent="0.2">
      <c r="A2456" t="s">
        <v>4615</v>
      </c>
      <c r="B2456" t="s">
        <v>4618</v>
      </c>
      <c r="C2456" t="s">
        <v>4619</v>
      </c>
      <c r="D2456" t="s">
        <v>98</v>
      </c>
      <c r="E2456">
        <v>279.89999999999998</v>
      </c>
      <c r="F2456" t="s">
        <v>5922</v>
      </c>
      <c r="G2456">
        <v>279.89999999999998</v>
      </c>
      <c r="H2456">
        <v>206.88</v>
      </c>
      <c r="I2456">
        <v>219.05</v>
      </c>
      <c r="J2456">
        <v>194.71</v>
      </c>
      <c r="L2456" t="s">
        <v>5922</v>
      </c>
      <c r="M2456">
        <v>0</v>
      </c>
      <c r="N2456">
        <v>0</v>
      </c>
      <c r="O2456">
        <v>0</v>
      </c>
      <c r="P2456">
        <v>0</v>
      </c>
      <c r="Q2456">
        <v>206.88</v>
      </c>
      <c r="R2456">
        <v>206.88</v>
      </c>
      <c r="S2456">
        <v>0</v>
      </c>
      <c r="T2456">
        <v>0</v>
      </c>
      <c r="U2456">
        <v>210.58</v>
      </c>
      <c r="V2456">
        <v>206.88</v>
      </c>
      <c r="W2456">
        <v>235.35</v>
      </c>
      <c r="X2456">
        <v>210.58</v>
      </c>
      <c r="Y2456">
        <v>279.89999999999998</v>
      </c>
      <c r="Z2456" t="s">
        <v>5922</v>
      </c>
    </row>
    <row r="2457" spans="1:26" x14ac:dyDescent="0.2">
      <c r="A2457" t="s">
        <v>4615</v>
      </c>
      <c r="B2457" t="s">
        <v>4620</v>
      </c>
      <c r="C2457" t="s">
        <v>4621</v>
      </c>
      <c r="D2457" t="s">
        <v>98</v>
      </c>
      <c r="E2457">
        <v>279.89999999999998</v>
      </c>
      <c r="F2457" t="s">
        <v>5922</v>
      </c>
      <c r="G2457">
        <v>243.39</v>
      </c>
      <c r="H2457">
        <v>206.88</v>
      </c>
      <c r="I2457">
        <v>219.05</v>
      </c>
      <c r="J2457">
        <v>194.71</v>
      </c>
      <c r="L2457" t="s">
        <v>5922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243.39</v>
      </c>
      <c r="S2457">
        <v>0</v>
      </c>
      <c r="T2457">
        <v>0</v>
      </c>
      <c r="U2457">
        <v>194.71</v>
      </c>
      <c r="V2457">
        <v>187.41</v>
      </c>
      <c r="W2457">
        <v>219.05</v>
      </c>
      <c r="X2457">
        <v>194.71</v>
      </c>
      <c r="Y2457">
        <v>219</v>
      </c>
      <c r="Z2457" t="s">
        <v>5922</v>
      </c>
    </row>
    <row r="2458" spans="1:26" x14ac:dyDescent="0.2">
      <c r="A2458" t="s">
        <v>4615</v>
      </c>
      <c r="B2458" t="s">
        <v>4622</v>
      </c>
      <c r="C2458" t="s">
        <v>4623</v>
      </c>
      <c r="D2458" t="s">
        <v>98</v>
      </c>
      <c r="E2458">
        <v>279.89999999999998</v>
      </c>
      <c r="F2458" t="s">
        <v>5922</v>
      </c>
      <c r="G2458">
        <v>279.89999999999998</v>
      </c>
      <c r="H2458">
        <v>206.88</v>
      </c>
      <c r="I2458">
        <v>219.05</v>
      </c>
      <c r="J2458">
        <v>194.71</v>
      </c>
      <c r="L2458" t="s">
        <v>5922</v>
      </c>
      <c r="M2458">
        <v>0</v>
      </c>
      <c r="N2458">
        <v>0</v>
      </c>
      <c r="O2458">
        <v>0</v>
      </c>
      <c r="P2458">
        <v>0</v>
      </c>
      <c r="Q2458">
        <v>206.88</v>
      </c>
      <c r="R2458">
        <v>206.88</v>
      </c>
      <c r="S2458">
        <v>0</v>
      </c>
      <c r="T2458">
        <v>0</v>
      </c>
      <c r="U2458">
        <v>210.58</v>
      </c>
      <c r="V2458">
        <v>206.88</v>
      </c>
      <c r="W2458">
        <v>235.35</v>
      </c>
      <c r="X2458">
        <v>210.58</v>
      </c>
      <c r="Y2458">
        <v>279.89999999999998</v>
      </c>
      <c r="Z2458" t="s">
        <v>5922</v>
      </c>
    </row>
    <row r="2459" spans="1:26" x14ac:dyDescent="0.2">
      <c r="A2459" t="s">
        <v>4615</v>
      </c>
      <c r="B2459" t="s">
        <v>4624</v>
      </c>
      <c r="C2459" t="s">
        <v>4625</v>
      </c>
      <c r="D2459" t="s">
        <v>98</v>
      </c>
      <c r="E2459">
        <v>279.89999999999998</v>
      </c>
      <c r="F2459" t="s">
        <v>5922</v>
      </c>
      <c r="G2459">
        <v>279.89999999999998</v>
      </c>
      <c r="H2459">
        <v>206.88</v>
      </c>
      <c r="I2459">
        <v>219.05</v>
      </c>
      <c r="J2459">
        <v>194.71</v>
      </c>
      <c r="L2459" t="s">
        <v>5922</v>
      </c>
      <c r="M2459">
        <v>0</v>
      </c>
      <c r="N2459">
        <v>0</v>
      </c>
      <c r="O2459">
        <v>0</v>
      </c>
      <c r="P2459">
        <v>0</v>
      </c>
      <c r="Q2459">
        <v>206.88</v>
      </c>
      <c r="R2459">
        <v>206.88</v>
      </c>
      <c r="S2459">
        <v>0</v>
      </c>
      <c r="T2459">
        <v>0</v>
      </c>
      <c r="U2459">
        <v>210.58</v>
      </c>
      <c r="V2459">
        <v>206.88</v>
      </c>
      <c r="W2459">
        <v>235.35</v>
      </c>
      <c r="X2459">
        <v>210.58</v>
      </c>
      <c r="Y2459">
        <v>279.89999999999998</v>
      </c>
      <c r="Z2459" t="s">
        <v>5922</v>
      </c>
    </row>
    <row r="2460" spans="1:26" x14ac:dyDescent="0.2">
      <c r="A2460" t="s">
        <v>4615</v>
      </c>
      <c r="B2460" t="s">
        <v>4626</v>
      </c>
      <c r="C2460" t="s">
        <v>4627</v>
      </c>
      <c r="D2460" t="s">
        <v>98</v>
      </c>
      <c r="E2460">
        <v>279.89999999999998</v>
      </c>
      <c r="F2460" t="s">
        <v>5922</v>
      </c>
      <c r="G2460">
        <v>279.89999999999998</v>
      </c>
      <c r="H2460">
        <v>206.88</v>
      </c>
      <c r="I2460">
        <v>219.05</v>
      </c>
      <c r="J2460">
        <v>194.71</v>
      </c>
      <c r="L2460" t="s">
        <v>5922</v>
      </c>
      <c r="M2460">
        <v>0</v>
      </c>
      <c r="N2460">
        <v>0</v>
      </c>
      <c r="O2460">
        <v>0</v>
      </c>
      <c r="P2460">
        <v>0</v>
      </c>
      <c r="Q2460">
        <v>206.88</v>
      </c>
      <c r="R2460">
        <v>206.88</v>
      </c>
      <c r="S2460">
        <v>0</v>
      </c>
      <c r="T2460">
        <v>0</v>
      </c>
      <c r="U2460">
        <v>210.58</v>
      </c>
      <c r="V2460">
        <v>206.88</v>
      </c>
      <c r="W2460">
        <v>235.35</v>
      </c>
      <c r="X2460">
        <v>210.58</v>
      </c>
      <c r="Y2460">
        <v>279.89999999999998</v>
      </c>
      <c r="Z2460" t="s">
        <v>5922</v>
      </c>
    </row>
    <row r="2461" spans="1:26" x14ac:dyDescent="0.2">
      <c r="A2461" t="s">
        <v>4615</v>
      </c>
      <c r="B2461" t="s">
        <v>4628</v>
      </c>
      <c r="C2461" t="s">
        <v>4629</v>
      </c>
      <c r="D2461" t="s">
        <v>105</v>
      </c>
      <c r="E2461">
        <v>279.95</v>
      </c>
      <c r="F2461" t="s">
        <v>7448</v>
      </c>
      <c r="G2461">
        <v>279.95</v>
      </c>
      <c r="H2461">
        <v>206.92</v>
      </c>
      <c r="L2461" t="s">
        <v>5922</v>
      </c>
      <c r="Q2461">
        <v>206.92</v>
      </c>
      <c r="R2461">
        <v>206.92</v>
      </c>
      <c r="U2461">
        <v>194.78</v>
      </c>
      <c r="V2461">
        <v>206.95</v>
      </c>
      <c r="W2461">
        <v>231.26</v>
      </c>
      <c r="X2461">
        <v>202.86</v>
      </c>
      <c r="Y2461">
        <v>279.95</v>
      </c>
      <c r="Z2461" t="s">
        <v>5922</v>
      </c>
    </row>
    <row r="2462" spans="1:26" x14ac:dyDescent="0.2">
      <c r="A2462" t="s">
        <v>4615</v>
      </c>
      <c r="B2462" t="s">
        <v>4630</v>
      </c>
      <c r="C2462" t="s">
        <v>4631</v>
      </c>
      <c r="D2462" t="s">
        <v>105</v>
      </c>
      <c r="E2462">
        <v>279.95</v>
      </c>
      <c r="F2462" t="s">
        <v>7448</v>
      </c>
      <c r="G2462">
        <v>279.95</v>
      </c>
      <c r="H2462">
        <v>206.92</v>
      </c>
      <c r="L2462" t="s">
        <v>5922</v>
      </c>
      <c r="Q2462">
        <v>206.92</v>
      </c>
      <c r="R2462">
        <v>206.92</v>
      </c>
      <c r="U2462">
        <v>194.78</v>
      </c>
      <c r="V2462">
        <v>206.95</v>
      </c>
      <c r="W2462">
        <v>231.26</v>
      </c>
      <c r="X2462">
        <v>202.86</v>
      </c>
      <c r="Y2462">
        <v>279.95</v>
      </c>
      <c r="Z2462" t="s">
        <v>5922</v>
      </c>
    </row>
    <row r="2463" spans="1:26" x14ac:dyDescent="0.2">
      <c r="A2463" t="s">
        <v>4615</v>
      </c>
      <c r="B2463" t="s">
        <v>4632</v>
      </c>
      <c r="C2463" t="s">
        <v>4633</v>
      </c>
      <c r="D2463" t="s">
        <v>105</v>
      </c>
      <c r="E2463">
        <v>279.95</v>
      </c>
      <c r="F2463" t="s">
        <v>7448</v>
      </c>
      <c r="G2463">
        <v>279.95</v>
      </c>
      <c r="H2463">
        <v>206.92</v>
      </c>
      <c r="L2463" t="s">
        <v>5922</v>
      </c>
      <c r="Q2463">
        <v>206.92</v>
      </c>
      <c r="R2463">
        <v>206.92</v>
      </c>
      <c r="U2463">
        <v>194.78</v>
      </c>
      <c r="V2463">
        <v>206.95</v>
      </c>
      <c r="W2463">
        <v>231.26</v>
      </c>
      <c r="X2463">
        <v>202.86</v>
      </c>
      <c r="Y2463">
        <v>279.95</v>
      </c>
      <c r="Z2463" t="s">
        <v>5922</v>
      </c>
    </row>
    <row r="2464" spans="1:26" x14ac:dyDescent="0.2">
      <c r="A2464" t="s">
        <v>4615</v>
      </c>
      <c r="B2464" t="s">
        <v>4634</v>
      </c>
      <c r="C2464" t="s">
        <v>4635</v>
      </c>
      <c r="D2464" t="s">
        <v>105</v>
      </c>
      <c r="E2464">
        <v>279.95</v>
      </c>
      <c r="F2464" t="s">
        <v>7448</v>
      </c>
      <c r="G2464">
        <v>279.95</v>
      </c>
      <c r="H2464">
        <v>206.92</v>
      </c>
      <c r="L2464" t="s">
        <v>5922</v>
      </c>
      <c r="Q2464">
        <v>206.92</v>
      </c>
      <c r="R2464">
        <v>206.92</v>
      </c>
      <c r="U2464">
        <v>194.78</v>
      </c>
      <c r="V2464">
        <v>206.95</v>
      </c>
      <c r="W2464">
        <v>231.26</v>
      </c>
      <c r="X2464">
        <v>202.86</v>
      </c>
      <c r="Y2464">
        <v>279.95</v>
      </c>
      <c r="Z2464" t="s">
        <v>5922</v>
      </c>
    </row>
    <row r="2465" spans="1:26" x14ac:dyDescent="0.2">
      <c r="A2465" t="s">
        <v>4615</v>
      </c>
      <c r="B2465" t="s">
        <v>4636</v>
      </c>
      <c r="C2465" t="s">
        <v>4637</v>
      </c>
      <c r="D2465" t="s">
        <v>105</v>
      </c>
      <c r="E2465">
        <v>599.9</v>
      </c>
      <c r="F2465" t="s">
        <v>7449</v>
      </c>
      <c r="G2465">
        <v>599.9</v>
      </c>
      <c r="H2465">
        <v>443.4</v>
      </c>
      <c r="L2465" t="s">
        <v>5922</v>
      </c>
      <c r="Q2465">
        <v>443.4</v>
      </c>
      <c r="R2465">
        <v>443.4</v>
      </c>
      <c r="U2465">
        <v>443.4</v>
      </c>
      <c r="V2465">
        <v>443.4</v>
      </c>
      <c r="W2465">
        <v>469.49</v>
      </c>
      <c r="X2465">
        <v>443.4</v>
      </c>
      <c r="Y2465">
        <v>599.9</v>
      </c>
      <c r="Z2465" t="s">
        <v>5922</v>
      </c>
    </row>
    <row r="2466" spans="1:26" x14ac:dyDescent="0.2">
      <c r="A2466" t="s">
        <v>4615</v>
      </c>
      <c r="B2466" t="s">
        <v>4638</v>
      </c>
      <c r="C2466" t="s">
        <v>4639</v>
      </c>
      <c r="D2466" t="s">
        <v>105</v>
      </c>
      <c r="E2466">
        <v>599.9</v>
      </c>
      <c r="F2466" t="s">
        <v>7449</v>
      </c>
      <c r="G2466">
        <v>599.9</v>
      </c>
      <c r="H2466">
        <v>443.4</v>
      </c>
      <c r="L2466" t="s">
        <v>5922</v>
      </c>
      <c r="Q2466">
        <v>443.4</v>
      </c>
      <c r="R2466">
        <v>443.4</v>
      </c>
      <c r="U2466">
        <v>443.4</v>
      </c>
      <c r="V2466">
        <v>443.4</v>
      </c>
      <c r="W2466">
        <v>469.49</v>
      </c>
      <c r="X2466">
        <v>443.4</v>
      </c>
      <c r="Y2466">
        <v>599.9</v>
      </c>
      <c r="Z2466" t="s">
        <v>5922</v>
      </c>
    </row>
    <row r="2467" spans="1:26" x14ac:dyDescent="0.2">
      <c r="A2467" t="s">
        <v>4615</v>
      </c>
      <c r="B2467" t="s">
        <v>4640</v>
      </c>
      <c r="C2467" t="s">
        <v>4641</v>
      </c>
      <c r="D2467" t="s">
        <v>105</v>
      </c>
      <c r="E2467">
        <v>429.95</v>
      </c>
      <c r="F2467" t="s">
        <v>7450</v>
      </c>
      <c r="G2467">
        <v>429.95</v>
      </c>
      <c r="H2467">
        <v>317.79000000000002</v>
      </c>
      <c r="L2467" t="s">
        <v>5922</v>
      </c>
      <c r="Q2467">
        <v>317.79000000000002</v>
      </c>
      <c r="R2467">
        <v>317.79000000000002</v>
      </c>
      <c r="U2467">
        <v>299.12</v>
      </c>
      <c r="V2467">
        <v>325.20999999999998</v>
      </c>
      <c r="W2467">
        <v>355.18</v>
      </c>
      <c r="X2467">
        <v>311.56</v>
      </c>
      <c r="Y2467">
        <v>429.95</v>
      </c>
      <c r="Z2467" t="s">
        <v>5922</v>
      </c>
    </row>
    <row r="2468" spans="1:26" x14ac:dyDescent="0.2">
      <c r="A2468" t="s">
        <v>4615</v>
      </c>
      <c r="B2468" t="s">
        <v>4642</v>
      </c>
      <c r="C2468" t="s">
        <v>4643</v>
      </c>
      <c r="D2468" t="s">
        <v>105</v>
      </c>
      <c r="E2468">
        <v>429.95</v>
      </c>
      <c r="F2468" t="s">
        <v>7450</v>
      </c>
      <c r="G2468">
        <v>429.95</v>
      </c>
      <c r="H2468">
        <v>317.79000000000002</v>
      </c>
      <c r="L2468" t="s">
        <v>5922</v>
      </c>
      <c r="Q2468">
        <v>317.79000000000002</v>
      </c>
      <c r="R2468">
        <v>317.79000000000002</v>
      </c>
      <c r="U2468">
        <v>299.12</v>
      </c>
      <c r="V2468">
        <v>325.20999999999998</v>
      </c>
      <c r="W2468">
        <v>355.18</v>
      </c>
      <c r="X2468">
        <v>311.56</v>
      </c>
      <c r="Y2468">
        <v>429.95</v>
      </c>
      <c r="Z2468" t="s">
        <v>5922</v>
      </c>
    </row>
    <row r="2469" spans="1:26" x14ac:dyDescent="0.2">
      <c r="A2469" t="s">
        <v>4615</v>
      </c>
      <c r="B2469" t="s">
        <v>4644</v>
      </c>
      <c r="C2469" t="s">
        <v>4645</v>
      </c>
      <c r="D2469" t="s">
        <v>105</v>
      </c>
      <c r="E2469">
        <v>429.95</v>
      </c>
      <c r="F2469" t="s">
        <v>7450</v>
      </c>
      <c r="G2469">
        <v>429.95</v>
      </c>
      <c r="H2469">
        <v>317.79000000000002</v>
      </c>
      <c r="L2469" t="s">
        <v>5922</v>
      </c>
      <c r="Q2469">
        <v>317.79000000000002</v>
      </c>
      <c r="R2469">
        <v>317.79000000000002</v>
      </c>
      <c r="U2469">
        <v>299.12</v>
      </c>
      <c r="V2469">
        <v>325.20999999999998</v>
      </c>
      <c r="W2469">
        <v>355.18</v>
      </c>
      <c r="X2469">
        <v>311.56</v>
      </c>
      <c r="Y2469">
        <v>429.95</v>
      </c>
      <c r="Z2469" t="s">
        <v>5922</v>
      </c>
    </row>
    <row r="2470" spans="1:26" x14ac:dyDescent="0.2">
      <c r="A2470" t="s">
        <v>4615</v>
      </c>
      <c r="B2470" t="s">
        <v>4646</v>
      </c>
      <c r="C2470" t="s">
        <v>4647</v>
      </c>
      <c r="D2470" t="s">
        <v>105</v>
      </c>
      <c r="E2470">
        <v>429.95</v>
      </c>
      <c r="F2470" t="s">
        <v>7450</v>
      </c>
      <c r="G2470">
        <v>429.95</v>
      </c>
      <c r="H2470">
        <v>317.79000000000002</v>
      </c>
      <c r="L2470" t="s">
        <v>5922</v>
      </c>
      <c r="Q2470">
        <v>317.79000000000002</v>
      </c>
      <c r="R2470">
        <v>317.79000000000002</v>
      </c>
      <c r="U2470">
        <v>299.12</v>
      </c>
      <c r="V2470">
        <v>325.20999999999998</v>
      </c>
      <c r="W2470">
        <v>355.18</v>
      </c>
      <c r="X2470">
        <v>311.56</v>
      </c>
      <c r="Y2470">
        <v>429.95</v>
      </c>
      <c r="Z2470" t="s">
        <v>5922</v>
      </c>
    </row>
    <row r="2471" spans="1:26" x14ac:dyDescent="0.2">
      <c r="A2471" t="s">
        <v>4615</v>
      </c>
      <c r="B2471" t="s">
        <v>4648</v>
      </c>
      <c r="C2471" t="s">
        <v>4649</v>
      </c>
      <c r="D2471" t="s">
        <v>98</v>
      </c>
      <c r="E2471">
        <v>699.9</v>
      </c>
      <c r="F2471" t="s">
        <v>5922</v>
      </c>
      <c r="G2471">
        <v>699.9</v>
      </c>
      <c r="H2471">
        <v>517.32000000000005</v>
      </c>
      <c r="I2471">
        <v>547.75</v>
      </c>
      <c r="J2471">
        <v>486.89</v>
      </c>
      <c r="L2471" t="s">
        <v>5922</v>
      </c>
      <c r="M2471">
        <v>0</v>
      </c>
      <c r="N2471">
        <v>0</v>
      </c>
      <c r="O2471">
        <v>0</v>
      </c>
      <c r="P2471">
        <v>0</v>
      </c>
      <c r="Q2471">
        <v>517.32000000000005</v>
      </c>
      <c r="R2471">
        <v>517.32000000000005</v>
      </c>
      <c r="S2471">
        <v>0</v>
      </c>
      <c r="T2471">
        <v>0</v>
      </c>
      <c r="U2471">
        <v>517.32000000000005</v>
      </c>
      <c r="V2471">
        <v>486.89</v>
      </c>
      <c r="W2471">
        <v>551.66</v>
      </c>
      <c r="X2471">
        <v>490.37</v>
      </c>
      <c r="Y2471">
        <v>699.9</v>
      </c>
      <c r="Z2471" t="s">
        <v>5922</v>
      </c>
    </row>
    <row r="2472" spans="1:26" x14ac:dyDescent="0.2">
      <c r="A2472" t="s">
        <v>4615</v>
      </c>
      <c r="B2472" t="s">
        <v>4650</v>
      </c>
      <c r="C2472" t="s">
        <v>4651</v>
      </c>
      <c r="D2472" t="s">
        <v>98</v>
      </c>
      <c r="E2472">
        <v>699.9</v>
      </c>
      <c r="F2472" t="s">
        <v>7302</v>
      </c>
      <c r="G2472">
        <v>699.9</v>
      </c>
      <c r="H2472">
        <v>517.32000000000005</v>
      </c>
      <c r="L2472" t="s">
        <v>5922</v>
      </c>
      <c r="Q2472">
        <v>517.32000000000005</v>
      </c>
      <c r="R2472">
        <v>517.32000000000005</v>
      </c>
      <c r="U2472">
        <v>517.32000000000005</v>
      </c>
      <c r="V2472">
        <v>486.89</v>
      </c>
      <c r="W2472">
        <v>551.66</v>
      </c>
      <c r="X2472">
        <v>490.37</v>
      </c>
      <c r="Y2472">
        <v>699.9</v>
      </c>
      <c r="Z2472" t="s">
        <v>5922</v>
      </c>
    </row>
    <row r="2473" spans="1:26" x14ac:dyDescent="0.2">
      <c r="A2473" t="s">
        <v>4615</v>
      </c>
      <c r="B2473" t="s">
        <v>4652</v>
      </c>
      <c r="C2473" t="s">
        <v>4653</v>
      </c>
      <c r="D2473" t="s">
        <v>98</v>
      </c>
      <c r="E2473">
        <v>699.9</v>
      </c>
      <c r="F2473" t="s">
        <v>5922</v>
      </c>
      <c r="G2473">
        <v>699.9</v>
      </c>
      <c r="H2473">
        <v>517.32000000000005</v>
      </c>
      <c r="I2473">
        <v>547.75</v>
      </c>
      <c r="J2473">
        <v>486.89</v>
      </c>
      <c r="L2473" t="s">
        <v>5922</v>
      </c>
      <c r="M2473">
        <v>0</v>
      </c>
      <c r="N2473">
        <v>0</v>
      </c>
      <c r="O2473">
        <v>0</v>
      </c>
      <c r="P2473">
        <v>0</v>
      </c>
      <c r="Q2473">
        <v>517.32000000000005</v>
      </c>
      <c r="R2473">
        <v>517.32000000000005</v>
      </c>
      <c r="S2473">
        <v>0</v>
      </c>
      <c r="T2473">
        <v>0</v>
      </c>
      <c r="U2473">
        <v>517.32000000000005</v>
      </c>
      <c r="V2473">
        <v>486.89</v>
      </c>
      <c r="W2473">
        <v>551.66</v>
      </c>
      <c r="X2473">
        <v>490.37</v>
      </c>
      <c r="Y2473">
        <v>699.9</v>
      </c>
      <c r="Z2473" t="s">
        <v>5922</v>
      </c>
    </row>
    <row r="2474" spans="1:26" x14ac:dyDescent="0.2">
      <c r="A2474" t="s">
        <v>4615</v>
      </c>
      <c r="B2474" t="s">
        <v>4654</v>
      </c>
      <c r="C2474" t="s">
        <v>4655</v>
      </c>
      <c r="D2474" t="s">
        <v>98</v>
      </c>
      <c r="E2474">
        <v>379.9</v>
      </c>
      <c r="F2474" t="s">
        <v>5922</v>
      </c>
      <c r="G2474">
        <v>379.9</v>
      </c>
      <c r="H2474">
        <v>280.8</v>
      </c>
      <c r="I2474">
        <v>297.31</v>
      </c>
      <c r="J2474">
        <v>264.27999999999997</v>
      </c>
      <c r="L2474" t="s">
        <v>5922</v>
      </c>
      <c r="M2474">
        <v>0</v>
      </c>
      <c r="N2474">
        <v>0</v>
      </c>
      <c r="O2474">
        <v>0</v>
      </c>
      <c r="P2474">
        <v>0</v>
      </c>
      <c r="Q2474">
        <v>280.8</v>
      </c>
      <c r="R2474">
        <v>280.8</v>
      </c>
      <c r="S2474">
        <v>0</v>
      </c>
      <c r="T2474">
        <v>0</v>
      </c>
      <c r="U2474">
        <v>284.49</v>
      </c>
      <c r="V2474">
        <v>280.8</v>
      </c>
      <c r="W2474">
        <v>317.95999999999998</v>
      </c>
      <c r="X2474">
        <v>284.49</v>
      </c>
      <c r="Y2474">
        <v>379.9</v>
      </c>
      <c r="Z2474" t="s">
        <v>5922</v>
      </c>
    </row>
    <row r="2475" spans="1:26" x14ac:dyDescent="0.2">
      <c r="A2475" t="s">
        <v>4615</v>
      </c>
      <c r="B2475" t="s">
        <v>4656</v>
      </c>
      <c r="C2475" t="s">
        <v>4657</v>
      </c>
      <c r="D2475" t="s">
        <v>98</v>
      </c>
      <c r="E2475">
        <v>379.9</v>
      </c>
      <c r="F2475" t="s">
        <v>7451</v>
      </c>
      <c r="G2475">
        <v>379.9</v>
      </c>
      <c r="H2475">
        <v>280.8</v>
      </c>
      <c r="I2475">
        <v>297.31</v>
      </c>
      <c r="J2475">
        <v>264.27999999999997</v>
      </c>
      <c r="L2475" t="s">
        <v>5922</v>
      </c>
      <c r="M2475">
        <v>0</v>
      </c>
      <c r="N2475">
        <v>0</v>
      </c>
      <c r="O2475">
        <v>0</v>
      </c>
      <c r="P2475">
        <v>0</v>
      </c>
      <c r="Q2475">
        <v>280.8</v>
      </c>
      <c r="R2475">
        <v>280.8</v>
      </c>
      <c r="S2475">
        <v>0</v>
      </c>
      <c r="T2475">
        <v>0</v>
      </c>
      <c r="U2475">
        <v>284.49</v>
      </c>
      <c r="V2475">
        <v>280.8</v>
      </c>
      <c r="W2475">
        <v>317.95999999999998</v>
      </c>
      <c r="X2475">
        <v>284.49</v>
      </c>
      <c r="Y2475">
        <v>379.9</v>
      </c>
      <c r="Z2475" t="s">
        <v>5922</v>
      </c>
    </row>
    <row r="2476" spans="1:26" x14ac:dyDescent="0.2">
      <c r="A2476" t="s">
        <v>4615</v>
      </c>
      <c r="B2476" t="s">
        <v>4658</v>
      </c>
      <c r="C2476" t="s">
        <v>4659</v>
      </c>
      <c r="D2476" t="s">
        <v>98</v>
      </c>
      <c r="E2476">
        <v>379.9</v>
      </c>
      <c r="F2476" t="s">
        <v>5922</v>
      </c>
      <c r="G2476">
        <v>330.35</v>
      </c>
      <c r="H2476">
        <v>280.8</v>
      </c>
      <c r="I2476">
        <v>297.31</v>
      </c>
      <c r="J2476">
        <v>264.27999999999997</v>
      </c>
      <c r="L2476" t="s">
        <v>5922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330.35</v>
      </c>
      <c r="S2476">
        <v>0</v>
      </c>
      <c r="T2476">
        <v>0</v>
      </c>
      <c r="U2476">
        <v>264.27999999999997</v>
      </c>
      <c r="V2476">
        <v>254.37</v>
      </c>
      <c r="W2476">
        <v>297.31</v>
      </c>
      <c r="X2476">
        <v>264.27999999999997</v>
      </c>
      <c r="Y2476">
        <v>298</v>
      </c>
      <c r="Z2476" t="s">
        <v>5922</v>
      </c>
    </row>
    <row r="2477" spans="1:26" x14ac:dyDescent="0.2">
      <c r="A2477" t="s">
        <v>4615</v>
      </c>
      <c r="B2477" t="s">
        <v>4660</v>
      </c>
      <c r="C2477" t="s">
        <v>4661</v>
      </c>
      <c r="D2477" t="s">
        <v>98</v>
      </c>
      <c r="E2477">
        <v>379.9</v>
      </c>
      <c r="F2477" t="s">
        <v>5922</v>
      </c>
      <c r="G2477">
        <v>379.9</v>
      </c>
      <c r="H2477">
        <v>280.8</v>
      </c>
      <c r="I2477">
        <v>297.31</v>
      </c>
      <c r="J2477">
        <v>264.27999999999997</v>
      </c>
      <c r="L2477" t="s">
        <v>5922</v>
      </c>
      <c r="M2477">
        <v>0</v>
      </c>
      <c r="N2477">
        <v>0</v>
      </c>
      <c r="O2477">
        <v>0</v>
      </c>
      <c r="P2477">
        <v>0</v>
      </c>
      <c r="Q2477">
        <v>280.8</v>
      </c>
      <c r="R2477">
        <v>280.8</v>
      </c>
      <c r="S2477">
        <v>0</v>
      </c>
      <c r="T2477">
        <v>0</v>
      </c>
      <c r="U2477">
        <v>284.49</v>
      </c>
      <c r="V2477">
        <v>280.8</v>
      </c>
      <c r="W2477">
        <v>317.95999999999998</v>
      </c>
      <c r="X2477">
        <v>284.49</v>
      </c>
      <c r="Y2477">
        <v>379.9</v>
      </c>
      <c r="Z2477" t="s">
        <v>5922</v>
      </c>
    </row>
    <row r="2478" spans="1:26" x14ac:dyDescent="0.2">
      <c r="A2478" t="s">
        <v>4615</v>
      </c>
      <c r="B2478" t="s">
        <v>4662</v>
      </c>
      <c r="C2478" t="s">
        <v>4663</v>
      </c>
      <c r="D2478" t="s">
        <v>98</v>
      </c>
      <c r="E2478">
        <v>379.9</v>
      </c>
      <c r="F2478" t="s">
        <v>7451</v>
      </c>
      <c r="G2478">
        <v>379.9</v>
      </c>
      <c r="H2478">
        <v>280.8</v>
      </c>
      <c r="I2478">
        <v>297.31</v>
      </c>
      <c r="J2478">
        <v>264.27999999999997</v>
      </c>
      <c r="L2478" t="s">
        <v>5922</v>
      </c>
      <c r="M2478">
        <v>0</v>
      </c>
      <c r="N2478">
        <v>0</v>
      </c>
      <c r="O2478">
        <v>0</v>
      </c>
      <c r="P2478">
        <v>0</v>
      </c>
      <c r="Q2478">
        <v>280.8</v>
      </c>
      <c r="R2478">
        <v>280.8</v>
      </c>
      <c r="S2478">
        <v>0</v>
      </c>
      <c r="T2478">
        <v>0</v>
      </c>
      <c r="U2478">
        <v>284.49</v>
      </c>
      <c r="V2478">
        <v>280.8</v>
      </c>
      <c r="W2478">
        <v>317.95999999999998</v>
      </c>
      <c r="X2478">
        <v>284.49</v>
      </c>
      <c r="Y2478">
        <v>379.9</v>
      </c>
      <c r="Z2478" t="s">
        <v>5922</v>
      </c>
    </row>
    <row r="2479" spans="1:26" x14ac:dyDescent="0.2">
      <c r="A2479" t="s">
        <v>4615</v>
      </c>
      <c r="B2479" t="s">
        <v>4664</v>
      </c>
      <c r="C2479" t="s">
        <v>4665</v>
      </c>
      <c r="D2479" t="s">
        <v>105</v>
      </c>
      <c r="E2479">
        <v>429.95</v>
      </c>
      <c r="F2479" t="s">
        <v>7450</v>
      </c>
      <c r="H2479">
        <v>317.79000000000002</v>
      </c>
      <c r="L2479" t="s">
        <v>5922</v>
      </c>
      <c r="U2479">
        <v>299.10000000000002</v>
      </c>
      <c r="Y2479">
        <v>429.95</v>
      </c>
      <c r="Z2479" t="s">
        <v>5922</v>
      </c>
    </row>
    <row r="2480" spans="1:26" x14ac:dyDescent="0.2">
      <c r="A2480" t="s">
        <v>4615</v>
      </c>
      <c r="B2480" t="s">
        <v>4666</v>
      </c>
      <c r="C2480" t="s">
        <v>4667</v>
      </c>
      <c r="D2480" t="s">
        <v>105</v>
      </c>
      <c r="E2480">
        <v>429.95</v>
      </c>
      <c r="F2480" t="s">
        <v>7450</v>
      </c>
      <c r="H2480">
        <v>317.79000000000002</v>
      </c>
      <c r="L2480" t="s">
        <v>5922</v>
      </c>
      <c r="U2480">
        <v>299.10000000000002</v>
      </c>
      <c r="Y2480">
        <v>429.95</v>
      </c>
      <c r="Z2480" t="s">
        <v>5922</v>
      </c>
    </row>
    <row r="2481" spans="1:26" x14ac:dyDescent="0.2">
      <c r="A2481" t="s">
        <v>4615</v>
      </c>
      <c r="B2481" t="s">
        <v>4668</v>
      </c>
      <c r="C2481" t="s">
        <v>4669</v>
      </c>
      <c r="D2481" t="s">
        <v>105</v>
      </c>
      <c r="E2481">
        <v>429.95</v>
      </c>
      <c r="F2481" t="s">
        <v>7450</v>
      </c>
      <c r="H2481">
        <v>317.79000000000002</v>
      </c>
      <c r="L2481" t="s">
        <v>5922</v>
      </c>
      <c r="U2481">
        <v>299.10000000000002</v>
      </c>
      <c r="Y2481">
        <v>429.95</v>
      </c>
      <c r="Z2481" t="s">
        <v>5922</v>
      </c>
    </row>
    <row r="2482" spans="1:26" x14ac:dyDescent="0.2">
      <c r="A2482" t="s">
        <v>4615</v>
      </c>
      <c r="B2482" t="s">
        <v>4670</v>
      </c>
      <c r="C2482" t="s">
        <v>4671</v>
      </c>
      <c r="D2482" t="s">
        <v>105</v>
      </c>
      <c r="E2482">
        <v>429.95</v>
      </c>
      <c r="F2482" t="s">
        <v>7450</v>
      </c>
      <c r="H2482">
        <v>317.79000000000002</v>
      </c>
      <c r="L2482" t="s">
        <v>5922</v>
      </c>
      <c r="U2482">
        <v>299.10000000000002</v>
      </c>
      <c r="Y2482">
        <v>429.95</v>
      </c>
      <c r="Z2482" t="s">
        <v>5922</v>
      </c>
    </row>
    <row r="2483" spans="1:26" x14ac:dyDescent="0.2">
      <c r="A2483" t="s">
        <v>4615</v>
      </c>
      <c r="B2483" t="s">
        <v>4672</v>
      </c>
      <c r="C2483" t="s">
        <v>4673</v>
      </c>
      <c r="D2483" t="s">
        <v>105</v>
      </c>
      <c r="E2483">
        <v>129.94999999999999</v>
      </c>
      <c r="F2483" t="s">
        <v>7296</v>
      </c>
      <c r="H2483">
        <v>96.05</v>
      </c>
      <c r="L2483" t="s">
        <v>5922</v>
      </c>
      <c r="U2483">
        <v>90.4</v>
      </c>
      <c r="Y2483">
        <v>129.94999999999999</v>
      </c>
      <c r="Z2483" t="s">
        <v>5922</v>
      </c>
    </row>
    <row r="2484" spans="1:26" x14ac:dyDescent="0.2">
      <c r="A2484" t="s">
        <v>4615</v>
      </c>
      <c r="B2484" t="s">
        <v>4674</v>
      </c>
      <c r="C2484" t="s">
        <v>4675</v>
      </c>
      <c r="D2484" t="s">
        <v>105</v>
      </c>
      <c r="E2484">
        <v>129.94999999999999</v>
      </c>
      <c r="F2484" t="s">
        <v>7296</v>
      </c>
      <c r="H2484">
        <v>96.05</v>
      </c>
      <c r="L2484" t="s">
        <v>5922</v>
      </c>
      <c r="U2484">
        <v>90.4</v>
      </c>
      <c r="Y2484">
        <v>129.94999999999999</v>
      </c>
      <c r="Z2484" t="s">
        <v>5922</v>
      </c>
    </row>
    <row r="2485" spans="1:26" x14ac:dyDescent="0.2">
      <c r="A2485" t="s">
        <v>4615</v>
      </c>
      <c r="B2485" t="s">
        <v>4676</v>
      </c>
      <c r="C2485" t="s">
        <v>4677</v>
      </c>
      <c r="D2485" t="s">
        <v>105</v>
      </c>
      <c r="E2485">
        <v>129.94999999999999</v>
      </c>
      <c r="F2485" t="s">
        <v>7296</v>
      </c>
      <c r="H2485">
        <v>96.05</v>
      </c>
      <c r="L2485" t="s">
        <v>5922</v>
      </c>
      <c r="U2485">
        <v>90.4</v>
      </c>
      <c r="Y2485">
        <v>129.94999999999999</v>
      </c>
      <c r="Z2485" t="s">
        <v>5922</v>
      </c>
    </row>
    <row r="2486" spans="1:26" x14ac:dyDescent="0.2">
      <c r="A2486" t="s">
        <v>4615</v>
      </c>
      <c r="B2486" t="s">
        <v>4678</v>
      </c>
      <c r="C2486" t="s">
        <v>4679</v>
      </c>
      <c r="D2486" t="s">
        <v>105</v>
      </c>
      <c r="E2486">
        <v>129.94999999999999</v>
      </c>
      <c r="F2486" t="s">
        <v>7296</v>
      </c>
      <c r="H2486">
        <v>96.05</v>
      </c>
      <c r="L2486" t="s">
        <v>5922</v>
      </c>
      <c r="U2486">
        <v>90.4</v>
      </c>
      <c r="Y2486">
        <v>129.94999999999999</v>
      </c>
      <c r="Z2486" t="s">
        <v>5922</v>
      </c>
    </row>
    <row r="2487" spans="1:26" x14ac:dyDescent="0.2">
      <c r="A2487" t="s">
        <v>4615</v>
      </c>
      <c r="B2487" t="s">
        <v>4680</v>
      </c>
      <c r="C2487" t="s">
        <v>4681</v>
      </c>
      <c r="D2487" t="s">
        <v>98</v>
      </c>
      <c r="E2487">
        <v>169.9</v>
      </c>
      <c r="F2487" t="s">
        <v>5922</v>
      </c>
      <c r="G2487">
        <v>148</v>
      </c>
      <c r="H2487">
        <v>125.58</v>
      </c>
      <c r="I2487">
        <v>132.97</v>
      </c>
      <c r="J2487">
        <v>118.19</v>
      </c>
      <c r="L2487" t="s">
        <v>5922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147.74</v>
      </c>
      <c r="S2487">
        <v>0</v>
      </c>
      <c r="T2487">
        <v>0</v>
      </c>
      <c r="U2487">
        <v>125.58</v>
      </c>
      <c r="V2487">
        <v>113.76</v>
      </c>
      <c r="W2487">
        <v>132.97</v>
      </c>
      <c r="X2487">
        <v>118.19</v>
      </c>
      <c r="Y2487">
        <v>169.9</v>
      </c>
      <c r="Z2487" t="s">
        <v>5922</v>
      </c>
    </row>
    <row r="2488" spans="1:26" x14ac:dyDescent="0.2">
      <c r="A2488" t="s">
        <v>4615</v>
      </c>
      <c r="B2488" t="s">
        <v>4682</v>
      </c>
      <c r="C2488" t="s">
        <v>4683</v>
      </c>
      <c r="D2488" t="s">
        <v>98</v>
      </c>
      <c r="E2488">
        <v>179.9</v>
      </c>
      <c r="F2488" t="s">
        <v>7452</v>
      </c>
      <c r="G2488">
        <v>179.9</v>
      </c>
      <c r="H2488">
        <v>132.97</v>
      </c>
      <c r="L2488" t="s">
        <v>5922</v>
      </c>
      <c r="Q2488">
        <v>132.97</v>
      </c>
      <c r="R2488">
        <v>132.97</v>
      </c>
      <c r="U2488">
        <v>128.63</v>
      </c>
      <c r="V2488">
        <v>125.15</v>
      </c>
      <c r="W2488">
        <v>144.69999999999999</v>
      </c>
      <c r="X2488">
        <v>128.63</v>
      </c>
      <c r="Y2488">
        <v>179.9</v>
      </c>
      <c r="Z2488" t="s">
        <v>5922</v>
      </c>
    </row>
    <row r="2489" spans="1:26" x14ac:dyDescent="0.2">
      <c r="A2489" t="s">
        <v>4615</v>
      </c>
      <c r="B2489" t="s">
        <v>4684</v>
      </c>
      <c r="C2489" t="s">
        <v>4685</v>
      </c>
      <c r="D2489" t="s">
        <v>98</v>
      </c>
      <c r="E2489">
        <v>179.9</v>
      </c>
      <c r="F2489" t="s">
        <v>5922</v>
      </c>
      <c r="G2489">
        <v>179.9</v>
      </c>
      <c r="H2489">
        <v>132.97</v>
      </c>
      <c r="L2489" t="s">
        <v>5922</v>
      </c>
      <c r="Q2489">
        <v>132.97</v>
      </c>
      <c r="R2489">
        <v>132.97</v>
      </c>
      <c r="U2489">
        <v>128.63</v>
      </c>
      <c r="V2489">
        <v>125.15</v>
      </c>
      <c r="W2489">
        <v>144.69999999999999</v>
      </c>
      <c r="X2489">
        <v>128.63</v>
      </c>
      <c r="Y2489">
        <v>179.9</v>
      </c>
      <c r="Z2489" t="s">
        <v>5922</v>
      </c>
    </row>
    <row r="2490" spans="1:26" x14ac:dyDescent="0.2">
      <c r="A2490" t="s">
        <v>4615</v>
      </c>
      <c r="B2490" t="s">
        <v>4686</v>
      </c>
      <c r="C2490" t="s">
        <v>4687</v>
      </c>
      <c r="D2490" t="s">
        <v>98</v>
      </c>
      <c r="E2490">
        <v>179.9</v>
      </c>
      <c r="F2490" t="s">
        <v>5922</v>
      </c>
      <c r="G2490">
        <v>179.9</v>
      </c>
      <c r="H2490">
        <v>132.97</v>
      </c>
      <c r="L2490" t="s">
        <v>5922</v>
      </c>
      <c r="Q2490">
        <v>132.97</v>
      </c>
      <c r="R2490">
        <v>132.97</v>
      </c>
      <c r="U2490">
        <v>128.63</v>
      </c>
      <c r="V2490">
        <v>125.15</v>
      </c>
      <c r="W2490">
        <v>144.69999999999999</v>
      </c>
      <c r="X2490">
        <v>128.63</v>
      </c>
      <c r="Y2490">
        <v>179.9</v>
      </c>
      <c r="Z2490" t="s">
        <v>5922</v>
      </c>
    </row>
    <row r="2491" spans="1:26" x14ac:dyDescent="0.2">
      <c r="A2491" t="s">
        <v>4615</v>
      </c>
      <c r="B2491" t="s">
        <v>4688</v>
      </c>
      <c r="C2491" t="s">
        <v>4689</v>
      </c>
      <c r="D2491" t="s">
        <v>98</v>
      </c>
      <c r="E2491">
        <v>179.9</v>
      </c>
      <c r="F2491" t="s">
        <v>5922</v>
      </c>
      <c r="G2491">
        <v>179.9</v>
      </c>
      <c r="H2491">
        <v>132.97</v>
      </c>
      <c r="L2491" t="s">
        <v>5922</v>
      </c>
      <c r="Q2491">
        <v>132.97</v>
      </c>
      <c r="R2491">
        <v>132.97</v>
      </c>
      <c r="U2491">
        <v>128.63</v>
      </c>
      <c r="V2491">
        <v>125.15</v>
      </c>
      <c r="W2491">
        <v>144.69999999999999</v>
      </c>
      <c r="X2491">
        <v>128.63</v>
      </c>
      <c r="Y2491">
        <v>179.9</v>
      </c>
      <c r="Z2491" t="s">
        <v>5922</v>
      </c>
    </row>
    <row r="2492" spans="1:26" x14ac:dyDescent="0.2">
      <c r="A2492" t="s">
        <v>4615</v>
      </c>
      <c r="B2492" t="s">
        <v>4690</v>
      </c>
      <c r="C2492" t="s">
        <v>4691</v>
      </c>
      <c r="D2492" t="s">
        <v>105</v>
      </c>
      <c r="E2492">
        <v>179.99</v>
      </c>
      <c r="F2492" t="s">
        <v>7024</v>
      </c>
      <c r="G2492">
        <v>179.99</v>
      </c>
      <c r="H2492">
        <v>133.04</v>
      </c>
      <c r="L2492" t="s">
        <v>5922</v>
      </c>
      <c r="Q2492">
        <v>133.04</v>
      </c>
      <c r="R2492">
        <v>133.04</v>
      </c>
      <c r="U2492">
        <v>125.21</v>
      </c>
      <c r="V2492">
        <v>136.72999999999999</v>
      </c>
      <c r="W2492">
        <v>148.69</v>
      </c>
      <c r="X2492">
        <v>130.43</v>
      </c>
      <c r="Y2492">
        <v>179.99</v>
      </c>
      <c r="Z2492" t="s">
        <v>5922</v>
      </c>
    </row>
    <row r="2493" spans="1:26" x14ac:dyDescent="0.2">
      <c r="A2493" t="s">
        <v>4615</v>
      </c>
      <c r="B2493" t="s">
        <v>4692</v>
      </c>
      <c r="C2493" t="s">
        <v>4693</v>
      </c>
      <c r="D2493" t="s">
        <v>105</v>
      </c>
      <c r="E2493">
        <v>179.99</v>
      </c>
      <c r="F2493" t="s">
        <v>7024</v>
      </c>
      <c r="G2493">
        <v>179.99</v>
      </c>
      <c r="H2493">
        <v>133.04</v>
      </c>
      <c r="L2493" t="s">
        <v>5922</v>
      </c>
      <c r="Q2493">
        <v>133.04</v>
      </c>
      <c r="R2493">
        <v>133.04</v>
      </c>
      <c r="U2493">
        <v>125.21</v>
      </c>
      <c r="V2493">
        <v>136.72999999999999</v>
      </c>
      <c r="W2493">
        <v>148.69</v>
      </c>
      <c r="X2493">
        <v>130.43</v>
      </c>
      <c r="Y2493">
        <v>179.99</v>
      </c>
      <c r="Z2493" t="s">
        <v>5922</v>
      </c>
    </row>
    <row r="2494" spans="1:26" x14ac:dyDescent="0.2">
      <c r="A2494" t="s">
        <v>4615</v>
      </c>
      <c r="B2494" t="s">
        <v>4694</v>
      </c>
      <c r="C2494" t="s">
        <v>4695</v>
      </c>
      <c r="D2494" t="s">
        <v>105</v>
      </c>
      <c r="E2494">
        <v>179.99</v>
      </c>
      <c r="F2494" t="s">
        <v>7024</v>
      </c>
      <c r="G2494">
        <v>179.99</v>
      </c>
      <c r="H2494">
        <v>133.04</v>
      </c>
      <c r="L2494" t="s">
        <v>5922</v>
      </c>
      <c r="Q2494">
        <v>133.04</v>
      </c>
      <c r="R2494">
        <v>133.04</v>
      </c>
      <c r="U2494">
        <v>125.21</v>
      </c>
      <c r="V2494">
        <v>136.72999999999999</v>
      </c>
      <c r="W2494">
        <v>148.69</v>
      </c>
      <c r="X2494">
        <v>130.43</v>
      </c>
      <c r="Y2494">
        <v>179.99</v>
      </c>
      <c r="Z2494" t="s">
        <v>5922</v>
      </c>
    </row>
    <row r="2495" spans="1:26" x14ac:dyDescent="0.2">
      <c r="A2495" t="s">
        <v>4615</v>
      </c>
      <c r="B2495" t="s">
        <v>4696</v>
      </c>
      <c r="C2495" t="s">
        <v>4697</v>
      </c>
      <c r="D2495" t="s">
        <v>105</v>
      </c>
      <c r="E2495">
        <v>179.99</v>
      </c>
      <c r="F2495" t="s">
        <v>7024</v>
      </c>
      <c r="G2495">
        <v>179.99</v>
      </c>
      <c r="H2495">
        <v>133.04</v>
      </c>
      <c r="L2495" t="s">
        <v>5922</v>
      </c>
      <c r="Q2495">
        <v>133.04</v>
      </c>
      <c r="R2495">
        <v>133.04</v>
      </c>
      <c r="U2495">
        <v>125.21</v>
      </c>
      <c r="V2495">
        <v>136.72999999999999</v>
      </c>
      <c r="W2495">
        <v>148.69</v>
      </c>
      <c r="X2495">
        <v>130.43</v>
      </c>
      <c r="Y2495">
        <v>179.99</v>
      </c>
      <c r="Z2495" t="s">
        <v>5922</v>
      </c>
    </row>
    <row r="2496" spans="1:26" x14ac:dyDescent="0.2">
      <c r="A2496" t="s">
        <v>4615</v>
      </c>
      <c r="B2496" t="s">
        <v>4698</v>
      </c>
      <c r="C2496" t="s">
        <v>4699</v>
      </c>
      <c r="D2496" t="s">
        <v>105</v>
      </c>
      <c r="E2496">
        <v>179.99</v>
      </c>
      <c r="F2496" t="s">
        <v>7024</v>
      </c>
      <c r="G2496">
        <v>179.99</v>
      </c>
      <c r="H2496">
        <v>133.04</v>
      </c>
      <c r="L2496" t="s">
        <v>5922</v>
      </c>
      <c r="Q2496">
        <v>133.04</v>
      </c>
      <c r="R2496">
        <v>133.04</v>
      </c>
      <c r="U2496">
        <v>125.21</v>
      </c>
      <c r="V2496">
        <v>136.72999999999999</v>
      </c>
      <c r="W2496">
        <v>148.69</v>
      </c>
      <c r="X2496">
        <v>130.43</v>
      </c>
      <c r="Y2496">
        <v>179.99</v>
      </c>
      <c r="Z2496" t="s">
        <v>5922</v>
      </c>
    </row>
    <row r="2497" spans="1:26" x14ac:dyDescent="0.2">
      <c r="A2497" t="s">
        <v>4615</v>
      </c>
      <c r="B2497" t="s">
        <v>4700</v>
      </c>
      <c r="C2497" t="s">
        <v>4701</v>
      </c>
      <c r="D2497" t="s">
        <v>105</v>
      </c>
      <c r="E2497">
        <v>129.94999999999999</v>
      </c>
      <c r="F2497" t="s">
        <v>7296</v>
      </c>
      <c r="G2497">
        <v>129.94999999999999</v>
      </c>
      <c r="H2497">
        <v>96.05</v>
      </c>
      <c r="L2497" t="s">
        <v>5922</v>
      </c>
      <c r="Q2497">
        <v>96.05</v>
      </c>
      <c r="R2497">
        <v>96.05</v>
      </c>
      <c r="U2497">
        <v>90.43</v>
      </c>
      <c r="V2497">
        <v>103.47</v>
      </c>
      <c r="W2497">
        <v>107.35</v>
      </c>
      <c r="X2497">
        <v>94.17</v>
      </c>
      <c r="Y2497">
        <v>129.94999999999999</v>
      </c>
      <c r="Z2497" t="s">
        <v>5922</v>
      </c>
    </row>
    <row r="2498" spans="1:26" x14ac:dyDescent="0.2">
      <c r="A2498" t="s">
        <v>4702</v>
      </c>
      <c r="B2498" t="s">
        <v>4703</v>
      </c>
      <c r="C2498" t="s">
        <v>4704</v>
      </c>
      <c r="D2498" t="s">
        <v>98</v>
      </c>
      <c r="E2498">
        <v>639</v>
      </c>
      <c r="F2498" t="s">
        <v>7082</v>
      </c>
      <c r="G2498">
        <v>599</v>
      </c>
      <c r="H2498">
        <v>416.74</v>
      </c>
      <c r="L2498" t="s">
        <v>5922</v>
      </c>
      <c r="Q2498">
        <v>416.74</v>
      </c>
      <c r="R2498">
        <v>416.74</v>
      </c>
      <c r="U2498">
        <v>401.13</v>
      </c>
      <c r="V2498">
        <v>405.63</v>
      </c>
      <c r="W2498">
        <v>457.12</v>
      </c>
      <c r="X2498">
        <v>390.65</v>
      </c>
      <c r="Y2498">
        <v>639</v>
      </c>
      <c r="Z2498" t="s">
        <v>5922</v>
      </c>
    </row>
    <row r="2499" spans="1:26" x14ac:dyDescent="0.2">
      <c r="A2499" t="s">
        <v>4702</v>
      </c>
      <c r="B2499" t="s">
        <v>4705</v>
      </c>
      <c r="C2499" t="s">
        <v>4706</v>
      </c>
      <c r="D2499" t="s">
        <v>98</v>
      </c>
      <c r="E2499">
        <v>875</v>
      </c>
      <c r="F2499" t="s">
        <v>7453</v>
      </c>
      <c r="G2499">
        <v>799</v>
      </c>
      <c r="H2499">
        <v>570.65</v>
      </c>
      <c r="L2499" t="s">
        <v>5922</v>
      </c>
      <c r="Q2499">
        <v>570.65</v>
      </c>
      <c r="R2499">
        <v>570.65</v>
      </c>
      <c r="U2499">
        <v>535.04</v>
      </c>
      <c r="V2499">
        <v>555.42999999999995</v>
      </c>
      <c r="W2499">
        <v>619.12</v>
      </c>
      <c r="X2499">
        <v>521.09</v>
      </c>
      <c r="Y2499">
        <v>875</v>
      </c>
      <c r="Z2499" t="s">
        <v>5922</v>
      </c>
    </row>
    <row r="2500" spans="1:26" x14ac:dyDescent="0.2">
      <c r="A2500" t="s">
        <v>4702</v>
      </c>
      <c r="B2500" t="s">
        <v>4707</v>
      </c>
      <c r="C2500" t="s">
        <v>4708</v>
      </c>
      <c r="D2500" t="s">
        <v>98</v>
      </c>
      <c r="E2500">
        <v>725</v>
      </c>
      <c r="F2500" t="s">
        <v>7454</v>
      </c>
      <c r="G2500">
        <v>675</v>
      </c>
      <c r="H2500">
        <v>472.83</v>
      </c>
      <c r="L2500" t="s">
        <v>5922</v>
      </c>
      <c r="Q2500">
        <v>472.83</v>
      </c>
      <c r="R2500">
        <v>472.83</v>
      </c>
      <c r="U2500">
        <v>449.83</v>
      </c>
      <c r="V2500">
        <v>460.22</v>
      </c>
      <c r="W2500">
        <v>513.47</v>
      </c>
      <c r="X2500">
        <v>440.22</v>
      </c>
      <c r="Y2500">
        <v>725</v>
      </c>
      <c r="Z2500" t="s">
        <v>5922</v>
      </c>
    </row>
    <row r="2501" spans="1:26" x14ac:dyDescent="0.2">
      <c r="A2501" t="s">
        <v>4702</v>
      </c>
      <c r="B2501" t="s">
        <v>4709</v>
      </c>
      <c r="C2501" t="s">
        <v>4710</v>
      </c>
      <c r="D2501" t="s">
        <v>98</v>
      </c>
      <c r="E2501">
        <v>99.95</v>
      </c>
      <c r="F2501" t="s">
        <v>6964</v>
      </c>
      <c r="G2501">
        <v>99</v>
      </c>
      <c r="H2501">
        <v>64.569999999999993</v>
      </c>
      <c r="L2501" t="s">
        <v>5922</v>
      </c>
      <c r="Q2501">
        <v>64.569999999999993</v>
      </c>
      <c r="R2501">
        <v>64.569999999999993</v>
      </c>
      <c r="U2501">
        <v>78.52</v>
      </c>
      <c r="V2501">
        <v>62.84</v>
      </c>
      <c r="W2501">
        <v>83.82</v>
      </c>
      <c r="X2501">
        <v>64.569999999999993</v>
      </c>
      <c r="Y2501">
        <v>99</v>
      </c>
      <c r="Z2501" t="s">
        <v>5922</v>
      </c>
    </row>
    <row r="2502" spans="1:26" x14ac:dyDescent="0.2">
      <c r="A2502" t="s">
        <v>4702</v>
      </c>
      <c r="B2502" t="s">
        <v>4711</v>
      </c>
      <c r="C2502" t="s">
        <v>4712</v>
      </c>
      <c r="D2502" t="s">
        <v>98</v>
      </c>
      <c r="E2502">
        <v>169</v>
      </c>
      <c r="F2502" t="s">
        <v>6937</v>
      </c>
      <c r="G2502">
        <v>159</v>
      </c>
      <c r="H2502">
        <v>110.22</v>
      </c>
      <c r="L2502" t="s">
        <v>5922</v>
      </c>
      <c r="Q2502">
        <v>110.22</v>
      </c>
      <c r="R2502">
        <v>110.22</v>
      </c>
      <c r="U2502">
        <v>121.13</v>
      </c>
      <c r="V2502">
        <v>107.28</v>
      </c>
      <c r="W2502">
        <v>126.08</v>
      </c>
      <c r="X2502">
        <v>103.7</v>
      </c>
      <c r="Y2502">
        <v>169</v>
      </c>
      <c r="Z2502" t="s">
        <v>5922</v>
      </c>
    </row>
    <row r="2503" spans="1:26" x14ac:dyDescent="0.2">
      <c r="A2503" t="s">
        <v>4702</v>
      </c>
      <c r="B2503" t="s">
        <v>4713</v>
      </c>
      <c r="C2503" t="s">
        <v>4714</v>
      </c>
      <c r="D2503" t="s">
        <v>98</v>
      </c>
      <c r="E2503">
        <v>165</v>
      </c>
      <c r="F2503" t="s">
        <v>7455</v>
      </c>
      <c r="G2503">
        <v>155</v>
      </c>
      <c r="H2503">
        <v>107.61</v>
      </c>
      <c r="L2503" t="s">
        <v>5922</v>
      </c>
      <c r="Q2503">
        <v>107.61</v>
      </c>
      <c r="R2503">
        <v>107.61</v>
      </c>
      <c r="U2503">
        <v>108.96</v>
      </c>
      <c r="V2503">
        <v>104.74</v>
      </c>
      <c r="W2503">
        <v>119.03</v>
      </c>
      <c r="X2503">
        <v>101.09</v>
      </c>
      <c r="Y2503">
        <v>165</v>
      </c>
      <c r="Z2503" t="s">
        <v>5922</v>
      </c>
    </row>
    <row r="2504" spans="1:26" x14ac:dyDescent="0.2">
      <c r="A2504" t="s">
        <v>4702</v>
      </c>
      <c r="B2504" t="s">
        <v>4715</v>
      </c>
      <c r="C2504" t="s">
        <v>4716</v>
      </c>
      <c r="D2504" t="s">
        <v>98</v>
      </c>
      <c r="E2504">
        <v>135</v>
      </c>
      <c r="F2504" t="s">
        <v>7456</v>
      </c>
      <c r="G2504">
        <v>125</v>
      </c>
      <c r="H2504">
        <v>88.04</v>
      </c>
      <c r="L2504" t="s">
        <v>5922</v>
      </c>
      <c r="Q2504">
        <v>88.04</v>
      </c>
      <c r="R2504">
        <v>88.04</v>
      </c>
      <c r="U2504">
        <v>90.7</v>
      </c>
      <c r="V2504">
        <v>85.7</v>
      </c>
      <c r="W2504">
        <v>97.9</v>
      </c>
      <c r="X2504">
        <v>81.52</v>
      </c>
      <c r="Y2504">
        <v>135</v>
      </c>
      <c r="Z2504" t="s">
        <v>5922</v>
      </c>
    </row>
    <row r="2505" spans="1:26" x14ac:dyDescent="0.2">
      <c r="A2505" t="s">
        <v>4702</v>
      </c>
      <c r="B2505" t="s">
        <v>4717</v>
      </c>
      <c r="C2505" t="s">
        <v>4718</v>
      </c>
      <c r="D2505" t="s">
        <v>98</v>
      </c>
      <c r="E2505">
        <v>169</v>
      </c>
      <c r="F2505" t="s">
        <v>6937</v>
      </c>
      <c r="G2505">
        <v>169</v>
      </c>
      <c r="H2505">
        <v>110.22</v>
      </c>
      <c r="L2505" t="s">
        <v>5922</v>
      </c>
      <c r="Q2505">
        <v>110.22</v>
      </c>
      <c r="R2505">
        <v>110.22</v>
      </c>
      <c r="U2505">
        <v>115.04</v>
      </c>
      <c r="V2505">
        <v>107.28</v>
      </c>
      <c r="W2505">
        <v>126.08</v>
      </c>
      <c r="X2505">
        <v>110.22</v>
      </c>
      <c r="Y2505">
        <v>169</v>
      </c>
      <c r="Z2505" t="s">
        <v>5922</v>
      </c>
    </row>
    <row r="2506" spans="1:26" x14ac:dyDescent="0.2">
      <c r="A2506" t="s">
        <v>4702</v>
      </c>
      <c r="B2506" t="s">
        <v>4719</v>
      </c>
      <c r="C2506" t="s">
        <v>4720</v>
      </c>
      <c r="D2506" t="s">
        <v>98</v>
      </c>
      <c r="E2506">
        <v>110</v>
      </c>
      <c r="F2506" t="s">
        <v>7457</v>
      </c>
      <c r="G2506">
        <v>99</v>
      </c>
      <c r="H2506">
        <v>71.09</v>
      </c>
      <c r="L2506" t="s">
        <v>5922</v>
      </c>
      <c r="Q2506">
        <v>71.09</v>
      </c>
      <c r="R2506">
        <v>71.09</v>
      </c>
      <c r="U2506">
        <v>78.52</v>
      </c>
      <c r="V2506">
        <v>69.19</v>
      </c>
      <c r="W2506">
        <v>83.82</v>
      </c>
      <c r="X2506">
        <v>64.569999999999993</v>
      </c>
      <c r="Y2506">
        <v>109</v>
      </c>
      <c r="Z2506" t="s">
        <v>5922</v>
      </c>
    </row>
    <row r="2507" spans="1:26" x14ac:dyDescent="0.2">
      <c r="A2507" t="s">
        <v>4702</v>
      </c>
      <c r="B2507" t="s">
        <v>4721</v>
      </c>
      <c r="C2507" t="s">
        <v>4722</v>
      </c>
      <c r="D2507" t="s">
        <v>98</v>
      </c>
      <c r="E2507">
        <v>120</v>
      </c>
      <c r="F2507" t="s">
        <v>7458</v>
      </c>
      <c r="G2507">
        <v>115</v>
      </c>
      <c r="H2507">
        <v>77.61</v>
      </c>
      <c r="L2507" t="s">
        <v>5922</v>
      </c>
      <c r="Q2507">
        <v>77.61</v>
      </c>
      <c r="R2507">
        <v>77.61</v>
      </c>
      <c r="U2507">
        <v>84.61</v>
      </c>
      <c r="V2507">
        <v>75.540000000000006</v>
      </c>
      <c r="W2507">
        <v>90.86</v>
      </c>
      <c r="X2507">
        <v>75</v>
      </c>
      <c r="Y2507">
        <v>119</v>
      </c>
      <c r="Z2507" t="s">
        <v>5922</v>
      </c>
    </row>
    <row r="2508" spans="1:26" x14ac:dyDescent="0.2">
      <c r="A2508" t="s">
        <v>4702</v>
      </c>
      <c r="B2508" t="s">
        <v>4723</v>
      </c>
      <c r="C2508" t="s">
        <v>4724</v>
      </c>
      <c r="D2508" t="s">
        <v>98</v>
      </c>
      <c r="E2508">
        <v>145</v>
      </c>
      <c r="F2508" t="s">
        <v>7459</v>
      </c>
      <c r="G2508">
        <v>135</v>
      </c>
      <c r="H2508">
        <v>94.57</v>
      </c>
      <c r="L2508" t="s">
        <v>5922</v>
      </c>
      <c r="Q2508">
        <v>94.57</v>
      </c>
      <c r="R2508">
        <v>94.57</v>
      </c>
      <c r="U2508">
        <v>96.78</v>
      </c>
      <c r="V2508">
        <v>92.04</v>
      </c>
      <c r="W2508">
        <v>104.95</v>
      </c>
      <c r="X2508">
        <v>88.04</v>
      </c>
      <c r="Y2508">
        <v>145</v>
      </c>
      <c r="Z2508" t="s">
        <v>5922</v>
      </c>
    </row>
    <row r="2509" spans="1:26" x14ac:dyDescent="0.2">
      <c r="A2509" t="s">
        <v>4702</v>
      </c>
      <c r="B2509" t="s">
        <v>4725</v>
      </c>
      <c r="C2509" t="s">
        <v>4726</v>
      </c>
      <c r="D2509" t="s">
        <v>98</v>
      </c>
      <c r="E2509">
        <v>520</v>
      </c>
      <c r="F2509" t="s">
        <v>7383</v>
      </c>
      <c r="G2509">
        <v>485</v>
      </c>
      <c r="H2509">
        <v>338.48</v>
      </c>
      <c r="L2509" t="s">
        <v>5922</v>
      </c>
      <c r="Q2509">
        <v>338.48</v>
      </c>
      <c r="R2509">
        <v>338.48</v>
      </c>
      <c r="U2509">
        <v>328.09</v>
      </c>
      <c r="V2509">
        <v>329.45</v>
      </c>
      <c r="W2509">
        <v>372.6</v>
      </c>
      <c r="X2509">
        <v>316.3</v>
      </c>
      <c r="Y2509">
        <v>519</v>
      </c>
      <c r="Z2509" t="s">
        <v>5922</v>
      </c>
    </row>
    <row r="2510" spans="1:26" x14ac:dyDescent="0.2">
      <c r="A2510" t="s">
        <v>4702</v>
      </c>
      <c r="B2510" t="s">
        <v>4727</v>
      </c>
      <c r="C2510" t="s">
        <v>4728</v>
      </c>
      <c r="D2510" t="s">
        <v>98</v>
      </c>
      <c r="E2510">
        <v>275</v>
      </c>
      <c r="F2510" t="s">
        <v>7460</v>
      </c>
      <c r="G2510">
        <v>249</v>
      </c>
      <c r="H2510">
        <v>179.35</v>
      </c>
      <c r="L2510" t="s">
        <v>5922</v>
      </c>
      <c r="Q2510">
        <v>179.35</v>
      </c>
      <c r="R2510">
        <v>179.35</v>
      </c>
      <c r="U2510">
        <v>175.91</v>
      </c>
      <c r="V2510">
        <v>174.57</v>
      </c>
      <c r="W2510">
        <v>196.51</v>
      </c>
      <c r="X2510">
        <v>162.38999999999999</v>
      </c>
      <c r="Y2510">
        <v>275</v>
      </c>
      <c r="Z2510" t="s">
        <v>5922</v>
      </c>
    </row>
    <row r="2511" spans="1:26" x14ac:dyDescent="0.2">
      <c r="A2511" t="s">
        <v>4702</v>
      </c>
      <c r="B2511" t="s">
        <v>4729</v>
      </c>
      <c r="C2511" t="s">
        <v>4730</v>
      </c>
      <c r="D2511" t="s">
        <v>138</v>
      </c>
      <c r="E2511">
        <v>275</v>
      </c>
      <c r="F2511" t="s">
        <v>7460</v>
      </c>
      <c r="G2511">
        <v>249</v>
      </c>
      <c r="H2511">
        <v>179.35</v>
      </c>
      <c r="L2511" t="s">
        <v>5922</v>
      </c>
      <c r="Q2511">
        <v>179.35</v>
      </c>
      <c r="R2511">
        <v>179.35</v>
      </c>
      <c r="U2511">
        <v>175.91</v>
      </c>
      <c r="V2511">
        <v>174.57</v>
      </c>
      <c r="W2511">
        <v>196.51</v>
      </c>
      <c r="X2511">
        <v>162.38999999999999</v>
      </c>
      <c r="Y2511">
        <v>275</v>
      </c>
      <c r="Z2511" t="s">
        <v>5922</v>
      </c>
    </row>
    <row r="2512" spans="1:26" x14ac:dyDescent="0.2">
      <c r="A2512" t="s">
        <v>4702</v>
      </c>
      <c r="B2512" t="s">
        <v>4731</v>
      </c>
      <c r="C2512" t="s">
        <v>4732</v>
      </c>
      <c r="D2512" t="s">
        <v>98</v>
      </c>
      <c r="E2512">
        <v>255</v>
      </c>
      <c r="F2512" t="s">
        <v>7461</v>
      </c>
      <c r="G2512">
        <v>249</v>
      </c>
      <c r="H2512">
        <v>166.3</v>
      </c>
      <c r="L2512" t="s">
        <v>5922</v>
      </c>
      <c r="Q2512">
        <v>166.3</v>
      </c>
      <c r="R2512">
        <v>166.3</v>
      </c>
      <c r="U2512">
        <v>169.83</v>
      </c>
      <c r="V2512">
        <v>161.87</v>
      </c>
      <c r="W2512">
        <v>182.43</v>
      </c>
      <c r="X2512">
        <v>162.38999999999999</v>
      </c>
      <c r="Y2512">
        <v>255</v>
      </c>
      <c r="Z2512" t="s">
        <v>5922</v>
      </c>
    </row>
    <row r="2513" spans="1:26" x14ac:dyDescent="0.2">
      <c r="A2513" t="s">
        <v>4702</v>
      </c>
      <c r="B2513" t="s">
        <v>4733</v>
      </c>
      <c r="C2513" t="s">
        <v>4734</v>
      </c>
      <c r="D2513" t="s">
        <v>98</v>
      </c>
      <c r="E2513">
        <v>465</v>
      </c>
      <c r="F2513" t="s">
        <v>7462</v>
      </c>
      <c r="G2513">
        <v>425</v>
      </c>
      <c r="H2513">
        <v>303.26</v>
      </c>
      <c r="L2513" t="s">
        <v>5922</v>
      </c>
      <c r="Q2513">
        <v>303.26</v>
      </c>
      <c r="R2513">
        <v>303.26</v>
      </c>
      <c r="U2513">
        <v>291.57</v>
      </c>
      <c r="V2513">
        <v>295.17</v>
      </c>
      <c r="W2513">
        <v>330.34</v>
      </c>
      <c r="X2513">
        <v>277.17</v>
      </c>
      <c r="Y2513">
        <v>465</v>
      </c>
      <c r="Z2513" t="s">
        <v>5922</v>
      </c>
    </row>
    <row r="2514" spans="1:26" x14ac:dyDescent="0.2">
      <c r="A2514" t="s">
        <v>4702</v>
      </c>
      <c r="B2514" t="s">
        <v>4735</v>
      </c>
      <c r="C2514" t="s">
        <v>4736</v>
      </c>
      <c r="D2514" t="s">
        <v>98</v>
      </c>
      <c r="E2514">
        <v>54.99</v>
      </c>
      <c r="F2514" t="s">
        <v>5922</v>
      </c>
      <c r="G2514">
        <v>44.99</v>
      </c>
      <c r="H2514">
        <v>40.64</v>
      </c>
      <c r="L2514" t="s">
        <v>5922</v>
      </c>
      <c r="U2514">
        <v>34.909999999999997</v>
      </c>
      <c r="W2514">
        <v>36.340000000000003</v>
      </c>
      <c r="X2514">
        <v>35.86</v>
      </c>
      <c r="Y2514">
        <v>44.99</v>
      </c>
      <c r="Z2514" t="s">
        <v>5922</v>
      </c>
    </row>
    <row r="2515" spans="1:26" x14ac:dyDescent="0.2">
      <c r="A2515" t="s">
        <v>4702</v>
      </c>
      <c r="B2515" t="s">
        <v>4737</v>
      </c>
      <c r="C2515" t="s">
        <v>4738</v>
      </c>
      <c r="D2515" t="s">
        <v>98</v>
      </c>
      <c r="E2515">
        <v>139</v>
      </c>
      <c r="F2515" t="s">
        <v>7068</v>
      </c>
      <c r="G2515">
        <v>129</v>
      </c>
      <c r="H2515">
        <v>90.65</v>
      </c>
      <c r="L2515" t="s">
        <v>5922</v>
      </c>
      <c r="Q2515">
        <v>90.65</v>
      </c>
      <c r="R2515">
        <v>90.65</v>
      </c>
      <c r="U2515">
        <v>96.78</v>
      </c>
      <c r="V2515">
        <v>88.23</v>
      </c>
      <c r="W2515">
        <v>104.95</v>
      </c>
      <c r="X2515">
        <v>84.13</v>
      </c>
      <c r="Y2515">
        <v>139</v>
      </c>
      <c r="Z2515" t="s">
        <v>5922</v>
      </c>
    </row>
    <row r="2516" spans="1:26" x14ac:dyDescent="0.2">
      <c r="A2516" t="s">
        <v>4702</v>
      </c>
      <c r="B2516" t="s">
        <v>4739</v>
      </c>
      <c r="C2516" t="s">
        <v>4740</v>
      </c>
      <c r="D2516" t="s">
        <v>98</v>
      </c>
      <c r="E2516">
        <v>139</v>
      </c>
      <c r="F2516" t="s">
        <v>7068</v>
      </c>
      <c r="G2516">
        <v>135</v>
      </c>
      <c r="H2516">
        <v>90.65</v>
      </c>
      <c r="L2516" t="s">
        <v>5922</v>
      </c>
      <c r="Q2516">
        <v>90.65</v>
      </c>
      <c r="R2516">
        <v>90.65</v>
      </c>
      <c r="U2516">
        <v>96.78</v>
      </c>
      <c r="V2516">
        <v>88.23</v>
      </c>
      <c r="W2516">
        <v>104.95</v>
      </c>
      <c r="X2516">
        <v>88.04</v>
      </c>
      <c r="Y2516">
        <v>139</v>
      </c>
      <c r="Z2516" t="s">
        <v>5922</v>
      </c>
    </row>
    <row r="2517" spans="1:26" x14ac:dyDescent="0.2">
      <c r="A2517" t="s">
        <v>4702</v>
      </c>
      <c r="B2517" t="s">
        <v>4741</v>
      </c>
      <c r="C2517" t="s">
        <v>4742</v>
      </c>
      <c r="D2517" t="s">
        <v>98</v>
      </c>
      <c r="E2517">
        <v>54.99</v>
      </c>
      <c r="F2517" t="s">
        <v>5922</v>
      </c>
      <c r="G2517">
        <v>55</v>
      </c>
      <c r="H2517">
        <v>40.64</v>
      </c>
      <c r="L2517" t="s">
        <v>5922</v>
      </c>
      <c r="U2517">
        <v>38.26</v>
      </c>
      <c r="V2517">
        <v>34.909999999999997</v>
      </c>
      <c r="W2517">
        <v>38.26</v>
      </c>
      <c r="X2517">
        <v>35.869999999999997</v>
      </c>
      <c r="Y2517">
        <v>55</v>
      </c>
      <c r="Z2517" t="s">
        <v>5922</v>
      </c>
    </row>
    <row r="2518" spans="1:26" x14ac:dyDescent="0.2">
      <c r="A2518" t="s">
        <v>4702</v>
      </c>
      <c r="B2518" t="s">
        <v>4743</v>
      </c>
      <c r="C2518" t="s">
        <v>4744</v>
      </c>
      <c r="D2518" t="s">
        <v>98</v>
      </c>
      <c r="E2518">
        <v>54.99</v>
      </c>
      <c r="F2518" t="s">
        <v>5922</v>
      </c>
      <c r="G2518">
        <v>55</v>
      </c>
      <c r="H2518">
        <v>40.64</v>
      </c>
      <c r="L2518" t="s">
        <v>5922</v>
      </c>
      <c r="U2518">
        <v>38.26</v>
      </c>
      <c r="V2518">
        <v>34.909999999999997</v>
      </c>
      <c r="W2518">
        <v>38.26</v>
      </c>
      <c r="X2518">
        <v>35.869999999999997</v>
      </c>
      <c r="Y2518">
        <v>55</v>
      </c>
      <c r="Z2518" t="s">
        <v>5922</v>
      </c>
    </row>
    <row r="2519" spans="1:26" x14ac:dyDescent="0.2">
      <c r="A2519" t="s">
        <v>4702</v>
      </c>
      <c r="B2519" t="s">
        <v>4745</v>
      </c>
      <c r="C2519" t="s">
        <v>4746</v>
      </c>
      <c r="D2519" t="s">
        <v>98</v>
      </c>
      <c r="E2519">
        <v>54.99</v>
      </c>
      <c r="F2519" t="s">
        <v>5922</v>
      </c>
      <c r="G2519">
        <v>49.99</v>
      </c>
      <c r="H2519">
        <v>40.64</v>
      </c>
      <c r="L2519" t="s">
        <v>5922</v>
      </c>
      <c r="U2519">
        <v>34.909999999999997</v>
      </c>
      <c r="W2519">
        <v>36.340000000000003</v>
      </c>
      <c r="X2519">
        <v>35.86</v>
      </c>
      <c r="Y2519">
        <v>49.99</v>
      </c>
      <c r="Z2519" t="s">
        <v>5922</v>
      </c>
    </row>
    <row r="2520" spans="1:26" x14ac:dyDescent="0.2">
      <c r="A2520" t="s">
        <v>4702</v>
      </c>
      <c r="B2520" t="s">
        <v>4747</v>
      </c>
      <c r="C2520" t="s">
        <v>4748</v>
      </c>
      <c r="D2520" t="s">
        <v>98</v>
      </c>
      <c r="E2520">
        <v>54.99</v>
      </c>
      <c r="F2520" t="s">
        <v>5922</v>
      </c>
      <c r="G2520">
        <v>55</v>
      </c>
      <c r="H2520">
        <v>40.64</v>
      </c>
      <c r="L2520" t="s">
        <v>5922</v>
      </c>
      <c r="U2520">
        <v>38.26</v>
      </c>
      <c r="V2520">
        <v>34.909999999999997</v>
      </c>
      <c r="W2520">
        <v>38.26</v>
      </c>
      <c r="X2520">
        <v>35.869999999999997</v>
      </c>
      <c r="Y2520">
        <v>55</v>
      </c>
      <c r="Z2520" t="s">
        <v>5922</v>
      </c>
    </row>
    <row r="2521" spans="1:26" x14ac:dyDescent="0.2">
      <c r="A2521" t="s">
        <v>4702</v>
      </c>
      <c r="B2521" t="s">
        <v>4749</v>
      </c>
      <c r="C2521" t="s">
        <v>4750</v>
      </c>
      <c r="D2521" t="s">
        <v>98</v>
      </c>
      <c r="E2521">
        <v>54.99</v>
      </c>
      <c r="F2521" t="s">
        <v>5922</v>
      </c>
      <c r="G2521">
        <v>55</v>
      </c>
      <c r="H2521">
        <v>40.64</v>
      </c>
      <c r="L2521" t="s">
        <v>5922</v>
      </c>
      <c r="U2521">
        <v>38.26</v>
      </c>
      <c r="V2521">
        <v>34.909999999999997</v>
      </c>
      <c r="W2521">
        <v>38.26</v>
      </c>
      <c r="X2521">
        <v>35.869999999999997</v>
      </c>
      <c r="Y2521">
        <v>55</v>
      </c>
      <c r="Z2521" t="s">
        <v>5922</v>
      </c>
    </row>
    <row r="2522" spans="1:26" x14ac:dyDescent="0.2">
      <c r="A2522" t="s">
        <v>4702</v>
      </c>
      <c r="B2522" t="s">
        <v>4751</v>
      </c>
      <c r="C2522" t="s">
        <v>4752</v>
      </c>
      <c r="D2522" t="s">
        <v>98</v>
      </c>
      <c r="E2522">
        <v>54.99</v>
      </c>
      <c r="F2522" t="s">
        <v>5922</v>
      </c>
      <c r="G2522">
        <v>55</v>
      </c>
      <c r="H2522">
        <v>40.64</v>
      </c>
      <c r="L2522" t="s">
        <v>5922</v>
      </c>
      <c r="U2522">
        <v>38.26</v>
      </c>
      <c r="V2522">
        <v>34.909999999999997</v>
      </c>
      <c r="W2522">
        <v>38.26</v>
      </c>
      <c r="X2522">
        <v>35.869999999999997</v>
      </c>
      <c r="Y2522">
        <v>55</v>
      </c>
      <c r="Z2522" t="s">
        <v>5922</v>
      </c>
    </row>
    <row r="2523" spans="1:26" x14ac:dyDescent="0.2">
      <c r="A2523" t="s">
        <v>4702</v>
      </c>
      <c r="B2523" t="s">
        <v>4753</v>
      </c>
      <c r="C2523" t="s">
        <v>4754</v>
      </c>
      <c r="D2523" t="s">
        <v>98</v>
      </c>
      <c r="E2523">
        <v>39</v>
      </c>
      <c r="F2523" t="s">
        <v>5922</v>
      </c>
      <c r="G2523">
        <v>39</v>
      </c>
      <c r="H2523">
        <v>29.56</v>
      </c>
      <c r="L2523" t="s">
        <v>5922</v>
      </c>
      <c r="U2523">
        <v>27.13</v>
      </c>
      <c r="V2523">
        <v>24.76</v>
      </c>
      <c r="W2523">
        <v>27.13</v>
      </c>
      <c r="X2523">
        <v>25.43</v>
      </c>
      <c r="Y2523">
        <v>39</v>
      </c>
      <c r="Z2523" t="s">
        <v>5922</v>
      </c>
    </row>
    <row r="2524" spans="1:26" x14ac:dyDescent="0.2">
      <c r="A2524" t="s">
        <v>4702</v>
      </c>
      <c r="B2524" t="s">
        <v>4755</v>
      </c>
      <c r="C2524" t="s">
        <v>4756</v>
      </c>
      <c r="D2524" t="s">
        <v>98</v>
      </c>
      <c r="E2524">
        <v>39</v>
      </c>
      <c r="F2524" t="s">
        <v>5922</v>
      </c>
      <c r="G2524">
        <v>39</v>
      </c>
      <c r="H2524">
        <v>29.56</v>
      </c>
      <c r="L2524" t="s">
        <v>5922</v>
      </c>
      <c r="U2524">
        <v>27.13</v>
      </c>
      <c r="V2524">
        <v>24.76</v>
      </c>
      <c r="W2524">
        <v>27.13</v>
      </c>
      <c r="X2524">
        <v>25.43</v>
      </c>
      <c r="Y2524">
        <v>39</v>
      </c>
      <c r="Z2524" t="s">
        <v>5922</v>
      </c>
    </row>
    <row r="2525" spans="1:26" x14ac:dyDescent="0.2">
      <c r="A2525" t="s">
        <v>4702</v>
      </c>
      <c r="B2525" t="s">
        <v>4757</v>
      </c>
      <c r="C2525" t="s">
        <v>4758</v>
      </c>
      <c r="D2525" t="s">
        <v>98</v>
      </c>
      <c r="E2525">
        <v>39</v>
      </c>
      <c r="F2525" t="s">
        <v>5922</v>
      </c>
      <c r="G2525">
        <v>39</v>
      </c>
      <c r="H2525">
        <v>29.56</v>
      </c>
      <c r="L2525" t="s">
        <v>5922</v>
      </c>
      <c r="U2525">
        <v>27.13</v>
      </c>
      <c r="V2525">
        <v>24.76</v>
      </c>
      <c r="W2525">
        <v>27.13</v>
      </c>
      <c r="X2525">
        <v>25.43</v>
      </c>
      <c r="Y2525">
        <v>39</v>
      </c>
      <c r="Z2525" t="s">
        <v>5922</v>
      </c>
    </row>
    <row r="2526" spans="1:26" x14ac:dyDescent="0.2">
      <c r="A2526" t="s">
        <v>4702</v>
      </c>
      <c r="B2526" t="s">
        <v>4759</v>
      </c>
      <c r="C2526" t="s">
        <v>4760</v>
      </c>
      <c r="D2526" t="s">
        <v>98</v>
      </c>
      <c r="E2526">
        <v>39</v>
      </c>
      <c r="F2526" t="s">
        <v>5922</v>
      </c>
      <c r="G2526">
        <v>39</v>
      </c>
      <c r="H2526">
        <v>29.56</v>
      </c>
      <c r="L2526" t="s">
        <v>5922</v>
      </c>
      <c r="U2526">
        <v>27.13</v>
      </c>
      <c r="V2526">
        <v>24.76</v>
      </c>
      <c r="W2526">
        <v>27.13</v>
      </c>
      <c r="X2526">
        <v>25.43</v>
      </c>
      <c r="Y2526">
        <v>39</v>
      </c>
      <c r="Z2526" t="s">
        <v>5922</v>
      </c>
    </row>
    <row r="2527" spans="1:26" x14ac:dyDescent="0.2">
      <c r="A2527" t="s">
        <v>4702</v>
      </c>
      <c r="B2527" t="s">
        <v>4761</v>
      </c>
      <c r="C2527" t="s">
        <v>4762</v>
      </c>
      <c r="D2527" t="s">
        <v>98</v>
      </c>
      <c r="E2527">
        <v>39.99</v>
      </c>
      <c r="F2527" t="s">
        <v>5922</v>
      </c>
      <c r="G2527">
        <v>34.99</v>
      </c>
      <c r="H2527">
        <v>29.56</v>
      </c>
      <c r="L2527" t="s">
        <v>5922</v>
      </c>
      <c r="U2527">
        <v>25.38</v>
      </c>
      <c r="W2527">
        <v>26.43</v>
      </c>
      <c r="X2527">
        <v>26.08</v>
      </c>
      <c r="Y2527">
        <v>34.99</v>
      </c>
      <c r="Z2527" t="s">
        <v>5922</v>
      </c>
    </row>
    <row r="2528" spans="1:26" x14ac:dyDescent="0.2">
      <c r="A2528" t="s">
        <v>4702</v>
      </c>
      <c r="B2528" t="s">
        <v>4763</v>
      </c>
      <c r="C2528" t="s">
        <v>4764</v>
      </c>
      <c r="D2528" t="s">
        <v>98</v>
      </c>
      <c r="E2528">
        <v>139</v>
      </c>
      <c r="F2528" t="s">
        <v>7068</v>
      </c>
      <c r="G2528">
        <v>135</v>
      </c>
      <c r="H2528">
        <v>90.65</v>
      </c>
      <c r="L2528" t="s">
        <v>5922</v>
      </c>
      <c r="Q2528">
        <v>90.65</v>
      </c>
      <c r="R2528">
        <v>90.65</v>
      </c>
      <c r="U2528">
        <v>96.78</v>
      </c>
      <c r="V2528">
        <v>88.23</v>
      </c>
      <c r="W2528">
        <v>104.95</v>
      </c>
      <c r="X2528">
        <v>88.04</v>
      </c>
      <c r="Y2528">
        <v>139</v>
      </c>
      <c r="Z2528" t="s">
        <v>5922</v>
      </c>
    </row>
    <row r="2529" spans="1:26" x14ac:dyDescent="0.2">
      <c r="A2529" t="s">
        <v>4702</v>
      </c>
      <c r="B2529" t="s">
        <v>4765</v>
      </c>
      <c r="C2529" t="s">
        <v>4766</v>
      </c>
      <c r="D2529" t="s">
        <v>98</v>
      </c>
      <c r="E2529">
        <v>110</v>
      </c>
      <c r="F2529" t="s">
        <v>7457</v>
      </c>
      <c r="G2529">
        <v>115</v>
      </c>
      <c r="H2529">
        <v>71.09</v>
      </c>
      <c r="L2529" t="s">
        <v>5922</v>
      </c>
      <c r="Q2529">
        <v>71.09</v>
      </c>
      <c r="R2529">
        <v>71.09</v>
      </c>
      <c r="U2529">
        <v>78.52</v>
      </c>
      <c r="V2529">
        <v>69.19</v>
      </c>
      <c r="W2529">
        <v>90.86</v>
      </c>
      <c r="X2529">
        <v>75</v>
      </c>
      <c r="Y2529">
        <v>109</v>
      </c>
      <c r="Z2529" t="s">
        <v>5922</v>
      </c>
    </row>
    <row r="2530" spans="1:26" x14ac:dyDescent="0.2">
      <c r="A2530" t="s">
        <v>4702</v>
      </c>
      <c r="B2530" t="s">
        <v>4767</v>
      </c>
      <c r="C2530" t="s">
        <v>4768</v>
      </c>
      <c r="D2530" t="s">
        <v>98</v>
      </c>
      <c r="E2530">
        <v>44.99</v>
      </c>
      <c r="F2530" t="s">
        <v>5922</v>
      </c>
      <c r="G2530">
        <v>45</v>
      </c>
      <c r="H2530">
        <v>33.25</v>
      </c>
      <c r="L2530" t="s">
        <v>5922</v>
      </c>
      <c r="U2530">
        <v>31.3</v>
      </c>
      <c r="V2530">
        <v>28.57</v>
      </c>
      <c r="W2530">
        <v>31.3</v>
      </c>
      <c r="X2530">
        <v>29.35</v>
      </c>
      <c r="Y2530">
        <v>45</v>
      </c>
      <c r="Z2530" t="s">
        <v>5922</v>
      </c>
    </row>
    <row r="2531" spans="1:26" x14ac:dyDescent="0.2">
      <c r="A2531" t="s">
        <v>4702</v>
      </c>
      <c r="B2531" t="s">
        <v>4769</v>
      </c>
      <c r="C2531" t="s">
        <v>4770</v>
      </c>
      <c r="D2531" t="s">
        <v>98</v>
      </c>
      <c r="E2531">
        <v>45</v>
      </c>
      <c r="F2531" t="s">
        <v>5922</v>
      </c>
      <c r="G2531">
        <v>45</v>
      </c>
      <c r="H2531">
        <v>33.25</v>
      </c>
      <c r="L2531" t="s">
        <v>5922</v>
      </c>
      <c r="U2531">
        <v>31.3</v>
      </c>
      <c r="V2531">
        <v>28.57</v>
      </c>
      <c r="W2531">
        <v>29.73</v>
      </c>
      <c r="X2531">
        <v>29.35</v>
      </c>
      <c r="Y2531">
        <v>45</v>
      </c>
      <c r="Z2531" t="s">
        <v>5922</v>
      </c>
    </row>
    <row r="2532" spans="1:26" x14ac:dyDescent="0.2">
      <c r="A2532" t="s">
        <v>4702</v>
      </c>
      <c r="B2532" t="s">
        <v>4771</v>
      </c>
      <c r="C2532" t="s">
        <v>4772</v>
      </c>
      <c r="D2532" t="s">
        <v>98</v>
      </c>
      <c r="E2532">
        <v>44.99</v>
      </c>
      <c r="F2532" t="s">
        <v>5922</v>
      </c>
      <c r="G2532">
        <v>39.99</v>
      </c>
      <c r="H2532">
        <v>33.25</v>
      </c>
      <c r="L2532" t="s">
        <v>5922</v>
      </c>
      <c r="U2532">
        <v>28.56</v>
      </c>
      <c r="W2532">
        <v>29.73</v>
      </c>
      <c r="X2532">
        <v>29.34</v>
      </c>
      <c r="Y2532">
        <v>39.99</v>
      </c>
      <c r="Z2532" t="s">
        <v>5922</v>
      </c>
    </row>
    <row r="2533" spans="1:26" x14ac:dyDescent="0.2">
      <c r="A2533" t="s">
        <v>4702</v>
      </c>
      <c r="B2533" t="s">
        <v>4773</v>
      </c>
      <c r="C2533" t="s">
        <v>4774</v>
      </c>
      <c r="D2533" t="s">
        <v>98</v>
      </c>
      <c r="E2533">
        <v>285</v>
      </c>
      <c r="F2533" t="s">
        <v>7463</v>
      </c>
      <c r="G2533">
        <v>259</v>
      </c>
      <c r="H2533">
        <v>185.87</v>
      </c>
      <c r="L2533" t="s">
        <v>5922</v>
      </c>
      <c r="Q2533">
        <v>185.87</v>
      </c>
      <c r="R2533">
        <v>185.87</v>
      </c>
      <c r="U2533">
        <v>182</v>
      </c>
      <c r="V2533">
        <v>180.91</v>
      </c>
      <c r="W2533">
        <v>203.56</v>
      </c>
      <c r="X2533">
        <v>168.91</v>
      </c>
      <c r="Y2533">
        <v>285</v>
      </c>
      <c r="Z2533" t="s">
        <v>5922</v>
      </c>
    </row>
    <row r="2534" spans="1:26" x14ac:dyDescent="0.2">
      <c r="A2534" t="s">
        <v>4702</v>
      </c>
      <c r="B2534" t="s">
        <v>4775</v>
      </c>
      <c r="C2534" t="s">
        <v>4776</v>
      </c>
      <c r="D2534" t="s">
        <v>98</v>
      </c>
      <c r="E2534">
        <v>499</v>
      </c>
      <c r="F2534" t="s">
        <v>7062</v>
      </c>
      <c r="G2534">
        <v>459</v>
      </c>
      <c r="H2534">
        <v>325.43</v>
      </c>
      <c r="L2534" t="s">
        <v>5922</v>
      </c>
      <c r="Q2534">
        <v>325.43</v>
      </c>
      <c r="R2534">
        <v>325.43</v>
      </c>
      <c r="U2534">
        <v>303.74</v>
      </c>
      <c r="V2534">
        <v>316.76</v>
      </c>
      <c r="W2534">
        <v>358.51</v>
      </c>
      <c r="X2534">
        <v>299.35000000000002</v>
      </c>
      <c r="Y2534">
        <v>499</v>
      </c>
      <c r="Z2534" t="s">
        <v>5922</v>
      </c>
    </row>
    <row r="2535" spans="1:26" x14ac:dyDescent="0.2">
      <c r="A2535" t="s">
        <v>4702</v>
      </c>
      <c r="B2535" t="s">
        <v>4777</v>
      </c>
      <c r="C2535" t="s">
        <v>4778</v>
      </c>
      <c r="D2535" t="s">
        <v>98</v>
      </c>
      <c r="E2535">
        <v>84.95</v>
      </c>
      <c r="F2535" t="s">
        <v>7059</v>
      </c>
      <c r="G2535">
        <v>79</v>
      </c>
      <c r="H2535">
        <v>58.04</v>
      </c>
      <c r="L2535" t="s">
        <v>5922</v>
      </c>
      <c r="Q2535">
        <v>58.04</v>
      </c>
      <c r="R2535">
        <v>58.04</v>
      </c>
      <c r="U2535">
        <v>66.349999999999994</v>
      </c>
      <c r="V2535">
        <v>56.5</v>
      </c>
      <c r="W2535">
        <v>69.73</v>
      </c>
      <c r="X2535">
        <v>58.04</v>
      </c>
      <c r="Y2535">
        <v>89</v>
      </c>
      <c r="Z2535" t="s">
        <v>5922</v>
      </c>
    </row>
    <row r="2536" spans="1:26" x14ac:dyDescent="0.2">
      <c r="A2536" t="s">
        <v>4702</v>
      </c>
      <c r="B2536" t="s">
        <v>4779</v>
      </c>
      <c r="C2536" t="s">
        <v>4780</v>
      </c>
      <c r="D2536" t="s">
        <v>98</v>
      </c>
      <c r="E2536">
        <v>84.95</v>
      </c>
      <c r="F2536" t="s">
        <v>7059</v>
      </c>
      <c r="G2536">
        <v>79</v>
      </c>
      <c r="H2536">
        <v>58.04</v>
      </c>
      <c r="L2536" t="s">
        <v>5922</v>
      </c>
      <c r="Q2536">
        <v>58.04</v>
      </c>
      <c r="R2536">
        <v>58.04</v>
      </c>
      <c r="U2536">
        <v>66.349999999999994</v>
      </c>
      <c r="V2536">
        <v>56.5</v>
      </c>
      <c r="W2536">
        <v>69.73</v>
      </c>
      <c r="X2536">
        <v>58.04</v>
      </c>
      <c r="Y2536">
        <v>89</v>
      </c>
      <c r="Z2536" t="s">
        <v>5922</v>
      </c>
    </row>
    <row r="2537" spans="1:26" x14ac:dyDescent="0.2">
      <c r="A2537" t="s">
        <v>4702</v>
      </c>
      <c r="B2537" t="s">
        <v>4781</v>
      </c>
      <c r="C2537" t="s">
        <v>4782</v>
      </c>
      <c r="D2537" t="s">
        <v>98</v>
      </c>
      <c r="E2537">
        <v>135</v>
      </c>
      <c r="F2537" t="s">
        <v>7456</v>
      </c>
      <c r="G2537">
        <v>125</v>
      </c>
      <c r="H2537">
        <v>88.04</v>
      </c>
      <c r="L2537" t="s">
        <v>5922</v>
      </c>
      <c r="Q2537">
        <v>88.04</v>
      </c>
      <c r="R2537">
        <v>88.04</v>
      </c>
      <c r="U2537">
        <v>96.78</v>
      </c>
      <c r="V2537">
        <v>85.7</v>
      </c>
      <c r="W2537">
        <v>97.9</v>
      </c>
      <c r="X2537">
        <v>84.13</v>
      </c>
      <c r="Y2537">
        <v>135</v>
      </c>
      <c r="Z2537" t="s">
        <v>5922</v>
      </c>
    </row>
    <row r="2538" spans="1:26" x14ac:dyDescent="0.2">
      <c r="A2538" t="s">
        <v>4702</v>
      </c>
      <c r="B2538" t="s">
        <v>4783</v>
      </c>
      <c r="C2538" t="s">
        <v>4784</v>
      </c>
      <c r="D2538" t="s">
        <v>98</v>
      </c>
      <c r="E2538">
        <v>99.95</v>
      </c>
      <c r="F2538" t="s">
        <v>6964</v>
      </c>
      <c r="G2538">
        <v>89</v>
      </c>
      <c r="H2538">
        <v>64.569999999999993</v>
      </c>
      <c r="L2538" t="s">
        <v>5922</v>
      </c>
      <c r="Q2538">
        <v>64.569999999999993</v>
      </c>
      <c r="R2538">
        <v>64.569999999999993</v>
      </c>
      <c r="U2538">
        <v>78.52</v>
      </c>
      <c r="V2538">
        <v>62.84</v>
      </c>
      <c r="W2538">
        <v>76.77</v>
      </c>
      <c r="X2538">
        <v>58.04</v>
      </c>
      <c r="Y2538">
        <v>99</v>
      </c>
      <c r="Z2538" t="s">
        <v>5922</v>
      </c>
    </row>
    <row r="2539" spans="1:26" x14ac:dyDescent="0.2">
      <c r="A2539" t="s">
        <v>4702</v>
      </c>
      <c r="B2539" t="s">
        <v>4785</v>
      </c>
      <c r="C2539" t="s">
        <v>4786</v>
      </c>
      <c r="D2539" t="s">
        <v>98</v>
      </c>
      <c r="E2539">
        <v>99.95</v>
      </c>
      <c r="F2539" t="s">
        <v>6964</v>
      </c>
      <c r="G2539">
        <v>89</v>
      </c>
      <c r="H2539">
        <v>64.569999999999993</v>
      </c>
      <c r="L2539" t="s">
        <v>5922</v>
      </c>
      <c r="Q2539">
        <v>64.569999999999993</v>
      </c>
      <c r="R2539">
        <v>64.569999999999993</v>
      </c>
      <c r="U2539">
        <v>78.52</v>
      </c>
      <c r="V2539">
        <v>62.84</v>
      </c>
      <c r="W2539">
        <v>76.77</v>
      </c>
      <c r="X2539">
        <v>58.04</v>
      </c>
      <c r="Y2539">
        <v>99</v>
      </c>
      <c r="Z2539" t="s">
        <v>5922</v>
      </c>
    </row>
    <row r="2540" spans="1:26" x14ac:dyDescent="0.2">
      <c r="A2540" t="s">
        <v>4702</v>
      </c>
      <c r="B2540" t="s">
        <v>4787</v>
      </c>
      <c r="C2540" t="s">
        <v>4788</v>
      </c>
      <c r="D2540" t="s">
        <v>98</v>
      </c>
      <c r="E2540">
        <v>49.99</v>
      </c>
      <c r="F2540" t="s">
        <v>5922</v>
      </c>
      <c r="G2540">
        <v>39.99</v>
      </c>
      <c r="H2540">
        <v>36.950000000000003</v>
      </c>
      <c r="L2540" t="s">
        <v>5922</v>
      </c>
      <c r="U2540">
        <v>31.73</v>
      </c>
      <c r="W2540">
        <v>33.04</v>
      </c>
      <c r="X2540">
        <v>32.6</v>
      </c>
      <c r="Y2540">
        <v>39.99</v>
      </c>
      <c r="Z2540" t="s">
        <v>5922</v>
      </c>
    </row>
    <row r="2541" spans="1:26" x14ac:dyDescent="0.2">
      <c r="A2541" t="s">
        <v>4702</v>
      </c>
      <c r="B2541" t="s">
        <v>4789</v>
      </c>
      <c r="C2541" t="s">
        <v>4790</v>
      </c>
      <c r="D2541" t="s">
        <v>98</v>
      </c>
      <c r="E2541">
        <v>110</v>
      </c>
      <c r="F2541" t="s">
        <v>7457</v>
      </c>
      <c r="G2541">
        <v>99</v>
      </c>
      <c r="H2541">
        <v>66.349999999999994</v>
      </c>
      <c r="L2541" t="s">
        <v>5922</v>
      </c>
      <c r="Q2541">
        <v>66.349999999999994</v>
      </c>
      <c r="R2541">
        <v>66.349999999999994</v>
      </c>
      <c r="U2541">
        <v>78.52</v>
      </c>
      <c r="V2541">
        <v>69.19</v>
      </c>
      <c r="W2541">
        <v>83.82</v>
      </c>
      <c r="X2541">
        <v>71.09</v>
      </c>
      <c r="Y2541">
        <v>109</v>
      </c>
      <c r="Z2541" t="s">
        <v>5922</v>
      </c>
    </row>
    <row r="2542" spans="1:26" x14ac:dyDescent="0.2">
      <c r="A2542" t="s">
        <v>4702</v>
      </c>
      <c r="B2542" t="s">
        <v>4791</v>
      </c>
      <c r="C2542" t="s">
        <v>4792</v>
      </c>
      <c r="D2542" t="s">
        <v>98</v>
      </c>
      <c r="E2542">
        <v>995</v>
      </c>
      <c r="F2542" t="s">
        <v>5922</v>
      </c>
      <c r="G2542">
        <v>995</v>
      </c>
      <c r="H2542">
        <v>648.91</v>
      </c>
      <c r="L2542" t="s">
        <v>5922</v>
      </c>
      <c r="Q2542">
        <v>648.91</v>
      </c>
      <c r="R2542">
        <v>648.91</v>
      </c>
      <c r="U2542">
        <v>634.15</v>
      </c>
      <c r="V2542">
        <v>634.15</v>
      </c>
      <c r="W2542">
        <v>700.83</v>
      </c>
      <c r="X2542">
        <v>648.91</v>
      </c>
      <c r="Y2542">
        <v>995</v>
      </c>
      <c r="Z2542" t="s">
        <v>5922</v>
      </c>
    </row>
    <row r="2543" spans="1:26" x14ac:dyDescent="0.2">
      <c r="A2543" t="s">
        <v>4702</v>
      </c>
      <c r="B2543" t="s">
        <v>6200</v>
      </c>
      <c r="C2543" t="s">
        <v>4793</v>
      </c>
      <c r="D2543" t="s">
        <v>98</v>
      </c>
      <c r="E2543">
        <v>120</v>
      </c>
      <c r="F2543" t="s">
        <v>7458</v>
      </c>
      <c r="G2543">
        <v>110</v>
      </c>
      <c r="H2543">
        <v>77.61</v>
      </c>
      <c r="L2543" t="s">
        <v>5922</v>
      </c>
      <c r="Q2543">
        <v>77.61</v>
      </c>
      <c r="R2543">
        <v>77.61</v>
      </c>
      <c r="U2543">
        <v>90.7</v>
      </c>
      <c r="V2543">
        <v>75.540000000000006</v>
      </c>
      <c r="W2543">
        <v>90.86</v>
      </c>
      <c r="X2543">
        <v>71.739999999999995</v>
      </c>
      <c r="Y2543">
        <v>119</v>
      </c>
      <c r="Z2543" t="s">
        <v>5922</v>
      </c>
    </row>
    <row r="2544" spans="1:26" x14ac:dyDescent="0.2">
      <c r="A2544" t="s">
        <v>4702</v>
      </c>
      <c r="B2544" t="s">
        <v>6201</v>
      </c>
      <c r="C2544" t="s">
        <v>4794</v>
      </c>
      <c r="D2544" t="s">
        <v>98</v>
      </c>
      <c r="E2544">
        <v>135</v>
      </c>
      <c r="F2544" t="s">
        <v>7456</v>
      </c>
      <c r="G2544">
        <v>125</v>
      </c>
      <c r="H2544">
        <v>88.04</v>
      </c>
      <c r="L2544" t="s">
        <v>5922</v>
      </c>
      <c r="Q2544">
        <v>88.04</v>
      </c>
      <c r="R2544">
        <v>88.04</v>
      </c>
      <c r="U2544">
        <v>96.78</v>
      </c>
      <c r="V2544">
        <v>85.7</v>
      </c>
      <c r="W2544">
        <v>97.9</v>
      </c>
      <c r="X2544">
        <v>81.52</v>
      </c>
      <c r="Y2544">
        <v>135</v>
      </c>
      <c r="Z2544" t="s">
        <v>5922</v>
      </c>
    </row>
    <row r="2545" spans="1:26" x14ac:dyDescent="0.2">
      <c r="A2545" t="s">
        <v>4702</v>
      </c>
      <c r="B2545" t="s">
        <v>6202</v>
      </c>
      <c r="C2545" t="s">
        <v>4795</v>
      </c>
      <c r="D2545" t="s">
        <v>98</v>
      </c>
      <c r="E2545">
        <v>69.989999999999995</v>
      </c>
      <c r="F2545" t="s">
        <v>5922</v>
      </c>
      <c r="G2545">
        <v>64.989999999999995</v>
      </c>
      <c r="H2545">
        <v>51.73</v>
      </c>
      <c r="L2545" t="s">
        <v>5922</v>
      </c>
      <c r="U2545">
        <v>44.43</v>
      </c>
      <c r="W2545">
        <v>46.25</v>
      </c>
      <c r="X2545">
        <v>45.65</v>
      </c>
      <c r="Y2545">
        <v>64.989999999999995</v>
      </c>
      <c r="Z2545" t="s">
        <v>5922</v>
      </c>
    </row>
    <row r="2546" spans="1:26" x14ac:dyDescent="0.2">
      <c r="A2546" t="s">
        <v>4702</v>
      </c>
      <c r="B2546" t="s">
        <v>4796</v>
      </c>
      <c r="C2546" t="s">
        <v>4797</v>
      </c>
      <c r="D2546" t="s">
        <v>98</v>
      </c>
      <c r="E2546">
        <v>79.989999999999995</v>
      </c>
      <c r="F2546" t="s">
        <v>5922</v>
      </c>
      <c r="G2546">
        <v>74.989999999999995</v>
      </c>
      <c r="H2546">
        <v>59.12</v>
      </c>
      <c r="L2546" t="s">
        <v>5922</v>
      </c>
      <c r="U2546">
        <v>50.78</v>
      </c>
      <c r="W2546">
        <v>52.86</v>
      </c>
      <c r="X2546">
        <v>52.17</v>
      </c>
      <c r="Y2546">
        <v>74.989999999999995</v>
      </c>
      <c r="Z2546" t="s">
        <v>5922</v>
      </c>
    </row>
    <row r="2547" spans="1:26" x14ac:dyDescent="0.2">
      <c r="A2547" t="s">
        <v>4702</v>
      </c>
      <c r="B2547" t="s">
        <v>4798</v>
      </c>
      <c r="C2547" t="s">
        <v>4799</v>
      </c>
      <c r="D2547" t="s">
        <v>98</v>
      </c>
      <c r="E2547">
        <v>99.95</v>
      </c>
      <c r="F2547" t="s">
        <v>6964</v>
      </c>
      <c r="G2547">
        <v>99</v>
      </c>
      <c r="H2547">
        <v>64.569999999999993</v>
      </c>
      <c r="L2547" t="s">
        <v>5922</v>
      </c>
      <c r="Q2547">
        <v>64.569999999999993</v>
      </c>
      <c r="R2547">
        <v>64.569999999999993</v>
      </c>
      <c r="U2547">
        <v>78.52</v>
      </c>
      <c r="V2547">
        <v>62.84</v>
      </c>
      <c r="W2547">
        <v>83.82</v>
      </c>
      <c r="X2547">
        <v>64.569999999999993</v>
      </c>
      <c r="Y2547">
        <v>99</v>
      </c>
      <c r="Z2547" t="s">
        <v>5922</v>
      </c>
    </row>
    <row r="2548" spans="1:26" x14ac:dyDescent="0.2">
      <c r="A2548" t="s">
        <v>4702</v>
      </c>
      <c r="B2548" t="s">
        <v>6203</v>
      </c>
      <c r="C2548" t="s">
        <v>4800</v>
      </c>
      <c r="D2548" t="s">
        <v>98</v>
      </c>
      <c r="E2548">
        <v>229</v>
      </c>
      <c r="F2548" t="s">
        <v>5922</v>
      </c>
      <c r="G2548">
        <v>229</v>
      </c>
      <c r="H2548">
        <v>149.35</v>
      </c>
      <c r="L2548" t="s">
        <v>5922</v>
      </c>
      <c r="Q2548">
        <v>149.35</v>
      </c>
      <c r="R2548">
        <v>149.35</v>
      </c>
      <c r="U2548">
        <v>145.37</v>
      </c>
      <c r="V2548">
        <v>139.38999999999999</v>
      </c>
      <c r="W2548">
        <v>161.30000000000001</v>
      </c>
      <c r="X2548">
        <v>149.35</v>
      </c>
      <c r="Y2548">
        <v>229</v>
      </c>
      <c r="Z2548" t="s">
        <v>5922</v>
      </c>
    </row>
    <row r="2549" spans="1:26" x14ac:dyDescent="0.2">
      <c r="A2549" t="s">
        <v>4702</v>
      </c>
      <c r="B2549" t="s">
        <v>4801</v>
      </c>
      <c r="C2549" t="s">
        <v>4802</v>
      </c>
      <c r="D2549" t="s">
        <v>98</v>
      </c>
      <c r="E2549">
        <v>245</v>
      </c>
      <c r="F2549" t="s">
        <v>5922</v>
      </c>
      <c r="G2549">
        <v>245</v>
      </c>
      <c r="H2549">
        <v>159.78</v>
      </c>
      <c r="L2549" t="s">
        <v>5922</v>
      </c>
      <c r="Q2549">
        <v>159.78</v>
      </c>
      <c r="R2549">
        <v>159.78</v>
      </c>
      <c r="U2549">
        <v>158.06</v>
      </c>
      <c r="V2549">
        <v>158.06</v>
      </c>
      <c r="W2549">
        <v>172.57</v>
      </c>
      <c r="X2549">
        <v>159.78</v>
      </c>
      <c r="Y2549">
        <v>245</v>
      </c>
      <c r="Z2549" t="s">
        <v>5922</v>
      </c>
    </row>
    <row r="2550" spans="1:26" x14ac:dyDescent="0.2">
      <c r="A2550" t="s">
        <v>4702</v>
      </c>
      <c r="B2550" t="s">
        <v>4803</v>
      </c>
      <c r="C2550" t="s">
        <v>4804</v>
      </c>
      <c r="D2550" t="s">
        <v>98</v>
      </c>
      <c r="E2550">
        <v>259</v>
      </c>
      <c r="F2550" t="s">
        <v>5922</v>
      </c>
      <c r="G2550">
        <v>259</v>
      </c>
      <c r="H2550">
        <v>168.91</v>
      </c>
      <c r="L2550" t="s">
        <v>5922</v>
      </c>
      <c r="Q2550">
        <v>168.91</v>
      </c>
      <c r="R2550">
        <v>168.91</v>
      </c>
      <c r="U2550">
        <v>164.41</v>
      </c>
      <c r="V2550">
        <v>164.41</v>
      </c>
      <c r="W2550">
        <v>182.43</v>
      </c>
      <c r="X2550">
        <v>168.91</v>
      </c>
      <c r="Y2550">
        <v>259</v>
      </c>
      <c r="Z2550" t="s">
        <v>5922</v>
      </c>
    </row>
    <row r="2551" spans="1:26" x14ac:dyDescent="0.2">
      <c r="A2551" t="s">
        <v>4702</v>
      </c>
      <c r="B2551" t="s">
        <v>4805</v>
      </c>
      <c r="C2551" t="s">
        <v>4806</v>
      </c>
      <c r="D2551" t="s">
        <v>98</v>
      </c>
      <c r="E2551">
        <v>259</v>
      </c>
      <c r="F2551" t="s">
        <v>5922</v>
      </c>
      <c r="G2551">
        <v>259</v>
      </c>
      <c r="H2551">
        <v>168.91</v>
      </c>
      <c r="L2551" t="s">
        <v>5922</v>
      </c>
      <c r="Q2551">
        <v>168.91</v>
      </c>
      <c r="R2551">
        <v>168.91</v>
      </c>
      <c r="U2551">
        <v>164.41</v>
      </c>
      <c r="V2551">
        <v>164.41</v>
      </c>
      <c r="W2551">
        <v>182.43</v>
      </c>
      <c r="X2551">
        <v>168.91</v>
      </c>
      <c r="Y2551">
        <v>259</v>
      </c>
      <c r="Z2551" t="s">
        <v>5922</v>
      </c>
    </row>
    <row r="2552" spans="1:26" x14ac:dyDescent="0.2">
      <c r="A2552" t="s">
        <v>4702</v>
      </c>
      <c r="B2552" t="s">
        <v>4807</v>
      </c>
      <c r="C2552" t="s">
        <v>4808</v>
      </c>
      <c r="D2552" t="s">
        <v>98</v>
      </c>
      <c r="E2552">
        <v>275</v>
      </c>
      <c r="F2552" t="s">
        <v>5922</v>
      </c>
      <c r="G2552">
        <v>275</v>
      </c>
      <c r="H2552">
        <v>179.35</v>
      </c>
      <c r="L2552" t="s">
        <v>5922</v>
      </c>
      <c r="Q2552">
        <v>179.35</v>
      </c>
      <c r="R2552">
        <v>179.35</v>
      </c>
      <c r="U2552">
        <v>183.45</v>
      </c>
      <c r="V2552">
        <v>183.45</v>
      </c>
      <c r="W2552">
        <v>193.7</v>
      </c>
      <c r="X2552">
        <v>179.35</v>
      </c>
      <c r="Y2552">
        <v>275</v>
      </c>
      <c r="Z2552" t="s">
        <v>5922</v>
      </c>
    </row>
    <row r="2553" spans="1:26" x14ac:dyDescent="0.2">
      <c r="A2553" t="s">
        <v>4702</v>
      </c>
      <c r="B2553" t="s">
        <v>4809</v>
      </c>
      <c r="C2553" t="s">
        <v>4810</v>
      </c>
      <c r="D2553" t="s">
        <v>98</v>
      </c>
      <c r="E2553">
        <v>275</v>
      </c>
      <c r="F2553" t="s">
        <v>5922</v>
      </c>
      <c r="G2553">
        <v>275</v>
      </c>
      <c r="H2553">
        <v>179.35</v>
      </c>
      <c r="L2553" t="s">
        <v>5922</v>
      </c>
      <c r="Q2553">
        <v>179.35</v>
      </c>
      <c r="R2553">
        <v>179.35</v>
      </c>
      <c r="U2553">
        <v>183.45</v>
      </c>
      <c r="V2553">
        <v>183.45</v>
      </c>
      <c r="W2553">
        <v>193.7</v>
      </c>
      <c r="X2553">
        <v>179.35</v>
      </c>
      <c r="Y2553">
        <v>275</v>
      </c>
      <c r="Z2553" t="s">
        <v>5922</v>
      </c>
    </row>
    <row r="2554" spans="1:26" x14ac:dyDescent="0.2">
      <c r="A2554" t="s">
        <v>4702</v>
      </c>
      <c r="B2554" t="s">
        <v>4811</v>
      </c>
      <c r="C2554" t="s">
        <v>4812</v>
      </c>
      <c r="D2554" t="s">
        <v>98</v>
      </c>
      <c r="E2554">
        <v>275</v>
      </c>
      <c r="F2554" t="s">
        <v>5922</v>
      </c>
      <c r="G2554">
        <v>275</v>
      </c>
      <c r="H2554">
        <v>179.35</v>
      </c>
      <c r="L2554" t="s">
        <v>5922</v>
      </c>
      <c r="Q2554">
        <v>179.35</v>
      </c>
      <c r="R2554">
        <v>179.35</v>
      </c>
      <c r="U2554">
        <v>183.45</v>
      </c>
      <c r="V2554">
        <v>183.45</v>
      </c>
      <c r="W2554">
        <v>193.7</v>
      </c>
      <c r="X2554">
        <v>179.35</v>
      </c>
      <c r="Y2554">
        <v>275</v>
      </c>
      <c r="Z2554" t="s">
        <v>5922</v>
      </c>
    </row>
    <row r="2555" spans="1:26" x14ac:dyDescent="0.2">
      <c r="A2555" t="s">
        <v>4702</v>
      </c>
      <c r="B2555" t="s">
        <v>4813</v>
      </c>
      <c r="C2555" t="s">
        <v>4814</v>
      </c>
      <c r="D2555" t="s">
        <v>98</v>
      </c>
      <c r="E2555">
        <v>499</v>
      </c>
      <c r="F2555" t="s">
        <v>5922</v>
      </c>
      <c r="G2555">
        <v>499</v>
      </c>
      <c r="H2555">
        <v>325.43</v>
      </c>
      <c r="L2555" t="s">
        <v>5922</v>
      </c>
      <c r="Q2555">
        <v>325.43</v>
      </c>
      <c r="R2555">
        <v>325.43</v>
      </c>
      <c r="U2555">
        <v>323.10000000000002</v>
      </c>
      <c r="V2555">
        <v>323.10000000000002</v>
      </c>
      <c r="W2555">
        <v>351.47</v>
      </c>
      <c r="X2555">
        <v>325.43</v>
      </c>
      <c r="Y2555">
        <v>499</v>
      </c>
      <c r="Z2555" t="s">
        <v>5922</v>
      </c>
    </row>
    <row r="2556" spans="1:26" x14ac:dyDescent="0.2">
      <c r="A2556" t="s">
        <v>4702</v>
      </c>
      <c r="B2556" t="s">
        <v>4815</v>
      </c>
      <c r="C2556" t="s">
        <v>4816</v>
      </c>
      <c r="D2556" t="s">
        <v>98</v>
      </c>
      <c r="E2556">
        <v>499</v>
      </c>
      <c r="F2556" t="s">
        <v>5922</v>
      </c>
      <c r="G2556">
        <v>499</v>
      </c>
      <c r="H2556">
        <v>325.43</v>
      </c>
      <c r="L2556" t="s">
        <v>5922</v>
      </c>
      <c r="Q2556">
        <v>325.43</v>
      </c>
      <c r="R2556">
        <v>325.43</v>
      </c>
      <c r="U2556">
        <v>323.10000000000002</v>
      </c>
      <c r="V2556">
        <v>323.10000000000002</v>
      </c>
      <c r="W2556">
        <v>351.47</v>
      </c>
      <c r="X2556">
        <v>325.43</v>
      </c>
      <c r="Y2556">
        <v>499</v>
      </c>
      <c r="Z2556" t="s">
        <v>5922</v>
      </c>
    </row>
    <row r="2557" spans="1:26" x14ac:dyDescent="0.2">
      <c r="A2557" t="s">
        <v>4702</v>
      </c>
      <c r="B2557" t="s">
        <v>4817</v>
      </c>
      <c r="C2557" t="s">
        <v>4818</v>
      </c>
      <c r="D2557" t="s">
        <v>98</v>
      </c>
      <c r="E2557">
        <v>499</v>
      </c>
      <c r="F2557" t="s">
        <v>5922</v>
      </c>
      <c r="G2557">
        <v>499</v>
      </c>
      <c r="H2557">
        <v>325.43</v>
      </c>
      <c r="L2557" t="s">
        <v>5922</v>
      </c>
      <c r="Q2557">
        <v>325.43</v>
      </c>
      <c r="R2557">
        <v>325.43</v>
      </c>
      <c r="U2557">
        <v>323.10000000000002</v>
      </c>
      <c r="V2557">
        <v>323.10000000000002</v>
      </c>
      <c r="W2557">
        <v>351.47</v>
      </c>
      <c r="X2557">
        <v>325.43</v>
      </c>
      <c r="Y2557">
        <v>499</v>
      </c>
      <c r="Z2557" t="s">
        <v>5922</v>
      </c>
    </row>
    <row r="2558" spans="1:26" x14ac:dyDescent="0.2">
      <c r="A2558" t="s">
        <v>4702</v>
      </c>
      <c r="B2558" t="s">
        <v>4819</v>
      </c>
      <c r="C2558" t="s">
        <v>4820</v>
      </c>
      <c r="D2558" t="s">
        <v>98</v>
      </c>
      <c r="E2558">
        <v>799.99</v>
      </c>
      <c r="F2558" t="s">
        <v>5922</v>
      </c>
      <c r="G2558">
        <v>799.99</v>
      </c>
      <c r="H2558">
        <v>591.29999999999995</v>
      </c>
      <c r="L2558" t="s">
        <v>5922</v>
      </c>
      <c r="U2558">
        <v>486.95</v>
      </c>
      <c r="W2558">
        <v>528.69000000000005</v>
      </c>
      <c r="X2558">
        <v>521.73</v>
      </c>
      <c r="Y2558">
        <v>799.99</v>
      </c>
      <c r="Z2558" t="s">
        <v>5922</v>
      </c>
    </row>
    <row r="2559" spans="1:26" x14ac:dyDescent="0.2">
      <c r="A2559" t="s">
        <v>4702</v>
      </c>
      <c r="B2559" t="s">
        <v>4821</v>
      </c>
      <c r="C2559" t="s">
        <v>4822</v>
      </c>
      <c r="D2559" t="s">
        <v>98</v>
      </c>
      <c r="E2559">
        <v>289</v>
      </c>
      <c r="F2559" t="s">
        <v>6935</v>
      </c>
      <c r="G2559">
        <v>269</v>
      </c>
      <c r="H2559">
        <v>188.48</v>
      </c>
      <c r="L2559" t="s">
        <v>5922</v>
      </c>
      <c r="Q2559">
        <v>188.48</v>
      </c>
      <c r="R2559">
        <v>188.48</v>
      </c>
      <c r="U2559">
        <v>182</v>
      </c>
      <c r="V2559">
        <v>183.45</v>
      </c>
      <c r="W2559">
        <v>210.6</v>
      </c>
      <c r="X2559">
        <v>175.43</v>
      </c>
      <c r="Y2559">
        <v>289</v>
      </c>
      <c r="Z2559" t="s">
        <v>5922</v>
      </c>
    </row>
    <row r="2560" spans="1:26" x14ac:dyDescent="0.2">
      <c r="A2560" t="s">
        <v>4702</v>
      </c>
      <c r="B2560" t="s">
        <v>4823</v>
      </c>
      <c r="C2560" t="s">
        <v>4824</v>
      </c>
      <c r="D2560" t="s">
        <v>98</v>
      </c>
      <c r="E2560">
        <v>399</v>
      </c>
      <c r="F2560" t="s">
        <v>6948</v>
      </c>
      <c r="G2560">
        <v>365</v>
      </c>
      <c r="H2560">
        <v>260.22000000000003</v>
      </c>
      <c r="L2560" t="s">
        <v>5922</v>
      </c>
      <c r="Q2560">
        <v>260.22000000000003</v>
      </c>
      <c r="R2560">
        <v>260.22000000000003</v>
      </c>
      <c r="U2560">
        <v>248.96</v>
      </c>
      <c r="V2560">
        <v>253.28</v>
      </c>
      <c r="W2560">
        <v>288.08</v>
      </c>
      <c r="X2560">
        <v>238.04</v>
      </c>
      <c r="Y2560">
        <v>399</v>
      </c>
      <c r="Z2560" t="s">
        <v>5922</v>
      </c>
    </row>
    <row r="2561" spans="1:26" x14ac:dyDescent="0.2">
      <c r="A2561" t="s">
        <v>4702</v>
      </c>
      <c r="B2561" t="s">
        <v>4825</v>
      </c>
      <c r="C2561" t="s">
        <v>4826</v>
      </c>
      <c r="D2561" t="s">
        <v>98</v>
      </c>
      <c r="E2561">
        <v>169</v>
      </c>
      <c r="F2561" t="s">
        <v>6937</v>
      </c>
      <c r="G2561">
        <v>159</v>
      </c>
      <c r="H2561">
        <v>110.22</v>
      </c>
      <c r="L2561" t="s">
        <v>5922</v>
      </c>
      <c r="Q2561">
        <v>110.22</v>
      </c>
      <c r="R2561">
        <v>110.22</v>
      </c>
      <c r="U2561">
        <v>115.04</v>
      </c>
      <c r="V2561">
        <v>107.28</v>
      </c>
      <c r="W2561">
        <v>126.08</v>
      </c>
      <c r="X2561">
        <v>103.7</v>
      </c>
      <c r="Y2561">
        <v>169</v>
      </c>
      <c r="Z2561" t="s">
        <v>5922</v>
      </c>
    </row>
    <row r="2562" spans="1:26" x14ac:dyDescent="0.2">
      <c r="A2562" t="s">
        <v>4702</v>
      </c>
      <c r="B2562" t="s">
        <v>4827</v>
      </c>
      <c r="C2562" t="s">
        <v>4828</v>
      </c>
      <c r="D2562" t="s">
        <v>98</v>
      </c>
      <c r="E2562">
        <v>179</v>
      </c>
      <c r="F2562" t="s">
        <v>7072</v>
      </c>
      <c r="G2562">
        <v>165</v>
      </c>
      <c r="H2562">
        <v>116.74</v>
      </c>
      <c r="L2562" t="s">
        <v>5922</v>
      </c>
      <c r="Q2562">
        <v>116.74</v>
      </c>
      <c r="R2562">
        <v>116.74</v>
      </c>
      <c r="U2562">
        <v>121.13</v>
      </c>
      <c r="V2562">
        <v>113.63</v>
      </c>
      <c r="W2562">
        <v>133.12</v>
      </c>
      <c r="X2562">
        <v>107.61</v>
      </c>
      <c r="Y2562">
        <v>179</v>
      </c>
      <c r="Z2562" t="s">
        <v>5922</v>
      </c>
    </row>
    <row r="2563" spans="1:26" x14ac:dyDescent="0.2">
      <c r="A2563" t="s">
        <v>4702</v>
      </c>
      <c r="B2563" t="s">
        <v>4829</v>
      </c>
      <c r="C2563" t="s">
        <v>4830</v>
      </c>
      <c r="D2563" t="s">
        <v>98</v>
      </c>
      <c r="E2563">
        <v>195</v>
      </c>
      <c r="F2563" t="s">
        <v>7464</v>
      </c>
      <c r="G2563">
        <v>179</v>
      </c>
      <c r="H2563">
        <v>129.78</v>
      </c>
      <c r="L2563" t="s">
        <v>5922</v>
      </c>
      <c r="Q2563">
        <v>129.78</v>
      </c>
      <c r="R2563">
        <v>129.78</v>
      </c>
      <c r="U2563">
        <v>127.22</v>
      </c>
      <c r="V2563">
        <v>126.32</v>
      </c>
      <c r="W2563">
        <v>143.69</v>
      </c>
      <c r="X2563">
        <v>116.74</v>
      </c>
      <c r="Y2563">
        <v>199</v>
      </c>
      <c r="Z2563" t="s">
        <v>5922</v>
      </c>
    </row>
    <row r="2564" spans="1:26" x14ac:dyDescent="0.2">
      <c r="A2564" t="s">
        <v>4702</v>
      </c>
      <c r="B2564" t="s">
        <v>4831</v>
      </c>
      <c r="C2564" t="s">
        <v>4832</v>
      </c>
      <c r="D2564" t="s">
        <v>98</v>
      </c>
      <c r="E2564">
        <v>245</v>
      </c>
      <c r="F2564" t="s">
        <v>7465</v>
      </c>
      <c r="G2564">
        <v>225</v>
      </c>
      <c r="H2564">
        <v>159.78</v>
      </c>
      <c r="L2564" t="s">
        <v>5922</v>
      </c>
      <c r="Q2564">
        <v>159.78</v>
      </c>
      <c r="R2564">
        <v>159.78</v>
      </c>
      <c r="U2564">
        <v>163.74</v>
      </c>
      <c r="V2564">
        <v>155.52000000000001</v>
      </c>
      <c r="W2564">
        <v>175.38</v>
      </c>
      <c r="X2564">
        <v>146.74</v>
      </c>
      <c r="Y2564">
        <v>245</v>
      </c>
      <c r="Z2564" t="s">
        <v>5922</v>
      </c>
    </row>
    <row r="2565" spans="1:26" x14ac:dyDescent="0.2">
      <c r="A2565" t="s">
        <v>4702</v>
      </c>
      <c r="B2565" t="s">
        <v>4833</v>
      </c>
      <c r="C2565" t="s">
        <v>4834</v>
      </c>
      <c r="D2565" t="s">
        <v>98</v>
      </c>
      <c r="E2565">
        <v>174.99</v>
      </c>
      <c r="F2565" t="s">
        <v>5922</v>
      </c>
      <c r="G2565">
        <v>174.99</v>
      </c>
      <c r="H2565">
        <v>129.34</v>
      </c>
      <c r="L2565" t="s">
        <v>5922</v>
      </c>
      <c r="U2565">
        <v>106.52</v>
      </c>
      <c r="W2565">
        <v>115.65</v>
      </c>
      <c r="X2565">
        <v>114.12</v>
      </c>
      <c r="Y2565">
        <v>174.99</v>
      </c>
      <c r="Z2565" t="s">
        <v>5922</v>
      </c>
    </row>
    <row r="2566" spans="1:26" x14ac:dyDescent="0.2">
      <c r="A2566" t="s">
        <v>4702</v>
      </c>
      <c r="B2566" t="s">
        <v>4835</v>
      </c>
      <c r="C2566" t="s">
        <v>4836</v>
      </c>
      <c r="D2566" t="s">
        <v>98</v>
      </c>
      <c r="E2566">
        <v>725</v>
      </c>
      <c r="F2566" t="s">
        <v>7454</v>
      </c>
      <c r="G2566">
        <v>675</v>
      </c>
      <c r="H2566">
        <v>472.83</v>
      </c>
      <c r="L2566" t="s">
        <v>5922</v>
      </c>
      <c r="Q2566">
        <v>472.83</v>
      </c>
      <c r="R2566">
        <v>472.83</v>
      </c>
      <c r="U2566">
        <v>449.83</v>
      </c>
      <c r="V2566">
        <v>460.22</v>
      </c>
      <c r="W2566">
        <v>513.47</v>
      </c>
      <c r="X2566">
        <v>440.22</v>
      </c>
      <c r="Y2566">
        <v>725</v>
      </c>
      <c r="Z2566" t="s">
        <v>5922</v>
      </c>
    </row>
    <row r="2567" spans="1:26" x14ac:dyDescent="0.2">
      <c r="A2567" t="s">
        <v>4702</v>
      </c>
      <c r="B2567" t="s">
        <v>4837</v>
      </c>
      <c r="C2567" t="s">
        <v>4838</v>
      </c>
      <c r="D2567" t="s">
        <v>98</v>
      </c>
      <c r="E2567">
        <v>399</v>
      </c>
      <c r="F2567" t="s">
        <v>6948</v>
      </c>
      <c r="G2567">
        <v>349</v>
      </c>
      <c r="H2567">
        <v>260.22000000000003</v>
      </c>
      <c r="L2567" t="s">
        <v>5922</v>
      </c>
      <c r="Q2567">
        <v>260.22000000000003</v>
      </c>
      <c r="R2567">
        <v>260.22000000000003</v>
      </c>
      <c r="U2567">
        <v>248.96</v>
      </c>
      <c r="V2567">
        <v>253.28</v>
      </c>
      <c r="W2567">
        <v>288.08</v>
      </c>
      <c r="X2567">
        <v>227.61</v>
      </c>
      <c r="Y2567">
        <v>399</v>
      </c>
      <c r="Z2567" t="s">
        <v>5922</v>
      </c>
    </row>
    <row r="2568" spans="1:26" x14ac:dyDescent="0.2">
      <c r="A2568" t="s">
        <v>4702</v>
      </c>
      <c r="B2568" t="s">
        <v>4839</v>
      </c>
      <c r="C2568" t="s">
        <v>4840</v>
      </c>
      <c r="D2568" t="s">
        <v>98</v>
      </c>
      <c r="E2568">
        <v>499</v>
      </c>
      <c r="F2568" t="s">
        <v>7062</v>
      </c>
      <c r="G2568">
        <v>445</v>
      </c>
      <c r="H2568">
        <v>325.43</v>
      </c>
      <c r="L2568" t="s">
        <v>5922</v>
      </c>
      <c r="Q2568">
        <v>325.43</v>
      </c>
      <c r="R2568">
        <v>325.43</v>
      </c>
      <c r="U2568">
        <v>315.91000000000003</v>
      </c>
      <c r="V2568">
        <v>316.76</v>
      </c>
      <c r="W2568">
        <v>358.51</v>
      </c>
      <c r="X2568">
        <v>290.22000000000003</v>
      </c>
      <c r="Y2568">
        <v>499</v>
      </c>
      <c r="Z2568" t="s">
        <v>5922</v>
      </c>
    </row>
    <row r="2569" spans="1:26" x14ac:dyDescent="0.2">
      <c r="A2569" t="s">
        <v>4702</v>
      </c>
      <c r="B2569" t="s">
        <v>4841</v>
      </c>
      <c r="C2569" t="s">
        <v>4842</v>
      </c>
      <c r="D2569" t="s">
        <v>98</v>
      </c>
      <c r="E2569">
        <v>279</v>
      </c>
      <c r="F2569" t="s">
        <v>7064</v>
      </c>
      <c r="G2569">
        <v>245</v>
      </c>
      <c r="H2569">
        <v>181.96</v>
      </c>
      <c r="L2569" t="s">
        <v>5922</v>
      </c>
      <c r="Q2569">
        <v>181.96</v>
      </c>
      <c r="R2569">
        <v>181.96</v>
      </c>
      <c r="U2569">
        <v>182</v>
      </c>
      <c r="V2569">
        <v>177.1</v>
      </c>
      <c r="W2569">
        <v>203.56</v>
      </c>
      <c r="X2569">
        <v>159.78</v>
      </c>
      <c r="Y2569">
        <v>279</v>
      </c>
      <c r="Z2569" t="s">
        <v>5922</v>
      </c>
    </row>
    <row r="2570" spans="1:26" x14ac:dyDescent="0.2">
      <c r="A2570" t="s">
        <v>4702</v>
      </c>
      <c r="B2570" t="s">
        <v>4843</v>
      </c>
      <c r="C2570" t="s">
        <v>4844</v>
      </c>
      <c r="D2570" t="s">
        <v>98</v>
      </c>
      <c r="E2570">
        <v>274.99</v>
      </c>
      <c r="F2570" t="s">
        <v>5922</v>
      </c>
      <c r="G2570">
        <v>449</v>
      </c>
      <c r="H2570">
        <v>203.25</v>
      </c>
      <c r="L2570" t="s">
        <v>5922</v>
      </c>
      <c r="U2570">
        <v>291.37</v>
      </c>
      <c r="V2570">
        <v>291.37</v>
      </c>
      <c r="W2570">
        <v>296.73</v>
      </c>
      <c r="X2570">
        <v>292.83</v>
      </c>
      <c r="Y2570">
        <v>449</v>
      </c>
      <c r="Z2570" t="s">
        <v>5922</v>
      </c>
    </row>
    <row r="2571" spans="1:26" x14ac:dyDescent="0.2">
      <c r="A2571" t="s">
        <v>4702</v>
      </c>
      <c r="B2571" t="s">
        <v>4845</v>
      </c>
      <c r="C2571" t="s">
        <v>4846</v>
      </c>
      <c r="D2571" t="s">
        <v>98</v>
      </c>
      <c r="E2571">
        <v>210</v>
      </c>
      <c r="F2571" t="s">
        <v>7071</v>
      </c>
      <c r="G2571">
        <v>189</v>
      </c>
      <c r="H2571">
        <v>136.30000000000001</v>
      </c>
      <c r="L2571" t="s">
        <v>5922</v>
      </c>
      <c r="Q2571">
        <v>136.30000000000001</v>
      </c>
      <c r="R2571">
        <v>136.30000000000001</v>
      </c>
      <c r="U2571">
        <v>145.47999999999999</v>
      </c>
      <c r="V2571">
        <v>132.66999999999999</v>
      </c>
      <c r="W2571">
        <v>161.30000000000001</v>
      </c>
      <c r="X2571">
        <v>123.26</v>
      </c>
      <c r="Y2571">
        <v>209</v>
      </c>
      <c r="Z2571" t="s">
        <v>5922</v>
      </c>
    </row>
    <row r="2572" spans="1:26" x14ac:dyDescent="0.2">
      <c r="A2572" t="s">
        <v>4702</v>
      </c>
      <c r="B2572" t="s">
        <v>4847</v>
      </c>
      <c r="C2572" t="s">
        <v>4848</v>
      </c>
      <c r="D2572" t="s">
        <v>98</v>
      </c>
      <c r="E2572">
        <v>179</v>
      </c>
      <c r="F2572" t="s">
        <v>7072</v>
      </c>
      <c r="G2572">
        <v>169</v>
      </c>
      <c r="H2572">
        <v>116.74</v>
      </c>
      <c r="L2572" t="s">
        <v>5922</v>
      </c>
      <c r="Q2572">
        <v>116.74</v>
      </c>
      <c r="R2572">
        <v>116.74</v>
      </c>
      <c r="U2572">
        <v>121.13</v>
      </c>
      <c r="V2572">
        <v>113.63</v>
      </c>
      <c r="W2572">
        <v>133.12</v>
      </c>
      <c r="X2572">
        <v>110.22</v>
      </c>
      <c r="Y2572">
        <v>179</v>
      </c>
      <c r="Z2572" t="s">
        <v>5922</v>
      </c>
    </row>
    <row r="2573" spans="1:26" x14ac:dyDescent="0.2">
      <c r="A2573" t="s">
        <v>4849</v>
      </c>
      <c r="B2573" t="s">
        <v>4850</v>
      </c>
      <c r="C2573" t="s">
        <v>4851</v>
      </c>
      <c r="D2573" t="s">
        <v>105</v>
      </c>
      <c r="E2573">
        <v>1675</v>
      </c>
      <c r="F2573" t="s">
        <v>7466</v>
      </c>
      <c r="G2573">
        <v>1675</v>
      </c>
      <c r="H2573">
        <v>236.73</v>
      </c>
      <c r="L2573" t="s">
        <v>5922</v>
      </c>
      <c r="Q2573">
        <v>236.73</v>
      </c>
      <c r="R2573">
        <v>236.73</v>
      </c>
      <c r="U2573">
        <v>1181.9100000000001</v>
      </c>
      <c r="V2573">
        <v>1256.51</v>
      </c>
      <c r="W2573">
        <v>0</v>
      </c>
      <c r="X2573">
        <v>1256.51</v>
      </c>
      <c r="Y2573">
        <v>1675</v>
      </c>
      <c r="Z2573" t="s">
        <v>5922</v>
      </c>
    </row>
    <row r="2574" spans="1:26" x14ac:dyDescent="0.2">
      <c r="A2574" t="s">
        <v>4849</v>
      </c>
      <c r="B2574" t="s">
        <v>4852</v>
      </c>
      <c r="C2574" t="s">
        <v>4853</v>
      </c>
      <c r="D2574" t="s">
        <v>105</v>
      </c>
      <c r="E2574">
        <v>1675</v>
      </c>
      <c r="F2574" t="s">
        <v>7466</v>
      </c>
      <c r="G2574">
        <v>1675</v>
      </c>
      <c r="H2574">
        <v>250.04</v>
      </c>
      <c r="L2574" t="s">
        <v>5922</v>
      </c>
      <c r="Q2574">
        <v>236.73</v>
      </c>
      <c r="R2574">
        <v>236.73</v>
      </c>
      <c r="U2574">
        <v>1181.9100000000001</v>
      </c>
      <c r="V2574">
        <v>1256.51</v>
      </c>
      <c r="W2574">
        <v>0</v>
      </c>
      <c r="X2574">
        <v>1256.51</v>
      </c>
      <c r="Y2574">
        <v>1675</v>
      </c>
      <c r="Z2574" t="s">
        <v>5922</v>
      </c>
    </row>
    <row r="2575" spans="1:26" x14ac:dyDescent="0.2">
      <c r="A2575" t="s">
        <v>4849</v>
      </c>
      <c r="B2575" t="s">
        <v>4854</v>
      </c>
      <c r="C2575" t="s">
        <v>4855</v>
      </c>
      <c r="D2575" t="s">
        <v>105</v>
      </c>
      <c r="E2575">
        <v>279.99</v>
      </c>
      <c r="F2575" t="s">
        <v>7213</v>
      </c>
      <c r="G2575">
        <v>279.99</v>
      </c>
      <c r="H2575">
        <v>219.12</v>
      </c>
      <c r="L2575" t="s">
        <v>5922</v>
      </c>
      <c r="Q2575">
        <v>219.12</v>
      </c>
      <c r="R2575">
        <v>219.12</v>
      </c>
      <c r="U2575">
        <v>221.04</v>
      </c>
      <c r="V2575">
        <v>229.12</v>
      </c>
      <c r="W2575">
        <v>206.95</v>
      </c>
      <c r="X2575">
        <v>229.12</v>
      </c>
      <c r="Y2575">
        <v>279.99</v>
      </c>
      <c r="Z2575" t="s">
        <v>5922</v>
      </c>
    </row>
    <row r="2576" spans="1:26" x14ac:dyDescent="0.2">
      <c r="A2576" t="s">
        <v>4849</v>
      </c>
      <c r="B2576" t="s">
        <v>4856</v>
      </c>
      <c r="C2576" t="s">
        <v>4857</v>
      </c>
      <c r="D2576" t="s">
        <v>98</v>
      </c>
      <c r="E2576">
        <v>229.99</v>
      </c>
      <c r="F2576" t="s">
        <v>7129</v>
      </c>
      <c r="G2576">
        <v>229.99</v>
      </c>
      <c r="H2576">
        <v>179.99</v>
      </c>
      <c r="L2576" t="s">
        <v>5922</v>
      </c>
      <c r="Q2576">
        <v>179.99</v>
      </c>
      <c r="R2576">
        <v>179.99</v>
      </c>
      <c r="U2576">
        <v>180.86</v>
      </c>
      <c r="V2576">
        <v>184.78</v>
      </c>
      <c r="W2576">
        <v>184.78</v>
      </c>
      <c r="X2576">
        <v>184.78</v>
      </c>
      <c r="Y2576">
        <v>229.99</v>
      </c>
      <c r="Z2576" t="s">
        <v>5922</v>
      </c>
    </row>
    <row r="2577" spans="1:26" x14ac:dyDescent="0.2">
      <c r="A2577" t="s">
        <v>4849</v>
      </c>
      <c r="B2577" t="s">
        <v>4858</v>
      </c>
      <c r="C2577" t="s">
        <v>4859</v>
      </c>
      <c r="D2577" t="s">
        <v>105</v>
      </c>
      <c r="E2577">
        <v>279.99</v>
      </c>
      <c r="F2577" t="s">
        <v>7213</v>
      </c>
      <c r="G2577">
        <v>279.99</v>
      </c>
      <c r="H2577">
        <v>219.12</v>
      </c>
      <c r="L2577" t="s">
        <v>5922</v>
      </c>
      <c r="Q2577">
        <v>219.12</v>
      </c>
      <c r="R2577">
        <v>219.12</v>
      </c>
      <c r="U2577">
        <v>221.04</v>
      </c>
      <c r="V2577">
        <v>229.12</v>
      </c>
      <c r="W2577">
        <v>206.95</v>
      </c>
      <c r="X2577">
        <v>229.12</v>
      </c>
      <c r="Y2577">
        <v>279.99</v>
      </c>
      <c r="Z2577" t="s">
        <v>5922</v>
      </c>
    </row>
    <row r="2578" spans="1:26" x14ac:dyDescent="0.2">
      <c r="A2578" t="s">
        <v>4849</v>
      </c>
      <c r="B2578" t="s">
        <v>4860</v>
      </c>
      <c r="C2578" t="s">
        <v>4861</v>
      </c>
      <c r="D2578" t="s">
        <v>105</v>
      </c>
      <c r="E2578">
        <v>249.99</v>
      </c>
      <c r="F2578" t="s">
        <v>7134</v>
      </c>
      <c r="G2578">
        <v>249.99</v>
      </c>
      <c r="H2578">
        <v>195.64</v>
      </c>
      <c r="L2578" t="s">
        <v>5922</v>
      </c>
      <c r="Q2578">
        <v>195.64</v>
      </c>
      <c r="R2578">
        <v>195.64</v>
      </c>
      <c r="U2578">
        <v>196.08</v>
      </c>
      <c r="V2578">
        <v>203.25</v>
      </c>
      <c r="W2578">
        <v>184.78</v>
      </c>
      <c r="X2578">
        <v>203.25</v>
      </c>
      <c r="Y2578">
        <v>249.99</v>
      </c>
      <c r="Z2578" t="s">
        <v>5922</v>
      </c>
    </row>
    <row r="2579" spans="1:26" x14ac:dyDescent="0.2">
      <c r="A2579" t="s">
        <v>4849</v>
      </c>
      <c r="B2579" t="s">
        <v>4862</v>
      </c>
      <c r="C2579" t="s">
        <v>4863</v>
      </c>
      <c r="D2579" t="s">
        <v>105</v>
      </c>
      <c r="E2579">
        <v>1050</v>
      </c>
      <c r="F2579" t="s">
        <v>7467</v>
      </c>
      <c r="G2579">
        <v>999.99</v>
      </c>
      <c r="H2579">
        <v>821.74</v>
      </c>
      <c r="L2579" t="s">
        <v>5922</v>
      </c>
      <c r="Q2579">
        <v>821.74</v>
      </c>
      <c r="R2579">
        <v>821.74</v>
      </c>
      <c r="U2579">
        <v>765.21</v>
      </c>
      <c r="V2579">
        <v>813.04</v>
      </c>
      <c r="W2579">
        <v>813.04</v>
      </c>
      <c r="X2579">
        <v>813.04</v>
      </c>
      <c r="Y2579">
        <v>999.99</v>
      </c>
      <c r="Z2579" t="s">
        <v>5922</v>
      </c>
    </row>
    <row r="2580" spans="1:26" x14ac:dyDescent="0.2">
      <c r="A2580" t="s">
        <v>4849</v>
      </c>
      <c r="B2580" t="s">
        <v>4864</v>
      </c>
      <c r="C2580" t="s">
        <v>4865</v>
      </c>
      <c r="D2580" t="s">
        <v>98</v>
      </c>
      <c r="E2580">
        <v>1050</v>
      </c>
      <c r="F2580" t="s">
        <v>7467</v>
      </c>
      <c r="H2580">
        <v>821.74</v>
      </c>
      <c r="L2580" t="s">
        <v>5922</v>
      </c>
      <c r="Q2580">
        <v>821.74</v>
      </c>
      <c r="R2580">
        <v>821.74</v>
      </c>
      <c r="U2580">
        <v>765.21</v>
      </c>
      <c r="V2580">
        <v>813.04</v>
      </c>
      <c r="W2580">
        <v>813.04</v>
      </c>
      <c r="X2580">
        <v>813.04</v>
      </c>
      <c r="Y2580">
        <v>999.99</v>
      </c>
      <c r="Z2580" t="s">
        <v>5922</v>
      </c>
    </row>
    <row r="2581" spans="1:26" x14ac:dyDescent="0.2">
      <c r="A2581" t="s">
        <v>4849</v>
      </c>
      <c r="B2581" t="s">
        <v>4866</v>
      </c>
      <c r="C2581" t="s">
        <v>4867</v>
      </c>
      <c r="D2581" t="s">
        <v>98</v>
      </c>
      <c r="E2581">
        <v>1050</v>
      </c>
      <c r="F2581" t="s">
        <v>7467</v>
      </c>
      <c r="H2581">
        <v>821.74</v>
      </c>
      <c r="L2581" t="s">
        <v>5922</v>
      </c>
      <c r="Q2581">
        <v>821.74</v>
      </c>
      <c r="R2581">
        <v>821.74</v>
      </c>
      <c r="U2581">
        <v>765.21</v>
      </c>
      <c r="V2581">
        <v>813.04</v>
      </c>
      <c r="W2581">
        <v>813.04</v>
      </c>
      <c r="X2581">
        <v>813.04</v>
      </c>
      <c r="Y2581">
        <v>999.99</v>
      </c>
      <c r="Z2581" t="s">
        <v>5922</v>
      </c>
    </row>
    <row r="2582" spans="1:26" x14ac:dyDescent="0.2">
      <c r="A2582" t="s">
        <v>4849</v>
      </c>
      <c r="B2582" t="s">
        <v>4868</v>
      </c>
      <c r="C2582" t="s">
        <v>4869</v>
      </c>
      <c r="D2582" t="s">
        <v>98</v>
      </c>
      <c r="E2582">
        <v>1050</v>
      </c>
      <c r="F2582" t="s">
        <v>7467</v>
      </c>
      <c r="G2582">
        <v>999.99</v>
      </c>
      <c r="H2582">
        <v>821.74</v>
      </c>
      <c r="L2582" t="s">
        <v>5922</v>
      </c>
      <c r="Q2582">
        <v>821.74</v>
      </c>
      <c r="R2582">
        <v>821.74</v>
      </c>
      <c r="U2582">
        <v>765.21</v>
      </c>
      <c r="V2582">
        <v>813.04</v>
      </c>
      <c r="W2582">
        <v>813.04</v>
      </c>
      <c r="X2582">
        <v>813.04</v>
      </c>
      <c r="Y2582">
        <v>999.99</v>
      </c>
      <c r="Z2582" t="s">
        <v>5922</v>
      </c>
    </row>
    <row r="2583" spans="1:26" x14ac:dyDescent="0.2">
      <c r="A2583" t="s">
        <v>4849</v>
      </c>
      <c r="B2583" t="s">
        <v>4870</v>
      </c>
      <c r="C2583" t="s">
        <v>4871</v>
      </c>
      <c r="D2583" t="s">
        <v>105</v>
      </c>
      <c r="E2583">
        <v>1360</v>
      </c>
      <c r="F2583" t="s">
        <v>7468</v>
      </c>
      <c r="H2583">
        <v>1064.3499999999999</v>
      </c>
      <c r="L2583" t="s">
        <v>5922</v>
      </c>
      <c r="Q2583">
        <v>1064.3499999999999</v>
      </c>
      <c r="R2583">
        <v>1064.3499999999999</v>
      </c>
      <c r="U2583">
        <v>973.91</v>
      </c>
      <c r="V2583">
        <v>1034.78</v>
      </c>
      <c r="W2583">
        <v>1034.78</v>
      </c>
      <c r="X2583">
        <v>1034.78</v>
      </c>
      <c r="Y2583">
        <v>1299.99</v>
      </c>
      <c r="Z2583" t="s">
        <v>5922</v>
      </c>
    </row>
    <row r="2584" spans="1:26" x14ac:dyDescent="0.2">
      <c r="A2584" t="s">
        <v>4849</v>
      </c>
      <c r="B2584" t="s">
        <v>4872</v>
      </c>
      <c r="C2584" t="s">
        <v>4873</v>
      </c>
      <c r="D2584" t="s">
        <v>98</v>
      </c>
      <c r="E2584">
        <v>1360</v>
      </c>
      <c r="F2584" t="s">
        <v>5922</v>
      </c>
      <c r="G2584">
        <v>1299.99</v>
      </c>
      <c r="H2584">
        <v>1064.3499999999999</v>
      </c>
      <c r="L2584" t="s">
        <v>5922</v>
      </c>
      <c r="Q2584">
        <v>1064.3499999999999</v>
      </c>
      <c r="R2584">
        <v>1064.3499999999999</v>
      </c>
      <c r="U2584">
        <v>973.91</v>
      </c>
      <c r="V2584">
        <v>1034.78</v>
      </c>
      <c r="W2584">
        <v>1034.78</v>
      </c>
      <c r="X2584">
        <v>1034.78</v>
      </c>
      <c r="Y2584">
        <v>1299.99</v>
      </c>
      <c r="Z2584" t="s">
        <v>5922</v>
      </c>
    </row>
    <row r="2585" spans="1:26" x14ac:dyDescent="0.2">
      <c r="A2585" t="s">
        <v>4849</v>
      </c>
      <c r="B2585" t="s">
        <v>4874</v>
      </c>
      <c r="C2585" t="s">
        <v>4875</v>
      </c>
      <c r="D2585" t="s">
        <v>98</v>
      </c>
      <c r="E2585">
        <v>1360</v>
      </c>
      <c r="F2585" t="s">
        <v>5922</v>
      </c>
      <c r="G2585">
        <v>1299.99</v>
      </c>
      <c r="H2585">
        <v>1064.3499999999999</v>
      </c>
      <c r="L2585" t="s">
        <v>5922</v>
      </c>
      <c r="Q2585">
        <v>1064.3499999999999</v>
      </c>
      <c r="R2585">
        <v>1064.3499999999999</v>
      </c>
      <c r="U2585">
        <v>973.91</v>
      </c>
      <c r="V2585">
        <v>1034.78</v>
      </c>
      <c r="W2585">
        <v>1034.78</v>
      </c>
      <c r="X2585">
        <v>1034.78</v>
      </c>
      <c r="Y2585">
        <v>1299.99</v>
      </c>
      <c r="Z2585" t="s">
        <v>5922</v>
      </c>
    </row>
    <row r="2586" spans="1:26" x14ac:dyDescent="0.2">
      <c r="A2586" t="s">
        <v>4849</v>
      </c>
      <c r="B2586" t="s">
        <v>4876</v>
      </c>
      <c r="C2586" t="s">
        <v>4877</v>
      </c>
      <c r="D2586" t="s">
        <v>98</v>
      </c>
      <c r="E2586">
        <v>1360</v>
      </c>
      <c r="F2586" t="s">
        <v>7468</v>
      </c>
      <c r="H2586">
        <v>1064.3499999999999</v>
      </c>
      <c r="L2586" t="s">
        <v>5922</v>
      </c>
      <c r="Q2586">
        <v>1064.3499999999999</v>
      </c>
      <c r="R2586">
        <v>1064.3499999999999</v>
      </c>
      <c r="U2586">
        <v>973.91</v>
      </c>
      <c r="V2586">
        <v>1034.78</v>
      </c>
      <c r="W2586">
        <v>1034.78</v>
      </c>
      <c r="X2586">
        <v>1034.78</v>
      </c>
      <c r="Y2586">
        <v>1299.99</v>
      </c>
      <c r="Z2586" t="s">
        <v>5922</v>
      </c>
    </row>
    <row r="2587" spans="1:26" x14ac:dyDescent="0.2">
      <c r="A2587" t="s">
        <v>4849</v>
      </c>
      <c r="B2587" t="s">
        <v>4878</v>
      </c>
      <c r="C2587" t="s">
        <v>4879</v>
      </c>
      <c r="D2587" t="s">
        <v>105</v>
      </c>
      <c r="E2587">
        <v>1675</v>
      </c>
      <c r="F2587" t="s">
        <v>7466</v>
      </c>
      <c r="G2587">
        <v>1599.99</v>
      </c>
      <c r="H2587">
        <v>1310.87</v>
      </c>
      <c r="L2587" t="s">
        <v>5922</v>
      </c>
      <c r="Q2587">
        <v>1310.87</v>
      </c>
      <c r="R2587">
        <v>1310.87</v>
      </c>
      <c r="U2587">
        <v>1182.5999999999999</v>
      </c>
      <c r="V2587">
        <v>1256.51</v>
      </c>
      <c r="W2587">
        <v>1256.51</v>
      </c>
      <c r="X2587">
        <v>1256.51</v>
      </c>
      <c r="Y2587">
        <v>1599.99</v>
      </c>
      <c r="Z2587" t="s">
        <v>5922</v>
      </c>
    </row>
    <row r="2588" spans="1:26" x14ac:dyDescent="0.2">
      <c r="A2588" t="s">
        <v>4849</v>
      </c>
      <c r="B2588" t="s">
        <v>4880</v>
      </c>
      <c r="C2588" t="s">
        <v>4881</v>
      </c>
      <c r="D2588" t="s">
        <v>105</v>
      </c>
      <c r="E2588">
        <v>1675</v>
      </c>
      <c r="F2588" t="s">
        <v>7466</v>
      </c>
      <c r="G2588">
        <v>1599.99</v>
      </c>
      <c r="H2588">
        <v>1310.87</v>
      </c>
      <c r="L2588" t="s">
        <v>5922</v>
      </c>
      <c r="Q2588">
        <v>1310.87</v>
      </c>
      <c r="R2588">
        <v>1310.87</v>
      </c>
      <c r="U2588">
        <v>1182.5999999999999</v>
      </c>
      <c r="V2588">
        <v>1256.51</v>
      </c>
      <c r="W2588">
        <v>1256.51</v>
      </c>
      <c r="X2588">
        <v>1256.51</v>
      </c>
      <c r="Y2588">
        <v>1599.99</v>
      </c>
      <c r="Z2588" t="s">
        <v>5922</v>
      </c>
    </row>
    <row r="2589" spans="1:26" x14ac:dyDescent="0.2">
      <c r="A2589" t="s">
        <v>4849</v>
      </c>
      <c r="B2589" t="s">
        <v>4882</v>
      </c>
      <c r="C2589" t="s">
        <v>4883</v>
      </c>
      <c r="D2589" t="s">
        <v>98</v>
      </c>
      <c r="E2589">
        <v>1695</v>
      </c>
      <c r="F2589" t="s">
        <v>5922</v>
      </c>
      <c r="G2589">
        <v>1695</v>
      </c>
      <c r="H2589">
        <v>1326.52</v>
      </c>
      <c r="L2589" t="s">
        <v>5922</v>
      </c>
      <c r="Q2589">
        <v>1326.52</v>
      </c>
      <c r="R2589">
        <v>1326.52</v>
      </c>
      <c r="U2589">
        <v>1252.83</v>
      </c>
      <c r="V2589">
        <v>1326.52</v>
      </c>
      <c r="W2589">
        <v>0</v>
      </c>
      <c r="X2589">
        <v>0</v>
      </c>
      <c r="Y2589">
        <v>1695</v>
      </c>
      <c r="Z2589" t="s">
        <v>5922</v>
      </c>
    </row>
    <row r="2590" spans="1:26" x14ac:dyDescent="0.2">
      <c r="A2590" t="s">
        <v>4849</v>
      </c>
      <c r="B2590" t="s">
        <v>4884</v>
      </c>
      <c r="C2590" t="s">
        <v>4885</v>
      </c>
      <c r="D2590" t="s">
        <v>105</v>
      </c>
      <c r="E2590">
        <v>1695</v>
      </c>
      <c r="F2590" t="s">
        <v>5922</v>
      </c>
      <c r="G2590">
        <v>1694.99</v>
      </c>
      <c r="H2590">
        <v>1326.52</v>
      </c>
      <c r="L2590" t="s">
        <v>5922</v>
      </c>
      <c r="Q2590">
        <v>1326.52</v>
      </c>
      <c r="R2590">
        <v>1326.52</v>
      </c>
      <c r="U2590">
        <v>1252.17</v>
      </c>
      <c r="V2590">
        <v>1330.43</v>
      </c>
      <c r="W2590">
        <v>1330.43</v>
      </c>
      <c r="X2590">
        <v>1330.43</v>
      </c>
      <c r="Y2590">
        <v>1694.99</v>
      </c>
      <c r="Z2590" t="s">
        <v>5922</v>
      </c>
    </row>
    <row r="2591" spans="1:26" x14ac:dyDescent="0.2">
      <c r="A2591" t="s">
        <v>4849</v>
      </c>
      <c r="B2591" t="s">
        <v>4886</v>
      </c>
      <c r="C2591" t="s">
        <v>4887</v>
      </c>
      <c r="D2591" t="s">
        <v>105</v>
      </c>
      <c r="E2591">
        <v>279.99</v>
      </c>
      <c r="F2591" t="s">
        <v>7213</v>
      </c>
      <c r="G2591">
        <v>279.99</v>
      </c>
      <c r="H2591">
        <v>219.12</v>
      </c>
      <c r="L2591" t="s">
        <v>5922</v>
      </c>
      <c r="Q2591">
        <v>219.12</v>
      </c>
      <c r="R2591">
        <v>219.12</v>
      </c>
      <c r="U2591">
        <v>221.04</v>
      </c>
      <c r="V2591">
        <v>229.12</v>
      </c>
      <c r="W2591">
        <v>206.95</v>
      </c>
      <c r="X2591">
        <v>229.12</v>
      </c>
      <c r="Y2591">
        <v>279.99</v>
      </c>
      <c r="Z2591" t="s">
        <v>5922</v>
      </c>
    </row>
    <row r="2592" spans="1:26" x14ac:dyDescent="0.2">
      <c r="A2592" t="s">
        <v>4849</v>
      </c>
      <c r="B2592" t="s">
        <v>4888</v>
      </c>
      <c r="C2592" t="s">
        <v>4889</v>
      </c>
      <c r="D2592" t="s">
        <v>105</v>
      </c>
      <c r="E2592">
        <v>219.99</v>
      </c>
      <c r="F2592" t="s">
        <v>7051</v>
      </c>
      <c r="G2592">
        <v>219.99</v>
      </c>
      <c r="H2592">
        <v>172.17</v>
      </c>
      <c r="L2592" t="s">
        <v>5922</v>
      </c>
      <c r="Q2592">
        <v>172.17</v>
      </c>
      <c r="R2592">
        <v>172.17</v>
      </c>
      <c r="U2592">
        <v>166.95</v>
      </c>
      <c r="V2592">
        <v>162.6</v>
      </c>
      <c r="W2592">
        <v>162.6</v>
      </c>
      <c r="X2592">
        <v>162.6</v>
      </c>
      <c r="Y2592">
        <v>219.99</v>
      </c>
      <c r="Z2592" t="s">
        <v>5922</v>
      </c>
    </row>
    <row r="2593" spans="1:26" x14ac:dyDescent="0.2">
      <c r="A2593" t="s">
        <v>4849</v>
      </c>
      <c r="B2593" t="s">
        <v>4890</v>
      </c>
      <c r="C2593" t="s">
        <v>4891</v>
      </c>
      <c r="D2593" t="s">
        <v>105</v>
      </c>
      <c r="E2593">
        <v>229.99</v>
      </c>
      <c r="F2593" t="s">
        <v>7129</v>
      </c>
      <c r="G2593">
        <v>229.99</v>
      </c>
      <c r="H2593">
        <v>179.99</v>
      </c>
      <c r="L2593" t="s">
        <v>5922</v>
      </c>
      <c r="Q2593">
        <v>179.99</v>
      </c>
      <c r="R2593">
        <v>179.99</v>
      </c>
      <c r="U2593">
        <v>185.38</v>
      </c>
      <c r="V2593">
        <v>192.17</v>
      </c>
      <c r="W2593">
        <v>169.99</v>
      </c>
      <c r="X2593">
        <v>192.17</v>
      </c>
      <c r="Y2593">
        <v>229.99</v>
      </c>
      <c r="Z2593" t="s">
        <v>5922</v>
      </c>
    </row>
    <row r="2594" spans="1:26" x14ac:dyDescent="0.2">
      <c r="A2594" t="s">
        <v>4849</v>
      </c>
      <c r="B2594" t="s">
        <v>4892</v>
      </c>
      <c r="C2594" t="s">
        <v>4893</v>
      </c>
      <c r="D2594" t="s">
        <v>105</v>
      </c>
      <c r="E2594">
        <v>219.99</v>
      </c>
      <c r="F2594" t="s">
        <v>7051</v>
      </c>
      <c r="G2594">
        <v>219.99</v>
      </c>
      <c r="H2594">
        <v>172.17</v>
      </c>
      <c r="L2594" t="s">
        <v>5922</v>
      </c>
      <c r="Q2594">
        <v>172.17</v>
      </c>
      <c r="R2594">
        <v>172.17</v>
      </c>
      <c r="U2594">
        <v>178.25</v>
      </c>
      <c r="V2594">
        <v>184.78</v>
      </c>
      <c r="W2594">
        <v>162.6</v>
      </c>
      <c r="X2594">
        <v>184.78</v>
      </c>
      <c r="Y2594">
        <v>219.99</v>
      </c>
      <c r="Z2594" t="s">
        <v>5922</v>
      </c>
    </row>
    <row r="2595" spans="1:26" x14ac:dyDescent="0.2">
      <c r="A2595" t="s">
        <v>4849</v>
      </c>
      <c r="B2595" t="s">
        <v>4894</v>
      </c>
      <c r="C2595" t="s">
        <v>4895</v>
      </c>
      <c r="D2595" t="s">
        <v>105</v>
      </c>
      <c r="E2595">
        <v>259.99</v>
      </c>
      <c r="F2595" t="s">
        <v>7186</v>
      </c>
      <c r="G2595">
        <v>259.99</v>
      </c>
      <c r="H2595">
        <v>203.47</v>
      </c>
      <c r="L2595" t="s">
        <v>5922</v>
      </c>
      <c r="Q2595">
        <v>203.47</v>
      </c>
      <c r="R2595">
        <v>203.47</v>
      </c>
      <c r="U2595">
        <v>206.78</v>
      </c>
      <c r="V2595">
        <v>214.34</v>
      </c>
      <c r="W2595">
        <v>192.17</v>
      </c>
      <c r="X2595">
        <v>214.34</v>
      </c>
      <c r="Y2595">
        <v>259.99</v>
      </c>
      <c r="Z2595" t="s">
        <v>5922</v>
      </c>
    </row>
    <row r="2596" spans="1:26" x14ac:dyDescent="0.2">
      <c r="A2596" t="s">
        <v>4849</v>
      </c>
      <c r="B2596" t="s">
        <v>4896</v>
      </c>
      <c r="C2596" t="s">
        <v>4897</v>
      </c>
      <c r="D2596" t="s">
        <v>105</v>
      </c>
      <c r="E2596">
        <v>679</v>
      </c>
      <c r="F2596" t="s">
        <v>7469</v>
      </c>
      <c r="G2596">
        <v>649.99</v>
      </c>
      <c r="H2596">
        <v>531.39</v>
      </c>
      <c r="L2596" t="s">
        <v>5922</v>
      </c>
      <c r="Q2596">
        <v>531.39</v>
      </c>
      <c r="R2596">
        <v>531.39</v>
      </c>
      <c r="U2596">
        <v>486.95</v>
      </c>
      <c r="V2596">
        <v>517.38</v>
      </c>
      <c r="W2596">
        <v>517.38</v>
      </c>
      <c r="X2596">
        <v>517.38</v>
      </c>
      <c r="Y2596">
        <v>649.99</v>
      </c>
      <c r="Z2596" t="s">
        <v>5922</v>
      </c>
    </row>
    <row r="2597" spans="1:26" x14ac:dyDescent="0.2">
      <c r="A2597" t="s">
        <v>4849</v>
      </c>
      <c r="B2597" t="s">
        <v>4898</v>
      </c>
      <c r="C2597" t="s">
        <v>4899</v>
      </c>
      <c r="D2597" t="s">
        <v>105</v>
      </c>
      <c r="E2597">
        <v>679</v>
      </c>
      <c r="F2597" t="s">
        <v>7469</v>
      </c>
      <c r="G2597">
        <v>649.99</v>
      </c>
      <c r="H2597">
        <v>531.39</v>
      </c>
      <c r="L2597" t="s">
        <v>5922</v>
      </c>
      <c r="Q2597">
        <v>531.39</v>
      </c>
      <c r="R2597">
        <v>531.39</v>
      </c>
      <c r="U2597">
        <v>486.95</v>
      </c>
      <c r="V2597">
        <v>517.38</v>
      </c>
      <c r="W2597">
        <v>517.38</v>
      </c>
      <c r="X2597">
        <v>517.38</v>
      </c>
      <c r="Y2597">
        <v>649.99</v>
      </c>
      <c r="Z2597" t="s">
        <v>5922</v>
      </c>
    </row>
    <row r="2598" spans="1:26" x14ac:dyDescent="0.2">
      <c r="A2598" t="s">
        <v>4849</v>
      </c>
      <c r="B2598" t="s">
        <v>4900</v>
      </c>
      <c r="C2598" t="s">
        <v>7470</v>
      </c>
      <c r="D2598" t="s">
        <v>105</v>
      </c>
      <c r="E2598">
        <v>264.99</v>
      </c>
      <c r="F2598" t="s">
        <v>7442</v>
      </c>
      <c r="G2598">
        <v>264.99</v>
      </c>
      <c r="H2598">
        <v>207.38</v>
      </c>
      <c r="L2598" t="s">
        <v>5922</v>
      </c>
      <c r="Q2598">
        <v>207.38</v>
      </c>
      <c r="R2598">
        <v>207.38</v>
      </c>
      <c r="U2598">
        <v>213.91</v>
      </c>
      <c r="V2598">
        <v>221.73</v>
      </c>
      <c r="W2598">
        <v>195.86</v>
      </c>
      <c r="X2598">
        <v>221.73</v>
      </c>
      <c r="Y2598">
        <v>264.99</v>
      </c>
      <c r="Z2598" t="s">
        <v>5922</v>
      </c>
    </row>
    <row r="2599" spans="1:26" x14ac:dyDescent="0.2">
      <c r="A2599" t="s">
        <v>4849</v>
      </c>
      <c r="B2599" t="s">
        <v>4901</v>
      </c>
      <c r="C2599" t="s">
        <v>4902</v>
      </c>
      <c r="D2599" t="s">
        <v>105</v>
      </c>
      <c r="E2599">
        <v>249.99</v>
      </c>
      <c r="F2599" t="s">
        <v>7134</v>
      </c>
      <c r="G2599">
        <v>249.99</v>
      </c>
      <c r="H2599">
        <v>195.64</v>
      </c>
      <c r="L2599" t="s">
        <v>5922</v>
      </c>
      <c r="Q2599">
        <v>195.64</v>
      </c>
      <c r="R2599">
        <v>195.64</v>
      </c>
      <c r="U2599">
        <v>199.65</v>
      </c>
      <c r="V2599">
        <v>206.95</v>
      </c>
      <c r="W2599">
        <v>184.78</v>
      </c>
      <c r="X2599">
        <v>206.95</v>
      </c>
      <c r="Y2599">
        <v>249.99</v>
      </c>
      <c r="Z2599" t="s">
        <v>5922</v>
      </c>
    </row>
    <row r="2600" spans="1:26" x14ac:dyDescent="0.2">
      <c r="A2600" t="s">
        <v>4849</v>
      </c>
      <c r="B2600" t="s">
        <v>4903</v>
      </c>
      <c r="C2600" t="s">
        <v>4904</v>
      </c>
      <c r="D2600" t="s">
        <v>105</v>
      </c>
      <c r="E2600">
        <v>0</v>
      </c>
      <c r="F2600" t="s">
        <v>5922</v>
      </c>
      <c r="L2600" t="s">
        <v>5922</v>
      </c>
      <c r="Z2600" t="s">
        <v>5922</v>
      </c>
    </row>
    <row r="2601" spans="1:26" x14ac:dyDescent="0.2">
      <c r="A2601" t="s">
        <v>4905</v>
      </c>
      <c r="B2601" t="s">
        <v>4906</v>
      </c>
      <c r="C2601" t="s">
        <v>4907</v>
      </c>
      <c r="D2601" t="s">
        <v>105</v>
      </c>
      <c r="E2601">
        <v>549.99</v>
      </c>
      <c r="F2601" t="s">
        <v>7089</v>
      </c>
      <c r="H2601">
        <v>382.6</v>
      </c>
      <c r="L2601" t="s">
        <v>5922</v>
      </c>
      <c r="M2601">
        <v>387.38</v>
      </c>
      <c r="N2601">
        <v>406.51</v>
      </c>
      <c r="S2601">
        <v>416.08</v>
      </c>
      <c r="U2601">
        <v>382.6</v>
      </c>
      <c r="Z2601" t="s">
        <v>5922</v>
      </c>
    </row>
    <row r="2602" spans="1:26" x14ac:dyDescent="0.2">
      <c r="A2602" t="s">
        <v>4905</v>
      </c>
      <c r="B2602" t="s">
        <v>4908</v>
      </c>
      <c r="C2602" t="s">
        <v>4909</v>
      </c>
      <c r="D2602" t="s">
        <v>138</v>
      </c>
      <c r="E2602">
        <v>199.99</v>
      </c>
      <c r="F2602" t="s">
        <v>5922</v>
      </c>
      <c r="L2602" t="s">
        <v>5922</v>
      </c>
      <c r="M2602">
        <v>140.86000000000001</v>
      </c>
      <c r="N2602">
        <v>142.6</v>
      </c>
      <c r="P2602">
        <v>139.12</v>
      </c>
      <c r="S2602">
        <v>139.12</v>
      </c>
      <c r="U2602">
        <v>139.12</v>
      </c>
      <c r="V2602">
        <v>139.12</v>
      </c>
      <c r="W2602">
        <v>147.82</v>
      </c>
      <c r="X2602">
        <v>139.12</v>
      </c>
      <c r="Y2602">
        <v>199.99</v>
      </c>
      <c r="Z2602" t="s">
        <v>5922</v>
      </c>
    </row>
    <row r="2603" spans="1:26" x14ac:dyDescent="0.2">
      <c r="A2603" t="s">
        <v>4905</v>
      </c>
      <c r="B2603" t="s">
        <v>4910</v>
      </c>
      <c r="C2603" t="s">
        <v>4909</v>
      </c>
      <c r="D2603" t="s">
        <v>98</v>
      </c>
      <c r="E2603">
        <v>199.99</v>
      </c>
      <c r="F2603" t="s">
        <v>5922</v>
      </c>
      <c r="G2603">
        <v>0</v>
      </c>
      <c r="L2603" t="s">
        <v>5922</v>
      </c>
      <c r="M2603">
        <v>140.86000000000001</v>
      </c>
      <c r="N2603">
        <v>142.6</v>
      </c>
      <c r="P2603">
        <v>139.12</v>
      </c>
      <c r="S2603">
        <v>139.12</v>
      </c>
      <c r="U2603">
        <v>139.12</v>
      </c>
      <c r="V2603">
        <v>139.12</v>
      </c>
      <c r="W2603">
        <v>147.82</v>
      </c>
      <c r="X2603">
        <v>139.12</v>
      </c>
      <c r="Y2603">
        <v>199.99</v>
      </c>
      <c r="Z2603" t="s">
        <v>5922</v>
      </c>
    </row>
    <row r="2604" spans="1:26" x14ac:dyDescent="0.2">
      <c r="A2604" t="s">
        <v>4905</v>
      </c>
      <c r="B2604" t="s">
        <v>4913</v>
      </c>
      <c r="C2604" t="s">
        <v>4912</v>
      </c>
      <c r="D2604" t="s">
        <v>138</v>
      </c>
      <c r="E2604">
        <v>199.99</v>
      </c>
      <c r="F2604" t="s">
        <v>5922</v>
      </c>
      <c r="L2604" t="s">
        <v>5922</v>
      </c>
      <c r="M2604">
        <v>140.86000000000001</v>
      </c>
      <c r="N2604">
        <v>142.6</v>
      </c>
      <c r="P2604">
        <v>139.12</v>
      </c>
      <c r="S2604">
        <v>139.12</v>
      </c>
      <c r="U2604">
        <v>139.12</v>
      </c>
      <c r="V2604">
        <v>139.12</v>
      </c>
      <c r="W2604">
        <v>147.82</v>
      </c>
      <c r="X2604">
        <v>139.12</v>
      </c>
      <c r="Y2604">
        <v>199.99</v>
      </c>
      <c r="Z2604" t="s">
        <v>5922</v>
      </c>
    </row>
    <row r="2605" spans="1:26" x14ac:dyDescent="0.2">
      <c r="A2605" t="s">
        <v>4905</v>
      </c>
      <c r="B2605" t="s">
        <v>4911</v>
      </c>
      <c r="C2605" t="s">
        <v>4912</v>
      </c>
      <c r="D2605" t="s">
        <v>98</v>
      </c>
      <c r="E2605">
        <v>199.99</v>
      </c>
      <c r="F2605" t="s">
        <v>5922</v>
      </c>
      <c r="G2605">
        <v>0</v>
      </c>
      <c r="L2605" t="s">
        <v>5922</v>
      </c>
      <c r="M2605">
        <v>140.86000000000001</v>
      </c>
      <c r="N2605">
        <v>142.6</v>
      </c>
      <c r="P2605">
        <v>139.12</v>
      </c>
      <c r="S2605">
        <v>139.12</v>
      </c>
      <c r="U2605">
        <v>139.12</v>
      </c>
      <c r="V2605">
        <v>139.12</v>
      </c>
      <c r="W2605">
        <v>147.82</v>
      </c>
      <c r="X2605">
        <v>139.12</v>
      </c>
      <c r="Y2605">
        <v>199.99</v>
      </c>
      <c r="Z2605" t="s">
        <v>5922</v>
      </c>
    </row>
    <row r="2606" spans="1:26" x14ac:dyDescent="0.2">
      <c r="A2606" t="s">
        <v>4905</v>
      </c>
      <c r="B2606" t="s">
        <v>4916</v>
      </c>
      <c r="C2606" t="s">
        <v>4915</v>
      </c>
      <c r="D2606" t="s">
        <v>105</v>
      </c>
      <c r="E2606">
        <v>119.99</v>
      </c>
      <c r="F2606" t="s">
        <v>6905</v>
      </c>
      <c r="H2606">
        <v>83.47</v>
      </c>
      <c r="L2606" t="s">
        <v>5922</v>
      </c>
      <c r="M2606">
        <v>84.51</v>
      </c>
      <c r="N2606">
        <v>87.64</v>
      </c>
      <c r="P2606">
        <v>83.47</v>
      </c>
      <c r="S2606">
        <v>83.47</v>
      </c>
      <c r="U2606">
        <v>83.47</v>
      </c>
      <c r="V2606">
        <v>83.47</v>
      </c>
      <c r="W2606">
        <v>88.69</v>
      </c>
      <c r="X2606">
        <v>83.47</v>
      </c>
      <c r="Y2606">
        <v>119.99</v>
      </c>
      <c r="Z2606" t="s">
        <v>5922</v>
      </c>
    </row>
    <row r="2607" spans="1:26" x14ac:dyDescent="0.2">
      <c r="A2607" t="s">
        <v>4905</v>
      </c>
      <c r="B2607" t="s">
        <v>4914</v>
      </c>
      <c r="C2607" t="s">
        <v>4915</v>
      </c>
      <c r="D2607" t="s">
        <v>98</v>
      </c>
      <c r="E2607">
        <v>119.99</v>
      </c>
      <c r="F2607" t="s">
        <v>5922</v>
      </c>
      <c r="G2607">
        <v>0</v>
      </c>
      <c r="L2607" t="s">
        <v>5922</v>
      </c>
      <c r="M2607">
        <v>84.51</v>
      </c>
      <c r="N2607">
        <v>85.56</v>
      </c>
      <c r="P2607">
        <v>83.47</v>
      </c>
      <c r="S2607">
        <v>83.47</v>
      </c>
      <c r="U2607">
        <v>83.47</v>
      </c>
      <c r="V2607">
        <v>83.47</v>
      </c>
      <c r="W2607">
        <v>88.69</v>
      </c>
      <c r="X2607">
        <v>83.47</v>
      </c>
      <c r="Y2607">
        <v>119.99</v>
      </c>
      <c r="Z2607" t="s">
        <v>5922</v>
      </c>
    </row>
    <row r="2608" spans="1:26" x14ac:dyDescent="0.2">
      <c r="A2608" t="s">
        <v>4905</v>
      </c>
      <c r="B2608" t="s">
        <v>4919</v>
      </c>
      <c r="C2608" t="s">
        <v>4918</v>
      </c>
      <c r="D2608" t="s">
        <v>98</v>
      </c>
      <c r="E2608">
        <v>119.99</v>
      </c>
      <c r="F2608" t="s">
        <v>5922</v>
      </c>
      <c r="G2608">
        <v>0</v>
      </c>
      <c r="L2608" t="s">
        <v>5922</v>
      </c>
      <c r="M2608">
        <v>84.51</v>
      </c>
      <c r="N2608">
        <v>85.56</v>
      </c>
      <c r="P2608">
        <v>83.47</v>
      </c>
      <c r="S2608">
        <v>83.47</v>
      </c>
      <c r="U2608">
        <v>83.47</v>
      </c>
      <c r="V2608">
        <v>83.47</v>
      </c>
      <c r="W2608">
        <v>88.69</v>
      </c>
      <c r="X2608">
        <v>83.47</v>
      </c>
      <c r="Y2608">
        <v>119.99</v>
      </c>
      <c r="Z2608" t="s">
        <v>5922</v>
      </c>
    </row>
    <row r="2609" spans="1:26" x14ac:dyDescent="0.2">
      <c r="A2609" t="s">
        <v>4905</v>
      </c>
      <c r="B2609" t="s">
        <v>4917</v>
      </c>
      <c r="C2609" t="s">
        <v>4918</v>
      </c>
      <c r="D2609" t="s">
        <v>105</v>
      </c>
      <c r="E2609">
        <v>119.99</v>
      </c>
      <c r="F2609" t="s">
        <v>6905</v>
      </c>
      <c r="H2609">
        <v>83.47</v>
      </c>
      <c r="L2609" t="s">
        <v>5922</v>
      </c>
      <c r="M2609">
        <v>84.51</v>
      </c>
      <c r="N2609">
        <v>87.64</v>
      </c>
      <c r="P2609">
        <v>83.47</v>
      </c>
      <c r="S2609">
        <v>83.47</v>
      </c>
      <c r="U2609">
        <v>83.47</v>
      </c>
      <c r="V2609">
        <v>83.47</v>
      </c>
      <c r="W2609">
        <v>88.69</v>
      </c>
      <c r="X2609">
        <v>83.47</v>
      </c>
      <c r="Y2609">
        <v>119.99</v>
      </c>
      <c r="Z2609" t="s">
        <v>5922</v>
      </c>
    </row>
    <row r="2610" spans="1:26" x14ac:dyDescent="0.2">
      <c r="A2610" t="s">
        <v>4905</v>
      </c>
      <c r="B2610" t="s">
        <v>4920</v>
      </c>
      <c r="C2610" t="s">
        <v>4921</v>
      </c>
      <c r="D2610" t="s">
        <v>98</v>
      </c>
      <c r="E2610">
        <v>269.99</v>
      </c>
      <c r="F2610" t="s">
        <v>5922</v>
      </c>
      <c r="G2610">
        <v>0</v>
      </c>
      <c r="L2610" t="s">
        <v>5922</v>
      </c>
      <c r="M2610">
        <v>190.17</v>
      </c>
      <c r="N2610">
        <v>192.51</v>
      </c>
      <c r="P2610">
        <v>187.82</v>
      </c>
      <c r="S2610">
        <v>187.82</v>
      </c>
      <c r="U2610">
        <v>187.82</v>
      </c>
      <c r="V2610">
        <v>187.82</v>
      </c>
      <c r="W2610">
        <v>199.56</v>
      </c>
      <c r="X2610">
        <v>187.82</v>
      </c>
      <c r="Y2610">
        <v>269.99</v>
      </c>
      <c r="Z2610" t="s">
        <v>5922</v>
      </c>
    </row>
    <row r="2611" spans="1:26" x14ac:dyDescent="0.2">
      <c r="A2611" t="s">
        <v>4905</v>
      </c>
      <c r="B2611" t="s">
        <v>4922</v>
      </c>
      <c r="C2611" t="s">
        <v>4921</v>
      </c>
      <c r="D2611" t="s">
        <v>138</v>
      </c>
      <c r="E2611">
        <v>269.99</v>
      </c>
      <c r="F2611" t="s">
        <v>5922</v>
      </c>
      <c r="L2611" t="s">
        <v>5922</v>
      </c>
      <c r="M2611">
        <v>190.17</v>
      </c>
      <c r="N2611">
        <v>192.51</v>
      </c>
      <c r="P2611">
        <v>187.82</v>
      </c>
      <c r="S2611">
        <v>187.82</v>
      </c>
      <c r="U2611">
        <v>187.82</v>
      </c>
      <c r="V2611">
        <v>187.82</v>
      </c>
      <c r="W2611">
        <v>199.56</v>
      </c>
      <c r="X2611">
        <v>187.82</v>
      </c>
      <c r="Y2611">
        <v>269.99</v>
      </c>
      <c r="Z2611" t="s">
        <v>5922</v>
      </c>
    </row>
    <row r="2612" spans="1:26" x14ac:dyDescent="0.2">
      <c r="A2612" t="s">
        <v>4905</v>
      </c>
      <c r="B2612" t="s">
        <v>4923</v>
      </c>
      <c r="C2612" t="s">
        <v>4924</v>
      </c>
      <c r="D2612" t="s">
        <v>105</v>
      </c>
      <c r="E2612">
        <v>379.99</v>
      </c>
      <c r="F2612" t="s">
        <v>7391</v>
      </c>
      <c r="H2612">
        <v>264.33999999999997</v>
      </c>
      <c r="L2612" t="s">
        <v>5922</v>
      </c>
      <c r="M2612">
        <v>267.64999999999998</v>
      </c>
      <c r="N2612">
        <v>277.56</v>
      </c>
      <c r="P2612">
        <v>264.33999999999997</v>
      </c>
      <c r="S2612">
        <v>264.33999999999997</v>
      </c>
      <c r="U2612">
        <v>264.33999999999997</v>
      </c>
      <c r="V2612">
        <v>264.33999999999997</v>
      </c>
      <c r="W2612">
        <v>280.86</v>
      </c>
      <c r="X2612">
        <v>264.33999999999997</v>
      </c>
      <c r="Y2612">
        <v>379.99</v>
      </c>
      <c r="Z2612" t="s">
        <v>5922</v>
      </c>
    </row>
    <row r="2613" spans="1:26" x14ac:dyDescent="0.2">
      <c r="A2613" t="s">
        <v>4905</v>
      </c>
      <c r="B2613" t="s">
        <v>4925</v>
      </c>
      <c r="C2613" t="s">
        <v>4924</v>
      </c>
      <c r="D2613" t="s">
        <v>98</v>
      </c>
      <c r="E2613">
        <v>379.99</v>
      </c>
      <c r="F2613" t="s">
        <v>5922</v>
      </c>
      <c r="G2613">
        <v>0</v>
      </c>
      <c r="L2613" t="s">
        <v>5922</v>
      </c>
      <c r="M2613">
        <v>267.64999999999998</v>
      </c>
      <c r="N2613">
        <v>270.95</v>
      </c>
      <c r="P2613">
        <v>264.33999999999997</v>
      </c>
      <c r="S2613">
        <v>264.33999999999997</v>
      </c>
      <c r="U2613">
        <v>264.33999999999997</v>
      </c>
      <c r="V2613">
        <v>264.33999999999997</v>
      </c>
      <c r="W2613">
        <v>280.86</v>
      </c>
      <c r="X2613">
        <v>264.33999999999997</v>
      </c>
      <c r="Y2613">
        <v>379.99</v>
      </c>
      <c r="Z2613" t="s">
        <v>5922</v>
      </c>
    </row>
    <row r="2614" spans="1:26" x14ac:dyDescent="0.2">
      <c r="A2614" t="s">
        <v>4905</v>
      </c>
      <c r="B2614" t="s">
        <v>4926</v>
      </c>
      <c r="C2614" t="s">
        <v>4927</v>
      </c>
      <c r="D2614" t="s">
        <v>98</v>
      </c>
      <c r="E2614">
        <v>819.99</v>
      </c>
      <c r="F2614" t="s">
        <v>5922</v>
      </c>
      <c r="G2614">
        <v>0</v>
      </c>
      <c r="L2614" t="s">
        <v>5922</v>
      </c>
      <c r="M2614">
        <v>577.55999999999995</v>
      </c>
      <c r="N2614">
        <v>584.69000000000005</v>
      </c>
      <c r="P2614">
        <v>570.42999999999995</v>
      </c>
      <c r="S2614">
        <v>570.42999999999995</v>
      </c>
      <c r="U2614">
        <v>570.42999999999995</v>
      </c>
      <c r="V2614">
        <v>570.42999999999995</v>
      </c>
      <c r="W2614">
        <v>606.08000000000004</v>
      </c>
      <c r="X2614">
        <v>570.42999999999995</v>
      </c>
      <c r="Y2614">
        <v>819.99</v>
      </c>
      <c r="Z2614" t="s">
        <v>5922</v>
      </c>
    </row>
    <row r="2615" spans="1:26" x14ac:dyDescent="0.2">
      <c r="A2615" t="s">
        <v>4905</v>
      </c>
      <c r="B2615" t="s">
        <v>4928</v>
      </c>
      <c r="C2615" t="s">
        <v>4927</v>
      </c>
      <c r="D2615" t="s">
        <v>105</v>
      </c>
      <c r="E2615">
        <v>819.99</v>
      </c>
      <c r="F2615" t="s">
        <v>7196</v>
      </c>
      <c r="H2615">
        <v>570.42999999999995</v>
      </c>
      <c r="L2615" t="s">
        <v>5922</v>
      </c>
      <c r="M2615">
        <v>577.55999999999995</v>
      </c>
      <c r="N2615">
        <v>606.08000000000004</v>
      </c>
      <c r="P2615">
        <v>570.42999999999995</v>
      </c>
      <c r="S2615">
        <v>570.42999999999995</v>
      </c>
      <c r="U2615">
        <v>570.42999999999995</v>
      </c>
      <c r="V2615">
        <v>570.42999999999995</v>
      </c>
      <c r="W2615">
        <v>606.08000000000004</v>
      </c>
      <c r="X2615">
        <v>570.42999999999995</v>
      </c>
      <c r="Y2615">
        <v>819.99</v>
      </c>
      <c r="Z2615" t="s">
        <v>5922</v>
      </c>
    </row>
    <row r="2616" spans="1:26" x14ac:dyDescent="0.2">
      <c r="A2616" t="s">
        <v>4905</v>
      </c>
      <c r="B2616" t="s">
        <v>4931</v>
      </c>
      <c r="C2616" t="s">
        <v>4930</v>
      </c>
      <c r="D2616" t="s">
        <v>105</v>
      </c>
      <c r="E2616">
        <v>219.99</v>
      </c>
      <c r="F2616" t="s">
        <v>7051</v>
      </c>
      <c r="H2616">
        <v>153.04</v>
      </c>
      <c r="L2616" t="s">
        <v>5922</v>
      </c>
      <c r="M2616">
        <v>154.94999999999999</v>
      </c>
      <c r="N2616">
        <v>160.69</v>
      </c>
      <c r="P2616">
        <v>153.04</v>
      </c>
      <c r="S2616">
        <v>153.04</v>
      </c>
      <c r="U2616">
        <v>153.04</v>
      </c>
      <c r="V2616">
        <v>153.04</v>
      </c>
      <c r="W2616">
        <v>162.6</v>
      </c>
      <c r="X2616">
        <v>153.04</v>
      </c>
      <c r="Y2616">
        <v>219.99</v>
      </c>
      <c r="Z2616" t="s">
        <v>5922</v>
      </c>
    </row>
    <row r="2617" spans="1:26" x14ac:dyDescent="0.2">
      <c r="A2617" t="s">
        <v>4905</v>
      </c>
      <c r="B2617" t="s">
        <v>4929</v>
      </c>
      <c r="C2617" t="s">
        <v>4930</v>
      </c>
      <c r="D2617" t="s">
        <v>98</v>
      </c>
      <c r="E2617">
        <v>219.99</v>
      </c>
      <c r="F2617" t="s">
        <v>5922</v>
      </c>
      <c r="G2617">
        <v>0</v>
      </c>
      <c r="L2617" t="s">
        <v>5922</v>
      </c>
      <c r="M2617">
        <v>154.94999999999999</v>
      </c>
      <c r="N2617">
        <v>156.86000000000001</v>
      </c>
      <c r="P2617">
        <v>153.04</v>
      </c>
      <c r="S2617">
        <v>153.04</v>
      </c>
      <c r="U2617">
        <v>153.04</v>
      </c>
      <c r="V2617">
        <v>153.04</v>
      </c>
      <c r="W2617">
        <v>162.6</v>
      </c>
      <c r="X2617">
        <v>153.04</v>
      </c>
      <c r="Y2617">
        <v>219.99</v>
      </c>
      <c r="Z2617" t="s">
        <v>5922</v>
      </c>
    </row>
    <row r="2618" spans="1:26" x14ac:dyDescent="0.2">
      <c r="A2618" t="s">
        <v>4905</v>
      </c>
      <c r="B2618" t="s">
        <v>4932</v>
      </c>
      <c r="C2618" t="s">
        <v>4933</v>
      </c>
      <c r="D2618" t="s">
        <v>98</v>
      </c>
      <c r="E2618">
        <v>219.99</v>
      </c>
      <c r="F2618" t="s">
        <v>5922</v>
      </c>
      <c r="G2618">
        <v>0</v>
      </c>
      <c r="L2618" t="s">
        <v>5922</v>
      </c>
      <c r="M2618">
        <v>154.94999999999999</v>
      </c>
      <c r="N2618">
        <v>156.86000000000001</v>
      </c>
      <c r="P2618">
        <v>153.04</v>
      </c>
      <c r="S2618">
        <v>153.04</v>
      </c>
      <c r="U2618">
        <v>153.04</v>
      </c>
      <c r="V2618">
        <v>153.04</v>
      </c>
      <c r="W2618">
        <v>162.6</v>
      </c>
      <c r="X2618">
        <v>153.04</v>
      </c>
      <c r="Y2618">
        <v>219.99</v>
      </c>
      <c r="Z2618" t="s">
        <v>5922</v>
      </c>
    </row>
    <row r="2619" spans="1:26" x14ac:dyDescent="0.2">
      <c r="A2619" t="s">
        <v>4905</v>
      </c>
      <c r="B2619" t="s">
        <v>4934</v>
      </c>
      <c r="C2619" t="s">
        <v>4933</v>
      </c>
      <c r="D2619" t="s">
        <v>105</v>
      </c>
      <c r="E2619">
        <v>219.99</v>
      </c>
      <c r="F2619" t="s">
        <v>7051</v>
      </c>
      <c r="H2619">
        <v>153.04</v>
      </c>
      <c r="L2619" t="s">
        <v>5922</v>
      </c>
      <c r="M2619">
        <v>154.94999999999999</v>
      </c>
      <c r="N2619">
        <v>160.69</v>
      </c>
      <c r="P2619">
        <v>153.04</v>
      </c>
      <c r="S2619">
        <v>153.04</v>
      </c>
      <c r="U2619">
        <v>153.04</v>
      </c>
      <c r="V2619">
        <v>153.04</v>
      </c>
      <c r="W2619">
        <v>162.6</v>
      </c>
      <c r="X2619">
        <v>153.04</v>
      </c>
      <c r="Y2619">
        <v>219.99</v>
      </c>
      <c r="Z2619" t="s">
        <v>5922</v>
      </c>
    </row>
    <row r="2620" spans="1:26" x14ac:dyDescent="0.2">
      <c r="A2620" t="s">
        <v>4905</v>
      </c>
      <c r="B2620" t="s">
        <v>4937</v>
      </c>
      <c r="C2620" t="s">
        <v>4936</v>
      </c>
      <c r="D2620" t="s">
        <v>105</v>
      </c>
      <c r="E2620">
        <v>199.99</v>
      </c>
      <c r="F2620" t="s">
        <v>6916</v>
      </c>
      <c r="H2620">
        <v>139.12</v>
      </c>
      <c r="L2620" t="s">
        <v>5922</v>
      </c>
      <c r="M2620">
        <v>140.86000000000001</v>
      </c>
      <c r="N2620">
        <v>147.82</v>
      </c>
      <c r="P2620">
        <v>139.12</v>
      </c>
      <c r="S2620">
        <v>139.12</v>
      </c>
      <c r="U2620">
        <v>139.12</v>
      </c>
      <c r="V2620">
        <v>139.12</v>
      </c>
      <c r="W2620">
        <v>147.82</v>
      </c>
      <c r="X2620">
        <v>139.12</v>
      </c>
      <c r="Y2620">
        <v>199.99</v>
      </c>
      <c r="Z2620" t="s">
        <v>5922</v>
      </c>
    </row>
    <row r="2621" spans="1:26" x14ac:dyDescent="0.2">
      <c r="A2621" t="s">
        <v>4905</v>
      </c>
      <c r="B2621" t="s">
        <v>4935</v>
      </c>
      <c r="C2621" t="s">
        <v>4936</v>
      </c>
      <c r="D2621" t="s">
        <v>98</v>
      </c>
      <c r="E2621">
        <v>199.99</v>
      </c>
      <c r="F2621" t="s">
        <v>5922</v>
      </c>
      <c r="G2621">
        <v>0</v>
      </c>
      <c r="L2621" t="s">
        <v>5922</v>
      </c>
      <c r="M2621">
        <v>140.86000000000001</v>
      </c>
      <c r="N2621">
        <v>142.6</v>
      </c>
      <c r="P2621">
        <v>139.12</v>
      </c>
      <c r="S2621">
        <v>139.12</v>
      </c>
      <c r="U2621">
        <v>139.12</v>
      </c>
      <c r="V2621">
        <v>139.12</v>
      </c>
      <c r="W2621">
        <v>147.82</v>
      </c>
      <c r="X2621">
        <v>139.12</v>
      </c>
      <c r="Y2621">
        <v>199.99</v>
      </c>
      <c r="Z2621" t="s">
        <v>5922</v>
      </c>
    </row>
    <row r="2622" spans="1:26" x14ac:dyDescent="0.2">
      <c r="A2622" t="s">
        <v>4905</v>
      </c>
      <c r="B2622" t="s">
        <v>4940</v>
      </c>
      <c r="C2622" t="s">
        <v>4939</v>
      </c>
      <c r="D2622" t="s">
        <v>98</v>
      </c>
      <c r="E2622">
        <v>489.99</v>
      </c>
      <c r="F2622" t="s">
        <v>5922</v>
      </c>
      <c r="G2622">
        <v>0</v>
      </c>
      <c r="L2622" t="s">
        <v>5922</v>
      </c>
      <c r="M2622">
        <v>345.12</v>
      </c>
      <c r="N2622">
        <v>349.38</v>
      </c>
      <c r="P2622">
        <v>340.86</v>
      </c>
      <c r="S2622">
        <v>357.91</v>
      </c>
      <c r="U2622">
        <v>340.86</v>
      </c>
      <c r="V2622">
        <v>340.86</v>
      </c>
      <c r="W2622">
        <v>362.17</v>
      </c>
      <c r="X2622">
        <v>340.86</v>
      </c>
      <c r="Y2622">
        <v>489.99</v>
      </c>
      <c r="Z2622" t="s">
        <v>5922</v>
      </c>
    </row>
    <row r="2623" spans="1:26" x14ac:dyDescent="0.2">
      <c r="A2623" t="s">
        <v>4905</v>
      </c>
      <c r="B2623" t="s">
        <v>4938</v>
      </c>
      <c r="C2623" t="s">
        <v>4939</v>
      </c>
      <c r="D2623" t="s">
        <v>105</v>
      </c>
      <c r="E2623">
        <v>489.99</v>
      </c>
      <c r="F2623" t="s">
        <v>7471</v>
      </c>
      <c r="H2623">
        <v>340.86</v>
      </c>
      <c r="L2623" t="s">
        <v>5922</v>
      </c>
      <c r="M2623">
        <v>345.12</v>
      </c>
      <c r="N2623">
        <v>362.17</v>
      </c>
      <c r="P2623">
        <v>340.86</v>
      </c>
      <c r="S2623">
        <v>357.91</v>
      </c>
      <c r="U2623">
        <v>340.86</v>
      </c>
      <c r="V2623">
        <v>340.86</v>
      </c>
      <c r="W2623">
        <v>362.17</v>
      </c>
      <c r="X2623">
        <v>340.86</v>
      </c>
      <c r="Y2623">
        <v>489.99</v>
      </c>
      <c r="Z2623" t="s">
        <v>5922</v>
      </c>
    </row>
    <row r="2624" spans="1:26" x14ac:dyDescent="0.2">
      <c r="A2624" t="s">
        <v>4905</v>
      </c>
      <c r="B2624" t="s">
        <v>4941</v>
      </c>
      <c r="C2624" t="s">
        <v>4942</v>
      </c>
      <c r="D2624" t="s">
        <v>105</v>
      </c>
      <c r="E2624">
        <v>99999</v>
      </c>
      <c r="F2624" t="s">
        <v>6965</v>
      </c>
      <c r="L2624" t="s">
        <v>5922</v>
      </c>
      <c r="Z2624" t="s">
        <v>5922</v>
      </c>
    </row>
    <row r="2625" spans="1:26" x14ac:dyDescent="0.2">
      <c r="A2625" t="s">
        <v>4905</v>
      </c>
      <c r="B2625" t="s">
        <v>4943</v>
      </c>
      <c r="C2625" t="s">
        <v>4944</v>
      </c>
      <c r="D2625" t="s">
        <v>105</v>
      </c>
      <c r="E2625">
        <v>99999</v>
      </c>
      <c r="F2625" t="s">
        <v>6965</v>
      </c>
      <c r="L2625" t="s">
        <v>5922</v>
      </c>
      <c r="Z2625" t="s">
        <v>5922</v>
      </c>
    </row>
    <row r="2626" spans="1:26" x14ac:dyDescent="0.2">
      <c r="A2626" t="s">
        <v>4905</v>
      </c>
      <c r="B2626" t="s">
        <v>4945</v>
      </c>
      <c r="C2626" t="s">
        <v>4946</v>
      </c>
      <c r="D2626" t="s">
        <v>105</v>
      </c>
      <c r="E2626">
        <v>99999</v>
      </c>
      <c r="F2626" t="s">
        <v>6965</v>
      </c>
      <c r="L2626" t="s">
        <v>5922</v>
      </c>
      <c r="Z2626" t="s">
        <v>5922</v>
      </c>
    </row>
    <row r="2627" spans="1:26" x14ac:dyDescent="0.2">
      <c r="A2627" t="s">
        <v>4905</v>
      </c>
      <c r="B2627" t="s">
        <v>4947</v>
      </c>
      <c r="C2627" t="s">
        <v>4948</v>
      </c>
      <c r="D2627" t="s">
        <v>98</v>
      </c>
      <c r="E2627">
        <v>299</v>
      </c>
      <c r="F2627" t="s">
        <v>5922</v>
      </c>
      <c r="L2627" t="s">
        <v>5922</v>
      </c>
      <c r="Z2627" t="s">
        <v>5922</v>
      </c>
    </row>
    <row r="2628" spans="1:26" x14ac:dyDescent="0.2">
      <c r="A2628" t="s">
        <v>4905</v>
      </c>
      <c r="B2628" t="s">
        <v>4949</v>
      </c>
      <c r="C2628" t="s">
        <v>4950</v>
      </c>
      <c r="D2628" t="s">
        <v>105</v>
      </c>
      <c r="F2628" t="s">
        <v>5922</v>
      </c>
      <c r="L2628" t="s">
        <v>5922</v>
      </c>
      <c r="Z2628" t="s">
        <v>5922</v>
      </c>
    </row>
    <row r="2629" spans="1:26" x14ac:dyDescent="0.2">
      <c r="A2629" t="s">
        <v>4905</v>
      </c>
      <c r="B2629" t="s">
        <v>4953</v>
      </c>
      <c r="C2629" t="s">
        <v>4952</v>
      </c>
      <c r="D2629" t="s">
        <v>105</v>
      </c>
      <c r="E2629">
        <v>669</v>
      </c>
      <c r="F2629" t="s">
        <v>7472</v>
      </c>
      <c r="H2629">
        <v>465.39</v>
      </c>
      <c r="L2629" t="s">
        <v>5922</v>
      </c>
      <c r="M2629">
        <v>471.21</v>
      </c>
      <c r="N2629">
        <v>477.03</v>
      </c>
      <c r="P2629">
        <v>465.39</v>
      </c>
      <c r="S2629">
        <v>459.57</v>
      </c>
      <c r="U2629">
        <v>465.39</v>
      </c>
      <c r="V2629">
        <v>465.39</v>
      </c>
      <c r="W2629">
        <v>494.48</v>
      </c>
      <c r="X2629">
        <v>465.39</v>
      </c>
      <c r="Y2629">
        <v>669</v>
      </c>
      <c r="Z2629" t="s">
        <v>5922</v>
      </c>
    </row>
    <row r="2630" spans="1:26" x14ac:dyDescent="0.2">
      <c r="A2630" t="s">
        <v>4905</v>
      </c>
      <c r="B2630" t="s">
        <v>4951</v>
      </c>
      <c r="C2630" t="s">
        <v>4952</v>
      </c>
      <c r="D2630" t="s">
        <v>98</v>
      </c>
      <c r="F2630" t="s">
        <v>5922</v>
      </c>
      <c r="H2630">
        <v>465.39</v>
      </c>
      <c r="L2630" t="s">
        <v>5922</v>
      </c>
      <c r="M2630">
        <v>471.21</v>
      </c>
      <c r="N2630">
        <v>477.03</v>
      </c>
      <c r="P2630">
        <v>465.39</v>
      </c>
      <c r="U2630">
        <v>465.39</v>
      </c>
      <c r="V2630">
        <v>465.39</v>
      </c>
      <c r="W2630">
        <v>494.48</v>
      </c>
      <c r="X2630">
        <v>465.39</v>
      </c>
      <c r="Z2630" t="s">
        <v>5922</v>
      </c>
    </row>
    <row r="2631" spans="1:26" x14ac:dyDescent="0.2">
      <c r="A2631" t="s">
        <v>4905</v>
      </c>
      <c r="B2631" t="s">
        <v>4956</v>
      </c>
      <c r="C2631" t="s">
        <v>4955</v>
      </c>
      <c r="D2631" t="s">
        <v>105</v>
      </c>
      <c r="E2631">
        <v>669</v>
      </c>
      <c r="F2631" t="s">
        <v>7472</v>
      </c>
      <c r="H2631">
        <v>465.39</v>
      </c>
      <c r="L2631" t="s">
        <v>5922</v>
      </c>
      <c r="M2631">
        <v>471.21</v>
      </c>
      <c r="N2631">
        <v>477.03</v>
      </c>
      <c r="P2631">
        <v>465.39</v>
      </c>
      <c r="S2631">
        <v>459.57</v>
      </c>
      <c r="U2631">
        <v>465.39</v>
      </c>
      <c r="V2631">
        <v>465.39</v>
      </c>
      <c r="W2631">
        <v>494.48</v>
      </c>
      <c r="X2631">
        <v>465.39</v>
      </c>
      <c r="Y2631">
        <v>669</v>
      </c>
      <c r="Z2631" t="s">
        <v>5922</v>
      </c>
    </row>
    <row r="2632" spans="1:26" x14ac:dyDescent="0.2">
      <c r="A2632" t="s">
        <v>4905</v>
      </c>
      <c r="B2632" t="s">
        <v>4954</v>
      </c>
      <c r="C2632" t="s">
        <v>4955</v>
      </c>
      <c r="D2632" t="s">
        <v>98</v>
      </c>
      <c r="F2632" t="s">
        <v>5922</v>
      </c>
      <c r="H2632">
        <v>465.39</v>
      </c>
      <c r="L2632" t="s">
        <v>5922</v>
      </c>
      <c r="M2632">
        <v>471.21</v>
      </c>
      <c r="N2632">
        <v>477.03</v>
      </c>
      <c r="P2632">
        <v>465.39</v>
      </c>
      <c r="U2632">
        <v>465.39</v>
      </c>
      <c r="V2632">
        <v>465.39</v>
      </c>
      <c r="W2632">
        <v>494.48</v>
      </c>
      <c r="X2632">
        <v>465.39</v>
      </c>
      <c r="Z2632" t="s">
        <v>5922</v>
      </c>
    </row>
    <row r="2633" spans="1:26" x14ac:dyDescent="0.2">
      <c r="A2633" t="s">
        <v>4905</v>
      </c>
      <c r="B2633" t="s">
        <v>4959</v>
      </c>
      <c r="C2633" t="s">
        <v>4958</v>
      </c>
      <c r="D2633" t="s">
        <v>98</v>
      </c>
      <c r="F2633" t="s">
        <v>5922</v>
      </c>
      <c r="H2633">
        <v>465.39</v>
      </c>
      <c r="L2633" t="s">
        <v>5922</v>
      </c>
      <c r="M2633">
        <v>471.21</v>
      </c>
      <c r="N2633">
        <v>477.03</v>
      </c>
      <c r="P2633">
        <v>465.39</v>
      </c>
      <c r="U2633">
        <v>465.39</v>
      </c>
      <c r="V2633">
        <v>465.39</v>
      </c>
      <c r="W2633">
        <v>494.48</v>
      </c>
      <c r="X2633">
        <v>465.39</v>
      </c>
      <c r="Z2633" t="s">
        <v>5922</v>
      </c>
    </row>
    <row r="2634" spans="1:26" x14ac:dyDescent="0.2">
      <c r="A2634" t="s">
        <v>4905</v>
      </c>
      <c r="B2634" t="s">
        <v>4957</v>
      </c>
      <c r="C2634" t="s">
        <v>4958</v>
      </c>
      <c r="D2634" t="s">
        <v>105</v>
      </c>
      <c r="E2634">
        <v>669</v>
      </c>
      <c r="F2634" t="s">
        <v>7472</v>
      </c>
      <c r="H2634">
        <v>465.39</v>
      </c>
      <c r="L2634" t="s">
        <v>5922</v>
      </c>
      <c r="M2634">
        <v>471.21</v>
      </c>
      <c r="N2634">
        <v>477.03</v>
      </c>
      <c r="P2634">
        <v>465.39</v>
      </c>
      <c r="S2634">
        <v>459.57</v>
      </c>
      <c r="U2634">
        <v>465.39</v>
      </c>
      <c r="V2634">
        <v>465.39</v>
      </c>
      <c r="W2634">
        <v>494.48</v>
      </c>
      <c r="X2634">
        <v>465.39</v>
      </c>
      <c r="Y2634">
        <v>669</v>
      </c>
      <c r="Z2634" t="s">
        <v>5922</v>
      </c>
    </row>
    <row r="2635" spans="1:26" x14ac:dyDescent="0.2">
      <c r="A2635" t="s">
        <v>4905</v>
      </c>
      <c r="B2635" t="s">
        <v>4960</v>
      </c>
      <c r="C2635" t="s">
        <v>4961</v>
      </c>
      <c r="D2635" t="s">
        <v>105</v>
      </c>
      <c r="E2635">
        <v>669</v>
      </c>
      <c r="F2635" t="s">
        <v>7472</v>
      </c>
      <c r="H2635">
        <v>465.39</v>
      </c>
      <c r="L2635" t="s">
        <v>5922</v>
      </c>
      <c r="M2635">
        <v>471.21</v>
      </c>
      <c r="N2635">
        <v>477.03</v>
      </c>
      <c r="P2635">
        <v>465.39</v>
      </c>
      <c r="S2635">
        <v>459.57</v>
      </c>
      <c r="U2635">
        <v>465.39</v>
      </c>
      <c r="V2635">
        <v>465.39</v>
      </c>
      <c r="W2635">
        <v>494.48</v>
      </c>
      <c r="X2635">
        <v>465.39</v>
      </c>
      <c r="Y2635">
        <v>669</v>
      </c>
      <c r="Z2635" t="s">
        <v>5922</v>
      </c>
    </row>
    <row r="2636" spans="1:26" x14ac:dyDescent="0.2">
      <c r="A2636" t="s">
        <v>4905</v>
      </c>
      <c r="B2636" t="s">
        <v>4962</v>
      </c>
      <c r="C2636" t="s">
        <v>4961</v>
      </c>
      <c r="D2636" t="s">
        <v>98</v>
      </c>
      <c r="F2636" t="s">
        <v>5922</v>
      </c>
      <c r="H2636">
        <v>465.39</v>
      </c>
      <c r="L2636" t="s">
        <v>5922</v>
      </c>
      <c r="M2636">
        <v>471.21</v>
      </c>
      <c r="N2636">
        <v>477.03</v>
      </c>
      <c r="P2636">
        <v>465.39</v>
      </c>
      <c r="U2636">
        <v>465.39</v>
      </c>
      <c r="V2636">
        <v>465.39</v>
      </c>
      <c r="W2636">
        <v>494.48</v>
      </c>
      <c r="X2636">
        <v>465.39</v>
      </c>
      <c r="Z2636" t="s">
        <v>5922</v>
      </c>
    </row>
    <row r="2637" spans="1:26" x14ac:dyDescent="0.2">
      <c r="A2637" t="s">
        <v>4905</v>
      </c>
      <c r="B2637" t="s">
        <v>4965</v>
      </c>
      <c r="C2637" t="s">
        <v>4964</v>
      </c>
      <c r="D2637" t="s">
        <v>138</v>
      </c>
      <c r="E2637">
        <v>549.99</v>
      </c>
      <c r="F2637" t="s">
        <v>5922</v>
      </c>
      <c r="H2637">
        <v>382.6</v>
      </c>
      <c r="L2637" t="s">
        <v>5922</v>
      </c>
      <c r="M2637">
        <v>406.51</v>
      </c>
      <c r="N2637">
        <v>392.17</v>
      </c>
      <c r="P2637">
        <v>382.6</v>
      </c>
      <c r="S2637">
        <v>382.6</v>
      </c>
      <c r="U2637">
        <v>382.6</v>
      </c>
      <c r="V2637">
        <v>382.6</v>
      </c>
      <c r="W2637">
        <v>406.51</v>
      </c>
      <c r="X2637">
        <v>382.6</v>
      </c>
      <c r="Y2637">
        <v>549.99</v>
      </c>
      <c r="Z2637" t="s">
        <v>5922</v>
      </c>
    </row>
    <row r="2638" spans="1:26" x14ac:dyDescent="0.2">
      <c r="A2638" t="s">
        <v>4905</v>
      </c>
      <c r="B2638" t="s">
        <v>4963</v>
      </c>
      <c r="C2638" t="s">
        <v>4964</v>
      </c>
      <c r="D2638" t="s">
        <v>98</v>
      </c>
      <c r="E2638">
        <v>549.99</v>
      </c>
      <c r="F2638" t="s">
        <v>5922</v>
      </c>
      <c r="G2638">
        <v>0</v>
      </c>
      <c r="L2638" t="s">
        <v>5922</v>
      </c>
      <c r="M2638">
        <v>406.51</v>
      </c>
      <c r="N2638">
        <v>392.17</v>
      </c>
      <c r="P2638">
        <v>382.6</v>
      </c>
      <c r="S2638">
        <v>382.6</v>
      </c>
      <c r="U2638">
        <v>382.6</v>
      </c>
      <c r="V2638">
        <v>382.6</v>
      </c>
      <c r="W2638">
        <v>406.51</v>
      </c>
      <c r="X2638">
        <v>382.6</v>
      </c>
      <c r="Y2638">
        <v>549.99</v>
      </c>
      <c r="Z2638" t="s">
        <v>5922</v>
      </c>
    </row>
    <row r="2639" spans="1:26" x14ac:dyDescent="0.2">
      <c r="A2639" t="s">
        <v>4905</v>
      </c>
      <c r="B2639" t="s">
        <v>4966</v>
      </c>
      <c r="C2639" t="s">
        <v>4967</v>
      </c>
      <c r="D2639" t="s">
        <v>138</v>
      </c>
      <c r="E2639">
        <v>549.99</v>
      </c>
      <c r="F2639" t="s">
        <v>5922</v>
      </c>
      <c r="H2639">
        <v>382.6</v>
      </c>
      <c r="L2639" t="s">
        <v>5922</v>
      </c>
      <c r="M2639">
        <v>406.51</v>
      </c>
      <c r="N2639">
        <v>392.17</v>
      </c>
      <c r="P2639">
        <v>382.6</v>
      </c>
      <c r="S2639">
        <v>382.6</v>
      </c>
      <c r="U2639">
        <v>382.6</v>
      </c>
      <c r="V2639">
        <v>382.6</v>
      </c>
      <c r="W2639">
        <v>406.51</v>
      </c>
      <c r="X2639">
        <v>382.6</v>
      </c>
      <c r="Y2639">
        <v>549.99</v>
      </c>
      <c r="Z2639" t="s">
        <v>5922</v>
      </c>
    </row>
    <row r="2640" spans="1:26" x14ac:dyDescent="0.2">
      <c r="A2640" t="s">
        <v>4905</v>
      </c>
      <c r="B2640" t="s">
        <v>4968</v>
      </c>
      <c r="C2640" t="s">
        <v>4967</v>
      </c>
      <c r="D2640" t="s">
        <v>98</v>
      </c>
      <c r="E2640">
        <v>549.99</v>
      </c>
      <c r="F2640" t="s">
        <v>5922</v>
      </c>
      <c r="G2640">
        <v>0</v>
      </c>
      <c r="L2640" t="s">
        <v>5922</v>
      </c>
      <c r="M2640">
        <v>406.51</v>
      </c>
      <c r="N2640">
        <v>392.17</v>
      </c>
      <c r="P2640">
        <v>382.6</v>
      </c>
      <c r="S2640">
        <v>382.6</v>
      </c>
      <c r="U2640">
        <v>382.6</v>
      </c>
      <c r="V2640">
        <v>382.6</v>
      </c>
      <c r="W2640">
        <v>406.51</v>
      </c>
      <c r="X2640">
        <v>382.6</v>
      </c>
      <c r="Y2640">
        <v>549.99</v>
      </c>
      <c r="Z2640" t="s">
        <v>5922</v>
      </c>
    </row>
    <row r="2641" spans="1:26" x14ac:dyDescent="0.2">
      <c r="A2641" t="s">
        <v>4905</v>
      </c>
      <c r="B2641" t="s">
        <v>4971</v>
      </c>
      <c r="C2641" t="s">
        <v>4970</v>
      </c>
      <c r="D2641" t="s">
        <v>138</v>
      </c>
      <c r="E2641">
        <v>549.99</v>
      </c>
      <c r="F2641" t="s">
        <v>5922</v>
      </c>
      <c r="H2641">
        <v>382.6</v>
      </c>
      <c r="L2641" t="s">
        <v>5922</v>
      </c>
      <c r="M2641">
        <v>406.51</v>
      </c>
      <c r="N2641">
        <v>392.17</v>
      </c>
      <c r="P2641">
        <v>382.6</v>
      </c>
      <c r="S2641">
        <v>382.6</v>
      </c>
      <c r="U2641">
        <v>382.6</v>
      </c>
      <c r="V2641">
        <v>382.6</v>
      </c>
      <c r="W2641">
        <v>406.51</v>
      </c>
      <c r="X2641">
        <v>382.6</v>
      </c>
      <c r="Y2641">
        <v>549.99</v>
      </c>
      <c r="Z2641" t="s">
        <v>5922</v>
      </c>
    </row>
    <row r="2642" spans="1:26" x14ac:dyDescent="0.2">
      <c r="A2642" t="s">
        <v>4905</v>
      </c>
      <c r="B2642" t="s">
        <v>4969</v>
      </c>
      <c r="C2642" t="s">
        <v>4970</v>
      </c>
      <c r="D2642" t="s">
        <v>98</v>
      </c>
      <c r="E2642">
        <v>549.99</v>
      </c>
      <c r="F2642" t="s">
        <v>5922</v>
      </c>
      <c r="G2642">
        <v>0</v>
      </c>
      <c r="L2642" t="s">
        <v>5922</v>
      </c>
      <c r="M2642">
        <v>406.51</v>
      </c>
      <c r="N2642">
        <v>392.17</v>
      </c>
      <c r="P2642">
        <v>382.6</v>
      </c>
      <c r="S2642">
        <v>382.6</v>
      </c>
      <c r="U2642">
        <v>382.6</v>
      </c>
      <c r="V2642">
        <v>382.6</v>
      </c>
      <c r="W2642">
        <v>406.51</v>
      </c>
      <c r="X2642">
        <v>382.6</v>
      </c>
      <c r="Y2642">
        <v>549.99</v>
      </c>
      <c r="Z2642" t="s">
        <v>5922</v>
      </c>
    </row>
    <row r="2643" spans="1:26" x14ac:dyDescent="0.2">
      <c r="A2643" t="s">
        <v>4905</v>
      </c>
      <c r="B2643" t="s">
        <v>4972</v>
      </c>
      <c r="C2643" t="s">
        <v>4973</v>
      </c>
      <c r="D2643" t="s">
        <v>98</v>
      </c>
      <c r="E2643">
        <v>549.99</v>
      </c>
      <c r="F2643" t="s">
        <v>5922</v>
      </c>
      <c r="G2643">
        <v>0</v>
      </c>
      <c r="L2643" t="s">
        <v>5922</v>
      </c>
      <c r="M2643">
        <v>406.51</v>
      </c>
      <c r="N2643">
        <v>392.17</v>
      </c>
      <c r="P2643">
        <v>382.6</v>
      </c>
      <c r="S2643">
        <v>382.6</v>
      </c>
      <c r="U2643">
        <v>382.6</v>
      </c>
      <c r="V2643">
        <v>382.6</v>
      </c>
      <c r="W2643">
        <v>406.51</v>
      </c>
      <c r="X2643">
        <v>382.6</v>
      </c>
      <c r="Y2643">
        <v>549.99</v>
      </c>
      <c r="Z2643" t="s">
        <v>5922</v>
      </c>
    </row>
    <row r="2644" spans="1:26" x14ac:dyDescent="0.2">
      <c r="A2644" t="s">
        <v>4905</v>
      </c>
      <c r="B2644" t="s">
        <v>4974</v>
      </c>
      <c r="C2644" t="s">
        <v>4973</v>
      </c>
      <c r="D2644" t="s">
        <v>138</v>
      </c>
      <c r="E2644">
        <v>549.99</v>
      </c>
      <c r="F2644" t="s">
        <v>5922</v>
      </c>
      <c r="H2644">
        <v>382.6</v>
      </c>
      <c r="L2644" t="s">
        <v>5922</v>
      </c>
      <c r="M2644">
        <v>406.51</v>
      </c>
      <c r="N2644">
        <v>392.17</v>
      </c>
      <c r="P2644">
        <v>382.6</v>
      </c>
      <c r="S2644">
        <v>382.6</v>
      </c>
      <c r="U2644">
        <v>382.6</v>
      </c>
      <c r="V2644">
        <v>382.6</v>
      </c>
      <c r="W2644">
        <v>406.51</v>
      </c>
      <c r="X2644">
        <v>382.6</v>
      </c>
      <c r="Y2644">
        <v>549.99</v>
      </c>
      <c r="Z2644" t="s">
        <v>5922</v>
      </c>
    </row>
    <row r="2645" spans="1:26" x14ac:dyDescent="0.2">
      <c r="A2645" t="s">
        <v>4905</v>
      </c>
      <c r="B2645" t="s">
        <v>4977</v>
      </c>
      <c r="C2645" t="s">
        <v>4976</v>
      </c>
      <c r="D2645" t="s">
        <v>98</v>
      </c>
      <c r="E2645">
        <v>549.99</v>
      </c>
      <c r="F2645" t="s">
        <v>5922</v>
      </c>
      <c r="G2645">
        <v>0</v>
      </c>
      <c r="L2645" t="s">
        <v>5922</v>
      </c>
      <c r="M2645">
        <v>406.51</v>
      </c>
      <c r="N2645">
        <v>392.17</v>
      </c>
      <c r="P2645">
        <v>382.6</v>
      </c>
      <c r="S2645">
        <v>382.6</v>
      </c>
      <c r="U2645">
        <v>382.6</v>
      </c>
      <c r="V2645">
        <v>382.6</v>
      </c>
      <c r="W2645">
        <v>406.51</v>
      </c>
      <c r="X2645">
        <v>382.6</v>
      </c>
      <c r="Y2645">
        <v>549.99</v>
      </c>
      <c r="Z2645" t="s">
        <v>5922</v>
      </c>
    </row>
    <row r="2646" spans="1:26" x14ac:dyDescent="0.2">
      <c r="A2646" t="s">
        <v>4905</v>
      </c>
      <c r="B2646" t="s">
        <v>4975</v>
      </c>
      <c r="C2646" t="s">
        <v>4976</v>
      </c>
      <c r="D2646" t="s">
        <v>138</v>
      </c>
      <c r="E2646">
        <v>549.99</v>
      </c>
      <c r="F2646" t="s">
        <v>5922</v>
      </c>
      <c r="H2646">
        <v>382.6</v>
      </c>
      <c r="L2646" t="s">
        <v>5922</v>
      </c>
      <c r="M2646">
        <v>406.51</v>
      </c>
      <c r="N2646">
        <v>392.17</v>
      </c>
      <c r="P2646">
        <v>382.6</v>
      </c>
      <c r="S2646">
        <v>382.6</v>
      </c>
      <c r="U2646">
        <v>382.6</v>
      </c>
      <c r="V2646">
        <v>382.6</v>
      </c>
      <c r="W2646">
        <v>406.51</v>
      </c>
      <c r="X2646">
        <v>382.6</v>
      </c>
      <c r="Y2646">
        <v>549.99</v>
      </c>
      <c r="Z2646" t="s">
        <v>5922</v>
      </c>
    </row>
    <row r="2647" spans="1:26" x14ac:dyDescent="0.2">
      <c r="A2647" t="s">
        <v>4905</v>
      </c>
      <c r="B2647" t="s">
        <v>4980</v>
      </c>
      <c r="C2647" t="s">
        <v>4979</v>
      </c>
      <c r="D2647" t="s">
        <v>138</v>
      </c>
      <c r="E2647">
        <v>729.99</v>
      </c>
      <c r="F2647" t="s">
        <v>5922</v>
      </c>
      <c r="H2647">
        <v>507.82</v>
      </c>
      <c r="L2647" t="s">
        <v>5922</v>
      </c>
      <c r="M2647">
        <v>539.55999999999995</v>
      </c>
      <c r="N2647">
        <v>520.51</v>
      </c>
      <c r="P2647">
        <v>507.82</v>
      </c>
      <c r="S2647">
        <v>507.82</v>
      </c>
      <c r="U2647">
        <v>507.82</v>
      </c>
      <c r="V2647">
        <v>507.82</v>
      </c>
      <c r="W2647">
        <v>539.55999999999995</v>
      </c>
      <c r="X2647">
        <v>507.82</v>
      </c>
      <c r="Y2647">
        <v>729.99</v>
      </c>
      <c r="Z2647" t="s">
        <v>5922</v>
      </c>
    </row>
    <row r="2648" spans="1:26" x14ac:dyDescent="0.2">
      <c r="A2648" t="s">
        <v>4905</v>
      </c>
      <c r="B2648" t="s">
        <v>4978</v>
      </c>
      <c r="C2648" t="s">
        <v>4979</v>
      </c>
      <c r="D2648" t="s">
        <v>98</v>
      </c>
      <c r="E2648">
        <v>729.99</v>
      </c>
      <c r="F2648" t="s">
        <v>5922</v>
      </c>
      <c r="G2648">
        <v>0</v>
      </c>
      <c r="L2648" t="s">
        <v>5922</v>
      </c>
      <c r="M2648">
        <v>539.54999999999995</v>
      </c>
      <c r="N2648">
        <v>520.51</v>
      </c>
      <c r="P2648">
        <v>507.82</v>
      </c>
      <c r="S2648">
        <v>507.82</v>
      </c>
      <c r="U2648">
        <v>507.82</v>
      </c>
      <c r="V2648">
        <v>507.82</v>
      </c>
      <c r="W2648">
        <v>539.55999999999995</v>
      </c>
      <c r="X2648">
        <v>507.82</v>
      </c>
      <c r="Y2648">
        <v>729.99</v>
      </c>
      <c r="Z2648" t="s">
        <v>5922</v>
      </c>
    </row>
    <row r="2649" spans="1:26" x14ac:dyDescent="0.2">
      <c r="A2649" t="s">
        <v>4905</v>
      </c>
      <c r="B2649" t="s">
        <v>4981</v>
      </c>
      <c r="C2649" t="s">
        <v>4982</v>
      </c>
      <c r="D2649" t="s">
        <v>138</v>
      </c>
      <c r="E2649">
        <v>729.99</v>
      </c>
      <c r="F2649" t="s">
        <v>5922</v>
      </c>
      <c r="H2649">
        <v>507.82</v>
      </c>
      <c r="L2649" t="s">
        <v>5922</v>
      </c>
      <c r="M2649">
        <v>539.55999999999995</v>
      </c>
      <c r="N2649">
        <v>520.51</v>
      </c>
      <c r="P2649">
        <v>507.82</v>
      </c>
      <c r="S2649">
        <v>507.82</v>
      </c>
      <c r="U2649">
        <v>507.82</v>
      </c>
      <c r="V2649">
        <v>507.82</v>
      </c>
      <c r="W2649">
        <v>539.55999999999995</v>
      </c>
      <c r="X2649">
        <v>507.82</v>
      </c>
      <c r="Y2649">
        <v>729.99</v>
      </c>
      <c r="Z2649" t="s">
        <v>5922</v>
      </c>
    </row>
    <row r="2650" spans="1:26" x14ac:dyDescent="0.2">
      <c r="A2650" t="s">
        <v>4905</v>
      </c>
      <c r="B2650" t="s">
        <v>4983</v>
      </c>
      <c r="C2650" t="s">
        <v>4982</v>
      </c>
      <c r="D2650" t="s">
        <v>98</v>
      </c>
      <c r="E2650">
        <v>729.99</v>
      </c>
      <c r="F2650" t="s">
        <v>5922</v>
      </c>
      <c r="G2650">
        <v>0</v>
      </c>
      <c r="L2650" t="s">
        <v>5922</v>
      </c>
      <c r="M2650">
        <v>539.55999999999995</v>
      </c>
      <c r="N2650">
        <v>520.51</v>
      </c>
      <c r="P2650">
        <v>507.82</v>
      </c>
      <c r="S2650">
        <v>507.82</v>
      </c>
      <c r="U2650">
        <v>507.82</v>
      </c>
      <c r="V2650">
        <v>507.82</v>
      </c>
      <c r="W2650">
        <v>539.55999999999995</v>
      </c>
      <c r="X2650">
        <v>507.82</v>
      </c>
      <c r="Y2650">
        <v>729.99</v>
      </c>
      <c r="Z2650" t="s">
        <v>5922</v>
      </c>
    </row>
    <row r="2651" spans="1:26" x14ac:dyDescent="0.2">
      <c r="A2651" t="s">
        <v>4905</v>
      </c>
      <c r="B2651" t="s">
        <v>4986</v>
      </c>
      <c r="C2651" t="s">
        <v>4985</v>
      </c>
      <c r="D2651" t="s">
        <v>105</v>
      </c>
      <c r="E2651">
        <v>479</v>
      </c>
      <c r="F2651" t="s">
        <v>7411</v>
      </c>
      <c r="H2651">
        <v>333.22</v>
      </c>
      <c r="L2651" t="s">
        <v>5922</v>
      </c>
      <c r="M2651">
        <v>337.38</v>
      </c>
      <c r="N2651">
        <v>341.55</v>
      </c>
      <c r="P2651">
        <v>333.22</v>
      </c>
      <c r="S2651">
        <v>329.05</v>
      </c>
      <c r="U2651">
        <v>333.22</v>
      </c>
      <c r="V2651">
        <v>333.22</v>
      </c>
      <c r="W2651">
        <v>354.04</v>
      </c>
      <c r="X2651">
        <v>333.22</v>
      </c>
      <c r="Y2651">
        <v>479</v>
      </c>
      <c r="Z2651" t="s">
        <v>5922</v>
      </c>
    </row>
    <row r="2652" spans="1:26" x14ac:dyDescent="0.2">
      <c r="A2652" t="s">
        <v>4905</v>
      </c>
      <c r="B2652" t="s">
        <v>4984</v>
      </c>
      <c r="C2652" t="s">
        <v>4985</v>
      </c>
      <c r="D2652" t="s">
        <v>98</v>
      </c>
      <c r="F2652" t="s">
        <v>5922</v>
      </c>
      <c r="H2652">
        <v>333.22</v>
      </c>
      <c r="L2652" t="s">
        <v>5922</v>
      </c>
      <c r="M2652">
        <v>337.38</v>
      </c>
      <c r="N2652">
        <v>341.55</v>
      </c>
      <c r="P2652">
        <v>333.22</v>
      </c>
      <c r="U2652">
        <v>333.22</v>
      </c>
      <c r="V2652">
        <v>333.22</v>
      </c>
      <c r="W2652">
        <v>354.04</v>
      </c>
      <c r="X2652">
        <v>333.22</v>
      </c>
      <c r="Z2652" t="s">
        <v>5922</v>
      </c>
    </row>
    <row r="2653" spans="1:26" x14ac:dyDescent="0.2">
      <c r="A2653" t="s">
        <v>4905</v>
      </c>
      <c r="B2653" t="s">
        <v>4989</v>
      </c>
      <c r="C2653" t="s">
        <v>4988</v>
      </c>
      <c r="D2653" t="s">
        <v>105</v>
      </c>
      <c r="E2653">
        <v>479</v>
      </c>
      <c r="F2653" t="s">
        <v>7411</v>
      </c>
      <c r="H2653">
        <v>333.22</v>
      </c>
      <c r="L2653" t="s">
        <v>5922</v>
      </c>
      <c r="M2653">
        <v>337.38</v>
      </c>
      <c r="N2653">
        <v>341.55</v>
      </c>
      <c r="P2653">
        <v>333.22</v>
      </c>
      <c r="S2653">
        <v>329.05</v>
      </c>
      <c r="U2653">
        <v>333.22</v>
      </c>
      <c r="V2653">
        <v>333.22</v>
      </c>
      <c r="W2653">
        <v>354.04</v>
      </c>
      <c r="X2653">
        <v>333.22</v>
      </c>
      <c r="Y2653">
        <v>479</v>
      </c>
      <c r="Z2653" t="s">
        <v>5922</v>
      </c>
    </row>
    <row r="2654" spans="1:26" x14ac:dyDescent="0.2">
      <c r="A2654" t="s">
        <v>4905</v>
      </c>
      <c r="B2654" t="s">
        <v>4987</v>
      </c>
      <c r="C2654" t="s">
        <v>4988</v>
      </c>
      <c r="D2654" t="s">
        <v>98</v>
      </c>
      <c r="F2654" t="s">
        <v>5922</v>
      </c>
      <c r="H2654">
        <v>333.22</v>
      </c>
      <c r="L2654" t="s">
        <v>5922</v>
      </c>
      <c r="M2654">
        <v>337.38</v>
      </c>
      <c r="N2654">
        <v>341.55</v>
      </c>
      <c r="P2654">
        <v>333.22</v>
      </c>
      <c r="U2654">
        <v>333.22</v>
      </c>
      <c r="V2654">
        <v>333.22</v>
      </c>
      <c r="W2654">
        <v>354.04</v>
      </c>
      <c r="X2654">
        <v>333.22</v>
      </c>
      <c r="Z2654" t="s">
        <v>5922</v>
      </c>
    </row>
    <row r="2655" spans="1:26" x14ac:dyDescent="0.2">
      <c r="A2655" t="s">
        <v>4905</v>
      </c>
      <c r="B2655" t="s">
        <v>4990</v>
      </c>
      <c r="C2655" t="s">
        <v>4991</v>
      </c>
      <c r="D2655" t="s">
        <v>105</v>
      </c>
      <c r="E2655">
        <v>479</v>
      </c>
      <c r="F2655" t="s">
        <v>7411</v>
      </c>
      <c r="H2655">
        <v>333.22</v>
      </c>
      <c r="L2655" t="s">
        <v>5922</v>
      </c>
      <c r="M2655">
        <v>337.38</v>
      </c>
      <c r="N2655">
        <v>341.55</v>
      </c>
      <c r="P2655">
        <v>333.22</v>
      </c>
      <c r="S2655">
        <v>329.05</v>
      </c>
      <c r="U2655">
        <v>333.22</v>
      </c>
      <c r="V2655">
        <v>333.22</v>
      </c>
      <c r="W2655">
        <v>354.04</v>
      </c>
      <c r="X2655">
        <v>333.22</v>
      </c>
      <c r="Y2655">
        <v>479</v>
      </c>
      <c r="Z2655" t="s">
        <v>5922</v>
      </c>
    </row>
    <row r="2656" spans="1:26" x14ac:dyDescent="0.2">
      <c r="A2656" t="s">
        <v>4905</v>
      </c>
      <c r="B2656" t="s">
        <v>4992</v>
      </c>
      <c r="C2656" t="s">
        <v>4991</v>
      </c>
      <c r="D2656" t="s">
        <v>98</v>
      </c>
      <c r="F2656" t="s">
        <v>5922</v>
      </c>
      <c r="H2656">
        <v>333.22</v>
      </c>
      <c r="L2656" t="s">
        <v>5922</v>
      </c>
      <c r="M2656">
        <v>337.38</v>
      </c>
      <c r="N2656">
        <v>341.55</v>
      </c>
      <c r="P2656">
        <v>333.22</v>
      </c>
      <c r="U2656">
        <v>333.22</v>
      </c>
      <c r="V2656">
        <v>333.22</v>
      </c>
      <c r="W2656">
        <v>354.04</v>
      </c>
      <c r="X2656">
        <v>333.22</v>
      </c>
      <c r="Z2656" t="s">
        <v>5922</v>
      </c>
    </row>
    <row r="2657" spans="1:26" x14ac:dyDescent="0.2">
      <c r="A2657" t="s">
        <v>4905</v>
      </c>
      <c r="B2657" t="s">
        <v>4993</v>
      </c>
      <c r="C2657" t="s">
        <v>4994</v>
      </c>
      <c r="D2657" t="s">
        <v>105</v>
      </c>
      <c r="E2657">
        <v>889</v>
      </c>
      <c r="F2657" t="s">
        <v>7415</v>
      </c>
      <c r="H2657">
        <v>618.42999999999995</v>
      </c>
      <c r="L2657" t="s">
        <v>5922</v>
      </c>
      <c r="M2657">
        <v>626.16999999999996</v>
      </c>
      <c r="N2657">
        <v>657.09</v>
      </c>
      <c r="P2657">
        <v>618.42999999999995</v>
      </c>
      <c r="S2657">
        <v>610.70000000000005</v>
      </c>
      <c r="U2657">
        <v>618.42999999999995</v>
      </c>
      <c r="V2657">
        <v>618.42999999999995</v>
      </c>
      <c r="W2657">
        <v>657.09</v>
      </c>
      <c r="X2657">
        <v>618.42999999999995</v>
      </c>
      <c r="Y2657">
        <v>889</v>
      </c>
      <c r="Z2657" t="s">
        <v>5922</v>
      </c>
    </row>
    <row r="2658" spans="1:26" x14ac:dyDescent="0.2">
      <c r="A2658" t="s">
        <v>4905</v>
      </c>
      <c r="B2658" t="s">
        <v>4995</v>
      </c>
      <c r="C2658" t="s">
        <v>4994</v>
      </c>
      <c r="D2658" t="s">
        <v>98</v>
      </c>
      <c r="F2658" t="s">
        <v>5922</v>
      </c>
      <c r="H2658">
        <v>618.42999999999995</v>
      </c>
      <c r="L2658" t="s">
        <v>5922</v>
      </c>
      <c r="M2658">
        <v>626.16999999999996</v>
      </c>
      <c r="N2658">
        <v>633.9</v>
      </c>
      <c r="P2658">
        <v>618.42999999999995</v>
      </c>
      <c r="U2658">
        <v>618.42999999999995</v>
      </c>
      <c r="V2658">
        <v>618.42999999999995</v>
      </c>
      <c r="W2658">
        <v>657.09</v>
      </c>
      <c r="X2658">
        <v>618.42999999999995</v>
      </c>
      <c r="Z2658" t="s">
        <v>5922</v>
      </c>
    </row>
    <row r="2659" spans="1:26" x14ac:dyDescent="0.2">
      <c r="A2659" t="s">
        <v>4905</v>
      </c>
      <c r="B2659" t="s">
        <v>4996</v>
      </c>
      <c r="C2659" t="s">
        <v>4997</v>
      </c>
      <c r="D2659" t="s">
        <v>105</v>
      </c>
      <c r="E2659">
        <v>889</v>
      </c>
      <c r="F2659" t="s">
        <v>7415</v>
      </c>
      <c r="H2659">
        <v>618.42999999999995</v>
      </c>
      <c r="L2659" t="s">
        <v>5922</v>
      </c>
      <c r="M2659">
        <v>626.16999999999996</v>
      </c>
      <c r="N2659">
        <v>657.09</v>
      </c>
      <c r="P2659">
        <v>618.42999999999995</v>
      </c>
      <c r="S2659">
        <v>610.70000000000005</v>
      </c>
      <c r="U2659">
        <v>618.42999999999995</v>
      </c>
      <c r="V2659">
        <v>618.42999999999995</v>
      </c>
      <c r="W2659">
        <v>657.09</v>
      </c>
      <c r="X2659">
        <v>618.42999999999995</v>
      </c>
      <c r="Y2659">
        <v>889</v>
      </c>
      <c r="Z2659" t="s">
        <v>5922</v>
      </c>
    </row>
    <row r="2660" spans="1:26" x14ac:dyDescent="0.2">
      <c r="A2660" t="s">
        <v>4905</v>
      </c>
      <c r="B2660" t="s">
        <v>4998</v>
      </c>
      <c r="C2660" t="s">
        <v>4997</v>
      </c>
      <c r="D2660" t="s">
        <v>98</v>
      </c>
      <c r="F2660" t="s">
        <v>5922</v>
      </c>
      <c r="H2660">
        <v>618.42999999999995</v>
      </c>
      <c r="L2660" t="s">
        <v>5922</v>
      </c>
      <c r="M2660">
        <v>626.16999999999996</v>
      </c>
      <c r="N2660">
        <v>633.9</v>
      </c>
      <c r="P2660">
        <v>618.42999999999995</v>
      </c>
      <c r="U2660">
        <v>618.42999999999995</v>
      </c>
      <c r="V2660">
        <v>618.42999999999995</v>
      </c>
      <c r="W2660">
        <v>657.09</v>
      </c>
      <c r="X2660">
        <v>618.42999999999995</v>
      </c>
      <c r="Z2660" t="s">
        <v>5922</v>
      </c>
    </row>
    <row r="2661" spans="1:26" x14ac:dyDescent="0.2">
      <c r="A2661" t="s">
        <v>4905</v>
      </c>
      <c r="B2661" t="s">
        <v>4999</v>
      </c>
      <c r="C2661" t="s">
        <v>5000</v>
      </c>
      <c r="D2661" t="s">
        <v>98</v>
      </c>
      <c r="F2661" t="s">
        <v>5922</v>
      </c>
      <c r="H2661">
        <v>618.42999999999995</v>
      </c>
      <c r="L2661" t="s">
        <v>5922</v>
      </c>
      <c r="M2661">
        <v>626.16999999999996</v>
      </c>
      <c r="N2661">
        <v>633.9</v>
      </c>
      <c r="P2661">
        <v>618.42999999999995</v>
      </c>
      <c r="U2661">
        <v>618.42999999999995</v>
      </c>
      <c r="V2661">
        <v>618.42999999999995</v>
      </c>
      <c r="W2661">
        <v>657.09</v>
      </c>
      <c r="X2661">
        <v>618.42999999999995</v>
      </c>
      <c r="Z2661" t="s">
        <v>5922</v>
      </c>
    </row>
    <row r="2662" spans="1:26" x14ac:dyDescent="0.2">
      <c r="A2662" t="s">
        <v>4905</v>
      </c>
      <c r="B2662" t="s">
        <v>5001</v>
      </c>
      <c r="C2662" t="s">
        <v>5000</v>
      </c>
      <c r="D2662" t="s">
        <v>105</v>
      </c>
      <c r="E2662">
        <v>889</v>
      </c>
      <c r="F2662" t="s">
        <v>7415</v>
      </c>
      <c r="H2662">
        <v>618.42999999999995</v>
      </c>
      <c r="L2662" t="s">
        <v>5922</v>
      </c>
      <c r="M2662">
        <v>626.16999999999996</v>
      </c>
      <c r="N2662">
        <v>657.09</v>
      </c>
      <c r="P2662">
        <v>618.42999999999995</v>
      </c>
      <c r="S2662">
        <v>610.70000000000005</v>
      </c>
      <c r="U2662">
        <v>618.42999999999995</v>
      </c>
      <c r="V2662">
        <v>618.42999999999995</v>
      </c>
      <c r="W2662">
        <v>657.09</v>
      </c>
      <c r="X2662">
        <v>618.42999999999995</v>
      </c>
      <c r="Y2662">
        <v>889</v>
      </c>
      <c r="Z2662" t="s">
        <v>5922</v>
      </c>
    </row>
    <row r="2663" spans="1:26" x14ac:dyDescent="0.2">
      <c r="A2663" t="s">
        <v>4905</v>
      </c>
      <c r="B2663" t="s">
        <v>5002</v>
      </c>
      <c r="C2663" t="s">
        <v>5003</v>
      </c>
      <c r="D2663" t="s">
        <v>105</v>
      </c>
      <c r="E2663">
        <v>239.99</v>
      </c>
      <c r="F2663" t="s">
        <v>7279</v>
      </c>
      <c r="H2663">
        <v>166.95</v>
      </c>
      <c r="L2663" t="s">
        <v>5922</v>
      </c>
      <c r="M2663">
        <v>169.04</v>
      </c>
      <c r="N2663">
        <v>171.12</v>
      </c>
      <c r="P2663">
        <v>166.95</v>
      </c>
      <c r="S2663">
        <v>175.3</v>
      </c>
      <c r="U2663">
        <v>166.95</v>
      </c>
      <c r="V2663">
        <v>166.95</v>
      </c>
      <c r="W2663">
        <v>161.87</v>
      </c>
      <c r="X2663">
        <v>166.95</v>
      </c>
      <c r="Y2663">
        <v>239.99</v>
      </c>
      <c r="Z2663" t="s">
        <v>5922</v>
      </c>
    </row>
    <row r="2664" spans="1:26" x14ac:dyDescent="0.2">
      <c r="A2664" t="s">
        <v>4905</v>
      </c>
      <c r="B2664" t="s">
        <v>5004</v>
      </c>
      <c r="C2664" t="s">
        <v>5003</v>
      </c>
      <c r="D2664" t="s">
        <v>98</v>
      </c>
      <c r="E2664">
        <v>219</v>
      </c>
      <c r="F2664" t="s">
        <v>5922</v>
      </c>
      <c r="G2664">
        <v>0</v>
      </c>
      <c r="L2664" t="s">
        <v>5922</v>
      </c>
      <c r="M2664">
        <v>154.25</v>
      </c>
      <c r="N2664">
        <v>156.16</v>
      </c>
      <c r="P2664">
        <v>152.35</v>
      </c>
      <c r="S2664">
        <v>159.97</v>
      </c>
      <c r="U2664">
        <v>152.35</v>
      </c>
      <c r="V2664">
        <v>152.35</v>
      </c>
      <c r="W2664">
        <v>161.87</v>
      </c>
      <c r="X2664">
        <v>152.35</v>
      </c>
      <c r="Y2664">
        <v>219</v>
      </c>
      <c r="Z2664" t="s">
        <v>5922</v>
      </c>
    </row>
    <row r="2665" spans="1:26" x14ac:dyDescent="0.2">
      <c r="A2665" t="s">
        <v>4905</v>
      </c>
      <c r="B2665" t="s">
        <v>5005</v>
      </c>
      <c r="C2665" t="s">
        <v>5006</v>
      </c>
      <c r="D2665" t="s">
        <v>138</v>
      </c>
      <c r="E2665">
        <v>199</v>
      </c>
      <c r="F2665" t="s">
        <v>6954</v>
      </c>
      <c r="H2665">
        <v>138.43</v>
      </c>
      <c r="L2665" t="s">
        <v>5922</v>
      </c>
      <c r="M2665">
        <v>140.16999999999999</v>
      </c>
      <c r="N2665">
        <v>147.09</v>
      </c>
      <c r="P2665">
        <v>138.43</v>
      </c>
      <c r="S2665">
        <v>141.9</v>
      </c>
      <c r="U2665">
        <v>138.43</v>
      </c>
      <c r="V2665">
        <v>138.43</v>
      </c>
      <c r="W2665">
        <v>147.09</v>
      </c>
      <c r="X2665">
        <v>138.43</v>
      </c>
      <c r="Y2665">
        <v>199</v>
      </c>
      <c r="Z2665" t="s">
        <v>5922</v>
      </c>
    </row>
    <row r="2666" spans="1:26" x14ac:dyDescent="0.2">
      <c r="A2666" t="s">
        <v>4905</v>
      </c>
      <c r="B2666" t="s">
        <v>5007</v>
      </c>
      <c r="C2666" t="s">
        <v>5006</v>
      </c>
      <c r="D2666" t="s">
        <v>98</v>
      </c>
      <c r="E2666">
        <v>199</v>
      </c>
      <c r="F2666" t="s">
        <v>5922</v>
      </c>
      <c r="G2666">
        <v>0</v>
      </c>
      <c r="L2666" t="s">
        <v>5922</v>
      </c>
      <c r="M2666">
        <v>140.16999999999999</v>
      </c>
      <c r="N2666">
        <v>141.9</v>
      </c>
      <c r="P2666">
        <v>138.43</v>
      </c>
      <c r="S2666">
        <v>141.9</v>
      </c>
      <c r="U2666">
        <v>138.43</v>
      </c>
      <c r="V2666">
        <v>138.43</v>
      </c>
      <c r="W2666">
        <v>147.09</v>
      </c>
      <c r="X2666">
        <v>138.43</v>
      </c>
      <c r="Y2666">
        <v>199</v>
      </c>
      <c r="Z2666" t="s">
        <v>5922</v>
      </c>
    </row>
    <row r="2667" spans="1:26" x14ac:dyDescent="0.2">
      <c r="A2667" t="s">
        <v>4905</v>
      </c>
      <c r="B2667" t="s">
        <v>5008</v>
      </c>
      <c r="C2667" t="s">
        <v>5009</v>
      </c>
      <c r="D2667" t="s">
        <v>105</v>
      </c>
      <c r="E2667">
        <v>0</v>
      </c>
      <c r="F2667" t="s">
        <v>5922</v>
      </c>
      <c r="L2667" t="s">
        <v>5922</v>
      </c>
      <c r="Z2667" t="s">
        <v>5922</v>
      </c>
    </row>
    <row r="2668" spans="1:26" x14ac:dyDescent="0.2">
      <c r="A2668" t="s">
        <v>5010</v>
      </c>
      <c r="B2668" t="s">
        <v>5023</v>
      </c>
      <c r="C2668" t="s">
        <v>5024</v>
      </c>
      <c r="D2668" t="s">
        <v>98</v>
      </c>
      <c r="E2668">
        <v>699.99</v>
      </c>
      <c r="F2668" t="s">
        <v>5922</v>
      </c>
      <c r="H2668">
        <v>456.52</v>
      </c>
      <c r="I2668">
        <v>583.33000000000004</v>
      </c>
      <c r="J2668">
        <v>486.95</v>
      </c>
      <c r="K2668">
        <v>456.52</v>
      </c>
      <c r="L2668" t="s">
        <v>5922</v>
      </c>
      <c r="M2668">
        <v>572.16999999999996</v>
      </c>
      <c r="N2668">
        <v>584.34</v>
      </c>
      <c r="O2668">
        <v>456.52</v>
      </c>
      <c r="P2668">
        <v>480.86</v>
      </c>
      <c r="Q2668">
        <v>456.52</v>
      </c>
      <c r="R2668">
        <v>456.52</v>
      </c>
      <c r="S2668">
        <v>523.47</v>
      </c>
      <c r="T2668">
        <v>456.52</v>
      </c>
      <c r="U2668">
        <v>426.08</v>
      </c>
      <c r="V2668">
        <v>456.52</v>
      </c>
      <c r="W2668">
        <v>517.38</v>
      </c>
      <c r="X2668">
        <v>456.52</v>
      </c>
      <c r="Y2668">
        <v>699.99</v>
      </c>
      <c r="Z2668" t="s">
        <v>5922</v>
      </c>
    </row>
    <row r="2669" spans="1:26" x14ac:dyDescent="0.2">
      <c r="A2669" t="s">
        <v>5010</v>
      </c>
      <c r="B2669" t="s">
        <v>5029</v>
      </c>
      <c r="C2669" t="s">
        <v>5030</v>
      </c>
      <c r="D2669" t="s">
        <v>98</v>
      </c>
      <c r="E2669">
        <v>799.99</v>
      </c>
      <c r="F2669" t="s">
        <v>5922</v>
      </c>
      <c r="G2669">
        <v>559.99</v>
      </c>
      <c r="H2669">
        <v>521.73</v>
      </c>
      <c r="I2669">
        <v>556.51</v>
      </c>
      <c r="J2669">
        <v>486.95</v>
      </c>
      <c r="K2669">
        <v>456.52</v>
      </c>
      <c r="L2669" t="s">
        <v>5922</v>
      </c>
      <c r="M2669">
        <v>653.9</v>
      </c>
      <c r="N2669">
        <v>626.08000000000004</v>
      </c>
      <c r="O2669">
        <v>456.52</v>
      </c>
      <c r="P2669">
        <v>549.55999999999995</v>
      </c>
      <c r="Q2669">
        <v>521.73</v>
      </c>
      <c r="R2669">
        <v>521.73</v>
      </c>
      <c r="S2669">
        <v>598.25</v>
      </c>
      <c r="T2669">
        <v>521.73</v>
      </c>
      <c r="U2669">
        <v>486.95</v>
      </c>
      <c r="V2669">
        <v>521.73</v>
      </c>
      <c r="W2669">
        <v>591.29999999999995</v>
      </c>
      <c r="X2669">
        <v>521.73</v>
      </c>
      <c r="Y2669">
        <v>799.99</v>
      </c>
      <c r="Z2669" t="s">
        <v>5922</v>
      </c>
    </row>
    <row r="2670" spans="1:26" x14ac:dyDescent="0.2">
      <c r="A2670" t="s">
        <v>5039</v>
      </c>
      <c r="B2670" t="s">
        <v>5040</v>
      </c>
      <c r="C2670" t="s">
        <v>5041</v>
      </c>
      <c r="D2670" t="s">
        <v>98</v>
      </c>
      <c r="E2670">
        <v>99.99</v>
      </c>
      <c r="F2670" t="s">
        <v>5922</v>
      </c>
      <c r="G2670">
        <v>139.99</v>
      </c>
      <c r="H2670">
        <v>45</v>
      </c>
      <c r="I2670">
        <v>86.95</v>
      </c>
      <c r="J2670">
        <v>78.25</v>
      </c>
      <c r="K2670">
        <v>65.209999999999994</v>
      </c>
      <c r="L2670" t="s">
        <v>5922</v>
      </c>
      <c r="M2670">
        <v>81.73</v>
      </c>
      <c r="N2670">
        <v>88.69</v>
      </c>
      <c r="O2670">
        <v>65.209999999999994</v>
      </c>
      <c r="P2670">
        <v>69.56</v>
      </c>
      <c r="Q2670">
        <v>65.209999999999994</v>
      </c>
      <c r="R2670">
        <v>65.209999999999994</v>
      </c>
      <c r="S2670">
        <v>74.78</v>
      </c>
      <c r="T2670">
        <v>65.209999999999994</v>
      </c>
      <c r="U2670">
        <v>69.56</v>
      </c>
      <c r="V2670">
        <v>65.209999999999994</v>
      </c>
      <c r="W2670">
        <v>78.25</v>
      </c>
      <c r="X2670">
        <v>65.209999999999994</v>
      </c>
      <c r="Y2670">
        <v>99.99</v>
      </c>
      <c r="Z2670" t="s">
        <v>5922</v>
      </c>
    </row>
    <row r="2671" spans="1:26" x14ac:dyDescent="0.2">
      <c r="A2671" t="s">
        <v>5039</v>
      </c>
      <c r="B2671" t="s">
        <v>5054</v>
      </c>
      <c r="C2671" t="s">
        <v>5055</v>
      </c>
      <c r="D2671" t="s">
        <v>98</v>
      </c>
      <c r="E2671">
        <v>99.99</v>
      </c>
      <c r="F2671" t="s">
        <v>5922</v>
      </c>
      <c r="G2671">
        <v>139.99</v>
      </c>
      <c r="H2671">
        <v>45</v>
      </c>
      <c r="I2671">
        <v>86.95</v>
      </c>
      <c r="J2671">
        <v>78.25</v>
      </c>
      <c r="K2671">
        <v>65.209999999999994</v>
      </c>
      <c r="L2671" t="s">
        <v>5922</v>
      </c>
      <c r="M2671">
        <v>81.73</v>
      </c>
      <c r="N2671">
        <v>88.69</v>
      </c>
      <c r="O2671">
        <v>65.209999999999994</v>
      </c>
      <c r="P2671">
        <v>69.56</v>
      </c>
      <c r="Q2671">
        <v>65.209999999999994</v>
      </c>
      <c r="R2671">
        <v>65.209999999999994</v>
      </c>
      <c r="S2671">
        <v>74.78</v>
      </c>
      <c r="T2671">
        <v>65.209999999999994</v>
      </c>
      <c r="U2671">
        <v>69.56</v>
      </c>
      <c r="V2671">
        <v>65.209999999999994</v>
      </c>
      <c r="W2671">
        <v>78.25</v>
      </c>
      <c r="X2671">
        <v>65.209999999999994</v>
      </c>
      <c r="Y2671">
        <v>99.99</v>
      </c>
      <c r="Z2671" t="s">
        <v>5922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171D-11A3-4AB4-8165-58C01CA88E4A}">
  <dimension ref="A1:K3305"/>
  <sheetViews>
    <sheetView workbookViewId="0">
      <selection activeCell="C30" sqref="C30"/>
    </sheetView>
  </sheetViews>
  <sheetFormatPr baseColWidth="10" defaultColWidth="8.83203125" defaultRowHeight="16" x14ac:dyDescent="0.2"/>
  <cols>
    <col min="1" max="1" width="22.1640625" bestFit="1" customWidth="1"/>
    <col min="2" max="2" width="81" bestFit="1" customWidth="1"/>
    <col min="3" max="3" width="13.6640625" bestFit="1" customWidth="1"/>
    <col min="4" max="4" width="10.6640625" bestFit="1" customWidth="1"/>
    <col min="5" max="5" width="11.5" bestFit="1" customWidth="1"/>
    <col min="6" max="6" width="12.6640625" bestFit="1" customWidth="1"/>
    <col min="7" max="7" width="17.33203125" bestFit="1" customWidth="1"/>
    <col min="8" max="8" width="16.1640625" bestFit="1" customWidth="1"/>
    <col min="9" max="9" width="12.5" bestFit="1" customWidth="1"/>
    <col min="10" max="10" width="12" bestFit="1" customWidth="1"/>
    <col min="11" max="11" width="6.6640625" bestFit="1" customWidth="1"/>
  </cols>
  <sheetData>
    <row r="1" spans="1:11" x14ac:dyDescent="0.2">
      <c r="A1" t="s">
        <v>5056</v>
      </c>
      <c r="B1" t="s">
        <v>5057</v>
      </c>
      <c r="C1" t="s">
        <v>3</v>
      </c>
      <c r="D1" t="s">
        <v>83</v>
      </c>
      <c r="E1" t="s">
        <v>5058</v>
      </c>
      <c r="F1" t="s">
        <v>5059</v>
      </c>
      <c r="G1" t="s">
        <v>5060</v>
      </c>
      <c r="H1" t="s">
        <v>5061</v>
      </c>
      <c r="I1" t="s">
        <v>5062</v>
      </c>
      <c r="J1" t="s">
        <v>5063</v>
      </c>
      <c r="K1" t="s">
        <v>5064</v>
      </c>
    </row>
    <row r="2" spans="1:11" x14ac:dyDescent="0.2">
      <c r="A2" t="s">
        <v>796</v>
      </c>
      <c r="B2" t="s">
        <v>797</v>
      </c>
      <c r="C2" t="s">
        <v>582</v>
      </c>
      <c r="D2" t="s">
        <v>105</v>
      </c>
      <c r="E2">
        <v>34.99</v>
      </c>
      <c r="F2">
        <v>1119.68</v>
      </c>
      <c r="G2">
        <v>797</v>
      </c>
      <c r="H2" t="s">
        <v>72</v>
      </c>
      <c r="I2">
        <v>62.166666666666664</v>
      </c>
      <c r="J2">
        <v>7</v>
      </c>
      <c r="K2">
        <v>424</v>
      </c>
    </row>
    <row r="3" spans="1:11" x14ac:dyDescent="0.2">
      <c r="A3" t="s">
        <v>794</v>
      </c>
      <c r="B3" t="s">
        <v>795</v>
      </c>
      <c r="C3" t="s">
        <v>582</v>
      </c>
      <c r="D3" t="s">
        <v>105</v>
      </c>
      <c r="E3">
        <v>34.99</v>
      </c>
      <c r="F3">
        <v>2344.33</v>
      </c>
      <c r="G3">
        <v>126</v>
      </c>
      <c r="H3" t="s">
        <v>72</v>
      </c>
      <c r="I3">
        <v>62</v>
      </c>
      <c r="J3">
        <v>9</v>
      </c>
      <c r="K3">
        <v>568</v>
      </c>
    </row>
    <row r="4" spans="1:11" x14ac:dyDescent="0.2">
      <c r="A4" t="s">
        <v>706</v>
      </c>
      <c r="B4" t="s">
        <v>707</v>
      </c>
      <c r="C4" t="s">
        <v>582</v>
      </c>
      <c r="D4" t="s">
        <v>105</v>
      </c>
      <c r="E4">
        <v>19.989999999999998</v>
      </c>
      <c r="F4">
        <v>1339.33</v>
      </c>
      <c r="H4" t="s">
        <v>72</v>
      </c>
      <c r="I4">
        <v>68.333333333333329</v>
      </c>
      <c r="J4">
        <v>9</v>
      </c>
      <c r="K4">
        <v>616</v>
      </c>
    </row>
    <row r="5" spans="1:11" x14ac:dyDescent="0.2">
      <c r="A5" t="s">
        <v>748</v>
      </c>
      <c r="B5" t="s">
        <v>749</v>
      </c>
      <c r="C5" t="s">
        <v>582</v>
      </c>
      <c r="D5" t="s">
        <v>105</v>
      </c>
      <c r="E5">
        <v>19.989999999999998</v>
      </c>
      <c r="F5">
        <v>1199.3999999999999</v>
      </c>
      <c r="G5">
        <v>290</v>
      </c>
      <c r="H5" t="s">
        <v>72</v>
      </c>
      <c r="I5">
        <v>54</v>
      </c>
      <c r="J5">
        <v>15</v>
      </c>
      <c r="K5">
        <v>825</v>
      </c>
    </row>
    <row r="6" spans="1:11" x14ac:dyDescent="0.2">
      <c r="A6" t="s">
        <v>786</v>
      </c>
      <c r="B6" t="s">
        <v>787</v>
      </c>
      <c r="C6" t="s">
        <v>582</v>
      </c>
      <c r="D6" t="s">
        <v>105</v>
      </c>
      <c r="E6">
        <v>44.99</v>
      </c>
      <c r="F6">
        <v>1529.66</v>
      </c>
      <c r="G6">
        <v>445</v>
      </c>
      <c r="H6" t="s">
        <v>72</v>
      </c>
      <c r="I6">
        <v>57</v>
      </c>
      <c r="J6">
        <v>5</v>
      </c>
      <c r="K6">
        <v>272</v>
      </c>
    </row>
    <row r="7" spans="1:11" x14ac:dyDescent="0.2">
      <c r="A7" t="s">
        <v>782</v>
      </c>
      <c r="B7" t="s">
        <v>783</v>
      </c>
      <c r="C7" t="s">
        <v>582</v>
      </c>
      <c r="D7" t="s">
        <v>105</v>
      </c>
      <c r="E7">
        <v>19.989999999999998</v>
      </c>
      <c r="F7">
        <v>859.56999999999994</v>
      </c>
      <c r="G7">
        <v>820</v>
      </c>
      <c r="H7" t="s">
        <v>72</v>
      </c>
      <c r="I7">
        <v>53.166666666666664</v>
      </c>
      <c r="J7">
        <v>12</v>
      </c>
      <c r="K7">
        <v>642</v>
      </c>
    </row>
    <row r="8" spans="1:11" x14ac:dyDescent="0.2">
      <c r="A8" t="s">
        <v>4535</v>
      </c>
      <c r="B8" t="s">
        <v>4536</v>
      </c>
      <c r="C8" t="s">
        <v>4518</v>
      </c>
      <c r="D8" t="s">
        <v>105</v>
      </c>
      <c r="E8">
        <v>69.989999999999995</v>
      </c>
      <c r="F8">
        <v>7208.9699999999993</v>
      </c>
      <c r="G8">
        <v>1651</v>
      </c>
      <c r="H8" t="s">
        <v>5065</v>
      </c>
      <c r="I8">
        <v>82.5</v>
      </c>
      <c r="J8">
        <v>5</v>
      </c>
      <c r="K8">
        <v>451</v>
      </c>
    </row>
    <row r="9" spans="1:11" x14ac:dyDescent="0.2">
      <c r="A9" t="s">
        <v>30</v>
      </c>
      <c r="B9" t="s">
        <v>802</v>
      </c>
      <c r="C9" t="s">
        <v>582</v>
      </c>
      <c r="D9" t="s">
        <v>105</v>
      </c>
      <c r="E9">
        <v>19.989999999999998</v>
      </c>
      <c r="F9">
        <v>879.56</v>
      </c>
      <c r="G9">
        <v>1022</v>
      </c>
      <c r="H9" t="s">
        <v>72</v>
      </c>
      <c r="I9">
        <v>54.666666666666664</v>
      </c>
      <c r="J9">
        <v>12</v>
      </c>
      <c r="K9">
        <v>646</v>
      </c>
    </row>
    <row r="10" spans="1:11" x14ac:dyDescent="0.2">
      <c r="A10" t="s">
        <v>4535</v>
      </c>
      <c r="B10" t="s">
        <v>4536</v>
      </c>
      <c r="C10" t="s">
        <v>4518</v>
      </c>
      <c r="D10" t="s">
        <v>105</v>
      </c>
      <c r="E10">
        <v>69.989999999999995</v>
      </c>
      <c r="F10">
        <v>3149.5499999999997</v>
      </c>
      <c r="G10">
        <v>1651</v>
      </c>
      <c r="H10" t="s">
        <v>72</v>
      </c>
      <c r="I10">
        <v>48.833333333333336</v>
      </c>
      <c r="J10">
        <v>10</v>
      </c>
      <c r="K10">
        <v>483</v>
      </c>
    </row>
    <row r="11" spans="1:11" x14ac:dyDescent="0.2">
      <c r="A11" t="s">
        <v>708</v>
      </c>
      <c r="B11" t="s">
        <v>709</v>
      </c>
      <c r="C11" t="s">
        <v>582</v>
      </c>
      <c r="D11" t="s">
        <v>105</v>
      </c>
      <c r="E11">
        <v>19.989999999999998</v>
      </c>
      <c r="F11">
        <v>979.50999999999988</v>
      </c>
      <c r="G11">
        <v>160</v>
      </c>
      <c r="H11" t="s">
        <v>72</v>
      </c>
      <c r="I11">
        <v>42.333333333333336</v>
      </c>
      <c r="J11">
        <v>13</v>
      </c>
      <c r="K11">
        <v>567</v>
      </c>
    </row>
    <row r="12" spans="1:11" x14ac:dyDescent="0.2">
      <c r="A12" t="s">
        <v>780</v>
      </c>
      <c r="B12" t="s">
        <v>781</v>
      </c>
      <c r="C12" t="s">
        <v>582</v>
      </c>
      <c r="D12" t="s">
        <v>105</v>
      </c>
      <c r="E12">
        <v>19.989999999999998</v>
      </c>
      <c r="F12">
        <v>699.65</v>
      </c>
      <c r="G12">
        <v>884</v>
      </c>
      <c r="H12" t="s">
        <v>72</v>
      </c>
      <c r="I12">
        <v>44.833333333333336</v>
      </c>
      <c r="J12">
        <v>14</v>
      </c>
      <c r="K12">
        <v>646</v>
      </c>
    </row>
    <row r="13" spans="1:11" x14ac:dyDescent="0.2">
      <c r="A13" t="s">
        <v>800</v>
      </c>
      <c r="B13" t="s">
        <v>801</v>
      </c>
      <c r="C13" t="s">
        <v>582</v>
      </c>
      <c r="D13" t="s">
        <v>105</v>
      </c>
      <c r="E13">
        <v>19.989999999999998</v>
      </c>
      <c r="F13">
        <v>939.53</v>
      </c>
      <c r="G13">
        <v>1092</v>
      </c>
      <c r="H13" t="s">
        <v>72</v>
      </c>
      <c r="I13">
        <v>46</v>
      </c>
      <c r="J13">
        <v>14</v>
      </c>
      <c r="K13">
        <v>633</v>
      </c>
    </row>
    <row r="14" spans="1:11" x14ac:dyDescent="0.2">
      <c r="A14" t="s">
        <v>648</v>
      </c>
      <c r="B14" t="s">
        <v>5066</v>
      </c>
      <c r="C14" t="s">
        <v>582</v>
      </c>
      <c r="D14" t="s">
        <v>105</v>
      </c>
      <c r="E14">
        <v>69.989999999999995</v>
      </c>
      <c r="F14">
        <v>2519.64</v>
      </c>
      <c r="H14" t="s">
        <v>72</v>
      </c>
      <c r="I14">
        <v>34.833333333333336</v>
      </c>
      <c r="J14">
        <v>6</v>
      </c>
      <c r="K14">
        <v>220</v>
      </c>
    </row>
    <row r="15" spans="1:11" x14ac:dyDescent="0.2">
      <c r="A15" t="s">
        <v>30</v>
      </c>
      <c r="B15" t="s">
        <v>802</v>
      </c>
      <c r="C15" t="s">
        <v>582</v>
      </c>
      <c r="D15" t="s">
        <v>105</v>
      </c>
      <c r="E15">
        <v>19.989999999999998</v>
      </c>
      <c r="F15">
        <v>639.67999999999995</v>
      </c>
      <c r="G15">
        <v>1022</v>
      </c>
      <c r="H15" t="s">
        <v>5065</v>
      </c>
      <c r="I15">
        <v>36.666666666666664</v>
      </c>
      <c r="J15">
        <v>5</v>
      </c>
      <c r="K15">
        <v>177</v>
      </c>
    </row>
    <row r="16" spans="1:11" x14ac:dyDescent="0.2">
      <c r="A16" t="s">
        <v>794</v>
      </c>
      <c r="B16" t="s">
        <v>795</v>
      </c>
      <c r="C16" t="s">
        <v>582</v>
      </c>
      <c r="D16" t="s">
        <v>105</v>
      </c>
      <c r="E16">
        <v>34.99</v>
      </c>
      <c r="F16">
        <v>804.7700000000001</v>
      </c>
      <c r="G16">
        <v>126</v>
      </c>
      <c r="H16" t="s">
        <v>5065</v>
      </c>
      <c r="I16">
        <v>29.5</v>
      </c>
      <c r="J16">
        <v>4</v>
      </c>
      <c r="K16">
        <v>132</v>
      </c>
    </row>
    <row r="17" spans="1:11" x14ac:dyDescent="0.2">
      <c r="A17" t="s">
        <v>722</v>
      </c>
      <c r="B17" t="s">
        <v>723</v>
      </c>
      <c r="C17" t="s">
        <v>582</v>
      </c>
      <c r="D17" t="s">
        <v>105</v>
      </c>
      <c r="E17">
        <v>59.99</v>
      </c>
      <c r="F17">
        <v>659.89</v>
      </c>
      <c r="G17">
        <v>38</v>
      </c>
      <c r="H17" t="s">
        <v>72</v>
      </c>
      <c r="I17">
        <v>30.166666666666668</v>
      </c>
      <c r="J17">
        <v>2</v>
      </c>
      <c r="K17">
        <v>63</v>
      </c>
    </row>
    <row r="18" spans="1:11" x14ac:dyDescent="0.2">
      <c r="A18" t="s">
        <v>4535</v>
      </c>
      <c r="B18" t="s">
        <v>4536</v>
      </c>
      <c r="C18" t="s">
        <v>4518</v>
      </c>
      <c r="D18" t="s">
        <v>105</v>
      </c>
      <c r="E18">
        <v>69.989999999999995</v>
      </c>
      <c r="F18">
        <v>2659.62</v>
      </c>
      <c r="G18">
        <v>1651</v>
      </c>
      <c r="H18" t="s">
        <v>73</v>
      </c>
      <c r="I18">
        <v>40.333333333333336</v>
      </c>
      <c r="J18">
        <v>10</v>
      </c>
      <c r="K18">
        <v>401</v>
      </c>
    </row>
    <row r="19" spans="1:11" x14ac:dyDescent="0.2">
      <c r="A19" t="s">
        <v>4519</v>
      </c>
      <c r="B19" t="s">
        <v>4520</v>
      </c>
      <c r="C19" t="s">
        <v>4518</v>
      </c>
      <c r="D19" t="s">
        <v>105</v>
      </c>
      <c r="E19">
        <v>89.99</v>
      </c>
      <c r="F19">
        <v>1619.82</v>
      </c>
      <c r="G19">
        <v>253</v>
      </c>
      <c r="H19" t="s">
        <v>72</v>
      </c>
      <c r="I19">
        <v>26.666666666666668</v>
      </c>
      <c r="J19">
        <v>14</v>
      </c>
      <c r="K19">
        <v>367</v>
      </c>
    </row>
    <row r="20" spans="1:11" x14ac:dyDescent="0.2">
      <c r="A20" t="s">
        <v>4521</v>
      </c>
      <c r="B20" t="s">
        <v>4522</v>
      </c>
      <c r="C20" t="s">
        <v>4518</v>
      </c>
      <c r="D20" t="s">
        <v>105</v>
      </c>
      <c r="E20">
        <v>89.99</v>
      </c>
      <c r="F20">
        <v>3329.6299999999997</v>
      </c>
      <c r="G20">
        <v>1229</v>
      </c>
      <c r="H20" t="s">
        <v>73</v>
      </c>
      <c r="I20">
        <v>29.666666666666668</v>
      </c>
      <c r="J20">
        <v>12</v>
      </c>
      <c r="K20">
        <v>367</v>
      </c>
    </row>
    <row r="21" spans="1:11" x14ac:dyDescent="0.2">
      <c r="A21" t="s">
        <v>746</v>
      </c>
      <c r="B21" t="s">
        <v>747</v>
      </c>
      <c r="C21" t="s">
        <v>582</v>
      </c>
      <c r="D21" t="s">
        <v>105</v>
      </c>
      <c r="E21">
        <v>29.99</v>
      </c>
      <c r="F21">
        <v>509.83</v>
      </c>
      <c r="G21">
        <v>1252</v>
      </c>
      <c r="H21" t="s">
        <v>73</v>
      </c>
      <c r="I21">
        <v>19.666666666666668</v>
      </c>
      <c r="J21">
        <v>28</v>
      </c>
      <c r="K21">
        <v>543</v>
      </c>
    </row>
    <row r="22" spans="1:11" x14ac:dyDescent="0.2">
      <c r="A22" t="s">
        <v>736</v>
      </c>
      <c r="B22" t="s">
        <v>737</v>
      </c>
      <c r="C22" t="s">
        <v>582</v>
      </c>
      <c r="D22" t="s">
        <v>105</v>
      </c>
      <c r="E22">
        <v>29.99</v>
      </c>
      <c r="F22">
        <v>779.74</v>
      </c>
      <c r="G22">
        <v>80</v>
      </c>
      <c r="H22" t="s">
        <v>72</v>
      </c>
      <c r="I22">
        <v>24.5</v>
      </c>
      <c r="J22">
        <v>24</v>
      </c>
      <c r="K22">
        <v>588</v>
      </c>
    </row>
    <row r="23" spans="1:11" x14ac:dyDescent="0.2">
      <c r="A23" t="s">
        <v>605</v>
      </c>
      <c r="B23" t="s">
        <v>606</v>
      </c>
      <c r="C23" t="s">
        <v>582</v>
      </c>
      <c r="D23" t="s">
        <v>105</v>
      </c>
      <c r="E23">
        <v>199.99</v>
      </c>
      <c r="F23">
        <v>9199.5400000000009</v>
      </c>
      <c r="G23">
        <v>16</v>
      </c>
      <c r="H23" t="s">
        <v>72</v>
      </c>
      <c r="I23">
        <v>29.833333333333332</v>
      </c>
      <c r="J23">
        <v>6</v>
      </c>
      <c r="K23">
        <v>193</v>
      </c>
    </row>
    <row r="24" spans="1:11" x14ac:dyDescent="0.2">
      <c r="A24" t="s">
        <v>4521</v>
      </c>
      <c r="B24" t="s">
        <v>4522</v>
      </c>
      <c r="C24" t="s">
        <v>4518</v>
      </c>
      <c r="D24" t="s">
        <v>105</v>
      </c>
      <c r="E24">
        <v>89.99</v>
      </c>
      <c r="F24">
        <v>2429.73</v>
      </c>
      <c r="G24">
        <v>1229</v>
      </c>
      <c r="H24" t="s">
        <v>5065</v>
      </c>
      <c r="I24">
        <v>27.166666666666668</v>
      </c>
      <c r="J24">
        <v>5</v>
      </c>
      <c r="K24">
        <v>144</v>
      </c>
    </row>
    <row r="25" spans="1:11" x14ac:dyDescent="0.2">
      <c r="A25" t="s">
        <v>4046</v>
      </c>
      <c r="B25" t="s">
        <v>4047</v>
      </c>
      <c r="C25" t="s">
        <v>3929</v>
      </c>
      <c r="D25" t="s">
        <v>105</v>
      </c>
      <c r="E25">
        <v>89.99</v>
      </c>
      <c r="F25">
        <v>7199.2</v>
      </c>
      <c r="G25">
        <v>16</v>
      </c>
      <c r="H25" t="s">
        <v>73</v>
      </c>
      <c r="I25">
        <v>19.5</v>
      </c>
      <c r="J25">
        <v>0</v>
      </c>
      <c r="K25">
        <v>1</v>
      </c>
    </row>
    <row r="26" spans="1:11" x14ac:dyDescent="0.2">
      <c r="A26" t="s">
        <v>782</v>
      </c>
      <c r="B26" t="s">
        <v>783</v>
      </c>
      <c r="C26" t="s">
        <v>582</v>
      </c>
      <c r="D26" t="s">
        <v>105</v>
      </c>
      <c r="E26">
        <v>19.989999999999998</v>
      </c>
      <c r="F26">
        <v>339.83</v>
      </c>
      <c r="G26">
        <v>820</v>
      </c>
      <c r="H26" t="s">
        <v>5065</v>
      </c>
      <c r="I26">
        <v>20.666666666666668</v>
      </c>
      <c r="J26">
        <v>7</v>
      </c>
      <c r="K26">
        <v>144</v>
      </c>
    </row>
    <row r="27" spans="1:11" x14ac:dyDescent="0.2">
      <c r="A27" t="s">
        <v>950</v>
      </c>
      <c r="B27" t="s">
        <v>951</v>
      </c>
      <c r="C27" t="s">
        <v>911</v>
      </c>
      <c r="D27" t="s">
        <v>105</v>
      </c>
      <c r="E27">
        <v>49.99</v>
      </c>
      <c r="F27">
        <v>1799.64</v>
      </c>
      <c r="G27">
        <v>151</v>
      </c>
      <c r="H27" t="s">
        <v>72</v>
      </c>
      <c r="I27">
        <v>29.666666666666668</v>
      </c>
      <c r="J27">
        <v>7</v>
      </c>
      <c r="K27">
        <v>217</v>
      </c>
    </row>
    <row r="28" spans="1:11" x14ac:dyDescent="0.2">
      <c r="A28" t="s">
        <v>4077</v>
      </c>
      <c r="B28" t="s">
        <v>4078</v>
      </c>
      <c r="C28" t="s">
        <v>3929</v>
      </c>
      <c r="D28" t="s">
        <v>105</v>
      </c>
      <c r="E28">
        <v>74.989999999999995</v>
      </c>
      <c r="F28">
        <v>674.91</v>
      </c>
      <c r="G28">
        <v>40</v>
      </c>
      <c r="H28" t="s">
        <v>73</v>
      </c>
      <c r="I28">
        <v>8.6666666666666661</v>
      </c>
      <c r="J28">
        <v>8</v>
      </c>
      <c r="K28">
        <v>68</v>
      </c>
    </row>
    <row r="29" spans="1:11" x14ac:dyDescent="0.2">
      <c r="A29" t="s">
        <v>790</v>
      </c>
      <c r="B29" t="s">
        <v>791</v>
      </c>
      <c r="C29" t="s">
        <v>582</v>
      </c>
      <c r="D29" t="s">
        <v>105</v>
      </c>
      <c r="E29">
        <v>64.989999999999995</v>
      </c>
      <c r="F29">
        <v>64.989999999999995</v>
      </c>
      <c r="G29">
        <v>180</v>
      </c>
      <c r="H29" t="s">
        <v>72</v>
      </c>
      <c r="I29">
        <v>9.6666666666666661</v>
      </c>
      <c r="J29">
        <v>2</v>
      </c>
      <c r="K29">
        <v>16</v>
      </c>
    </row>
    <row r="30" spans="1:11" x14ac:dyDescent="0.2">
      <c r="A30" t="s">
        <v>4535</v>
      </c>
      <c r="B30" t="s">
        <v>4536</v>
      </c>
      <c r="C30" t="s">
        <v>4518</v>
      </c>
      <c r="D30" t="s">
        <v>105</v>
      </c>
      <c r="E30">
        <v>69.989999999999995</v>
      </c>
      <c r="F30">
        <v>279.95999999999998</v>
      </c>
      <c r="G30">
        <v>1651</v>
      </c>
      <c r="H30" t="s">
        <v>8</v>
      </c>
      <c r="I30">
        <v>12.166666666666666</v>
      </c>
      <c r="J30">
        <v>6</v>
      </c>
      <c r="K30">
        <v>69</v>
      </c>
    </row>
    <row r="31" spans="1:11" x14ac:dyDescent="0.2">
      <c r="A31" t="s">
        <v>788</v>
      </c>
      <c r="B31" t="s">
        <v>789</v>
      </c>
      <c r="C31" t="s">
        <v>582</v>
      </c>
      <c r="D31" t="s">
        <v>105</v>
      </c>
      <c r="E31">
        <v>39.99</v>
      </c>
      <c r="F31">
        <v>639.84</v>
      </c>
      <c r="G31">
        <v>117</v>
      </c>
      <c r="H31" t="s">
        <v>72</v>
      </c>
      <c r="I31">
        <v>19.833333333333332</v>
      </c>
      <c r="J31">
        <v>9</v>
      </c>
      <c r="K31">
        <v>185</v>
      </c>
    </row>
    <row r="32" spans="1:11" x14ac:dyDescent="0.2">
      <c r="A32" t="s">
        <v>3978</v>
      </c>
      <c r="B32" t="s">
        <v>3979</v>
      </c>
      <c r="C32" t="s">
        <v>3929</v>
      </c>
      <c r="D32" t="s">
        <v>105</v>
      </c>
      <c r="E32">
        <v>24.99</v>
      </c>
      <c r="F32">
        <v>74.97</v>
      </c>
      <c r="G32">
        <v>41</v>
      </c>
      <c r="H32" t="s">
        <v>73</v>
      </c>
      <c r="I32">
        <v>10.166666666666666</v>
      </c>
      <c r="J32">
        <v>12</v>
      </c>
      <c r="K32">
        <v>120</v>
      </c>
    </row>
    <row r="33" spans="1:11" x14ac:dyDescent="0.2">
      <c r="A33" t="s">
        <v>954</v>
      </c>
      <c r="B33" t="s">
        <v>955</v>
      </c>
      <c r="C33" t="s">
        <v>911</v>
      </c>
      <c r="D33" t="s">
        <v>105</v>
      </c>
      <c r="E33">
        <v>49.99</v>
      </c>
      <c r="F33">
        <v>899.82</v>
      </c>
      <c r="G33">
        <v>163</v>
      </c>
      <c r="H33" t="s">
        <v>72</v>
      </c>
      <c r="I33">
        <v>18.333333333333332</v>
      </c>
      <c r="J33">
        <v>6</v>
      </c>
      <c r="K33">
        <v>109</v>
      </c>
    </row>
    <row r="34" spans="1:11" x14ac:dyDescent="0.2">
      <c r="A34" t="s">
        <v>780</v>
      </c>
      <c r="B34" t="s">
        <v>781</v>
      </c>
      <c r="C34" t="s">
        <v>582</v>
      </c>
      <c r="D34" t="s">
        <v>105</v>
      </c>
      <c r="E34">
        <v>19.989999999999998</v>
      </c>
      <c r="F34">
        <v>299.84999999999997</v>
      </c>
      <c r="G34">
        <v>884</v>
      </c>
      <c r="H34" t="s">
        <v>5065</v>
      </c>
      <c r="I34">
        <v>14.333333333333334</v>
      </c>
      <c r="J34">
        <v>6</v>
      </c>
      <c r="K34">
        <v>88</v>
      </c>
    </row>
    <row r="35" spans="1:11" x14ac:dyDescent="0.2">
      <c r="A35" t="s">
        <v>4149</v>
      </c>
      <c r="B35" t="s">
        <v>4150</v>
      </c>
      <c r="C35" t="s">
        <v>3929</v>
      </c>
      <c r="D35" t="s">
        <v>105</v>
      </c>
      <c r="E35">
        <v>89.99</v>
      </c>
      <c r="F35">
        <v>449.95</v>
      </c>
      <c r="H35" t="s">
        <v>73</v>
      </c>
      <c r="I35">
        <v>6</v>
      </c>
      <c r="J35">
        <v>7</v>
      </c>
      <c r="K35">
        <v>43</v>
      </c>
    </row>
    <row r="36" spans="1:11" x14ac:dyDescent="0.2">
      <c r="A36" t="s">
        <v>4521</v>
      </c>
      <c r="B36" t="s">
        <v>4522</v>
      </c>
      <c r="C36" t="s">
        <v>4518</v>
      </c>
      <c r="D36" t="s">
        <v>105</v>
      </c>
      <c r="E36">
        <v>89.99</v>
      </c>
      <c r="F36">
        <v>2339.7399999999998</v>
      </c>
      <c r="G36">
        <v>1229</v>
      </c>
      <c r="H36" t="s">
        <v>72</v>
      </c>
      <c r="I36">
        <v>23.166666666666668</v>
      </c>
      <c r="J36">
        <v>15</v>
      </c>
      <c r="K36">
        <v>354</v>
      </c>
    </row>
    <row r="37" spans="1:11" x14ac:dyDescent="0.2">
      <c r="A37" t="s">
        <v>800</v>
      </c>
      <c r="B37" t="s">
        <v>801</v>
      </c>
      <c r="C37" t="s">
        <v>582</v>
      </c>
      <c r="D37" t="s">
        <v>105</v>
      </c>
      <c r="E37">
        <v>19.989999999999998</v>
      </c>
      <c r="F37">
        <v>479.76</v>
      </c>
      <c r="G37">
        <v>1092</v>
      </c>
      <c r="H37" t="s">
        <v>5065</v>
      </c>
      <c r="I37">
        <v>18.666666666666668</v>
      </c>
      <c r="J37">
        <v>3</v>
      </c>
      <c r="K37">
        <v>63</v>
      </c>
    </row>
    <row r="38" spans="1:11" x14ac:dyDescent="0.2">
      <c r="A38" t="s">
        <v>4237</v>
      </c>
      <c r="B38" t="s">
        <v>4238</v>
      </c>
      <c r="C38" t="s">
        <v>4230</v>
      </c>
      <c r="D38" t="s">
        <v>105</v>
      </c>
      <c r="E38">
        <v>379</v>
      </c>
      <c r="F38">
        <v>6822</v>
      </c>
      <c r="G38">
        <v>187</v>
      </c>
      <c r="H38" t="s">
        <v>72</v>
      </c>
      <c r="I38">
        <v>14</v>
      </c>
      <c r="J38">
        <v>7</v>
      </c>
      <c r="K38">
        <v>94</v>
      </c>
    </row>
    <row r="39" spans="1:11" x14ac:dyDescent="0.2">
      <c r="A39" t="s">
        <v>796</v>
      </c>
      <c r="B39" t="s">
        <v>797</v>
      </c>
      <c r="C39" t="s">
        <v>582</v>
      </c>
      <c r="D39" t="s">
        <v>105</v>
      </c>
      <c r="E39">
        <v>34.99</v>
      </c>
      <c r="F39">
        <v>314.91000000000003</v>
      </c>
      <c r="G39">
        <v>797</v>
      </c>
      <c r="H39" t="s">
        <v>8</v>
      </c>
      <c r="I39">
        <v>17.166666666666668</v>
      </c>
      <c r="J39">
        <v>1</v>
      </c>
      <c r="K39">
        <v>16</v>
      </c>
    </row>
    <row r="40" spans="1:11" x14ac:dyDescent="0.2">
      <c r="A40" t="s">
        <v>716</v>
      </c>
      <c r="B40" t="s">
        <v>717</v>
      </c>
      <c r="C40" t="s">
        <v>582</v>
      </c>
      <c r="D40" t="s">
        <v>105</v>
      </c>
      <c r="E40">
        <v>49.99</v>
      </c>
      <c r="F40">
        <v>499.90000000000003</v>
      </c>
      <c r="G40">
        <v>116</v>
      </c>
      <c r="H40" t="s">
        <v>72</v>
      </c>
      <c r="I40">
        <v>14.833333333333334</v>
      </c>
      <c r="J40">
        <v>15</v>
      </c>
      <c r="K40">
        <v>221</v>
      </c>
    </row>
    <row r="41" spans="1:11" x14ac:dyDescent="0.2">
      <c r="A41" t="s">
        <v>5067</v>
      </c>
      <c r="B41" t="s">
        <v>571</v>
      </c>
      <c r="C41" t="s">
        <v>436</v>
      </c>
      <c r="D41" t="s">
        <v>98</v>
      </c>
      <c r="E41">
        <v>29.9</v>
      </c>
      <c r="F41">
        <v>508.29999999999995</v>
      </c>
      <c r="H41" t="s">
        <v>5065</v>
      </c>
      <c r="I41">
        <v>14</v>
      </c>
      <c r="J41">
        <v>10</v>
      </c>
      <c r="K41">
        <v>144</v>
      </c>
    </row>
    <row r="42" spans="1:11" x14ac:dyDescent="0.2">
      <c r="A42" t="s">
        <v>650</v>
      </c>
      <c r="B42" t="s">
        <v>651</v>
      </c>
      <c r="C42" t="s">
        <v>582</v>
      </c>
      <c r="D42" t="s">
        <v>105</v>
      </c>
      <c r="E42">
        <v>119.99</v>
      </c>
      <c r="F42">
        <v>2279.81</v>
      </c>
      <c r="G42">
        <v>83</v>
      </c>
      <c r="H42" t="s">
        <v>72</v>
      </c>
      <c r="I42">
        <v>16.666666666666668</v>
      </c>
      <c r="J42">
        <v>9</v>
      </c>
      <c r="K42">
        <v>146</v>
      </c>
    </row>
    <row r="43" spans="1:11" x14ac:dyDescent="0.2">
      <c r="A43" t="s">
        <v>5068</v>
      </c>
      <c r="B43" t="s">
        <v>5069</v>
      </c>
      <c r="C43" t="s">
        <v>3929</v>
      </c>
      <c r="D43" t="s">
        <v>98</v>
      </c>
      <c r="E43">
        <v>119.99</v>
      </c>
      <c r="F43">
        <v>719.93999999999994</v>
      </c>
      <c r="H43" t="s">
        <v>73</v>
      </c>
      <c r="I43">
        <v>6.166666666666667</v>
      </c>
      <c r="J43">
        <v>10</v>
      </c>
      <c r="K43">
        <v>64</v>
      </c>
    </row>
    <row r="44" spans="1:11" x14ac:dyDescent="0.2">
      <c r="A44" t="s">
        <v>648</v>
      </c>
      <c r="B44" t="s">
        <v>5066</v>
      </c>
      <c r="C44" t="s">
        <v>582</v>
      </c>
      <c r="D44" t="s">
        <v>105</v>
      </c>
      <c r="E44">
        <v>69.989999999999995</v>
      </c>
      <c r="F44">
        <v>279.95999999999998</v>
      </c>
      <c r="H44" t="s">
        <v>8</v>
      </c>
      <c r="I44">
        <v>6.666666666666667</v>
      </c>
      <c r="J44">
        <v>10</v>
      </c>
      <c r="K44">
        <v>64</v>
      </c>
    </row>
    <row r="45" spans="1:11" x14ac:dyDescent="0.2">
      <c r="A45" t="s">
        <v>4239</v>
      </c>
      <c r="B45" t="s">
        <v>4240</v>
      </c>
      <c r="C45" t="s">
        <v>4230</v>
      </c>
      <c r="D45" t="s">
        <v>105</v>
      </c>
      <c r="E45">
        <v>379</v>
      </c>
      <c r="F45">
        <v>2274</v>
      </c>
      <c r="G45">
        <v>132</v>
      </c>
      <c r="H45" t="s">
        <v>72</v>
      </c>
      <c r="I45">
        <v>8.5</v>
      </c>
      <c r="J45">
        <v>13</v>
      </c>
      <c r="K45">
        <v>109</v>
      </c>
    </row>
    <row r="46" spans="1:11" x14ac:dyDescent="0.2">
      <c r="A46" t="s">
        <v>4519</v>
      </c>
      <c r="B46" t="s">
        <v>4520</v>
      </c>
      <c r="C46" t="s">
        <v>4518</v>
      </c>
      <c r="D46" t="s">
        <v>105</v>
      </c>
      <c r="E46">
        <v>89.99</v>
      </c>
      <c r="F46">
        <v>899.9</v>
      </c>
      <c r="G46">
        <v>253</v>
      </c>
      <c r="H46" t="s">
        <v>5065</v>
      </c>
      <c r="I46">
        <v>11.333333333333334</v>
      </c>
      <c r="J46">
        <v>6</v>
      </c>
      <c r="K46">
        <v>73</v>
      </c>
    </row>
    <row r="47" spans="1:11" x14ac:dyDescent="0.2">
      <c r="A47" t="s">
        <v>748</v>
      </c>
      <c r="B47" t="s">
        <v>749</v>
      </c>
      <c r="C47" t="s">
        <v>582</v>
      </c>
      <c r="D47" t="s">
        <v>105</v>
      </c>
      <c r="E47">
        <v>19.989999999999998</v>
      </c>
      <c r="F47">
        <v>299.84999999999997</v>
      </c>
      <c r="G47">
        <v>290</v>
      </c>
      <c r="H47" t="s">
        <v>8</v>
      </c>
      <c r="I47">
        <v>12.666666666666666</v>
      </c>
      <c r="J47">
        <v>15</v>
      </c>
      <c r="K47">
        <v>190</v>
      </c>
    </row>
    <row r="48" spans="1:11" x14ac:dyDescent="0.2">
      <c r="A48" t="s">
        <v>4533</v>
      </c>
      <c r="B48" t="s">
        <v>4534</v>
      </c>
      <c r="C48" t="s">
        <v>4518</v>
      </c>
      <c r="D48" t="s">
        <v>105</v>
      </c>
      <c r="E48">
        <v>119.99</v>
      </c>
      <c r="F48">
        <v>719.93999999999994</v>
      </c>
      <c r="G48">
        <v>104</v>
      </c>
      <c r="H48" t="s">
        <v>73</v>
      </c>
      <c r="I48">
        <v>9.5</v>
      </c>
      <c r="J48">
        <v>7</v>
      </c>
      <c r="K48">
        <v>66</v>
      </c>
    </row>
    <row r="49" spans="1:11" x14ac:dyDescent="0.2">
      <c r="A49" t="s">
        <v>4519</v>
      </c>
      <c r="B49" t="s">
        <v>4520</v>
      </c>
      <c r="C49" t="s">
        <v>4518</v>
      </c>
      <c r="D49" t="s">
        <v>105</v>
      </c>
      <c r="E49">
        <v>89.99</v>
      </c>
      <c r="F49">
        <v>359.96</v>
      </c>
      <c r="G49">
        <v>253</v>
      </c>
      <c r="H49" t="s">
        <v>73</v>
      </c>
      <c r="I49">
        <v>9.5</v>
      </c>
      <c r="J49">
        <v>43</v>
      </c>
      <c r="K49">
        <v>406</v>
      </c>
    </row>
    <row r="50" spans="1:11" x14ac:dyDescent="0.2">
      <c r="A50" t="s">
        <v>694</v>
      </c>
      <c r="B50" t="s">
        <v>695</v>
      </c>
      <c r="C50" t="s">
        <v>582</v>
      </c>
      <c r="D50" t="s">
        <v>105</v>
      </c>
      <c r="E50">
        <v>44.99</v>
      </c>
      <c r="F50">
        <v>809.82</v>
      </c>
      <c r="G50">
        <v>258</v>
      </c>
      <c r="H50" t="s">
        <v>72</v>
      </c>
      <c r="I50">
        <v>18.666666666666668</v>
      </c>
      <c r="J50">
        <v>12</v>
      </c>
      <c r="K50">
        <v>215</v>
      </c>
    </row>
    <row r="51" spans="1:11" x14ac:dyDescent="0.2">
      <c r="A51" t="s">
        <v>688</v>
      </c>
      <c r="B51" t="s">
        <v>689</v>
      </c>
      <c r="C51" t="s">
        <v>582</v>
      </c>
      <c r="D51" t="s">
        <v>105</v>
      </c>
      <c r="E51">
        <v>44.99</v>
      </c>
      <c r="F51">
        <v>719.84</v>
      </c>
      <c r="G51">
        <v>68</v>
      </c>
      <c r="H51" t="s">
        <v>72</v>
      </c>
      <c r="I51">
        <v>13.333333333333334</v>
      </c>
      <c r="J51">
        <v>12</v>
      </c>
      <c r="K51">
        <v>161</v>
      </c>
    </row>
    <row r="52" spans="1:11" x14ac:dyDescent="0.2">
      <c r="A52" t="s">
        <v>786</v>
      </c>
      <c r="B52" t="s">
        <v>787</v>
      </c>
      <c r="C52" t="s">
        <v>582</v>
      </c>
      <c r="D52" t="s">
        <v>105</v>
      </c>
      <c r="E52">
        <v>44.99</v>
      </c>
      <c r="F52">
        <v>179.96</v>
      </c>
      <c r="G52">
        <v>445</v>
      </c>
      <c r="H52" t="s">
        <v>5065</v>
      </c>
      <c r="I52">
        <v>8.1666666666666661</v>
      </c>
      <c r="J52">
        <v>5</v>
      </c>
      <c r="K52">
        <v>42</v>
      </c>
    </row>
    <row r="53" spans="1:11" x14ac:dyDescent="0.2">
      <c r="A53" t="s">
        <v>796</v>
      </c>
      <c r="B53" t="s">
        <v>797</v>
      </c>
      <c r="C53" t="s">
        <v>582</v>
      </c>
      <c r="D53" t="s">
        <v>105</v>
      </c>
      <c r="E53">
        <v>34.99</v>
      </c>
      <c r="F53">
        <v>209.94</v>
      </c>
      <c r="G53">
        <v>797</v>
      </c>
      <c r="H53" t="s">
        <v>73</v>
      </c>
      <c r="I53">
        <v>12.666666666666666</v>
      </c>
      <c r="J53">
        <v>12</v>
      </c>
      <c r="K53">
        <v>157</v>
      </c>
    </row>
    <row r="54" spans="1:11" x14ac:dyDescent="0.2">
      <c r="A54" t="s">
        <v>3936</v>
      </c>
      <c r="B54" t="s">
        <v>3937</v>
      </c>
      <c r="C54" t="s">
        <v>3929</v>
      </c>
      <c r="D54" t="s">
        <v>105</v>
      </c>
      <c r="E54">
        <v>179.99</v>
      </c>
      <c r="F54">
        <v>2519.86</v>
      </c>
      <c r="G54">
        <v>64</v>
      </c>
      <c r="H54" t="s">
        <v>73</v>
      </c>
      <c r="I54">
        <v>10.666666666666666</v>
      </c>
      <c r="J54">
        <v>6</v>
      </c>
      <c r="K54">
        <v>68</v>
      </c>
    </row>
    <row r="55" spans="1:11" x14ac:dyDescent="0.2">
      <c r="A55" t="s">
        <v>918</v>
      </c>
      <c r="B55" t="s">
        <v>919</v>
      </c>
      <c r="C55" t="s">
        <v>911</v>
      </c>
      <c r="D55" t="s">
        <v>105</v>
      </c>
      <c r="E55">
        <v>59.99</v>
      </c>
      <c r="F55">
        <v>59.99</v>
      </c>
      <c r="G55">
        <v>143</v>
      </c>
      <c r="H55" t="s">
        <v>72</v>
      </c>
      <c r="I55">
        <v>10.166666666666666</v>
      </c>
      <c r="J55">
        <v>0</v>
      </c>
      <c r="K55">
        <v>4</v>
      </c>
    </row>
    <row r="56" spans="1:11" x14ac:dyDescent="0.2">
      <c r="A56" t="s">
        <v>790</v>
      </c>
      <c r="B56" t="s">
        <v>791</v>
      </c>
      <c r="C56" t="s">
        <v>582</v>
      </c>
      <c r="D56" t="s">
        <v>105</v>
      </c>
      <c r="E56">
        <v>64.989999999999995</v>
      </c>
      <c r="F56">
        <v>389.93999999999994</v>
      </c>
      <c r="G56">
        <v>180</v>
      </c>
      <c r="H56" t="s">
        <v>5065</v>
      </c>
      <c r="I56">
        <v>9.3333333333333339</v>
      </c>
      <c r="J56">
        <v>2</v>
      </c>
      <c r="K56">
        <v>23</v>
      </c>
    </row>
    <row r="57" spans="1:11" x14ac:dyDescent="0.2">
      <c r="A57" t="s">
        <v>30</v>
      </c>
      <c r="B57" t="s">
        <v>802</v>
      </c>
      <c r="C57" t="s">
        <v>582</v>
      </c>
      <c r="D57" t="s">
        <v>105</v>
      </c>
      <c r="E57">
        <v>19.989999999999998</v>
      </c>
      <c r="F57">
        <v>199.89999999999998</v>
      </c>
      <c r="G57">
        <v>1022</v>
      </c>
      <c r="H57" t="s">
        <v>8</v>
      </c>
      <c r="I57">
        <v>11.166666666666666</v>
      </c>
      <c r="J57">
        <v>4</v>
      </c>
      <c r="K57">
        <v>48</v>
      </c>
    </row>
    <row r="58" spans="1:11" x14ac:dyDescent="0.2">
      <c r="A58" t="s">
        <v>796</v>
      </c>
      <c r="B58" t="s">
        <v>797</v>
      </c>
      <c r="C58" t="s">
        <v>582</v>
      </c>
      <c r="D58" t="s">
        <v>105</v>
      </c>
      <c r="E58">
        <v>34.99</v>
      </c>
      <c r="F58">
        <v>139.96</v>
      </c>
      <c r="G58">
        <v>797</v>
      </c>
      <c r="H58" t="s">
        <v>5065</v>
      </c>
      <c r="I58">
        <v>22.166666666666668</v>
      </c>
      <c r="J58">
        <v>3</v>
      </c>
      <c r="K58">
        <v>60</v>
      </c>
    </row>
    <row r="59" spans="1:11" x14ac:dyDescent="0.2">
      <c r="A59" t="s">
        <v>700</v>
      </c>
      <c r="B59" t="s">
        <v>701</v>
      </c>
      <c r="C59" t="s">
        <v>582</v>
      </c>
      <c r="D59" t="s">
        <v>105</v>
      </c>
      <c r="E59">
        <v>59.99</v>
      </c>
      <c r="F59">
        <v>299.95</v>
      </c>
      <c r="G59">
        <v>61</v>
      </c>
      <c r="H59" t="s">
        <v>72</v>
      </c>
      <c r="I59">
        <v>7.5</v>
      </c>
      <c r="J59">
        <v>16</v>
      </c>
      <c r="K59">
        <v>118</v>
      </c>
    </row>
    <row r="60" spans="1:11" x14ac:dyDescent="0.2">
      <c r="A60" t="s">
        <v>4931</v>
      </c>
      <c r="B60" t="s">
        <v>4930</v>
      </c>
      <c r="C60" t="s">
        <v>4905</v>
      </c>
      <c r="D60" t="s">
        <v>105</v>
      </c>
      <c r="E60">
        <v>219.99</v>
      </c>
      <c r="F60">
        <v>219.99</v>
      </c>
      <c r="H60" t="s">
        <v>72</v>
      </c>
      <c r="I60">
        <v>7.166666666666667</v>
      </c>
      <c r="J60">
        <v>5</v>
      </c>
      <c r="K60">
        <v>39</v>
      </c>
    </row>
    <row r="61" spans="1:11" x14ac:dyDescent="0.2">
      <c r="A61" t="s">
        <v>3901</v>
      </c>
      <c r="B61" t="s">
        <v>5070</v>
      </c>
      <c r="C61" t="s">
        <v>3876</v>
      </c>
      <c r="D61" t="s">
        <v>105</v>
      </c>
      <c r="E61">
        <v>69.989999999999995</v>
      </c>
      <c r="F61">
        <v>489.92999999999995</v>
      </c>
      <c r="G61">
        <v>92</v>
      </c>
      <c r="H61" t="s">
        <v>73</v>
      </c>
      <c r="I61">
        <v>7</v>
      </c>
      <c r="J61">
        <v>6</v>
      </c>
      <c r="K61">
        <v>43</v>
      </c>
    </row>
    <row r="62" spans="1:11" x14ac:dyDescent="0.2">
      <c r="A62" t="s">
        <v>103</v>
      </c>
      <c r="B62" t="s">
        <v>104</v>
      </c>
      <c r="C62" t="s">
        <v>95</v>
      </c>
      <c r="D62" t="s">
        <v>105</v>
      </c>
      <c r="E62">
        <v>29.99</v>
      </c>
      <c r="F62">
        <v>89.97</v>
      </c>
      <c r="G62">
        <v>18</v>
      </c>
      <c r="H62" t="s">
        <v>72</v>
      </c>
      <c r="I62">
        <v>8</v>
      </c>
      <c r="J62">
        <v>4</v>
      </c>
      <c r="K62">
        <v>31</v>
      </c>
    </row>
    <row r="63" spans="1:11" x14ac:dyDescent="0.2">
      <c r="A63" t="s">
        <v>4277</v>
      </c>
      <c r="B63" t="s">
        <v>4278</v>
      </c>
      <c r="C63" t="s">
        <v>4230</v>
      </c>
      <c r="D63" t="s">
        <v>105</v>
      </c>
      <c r="E63">
        <v>249</v>
      </c>
      <c r="F63">
        <v>1245</v>
      </c>
      <c r="G63">
        <v>196</v>
      </c>
      <c r="H63" t="s">
        <v>72</v>
      </c>
      <c r="I63">
        <v>6.5</v>
      </c>
      <c r="J63">
        <v>18</v>
      </c>
      <c r="K63">
        <v>115</v>
      </c>
    </row>
    <row r="64" spans="1:11" x14ac:dyDescent="0.2">
      <c r="A64" t="s">
        <v>4275</v>
      </c>
      <c r="B64" t="s">
        <v>4276</v>
      </c>
      <c r="C64" t="s">
        <v>4230</v>
      </c>
      <c r="D64" t="s">
        <v>105</v>
      </c>
      <c r="E64">
        <v>249</v>
      </c>
      <c r="F64">
        <v>2241</v>
      </c>
      <c r="G64">
        <v>135</v>
      </c>
      <c r="H64" t="s">
        <v>72</v>
      </c>
      <c r="I64">
        <v>10.333333333333334</v>
      </c>
      <c r="J64">
        <v>10</v>
      </c>
      <c r="K64">
        <v>104</v>
      </c>
    </row>
    <row r="65" spans="1:11" x14ac:dyDescent="0.2">
      <c r="A65" t="s">
        <v>3980</v>
      </c>
      <c r="B65" t="s">
        <v>3981</v>
      </c>
      <c r="C65" t="s">
        <v>3929</v>
      </c>
      <c r="D65" t="s">
        <v>105</v>
      </c>
      <c r="E65">
        <v>24.99</v>
      </c>
      <c r="F65">
        <v>74.97</v>
      </c>
      <c r="G65">
        <v>242</v>
      </c>
      <c r="H65" t="s">
        <v>5065</v>
      </c>
      <c r="I65">
        <v>7.166666666666667</v>
      </c>
      <c r="J65">
        <v>12</v>
      </c>
      <c r="K65">
        <v>86</v>
      </c>
    </row>
    <row r="66" spans="1:11" x14ac:dyDescent="0.2">
      <c r="A66" t="s">
        <v>688</v>
      </c>
      <c r="B66" t="s">
        <v>689</v>
      </c>
      <c r="C66" t="s">
        <v>582</v>
      </c>
      <c r="D66" t="s">
        <v>105</v>
      </c>
      <c r="E66">
        <v>44.99</v>
      </c>
      <c r="F66">
        <v>179.96</v>
      </c>
      <c r="G66">
        <v>68</v>
      </c>
      <c r="H66" t="s">
        <v>73</v>
      </c>
      <c r="I66">
        <v>4</v>
      </c>
      <c r="J66">
        <v>42</v>
      </c>
      <c r="K66">
        <v>168</v>
      </c>
    </row>
    <row r="67" spans="1:11" x14ac:dyDescent="0.2">
      <c r="A67" t="s">
        <v>4051</v>
      </c>
      <c r="B67" t="s">
        <v>4052</v>
      </c>
      <c r="C67" t="s">
        <v>3929</v>
      </c>
      <c r="D67" t="s">
        <v>105</v>
      </c>
      <c r="E67">
        <v>129.99</v>
      </c>
      <c r="F67">
        <v>649.95000000000005</v>
      </c>
      <c r="H67" t="s">
        <v>73</v>
      </c>
      <c r="I67">
        <v>5.5</v>
      </c>
      <c r="J67">
        <v>14</v>
      </c>
      <c r="K67">
        <v>75</v>
      </c>
    </row>
    <row r="68" spans="1:11" x14ac:dyDescent="0.2">
      <c r="A68" t="s">
        <v>613</v>
      </c>
      <c r="B68" t="s">
        <v>614</v>
      </c>
      <c r="C68" t="s">
        <v>582</v>
      </c>
      <c r="D68" t="s">
        <v>105</v>
      </c>
      <c r="E68">
        <v>119.99</v>
      </c>
      <c r="F68">
        <v>959.92</v>
      </c>
      <c r="G68">
        <v>51</v>
      </c>
      <c r="H68" t="s">
        <v>73</v>
      </c>
      <c r="I68">
        <v>8.6666666666666661</v>
      </c>
      <c r="J68">
        <v>17</v>
      </c>
      <c r="K68">
        <v>145</v>
      </c>
    </row>
    <row r="69" spans="1:11" x14ac:dyDescent="0.2">
      <c r="A69" t="s">
        <v>648</v>
      </c>
      <c r="B69" t="s">
        <v>5066</v>
      </c>
      <c r="C69" t="s">
        <v>582</v>
      </c>
      <c r="D69" t="s">
        <v>105</v>
      </c>
      <c r="E69">
        <v>69.989999999999995</v>
      </c>
      <c r="F69">
        <v>1119.8399999999999</v>
      </c>
      <c r="H69" t="s">
        <v>73</v>
      </c>
      <c r="I69">
        <v>9</v>
      </c>
      <c r="J69">
        <v>15</v>
      </c>
      <c r="K69">
        <v>137</v>
      </c>
    </row>
    <row r="70" spans="1:11" x14ac:dyDescent="0.2">
      <c r="A70" t="s">
        <v>756</v>
      </c>
      <c r="B70" t="s">
        <v>757</v>
      </c>
      <c r="C70" t="s">
        <v>582</v>
      </c>
      <c r="D70" t="s">
        <v>105</v>
      </c>
      <c r="E70">
        <v>39.99</v>
      </c>
      <c r="F70">
        <v>439.89000000000004</v>
      </c>
      <c r="H70" t="s">
        <v>73</v>
      </c>
      <c r="I70">
        <v>7.666666666666667</v>
      </c>
      <c r="J70">
        <v>59</v>
      </c>
      <c r="K70">
        <v>451</v>
      </c>
    </row>
    <row r="71" spans="1:11" x14ac:dyDescent="0.2">
      <c r="A71" t="s">
        <v>758</v>
      </c>
      <c r="B71" t="s">
        <v>759</v>
      </c>
      <c r="C71" t="s">
        <v>582</v>
      </c>
      <c r="D71" t="s">
        <v>105</v>
      </c>
      <c r="E71">
        <v>39.99</v>
      </c>
      <c r="F71">
        <v>79.98</v>
      </c>
      <c r="H71" t="s">
        <v>73</v>
      </c>
      <c r="I71">
        <v>5.333333333333333</v>
      </c>
      <c r="J71">
        <v>88</v>
      </c>
      <c r="K71">
        <v>467</v>
      </c>
    </row>
    <row r="72" spans="1:11" x14ac:dyDescent="0.2">
      <c r="A72" t="s">
        <v>704</v>
      </c>
      <c r="B72" t="s">
        <v>705</v>
      </c>
      <c r="C72" t="s">
        <v>582</v>
      </c>
      <c r="D72" t="s">
        <v>105</v>
      </c>
      <c r="E72">
        <v>39.99</v>
      </c>
      <c r="F72">
        <v>359.91</v>
      </c>
      <c r="G72">
        <v>116</v>
      </c>
      <c r="H72" t="s">
        <v>72</v>
      </c>
      <c r="I72">
        <v>9.6666666666666661</v>
      </c>
      <c r="J72">
        <v>23</v>
      </c>
      <c r="K72">
        <v>224</v>
      </c>
    </row>
    <row r="73" spans="1:11" x14ac:dyDescent="0.2">
      <c r="A73" t="s">
        <v>782</v>
      </c>
      <c r="B73" t="s">
        <v>783</v>
      </c>
      <c r="C73" t="s">
        <v>582</v>
      </c>
      <c r="D73" t="s">
        <v>105</v>
      </c>
      <c r="E73">
        <v>19.989999999999998</v>
      </c>
      <c r="F73">
        <v>239.88</v>
      </c>
      <c r="G73">
        <v>820</v>
      </c>
      <c r="H73" t="s">
        <v>8</v>
      </c>
      <c r="I73">
        <v>10</v>
      </c>
      <c r="J73">
        <v>8</v>
      </c>
      <c r="K73">
        <v>83</v>
      </c>
    </row>
    <row r="74" spans="1:11" x14ac:dyDescent="0.2">
      <c r="A74" t="s">
        <v>3990</v>
      </c>
      <c r="B74" t="s">
        <v>3991</v>
      </c>
      <c r="C74" t="s">
        <v>3929</v>
      </c>
      <c r="D74" t="s">
        <v>105</v>
      </c>
      <c r="E74">
        <v>129.99</v>
      </c>
      <c r="F74">
        <v>519.96</v>
      </c>
      <c r="G74">
        <v>51</v>
      </c>
      <c r="H74" t="s">
        <v>73</v>
      </c>
      <c r="I74">
        <v>5.333333333333333</v>
      </c>
      <c r="J74">
        <v>22</v>
      </c>
      <c r="K74">
        <v>117</v>
      </c>
    </row>
    <row r="75" spans="1:11" x14ac:dyDescent="0.2">
      <c r="A75" t="s">
        <v>4055</v>
      </c>
      <c r="B75" t="s">
        <v>4056</v>
      </c>
      <c r="C75" t="s">
        <v>3929</v>
      </c>
      <c r="D75" t="s">
        <v>105</v>
      </c>
      <c r="E75">
        <v>159.99</v>
      </c>
      <c r="F75">
        <v>0</v>
      </c>
      <c r="H75" t="s">
        <v>73</v>
      </c>
      <c r="I75">
        <v>4</v>
      </c>
      <c r="J75">
        <v>2</v>
      </c>
      <c r="K75">
        <v>8</v>
      </c>
    </row>
    <row r="76" spans="1:11" x14ac:dyDescent="0.2">
      <c r="A76" t="s">
        <v>730</v>
      </c>
      <c r="B76" t="s">
        <v>731</v>
      </c>
      <c r="C76" t="s">
        <v>582</v>
      </c>
      <c r="D76" t="s">
        <v>105</v>
      </c>
      <c r="E76">
        <v>59.99</v>
      </c>
      <c r="F76">
        <v>299.95</v>
      </c>
      <c r="G76">
        <v>103</v>
      </c>
      <c r="H76" t="s">
        <v>72</v>
      </c>
      <c r="I76">
        <v>8.5</v>
      </c>
      <c r="J76">
        <v>16</v>
      </c>
      <c r="K76">
        <v>133</v>
      </c>
    </row>
    <row r="77" spans="1:11" x14ac:dyDescent="0.2">
      <c r="A77" t="s">
        <v>3906</v>
      </c>
      <c r="B77" t="s">
        <v>3907</v>
      </c>
      <c r="C77" t="s">
        <v>3876</v>
      </c>
      <c r="D77" t="s">
        <v>105</v>
      </c>
      <c r="E77">
        <v>69.989999999999995</v>
      </c>
      <c r="F77">
        <v>489.92999999999995</v>
      </c>
      <c r="G77">
        <v>190</v>
      </c>
      <c r="H77" t="s">
        <v>5065</v>
      </c>
      <c r="I77">
        <v>6</v>
      </c>
      <c r="J77">
        <v>8</v>
      </c>
      <c r="K77">
        <v>51</v>
      </c>
    </row>
    <row r="78" spans="1:11" x14ac:dyDescent="0.2">
      <c r="A78" t="s">
        <v>4519</v>
      </c>
      <c r="B78" t="s">
        <v>4520</v>
      </c>
      <c r="C78" t="s">
        <v>4518</v>
      </c>
      <c r="D78" t="s">
        <v>105</v>
      </c>
      <c r="E78">
        <v>89.99</v>
      </c>
      <c r="F78">
        <v>359.96</v>
      </c>
      <c r="G78">
        <v>253</v>
      </c>
      <c r="H78" t="s">
        <v>8</v>
      </c>
      <c r="I78">
        <v>5</v>
      </c>
      <c r="J78">
        <v>21</v>
      </c>
      <c r="K78">
        <v>103</v>
      </c>
    </row>
    <row r="79" spans="1:11" x14ac:dyDescent="0.2">
      <c r="A79" t="s">
        <v>788</v>
      </c>
      <c r="B79" t="s">
        <v>789</v>
      </c>
      <c r="C79" t="s">
        <v>582</v>
      </c>
      <c r="D79" t="s">
        <v>105</v>
      </c>
      <c r="E79">
        <v>39.99</v>
      </c>
      <c r="F79">
        <v>239.94</v>
      </c>
      <c r="G79">
        <v>117</v>
      </c>
      <c r="H79" t="s">
        <v>73</v>
      </c>
      <c r="I79">
        <v>6.666666666666667</v>
      </c>
      <c r="J79">
        <v>25</v>
      </c>
      <c r="K79">
        <v>168</v>
      </c>
    </row>
    <row r="80" spans="1:11" x14ac:dyDescent="0.2">
      <c r="A80" t="s">
        <v>762</v>
      </c>
      <c r="B80" t="s">
        <v>763</v>
      </c>
      <c r="C80" t="s">
        <v>582</v>
      </c>
      <c r="D80" t="s">
        <v>98</v>
      </c>
      <c r="E80">
        <v>59.99</v>
      </c>
      <c r="F80">
        <v>59.99</v>
      </c>
      <c r="H80" t="s">
        <v>73</v>
      </c>
      <c r="I80">
        <v>3</v>
      </c>
      <c r="J80">
        <v>28</v>
      </c>
      <c r="K80">
        <v>84</v>
      </c>
    </row>
    <row r="81" spans="1:11" x14ac:dyDescent="0.2">
      <c r="A81" t="s">
        <v>620</v>
      </c>
      <c r="B81" t="s">
        <v>621</v>
      </c>
      <c r="C81" t="s">
        <v>582</v>
      </c>
      <c r="D81" t="s">
        <v>138</v>
      </c>
      <c r="E81">
        <v>59.99</v>
      </c>
      <c r="F81">
        <v>59.99</v>
      </c>
      <c r="H81" t="s">
        <v>73</v>
      </c>
      <c r="I81">
        <v>3.8333333333333335</v>
      </c>
      <c r="J81">
        <v>108</v>
      </c>
      <c r="K81">
        <v>415</v>
      </c>
    </row>
    <row r="82" spans="1:11" x14ac:dyDescent="0.2">
      <c r="A82" t="s">
        <v>4923</v>
      </c>
      <c r="B82" t="s">
        <v>4924</v>
      </c>
      <c r="C82" t="s">
        <v>4905</v>
      </c>
      <c r="D82" t="s">
        <v>105</v>
      </c>
      <c r="E82">
        <v>379.99</v>
      </c>
      <c r="F82">
        <v>0</v>
      </c>
      <c r="H82" t="s">
        <v>72</v>
      </c>
      <c r="I82">
        <v>3.5</v>
      </c>
      <c r="J82">
        <v>8</v>
      </c>
      <c r="K82">
        <v>27</v>
      </c>
    </row>
    <row r="83" spans="1:11" x14ac:dyDescent="0.2">
      <c r="A83" t="s">
        <v>646</v>
      </c>
      <c r="B83" t="s">
        <v>5071</v>
      </c>
      <c r="C83" t="s">
        <v>582</v>
      </c>
      <c r="D83" t="s">
        <v>105</v>
      </c>
      <c r="E83">
        <v>69.989999999999995</v>
      </c>
      <c r="F83">
        <v>1049.8499999999999</v>
      </c>
      <c r="G83">
        <v>110</v>
      </c>
      <c r="H83" t="s">
        <v>72</v>
      </c>
      <c r="I83">
        <v>14.333333333333334</v>
      </c>
      <c r="J83">
        <v>5</v>
      </c>
      <c r="K83">
        <v>75</v>
      </c>
    </row>
    <row r="84" spans="1:11" x14ac:dyDescent="0.2">
      <c r="A84" t="s">
        <v>4937</v>
      </c>
      <c r="B84" t="s">
        <v>4936</v>
      </c>
      <c r="C84" t="s">
        <v>4905</v>
      </c>
      <c r="D84" t="s">
        <v>105</v>
      </c>
      <c r="E84">
        <v>199.99</v>
      </c>
      <c r="F84">
        <v>1399.93</v>
      </c>
      <c r="G84">
        <v>148</v>
      </c>
      <c r="H84" t="s">
        <v>72</v>
      </c>
      <c r="I84">
        <v>6.333333333333333</v>
      </c>
      <c r="J84">
        <v>10</v>
      </c>
      <c r="K84">
        <v>63</v>
      </c>
    </row>
    <row r="85" spans="1:11" x14ac:dyDescent="0.2">
      <c r="A85" t="s">
        <v>4937</v>
      </c>
      <c r="B85" t="s">
        <v>4936</v>
      </c>
      <c r="C85" t="s">
        <v>4905</v>
      </c>
      <c r="D85" t="s">
        <v>105</v>
      </c>
      <c r="E85">
        <v>199.99</v>
      </c>
      <c r="F85">
        <v>1399.93</v>
      </c>
      <c r="G85">
        <v>148</v>
      </c>
      <c r="H85" t="s">
        <v>72</v>
      </c>
      <c r="I85">
        <v>6.333333333333333</v>
      </c>
      <c r="J85">
        <v>10</v>
      </c>
      <c r="K85">
        <v>63</v>
      </c>
    </row>
    <row r="86" spans="1:11" x14ac:dyDescent="0.2">
      <c r="A86" t="s">
        <v>702</v>
      </c>
      <c r="B86" t="s">
        <v>703</v>
      </c>
      <c r="C86" t="s">
        <v>582</v>
      </c>
      <c r="D86" t="s">
        <v>105</v>
      </c>
      <c r="E86">
        <v>179.99</v>
      </c>
      <c r="F86">
        <v>179.99</v>
      </c>
      <c r="G86">
        <v>26</v>
      </c>
      <c r="H86" t="s">
        <v>72</v>
      </c>
      <c r="I86">
        <v>4</v>
      </c>
      <c r="J86">
        <v>18</v>
      </c>
      <c r="K86">
        <v>70</v>
      </c>
    </row>
    <row r="87" spans="1:11" x14ac:dyDescent="0.2">
      <c r="A87" t="s">
        <v>611</v>
      </c>
      <c r="B87" t="s">
        <v>612</v>
      </c>
      <c r="C87" t="s">
        <v>582</v>
      </c>
      <c r="D87" t="s">
        <v>105</v>
      </c>
      <c r="E87">
        <v>89.99</v>
      </c>
      <c r="F87">
        <v>359.96</v>
      </c>
      <c r="G87">
        <v>63</v>
      </c>
      <c r="H87" t="s">
        <v>72</v>
      </c>
      <c r="I87">
        <v>5.333333333333333</v>
      </c>
      <c r="J87">
        <v>24</v>
      </c>
      <c r="K87">
        <v>129</v>
      </c>
    </row>
    <row r="88" spans="1:11" x14ac:dyDescent="0.2">
      <c r="A88" t="s">
        <v>4923</v>
      </c>
      <c r="B88" t="s">
        <v>4924</v>
      </c>
      <c r="C88" t="s">
        <v>4905</v>
      </c>
      <c r="D88" t="s">
        <v>105</v>
      </c>
      <c r="E88">
        <v>379.99</v>
      </c>
      <c r="F88">
        <v>0</v>
      </c>
      <c r="H88" t="s">
        <v>5065</v>
      </c>
      <c r="I88">
        <v>2.3333333333333335</v>
      </c>
      <c r="J88">
        <v>19</v>
      </c>
      <c r="K88">
        <v>44</v>
      </c>
    </row>
    <row r="89" spans="1:11" x14ac:dyDescent="0.2">
      <c r="A89" t="s">
        <v>690</v>
      </c>
      <c r="B89" t="s">
        <v>5072</v>
      </c>
      <c r="C89" t="s">
        <v>582</v>
      </c>
      <c r="D89" t="s">
        <v>105</v>
      </c>
      <c r="E89">
        <v>44.99</v>
      </c>
      <c r="F89">
        <v>89.98</v>
      </c>
      <c r="G89">
        <v>69</v>
      </c>
      <c r="H89" t="s">
        <v>5065</v>
      </c>
      <c r="I89">
        <v>2.8333333333333335</v>
      </c>
      <c r="J89">
        <v>16</v>
      </c>
      <c r="K89">
        <v>45</v>
      </c>
    </row>
    <row r="90" spans="1:11" x14ac:dyDescent="0.2">
      <c r="A90" t="s">
        <v>103</v>
      </c>
      <c r="B90" t="s">
        <v>104</v>
      </c>
      <c r="C90" t="s">
        <v>95</v>
      </c>
      <c r="D90" t="s">
        <v>105</v>
      </c>
      <c r="E90">
        <v>29.99</v>
      </c>
      <c r="F90">
        <v>59.98</v>
      </c>
      <c r="G90">
        <v>18</v>
      </c>
      <c r="H90" t="s">
        <v>8</v>
      </c>
      <c r="I90">
        <v>4.5</v>
      </c>
      <c r="J90">
        <v>12</v>
      </c>
      <c r="K90">
        <v>55</v>
      </c>
    </row>
    <row r="91" spans="1:11" x14ac:dyDescent="0.2">
      <c r="A91" t="s">
        <v>4931</v>
      </c>
      <c r="B91" t="s">
        <v>4930</v>
      </c>
      <c r="C91" t="s">
        <v>4905</v>
      </c>
      <c r="D91" t="s">
        <v>105</v>
      </c>
      <c r="E91">
        <v>219.99</v>
      </c>
      <c r="F91">
        <v>0</v>
      </c>
      <c r="H91" t="s">
        <v>8</v>
      </c>
      <c r="I91">
        <v>3.8333333333333335</v>
      </c>
      <c r="J91">
        <v>10</v>
      </c>
      <c r="K91">
        <v>37</v>
      </c>
    </row>
    <row r="92" spans="1:11" x14ac:dyDescent="0.2">
      <c r="A92" t="s">
        <v>786</v>
      </c>
      <c r="B92" t="s">
        <v>787</v>
      </c>
      <c r="C92" t="s">
        <v>582</v>
      </c>
      <c r="D92" t="s">
        <v>105</v>
      </c>
      <c r="E92">
        <v>44.99</v>
      </c>
      <c r="F92">
        <v>179.96</v>
      </c>
      <c r="G92">
        <v>445</v>
      </c>
      <c r="H92" t="s">
        <v>8</v>
      </c>
      <c r="I92">
        <v>6.333333333333333</v>
      </c>
      <c r="J92">
        <v>7</v>
      </c>
      <c r="K92">
        <v>43</v>
      </c>
    </row>
    <row r="93" spans="1:11" x14ac:dyDescent="0.2">
      <c r="A93" t="s">
        <v>686</v>
      </c>
      <c r="B93" t="s">
        <v>687</v>
      </c>
      <c r="C93" t="s">
        <v>582</v>
      </c>
      <c r="D93" t="s">
        <v>105</v>
      </c>
      <c r="E93">
        <v>59.99</v>
      </c>
      <c r="F93">
        <v>239.96</v>
      </c>
      <c r="G93">
        <v>41</v>
      </c>
      <c r="H93" t="s">
        <v>8</v>
      </c>
      <c r="I93">
        <v>5</v>
      </c>
      <c r="J93">
        <v>11</v>
      </c>
      <c r="K93">
        <v>54</v>
      </c>
    </row>
    <row r="94" spans="1:11" x14ac:dyDescent="0.2">
      <c r="A94" t="s">
        <v>698</v>
      </c>
      <c r="B94" t="s">
        <v>699</v>
      </c>
      <c r="C94" t="s">
        <v>582</v>
      </c>
      <c r="D94" t="s">
        <v>105</v>
      </c>
      <c r="E94">
        <v>59.99</v>
      </c>
      <c r="F94">
        <v>119.98</v>
      </c>
      <c r="G94">
        <v>34</v>
      </c>
      <c r="H94" t="s">
        <v>73</v>
      </c>
      <c r="I94">
        <v>2.5</v>
      </c>
      <c r="J94">
        <v>34</v>
      </c>
      <c r="K94">
        <v>85</v>
      </c>
    </row>
    <row r="95" spans="1:11" x14ac:dyDescent="0.2">
      <c r="A95" t="s">
        <v>718</v>
      </c>
      <c r="B95" t="s">
        <v>719</v>
      </c>
      <c r="C95" t="s">
        <v>582</v>
      </c>
      <c r="D95" t="s">
        <v>105</v>
      </c>
      <c r="E95">
        <v>49.99</v>
      </c>
      <c r="F95">
        <v>49.99</v>
      </c>
      <c r="G95">
        <v>68</v>
      </c>
      <c r="H95" t="s">
        <v>73</v>
      </c>
      <c r="I95">
        <v>4</v>
      </c>
      <c r="J95">
        <v>30</v>
      </c>
      <c r="K95">
        <v>120</v>
      </c>
    </row>
    <row r="96" spans="1:11" x14ac:dyDescent="0.2">
      <c r="A96" t="s">
        <v>776</v>
      </c>
      <c r="B96" t="s">
        <v>777</v>
      </c>
      <c r="C96" t="s">
        <v>582</v>
      </c>
      <c r="D96" t="s">
        <v>105</v>
      </c>
      <c r="E96">
        <v>69.989999999999995</v>
      </c>
      <c r="F96">
        <v>559.91999999999996</v>
      </c>
      <c r="G96">
        <v>64</v>
      </c>
      <c r="H96" t="s">
        <v>73</v>
      </c>
      <c r="I96">
        <v>11</v>
      </c>
      <c r="J96">
        <v>13</v>
      </c>
      <c r="K96">
        <v>145</v>
      </c>
    </row>
    <row r="97" spans="1:11" x14ac:dyDescent="0.2">
      <c r="A97" t="s">
        <v>110</v>
      </c>
      <c r="B97" t="s">
        <v>111</v>
      </c>
      <c r="C97" t="s">
        <v>95</v>
      </c>
      <c r="D97" t="s">
        <v>105</v>
      </c>
      <c r="E97">
        <v>39.99</v>
      </c>
      <c r="F97">
        <v>159.96</v>
      </c>
      <c r="G97">
        <v>142</v>
      </c>
      <c r="H97" t="s">
        <v>73</v>
      </c>
      <c r="I97">
        <v>5.666666666666667</v>
      </c>
      <c r="J97">
        <v>11</v>
      </c>
      <c r="K97">
        <v>64</v>
      </c>
    </row>
    <row r="98" spans="1:11" x14ac:dyDescent="0.2">
      <c r="A98" t="s">
        <v>3901</v>
      </c>
      <c r="B98" t="s">
        <v>5070</v>
      </c>
      <c r="C98" t="s">
        <v>3876</v>
      </c>
      <c r="D98" t="s">
        <v>105</v>
      </c>
      <c r="E98">
        <v>69.989999999999995</v>
      </c>
      <c r="F98">
        <v>419.93999999999994</v>
      </c>
      <c r="G98">
        <v>92</v>
      </c>
      <c r="H98" t="s">
        <v>72</v>
      </c>
      <c r="I98">
        <v>7.333333333333333</v>
      </c>
      <c r="J98">
        <v>10</v>
      </c>
      <c r="K98">
        <v>77</v>
      </c>
    </row>
    <row r="99" spans="1:11" x14ac:dyDescent="0.2">
      <c r="A99" t="s">
        <v>110</v>
      </c>
      <c r="B99" t="s">
        <v>111</v>
      </c>
      <c r="C99" t="s">
        <v>95</v>
      </c>
      <c r="D99" t="s">
        <v>105</v>
      </c>
      <c r="E99">
        <v>39.99</v>
      </c>
      <c r="F99">
        <v>199.95000000000002</v>
      </c>
      <c r="G99">
        <v>142</v>
      </c>
      <c r="H99" t="s">
        <v>72</v>
      </c>
      <c r="I99">
        <v>7.333333333333333</v>
      </c>
      <c r="J99">
        <v>6</v>
      </c>
      <c r="K99">
        <v>43</v>
      </c>
    </row>
    <row r="100" spans="1:11" x14ac:dyDescent="0.2">
      <c r="A100" t="s">
        <v>716</v>
      </c>
      <c r="B100" t="s">
        <v>717</v>
      </c>
      <c r="C100" t="s">
        <v>582</v>
      </c>
      <c r="D100" t="s">
        <v>105</v>
      </c>
      <c r="E100">
        <v>49.99</v>
      </c>
      <c r="F100">
        <v>249.95000000000002</v>
      </c>
      <c r="G100">
        <v>116</v>
      </c>
      <c r="H100" t="s">
        <v>5065</v>
      </c>
      <c r="I100">
        <v>6.166666666666667</v>
      </c>
      <c r="J100">
        <v>7</v>
      </c>
      <c r="K100">
        <v>42</v>
      </c>
    </row>
    <row r="101" spans="1:11" x14ac:dyDescent="0.2">
      <c r="A101" t="s">
        <v>650</v>
      </c>
      <c r="B101" t="s">
        <v>651</v>
      </c>
      <c r="C101" t="s">
        <v>582</v>
      </c>
      <c r="D101" t="s">
        <v>105</v>
      </c>
      <c r="E101">
        <v>119.99</v>
      </c>
      <c r="F101">
        <v>239.98</v>
      </c>
      <c r="G101">
        <v>83</v>
      </c>
      <c r="H101" t="s">
        <v>5065</v>
      </c>
      <c r="I101">
        <v>3.6666666666666665</v>
      </c>
      <c r="J101">
        <v>9</v>
      </c>
      <c r="K101">
        <v>33</v>
      </c>
    </row>
    <row r="102" spans="1:11" x14ac:dyDescent="0.2">
      <c r="A102" t="s">
        <v>776</v>
      </c>
      <c r="B102" t="s">
        <v>777</v>
      </c>
      <c r="C102" t="s">
        <v>582</v>
      </c>
      <c r="D102" t="s">
        <v>105</v>
      </c>
      <c r="E102">
        <v>69.989999999999995</v>
      </c>
      <c r="F102">
        <v>349.95</v>
      </c>
      <c r="G102">
        <v>64</v>
      </c>
      <c r="H102" t="s">
        <v>5065</v>
      </c>
      <c r="I102">
        <v>7</v>
      </c>
      <c r="J102">
        <v>8</v>
      </c>
      <c r="K102">
        <v>58</v>
      </c>
    </row>
    <row r="103" spans="1:11" x14ac:dyDescent="0.2">
      <c r="A103" t="s">
        <v>684</v>
      </c>
      <c r="B103" t="s">
        <v>685</v>
      </c>
      <c r="C103" t="s">
        <v>582</v>
      </c>
      <c r="D103" t="s">
        <v>105</v>
      </c>
      <c r="E103">
        <v>59.99</v>
      </c>
      <c r="F103">
        <v>239.96</v>
      </c>
      <c r="G103">
        <v>55</v>
      </c>
      <c r="H103" t="s">
        <v>5065</v>
      </c>
      <c r="I103">
        <v>5.5</v>
      </c>
      <c r="J103">
        <v>11</v>
      </c>
      <c r="K103">
        <v>58</v>
      </c>
    </row>
    <row r="104" spans="1:11" x14ac:dyDescent="0.2">
      <c r="A104" t="s">
        <v>792</v>
      </c>
      <c r="B104" t="s">
        <v>793</v>
      </c>
      <c r="C104" t="s">
        <v>582</v>
      </c>
      <c r="D104" t="s">
        <v>105</v>
      </c>
      <c r="E104">
        <v>69.989999999999995</v>
      </c>
      <c r="F104">
        <v>279.95999999999998</v>
      </c>
      <c r="G104">
        <v>61</v>
      </c>
      <c r="H104" t="s">
        <v>5065</v>
      </c>
      <c r="I104">
        <v>9.8333333333333339</v>
      </c>
      <c r="J104">
        <v>3</v>
      </c>
      <c r="K104">
        <v>27</v>
      </c>
    </row>
    <row r="105" spans="1:11" x14ac:dyDescent="0.2">
      <c r="A105" t="s">
        <v>3936</v>
      </c>
      <c r="B105" t="s">
        <v>3937</v>
      </c>
      <c r="C105" t="s">
        <v>3929</v>
      </c>
      <c r="D105" t="s">
        <v>105</v>
      </c>
      <c r="E105">
        <v>179.99</v>
      </c>
      <c r="F105">
        <v>899.95</v>
      </c>
      <c r="G105">
        <v>64</v>
      </c>
      <c r="H105" t="s">
        <v>5065</v>
      </c>
      <c r="I105">
        <v>3.1666666666666665</v>
      </c>
      <c r="J105">
        <v>12</v>
      </c>
      <c r="K105">
        <v>37</v>
      </c>
    </row>
    <row r="106" spans="1:11" x14ac:dyDescent="0.2">
      <c r="A106" t="s">
        <v>3352</v>
      </c>
      <c r="B106" t="s">
        <v>3353</v>
      </c>
      <c r="C106" t="s">
        <v>3349</v>
      </c>
      <c r="D106" t="s">
        <v>105</v>
      </c>
      <c r="E106">
        <v>179.99</v>
      </c>
      <c r="F106">
        <v>719.96</v>
      </c>
      <c r="H106" t="s">
        <v>5065</v>
      </c>
      <c r="I106">
        <v>4.333333333333333</v>
      </c>
      <c r="J106">
        <v>15</v>
      </c>
      <c r="K106">
        <v>63</v>
      </c>
    </row>
    <row r="107" spans="1:11" x14ac:dyDescent="0.2">
      <c r="A107" t="s">
        <v>110</v>
      </c>
      <c r="B107" t="s">
        <v>111</v>
      </c>
      <c r="C107" t="s">
        <v>95</v>
      </c>
      <c r="D107" t="s">
        <v>105</v>
      </c>
      <c r="E107">
        <v>39.99</v>
      </c>
      <c r="F107">
        <v>199.95000000000002</v>
      </c>
      <c r="G107">
        <v>142</v>
      </c>
      <c r="H107" t="s">
        <v>8</v>
      </c>
      <c r="I107">
        <v>6.333333333333333</v>
      </c>
      <c r="J107">
        <v>9</v>
      </c>
      <c r="K107">
        <v>60</v>
      </c>
    </row>
    <row r="108" spans="1:11" x14ac:dyDescent="0.2">
      <c r="A108" t="s">
        <v>736</v>
      </c>
      <c r="B108" t="s">
        <v>737</v>
      </c>
      <c r="C108" t="s">
        <v>582</v>
      </c>
      <c r="D108" t="s">
        <v>105</v>
      </c>
      <c r="E108">
        <v>29.99</v>
      </c>
      <c r="F108">
        <v>59.98</v>
      </c>
      <c r="G108">
        <v>80</v>
      </c>
      <c r="H108" t="s">
        <v>8</v>
      </c>
      <c r="I108">
        <v>5.833333333333333</v>
      </c>
      <c r="J108">
        <v>12</v>
      </c>
      <c r="K108">
        <v>70</v>
      </c>
    </row>
    <row r="109" spans="1:11" x14ac:dyDescent="0.2">
      <c r="A109" t="s">
        <v>650</v>
      </c>
      <c r="B109" t="s">
        <v>651</v>
      </c>
      <c r="C109" t="s">
        <v>582</v>
      </c>
      <c r="D109" t="s">
        <v>105</v>
      </c>
      <c r="E109">
        <v>119.99</v>
      </c>
      <c r="F109">
        <v>599.94999999999993</v>
      </c>
      <c r="G109">
        <v>83</v>
      </c>
      <c r="H109" t="s">
        <v>8</v>
      </c>
      <c r="I109">
        <v>5.666666666666667</v>
      </c>
      <c r="J109">
        <v>10</v>
      </c>
      <c r="K109">
        <v>58</v>
      </c>
    </row>
    <row r="110" spans="1:11" x14ac:dyDescent="0.2">
      <c r="A110" t="s">
        <v>4521</v>
      </c>
      <c r="B110" t="s">
        <v>4522</v>
      </c>
      <c r="C110" t="s">
        <v>4518</v>
      </c>
      <c r="D110" t="s">
        <v>105</v>
      </c>
      <c r="E110">
        <v>89.99</v>
      </c>
      <c r="F110">
        <v>359.96</v>
      </c>
      <c r="G110">
        <v>1229</v>
      </c>
      <c r="H110" t="s">
        <v>8</v>
      </c>
      <c r="I110">
        <v>4.5</v>
      </c>
      <c r="J110">
        <v>15</v>
      </c>
      <c r="K110">
        <v>66</v>
      </c>
    </row>
    <row r="111" spans="1:11" x14ac:dyDescent="0.2">
      <c r="A111" t="s">
        <v>700</v>
      </c>
      <c r="B111" t="s">
        <v>701</v>
      </c>
      <c r="C111" t="s">
        <v>582</v>
      </c>
      <c r="D111" t="s">
        <v>105</v>
      </c>
      <c r="E111">
        <v>59.99</v>
      </c>
      <c r="F111">
        <v>119.98</v>
      </c>
      <c r="G111">
        <v>61</v>
      </c>
      <c r="H111" t="s">
        <v>73</v>
      </c>
      <c r="I111">
        <v>5.5</v>
      </c>
      <c r="J111">
        <v>30</v>
      </c>
      <c r="K111">
        <v>165</v>
      </c>
    </row>
    <row r="112" spans="1:11" x14ac:dyDescent="0.2">
      <c r="A112" t="s">
        <v>760</v>
      </c>
      <c r="B112" t="s">
        <v>761</v>
      </c>
      <c r="C112" t="s">
        <v>582</v>
      </c>
      <c r="D112" t="s">
        <v>105</v>
      </c>
      <c r="E112">
        <v>59.99</v>
      </c>
      <c r="F112">
        <v>179.97</v>
      </c>
      <c r="H112" t="s">
        <v>73</v>
      </c>
      <c r="I112">
        <v>4.666666666666667</v>
      </c>
      <c r="J112">
        <v>43</v>
      </c>
      <c r="K112">
        <v>199</v>
      </c>
    </row>
    <row r="113" spans="1:11" x14ac:dyDescent="0.2">
      <c r="A113" t="s">
        <v>5073</v>
      </c>
      <c r="B113" t="s">
        <v>5074</v>
      </c>
      <c r="C113" t="s">
        <v>3929</v>
      </c>
      <c r="D113" t="s">
        <v>105</v>
      </c>
      <c r="E113">
        <v>99.99</v>
      </c>
      <c r="F113">
        <v>199.98</v>
      </c>
      <c r="H113" t="s">
        <v>73</v>
      </c>
      <c r="I113">
        <v>2.5</v>
      </c>
      <c r="J113">
        <v>20</v>
      </c>
      <c r="K113">
        <v>50</v>
      </c>
    </row>
    <row r="114" spans="1:11" x14ac:dyDescent="0.2">
      <c r="A114" t="s">
        <v>736</v>
      </c>
      <c r="B114" t="s">
        <v>737</v>
      </c>
      <c r="C114" t="s">
        <v>582</v>
      </c>
      <c r="D114" t="s">
        <v>105</v>
      </c>
      <c r="E114">
        <v>29.99</v>
      </c>
      <c r="F114">
        <v>119.96</v>
      </c>
      <c r="G114">
        <v>80</v>
      </c>
      <c r="H114" t="s">
        <v>73</v>
      </c>
      <c r="I114">
        <v>5.166666666666667</v>
      </c>
      <c r="J114">
        <v>24</v>
      </c>
      <c r="K114">
        <v>124</v>
      </c>
    </row>
    <row r="115" spans="1:11" x14ac:dyDescent="0.2">
      <c r="A115" t="s">
        <v>4004</v>
      </c>
      <c r="B115" t="s">
        <v>4005</v>
      </c>
      <c r="C115" t="s">
        <v>3929</v>
      </c>
      <c r="D115" t="s">
        <v>105</v>
      </c>
      <c r="E115">
        <v>64.989999999999995</v>
      </c>
      <c r="F115">
        <v>129.97999999999999</v>
      </c>
      <c r="G115">
        <v>5</v>
      </c>
      <c r="H115" t="s">
        <v>73</v>
      </c>
      <c r="I115">
        <v>2.5</v>
      </c>
      <c r="J115">
        <v>40</v>
      </c>
      <c r="K115">
        <v>101</v>
      </c>
    </row>
    <row r="116" spans="1:11" x14ac:dyDescent="0.2">
      <c r="A116" t="s">
        <v>3940</v>
      </c>
      <c r="B116" t="s">
        <v>3941</v>
      </c>
      <c r="C116" t="s">
        <v>3929</v>
      </c>
      <c r="D116" t="s">
        <v>105</v>
      </c>
      <c r="E116">
        <v>209.99</v>
      </c>
      <c r="F116">
        <v>0</v>
      </c>
      <c r="G116">
        <v>7</v>
      </c>
      <c r="H116" t="s">
        <v>73</v>
      </c>
      <c r="I116">
        <v>1.6666666666666667</v>
      </c>
      <c r="J116">
        <v>56</v>
      </c>
      <c r="K116">
        <v>93</v>
      </c>
    </row>
    <row r="117" spans="1:11" x14ac:dyDescent="0.2">
      <c r="A117" t="s">
        <v>716</v>
      </c>
      <c r="B117" t="s">
        <v>717</v>
      </c>
      <c r="C117" t="s">
        <v>582</v>
      </c>
      <c r="D117" t="s">
        <v>105</v>
      </c>
      <c r="E117">
        <v>49.99</v>
      </c>
      <c r="F117">
        <v>449.91</v>
      </c>
      <c r="G117">
        <v>116</v>
      </c>
      <c r="H117" t="s">
        <v>73</v>
      </c>
      <c r="I117">
        <v>6.5</v>
      </c>
      <c r="J117">
        <v>14</v>
      </c>
      <c r="K117">
        <v>91</v>
      </c>
    </row>
    <row r="118" spans="1:11" x14ac:dyDescent="0.2">
      <c r="A118" t="s">
        <v>704</v>
      </c>
      <c r="B118" t="s">
        <v>705</v>
      </c>
      <c r="C118" t="s">
        <v>582</v>
      </c>
      <c r="D118" t="s">
        <v>105</v>
      </c>
      <c r="E118">
        <v>39.99</v>
      </c>
      <c r="F118">
        <v>159.96</v>
      </c>
      <c r="G118">
        <v>116</v>
      </c>
      <c r="H118" t="s">
        <v>73</v>
      </c>
      <c r="I118">
        <v>3.5</v>
      </c>
      <c r="J118">
        <v>40</v>
      </c>
      <c r="K118">
        <v>139</v>
      </c>
    </row>
    <row r="119" spans="1:11" x14ac:dyDescent="0.2">
      <c r="A119" t="s">
        <v>694</v>
      </c>
      <c r="B119" t="s">
        <v>695</v>
      </c>
      <c r="C119" t="s">
        <v>582</v>
      </c>
      <c r="D119" t="s">
        <v>105</v>
      </c>
      <c r="E119">
        <v>44.99</v>
      </c>
      <c r="F119">
        <v>224.95000000000002</v>
      </c>
      <c r="G119">
        <v>258</v>
      </c>
      <c r="H119" t="s">
        <v>73</v>
      </c>
      <c r="I119">
        <v>7.166666666666667</v>
      </c>
      <c r="J119">
        <v>17</v>
      </c>
      <c r="K119">
        <v>125</v>
      </c>
    </row>
    <row r="120" spans="1:11" x14ac:dyDescent="0.2">
      <c r="A120" t="s">
        <v>3434</v>
      </c>
      <c r="B120" t="s">
        <v>3435</v>
      </c>
      <c r="C120" t="s">
        <v>3349</v>
      </c>
      <c r="D120" t="s">
        <v>105</v>
      </c>
      <c r="E120">
        <v>59.99</v>
      </c>
      <c r="F120">
        <v>119.98</v>
      </c>
      <c r="H120" t="s">
        <v>73</v>
      </c>
      <c r="I120">
        <v>4.166666666666667</v>
      </c>
      <c r="J120">
        <v>8</v>
      </c>
      <c r="K120">
        <v>32</v>
      </c>
    </row>
    <row r="121" spans="1:11" x14ac:dyDescent="0.2">
      <c r="A121" t="s">
        <v>5075</v>
      </c>
      <c r="B121" t="s">
        <v>5076</v>
      </c>
      <c r="C121" t="s">
        <v>3929</v>
      </c>
      <c r="D121" t="s">
        <v>98</v>
      </c>
      <c r="E121">
        <v>74.989999999999995</v>
      </c>
      <c r="F121">
        <v>0</v>
      </c>
      <c r="H121" t="s">
        <v>73</v>
      </c>
      <c r="I121">
        <v>2.8333333333333335</v>
      </c>
      <c r="J121">
        <v>1</v>
      </c>
      <c r="K121">
        <v>4</v>
      </c>
    </row>
    <row r="122" spans="1:11" x14ac:dyDescent="0.2">
      <c r="A122" t="s">
        <v>3456</v>
      </c>
      <c r="B122" t="s">
        <v>3457</v>
      </c>
      <c r="C122" t="s">
        <v>3349</v>
      </c>
      <c r="D122" t="s">
        <v>105</v>
      </c>
      <c r="E122">
        <v>79.989999999999995</v>
      </c>
      <c r="F122">
        <v>0</v>
      </c>
      <c r="G122">
        <v>25</v>
      </c>
      <c r="H122" t="s">
        <v>73</v>
      </c>
      <c r="I122">
        <v>2</v>
      </c>
      <c r="J122">
        <v>0</v>
      </c>
      <c r="K122">
        <v>0</v>
      </c>
    </row>
    <row r="123" spans="1:11" x14ac:dyDescent="0.2">
      <c r="A123" t="s">
        <v>3932</v>
      </c>
      <c r="B123" t="s">
        <v>3933</v>
      </c>
      <c r="C123" t="s">
        <v>3929</v>
      </c>
      <c r="D123" t="s">
        <v>105</v>
      </c>
      <c r="E123">
        <v>129.99</v>
      </c>
      <c r="F123">
        <v>779.94</v>
      </c>
      <c r="G123">
        <v>51</v>
      </c>
      <c r="H123" t="s">
        <v>73</v>
      </c>
      <c r="I123">
        <v>4.5</v>
      </c>
      <c r="J123">
        <v>33</v>
      </c>
      <c r="K123">
        <v>149</v>
      </c>
    </row>
    <row r="124" spans="1:11" x14ac:dyDescent="0.2">
      <c r="A124" t="s">
        <v>3936</v>
      </c>
      <c r="B124" t="s">
        <v>3937</v>
      </c>
      <c r="C124" t="s">
        <v>3929</v>
      </c>
      <c r="D124" t="s">
        <v>105</v>
      </c>
      <c r="E124">
        <v>179.99</v>
      </c>
      <c r="F124">
        <v>179.99</v>
      </c>
      <c r="G124">
        <v>64</v>
      </c>
      <c r="H124" t="s">
        <v>72</v>
      </c>
      <c r="I124">
        <v>2.8333333333333335</v>
      </c>
      <c r="J124">
        <v>7</v>
      </c>
      <c r="K124">
        <v>20</v>
      </c>
    </row>
    <row r="125" spans="1:11" x14ac:dyDescent="0.2">
      <c r="A125" t="s">
        <v>718</v>
      </c>
      <c r="B125" t="s">
        <v>719</v>
      </c>
      <c r="C125" t="s">
        <v>582</v>
      </c>
      <c r="D125" t="s">
        <v>105</v>
      </c>
      <c r="E125">
        <v>49.99</v>
      </c>
      <c r="F125">
        <v>49.99</v>
      </c>
      <c r="G125">
        <v>68</v>
      </c>
      <c r="H125" t="s">
        <v>72</v>
      </c>
      <c r="I125">
        <v>4.666666666666667</v>
      </c>
      <c r="J125">
        <v>15</v>
      </c>
      <c r="K125">
        <v>71</v>
      </c>
    </row>
    <row r="126" spans="1:11" x14ac:dyDescent="0.2">
      <c r="A126" t="s">
        <v>916</v>
      </c>
      <c r="B126" t="s">
        <v>917</v>
      </c>
      <c r="C126" t="s">
        <v>911</v>
      </c>
      <c r="D126" t="s">
        <v>105</v>
      </c>
      <c r="E126">
        <v>89.99</v>
      </c>
      <c r="F126">
        <v>809.91</v>
      </c>
      <c r="G126">
        <v>122</v>
      </c>
      <c r="H126" t="s">
        <v>72</v>
      </c>
      <c r="I126">
        <v>9.6666666666666661</v>
      </c>
      <c r="J126">
        <v>4</v>
      </c>
      <c r="K126">
        <v>35</v>
      </c>
    </row>
    <row r="127" spans="1:11" x14ac:dyDescent="0.2">
      <c r="A127" t="s">
        <v>615</v>
      </c>
      <c r="B127" t="s">
        <v>616</v>
      </c>
      <c r="C127" t="s">
        <v>582</v>
      </c>
      <c r="D127" t="s">
        <v>105</v>
      </c>
      <c r="E127">
        <v>79.989999999999995</v>
      </c>
      <c r="F127">
        <v>399.95</v>
      </c>
      <c r="G127">
        <v>22</v>
      </c>
      <c r="H127" t="s">
        <v>72</v>
      </c>
      <c r="I127">
        <v>3</v>
      </c>
      <c r="J127">
        <v>43</v>
      </c>
      <c r="K127">
        <v>129</v>
      </c>
    </row>
    <row r="128" spans="1:11" x14ac:dyDescent="0.2">
      <c r="A128" t="s">
        <v>4990</v>
      </c>
      <c r="B128" t="s">
        <v>4991</v>
      </c>
      <c r="C128" t="s">
        <v>4905</v>
      </c>
      <c r="D128" t="s">
        <v>105</v>
      </c>
      <c r="E128">
        <v>479</v>
      </c>
      <c r="F128">
        <v>958</v>
      </c>
      <c r="G128">
        <v>6</v>
      </c>
      <c r="H128" t="s">
        <v>5065</v>
      </c>
      <c r="I128">
        <v>2.1666666666666665</v>
      </c>
      <c r="J128">
        <v>17</v>
      </c>
      <c r="K128">
        <v>36</v>
      </c>
    </row>
    <row r="129" spans="1:11" x14ac:dyDescent="0.2">
      <c r="A129" t="s">
        <v>4931</v>
      </c>
      <c r="B129" t="s">
        <v>4930</v>
      </c>
      <c r="C129" t="s">
        <v>4905</v>
      </c>
      <c r="D129" t="s">
        <v>105</v>
      </c>
      <c r="E129">
        <v>219.99</v>
      </c>
      <c r="F129">
        <v>879.96</v>
      </c>
      <c r="H129" t="s">
        <v>5065</v>
      </c>
      <c r="I129">
        <v>3.3333333333333335</v>
      </c>
      <c r="J129">
        <v>13</v>
      </c>
      <c r="K129">
        <v>43</v>
      </c>
    </row>
    <row r="130" spans="1:11" x14ac:dyDescent="0.2">
      <c r="A130" t="s">
        <v>736</v>
      </c>
      <c r="B130" t="s">
        <v>737</v>
      </c>
      <c r="C130" t="s">
        <v>582</v>
      </c>
      <c r="D130" t="s">
        <v>105</v>
      </c>
      <c r="E130">
        <v>29.99</v>
      </c>
      <c r="F130">
        <v>179.94</v>
      </c>
      <c r="G130">
        <v>80</v>
      </c>
      <c r="H130" t="s">
        <v>5065</v>
      </c>
      <c r="I130">
        <v>5</v>
      </c>
      <c r="J130">
        <v>8</v>
      </c>
      <c r="K130">
        <v>39</v>
      </c>
    </row>
    <row r="131" spans="1:11" x14ac:dyDescent="0.2">
      <c r="A131" t="s">
        <v>726</v>
      </c>
      <c r="B131" t="s">
        <v>727</v>
      </c>
      <c r="C131" t="s">
        <v>582</v>
      </c>
      <c r="D131" t="s">
        <v>105</v>
      </c>
      <c r="E131">
        <v>149.99</v>
      </c>
      <c r="F131">
        <v>599.96</v>
      </c>
      <c r="G131">
        <v>50</v>
      </c>
      <c r="H131" t="s">
        <v>5065</v>
      </c>
      <c r="I131">
        <v>3</v>
      </c>
      <c r="J131">
        <v>18</v>
      </c>
      <c r="K131">
        <v>55</v>
      </c>
    </row>
    <row r="132" spans="1:11" x14ac:dyDescent="0.2">
      <c r="A132" t="s">
        <v>648</v>
      </c>
      <c r="B132" t="s">
        <v>5066</v>
      </c>
      <c r="C132" t="s">
        <v>582</v>
      </c>
      <c r="D132" t="s">
        <v>105</v>
      </c>
      <c r="E132">
        <v>69.989999999999995</v>
      </c>
      <c r="F132">
        <v>629.91</v>
      </c>
      <c r="H132" t="s">
        <v>5065</v>
      </c>
      <c r="I132">
        <v>6.333333333333333</v>
      </c>
      <c r="J132">
        <v>6</v>
      </c>
      <c r="K132">
        <v>40</v>
      </c>
    </row>
    <row r="133" spans="1:11" x14ac:dyDescent="0.2">
      <c r="A133" t="s">
        <v>694</v>
      </c>
      <c r="B133" t="s">
        <v>695</v>
      </c>
      <c r="C133" t="s">
        <v>582</v>
      </c>
      <c r="D133" t="s">
        <v>105</v>
      </c>
      <c r="E133">
        <v>44.99</v>
      </c>
      <c r="F133">
        <v>179.96</v>
      </c>
      <c r="G133">
        <v>258</v>
      </c>
      <c r="H133" t="s">
        <v>5065</v>
      </c>
      <c r="I133">
        <v>4.5</v>
      </c>
      <c r="J133">
        <v>14</v>
      </c>
      <c r="K133">
        <v>63</v>
      </c>
    </row>
    <row r="134" spans="1:11" x14ac:dyDescent="0.2">
      <c r="A134" t="s">
        <v>4996</v>
      </c>
      <c r="B134" t="s">
        <v>4997</v>
      </c>
      <c r="C134" t="s">
        <v>4905</v>
      </c>
      <c r="D134" t="s">
        <v>105</v>
      </c>
      <c r="E134">
        <v>889</v>
      </c>
      <c r="F134">
        <v>889</v>
      </c>
      <c r="G134">
        <v>17</v>
      </c>
      <c r="H134" t="s">
        <v>5065</v>
      </c>
      <c r="I134">
        <v>1.8333333333333333</v>
      </c>
      <c r="J134">
        <v>21</v>
      </c>
      <c r="K134">
        <v>38</v>
      </c>
    </row>
    <row r="135" spans="1:11" x14ac:dyDescent="0.2">
      <c r="A135" t="s">
        <v>674</v>
      </c>
      <c r="B135" t="s">
        <v>675</v>
      </c>
      <c r="C135" t="s">
        <v>582</v>
      </c>
      <c r="D135" t="s">
        <v>105</v>
      </c>
      <c r="E135">
        <v>22.99</v>
      </c>
      <c r="F135">
        <v>22.99</v>
      </c>
      <c r="H135" t="s">
        <v>5065</v>
      </c>
      <c r="I135">
        <v>5.333333333333333</v>
      </c>
      <c r="J135">
        <v>12</v>
      </c>
      <c r="K135">
        <v>64</v>
      </c>
    </row>
    <row r="136" spans="1:11" x14ac:dyDescent="0.2">
      <c r="A136" t="s">
        <v>124</v>
      </c>
      <c r="B136" t="s">
        <v>125</v>
      </c>
      <c r="C136" t="s">
        <v>95</v>
      </c>
      <c r="D136" t="s">
        <v>105</v>
      </c>
      <c r="E136">
        <v>59.99</v>
      </c>
      <c r="F136">
        <v>59.99</v>
      </c>
      <c r="G136">
        <v>44</v>
      </c>
      <c r="H136" t="s">
        <v>8</v>
      </c>
      <c r="I136">
        <v>3</v>
      </c>
      <c r="J136">
        <v>23</v>
      </c>
      <c r="K136">
        <v>70</v>
      </c>
    </row>
    <row r="137" spans="1:11" x14ac:dyDescent="0.2">
      <c r="A137" t="s">
        <v>788</v>
      </c>
      <c r="B137" t="s">
        <v>789</v>
      </c>
      <c r="C137" t="s">
        <v>582</v>
      </c>
      <c r="D137" t="s">
        <v>105</v>
      </c>
      <c r="E137">
        <v>39.99</v>
      </c>
      <c r="F137">
        <v>199.95000000000002</v>
      </c>
      <c r="G137">
        <v>117</v>
      </c>
      <c r="H137" t="s">
        <v>8</v>
      </c>
      <c r="I137">
        <v>4.333333333333333</v>
      </c>
      <c r="J137">
        <v>12</v>
      </c>
      <c r="K137">
        <v>53</v>
      </c>
    </row>
    <row r="138" spans="1:11" x14ac:dyDescent="0.2">
      <c r="A138" t="s">
        <v>918</v>
      </c>
      <c r="B138" t="s">
        <v>919</v>
      </c>
      <c r="C138" t="s">
        <v>911</v>
      </c>
      <c r="D138" t="s">
        <v>105</v>
      </c>
      <c r="E138">
        <v>59.99</v>
      </c>
      <c r="F138">
        <v>-59.99</v>
      </c>
      <c r="G138">
        <v>143</v>
      </c>
      <c r="H138" t="s">
        <v>8</v>
      </c>
      <c r="I138">
        <v>1.6666666666666667</v>
      </c>
      <c r="J138">
        <v>7</v>
      </c>
      <c r="K138">
        <v>11</v>
      </c>
    </row>
    <row r="139" spans="1:11" x14ac:dyDescent="0.2">
      <c r="A139" t="s">
        <v>778</v>
      </c>
      <c r="B139" t="s">
        <v>779</v>
      </c>
      <c r="C139" t="s">
        <v>582</v>
      </c>
      <c r="D139" t="s">
        <v>105</v>
      </c>
      <c r="E139">
        <v>59.99</v>
      </c>
      <c r="F139">
        <v>419.93</v>
      </c>
      <c r="G139">
        <v>26</v>
      </c>
      <c r="H139" t="s">
        <v>73</v>
      </c>
      <c r="I139">
        <v>4.666666666666667</v>
      </c>
      <c r="J139">
        <v>42</v>
      </c>
      <c r="K139">
        <v>194</v>
      </c>
    </row>
    <row r="140" spans="1:11" x14ac:dyDescent="0.2">
      <c r="A140" t="s">
        <v>4275</v>
      </c>
      <c r="B140" t="s">
        <v>4276</v>
      </c>
      <c r="C140" t="s">
        <v>4230</v>
      </c>
      <c r="D140" t="s">
        <v>105</v>
      </c>
      <c r="E140">
        <v>249</v>
      </c>
      <c r="F140">
        <v>996</v>
      </c>
      <c r="G140">
        <v>135</v>
      </c>
      <c r="H140" t="s">
        <v>73</v>
      </c>
      <c r="I140">
        <v>3</v>
      </c>
      <c r="J140">
        <v>8</v>
      </c>
      <c r="K140">
        <v>25</v>
      </c>
    </row>
    <row r="141" spans="1:11" x14ac:dyDescent="0.2">
      <c r="A141" t="s">
        <v>4006</v>
      </c>
      <c r="B141" t="s">
        <v>4007</v>
      </c>
      <c r="C141" t="s">
        <v>3929</v>
      </c>
      <c r="D141" t="s">
        <v>105</v>
      </c>
      <c r="E141">
        <v>64.989999999999995</v>
      </c>
      <c r="F141">
        <v>259.95999999999998</v>
      </c>
      <c r="H141" t="s">
        <v>73</v>
      </c>
      <c r="I141">
        <v>5</v>
      </c>
      <c r="J141">
        <v>28</v>
      </c>
      <c r="K141">
        <v>138</v>
      </c>
    </row>
    <row r="142" spans="1:11" x14ac:dyDescent="0.2">
      <c r="A142" t="s">
        <v>3948</v>
      </c>
      <c r="B142" t="s">
        <v>3949</v>
      </c>
      <c r="C142" t="s">
        <v>3929</v>
      </c>
      <c r="D142" t="s">
        <v>105</v>
      </c>
      <c r="E142">
        <v>279.99</v>
      </c>
      <c r="F142">
        <v>559.98</v>
      </c>
      <c r="G142">
        <v>9</v>
      </c>
      <c r="H142" t="s">
        <v>73</v>
      </c>
      <c r="I142">
        <v>2.3333333333333335</v>
      </c>
      <c r="J142">
        <v>39</v>
      </c>
      <c r="K142">
        <v>90</v>
      </c>
    </row>
    <row r="143" spans="1:11" x14ac:dyDescent="0.2">
      <c r="A143" t="s">
        <v>3950</v>
      </c>
      <c r="B143" t="s">
        <v>3951</v>
      </c>
      <c r="C143" t="s">
        <v>3929</v>
      </c>
      <c r="D143" t="s">
        <v>105</v>
      </c>
      <c r="E143">
        <v>119.99</v>
      </c>
      <c r="F143">
        <v>0</v>
      </c>
      <c r="G143">
        <v>24</v>
      </c>
      <c r="H143" t="s">
        <v>73</v>
      </c>
      <c r="I143">
        <v>2.3333333333333335</v>
      </c>
      <c r="J143">
        <v>45</v>
      </c>
      <c r="K143">
        <v>105</v>
      </c>
    </row>
    <row r="144" spans="1:11" x14ac:dyDescent="0.2">
      <c r="A144" t="s">
        <v>3960</v>
      </c>
      <c r="B144" t="s">
        <v>3961</v>
      </c>
      <c r="C144" t="s">
        <v>3929</v>
      </c>
      <c r="D144" t="s">
        <v>105</v>
      </c>
      <c r="E144">
        <v>64.989999999999995</v>
      </c>
      <c r="F144">
        <v>194.96999999999997</v>
      </c>
      <c r="G144">
        <v>20</v>
      </c>
      <c r="H144" t="s">
        <v>73</v>
      </c>
      <c r="I144">
        <v>4.666666666666667</v>
      </c>
      <c r="J144">
        <v>32</v>
      </c>
      <c r="K144">
        <v>149</v>
      </c>
    </row>
    <row r="145" spans="1:11" x14ac:dyDescent="0.2">
      <c r="A145" t="s">
        <v>3958</v>
      </c>
      <c r="B145" t="s">
        <v>3959</v>
      </c>
      <c r="C145" t="s">
        <v>3929</v>
      </c>
      <c r="D145" t="s">
        <v>105</v>
      </c>
      <c r="E145">
        <v>149.99</v>
      </c>
      <c r="F145">
        <v>1049.93</v>
      </c>
      <c r="G145">
        <v>21</v>
      </c>
      <c r="H145" t="s">
        <v>73</v>
      </c>
      <c r="I145">
        <v>6.833333333333333</v>
      </c>
      <c r="J145">
        <v>14</v>
      </c>
      <c r="K145">
        <v>93</v>
      </c>
    </row>
    <row r="146" spans="1:11" x14ac:dyDescent="0.2">
      <c r="A146" t="s">
        <v>3903</v>
      </c>
      <c r="B146" t="s">
        <v>5077</v>
      </c>
      <c r="C146" t="s">
        <v>3876</v>
      </c>
      <c r="D146" t="s">
        <v>105</v>
      </c>
      <c r="E146">
        <v>69.989999999999995</v>
      </c>
      <c r="F146">
        <v>209.96999999999997</v>
      </c>
      <c r="G146">
        <v>130</v>
      </c>
      <c r="H146" t="s">
        <v>73</v>
      </c>
      <c r="I146">
        <v>4.5</v>
      </c>
      <c r="J146">
        <v>16</v>
      </c>
      <c r="K146">
        <v>72</v>
      </c>
    </row>
    <row r="147" spans="1:11" x14ac:dyDescent="0.2">
      <c r="A147" t="s">
        <v>4073</v>
      </c>
      <c r="B147" t="s">
        <v>4074</v>
      </c>
      <c r="C147" t="s">
        <v>3929</v>
      </c>
      <c r="D147" t="s">
        <v>105</v>
      </c>
      <c r="E147">
        <v>69.989999999999995</v>
      </c>
      <c r="F147">
        <v>489.92999999999995</v>
      </c>
      <c r="G147">
        <v>52</v>
      </c>
      <c r="H147" t="s">
        <v>72</v>
      </c>
      <c r="I147">
        <v>5</v>
      </c>
      <c r="J147">
        <v>8</v>
      </c>
      <c r="K147">
        <v>38</v>
      </c>
    </row>
    <row r="148" spans="1:11" x14ac:dyDescent="0.2">
      <c r="A148" t="s">
        <v>4916</v>
      </c>
      <c r="B148" t="s">
        <v>4915</v>
      </c>
      <c r="C148" t="s">
        <v>4905</v>
      </c>
      <c r="D148" t="s">
        <v>105</v>
      </c>
      <c r="E148">
        <v>119.99</v>
      </c>
      <c r="F148">
        <v>599.94999999999993</v>
      </c>
      <c r="G148">
        <v>5</v>
      </c>
      <c r="H148" t="s">
        <v>72</v>
      </c>
      <c r="I148">
        <v>4.166666666666667</v>
      </c>
      <c r="J148">
        <v>16</v>
      </c>
      <c r="K148">
        <v>65</v>
      </c>
    </row>
    <row r="149" spans="1:11" x14ac:dyDescent="0.2">
      <c r="A149" t="s">
        <v>686</v>
      </c>
      <c r="B149" t="s">
        <v>687</v>
      </c>
      <c r="C149" t="s">
        <v>582</v>
      </c>
      <c r="D149" t="s">
        <v>105</v>
      </c>
      <c r="E149">
        <v>59.99</v>
      </c>
      <c r="F149">
        <v>119.98</v>
      </c>
      <c r="G149">
        <v>41</v>
      </c>
      <c r="H149" t="s">
        <v>72</v>
      </c>
      <c r="I149">
        <v>6.333333333333333</v>
      </c>
      <c r="J149">
        <v>16</v>
      </c>
      <c r="K149">
        <v>102</v>
      </c>
    </row>
    <row r="150" spans="1:11" x14ac:dyDescent="0.2">
      <c r="A150" t="s">
        <v>726</v>
      </c>
      <c r="B150" t="s">
        <v>727</v>
      </c>
      <c r="C150" t="s">
        <v>582</v>
      </c>
      <c r="D150" t="s">
        <v>105</v>
      </c>
      <c r="E150">
        <v>149.99</v>
      </c>
      <c r="F150">
        <v>449.97</v>
      </c>
      <c r="G150">
        <v>50</v>
      </c>
      <c r="H150" t="s">
        <v>72</v>
      </c>
      <c r="I150">
        <v>4.5</v>
      </c>
      <c r="J150">
        <v>15</v>
      </c>
      <c r="K150">
        <v>67</v>
      </c>
    </row>
    <row r="151" spans="1:11" x14ac:dyDescent="0.2">
      <c r="A151" t="s">
        <v>4231</v>
      </c>
      <c r="B151" t="s">
        <v>4232</v>
      </c>
      <c r="C151" t="s">
        <v>4230</v>
      </c>
      <c r="D151" t="s">
        <v>105</v>
      </c>
      <c r="E151">
        <v>54.95</v>
      </c>
      <c r="F151">
        <v>219.8</v>
      </c>
      <c r="H151" t="s">
        <v>72</v>
      </c>
      <c r="I151">
        <v>4.666666666666667</v>
      </c>
      <c r="J151">
        <v>4</v>
      </c>
      <c r="K151">
        <v>18</v>
      </c>
    </row>
    <row r="152" spans="1:11" x14ac:dyDescent="0.2">
      <c r="A152" t="s">
        <v>718</v>
      </c>
      <c r="B152" t="s">
        <v>719</v>
      </c>
      <c r="C152" t="s">
        <v>582</v>
      </c>
      <c r="D152" t="s">
        <v>105</v>
      </c>
      <c r="E152">
        <v>49.99</v>
      </c>
      <c r="F152">
        <v>149.97</v>
      </c>
      <c r="G152">
        <v>68</v>
      </c>
      <c r="H152" t="s">
        <v>5065</v>
      </c>
      <c r="I152">
        <v>3.1666666666666665</v>
      </c>
      <c r="J152">
        <v>12</v>
      </c>
      <c r="K152">
        <v>37</v>
      </c>
    </row>
    <row r="153" spans="1:11" x14ac:dyDescent="0.2">
      <c r="A153" t="s">
        <v>646</v>
      </c>
      <c r="B153" t="s">
        <v>5071</v>
      </c>
      <c r="C153" t="s">
        <v>582</v>
      </c>
      <c r="D153" t="s">
        <v>105</v>
      </c>
      <c r="E153">
        <v>69.989999999999995</v>
      </c>
      <c r="F153">
        <v>419.93999999999994</v>
      </c>
      <c r="G153">
        <v>110</v>
      </c>
      <c r="H153" t="s">
        <v>5065</v>
      </c>
      <c r="I153">
        <v>5.333333333333333</v>
      </c>
      <c r="J153">
        <v>10</v>
      </c>
      <c r="K153">
        <v>56</v>
      </c>
    </row>
    <row r="154" spans="1:11" x14ac:dyDescent="0.2">
      <c r="A154" t="s">
        <v>788</v>
      </c>
      <c r="B154" t="s">
        <v>789</v>
      </c>
      <c r="C154" t="s">
        <v>582</v>
      </c>
      <c r="D154" t="s">
        <v>105</v>
      </c>
      <c r="E154">
        <v>39.99</v>
      </c>
      <c r="F154">
        <v>159.96</v>
      </c>
      <c r="G154">
        <v>117</v>
      </c>
      <c r="H154" t="s">
        <v>5065</v>
      </c>
      <c r="I154">
        <v>4.666666666666667</v>
      </c>
      <c r="J154">
        <v>12</v>
      </c>
      <c r="K154">
        <v>58</v>
      </c>
    </row>
    <row r="155" spans="1:11" x14ac:dyDescent="0.2">
      <c r="A155" t="s">
        <v>656</v>
      </c>
      <c r="B155" t="s">
        <v>657</v>
      </c>
      <c r="C155" t="s">
        <v>582</v>
      </c>
      <c r="D155" t="s">
        <v>105</v>
      </c>
      <c r="E155">
        <v>89.99</v>
      </c>
      <c r="F155">
        <v>539.93999999999994</v>
      </c>
      <c r="H155" t="s">
        <v>5065</v>
      </c>
      <c r="I155">
        <v>4.333333333333333</v>
      </c>
      <c r="J155">
        <v>9</v>
      </c>
      <c r="K155">
        <v>41</v>
      </c>
    </row>
    <row r="156" spans="1:11" x14ac:dyDescent="0.2">
      <c r="A156" t="s">
        <v>712</v>
      </c>
      <c r="B156" t="s">
        <v>713</v>
      </c>
      <c r="C156" t="s">
        <v>582</v>
      </c>
      <c r="D156" t="s">
        <v>105</v>
      </c>
      <c r="E156">
        <v>49.99</v>
      </c>
      <c r="F156">
        <v>0</v>
      </c>
      <c r="G156">
        <v>75</v>
      </c>
      <c r="H156" t="s">
        <v>5065</v>
      </c>
      <c r="I156">
        <v>3</v>
      </c>
      <c r="J156">
        <v>15</v>
      </c>
      <c r="K156">
        <v>44</v>
      </c>
    </row>
    <row r="157" spans="1:11" x14ac:dyDescent="0.2">
      <c r="A157" t="s">
        <v>694</v>
      </c>
      <c r="B157" t="s">
        <v>695</v>
      </c>
      <c r="C157" t="s">
        <v>582</v>
      </c>
      <c r="D157" t="s">
        <v>105</v>
      </c>
      <c r="E157">
        <v>44.99</v>
      </c>
      <c r="F157">
        <v>44.99</v>
      </c>
      <c r="G157">
        <v>258</v>
      </c>
      <c r="H157" t="s">
        <v>8</v>
      </c>
      <c r="I157">
        <v>3.5</v>
      </c>
      <c r="J157">
        <v>18</v>
      </c>
      <c r="K157">
        <v>62</v>
      </c>
    </row>
    <row r="158" spans="1:11" x14ac:dyDescent="0.2">
      <c r="A158" t="s">
        <v>4916</v>
      </c>
      <c r="B158" t="s">
        <v>4915</v>
      </c>
      <c r="C158" t="s">
        <v>4905</v>
      </c>
      <c r="D158" t="s">
        <v>105</v>
      </c>
      <c r="E158">
        <v>119.99</v>
      </c>
      <c r="F158">
        <v>239.98</v>
      </c>
      <c r="G158">
        <v>5</v>
      </c>
      <c r="H158" t="s">
        <v>8</v>
      </c>
      <c r="I158">
        <v>3</v>
      </c>
      <c r="J158">
        <v>22</v>
      </c>
      <c r="K158">
        <v>65</v>
      </c>
    </row>
    <row r="159" spans="1:11" x14ac:dyDescent="0.2">
      <c r="A159" t="s">
        <v>4006</v>
      </c>
      <c r="B159" t="s">
        <v>4007</v>
      </c>
      <c r="C159" t="s">
        <v>3929</v>
      </c>
      <c r="D159" t="s">
        <v>105</v>
      </c>
      <c r="E159">
        <v>64.989999999999995</v>
      </c>
      <c r="F159">
        <v>129.97999999999999</v>
      </c>
      <c r="H159" t="s">
        <v>8</v>
      </c>
      <c r="I159">
        <v>3.1666666666666665</v>
      </c>
      <c r="J159">
        <v>2</v>
      </c>
      <c r="K159">
        <v>7</v>
      </c>
    </row>
    <row r="160" spans="1:11" x14ac:dyDescent="0.2">
      <c r="A160" t="s">
        <v>3138</v>
      </c>
      <c r="B160" t="s">
        <v>3139</v>
      </c>
      <c r="C160" t="s">
        <v>3133</v>
      </c>
      <c r="D160" t="s">
        <v>98</v>
      </c>
      <c r="E160">
        <v>119.99</v>
      </c>
      <c r="F160">
        <v>0</v>
      </c>
      <c r="H160" t="s">
        <v>73</v>
      </c>
      <c r="I160">
        <v>1</v>
      </c>
      <c r="J160">
        <v>0</v>
      </c>
      <c r="K160">
        <v>0</v>
      </c>
    </row>
    <row r="161" spans="1:11" x14ac:dyDescent="0.2">
      <c r="A161" t="s">
        <v>764</v>
      </c>
      <c r="B161" t="s">
        <v>765</v>
      </c>
      <c r="C161" t="s">
        <v>582</v>
      </c>
      <c r="D161" t="s">
        <v>105</v>
      </c>
      <c r="E161">
        <v>59.99</v>
      </c>
      <c r="F161">
        <v>59.99</v>
      </c>
      <c r="H161" t="s">
        <v>73</v>
      </c>
      <c r="I161">
        <v>1.8333333333333333</v>
      </c>
      <c r="J161">
        <v>53</v>
      </c>
      <c r="K161">
        <v>97</v>
      </c>
    </row>
    <row r="162" spans="1:11" x14ac:dyDescent="0.2">
      <c r="A162" t="s">
        <v>774</v>
      </c>
      <c r="B162" t="s">
        <v>775</v>
      </c>
      <c r="C162" t="s">
        <v>582</v>
      </c>
      <c r="D162" t="s">
        <v>105</v>
      </c>
      <c r="E162">
        <v>99.99</v>
      </c>
      <c r="F162">
        <v>199.98</v>
      </c>
      <c r="G162">
        <v>1</v>
      </c>
      <c r="H162" t="s">
        <v>73</v>
      </c>
      <c r="I162">
        <v>3.1666666666666665</v>
      </c>
      <c r="J162">
        <v>29</v>
      </c>
      <c r="K162">
        <v>92</v>
      </c>
    </row>
    <row r="163" spans="1:11" x14ac:dyDescent="0.2">
      <c r="A163" t="s">
        <v>4161</v>
      </c>
      <c r="B163" t="s">
        <v>4162</v>
      </c>
      <c r="C163" t="s">
        <v>3929</v>
      </c>
      <c r="D163" t="s">
        <v>105</v>
      </c>
      <c r="E163">
        <v>139.99</v>
      </c>
      <c r="F163">
        <v>979.93000000000006</v>
      </c>
      <c r="H163" t="s">
        <v>73</v>
      </c>
      <c r="I163">
        <v>4.666666666666667</v>
      </c>
      <c r="J163">
        <v>29</v>
      </c>
      <c r="K163">
        <v>135</v>
      </c>
    </row>
    <row r="164" spans="1:11" x14ac:dyDescent="0.2">
      <c r="A164" t="s">
        <v>4159</v>
      </c>
      <c r="B164" t="s">
        <v>4160</v>
      </c>
      <c r="C164" t="s">
        <v>3929</v>
      </c>
      <c r="D164" t="s">
        <v>105</v>
      </c>
      <c r="E164">
        <v>39.99</v>
      </c>
      <c r="F164">
        <v>0</v>
      </c>
      <c r="H164" t="s">
        <v>73</v>
      </c>
      <c r="I164">
        <v>1.3333333333333333</v>
      </c>
      <c r="J164">
        <v>38</v>
      </c>
      <c r="K164">
        <v>50</v>
      </c>
    </row>
    <row r="165" spans="1:11" x14ac:dyDescent="0.2">
      <c r="A165" t="s">
        <v>103</v>
      </c>
      <c r="B165" t="s">
        <v>104</v>
      </c>
      <c r="C165" t="s">
        <v>95</v>
      </c>
      <c r="D165" t="s">
        <v>105</v>
      </c>
      <c r="E165">
        <v>29.99</v>
      </c>
      <c r="F165">
        <v>209.92999999999998</v>
      </c>
      <c r="G165">
        <v>18</v>
      </c>
      <c r="H165" t="s">
        <v>73</v>
      </c>
      <c r="I165">
        <v>9.1666666666666661</v>
      </c>
      <c r="J165">
        <v>3</v>
      </c>
      <c r="K165">
        <v>26</v>
      </c>
    </row>
    <row r="166" spans="1:11" x14ac:dyDescent="0.2">
      <c r="A166" t="s">
        <v>790</v>
      </c>
      <c r="B166" t="s">
        <v>791</v>
      </c>
      <c r="C166" t="s">
        <v>582</v>
      </c>
      <c r="D166" t="s">
        <v>105</v>
      </c>
      <c r="E166">
        <v>64.989999999999995</v>
      </c>
      <c r="F166">
        <v>0</v>
      </c>
      <c r="G166">
        <v>180</v>
      </c>
      <c r="H166" t="s">
        <v>73</v>
      </c>
      <c r="I166">
        <v>2.3333333333333335</v>
      </c>
      <c r="J166">
        <v>35</v>
      </c>
      <c r="K166">
        <v>81</v>
      </c>
    </row>
    <row r="167" spans="1:11" x14ac:dyDescent="0.2">
      <c r="A167" t="s">
        <v>3400</v>
      </c>
      <c r="B167" t="s">
        <v>3401</v>
      </c>
      <c r="C167" t="s">
        <v>3349</v>
      </c>
      <c r="D167" t="s">
        <v>105</v>
      </c>
      <c r="E167">
        <v>64.989999999999995</v>
      </c>
      <c r="F167">
        <v>779.87999999999988</v>
      </c>
      <c r="H167" t="s">
        <v>73</v>
      </c>
      <c r="I167">
        <v>3.8333333333333335</v>
      </c>
      <c r="J167">
        <v>11</v>
      </c>
      <c r="K167">
        <v>43</v>
      </c>
    </row>
    <row r="168" spans="1:11" x14ac:dyDescent="0.2">
      <c r="A168" t="s">
        <v>3902</v>
      </c>
      <c r="B168" t="s">
        <v>5078</v>
      </c>
      <c r="C168" t="s">
        <v>3876</v>
      </c>
      <c r="D168" t="s">
        <v>105</v>
      </c>
      <c r="E168">
        <v>69.989999999999995</v>
      </c>
      <c r="F168">
        <v>69.989999999999995</v>
      </c>
      <c r="G168">
        <v>208</v>
      </c>
      <c r="H168" t="s">
        <v>73</v>
      </c>
      <c r="I168">
        <v>4.166666666666667</v>
      </c>
      <c r="J168">
        <v>12</v>
      </c>
      <c r="K168">
        <v>52</v>
      </c>
    </row>
    <row r="169" spans="1:11" x14ac:dyDescent="0.2">
      <c r="A169" t="s">
        <v>3930</v>
      </c>
      <c r="B169" t="s">
        <v>3931</v>
      </c>
      <c r="C169" t="s">
        <v>3929</v>
      </c>
      <c r="D169" t="s">
        <v>105</v>
      </c>
      <c r="E169">
        <v>139.99</v>
      </c>
      <c r="F169">
        <v>0</v>
      </c>
      <c r="G169">
        <v>42</v>
      </c>
      <c r="H169" t="s">
        <v>73</v>
      </c>
      <c r="I169">
        <v>2.1666666666666665</v>
      </c>
      <c r="J169">
        <v>32</v>
      </c>
      <c r="K169">
        <v>69</v>
      </c>
    </row>
    <row r="170" spans="1:11" x14ac:dyDescent="0.2">
      <c r="A170" t="s">
        <v>3934</v>
      </c>
      <c r="B170" t="s">
        <v>3935</v>
      </c>
      <c r="C170" t="s">
        <v>3929</v>
      </c>
      <c r="D170" t="s">
        <v>105</v>
      </c>
      <c r="E170">
        <v>159.99</v>
      </c>
      <c r="F170">
        <v>959.94</v>
      </c>
      <c r="G170">
        <v>62</v>
      </c>
      <c r="H170" t="s">
        <v>73</v>
      </c>
      <c r="I170">
        <v>4</v>
      </c>
      <c r="J170">
        <v>36</v>
      </c>
      <c r="K170">
        <v>142</v>
      </c>
    </row>
    <row r="171" spans="1:11" x14ac:dyDescent="0.2">
      <c r="A171" t="s">
        <v>3352</v>
      </c>
      <c r="B171" t="s">
        <v>3353</v>
      </c>
      <c r="C171" t="s">
        <v>3349</v>
      </c>
      <c r="D171" t="s">
        <v>105</v>
      </c>
      <c r="E171">
        <v>179.99</v>
      </c>
      <c r="F171">
        <v>0</v>
      </c>
      <c r="H171" t="s">
        <v>72</v>
      </c>
      <c r="I171">
        <v>2.1666666666666665</v>
      </c>
      <c r="J171">
        <v>26</v>
      </c>
      <c r="K171">
        <v>57</v>
      </c>
    </row>
    <row r="172" spans="1:11" x14ac:dyDescent="0.2">
      <c r="A172" t="s">
        <v>4928</v>
      </c>
      <c r="B172" t="s">
        <v>4927</v>
      </c>
      <c r="C172" t="s">
        <v>4905</v>
      </c>
      <c r="D172" t="s">
        <v>105</v>
      </c>
      <c r="E172">
        <v>819.99</v>
      </c>
      <c r="F172">
        <v>819.99</v>
      </c>
      <c r="H172" t="s">
        <v>72</v>
      </c>
      <c r="I172">
        <v>2.8333333333333335</v>
      </c>
      <c r="J172">
        <v>5</v>
      </c>
      <c r="K172">
        <v>15</v>
      </c>
    </row>
    <row r="173" spans="1:11" x14ac:dyDescent="0.2">
      <c r="A173" t="s">
        <v>5079</v>
      </c>
      <c r="B173" t="s">
        <v>551</v>
      </c>
      <c r="C173" t="s">
        <v>436</v>
      </c>
      <c r="D173" t="s">
        <v>105</v>
      </c>
      <c r="E173">
        <v>59.9</v>
      </c>
      <c r="F173">
        <v>419.3</v>
      </c>
      <c r="H173" t="s">
        <v>5065</v>
      </c>
      <c r="I173">
        <v>2.3333333333333335</v>
      </c>
      <c r="J173">
        <v>32</v>
      </c>
      <c r="K173">
        <v>74</v>
      </c>
    </row>
    <row r="174" spans="1:11" x14ac:dyDescent="0.2">
      <c r="A174" t="s">
        <v>4953</v>
      </c>
      <c r="B174" t="s">
        <v>4952</v>
      </c>
      <c r="C174" t="s">
        <v>4905</v>
      </c>
      <c r="D174" t="s">
        <v>105</v>
      </c>
      <c r="E174">
        <v>669</v>
      </c>
      <c r="F174">
        <v>0</v>
      </c>
      <c r="G174">
        <v>13</v>
      </c>
      <c r="H174" t="s">
        <v>5065</v>
      </c>
      <c r="I174">
        <v>1</v>
      </c>
      <c r="J174">
        <v>50</v>
      </c>
      <c r="K174">
        <v>50</v>
      </c>
    </row>
    <row r="175" spans="1:11" x14ac:dyDescent="0.2">
      <c r="A175" t="s">
        <v>4553</v>
      </c>
      <c r="B175" t="s">
        <v>4554</v>
      </c>
      <c r="C175" t="s">
        <v>4518</v>
      </c>
      <c r="D175" t="s">
        <v>105</v>
      </c>
      <c r="E175">
        <v>99.99</v>
      </c>
      <c r="F175">
        <v>99.99</v>
      </c>
      <c r="G175">
        <v>68</v>
      </c>
      <c r="H175" t="s">
        <v>5065</v>
      </c>
      <c r="I175">
        <v>1.5</v>
      </c>
      <c r="J175">
        <v>25</v>
      </c>
      <c r="K175">
        <v>38</v>
      </c>
    </row>
    <row r="176" spans="1:11" x14ac:dyDescent="0.2">
      <c r="A176" t="s">
        <v>700</v>
      </c>
      <c r="B176" t="s">
        <v>701</v>
      </c>
      <c r="C176" t="s">
        <v>582</v>
      </c>
      <c r="D176" t="s">
        <v>105</v>
      </c>
      <c r="E176">
        <v>59.99</v>
      </c>
      <c r="F176">
        <v>59.99</v>
      </c>
      <c r="G176">
        <v>61</v>
      </c>
      <c r="H176" t="s">
        <v>5065</v>
      </c>
      <c r="I176">
        <v>5.5</v>
      </c>
      <c r="J176">
        <v>8</v>
      </c>
      <c r="K176">
        <v>42</v>
      </c>
    </row>
    <row r="177" spans="1:11" x14ac:dyDescent="0.2">
      <c r="A177" t="s">
        <v>605</v>
      </c>
      <c r="B177" t="s">
        <v>606</v>
      </c>
      <c r="C177" t="s">
        <v>582</v>
      </c>
      <c r="D177" t="s">
        <v>105</v>
      </c>
      <c r="E177">
        <v>199.99</v>
      </c>
      <c r="F177">
        <v>999.95</v>
      </c>
      <c r="G177">
        <v>16</v>
      </c>
      <c r="H177" t="s">
        <v>5065</v>
      </c>
      <c r="I177">
        <v>2</v>
      </c>
      <c r="J177">
        <v>19</v>
      </c>
      <c r="K177">
        <v>38</v>
      </c>
    </row>
    <row r="178" spans="1:11" x14ac:dyDescent="0.2">
      <c r="A178" t="s">
        <v>722</v>
      </c>
      <c r="B178" t="s">
        <v>723</v>
      </c>
      <c r="C178" t="s">
        <v>582</v>
      </c>
      <c r="D178" t="s">
        <v>105</v>
      </c>
      <c r="E178">
        <v>59.99</v>
      </c>
      <c r="F178">
        <v>239.96</v>
      </c>
      <c r="G178">
        <v>38</v>
      </c>
      <c r="H178" t="s">
        <v>5065</v>
      </c>
      <c r="I178">
        <v>4.833333333333333</v>
      </c>
      <c r="J178">
        <v>7</v>
      </c>
      <c r="K178">
        <v>36</v>
      </c>
    </row>
    <row r="179" spans="1:11" x14ac:dyDescent="0.2">
      <c r="A179" t="s">
        <v>3956</v>
      </c>
      <c r="B179" t="s">
        <v>3957</v>
      </c>
      <c r="C179" t="s">
        <v>3929</v>
      </c>
      <c r="D179" t="s">
        <v>105</v>
      </c>
      <c r="E179">
        <v>129.99</v>
      </c>
      <c r="F179">
        <v>0</v>
      </c>
      <c r="G179">
        <v>65</v>
      </c>
      <c r="H179" t="s">
        <v>5065</v>
      </c>
      <c r="I179">
        <v>2</v>
      </c>
      <c r="J179">
        <v>21</v>
      </c>
      <c r="K179">
        <v>42</v>
      </c>
    </row>
    <row r="180" spans="1:11" x14ac:dyDescent="0.2">
      <c r="A180" t="s">
        <v>3908</v>
      </c>
      <c r="B180" t="s">
        <v>3909</v>
      </c>
      <c r="C180" t="s">
        <v>3876</v>
      </c>
      <c r="D180" t="s">
        <v>105</v>
      </c>
      <c r="E180">
        <v>69.989999999999995</v>
      </c>
      <c r="F180">
        <v>0</v>
      </c>
      <c r="G180">
        <v>81</v>
      </c>
      <c r="H180" t="s">
        <v>5065</v>
      </c>
      <c r="I180">
        <v>2.1666666666666665</v>
      </c>
      <c r="J180">
        <v>31</v>
      </c>
      <c r="K180">
        <v>67</v>
      </c>
    </row>
    <row r="181" spans="1:11" x14ac:dyDescent="0.2">
      <c r="A181" t="s">
        <v>3910</v>
      </c>
      <c r="B181" t="s">
        <v>3911</v>
      </c>
      <c r="C181" t="s">
        <v>3876</v>
      </c>
      <c r="D181" t="s">
        <v>105</v>
      </c>
      <c r="E181">
        <v>69.989999999999995</v>
      </c>
      <c r="F181">
        <v>69.989999999999995</v>
      </c>
      <c r="G181">
        <v>164</v>
      </c>
      <c r="H181" t="s">
        <v>5065</v>
      </c>
      <c r="I181">
        <v>2.1666666666666665</v>
      </c>
      <c r="J181">
        <v>20</v>
      </c>
      <c r="K181">
        <v>43</v>
      </c>
    </row>
    <row r="182" spans="1:11" x14ac:dyDescent="0.2">
      <c r="A182" t="s">
        <v>3910</v>
      </c>
      <c r="B182" t="s">
        <v>3911</v>
      </c>
      <c r="C182" t="s">
        <v>3876</v>
      </c>
      <c r="D182" t="s">
        <v>105</v>
      </c>
      <c r="E182">
        <v>69.989999999999995</v>
      </c>
      <c r="F182">
        <v>69.989999999999995</v>
      </c>
      <c r="G182">
        <v>164</v>
      </c>
      <c r="H182" t="s">
        <v>5065</v>
      </c>
      <c r="I182">
        <v>2.1666666666666665</v>
      </c>
      <c r="J182">
        <v>20</v>
      </c>
      <c r="K182">
        <v>43</v>
      </c>
    </row>
    <row r="183" spans="1:11" x14ac:dyDescent="0.2">
      <c r="A183" t="s">
        <v>3912</v>
      </c>
      <c r="B183" t="s">
        <v>3913</v>
      </c>
      <c r="C183" t="s">
        <v>3876</v>
      </c>
      <c r="D183" t="s">
        <v>105</v>
      </c>
      <c r="E183">
        <v>69.989999999999995</v>
      </c>
      <c r="F183">
        <v>139.97999999999999</v>
      </c>
      <c r="G183">
        <v>126</v>
      </c>
      <c r="H183" t="s">
        <v>5065</v>
      </c>
      <c r="I183">
        <v>2</v>
      </c>
      <c r="J183">
        <v>20</v>
      </c>
      <c r="K183">
        <v>40</v>
      </c>
    </row>
    <row r="184" spans="1:11" x14ac:dyDescent="0.2">
      <c r="A184" t="s">
        <v>609</v>
      </c>
      <c r="B184" t="s">
        <v>610</v>
      </c>
      <c r="C184" t="s">
        <v>582</v>
      </c>
      <c r="D184" t="s">
        <v>105</v>
      </c>
      <c r="E184">
        <v>149.99</v>
      </c>
      <c r="F184">
        <v>149.99</v>
      </c>
      <c r="G184">
        <v>30</v>
      </c>
      <c r="H184" t="s">
        <v>5065</v>
      </c>
      <c r="I184">
        <v>2.5</v>
      </c>
      <c r="J184">
        <v>16</v>
      </c>
      <c r="K184">
        <v>39</v>
      </c>
    </row>
    <row r="185" spans="1:11" x14ac:dyDescent="0.2">
      <c r="A185" t="s">
        <v>692</v>
      </c>
      <c r="B185" t="s">
        <v>5080</v>
      </c>
      <c r="C185" t="s">
        <v>582</v>
      </c>
      <c r="D185" t="s">
        <v>105</v>
      </c>
      <c r="E185">
        <v>44.99</v>
      </c>
      <c r="F185">
        <v>134.97</v>
      </c>
      <c r="G185">
        <v>26</v>
      </c>
      <c r="H185" t="s">
        <v>5065</v>
      </c>
      <c r="I185">
        <v>3.1666666666666665</v>
      </c>
      <c r="J185">
        <v>12</v>
      </c>
      <c r="K185">
        <v>39</v>
      </c>
    </row>
    <row r="186" spans="1:11" x14ac:dyDescent="0.2">
      <c r="A186" t="s">
        <v>613</v>
      </c>
      <c r="B186" t="s">
        <v>614</v>
      </c>
      <c r="C186" t="s">
        <v>582</v>
      </c>
      <c r="D186" t="s">
        <v>105</v>
      </c>
      <c r="E186">
        <v>119.99</v>
      </c>
      <c r="F186">
        <v>599.94999999999993</v>
      </c>
      <c r="G186">
        <v>51</v>
      </c>
      <c r="H186" t="s">
        <v>8</v>
      </c>
      <c r="I186">
        <v>4.333333333333333</v>
      </c>
      <c r="J186">
        <v>18</v>
      </c>
      <c r="K186">
        <v>78</v>
      </c>
    </row>
    <row r="187" spans="1:11" x14ac:dyDescent="0.2">
      <c r="A187" t="s">
        <v>790</v>
      </c>
      <c r="B187" t="s">
        <v>791</v>
      </c>
      <c r="C187" t="s">
        <v>582</v>
      </c>
      <c r="D187" t="s">
        <v>105</v>
      </c>
      <c r="E187">
        <v>64.989999999999995</v>
      </c>
      <c r="F187">
        <v>129.97999999999999</v>
      </c>
      <c r="G187">
        <v>180</v>
      </c>
      <c r="H187" t="s">
        <v>8</v>
      </c>
      <c r="I187">
        <v>5.833333333333333</v>
      </c>
      <c r="J187">
        <v>7</v>
      </c>
      <c r="K187">
        <v>41</v>
      </c>
    </row>
    <row r="188" spans="1:11" x14ac:dyDescent="0.2">
      <c r="A188" t="s">
        <v>704</v>
      </c>
      <c r="B188" t="s">
        <v>705</v>
      </c>
      <c r="C188" t="s">
        <v>582</v>
      </c>
      <c r="D188" t="s">
        <v>105</v>
      </c>
      <c r="E188">
        <v>39.99</v>
      </c>
      <c r="F188">
        <v>39.99</v>
      </c>
      <c r="G188">
        <v>116</v>
      </c>
      <c r="H188" t="s">
        <v>8</v>
      </c>
      <c r="I188">
        <v>3.1666666666666665</v>
      </c>
      <c r="J188">
        <v>21</v>
      </c>
      <c r="K188">
        <v>66</v>
      </c>
    </row>
    <row r="189" spans="1:11" x14ac:dyDescent="0.2">
      <c r="A189" t="s">
        <v>702</v>
      </c>
      <c r="B189" t="s">
        <v>703</v>
      </c>
      <c r="C189" t="s">
        <v>582</v>
      </c>
      <c r="D189" t="s">
        <v>105</v>
      </c>
      <c r="E189">
        <v>179.99</v>
      </c>
      <c r="F189">
        <v>179.99</v>
      </c>
      <c r="G189">
        <v>26</v>
      </c>
      <c r="H189" t="s">
        <v>8</v>
      </c>
      <c r="I189">
        <v>2</v>
      </c>
      <c r="J189">
        <v>29</v>
      </c>
      <c r="K189">
        <v>58</v>
      </c>
    </row>
    <row r="190" spans="1:11" x14ac:dyDescent="0.2">
      <c r="A190" t="s">
        <v>4117</v>
      </c>
      <c r="B190" t="s">
        <v>4118</v>
      </c>
      <c r="C190" t="s">
        <v>3929</v>
      </c>
      <c r="D190" t="s">
        <v>105</v>
      </c>
      <c r="E190">
        <v>34.99</v>
      </c>
      <c r="F190">
        <v>34.99</v>
      </c>
      <c r="G190">
        <v>131</v>
      </c>
      <c r="H190" t="s">
        <v>73</v>
      </c>
      <c r="I190">
        <v>1.6666666666666667</v>
      </c>
      <c r="J190">
        <v>44</v>
      </c>
      <c r="K190">
        <v>73</v>
      </c>
    </row>
    <row r="191" spans="1:11" x14ac:dyDescent="0.2">
      <c r="A191" t="s">
        <v>766</v>
      </c>
      <c r="B191" t="s">
        <v>767</v>
      </c>
      <c r="C191" t="s">
        <v>582</v>
      </c>
      <c r="D191" t="s">
        <v>105</v>
      </c>
      <c r="E191">
        <v>59.99</v>
      </c>
      <c r="F191">
        <v>0</v>
      </c>
      <c r="H191" t="s">
        <v>73</v>
      </c>
      <c r="I191">
        <v>3</v>
      </c>
      <c r="J191">
        <v>64</v>
      </c>
      <c r="K191">
        <v>191</v>
      </c>
    </row>
    <row r="192" spans="1:11" x14ac:dyDescent="0.2">
      <c r="A192" t="s">
        <v>646</v>
      </c>
      <c r="B192" t="s">
        <v>5071</v>
      </c>
      <c r="C192" t="s">
        <v>582</v>
      </c>
      <c r="D192" t="s">
        <v>105</v>
      </c>
      <c r="E192">
        <v>69.989999999999995</v>
      </c>
      <c r="F192">
        <v>139.97999999999999</v>
      </c>
      <c r="G192">
        <v>110</v>
      </c>
      <c r="H192" t="s">
        <v>73</v>
      </c>
      <c r="I192">
        <v>1.3333333333333333</v>
      </c>
      <c r="J192">
        <v>69</v>
      </c>
      <c r="K192">
        <v>92</v>
      </c>
    </row>
    <row r="193" spans="1:11" x14ac:dyDescent="0.2">
      <c r="A193" t="s">
        <v>4109</v>
      </c>
      <c r="B193" t="s">
        <v>4110</v>
      </c>
      <c r="C193" t="s">
        <v>3929</v>
      </c>
      <c r="D193" t="s">
        <v>138</v>
      </c>
      <c r="E193">
        <v>64.989999999999995</v>
      </c>
      <c r="F193">
        <v>0</v>
      </c>
      <c r="H193" t="s">
        <v>73</v>
      </c>
      <c r="I193">
        <v>1</v>
      </c>
      <c r="J193">
        <v>69</v>
      </c>
      <c r="K193">
        <v>69</v>
      </c>
    </row>
    <row r="194" spans="1:11" x14ac:dyDescent="0.2">
      <c r="A194" t="s">
        <v>720</v>
      </c>
      <c r="B194" t="s">
        <v>721</v>
      </c>
      <c r="C194" t="s">
        <v>582</v>
      </c>
      <c r="D194" t="s">
        <v>105</v>
      </c>
      <c r="E194">
        <v>69.989999999999995</v>
      </c>
      <c r="F194">
        <v>69.989999999999995</v>
      </c>
      <c r="G194">
        <v>26</v>
      </c>
      <c r="H194" t="s">
        <v>73</v>
      </c>
      <c r="I194">
        <v>2.5</v>
      </c>
      <c r="J194">
        <v>47</v>
      </c>
      <c r="K194">
        <v>118</v>
      </c>
    </row>
    <row r="195" spans="1:11" x14ac:dyDescent="0.2">
      <c r="A195" t="s">
        <v>4127</v>
      </c>
      <c r="B195" t="s">
        <v>4128</v>
      </c>
      <c r="C195" t="s">
        <v>3929</v>
      </c>
      <c r="D195" t="s">
        <v>138</v>
      </c>
      <c r="E195">
        <v>259.99</v>
      </c>
      <c r="F195">
        <v>0</v>
      </c>
      <c r="G195">
        <v>23</v>
      </c>
      <c r="H195" t="s">
        <v>73</v>
      </c>
      <c r="I195">
        <v>0.83333333333333337</v>
      </c>
      <c r="J195">
        <v>91</v>
      </c>
      <c r="K195">
        <v>76</v>
      </c>
    </row>
    <row r="196" spans="1:11" x14ac:dyDescent="0.2">
      <c r="A196" t="s">
        <v>4010</v>
      </c>
      <c r="B196" t="s">
        <v>4011</v>
      </c>
      <c r="C196" t="s">
        <v>3929</v>
      </c>
      <c r="D196" t="s">
        <v>105</v>
      </c>
      <c r="E196">
        <v>89.99</v>
      </c>
      <c r="F196">
        <v>179.98</v>
      </c>
      <c r="G196">
        <v>10</v>
      </c>
      <c r="H196" t="s">
        <v>73</v>
      </c>
      <c r="I196">
        <v>2</v>
      </c>
      <c r="J196">
        <v>20</v>
      </c>
      <c r="K196">
        <v>39</v>
      </c>
    </row>
    <row r="197" spans="1:11" x14ac:dyDescent="0.2">
      <c r="A197" t="s">
        <v>5081</v>
      </c>
      <c r="B197" t="s">
        <v>5082</v>
      </c>
      <c r="C197" t="s">
        <v>3929</v>
      </c>
      <c r="D197" t="s">
        <v>138</v>
      </c>
      <c r="E197">
        <v>59.99</v>
      </c>
      <c r="F197">
        <v>239.96</v>
      </c>
      <c r="H197" t="s">
        <v>73</v>
      </c>
      <c r="I197">
        <v>3</v>
      </c>
      <c r="J197">
        <v>45</v>
      </c>
      <c r="K197">
        <v>134</v>
      </c>
    </row>
    <row r="198" spans="1:11" x14ac:dyDescent="0.2">
      <c r="A198" t="s">
        <v>786</v>
      </c>
      <c r="B198" t="s">
        <v>787</v>
      </c>
      <c r="C198" t="s">
        <v>582</v>
      </c>
      <c r="D198" t="s">
        <v>105</v>
      </c>
      <c r="E198">
        <v>44.99</v>
      </c>
      <c r="F198">
        <v>314.93</v>
      </c>
      <c r="G198">
        <v>445</v>
      </c>
      <c r="H198" t="s">
        <v>73</v>
      </c>
      <c r="I198">
        <v>2.6666666666666665</v>
      </c>
      <c r="J198">
        <v>42</v>
      </c>
      <c r="K198">
        <v>112</v>
      </c>
    </row>
    <row r="199" spans="1:11" x14ac:dyDescent="0.2">
      <c r="A199" t="s">
        <v>291</v>
      </c>
      <c r="B199" t="s">
        <v>292</v>
      </c>
      <c r="C199" t="s">
        <v>288</v>
      </c>
      <c r="D199" t="s">
        <v>105</v>
      </c>
      <c r="E199">
        <v>199.99</v>
      </c>
      <c r="F199">
        <v>0</v>
      </c>
      <c r="G199">
        <v>51</v>
      </c>
      <c r="H199" t="s">
        <v>73</v>
      </c>
      <c r="I199">
        <v>0.83333333333333337</v>
      </c>
      <c r="J199">
        <v>8</v>
      </c>
      <c r="K199">
        <v>7</v>
      </c>
    </row>
    <row r="200" spans="1:11" x14ac:dyDescent="0.2">
      <c r="A200" t="s">
        <v>686</v>
      </c>
      <c r="B200" t="s">
        <v>687</v>
      </c>
      <c r="C200" t="s">
        <v>582</v>
      </c>
      <c r="D200" t="s">
        <v>105</v>
      </c>
      <c r="E200">
        <v>59.99</v>
      </c>
      <c r="F200">
        <v>299.95</v>
      </c>
      <c r="G200">
        <v>41</v>
      </c>
      <c r="H200" t="s">
        <v>73</v>
      </c>
      <c r="I200">
        <v>3.3333333333333335</v>
      </c>
      <c r="J200">
        <v>21</v>
      </c>
      <c r="K200">
        <v>71</v>
      </c>
    </row>
    <row r="201" spans="1:11" x14ac:dyDescent="0.2">
      <c r="A201" t="s">
        <v>4083</v>
      </c>
      <c r="B201" t="s">
        <v>4084</v>
      </c>
      <c r="C201" t="s">
        <v>3929</v>
      </c>
      <c r="D201" t="s">
        <v>105</v>
      </c>
      <c r="E201">
        <v>74.989999999999995</v>
      </c>
      <c r="F201">
        <v>149.97999999999999</v>
      </c>
      <c r="G201">
        <v>91</v>
      </c>
      <c r="H201" t="s">
        <v>73</v>
      </c>
      <c r="I201">
        <v>2.8333333333333335</v>
      </c>
      <c r="J201">
        <v>41</v>
      </c>
      <c r="K201">
        <v>117</v>
      </c>
    </row>
    <row r="202" spans="1:11" x14ac:dyDescent="0.2">
      <c r="A202" t="s">
        <v>4095</v>
      </c>
      <c r="B202" t="s">
        <v>4096</v>
      </c>
      <c r="C202" t="s">
        <v>3929</v>
      </c>
      <c r="D202" t="s">
        <v>98</v>
      </c>
      <c r="E202">
        <v>99.99</v>
      </c>
      <c r="F202">
        <v>99.99</v>
      </c>
      <c r="H202" t="s">
        <v>73</v>
      </c>
      <c r="I202">
        <v>1.6666666666666667</v>
      </c>
      <c r="J202">
        <v>12</v>
      </c>
      <c r="K202">
        <v>20</v>
      </c>
    </row>
    <row r="203" spans="1:11" x14ac:dyDescent="0.2">
      <c r="A203" t="s">
        <v>3946</v>
      </c>
      <c r="B203" t="s">
        <v>3947</v>
      </c>
      <c r="C203" t="s">
        <v>3929</v>
      </c>
      <c r="D203" t="s">
        <v>105</v>
      </c>
      <c r="E203">
        <v>269.99</v>
      </c>
      <c r="F203">
        <v>1079.96</v>
      </c>
      <c r="G203">
        <v>23</v>
      </c>
      <c r="H203" t="s">
        <v>73</v>
      </c>
      <c r="I203">
        <v>3.1666666666666665</v>
      </c>
      <c r="J203">
        <v>28</v>
      </c>
      <c r="K203">
        <v>88</v>
      </c>
    </row>
    <row r="204" spans="1:11" x14ac:dyDescent="0.2">
      <c r="A204" t="s">
        <v>807</v>
      </c>
      <c r="B204" t="s">
        <v>808</v>
      </c>
      <c r="C204" t="s">
        <v>582</v>
      </c>
      <c r="D204" t="s">
        <v>98</v>
      </c>
      <c r="E204">
        <v>59.99</v>
      </c>
      <c r="F204">
        <v>59.99</v>
      </c>
      <c r="H204" t="s">
        <v>73</v>
      </c>
      <c r="I204">
        <v>0.83333333333333337</v>
      </c>
      <c r="J204">
        <v>16</v>
      </c>
      <c r="K204">
        <v>13</v>
      </c>
    </row>
    <row r="205" spans="1:11" x14ac:dyDescent="0.2">
      <c r="A205" t="s">
        <v>3404</v>
      </c>
      <c r="B205" t="s">
        <v>3405</v>
      </c>
      <c r="C205" t="s">
        <v>3349</v>
      </c>
      <c r="D205" t="s">
        <v>105</v>
      </c>
      <c r="E205">
        <v>199.99</v>
      </c>
      <c r="F205">
        <v>199.99</v>
      </c>
      <c r="H205" t="s">
        <v>73</v>
      </c>
      <c r="I205">
        <v>2</v>
      </c>
      <c r="J205">
        <v>0</v>
      </c>
      <c r="K205">
        <v>0</v>
      </c>
    </row>
    <row r="206" spans="1:11" x14ac:dyDescent="0.2">
      <c r="A206" t="s">
        <v>5083</v>
      </c>
      <c r="B206" t="s">
        <v>5084</v>
      </c>
      <c r="C206" t="s">
        <v>3929</v>
      </c>
      <c r="D206" t="s">
        <v>138</v>
      </c>
      <c r="E206">
        <v>64.989999999999995</v>
      </c>
      <c r="F206">
        <v>259.95999999999998</v>
      </c>
      <c r="H206" t="s">
        <v>73</v>
      </c>
      <c r="I206">
        <v>2.6666666666666665</v>
      </c>
      <c r="J206">
        <v>14</v>
      </c>
      <c r="K206">
        <v>36</v>
      </c>
    </row>
    <row r="207" spans="1:11" x14ac:dyDescent="0.2">
      <c r="A207" t="s">
        <v>3956</v>
      </c>
      <c r="B207" t="s">
        <v>3957</v>
      </c>
      <c r="C207" t="s">
        <v>3929</v>
      </c>
      <c r="D207" t="s">
        <v>105</v>
      </c>
      <c r="E207">
        <v>129.99</v>
      </c>
      <c r="F207">
        <v>519.96</v>
      </c>
      <c r="G207">
        <v>65</v>
      </c>
      <c r="H207" t="s">
        <v>73</v>
      </c>
      <c r="I207">
        <v>3.5</v>
      </c>
      <c r="J207">
        <v>35</v>
      </c>
      <c r="K207">
        <v>122</v>
      </c>
    </row>
    <row r="208" spans="1:11" x14ac:dyDescent="0.2">
      <c r="A208" t="s">
        <v>3904</v>
      </c>
      <c r="B208" t="s">
        <v>3905</v>
      </c>
      <c r="C208" t="s">
        <v>3876</v>
      </c>
      <c r="D208" t="s">
        <v>105</v>
      </c>
      <c r="H208" t="s">
        <v>73</v>
      </c>
      <c r="I208">
        <v>3.3333333333333335</v>
      </c>
      <c r="J208">
        <v>8</v>
      </c>
      <c r="K208">
        <v>28</v>
      </c>
    </row>
    <row r="209" spans="1:11" x14ac:dyDescent="0.2">
      <c r="A209" t="s">
        <v>3906</v>
      </c>
      <c r="B209" t="s">
        <v>3907</v>
      </c>
      <c r="C209" t="s">
        <v>3876</v>
      </c>
      <c r="D209" t="s">
        <v>105</v>
      </c>
      <c r="E209">
        <v>69.989999999999995</v>
      </c>
      <c r="F209">
        <v>349.95</v>
      </c>
      <c r="G209">
        <v>190</v>
      </c>
      <c r="H209" t="s">
        <v>73</v>
      </c>
      <c r="I209">
        <v>5.166666666666667</v>
      </c>
      <c r="J209">
        <v>2</v>
      </c>
      <c r="K209">
        <v>12</v>
      </c>
    </row>
    <row r="210" spans="1:11" x14ac:dyDescent="0.2">
      <c r="A210" t="s">
        <v>3912</v>
      </c>
      <c r="B210" t="s">
        <v>3913</v>
      </c>
      <c r="C210" t="s">
        <v>3876</v>
      </c>
      <c r="D210" t="s">
        <v>105</v>
      </c>
      <c r="E210">
        <v>69.989999999999995</v>
      </c>
      <c r="F210">
        <v>209.96999999999997</v>
      </c>
      <c r="G210">
        <v>126</v>
      </c>
      <c r="H210" t="s">
        <v>73</v>
      </c>
      <c r="I210">
        <v>3.1666666666666665</v>
      </c>
      <c r="J210">
        <v>33</v>
      </c>
      <c r="K210">
        <v>103</v>
      </c>
    </row>
    <row r="211" spans="1:11" x14ac:dyDescent="0.2">
      <c r="A211" t="s">
        <v>3432</v>
      </c>
      <c r="B211" t="s">
        <v>3433</v>
      </c>
      <c r="C211" t="s">
        <v>3349</v>
      </c>
      <c r="D211" t="s">
        <v>138</v>
      </c>
      <c r="E211">
        <v>119.99</v>
      </c>
      <c r="F211">
        <v>0</v>
      </c>
      <c r="H211" t="s">
        <v>72</v>
      </c>
      <c r="I211">
        <v>0.83333333333333337</v>
      </c>
      <c r="J211">
        <v>7</v>
      </c>
      <c r="K211">
        <v>6</v>
      </c>
    </row>
    <row r="212" spans="1:11" x14ac:dyDescent="0.2">
      <c r="A212" t="s">
        <v>3958</v>
      </c>
      <c r="B212" t="s">
        <v>3959</v>
      </c>
      <c r="C212" t="s">
        <v>3929</v>
      </c>
      <c r="D212" t="s">
        <v>105</v>
      </c>
      <c r="E212">
        <v>149.99</v>
      </c>
      <c r="F212">
        <v>149.99</v>
      </c>
      <c r="G212">
        <v>21</v>
      </c>
      <c r="H212" t="s">
        <v>72</v>
      </c>
      <c r="I212">
        <v>1.1666666666666667</v>
      </c>
      <c r="J212">
        <v>15</v>
      </c>
      <c r="K212">
        <v>17</v>
      </c>
    </row>
    <row r="213" spans="1:11" x14ac:dyDescent="0.2">
      <c r="A213" t="s">
        <v>3400</v>
      </c>
      <c r="B213" t="s">
        <v>3401</v>
      </c>
      <c r="C213" t="s">
        <v>3349</v>
      </c>
      <c r="D213" t="s">
        <v>105</v>
      </c>
      <c r="E213">
        <v>64.989999999999995</v>
      </c>
      <c r="F213">
        <v>0</v>
      </c>
      <c r="H213" t="s">
        <v>72</v>
      </c>
      <c r="I213">
        <v>0.5</v>
      </c>
      <c r="J213">
        <v>18</v>
      </c>
      <c r="K213">
        <v>9</v>
      </c>
    </row>
    <row r="214" spans="1:11" x14ac:dyDescent="0.2">
      <c r="A214" t="s">
        <v>3354</v>
      </c>
      <c r="B214" t="s">
        <v>3355</v>
      </c>
      <c r="C214" t="s">
        <v>3349</v>
      </c>
      <c r="D214" t="s">
        <v>105</v>
      </c>
      <c r="E214">
        <v>239.99</v>
      </c>
      <c r="F214">
        <v>239.99</v>
      </c>
      <c r="G214">
        <v>52</v>
      </c>
      <c r="H214" t="s">
        <v>72</v>
      </c>
      <c r="I214">
        <v>1.6666666666666667</v>
      </c>
      <c r="J214">
        <v>13</v>
      </c>
      <c r="K214">
        <v>21</v>
      </c>
    </row>
    <row r="215" spans="1:11" x14ac:dyDescent="0.2">
      <c r="A215" t="s">
        <v>3990</v>
      </c>
      <c r="B215" t="s">
        <v>3991</v>
      </c>
      <c r="C215" t="s">
        <v>3929</v>
      </c>
      <c r="D215" t="s">
        <v>105</v>
      </c>
      <c r="E215">
        <v>129.99</v>
      </c>
      <c r="F215">
        <v>389.97</v>
      </c>
      <c r="G215">
        <v>51</v>
      </c>
      <c r="H215" t="s">
        <v>72</v>
      </c>
      <c r="I215">
        <v>2.1666666666666665</v>
      </c>
      <c r="J215">
        <v>13</v>
      </c>
      <c r="K215">
        <v>28</v>
      </c>
    </row>
    <row r="216" spans="1:11" x14ac:dyDescent="0.2">
      <c r="A216" t="s">
        <v>4917</v>
      </c>
      <c r="B216" t="s">
        <v>4918</v>
      </c>
      <c r="C216" t="s">
        <v>4905</v>
      </c>
      <c r="D216" t="s">
        <v>105</v>
      </c>
      <c r="E216">
        <v>119.99</v>
      </c>
      <c r="F216">
        <v>0</v>
      </c>
      <c r="G216">
        <v>53</v>
      </c>
      <c r="H216" t="s">
        <v>72</v>
      </c>
      <c r="I216">
        <v>1.3333333333333333</v>
      </c>
      <c r="J216">
        <v>33</v>
      </c>
      <c r="K216">
        <v>44</v>
      </c>
    </row>
    <row r="217" spans="1:11" x14ac:dyDescent="0.2">
      <c r="A217" t="s">
        <v>4117</v>
      </c>
      <c r="B217" t="s">
        <v>4118</v>
      </c>
      <c r="C217" t="s">
        <v>3929</v>
      </c>
      <c r="D217" t="s">
        <v>105</v>
      </c>
      <c r="E217">
        <v>34.99</v>
      </c>
      <c r="F217">
        <v>0</v>
      </c>
      <c r="G217">
        <v>131</v>
      </c>
      <c r="H217" t="s">
        <v>72</v>
      </c>
      <c r="I217">
        <v>1.3333333333333333</v>
      </c>
      <c r="J217">
        <v>6</v>
      </c>
      <c r="K217">
        <v>8</v>
      </c>
    </row>
    <row r="218" spans="1:11" x14ac:dyDescent="0.2">
      <c r="A218" t="s">
        <v>617</v>
      </c>
      <c r="B218" t="s">
        <v>618</v>
      </c>
      <c r="C218" t="s">
        <v>582</v>
      </c>
      <c r="D218" t="s">
        <v>105</v>
      </c>
      <c r="E218">
        <v>79.989999999999995</v>
      </c>
      <c r="F218">
        <v>239.96999999999997</v>
      </c>
      <c r="G218">
        <v>17</v>
      </c>
      <c r="H218" t="s">
        <v>72</v>
      </c>
      <c r="I218">
        <v>3</v>
      </c>
      <c r="J218">
        <v>44</v>
      </c>
      <c r="K218">
        <v>132</v>
      </c>
    </row>
    <row r="219" spans="1:11" x14ac:dyDescent="0.2">
      <c r="A219" t="s">
        <v>4123</v>
      </c>
      <c r="B219" t="s">
        <v>4124</v>
      </c>
      <c r="C219" t="s">
        <v>3929</v>
      </c>
      <c r="D219" t="s">
        <v>105</v>
      </c>
      <c r="E219">
        <v>29.99</v>
      </c>
      <c r="F219">
        <v>0</v>
      </c>
      <c r="G219">
        <v>3</v>
      </c>
      <c r="H219" t="s">
        <v>5085</v>
      </c>
      <c r="I219">
        <v>0</v>
      </c>
      <c r="J219">
        <v>0</v>
      </c>
      <c r="K219">
        <v>22</v>
      </c>
    </row>
    <row r="220" spans="1:11" x14ac:dyDescent="0.2">
      <c r="A220" t="s">
        <v>950</v>
      </c>
      <c r="B220" t="s">
        <v>951</v>
      </c>
      <c r="C220" t="s">
        <v>911</v>
      </c>
      <c r="D220" t="s">
        <v>105</v>
      </c>
      <c r="E220">
        <v>49.99</v>
      </c>
      <c r="F220">
        <v>0</v>
      </c>
      <c r="G220">
        <v>151</v>
      </c>
      <c r="H220" t="s">
        <v>5085</v>
      </c>
      <c r="I220">
        <v>0</v>
      </c>
      <c r="J220">
        <v>0</v>
      </c>
      <c r="K220">
        <v>19</v>
      </c>
    </row>
    <row r="221" spans="1:11" x14ac:dyDescent="0.2">
      <c r="A221" t="s">
        <v>3458</v>
      </c>
      <c r="B221" t="s">
        <v>3459</v>
      </c>
      <c r="C221" t="s">
        <v>3349</v>
      </c>
      <c r="D221" t="s">
        <v>105</v>
      </c>
      <c r="E221">
        <v>19.989999999999998</v>
      </c>
      <c r="F221">
        <v>19.989999999999998</v>
      </c>
      <c r="H221" t="s">
        <v>5085</v>
      </c>
      <c r="I221">
        <v>0</v>
      </c>
      <c r="J221">
        <v>0</v>
      </c>
      <c r="K221">
        <v>0</v>
      </c>
    </row>
    <row r="222" spans="1:11" x14ac:dyDescent="0.2">
      <c r="A222" t="s">
        <v>5086</v>
      </c>
      <c r="B222" t="s">
        <v>545</v>
      </c>
      <c r="C222" t="s">
        <v>436</v>
      </c>
      <c r="D222" t="s">
        <v>105</v>
      </c>
      <c r="E222">
        <v>54.9</v>
      </c>
      <c r="F222">
        <v>658.8</v>
      </c>
      <c r="G222">
        <v>21</v>
      </c>
      <c r="H222" t="s">
        <v>5065</v>
      </c>
      <c r="I222">
        <v>4.333333333333333</v>
      </c>
      <c r="J222">
        <v>32</v>
      </c>
      <c r="K222">
        <v>137</v>
      </c>
    </row>
    <row r="223" spans="1:11" x14ac:dyDescent="0.2">
      <c r="A223" t="s">
        <v>4117</v>
      </c>
      <c r="B223" t="s">
        <v>4118</v>
      </c>
      <c r="C223" t="s">
        <v>3929</v>
      </c>
      <c r="D223" t="s">
        <v>105</v>
      </c>
      <c r="E223">
        <v>34.99</v>
      </c>
      <c r="F223">
        <v>34.99</v>
      </c>
      <c r="G223">
        <v>131</v>
      </c>
      <c r="H223" t="s">
        <v>5065</v>
      </c>
      <c r="I223">
        <v>1.8333333333333333</v>
      </c>
      <c r="J223">
        <v>33</v>
      </c>
      <c r="K223">
        <v>61</v>
      </c>
    </row>
    <row r="224" spans="1:11" x14ac:dyDescent="0.2">
      <c r="A224" t="s">
        <v>4916</v>
      </c>
      <c r="B224" t="s">
        <v>4915</v>
      </c>
      <c r="C224" t="s">
        <v>4905</v>
      </c>
      <c r="D224" t="s">
        <v>105</v>
      </c>
      <c r="E224">
        <v>119.99</v>
      </c>
      <c r="F224">
        <v>0</v>
      </c>
      <c r="G224">
        <v>5</v>
      </c>
      <c r="H224" t="s">
        <v>5065</v>
      </c>
      <c r="I224">
        <v>2</v>
      </c>
      <c r="J224">
        <v>20</v>
      </c>
      <c r="K224">
        <v>41</v>
      </c>
    </row>
    <row r="225" spans="1:11" x14ac:dyDescent="0.2">
      <c r="A225" t="s">
        <v>720</v>
      </c>
      <c r="B225" t="s">
        <v>721</v>
      </c>
      <c r="C225" t="s">
        <v>582</v>
      </c>
      <c r="D225" t="s">
        <v>105</v>
      </c>
      <c r="E225">
        <v>69.989999999999995</v>
      </c>
      <c r="F225">
        <v>69.989999999999995</v>
      </c>
      <c r="G225">
        <v>26</v>
      </c>
      <c r="H225" t="s">
        <v>5065</v>
      </c>
      <c r="I225">
        <v>1</v>
      </c>
      <c r="J225">
        <v>42</v>
      </c>
      <c r="K225">
        <v>42</v>
      </c>
    </row>
    <row r="226" spans="1:11" x14ac:dyDescent="0.2">
      <c r="A226" t="s">
        <v>730</v>
      </c>
      <c r="B226" t="s">
        <v>731</v>
      </c>
      <c r="C226" t="s">
        <v>582</v>
      </c>
      <c r="D226" t="s">
        <v>105</v>
      </c>
      <c r="E226">
        <v>59.99</v>
      </c>
      <c r="F226">
        <v>119.98</v>
      </c>
      <c r="G226">
        <v>103</v>
      </c>
      <c r="H226" t="s">
        <v>5065</v>
      </c>
      <c r="I226">
        <v>2.3333333333333335</v>
      </c>
      <c r="J226">
        <v>16</v>
      </c>
      <c r="K226">
        <v>37</v>
      </c>
    </row>
    <row r="227" spans="1:11" x14ac:dyDescent="0.2">
      <c r="A227" t="s">
        <v>611</v>
      </c>
      <c r="B227" t="s">
        <v>612</v>
      </c>
      <c r="C227" t="s">
        <v>582</v>
      </c>
      <c r="D227" t="s">
        <v>105</v>
      </c>
      <c r="E227">
        <v>89.99</v>
      </c>
      <c r="F227">
        <v>269.96999999999997</v>
      </c>
      <c r="G227">
        <v>63</v>
      </c>
      <c r="H227" t="s">
        <v>5065</v>
      </c>
      <c r="I227">
        <v>2.8333333333333335</v>
      </c>
      <c r="J227">
        <v>19</v>
      </c>
      <c r="K227">
        <v>55</v>
      </c>
    </row>
    <row r="228" spans="1:11" x14ac:dyDescent="0.2">
      <c r="A228" t="s">
        <v>704</v>
      </c>
      <c r="B228" t="s">
        <v>705</v>
      </c>
      <c r="C228" t="s">
        <v>582</v>
      </c>
      <c r="D228" t="s">
        <v>105</v>
      </c>
      <c r="E228">
        <v>39.99</v>
      </c>
      <c r="F228">
        <v>79.98</v>
      </c>
      <c r="G228">
        <v>116</v>
      </c>
      <c r="H228" t="s">
        <v>5065</v>
      </c>
      <c r="I228">
        <v>2.6666666666666665</v>
      </c>
      <c r="J228">
        <v>16</v>
      </c>
      <c r="K228">
        <v>44</v>
      </c>
    </row>
    <row r="229" spans="1:11" x14ac:dyDescent="0.2">
      <c r="A229" t="s">
        <v>710</v>
      </c>
      <c r="B229" t="s">
        <v>711</v>
      </c>
      <c r="C229" t="s">
        <v>582</v>
      </c>
      <c r="D229" t="s">
        <v>105</v>
      </c>
      <c r="E229">
        <v>49.99</v>
      </c>
      <c r="F229">
        <v>99.98</v>
      </c>
      <c r="G229">
        <v>85</v>
      </c>
      <c r="H229" t="s">
        <v>5065</v>
      </c>
      <c r="I229">
        <v>2.8333333333333335</v>
      </c>
      <c r="J229">
        <v>14</v>
      </c>
      <c r="K229">
        <v>40</v>
      </c>
    </row>
    <row r="230" spans="1:11" x14ac:dyDescent="0.2">
      <c r="A230" t="s">
        <v>3958</v>
      </c>
      <c r="B230" t="s">
        <v>3959</v>
      </c>
      <c r="C230" t="s">
        <v>3929</v>
      </c>
      <c r="D230" t="s">
        <v>105</v>
      </c>
      <c r="E230">
        <v>149.99</v>
      </c>
      <c r="F230">
        <v>299.98</v>
      </c>
      <c r="G230">
        <v>21</v>
      </c>
      <c r="H230" t="s">
        <v>5065</v>
      </c>
      <c r="I230">
        <v>1</v>
      </c>
      <c r="J230">
        <v>44</v>
      </c>
      <c r="K230">
        <v>44</v>
      </c>
    </row>
    <row r="231" spans="1:11" x14ac:dyDescent="0.2">
      <c r="A231" t="s">
        <v>3354</v>
      </c>
      <c r="B231" t="s">
        <v>3355</v>
      </c>
      <c r="C231" t="s">
        <v>3349</v>
      </c>
      <c r="D231" t="s">
        <v>105</v>
      </c>
      <c r="E231">
        <v>239.99</v>
      </c>
      <c r="F231">
        <v>239.99</v>
      </c>
      <c r="G231">
        <v>52</v>
      </c>
      <c r="H231" t="s">
        <v>5065</v>
      </c>
      <c r="I231">
        <v>1.8333333333333333</v>
      </c>
      <c r="J231">
        <v>28</v>
      </c>
      <c r="K231">
        <v>52</v>
      </c>
    </row>
    <row r="232" spans="1:11" x14ac:dyDescent="0.2">
      <c r="A232" t="s">
        <v>3902</v>
      </c>
      <c r="B232" t="s">
        <v>5078</v>
      </c>
      <c r="C232" t="s">
        <v>3876</v>
      </c>
      <c r="D232" t="s">
        <v>105</v>
      </c>
      <c r="E232">
        <v>69.989999999999995</v>
      </c>
      <c r="F232">
        <v>699.9</v>
      </c>
      <c r="G232">
        <v>208</v>
      </c>
      <c r="H232" t="s">
        <v>5065</v>
      </c>
      <c r="I232">
        <v>8.5</v>
      </c>
      <c r="J232">
        <v>8</v>
      </c>
      <c r="K232">
        <v>67</v>
      </c>
    </row>
    <row r="233" spans="1:11" x14ac:dyDescent="0.2">
      <c r="A233" t="s">
        <v>3466</v>
      </c>
      <c r="B233" t="s">
        <v>3467</v>
      </c>
      <c r="C233" t="s">
        <v>3349</v>
      </c>
      <c r="D233" t="s">
        <v>105</v>
      </c>
      <c r="E233">
        <v>369.99</v>
      </c>
      <c r="F233">
        <v>0</v>
      </c>
      <c r="H233" t="s">
        <v>5065</v>
      </c>
      <c r="I233">
        <v>0.66666666666666663</v>
      </c>
      <c r="J233">
        <v>58</v>
      </c>
      <c r="K233">
        <v>39</v>
      </c>
    </row>
    <row r="234" spans="1:11" x14ac:dyDescent="0.2">
      <c r="A234" t="s">
        <v>601</v>
      </c>
      <c r="B234" t="s">
        <v>602</v>
      </c>
      <c r="C234" t="s">
        <v>582</v>
      </c>
      <c r="D234" t="s">
        <v>105</v>
      </c>
      <c r="E234">
        <v>29.99</v>
      </c>
      <c r="F234">
        <v>149.94999999999999</v>
      </c>
      <c r="G234">
        <v>320</v>
      </c>
      <c r="H234" t="s">
        <v>8</v>
      </c>
      <c r="I234">
        <v>2.6666666666666665</v>
      </c>
      <c r="J234">
        <v>106</v>
      </c>
      <c r="K234">
        <v>284</v>
      </c>
    </row>
    <row r="235" spans="1:11" x14ac:dyDescent="0.2">
      <c r="A235" t="s">
        <v>4917</v>
      </c>
      <c r="B235" t="s">
        <v>4918</v>
      </c>
      <c r="C235" t="s">
        <v>4905</v>
      </c>
      <c r="D235" t="s">
        <v>105</v>
      </c>
      <c r="E235">
        <v>119.99</v>
      </c>
      <c r="F235">
        <v>119.99</v>
      </c>
      <c r="G235">
        <v>53</v>
      </c>
      <c r="H235" t="s">
        <v>8</v>
      </c>
      <c r="I235">
        <v>1</v>
      </c>
      <c r="J235">
        <v>36</v>
      </c>
      <c r="K235">
        <v>36</v>
      </c>
    </row>
    <row r="236" spans="1:11" x14ac:dyDescent="0.2">
      <c r="A236" t="s">
        <v>716</v>
      </c>
      <c r="B236" t="s">
        <v>717</v>
      </c>
      <c r="C236" t="s">
        <v>582</v>
      </c>
      <c r="D236" t="s">
        <v>105</v>
      </c>
      <c r="E236">
        <v>49.99</v>
      </c>
      <c r="F236">
        <v>149.97</v>
      </c>
      <c r="G236">
        <v>116</v>
      </c>
      <c r="H236" t="s">
        <v>8</v>
      </c>
      <c r="I236">
        <v>3.5</v>
      </c>
      <c r="J236">
        <v>16</v>
      </c>
      <c r="K236">
        <v>57</v>
      </c>
    </row>
    <row r="237" spans="1:11" x14ac:dyDescent="0.2">
      <c r="A237" t="s">
        <v>4077</v>
      </c>
      <c r="B237" t="s">
        <v>4078</v>
      </c>
      <c r="C237" t="s">
        <v>3929</v>
      </c>
      <c r="D237" t="s">
        <v>105</v>
      </c>
      <c r="E237">
        <v>74.989999999999995</v>
      </c>
      <c r="F237">
        <v>0</v>
      </c>
      <c r="G237">
        <v>40</v>
      </c>
      <c r="H237" t="s">
        <v>8</v>
      </c>
      <c r="I237">
        <v>1.3333333333333333</v>
      </c>
      <c r="J237">
        <v>7</v>
      </c>
      <c r="K237">
        <v>9</v>
      </c>
    </row>
    <row r="238" spans="1:11" x14ac:dyDescent="0.2">
      <c r="A238" t="s">
        <v>3352</v>
      </c>
      <c r="B238" t="s">
        <v>3353</v>
      </c>
      <c r="C238" t="s">
        <v>3349</v>
      </c>
      <c r="D238" t="s">
        <v>105</v>
      </c>
      <c r="E238">
        <v>179.99</v>
      </c>
      <c r="F238">
        <v>0</v>
      </c>
      <c r="H238" t="s">
        <v>8</v>
      </c>
      <c r="I238">
        <v>1.3333333333333333</v>
      </c>
      <c r="J238">
        <v>54</v>
      </c>
      <c r="K238">
        <v>72</v>
      </c>
    </row>
    <row r="239" spans="1:11" x14ac:dyDescent="0.2">
      <c r="A239" t="s">
        <v>4125</v>
      </c>
      <c r="B239" t="s">
        <v>4126</v>
      </c>
      <c r="C239" t="s">
        <v>3929</v>
      </c>
      <c r="D239" t="s">
        <v>105</v>
      </c>
      <c r="E239">
        <v>99.99</v>
      </c>
      <c r="F239">
        <v>199.98</v>
      </c>
      <c r="G239">
        <v>36</v>
      </c>
      <c r="H239" t="s">
        <v>8</v>
      </c>
      <c r="I239">
        <v>1.8333333333333333</v>
      </c>
      <c r="J239">
        <v>5</v>
      </c>
      <c r="K239">
        <v>9</v>
      </c>
    </row>
    <row r="240" spans="1:11" x14ac:dyDescent="0.2">
      <c r="A240" t="s">
        <v>4069</v>
      </c>
      <c r="B240" t="s">
        <v>4070</v>
      </c>
      <c r="C240" t="s">
        <v>3929</v>
      </c>
      <c r="D240" t="s">
        <v>138</v>
      </c>
      <c r="E240">
        <v>419.99</v>
      </c>
      <c r="F240">
        <v>0</v>
      </c>
      <c r="H240" t="s">
        <v>73</v>
      </c>
      <c r="I240">
        <v>1.1666666666666667</v>
      </c>
      <c r="J240">
        <v>74</v>
      </c>
      <c r="K240">
        <v>86</v>
      </c>
    </row>
    <row r="241" spans="1:11" x14ac:dyDescent="0.2">
      <c r="A241" t="s">
        <v>4067</v>
      </c>
      <c r="B241" t="s">
        <v>4068</v>
      </c>
      <c r="C241" t="s">
        <v>3929</v>
      </c>
      <c r="D241" t="s">
        <v>105</v>
      </c>
      <c r="E241">
        <v>89.99</v>
      </c>
      <c r="F241">
        <v>179.98</v>
      </c>
      <c r="G241">
        <v>20</v>
      </c>
      <c r="H241" t="s">
        <v>73</v>
      </c>
      <c r="I241">
        <v>3.5</v>
      </c>
      <c r="J241">
        <v>21</v>
      </c>
      <c r="K241">
        <v>75</v>
      </c>
    </row>
    <row r="242" spans="1:11" x14ac:dyDescent="0.2">
      <c r="A242" t="s">
        <v>5087</v>
      </c>
      <c r="B242" t="s">
        <v>5088</v>
      </c>
      <c r="C242" t="s">
        <v>3929</v>
      </c>
      <c r="D242" t="s">
        <v>138</v>
      </c>
      <c r="E242">
        <v>79.989999999999995</v>
      </c>
      <c r="F242">
        <v>79.989999999999995</v>
      </c>
      <c r="G242">
        <v>7</v>
      </c>
      <c r="H242" t="s">
        <v>73</v>
      </c>
      <c r="I242">
        <v>3.8333333333333335</v>
      </c>
      <c r="J242">
        <v>29</v>
      </c>
      <c r="K242">
        <v>111</v>
      </c>
    </row>
    <row r="243" spans="1:11" x14ac:dyDescent="0.2">
      <c r="A243" t="s">
        <v>3992</v>
      </c>
      <c r="B243" t="s">
        <v>3993</v>
      </c>
      <c r="C243" t="s">
        <v>3929</v>
      </c>
      <c r="D243" t="s">
        <v>105</v>
      </c>
      <c r="E243">
        <v>84.99</v>
      </c>
      <c r="F243">
        <v>0</v>
      </c>
      <c r="G243">
        <v>10</v>
      </c>
      <c r="H243" t="s">
        <v>73</v>
      </c>
      <c r="I243">
        <v>1</v>
      </c>
      <c r="J243">
        <v>28</v>
      </c>
      <c r="K243">
        <v>28</v>
      </c>
    </row>
    <row r="244" spans="1:11" x14ac:dyDescent="0.2">
      <c r="A244" t="s">
        <v>696</v>
      </c>
      <c r="B244" t="s">
        <v>5089</v>
      </c>
      <c r="C244" t="s">
        <v>582</v>
      </c>
      <c r="D244" t="s">
        <v>105</v>
      </c>
      <c r="E244">
        <v>44.99</v>
      </c>
      <c r="F244">
        <v>224.95000000000002</v>
      </c>
      <c r="G244">
        <v>19</v>
      </c>
      <c r="H244" t="s">
        <v>73</v>
      </c>
      <c r="I244">
        <v>2.1666666666666665</v>
      </c>
      <c r="J244">
        <v>60</v>
      </c>
      <c r="K244">
        <v>130</v>
      </c>
    </row>
    <row r="245" spans="1:11" x14ac:dyDescent="0.2">
      <c r="A245" t="s">
        <v>782</v>
      </c>
      <c r="B245" t="s">
        <v>783</v>
      </c>
      <c r="C245" t="s">
        <v>582</v>
      </c>
      <c r="D245" t="s">
        <v>105</v>
      </c>
      <c r="E245">
        <v>19.989999999999998</v>
      </c>
      <c r="F245">
        <v>59.97</v>
      </c>
      <c r="G245">
        <v>820</v>
      </c>
      <c r="H245" t="s">
        <v>73</v>
      </c>
      <c r="I245">
        <v>3.3333333333333335</v>
      </c>
      <c r="J245">
        <v>58</v>
      </c>
      <c r="K245">
        <v>195</v>
      </c>
    </row>
    <row r="246" spans="1:11" x14ac:dyDescent="0.2">
      <c r="A246" t="s">
        <v>4153</v>
      </c>
      <c r="B246" t="s">
        <v>4154</v>
      </c>
      <c r="C246" t="s">
        <v>3929</v>
      </c>
      <c r="D246" t="s">
        <v>105</v>
      </c>
      <c r="E246">
        <v>89.99</v>
      </c>
      <c r="F246">
        <v>0</v>
      </c>
      <c r="H246" t="s">
        <v>73</v>
      </c>
      <c r="I246">
        <v>0.83333333333333337</v>
      </c>
      <c r="J246">
        <v>67</v>
      </c>
      <c r="K246">
        <v>56</v>
      </c>
    </row>
    <row r="247" spans="1:11" x14ac:dyDescent="0.2">
      <c r="A247" t="s">
        <v>4155</v>
      </c>
      <c r="B247" t="s">
        <v>4156</v>
      </c>
      <c r="C247" t="s">
        <v>3929</v>
      </c>
      <c r="D247" t="s">
        <v>105</v>
      </c>
      <c r="E247">
        <v>39.99</v>
      </c>
      <c r="F247">
        <v>199.95000000000002</v>
      </c>
      <c r="H247" t="s">
        <v>73</v>
      </c>
      <c r="I247">
        <v>3.1666666666666665</v>
      </c>
      <c r="J247">
        <v>19</v>
      </c>
      <c r="K247">
        <v>61</v>
      </c>
    </row>
    <row r="248" spans="1:11" x14ac:dyDescent="0.2">
      <c r="A248" t="s">
        <v>4040</v>
      </c>
      <c r="B248" t="s">
        <v>4041</v>
      </c>
      <c r="C248" t="s">
        <v>3929</v>
      </c>
      <c r="D248" t="s">
        <v>105</v>
      </c>
      <c r="E248">
        <v>89.99</v>
      </c>
      <c r="F248">
        <v>0</v>
      </c>
      <c r="G248">
        <v>28</v>
      </c>
      <c r="H248" t="s">
        <v>73</v>
      </c>
      <c r="I248">
        <v>0.83333333333333337</v>
      </c>
      <c r="J248">
        <v>41</v>
      </c>
      <c r="K248">
        <v>34</v>
      </c>
    </row>
    <row r="249" spans="1:11" x14ac:dyDescent="0.2">
      <c r="A249" t="s">
        <v>4036</v>
      </c>
      <c r="B249" t="s">
        <v>4037</v>
      </c>
      <c r="C249" t="s">
        <v>3929</v>
      </c>
      <c r="D249" t="s">
        <v>105</v>
      </c>
      <c r="E249">
        <v>129.99</v>
      </c>
      <c r="F249">
        <v>519.96</v>
      </c>
      <c r="G249">
        <v>39</v>
      </c>
      <c r="H249" t="s">
        <v>73</v>
      </c>
      <c r="I249">
        <v>2.5</v>
      </c>
      <c r="J249">
        <v>34</v>
      </c>
      <c r="K249">
        <v>86</v>
      </c>
    </row>
    <row r="250" spans="1:11" x14ac:dyDescent="0.2">
      <c r="A250" t="s">
        <v>4125</v>
      </c>
      <c r="B250" t="s">
        <v>4126</v>
      </c>
      <c r="C250" t="s">
        <v>3929</v>
      </c>
      <c r="D250" t="s">
        <v>105</v>
      </c>
      <c r="E250">
        <v>99.99</v>
      </c>
      <c r="F250">
        <v>99.99</v>
      </c>
      <c r="G250">
        <v>36</v>
      </c>
      <c r="H250" t="s">
        <v>73</v>
      </c>
      <c r="I250">
        <v>1.1666666666666667</v>
      </c>
      <c r="J250">
        <v>18</v>
      </c>
      <c r="K250">
        <v>21</v>
      </c>
    </row>
    <row r="251" spans="1:11" x14ac:dyDescent="0.2">
      <c r="A251" t="s">
        <v>4123</v>
      </c>
      <c r="B251" t="s">
        <v>4124</v>
      </c>
      <c r="C251" t="s">
        <v>3929</v>
      </c>
      <c r="D251" t="s">
        <v>105</v>
      </c>
      <c r="E251">
        <v>29.99</v>
      </c>
      <c r="F251">
        <v>749.75</v>
      </c>
      <c r="G251">
        <v>3</v>
      </c>
      <c r="H251" t="s">
        <v>73</v>
      </c>
      <c r="I251">
        <v>11.166666666666666</v>
      </c>
      <c r="J251">
        <v>6</v>
      </c>
      <c r="K251">
        <v>68</v>
      </c>
    </row>
    <row r="252" spans="1:11" x14ac:dyDescent="0.2">
      <c r="A252" t="s">
        <v>5090</v>
      </c>
      <c r="B252" t="s">
        <v>5091</v>
      </c>
      <c r="C252" t="s">
        <v>3929</v>
      </c>
      <c r="D252" t="s">
        <v>138</v>
      </c>
      <c r="E252">
        <v>39.99</v>
      </c>
      <c r="F252">
        <v>0</v>
      </c>
      <c r="H252" t="s">
        <v>73</v>
      </c>
      <c r="I252">
        <v>0.66666666666666663</v>
      </c>
      <c r="J252">
        <v>36</v>
      </c>
      <c r="K252">
        <v>24</v>
      </c>
    </row>
    <row r="253" spans="1:11" x14ac:dyDescent="0.2">
      <c r="A253" t="s">
        <v>4053</v>
      </c>
      <c r="B253" t="s">
        <v>4054</v>
      </c>
      <c r="C253" t="s">
        <v>3929</v>
      </c>
      <c r="D253" t="s">
        <v>105</v>
      </c>
      <c r="E253">
        <v>149.99</v>
      </c>
      <c r="F253">
        <v>149.99</v>
      </c>
      <c r="G253">
        <v>24</v>
      </c>
      <c r="H253" t="s">
        <v>73</v>
      </c>
      <c r="I253">
        <v>2</v>
      </c>
      <c r="J253">
        <v>30</v>
      </c>
      <c r="K253">
        <v>59</v>
      </c>
    </row>
    <row r="254" spans="1:11" x14ac:dyDescent="0.2">
      <c r="A254" t="s">
        <v>3464</v>
      </c>
      <c r="B254" t="s">
        <v>3465</v>
      </c>
      <c r="C254" t="s">
        <v>3349</v>
      </c>
      <c r="D254" t="s">
        <v>105</v>
      </c>
      <c r="E254">
        <v>229.99</v>
      </c>
      <c r="F254">
        <v>0</v>
      </c>
      <c r="H254" t="s">
        <v>73</v>
      </c>
      <c r="I254">
        <v>0.66666666666666663</v>
      </c>
      <c r="J254">
        <v>39</v>
      </c>
      <c r="K254">
        <v>26</v>
      </c>
    </row>
    <row r="255" spans="1:11" x14ac:dyDescent="0.2">
      <c r="A255" t="s">
        <v>132</v>
      </c>
      <c r="B255" t="s">
        <v>133</v>
      </c>
      <c r="C255" t="s">
        <v>95</v>
      </c>
      <c r="D255" t="s">
        <v>138</v>
      </c>
      <c r="E255">
        <v>79.989999999999995</v>
      </c>
      <c r="F255">
        <v>0</v>
      </c>
      <c r="G255">
        <v>11</v>
      </c>
      <c r="H255" t="s">
        <v>73</v>
      </c>
      <c r="I255">
        <v>1</v>
      </c>
      <c r="J255">
        <v>38</v>
      </c>
      <c r="K255">
        <v>38</v>
      </c>
    </row>
    <row r="256" spans="1:11" x14ac:dyDescent="0.2">
      <c r="A256" t="s">
        <v>750</v>
      </c>
      <c r="B256" t="s">
        <v>751</v>
      </c>
      <c r="C256" t="s">
        <v>582</v>
      </c>
      <c r="D256" t="s">
        <v>105</v>
      </c>
      <c r="E256">
        <v>129.99</v>
      </c>
      <c r="F256">
        <v>389.97</v>
      </c>
      <c r="H256" t="s">
        <v>73</v>
      </c>
      <c r="I256">
        <v>3.6666666666666665</v>
      </c>
      <c r="J256">
        <v>28</v>
      </c>
      <c r="K256">
        <v>101</v>
      </c>
    </row>
    <row r="257" spans="1:11" x14ac:dyDescent="0.2">
      <c r="A257" t="s">
        <v>740</v>
      </c>
      <c r="B257" t="s">
        <v>741</v>
      </c>
      <c r="C257" t="s">
        <v>582</v>
      </c>
      <c r="D257" t="s">
        <v>138</v>
      </c>
      <c r="E257">
        <v>64.989999999999995</v>
      </c>
      <c r="F257">
        <v>194.96999999999997</v>
      </c>
      <c r="H257" t="s">
        <v>73</v>
      </c>
      <c r="I257">
        <v>1.3333333333333333</v>
      </c>
      <c r="J257">
        <v>2</v>
      </c>
      <c r="K257">
        <v>2</v>
      </c>
    </row>
    <row r="258" spans="1:11" x14ac:dyDescent="0.2">
      <c r="A258" t="s">
        <v>4593</v>
      </c>
      <c r="B258" t="s">
        <v>4594</v>
      </c>
      <c r="C258" t="s">
        <v>4518</v>
      </c>
      <c r="D258" t="s">
        <v>138</v>
      </c>
      <c r="E258">
        <v>179.99</v>
      </c>
      <c r="F258">
        <v>0</v>
      </c>
      <c r="G258">
        <v>79</v>
      </c>
      <c r="H258" t="s">
        <v>73</v>
      </c>
      <c r="I258">
        <v>0.5</v>
      </c>
      <c r="J258">
        <v>0</v>
      </c>
      <c r="K258">
        <v>0</v>
      </c>
    </row>
    <row r="259" spans="1:11" x14ac:dyDescent="0.2">
      <c r="A259" t="s">
        <v>730</v>
      </c>
      <c r="B259" t="s">
        <v>731</v>
      </c>
      <c r="C259" t="s">
        <v>582</v>
      </c>
      <c r="D259" t="s">
        <v>105</v>
      </c>
      <c r="E259">
        <v>59.99</v>
      </c>
      <c r="F259">
        <v>239.96</v>
      </c>
      <c r="G259">
        <v>103</v>
      </c>
      <c r="H259" t="s">
        <v>73</v>
      </c>
      <c r="I259">
        <v>6.333333333333333</v>
      </c>
      <c r="J259">
        <v>28</v>
      </c>
      <c r="K259">
        <v>177</v>
      </c>
    </row>
    <row r="260" spans="1:11" x14ac:dyDescent="0.2">
      <c r="A260" t="s">
        <v>5092</v>
      </c>
      <c r="B260" t="s">
        <v>5093</v>
      </c>
      <c r="C260" t="s">
        <v>3929</v>
      </c>
      <c r="D260" t="s">
        <v>98</v>
      </c>
      <c r="E260">
        <v>249.99</v>
      </c>
      <c r="F260">
        <v>0</v>
      </c>
      <c r="H260" t="s">
        <v>73</v>
      </c>
      <c r="I260">
        <v>0.5</v>
      </c>
      <c r="J260">
        <v>14</v>
      </c>
      <c r="K260">
        <v>7</v>
      </c>
    </row>
    <row r="261" spans="1:11" x14ac:dyDescent="0.2">
      <c r="A261" t="s">
        <v>722</v>
      </c>
      <c r="B261" t="s">
        <v>723</v>
      </c>
      <c r="C261" t="s">
        <v>582</v>
      </c>
      <c r="D261" t="s">
        <v>105</v>
      </c>
      <c r="E261">
        <v>59.99</v>
      </c>
      <c r="F261">
        <v>179.97</v>
      </c>
      <c r="G261">
        <v>38</v>
      </c>
      <c r="H261" t="s">
        <v>73</v>
      </c>
      <c r="I261">
        <v>2.1666666666666665</v>
      </c>
      <c r="J261">
        <v>31</v>
      </c>
      <c r="K261">
        <v>67</v>
      </c>
    </row>
    <row r="262" spans="1:11" x14ac:dyDescent="0.2">
      <c r="A262" t="s">
        <v>3392</v>
      </c>
      <c r="B262" t="s">
        <v>3393</v>
      </c>
      <c r="C262" t="s">
        <v>3349</v>
      </c>
      <c r="D262" t="s">
        <v>105</v>
      </c>
      <c r="E262">
        <v>139.99</v>
      </c>
      <c r="F262">
        <v>0</v>
      </c>
      <c r="G262">
        <v>33</v>
      </c>
      <c r="H262" t="s">
        <v>73</v>
      </c>
      <c r="I262">
        <v>1.1666666666666667</v>
      </c>
      <c r="J262">
        <v>0</v>
      </c>
      <c r="K262">
        <v>0</v>
      </c>
    </row>
    <row r="263" spans="1:11" x14ac:dyDescent="0.2">
      <c r="A263" t="s">
        <v>3436</v>
      </c>
      <c r="B263" t="s">
        <v>3437</v>
      </c>
      <c r="C263" t="s">
        <v>3349</v>
      </c>
      <c r="D263" t="s">
        <v>105</v>
      </c>
      <c r="E263">
        <v>99.99</v>
      </c>
      <c r="F263">
        <v>99.99</v>
      </c>
      <c r="H263" t="s">
        <v>73</v>
      </c>
      <c r="I263">
        <v>3</v>
      </c>
      <c r="J263">
        <v>3</v>
      </c>
      <c r="K263">
        <v>8</v>
      </c>
    </row>
    <row r="264" spans="1:11" x14ac:dyDescent="0.2">
      <c r="A264" t="s">
        <v>3910</v>
      </c>
      <c r="B264" t="s">
        <v>3911</v>
      </c>
      <c r="C264" t="s">
        <v>3876</v>
      </c>
      <c r="D264" t="s">
        <v>105</v>
      </c>
      <c r="E264">
        <v>69.989999999999995</v>
      </c>
      <c r="F264">
        <v>279.95999999999998</v>
      </c>
      <c r="G264">
        <v>164</v>
      </c>
      <c r="H264" t="s">
        <v>73</v>
      </c>
      <c r="I264">
        <v>2.5</v>
      </c>
      <c r="J264">
        <v>0</v>
      </c>
      <c r="K264">
        <v>1</v>
      </c>
    </row>
    <row r="265" spans="1:11" x14ac:dyDescent="0.2">
      <c r="A265" t="s">
        <v>5094</v>
      </c>
      <c r="B265" t="s">
        <v>5095</v>
      </c>
      <c r="C265" t="s">
        <v>582</v>
      </c>
      <c r="D265" t="s">
        <v>98</v>
      </c>
      <c r="E265">
        <v>69.989999999999995</v>
      </c>
      <c r="F265">
        <v>139.97999999999999</v>
      </c>
      <c r="H265" t="s">
        <v>73</v>
      </c>
      <c r="I265">
        <v>2.6666666666666665</v>
      </c>
      <c r="J265">
        <v>6</v>
      </c>
      <c r="K265">
        <v>15</v>
      </c>
    </row>
    <row r="266" spans="1:11" x14ac:dyDescent="0.2">
      <c r="A266" t="s">
        <v>5096</v>
      </c>
      <c r="B266" t="s">
        <v>5097</v>
      </c>
      <c r="C266" t="s">
        <v>3929</v>
      </c>
      <c r="D266" t="s">
        <v>105</v>
      </c>
      <c r="E266">
        <v>89.99</v>
      </c>
      <c r="F266">
        <v>89.99</v>
      </c>
      <c r="G266">
        <v>11</v>
      </c>
      <c r="H266" t="s">
        <v>72</v>
      </c>
      <c r="I266">
        <v>0.5</v>
      </c>
      <c r="J266">
        <v>90</v>
      </c>
      <c r="K266">
        <v>45</v>
      </c>
    </row>
    <row r="267" spans="1:11" x14ac:dyDescent="0.2">
      <c r="A267" t="s">
        <v>4010</v>
      </c>
      <c r="B267" t="s">
        <v>4011</v>
      </c>
      <c r="C267" t="s">
        <v>3929</v>
      </c>
      <c r="D267" t="s">
        <v>105</v>
      </c>
      <c r="E267">
        <v>89.99</v>
      </c>
      <c r="F267">
        <v>89.99</v>
      </c>
      <c r="G267">
        <v>10</v>
      </c>
      <c r="H267" t="s">
        <v>72</v>
      </c>
      <c r="I267">
        <v>1.1666666666666667</v>
      </c>
      <c r="J267">
        <v>39</v>
      </c>
      <c r="K267">
        <v>45</v>
      </c>
    </row>
    <row r="268" spans="1:11" x14ac:dyDescent="0.2">
      <c r="A268" t="s">
        <v>3304</v>
      </c>
      <c r="B268" t="s">
        <v>3305</v>
      </c>
      <c r="C268" t="s">
        <v>3291</v>
      </c>
      <c r="D268" t="s">
        <v>98</v>
      </c>
      <c r="E268">
        <v>69.989999999999995</v>
      </c>
      <c r="F268">
        <v>0</v>
      </c>
      <c r="H268" t="s">
        <v>72</v>
      </c>
      <c r="I268">
        <v>0.83333333333333337</v>
      </c>
      <c r="J268">
        <v>6</v>
      </c>
      <c r="K268">
        <v>5</v>
      </c>
    </row>
    <row r="269" spans="1:11" x14ac:dyDescent="0.2">
      <c r="A269" t="s">
        <v>807</v>
      </c>
      <c r="B269" t="s">
        <v>808</v>
      </c>
      <c r="C269" t="s">
        <v>582</v>
      </c>
      <c r="D269" t="s">
        <v>98</v>
      </c>
      <c r="E269">
        <v>59.99</v>
      </c>
      <c r="F269">
        <v>59.99</v>
      </c>
      <c r="H269" t="s">
        <v>72</v>
      </c>
      <c r="I269">
        <v>1</v>
      </c>
      <c r="J269">
        <v>27</v>
      </c>
      <c r="K269">
        <v>27</v>
      </c>
    </row>
    <row r="270" spans="1:11" x14ac:dyDescent="0.2">
      <c r="A270" t="s">
        <v>684</v>
      </c>
      <c r="B270" t="s">
        <v>685</v>
      </c>
      <c r="C270" t="s">
        <v>582</v>
      </c>
      <c r="D270" t="s">
        <v>105</v>
      </c>
      <c r="E270">
        <v>59.99</v>
      </c>
      <c r="F270">
        <v>179.97</v>
      </c>
      <c r="G270">
        <v>55</v>
      </c>
      <c r="H270" t="s">
        <v>72</v>
      </c>
      <c r="I270">
        <v>4.333333333333333</v>
      </c>
      <c r="J270">
        <v>15</v>
      </c>
      <c r="K270">
        <v>66</v>
      </c>
    </row>
    <row r="271" spans="1:11" x14ac:dyDescent="0.2">
      <c r="A271" t="s">
        <v>4934</v>
      </c>
      <c r="B271" t="s">
        <v>4933</v>
      </c>
      <c r="C271" t="s">
        <v>4905</v>
      </c>
      <c r="D271" t="s">
        <v>105</v>
      </c>
      <c r="E271">
        <v>219.99</v>
      </c>
      <c r="F271">
        <v>659.97</v>
      </c>
      <c r="G271">
        <v>6</v>
      </c>
      <c r="H271" t="s">
        <v>72</v>
      </c>
      <c r="I271">
        <v>1.5</v>
      </c>
      <c r="J271">
        <v>25</v>
      </c>
      <c r="K271">
        <v>37</v>
      </c>
    </row>
    <row r="272" spans="1:11" x14ac:dyDescent="0.2">
      <c r="A272" t="s">
        <v>4119</v>
      </c>
      <c r="B272" t="s">
        <v>4120</v>
      </c>
      <c r="C272" t="s">
        <v>3929</v>
      </c>
      <c r="D272" t="s">
        <v>105</v>
      </c>
      <c r="E272">
        <v>34.99</v>
      </c>
      <c r="F272">
        <v>139.96</v>
      </c>
      <c r="G272">
        <v>57</v>
      </c>
      <c r="H272" t="s">
        <v>72</v>
      </c>
      <c r="I272">
        <v>1.3333333333333333</v>
      </c>
      <c r="J272">
        <v>9</v>
      </c>
      <c r="K272">
        <v>12</v>
      </c>
    </row>
    <row r="273" spans="1:11" x14ac:dyDescent="0.2">
      <c r="A273" t="s">
        <v>4125</v>
      </c>
      <c r="B273" t="s">
        <v>4126</v>
      </c>
      <c r="C273" t="s">
        <v>3929</v>
      </c>
      <c r="D273" t="s">
        <v>105</v>
      </c>
      <c r="E273">
        <v>99.99</v>
      </c>
      <c r="F273">
        <v>199.98</v>
      </c>
      <c r="G273">
        <v>36</v>
      </c>
      <c r="H273" t="s">
        <v>72</v>
      </c>
      <c r="I273">
        <v>1.1666666666666667</v>
      </c>
      <c r="J273">
        <v>37</v>
      </c>
      <c r="K273">
        <v>43</v>
      </c>
    </row>
    <row r="274" spans="1:11" x14ac:dyDescent="0.2">
      <c r="A274" t="s">
        <v>3908</v>
      </c>
      <c r="B274" t="s">
        <v>3909</v>
      </c>
      <c r="C274" t="s">
        <v>3876</v>
      </c>
      <c r="D274" t="s">
        <v>105</v>
      </c>
      <c r="E274">
        <v>69.989999999999995</v>
      </c>
      <c r="F274">
        <v>0</v>
      </c>
      <c r="G274">
        <v>81</v>
      </c>
      <c r="H274" t="s">
        <v>5085</v>
      </c>
      <c r="I274">
        <v>0</v>
      </c>
      <c r="J274">
        <v>0</v>
      </c>
      <c r="K274">
        <v>3</v>
      </c>
    </row>
    <row r="275" spans="1:11" x14ac:dyDescent="0.2">
      <c r="A275" t="s">
        <v>4928</v>
      </c>
      <c r="B275" t="s">
        <v>4927</v>
      </c>
      <c r="C275" t="s">
        <v>4905</v>
      </c>
      <c r="D275" t="s">
        <v>105</v>
      </c>
      <c r="E275">
        <v>819.99</v>
      </c>
      <c r="F275">
        <v>0</v>
      </c>
      <c r="H275" t="s">
        <v>5085</v>
      </c>
      <c r="I275">
        <v>0</v>
      </c>
      <c r="J275">
        <v>0</v>
      </c>
      <c r="K275">
        <v>4</v>
      </c>
    </row>
    <row r="276" spans="1:11" x14ac:dyDescent="0.2">
      <c r="A276" t="s">
        <v>3903</v>
      </c>
      <c r="B276" t="s">
        <v>5077</v>
      </c>
      <c r="C276" t="s">
        <v>3876</v>
      </c>
      <c r="D276" t="s">
        <v>105</v>
      </c>
      <c r="E276">
        <v>69.989999999999995</v>
      </c>
      <c r="F276">
        <v>69.989999999999995</v>
      </c>
      <c r="G276">
        <v>130</v>
      </c>
      <c r="H276" t="s">
        <v>5085</v>
      </c>
      <c r="I276">
        <v>0</v>
      </c>
      <c r="J276">
        <v>0</v>
      </c>
      <c r="K276">
        <v>4</v>
      </c>
    </row>
    <row r="277" spans="1:11" x14ac:dyDescent="0.2">
      <c r="A277" t="s">
        <v>3902</v>
      </c>
      <c r="B277" t="s">
        <v>5078</v>
      </c>
      <c r="C277" t="s">
        <v>3876</v>
      </c>
      <c r="D277" t="s">
        <v>105</v>
      </c>
      <c r="E277">
        <v>69.989999999999995</v>
      </c>
      <c r="F277">
        <v>0</v>
      </c>
      <c r="G277">
        <v>208</v>
      </c>
      <c r="H277" t="s">
        <v>5085</v>
      </c>
      <c r="I277">
        <v>0</v>
      </c>
      <c r="J277">
        <v>0</v>
      </c>
      <c r="K277">
        <v>3</v>
      </c>
    </row>
    <row r="278" spans="1:11" x14ac:dyDescent="0.2">
      <c r="A278" t="s">
        <v>3980</v>
      </c>
      <c r="B278" t="s">
        <v>3981</v>
      </c>
      <c r="C278" t="s">
        <v>3929</v>
      </c>
      <c r="D278" t="s">
        <v>105</v>
      </c>
      <c r="E278">
        <v>24.99</v>
      </c>
      <c r="F278">
        <v>0</v>
      </c>
      <c r="G278">
        <v>242</v>
      </c>
      <c r="H278" t="s">
        <v>5085</v>
      </c>
      <c r="I278">
        <v>0</v>
      </c>
      <c r="J278">
        <v>0</v>
      </c>
      <c r="K278">
        <v>0</v>
      </c>
    </row>
    <row r="279" spans="1:11" x14ac:dyDescent="0.2">
      <c r="A279" t="s">
        <v>916</v>
      </c>
      <c r="B279" t="s">
        <v>917</v>
      </c>
      <c r="C279" t="s">
        <v>911</v>
      </c>
      <c r="D279" t="s">
        <v>105</v>
      </c>
      <c r="E279">
        <v>89.99</v>
      </c>
      <c r="F279">
        <v>0</v>
      </c>
      <c r="G279">
        <v>122</v>
      </c>
      <c r="H279" t="s">
        <v>5085</v>
      </c>
      <c r="I279">
        <v>0</v>
      </c>
      <c r="J279">
        <v>0</v>
      </c>
      <c r="K279">
        <v>24</v>
      </c>
    </row>
    <row r="280" spans="1:11" x14ac:dyDescent="0.2">
      <c r="A280" t="s">
        <v>30</v>
      </c>
      <c r="B280" t="s">
        <v>802</v>
      </c>
      <c r="C280" t="s">
        <v>582</v>
      </c>
      <c r="D280" t="s">
        <v>105</v>
      </c>
      <c r="E280">
        <v>19.989999999999998</v>
      </c>
      <c r="F280">
        <v>0</v>
      </c>
      <c r="G280">
        <v>1022</v>
      </c>
      <c r="H280" t="s">
        <v>5085</v>
      </c>
      <c r="I280">
        <v>0</v>
      </c>
      <c r="J280">
        <v>0</v>
      </c>
      <c r="K280">
        <v>2</v>
      </c>
    </row>
    <row r="281" spans="1:11" x14ac:dyDescent="0.2">
      <c r="A281" t="s">
        <v>3470</v>
      </c>
      <c r="B281" t="s">
        <v>3471</v>
      </c>
      <c r="C281" t="s">
        <v>3349</v>
      </c>
      <c r="D281" t="s">
        <v>105</v>
      </c>
      <c r="E281">
        <v>19.989999999999998</v>
      </c>
      <c r="F281">
        <v>0</v>
      </c>
      <c r="G281">
        <v>33</v>
      </c>
      <c r="H281" t="s">
        <v>5085</v>
      </c>
      <c r="I281">
        <v>0</v>
      </c>
      <c r="J281">
        <v>0</v>
      </c>
      <c r="K281">
        <v>5</v>
      </c>
    </row>
    <row r="282" spans="1:11" x14ac:dyDescent="0.2">
      <c r="A282" t="s">
        <v>918</v>
      </c>
      <c r="B282" t="s">
        <v>919</v>
      </c>
      <c r="C282" t="s">
        <v>911</v>
      </c>
      <c r="D282" t="s">
        <v>105</v>
      </c>
      <c r="E282">
        <v>59.99</v>
      </c>
      <c r="F282">
        <v>239.96</v>
      </c>
      <c r="G282">
        <v>143</v>
      </c>
      <c r="H282" t="s">
        <v>5065</v>
      </c>
      <c r="I282">
        <v>1.3333333333333333</v>
      </c>
      <c r="J282">
        <v>4</v>
      </c>
      <c r="K282">
        <v>6</v>
      </c>
    </row>
    <row r="283" spans="1:11" x14ac:dyDescent="0.2">
      <c r="A283" t="s">
        <v>778</v>
      </c>
      <c r="B283" t="s">
        <v>779</v>
      </c>
      <c r="C283" t="s">
        <v>582</v>
      </c>
      <c r="D283" t="s">
        <v>105</v>
      </c>
      <c r="E283">
        <v>59.99</v>
      </c>
      <c r="F283">
        <v>299.95</v>
      </c>
      <c r="G283">
        <v>26</v>
      </c>
      <c r="H283" t="s">
        <v>5065</v>
      </c>
      <c r="I283">
        <v>3.1666666666666665</v>
      </c>
      <c r="J283">
        <v>12</v>
      </c>
      <c r="K283">
        <v>38</v>
      </c>
    </row>
    <row r="284" spans="1:11" x14ac:dyDescent="0.2">
      <c r="A284" t="s">
        <v>698</v>
      </c>
      <c r="B284" t="s">
        <v>699</v>
      </c>
      <c r="C284" t="s">
        <v>582</v>
      </c>
      <c r="D284" t="s">
        <v>105</v>
      </c>
      <c r="E284">
        <v>59.99</v>
      </c>
      <c r="F284">
        <v>59.99</v>
      </c>
      <c r="G284">
        <v>34</v>
      </c>
      <c r="H284" t="s">
        <v>5065</v>
      </c>
      <c r="I284">
        <v>2.5</v>
      </c>
      <c r="J284">
        <v>18</v>
      </c>
      <c r="K284">
        <v>44</v>
      </c>
    </row>
    <row r="285" spans="1:11" x14ac:dyDescent="0.2">
      <c r="A285" t="s">
        <v>301</v>
      </c>
      <c r="B285" t="s">
        <v>302</v>
      </c>
      <c r="C285" t="s">
        <v>288</v>
      </c>
      <c r="D285" t="s">
        <v>105</v>
      </c>
      <c r="E285">
        <v>199.99</v>
      </c>
      <c r="F285">
        <v>199.99</v>
      </c>
      <c r="G285">
        <v>44</v>
      </c>
      <c r="H285" t="s">
        <v>5065</v>
      </c>
      <c r="I285">
        <v>2.6666666666666665</v>
      </c>
      <c r="J285">
        <v>16</v>
      </c>
      <c r="K285">
        <v>43</v>
      </c>
    </row>
    <row r="286" spans="1:11" x14ac:dyDescent="0.2">
      <c r="A286" t="s">
        <v>3930</v>
      </c>
      <c r="B286" t="s">
        <v>3931</v>
      </c>
      <c r="C286" t="s">
        <v>3929</v>
      </c>
      <c r="D286" t="s">
        <v>105</v>
      </c>
      <c r="E286">
        <v>139.99</v>
      </c>
      <c r="F286">
        <v>0</v>
      </c>
      <c r="G286">
        <v>42</v>
      </c>
      <c r="H286" t="s">
        <v>5065</v>
      </c>
      <c r="I286">
        <v>0.66666666666666663</v>
      </c>
      <c r="J286">
        <v>94</v>
      </c>
      <c r="K286">
        <v>63</v>
      </c>
    </row>
    <row r="287" spans="1:11" x14ac:dyDescent="0.2">
      <c r="A287" t="s">
        <v>3903</v>
      </c>
      <c r="B287" t="s">
        <v>5077</v>
      </c>
      <c r="C287" t="s">
        <v>3876</v>
      </c>
      <c r="D287" t="s">
        <v>105</v>
      </c>
      <c r="E287">
        <v>69.989999999999995</v>
      </c>
      <c r="F287">
        <v>349.95</v>
      </c>
      <c r="G287">
        <v>130</v>
      </c>
      <c r="H287" t="s">
        <v>5065</v>
      </c>
      <c r="I287">
        <v>3.8333333333333335</v>
      </c>
      <c r="J287">
        <v>10</v>
      </c>
      <c r="K287">
        <v>37</v>
      </c>
    </row>
    <row r="288" spans="1:11" x14ac:dyDescent="0.2">
      <c r="A288" t="s">
        <v>654</v>
      </c>
      <c r="B288" t="s">
        <v>655</v>
      </c>
      <c r="C288" t="s">
        <v>582</v>
      </c>
      <c r="D288" t="s">
        <v>105</v>
      </c>
      <c r="E288">
        <v>89.99</v>
      </c>
      <c r="F288">
        <v>269.96999999999997</v>
      </c>
      <c r="H288" t="s">
        <v>5065</v>
      </c>
      <c r="I288">
        <v>3</v>
      </c>
      <c r="J288">
        <v>14</v>
      </c>
      <c r="K288">
        <v>42</v>
      </c>
    </row>
    <row r="289" spans="1:11" x14ac:dyDescent="0.2">
      <c r="A289" t="s">
        <v>636</v>
      </c>
      <c r="B289" t="s">
        <v>637</v>
      </c>
      <c r="C289" t="s">
        <v>582</v>
      </c>
      <c r="D289" t="s">
        <v>105</v>
      </c>
      <c r="E289">
        <v>129.99</v>
      </c>
      <c r="F289">
        <v>129.99</v>
      </c>
      <c r="H289" t="s">
        <v>5065</v>
      </c>
      <c r="I289">
        <v>1.1666666666666667</v>
      </c>
      <c r="J289">
        <v>34</v>
      </c>
      <c r="K289">
        <v>40</v>
      </c>
    </row>
    <row r="290" spans="1:11" x14ac:dyDescent="0.2">
      <c r="A290" t="s">
        <v>607</v>
      </c>
      <c r="B290" t="s">
        <v>608</v>
      </c>
      <c r="C290" t="s">
        <v>582</v>
      </c>
      <c r="D290" t="s">
        <v>105</v>
      </c>
      <c r="E290">
        <v>34.99</v>
      </c>
      <c r="F290">
        <v>34.99</v>
      </c>
      <c r="G290">
        <v>54</v>
      </c>
      <c r="H290" t="s">
        <v>5065</v>
      </c>
      <c r="I290">
        <v>1</v>
      </c>
      <c r="J290">
        <v>4</v>
      </c>
      <c r="K290">
        <v>4</v>
      </c>
    </row>
    <row r="291" spans="1:11" x14ac:dyDescent="0.2">
      <c r="A291" t="s">
        <v>597</v>
      </c>
      <c r="B291" t="s">
        <v>598</v>
      </c>
      <c r="C291" t="s">
        <v>582</v>
      </c>
      <c r="D291" t="s">
        <v>105</v>
      </c>
      <c r="E291">
        <v>99.99</v>
      </c>
      <c r="F291">
        <v>0</v>
      </c>
      <c r="H291" t="s">
        <v>5065</v>
      </c>
      <c r="I291">
        <v>1.6666666666666667</v>
      </c>
      <c r="J291">
        <v>25</v>
      </c>
      <c r="K291">
        <v>41</v>
      </c>
    </row>
    <row r="292" spans="1:11" x14ac:dyDescent="0.2">
      <c r="A292" t="s">
        <v>4937</v>
      </c>
      <c r="B292" t="s">
        <v>4936</v>
      </c>
      <c r="C292" t="s">
        <v>4905</v>
      </c>
      <c r="D292" t="s">
        <v>105</v>
      </c>
      <c r="E292">
        <v>199.99</v>
      </c>
      <c r="F292">
        <v>0</v>
      </c>
      <c r="G292">
        <v>148</v>
      </c>
      <c r="H292" t="s">
        <v>8</v>
      </c>
      <c r="I292">
        <v>2.1666666666666665</v>
      </c>
      <c r="J292">
        <v>30</v>
      </c>
      <c r="K292">
        <v>64</v>
      </c>
    </row>
    <row r="293" spans="1:11" x14ac:dyDescent="0.2">
      <c r="A293" t="s">
        <v>730</v>
      </c>
      <c r="B293" t="s">
        <v>731</v>
      </c>
      <c r="C293" t="s">
        <v>582</v>
      </c>
      <c r="D293" t="s">
        <v>105</v>
      </c>
      <c r="E293">
        <v>59.99</v>
      </c>
      <c r="F293">
        <v>179.97</v>
      </c>
      <c r="G293">
        <v>103</v>
      </c>
      <c r="H293" t="s">
        <v>8</v>
      </c>
      <c r="I293">
        <v>3</v>
      </c>
      <c r="J293">
        <v>19</v>
      </c>
      <c r="K293">
        <v>57</v>
      </c>
    </row>
    <row r="294" spans="1:11" x14ac:dyDescent="0.2">
      <c r="A294" t="s">
        <v>4923</v>
      </c>
      <c r="B294" t="s">
        <v>4924</v>
      </c>
      <c r="C294" t="s">
        <v>4905</v>
      </c>
      <c r="D294" t="s">
        <v>105</v>
      </c>
      <c r="E294">
        <v>379.99</v>
      </c>
      <c r="F294">
        <v>379.99</v>
      </c>
      <c r="H294" t="s">
        <v>8</v>
      </c>
      <c r="I294">
        <v>1.6666666666666667</v>
      </c>
      <c r="J294">
        <v>19</v>
      </c>
      <c r="K294">
        <v>31</v>
      </c>
    </row>
    <row r="295" spans="1:11" x14ac:dyDescent="0.2">
      <c r="A295" t="s">
        <v>5098</v>
      </c>
      <c r="B295" t="s">
        <v>5099</v>
      </c>
      <c r="C295" t="s">
        <v>3929</v>
      </c>
      <c r="D295" t="s">
        <v>138</v>
      </c>
      <c r="E295">
        <v>39.99</v>
      </c>
      <c r="F295">
        <v>0</v>
      </c>
      <c r="H295" t="s">
        <v>8</v>
      </c>
      <c r="I295">
        <v>0.66666666666666663</v>
      </c>
      <c r="J295">
        <v>4</v>
      </c>
      <c r="K295">
        <v>3</v>
      </c>
    </row>
    <row r="296" spans="1:11" x14ac:dyDescent="0.2">
      <c r="A296" t="s">
        <v>3960</v>
      </c>
      <c r="B296" t="s">
        <v>3961</v>
      </c>
      <c r="C296" t="s">
        <v>3929</v>
      </c>
      <c r="D296" t="s">
        <v>105</v>
      </c>
      <c r="E296">
        <v>64.989999999999995</v>
      </c>
      <c r="F296">
        <v>0</v>
      </c>
      <c r="G296">
        <v>20</v>
      </c>
      <c r="H296" t="s">
        <v>8</v>
      </c>
      <c r="I296">
        <v>0.5</v>
      </c>
      <c r="J296">
        <v>44</v>
      </c>
      <c r="K296">
        <v>22</v>
      </c>
    </row>
    <row r="297" spans="1:11" x14ac:dyDescent="0.2">
      <c r="A297" t="s">
        <v>3418</v>
      </c>
      <c r="B297" t="s">
        <v>3419</v>
      </c>
      <c r="C297" t="s">
        <v>3349</v>
      </c>
      <c r="D297" t="s">
        <v>138</v>
      </c>
      <c r="E297">
        <v>49.99</v>
      </c>
      <c r="F297">
        <v>99.98</v>
      </c>
      <c r="H297" t="s">
        <v>8</v>
      </c>
      <c r="I297">
        <v>1.6666666666666667</v>
      </c>
      <c r="J297">
        <v>38</v>
      </c>
      <c r="K297">
        <v>63</v>
      </c>
    </row>
    <row r="298" spans="1:11" x14ac:dyDescent="0.2">
      <c r="A298" t="s">
        <v>3940</v>
      </c>
      <c r="B298" t="s">
        <v>3941</v>
      </c>
      <c r="C298" t="s">
        <v>3929</v>
      </c>
      <c r="D298" t="s">
        <v>105</v>
      </c>
      <c r="E298">
        <v>209.99</v>
      </c>
      <c r="F298">
        <v>0</v>
      </c>
      <c r="G298">
        <v>7</v>
      </c>
      <c r="H298" t="s">
        <v>8</v>
      </c>
      <c r="I298">
        <v>1</v>
      </c>
      <c r="J298">
        <v>21</v>
      </c>
      <c r="K298">
        <v>21</v>
      </c>
    </row>
    <row r="299" spans="1:11" x14ac:dyDescent="0.2">
      <c r="A299" t="s">
        <v>3404</v>
      </c>
      <c r="B299" t="s">
        <v>3405</v>
      </c>
      <c r="C299" t="s">
        <v>3349</v>
      </c>
      <c r="D299" t="s">
        <v>105</v>
      </c>
      <c r="E299">
        <v>199.99</v>
      </c>
      <c r="F299">
        <v>0</v>
      </c>
      <c r="H299" t="s">
        <v>8</v>
      </c>
      <c r="I299">
        <v>0</v>
      </c>
      <c r="J299">
        <v>0</v>
      </c>
      <c r="K299">
        <v>0</v>
      </c>
    </row>
    <row r="300" spans="1:11" x14ac:dyDescent="0.2">
      <c r="A300" t="s">
        <v>774</v>
      </c>
      <c r="B300" t="s">
        <v>775</v>
      </c>
      <c r="C300" t="s">
        <v>582</v>
      </c>
      <c r="D300" t="s">
        <v>105</v>
      </c>
      <c r="E300">
        <v>99.99</v>
      </c>
      <c r="F300">
        <v>0</v>
      </c>
      <c r="G300">
        <v>1</v>
      </c>
      <c r="H300" t="s">
        <v>8</v>
      </c>
      <c r="I300">
        <v>0.5</v>
      </c>
      <c r="J300">
        <v>60</v>
      </c>
      <c r="K300">
        <v>30</v>
      </c>
    </row>
    <row r="301" spans="1:11" x14ac:dyDescent="0.2">
      <c r="A301" t="s">
        <v>611</v>
      </c>
      <c r="B301" t="s">
        <v>612</v>
      </c>
      <c r="C301" t="s">
        <v>582</v>
      </c>
      <c r="D301" t="s">
        <v>105</v>
      </c>
      <c r="E301">
        <v>89.99</v>
      </c>
      <c r="F301">
        <v>0</v>
      </c>
      <c r="G301">
        <v>63</v>
      </c>
      <c r="H301" t="s">
        <v>8</v>
      </c>
      <c r="I301">
        <v>0.5</v>
      </c>
      <c r="J301">
        <v>26</v>
      </c>
      <c r="K301">
        <v>13</v>
      </c>
    </row>
    <row r="302" spans="1:11" x14ac:dyDescent="0.2">
      <c r="A302" t="s">
        <v>700</v>
      </c>
      <c r="B302" t="s">
        <v>701</v>
      </c>
      <c r="C302" t="s">
        <v>582</v>
      </c>
      <c r="D302" t="s">
        <v>105</v>
      </c>
      <c r="E302">
        <v>59.99</v>
      </c>
      <c r="F302">
        <v>0</v>
      </c>
      <c r="G302">
        <v>61</v>
      </c>
      <c r="H302" t="s">
        <v>8</v>
      </c>
      <c r="I302">
        <v>2</v>
      </c>
      <c r="J302">
        <v>32</v>
      </c>
      <c r="K302">
        <v>63</v>
      </c>
    </row>
    <row r="303" spans="1:11" x14ac:dyDescent="0.2">
      <c r="A303" t="s">
        <v>4533</v>
      </c>
      <c r="B303" t="s">
        <v>4534</v>
      </c>
      <c r="C303" t="s">
        <v>4518</v>
      </c>
      <c r="D303" t="s">
        <v>105</v>
      </c>
      <c r="E303">
        <v>119.99</v>
      </c>
      <c r="F303">
        <v>479.96</v>
      </c>
      <c r="G303">
        <v>104</v>
      </c>
      <c r="H303" t="s">
        <v>8</v>
      </c>
      <c r="I303">
        <v>2.6666666666666665</v>
      </c>
      <c r="J303">
        <v>44</v>
      </c>
      <c r="K303">
        <v>116</v>
      </c>
    </row>
    <row r="304" spans="1:11" x14ac:dyDescent="0.2">
      <c r="A304" t="s">
        <v>956</v>
      </c>
      <c r="B304" t="s">
        <v>957</v>
      </c>
      <c r="C304" t="s">
        <v>911</v>
      </c>
      <c r="D304" t="s">
        <v>105</v>
      </c>
      <c r="E304">
        <v>89.99</v>
      </c>
      <c r="F304">
        <v>89.99</v>
      </c>
      <c r="G304">
        <v>205</v>
      </c>
      <c r="H304" t="s">
        <v>8</v>
      </c>
      <c r="I304">
        <v>1.8333333333333333</v>
      </c>
      <c r="J304">
        <v>3</v>
      </c>
      <c r="K304">
        <v>6</v>
      </c>
    </row>
    <row r="305" spans="1:11" x14ac:dyDescent="0.2">
      <c r="A305" t="s">
        <v>5100</v>
      </c>
      <c r="B305" t="s">
        <v>5101</v>
      </c>
      <c r="C305" t="s">
        <v>3929</v>
      </c>
      <c r="D305" t="s">
        <v>98</v>
      </c>
      <c r="E305">
        <v>189.99</v>
      </c>
      <c r="F305">
        <v>379.98</v>
      </c>
      <c r="H305" t="s">
        <v>8</v>
      </c>
      <c r="I305">
        <v>1.3333333333333333</v>
      </c>
      <c r="J305">
        <v>23</v>
      </c>
      <c r="K305">
        <v>31</v>
      </c>
    </row>
    <row r="306" spans="1:11" x14ac:dyDescent="0.2">
      <c r="A306" t="s">
        <v>4097</v>
      </c>
      <c r="B306" t="s">
        <v>4098</v>
      </c>
      <c r="C306" t="s">
        <v>3929</v>
      </c>
      <c r="D306" t="s">
        <v>105</v>
      </c>
      <c r="E306">
        <v>199.99</v>
      </c>
      <c r="F306">
        <v>0</v>
      </c>
      <c r="H306" t="s">
        <v>8</v>
      </c>
      <c r="I306">
        <v>4</v>
      </c>
      <c r="J306">
        <v>4</v>
      </c>
      <c r="K306">
        <v>17</v>
      </c>
    </row>
    <row r="307" spans="1:11" x14ac:dyDescent="0.2">
      <c r="A307" t="s">
        <v>4083</v>
      </c>
      <c r="B307" t="s">
        <v>4084</v>
      </c>
      <c r="C307" t="s">
        <v>3929</v>
      </c>
      <c r="D307" t="s">
        <v>105</v>
      </c>
      <c r="E307">
        <v>74.989999999999995</v>
      </c>
      <c r="F307">
        <v>0</v>
      </c>
      <c r="G307">
        <v>91</v>
      </c>
      <c r="H307" t="s">
        <v>8</v>
      </c>
      <c r="I307">
        <v>0.33333333333333331</v>
      </c>
      <c r="J307">
        <v>27</v>
      </c>
      <c r="K307">
        <v>9</v>
      </c>
    </row>
    <row r="308" spans="1:11" x14ac:dyDescent="0.2">
      <c r="A308" t="s">
        <v>3988</v>
      </c>
      <c r="B308" t="s">
        <v>3989</v>
      </c>
      <c r="C308" t="s">
        <v>3929</v>
      </c>
      <c r="D308" t="s">
        <v>105</v>
      </c>
      <c r="E308">
        <v>59.99</v>
      </c>
      <c r="F308">
        <v>479.92</v>
      </c>
      <c r="G308">
        <v>2</v>
      </c>
      <c r="H308" t="s">
        <v>73</v>
      </c>
      <c r="I308">
        <v>14.833333333333334</v>
      </c>
      <c r="J308">
        <v>13</v>
      </c>
      <c r="K308">
        <v>188</v>
      </c>
    </row>
    <row r="309" spans="1:11" x14ac:dyDescent="0.2">
      <c r="A309" t="s">
        <v>4115</v>
      </c>
      <c r="B309" t="s">
        <v>4116</v>
      </c>
      <c r="C309" t="s">
        <v>3929</v>
      </c>
      <c r="D309" t="s">
        <v>105</v>
      </c>
      <c r="E309">
        <v>44.99</v>
      </c>
      <c r="F309">
        <v>359.92</v>
      </c>
      <c r="G309">
        <v>2</v>
      </c>
      <c r="H309" t="s">
        <v>73</v>
      </c>
      <c r="I309">
        <v>3</v>
      </c>
      <c r="J309">
        <v>39</v>
      </c>
      <c r="K309">
        <v>116</v>
      </c>
    </row>
    <row r="310" spans="1:11" x14ac:dyDescent="0.2">
      <c r="A310" t="s">
        <v>4119</v>
      </c>
      <c r="B310" t="s">
        <v>4120</v>
      </c>
      <c r="C310" t="s">
        <v>3929</v>
      </c>
      <c r="D310" t="s">
        <v>105</v>
      </c>
      <c r="E310">
        <v>34.99</v>
      </c>
      <c r="F310">
        <v>34.99</v>
      </c>
      <c r="G310">
        <v>57</v>
      </c>
      <c r="H310" t="s">
        <v>73</v>
      </c>
      <c r="I310">
        <v>0.5</v>
      </c>
      <c r="J310">
        <v>274</v>
      </c>
      <c r="K310">
        <v>137</v>
      </c>
    </row>
    <row r="311" spans="1:11" x14ac:dyDescent="0.2">
      <c r="A311" t="s">
        <v>4065</v>
      </c>
      <c r="B311" t="s">
        <v>4066</v>
      </c>
      <c r="C311" t="s">
        <v>3929</v>
      </c>
      <c r="D311" t="s">
        <v>105</v>
      </c>
      <c r="E311">
        <v>259.99</v>
      </c>
      <c r="F311">
        <v>519.98</v>
      </c>
      <c r="G311">
        <v>29</v>
      </c>
      <c r="H311" t="s">
        <v>73</v>
      </c>
      <c r="I311">
        <v>1.1666666666666667</v>
      </c>
      <c r="J311">
        <v>17</v>
      </c>
      <c r="K311">
        <v>20</v>
      </c>
    </row>
    <row r="312" spans="1:11" x14ac:dyDescent="0.2">
      <c r="A312" t="s">
        <v>3140</v>
      </c>
      <c r="B312" t="s">
        <v>3141</v>
      </c>
      <c r="C312" t="s">
        <v>3133</v>
      </c>
      <c r="D312" t="s">
        <v>98</v>
      </c>
      <c r="E312">
        <v>24.99</v>
      </c>
      <c r="F312">
        <v>224.91</v>
      </c>
      <c r="H312" t="s">
        <v>73</v>
      </c>
      <c r="I312">
        <v>4.333333333333333</v>
      </c>
      <c r="J312">
        <v>13</v>
      </c>
      <c r="K312">
        <v>58</v>
      </c>
    </row>
    <row r="313" spans="1:11" x14ac:dyDescent="0.2">
      <c r="A313" t="s">
        <v>3352</v>
      </c>
      <c r="B313" t="s">
        <v>3353</v>
      </c>
      <c r="C313" t="s">
        <v>3349</v>
      </c>
      <c r="D313" t="s">
        <v>105</v>
      </c>
      <c r="E313">
        <v>179.99</v>
      </c>
      <c r="F313">
        <v>899.95</v>
      </c>
      <c r="H313" t="s">
        <v>73</v>
      </c>
      <c r="I313">
        <v>2.5</v>
      </c>
      <c r="J313">
        <v>14</v>
      </c>
      <c r="K313">
        <v>34</v>
      </c>
    </row>
    <row r="314" spans="1:11" x14ac:dyDescent="0.2">
      <c r="A314" t="s">
        <v>684</v>
      </c>
      <c r="B314" t="s">
        <v>685</v>
      </c>
      <c r="C314" t="s">
        <v>582</v>
      </c>
      <c r="D314" t="s">
        <v>105</v>
      </c>
      <c r="E314">
        <v>59.99</v>
      </c>
      <c r="F314">
        <v>59.99</v>
      </c>
      <c r="G314">
        <v>55</v>
      </c>
      <c r="H314" t="s">
        <v>73</v>
      </c>
      <c r="I314">
        <v>0.66666666666666663</v>
      </c>
      <c r="J314">
        <v>110</v>
      </c>
      <c r="K314">
        <v>73</v>
      </c>
    </row>
    <row r="315" spans="1:11" x14ac:dyDescent="0.2">
      <c r="A315" t="s">
        <v>5102</v>
      </c>
      <c r="B315" t="s">
        <v>5103</v>
      </c>
      <c r="C315" t="s">
        <v>3929</v>
      </c>
      <c r="D315" t="s">
        <v>98</v>
      </c>
      <c r="E315">
        <v>99.99</v>
      </c>
      <c r="F315">
        <v>0</v>
      </c>
      <c r="H315" t="s">
        <v>73</v>
      </c>
      <c r="I315">
        <v>0.33333333333333331</v>
      </c>
      <c r="J315">
        <v>66</v>
      </c>
      <c r="K315">
        <v>22</v>
      </c>
    </row>
    <row r="316" spans="1:11" x14ac:dyDescent="0.2">
      <c r="A316" t="s">
        <v>3354</v>
      </c>
      <c r="B316" t="s">
        <v>3355</v>
      </c>
      <c r="C316" t="s">
        <v>3349</v>
      </c>
      <c r="D316" t="s">
        <v>105</v>
      </c>
      <c r="E316">
        <v>239.99</v>
      </c>
      <c r="F316">
        <v>479.98</v>
      </c>
      <c r="G316">
        <v>52</v>
      </c>
      <c r="H316" t="s">
        <v>73</v>
      </c>
      <c r="I316">
        <v>0.66666666666666663</v>
      </c>
      <c r="J316">
        <v>3</v>
      </c>
      <c r="K316">
        <v>2</v>
      </c>
    </row>
    <row r="317" spans="1:11" x14ac:dyDescent="0.2">
      <c r="A317" t="s">
        <v>30</v>
      </c>
      <c r="B317" t="s">
        <v>802</v>
      </c>
      <c r="C317" t="s">
        <v>582</v>
      </c>
      <c r="D317" t="s">
        <v>105</v>
      </c>
      <c r="E317">
        <v>19.989999999999998</v>
      </c>
      <c r="F317">
        <v>79.959999999999994</v>
      </c>
      <c r="G317">
        <v>1022</v>
      </c>
      <c r="H317" t="s">
        <v>73</v>
      </c>
      <c r="I317">
        <v>3.3333333333333335</v>
      </c>
      <c r="J317">
        <v>39</v>
      </c>
      <c r="K317">
        <v>131</v>
      </c>
    </row>
    <row r="318" spans="1:11" x14ac:dyDescent="0.2">
      <c r="A318" t="s">
        <v>3980</v>
      </c>
      <c r="B318" t="s">
        <v>3981</v>
      </c>
      <c r="C318" t="s">
        <v>3929</v>
      </c>
      <c r="D318" t="s">
        <v>105</v>
      </c>
      <c r="E318">
        <v>24.99</v>
      </c>
      <c r="F318">
        <v>24.99</v>
      </c>
      <c r="G318">
        <v>242</v>
      </c>
      <c r="H318" t="s">
        <v>73</v>
      </c>
      <c r="I318">
        <v>2.1666666666666665</v>
      </c>
      <c r="J318">
        <v>40</v>
      </c>
      <c r="K318">
        <v>87</v>
      </c>
    </row>
    <row r="319" spans="1:11" x14ac:dyDescent="0.2">
      <c r="A319" t="s">
        <v>4073</v>
      </c>
      <c r="B319" t="s">
        <v>4074</v>
      </c>
      <c r="C319" t="s">
        <v>3929</v>
      </c>
      <c r="D319" t="s">
        <v>105</v>
      </c>
      <c r="E319">
        <v>69.989999999999995</v>
      </c>
      <c r="F319">
        <v>0</v>
      </c>
      <c r="G319">
        <v>52</v>
      </c>
      <c r="H319" t="s">
        <v>73</v>
      </c>
      <c r="I319">
        <v>0.66666666666666663</v>
      </c>
      <c r="J319">
        <v>135</v>
      </c>
      <c r="K319">
        <v>90</v>
      </c>
    </row>
    <row r="320" spans="1:11" x14ac:dyDescent="0.2">
      <c r="A320" t="s">
        <v>3974</v>
      </c>
      <c r="B320" t="s">
        <v>3975</v>
      </c>
      <c r="C320" t="s">
        <v>3929</v>
      </c>
      <c r="D320" t="s">
        <v>105</v>
      </c>
      <c r="E320">
        <v>199.99</v>
      </c>
      <c r="F320">
        <v>0</v>
      </c>
      <c r="G320">
        <v>8</v>
      </c>
      <c r="H320" t="s">
        <v>73</v>
      </c>
      <c r="I320">
        <v>0.5</v>
      </c>
      <c r="J320">
        <v>8</v>
      </c>
      <c r="K320">
        <v>4</v>
      </c>
    </row>
    <row r="321" spans="1:11" x14ac:dyDescent="0.2">
      <c r="A321" t="s">
        <v>748</v>
      </c>
      <c r="B321" t="s">
        <v>749</v>
      </c>
      <c r="C321" t="s">
        <v>582</v>
      </c>
      <c r="D321" t="s">
        <v>105</v>
      </c>
      <c r="E321">
        <v>19.989999999999998</v>
      </c>
      <c r="F321">
        <v>139.92999999999998</v>
      </c>
      <c r="G321">
        <v>290</v>
      </c>
      <c r="H321" t="s">
        <v>73</v>
      </c>
      <c r="I321">
        <v>2</v>
      </c>
      <c r="J321">
        <v>87</v>
      </c>
      <c r="K321">
        <v>174</v>
      </c>
    </row>
    <row r="322" spans="1:11" x14ac:dyDescent="0.2">
      <c r="A322" t="s">
        <v>3144</v>
      </c>
      <c r="B322" t="s">
        <v>3145</v>
      </c>
      <c r="C322" t="s">
        <v>3133</v>
      </c>
      <c r="D322" t="s">
        <v>98</v>
      </c>
      <c r="E322">
        <v>69.989999999999995</v>
      </c>
      <c r="F322">
        <v>0</v>
      </c>
      <c r="H322" t="s">
        <v>73</v>
      </c>
      <c r="I322">
        <v>0.16666666666666666</v>
      </c>
      <c r="J322">
        <v>48</v>
      </c>
      <c r="K322">
        <v>8</v>
      </c>
    </row>
    <row r="323" spans="1:11" x14ac:dyDescent="0.2">
      <c r="A323" t="s">
        <v>5104</v>
      </c>
      <c r="B323" t="s">
        <v>5105</v>
      </c>
      <c r="C323" t="s">
        <v>3929</v>
      </c>
      <c r="D323" t="s">
        <v>105</v>
      </c>
      <c r="E323">
        <v>69.989999999999995</v>
      </c>
      <c r="F323">
        <v>69.989999999999995</v>
      </c>
      <c r="G323">
        <v>3</v>
      </c>
      <c r="H323" t="s">
        <v>73</v>
      </c>
      <c r="I323">
        <v>1</v>
      </c>
      <c r="J323">
        <v>36</v>
      </c>
      <c r="K323">
        <v>36</v>
      </c>
    </row>
    <row r="324" spans="1:11" x14ac:dyDescent="0.2">
      <c r="A324" t="s">
        <v>5106</v>
      </c>
      <c r="B324" t="s">
        <v>5107</v>
      </c>
      <c r="C324" t="s">
        <v>3929</v>
      </c>
      <c r="D324" t="s">
        <v>138</v>
      </c>
      <c r="E324">
        <v>89.99</v>
      </c>
      <c r="F324">
        <v>89.99</v>
      </c>
      <c r="G324">
        <v>12</v>
      </c>
      <c r="H324" t="s">
        <v>73</v>
      </c>
      <c r="I324">
        <v>5.833333333333333</v>
      </c>
      <c r="J324">
        <v>8</v>
      </c>
      <c r="K324">
        <v>44</v>
      </c>
    </row>
    <row r="325" spans="1:11" x14ac:dyDescent="0.2">
      <c r="A325" t="s">
        <v>4239</v>
      </c>
      <c r="B325" t="s">
        <v>4240</v>
      </c>
      <c r="C325" t="s">
        <v>4230</v>
      </c>
      <c r="D325" t="s">
        <v>105</v>
      </c>
      <c r="E325">
        <v>379</v>
      </c>
      <c r="F325">
        <v>1137</v>
      </c>
      <c r="G325">
        <v>132</v>
      </c>
      <c r="H325" t="s">
        <v>73</v>
      </c>
      <c r="I325">
        <v>1</v>
      </c>
      <c r="J325">
        <v>18</v>
      </c>
      <c r="K325">
        <v>18</v>
      </c>
    </row>
    <row r="326" spans="1:11" x14ac:dyDescent="0.2">
      <c r="A326" t="s">
        <v>4044</v>
      </c>
      <c r="B326" t="s">
        <v>4045</v>
      </c>
      <c r="C326" t="s">
        <v>3929</v>
      </c>
      <c r="D326" t="s">
        <v>105</v>
      </c>
      <c r="E326">
        <v>129.99</v>
      </c>
      <c r="F326">
        <v>259.98</v>
      </c>
      <c r="H326" t="s">
        <v>73</v>
      </c>
      <c r="I326">
        <v>8.3333333333333339</v>
      </c>
      <c r="J326">
        <v>0</v>
      </c>
      <c r="K326">
        <v>2</v>
      </c>
    </row>
    <row r="327" spans="1:11" x14ac:dyDescent="0.2">
      <c r="A327" t="s">
        <v>4016</v>
      </c>
      <c r="B327" t="s">
        <v>4017</v>
      </c>
      <c r="C327" t="s">
        <v>3929</v>
      </c>
      <c r="D327" t="s">
        <v>105</v>
      </c>
      <c r="E327">
        <v>99.99</v>
      </c>
      <c r="F327">
        <v>99.99</v>
      </c>
      <c r="H327" t="s">
        <v>73</v>
      </c>
      <c r="I327">
        <v>0.83333333333333337</v>
      </c>
      <c r="J327">
        <v>60</v>
      </c>
      <c r="K327">
        <v>50</v>
      </c>
    </row>
    <row r="328" spans="1:11" x14ac:dyDescent="0.2">
      <c r="A328" t="s">
        <v>4277</v>
      </c>
      <c r="B328" t="s">
        <v>4278</v>
      </c>
      <c r="C328" t="s">
        <v>4230</v>
      </c>
      <c r="D328" t="s">
        <v>105</v>
      </c>
      <c r="E328">
        <v>249</v>
      </c>
      <c r="F328">
        <v>0</v>
      </c>
      <c r="G328">
        <v>196</v>
      </c>
      <c r="H328" t="s">
        <v>73</v>
      </c>
      <c r="I328">
        <v>0.5</v>
      </c>
      <c r="J328">
        <v>52</v>
      </c>
      <c r="K328">
        <v>26</v>
      </c>
    </row>
    <row r="329" spans="1:11" x14ac:dyDescent="0.2">
      <c r="A329" t="s">
        <v>5108</v>
      </c>
      <c r="B329" t="s">
        <v>5109</v>
      </c>
      <c r="C329" t="s">
        <v>3929</v>
      </c>
      <c r="D329" t="s">
        <v>98</v>
      </c>
      <c r="E329">
        <v>89.99</v>
      </c>
      <c r="F329">
        <v>269.96999999999997</v>
      </c>
      <c r="H329" t="s">
        <v>73</v>
      </c>
      <c r="I329">
        <v>1.5</v>
      </c>
      <c r="J329">
        <v>97</v>
      </c>
      <c r="K329">
        <v>145</v>
      </c>
    </row>
    <row r="330" spans="1:11" x14ac:dyDescent="0.2">
      <c r="A330" t="s">
        <v>4121</v>
      </c>
      <c r="B330" t="s">
        <v>4122</v>
      </c>
      <c r="C330" t="s">
        <v>3929</v>
      </c>
      <c r="D330" t="s">
        <v>105</v>
      </c>
      <c r="E330">
        <v>44.99</v>
      </c>
      <c r="F330">
        <v>44.99</v>
      </c>
      <c r="G330">
        <v>27</v>
      </c>
      <c r="H330" t="s">
        <v>73</v>
      </c>
      <c r="I330">
        <v>1</v>
      </c>
      <c r="J330">
        <v>2</v>
      </c>
      <c r="K330">
        <v>2</v>
      </c>
    </row>
    <row r="331" spans="1:11" x14ac:dyDescent="0.2">
      <c r="A331" t="s">
        <v>4057</v>
      </c>
      <c r="B331" t="s">
        <v>4058</v>
      </c>
      <c r="C331" t="s">
        <v>3929</v>
      </c>
      <c r="D331" t="s">
        <v>105</v>
      </c>
      <c r="E331">
        <v>229.99</v>
      </c>
      <c r="F331">
        <v>229.99</v>
      </c>
      <c r="G331">
        <v>9</v>
      </c>
      <c r="H331" t="s">
        <v>73</v>
      </c>
      <c r="I331">
        <v>0.66666666666666663</v>
      </c>
      <c r="J331">
        <v>34</v>
      </c>
      <c r="K331">
        <v>23</v>
      </c>
    </row>
    <row r="332" spans="1:11" x14ac:dyDescent="0.2">
      <c r="A332" t="s">
        <v>301</v>
      </c>
      <c r="B332" t="s">
        <v>302</v>
      </c>
      <c r="C332" t="s">
        <v>288</v>
      </c>
      <c r="D332" t="s">
        <v>105</v>
      </c>
      <c r="E332">
        <v>199.99</v>
      </c>
      <c r="F332">
        <v>399.98</v>
      </c>
      <c r="G332">
        <v>44</v>
      </c>
      <c r="H332" t="s">
        <v>73</v>
      </c>
      <c r="I332">
        <v>1.5</v>
      </c>
      <c r="J332">
        <v>11</v>
      </c>
      <c r="K332">
        <v>16</v>
      </c>
    </row>
    <row r="333" spans="1:11" x14ac:dyDescent="0.2">
      <c r="A333" t="s">
        <v>5110</v>
      </c>
      <c r="B333" t="s">
        <v>5111</v>
      </c>
      <c r="C333" t="s">
        <v>3929</v>
      </c>
      <c r="D333" t="s">
        <v>98</v>
      </c>
      <c r="E333">
        <v>59.99</v>
      </c>
      <c r="F333">
        <v>0</v>
      </c>
      <c r="H333" t="s">
        <v>73</v>
      </c>
      <c r="I333">
        <v>0.66666666666666663</v>
      </c>
      <c r="J333">
        <v>21</v>
      </c>
      <c r="K333">
        <v>14</v>
      </c>
    </row>
    <row r="334" spans="1:11" x14ac:dyDescent="0.2">
      <c r="A334" t="s">
        <v>5112</v>
      </c>
      <c r="B334" t="s">
        <v>5113</v>
      </c>
      <c r="C334" t="s">
        <v>3929</v>
      </c>
      <c r="D334" t="s">
        <v>138</v>
      </c>
      <c r="E334">
        <v>39.99</v>
      </c>
      <c r="F334">
        <v>79.98</v>
      </c>
      <c r="G334">
        <v>46</v>
      </c>
      <c r="H334" t="s">
        <v>73</v>
      </c>
      <c r="I334">
        <v>1.3333333333333333</v>
      </c>
      <c r="J334">
        <v>38</v>
      </c>
      <c r="K334">
        <v>50</v>
      </c>
    </row>
    <row r="335" spans="1:11" x14ac:dyDescent="0.2">
      <c r="A335" t="s">
        <v>3466</v>
      </c>
      <c r="B335" t="s">
        <v>3467</v>
      </c>
      <c r="C335" t="s">
        <v>3349</v>
      </c>
      <c r="D335" t="s">
        <v>105</v>
      </c>
      <c r="E335">
        <v>369.99</v>
      </c>
      <c r="F335">
        <v>369.99</v>
      </c>
      <c r="H335" t="s">
        <v>73</v>
      </c>
      <c r="I335">
        <v>1</v>
      </c>
      <c r="J335">
        <v>12</v>
      </c>
      <c r="K335">
        <v>12</v>
      </c>
    </row>
    <row r="336" spans="1:11" x14ac:dyDescent="0.2">
      <c r="A336" t="s">
        <v>4097</v>
      </c>
      <c r="B336" t="s">
        <v>4098</v>
      </c>
      <c r="C336" t="s">
        <v>3929</v>
      </c>
      <c r="D336" t="s">
        <v>105</v>
      </c>
      <c r="E336">
        <v>199.99</v>
      </c>
      <c r="F336">
        <v>199.99</v>
      </c>
      <c r="H336" t="s">
        <v>73</v>
      </c>
      <c r="I336">
        <v>3.1666666666666665</v>
      </c>
      <c r="J336">
        <v>31</v>
      </c>
      <c r="K336">
        <v>97</v>
      </c>
    </row>
    <row r="337" spans="1:11" x14ac:dyDescent="0.2">
      <c r="A337" t="s">
        <v>5114</v>
      </c>
      <c r="B337" t="s">
        <v>5115</v>
      </c>
      <c r="C337" t="s">
        <v>3929</v>
      </c>
      <c r="D337" t="s">
        <v>98</v>
      </c>
      <c r="E337">
        <v>129.99</v>
      </c>
      <c r="F337">
        <v>0</v>
      </c>
      <c r="H337" t="s">
        <v>73</v>
      </c>
      <c r="I337">
        <v>0.5</v>
      </c>
      <c r="J337">
        <v>36</v>
      </c>
      <c r="K337">
        <v>18</v>
      </c>
    </row>
    <row r="338" spans="1:11" x14ac:dyDescent="0.2">
      <c r="A338" t="s">
        <v>5116</v>
      </c>
      <c r="B338" t="s">
        <v>5117</v>
      </c>
      <c r="C338" t="s">
        <v>3929</v>
      </c>
      <c r="D338" t="s">
        <v>138</v>
      </c>
      <c r="E338">
        <v>209.99</v>
      </c>
      <c r="F338">
        <v>209.99</v>
      </c>
      <c r="H338" t="s">
        <v>73</v>
      </c>
      <c r="I338">
        <v>3</v>
      </c>
      <c r="J338">
        <v>48</v>
      </c>
      <c r="K338">
        <v>143</v>
      </c>
    </row>
    <row r="339" spans="1:11" x14ac:dyDescent="0.2">
      <c r="A339" t="s">
        <v>139</v>
      </c>
      <c r="B339" t="s">
        <v>140</v>
      </c>
      <c r="C339" t="s">
        <v>95</v>
      </c>
      <c r="D339" t="s">
        <v>138</v>
      </c>
      <c r="E339">
        <v>79.989999999999995</v>
      </c>
      <c r="F339">
        <v>0</v>
      </c>
      <c r="G339">
        <v>40</v>
      </c>
      <c r="H339" t="s">
        <v>73</v>
      </c>
      <c r="I339">
        <v>0.16666666666666666</v>
      </c>
      <c r="J339">
        <v>228</v>
      </c>
      <c r="K339">
        <v>38</v>
      </c>
    </row>
    <row r="340" spans="1:11" x14ac:dyDescent="0.2">
      <c r="A340" t="s">
        <v>122</v>
      </c>
      <c r="B340" t="s">
        <v>123</v>
      </c>
      <c r="C340" t="s">
        <v>95</v>
      </c>
      <c r="D340" t="s">
        <v>105</v>
      </c>
      <c r="E340">
        <v>169.99</v>
      </c>
      <c r="F340">
        <v>0</v>
      </c>
      <c r="G340">
        <v>107</v>
      </c>
      <c r="H340" t="s">
        <v>73</v>
      </c>
      <c r="I340">
        <v>0.16666666666666666</v>
      </c>
      <c r="J340">
        <v>222</v>
      </c>
      <c r="K340">
        <v>37</v>
      </c>
    </row>
    <row r="341" spans="1:11" x14ac:dyDescent="0.2">
      <c r="A341" t="s">
        <v>124</v>
      </c>
      <c r="B341" t="s">
        <v>125</v>
      </c>
      <c r="C341" t="s">
        <v>95</v>
      </c>
      <c r="D341" t="s">
        <v>105</v>
      </c>
      <c r="E341">
        <v>59.99</v>
      </c>
      <c r="F341">
        <v>0</v>
      </c>
      <c r="G341">
        <v>44</v>
      </c>
      <c r="H341" t="s">
        <v>73</v>
      </c>
      <c r="I341">
        <v>1.8333333333333333</v>
      </c>
      <c r="J341">
        <v>34</v>
      </c>
      <c r="K341">
        <v>63</v>
      </c>
    </row>
    <row r="342" spans="1:11" x14ac:dyDescent="0.2">
      <c r="A342" t="s">
        <v>5118</v>
      </c>
      <c r="B342" t="s">
        <v>5119</v>
      </c>
      <c r="C342" t="s">
        <v>3929</v>
      </c>
      <c r="D342" t="s">
        <v>98</v>
      </c>
      <c r="E342">
        <v>109.99</v>
      </c>
      <c r="F342">
        <v>0</v>
      </c>
      <c r="H342" t="s">
        <v>73</v>
      </c>
      <c r="I342">
        <v>0.33333333333333331</v>
      </c>
      <c r="J342">
        <v>330</v>
      </c>
      <c r="K342">
        <v>110</v>
      </c>
    </row>
    <row r="343" spans="1:11" x14ac:dyDescent="0.2">
      <c r="A343" t="s">
        <v>4085</v>
      </c>
      <c r="B343" t="s">
        <v>4086</v>
      </c>
      <c r="C343" t="s">
        <v>3929</v>
      </c>
      <c r="D343" t="s">
        <v>98</v>
      </c>
      <c r="E343">
        <v>119.99</v>
      </c>
      <c r="F343">
        <v>119.99</v>
      </c>
      <c r="H343" t="s">
        <v>73</v>
      </c>
      <c r="I343">
        <v>0.83333333333333337</v>
      </c>
      <c r="J343">
        <v>119</v>
      </c>
      <c r="K343">
        <v>99</v>
      </c>
    </row>
    <row r="344" spans="1:11" x14ac:dyDescent="0.2">
      <c r="A344" t="s">
        <v>805</v>
      </c>
      <c r="B344" t="s">
        <v>806</v>
      </c>
      <c r="C344" t="s">
        <v>582</v>
      </c>
      <c r="D344" t="s">
        <v>138</v>
      </c>
      <c r="E344">
        <v>59.99</v>
      </c>
      <c r="F344">
        <v>0</v>
      </c>
      <c r="H344" t="s">
        <v>73</v>
      </c>
      <c r="I344">
        <v>0.66666666666666663</v>
      </c>
      <c r="J344">
        <v>0</v>
      </c>
      <c r="K344">
        <v>0</v>
      </c>
    </row>
    <row r="345" spans="1:11" x14ac:dyDescent="0.2">
      <c r="A345" t="s">
        <v>4105</v>
      </c>
      <c r="B345" t="s">
        <v>4106</v>
      </c>
      <c r="C345" t="s">
        <v>3929</v>
      </c>
      <c r="D345" t="s">
        <v>138</v>
      </c>
      <c r="E345">
        <v>129.99</v>
      </c>
      <c r="F345">
        <v>129.99</v>
      </c>
      <c r="G345">
        <v>11</v>
      </c>
      <c r="H345" t="s">
        <v>73</v>
      </c>
      <c r="I345">
        <v>0.66666666666666663</v>
      </c>
      <c r="J345">
        <v>135</v>
      </c>
      <c r="K345">
        <v>90</v>
      </c>
    </row>
    <row r="346" spans="1:11" x14ac:dyDescent="0.2">
      <c r="A346" t="s">
        <v>4591</v>
      </c>
      <c r="B346" t="s">
        <v>4592</v>
      </c>
      <c r="C346" t="s">
        <v>4518</v>
      </c>
      <c r="D346" t="s">
        <v>138</v>
      </c>
      <c r="E346">
        <v>99.99</v>
      </c>
      <c r="F346">
        <v>99.99</v>
      </c>
      <c r="G346">
        <v>77</v>
      </c>
      <c r="H346" t="s">
        <v>73</v>
      </c>
      <c r="I346">
        <v>1.1666666666666667</v>
      </c>
      <c r="J346">
        <v>40</v>
      </c>
      <c r="K346">
        <v>47</v>
      </c>
    </row>
    <row r="347" spans="1:11" x14ac:dyDescent="0.2">
      <c r="A347" t="s">
        <v>792</v>
      </c>
      <c r="B347" t="s">
        <v>793</v>
      </c>
      <c r="C347" t="s">
        <v>582</v>
      </c>
      <c r="D347" t="s">
        <v>105</v>
      </c>
      <c r="E347">
        <v>69.989999999999995</v>
      </c>
      <c r="F347">
        <v>69.989999999999995</v>
      </c>
      <c r="G347">
        <v>61</v>
      </c>
      <c r="H347" t="s">
        <v>73</v>
      </c>
      <c r="I347">
        <v>1.6666666666666667</v>
      </c>
      <c r="J347">
        <v>60</v>
      </c>
      <c r="K347">
        <v>100</v>
      </c>
    </row>
    <row r="348" spans="1:11" x14ac:dyDescent="0.2">
      <c r="A348" t="s">
        <v>738</v>
      </c>
      <c r="B348" t="s">
        <v>739</v>
      </c>
      <c r="C348" t="s">
        <v>582</v>
      </c>
      <c r="D348" t="s">
        <v>138</v>
      </c>
      <c r="E348">
        <v>59.99</v>
      </c>
      <c r="F348">
        <v>59.99</v>
      </c>
      <c r="H348" t="s">
        <v>73</v>
      </c>
      <c r="I348">
        <v>0.66666666666666663</v>
      </c>
      <c r="J348">
        <v>0</v>
      </c>
      <c r="K348">
        <v>0</v>
      </c>
    </row>
    <row r="349" spans="1:11" x14ac:dyDescent="0.2">
      <c r="A349" t="s">
        <v>3954</v>
      </c>
      <c r="B349" t="s">
        <v>3955</v>
      </c>
      <c r="C349" t="s">
        <v>3929</v>
      </c>
      <c r="D349" t="s">
        <v>105</v>
      </c>
      <c r="E349">
        <v>64.989999999999995</v>
      </c>
      <c r="F349">
        <v>129.97999999999999</v>
      </c>
      <c r="G349">
        <v>38</v>
      </c>
      <c r="H349" t="s">
        <v>73</v>
      </c>
      <c r="I349">
        <v>2.6666666666666665</v>
      </c>
      <c r="J349">
        <v>96</v>
      </c>
      <c r="K349">
        <v>257</v>
      </c>
    </row>
    <row r="350" spans="1:11" x14ac:dyDescent="0.2">
      <c r="A350" t="s">
        <v>4075</v>
      </c>
      <c r="B350" t="s">
        <v>4076</v>
      </c>
      <c r="C350" t="s">
        <v>3929</v>
      </c>
      <c r="D350" t="s">
        <v>105</v>
      </c>
      <c r="E350">
        <v>64.989999999999995</v>
      </c>
      <c r="F350">
        <v>194.96999999999997</v>
      </c>
      <c r="G350">
        <v>11</v>
      </c>
      <c r="H350" t="s">
        <v>73</v>
      </c>
      <c r="I350">
        <v>1.3333333333333333</v>
      </c>
      <c r="J350">
        <v>20</v>
      </c>
      <c r="K350">
        <v>26</v>
      </c>
    </row>
    <row r="351" spans="1:11" x14ac:dyDescent="0.2">
      <c r="A351" t="s">
        <v>3962</v>
      </c>
      <c r="B351" t="s">
        <v>3963</v>
      </c>
      <c r="C351" t="s">
        <v>3929</v>
      </c>
      <c r="D351" t="s">
        <v>105</v>
      </c>
      <c r="E351">
        <v>64.989999999999995</v>
      </c>
      <c r="F351">
        <v>64.989999999999995</v>
      </c>
      <c r="G351">
        <v>2</v>
      </c>
      <c r="H351" t="s">
        <v>73</v>
      </c>
      <c r="I351">
        <v>0.33333333333333331</v>
      </c>
      <c r="J351">
        <v>168</v>
      </c>
      <c r="K351">
        <v>56</v>
      </c>
    </row>
    <row r="352" spans="1:11" x14ac:dyDescent="0.2">
      <c r="A352" t="s">
        <v>5120</v>
      </c>
      <c r="B352" t="s">
        <v>5121</v>
      </c>
      <c r="C352" t="s">
        <v>3929</v>
      </c>
      <c r="D352" t="s">
        <v>105</v>
      </c>
      <c r="E352">
        <v>89.99</v>
      </c>
      <c r="F352">
        <v>179.98</v>
      </c>
      <c r="G352">
        <v>15</v>
      </c>
      <c r="H352" t="s">
        <v>73</v>
      </c>
      <c r="I352">
        <v>0.66666666666666663</v>
      </c>
      <c r="J352">
        <v>58</v>
      </c>
      <c r="K352">
        <v>39</v>
      </c>
    </row>
    <row r="353" spans="1:11" x14ac:dyDescent="0.2">
      <c r="A353" t="s">
        <v>3394</v>
      </c>
      <c r="B353" t="s">
        <v>3395</v>
      </c>
      <c r="C353" t="s">
        <v>3349</v>
      </c>
      <c r="D353" t="s">
        <v>105</v>
      </c>
      <c r="E353">
        <v>399.99</v>
      </c>
      <c r="F353">
        <v>0</v>
      </c>
      <c r="G353">
        <v>34</v>
      </c>
      <c r="H353" t="s">
        <v>73</v>
      </c>
      <c r="I353">
        <v>0.33333333333333331</v>
      </c>
      <c r="J353">
        <v>0</v>
      </c>
      <c r="K353">
        <v>0</v>
      </c>
    </row>
    <row r="354" spans="1:11" x14ac:dyDescent="0.2">
      <c r="A354" t="s">
        <v>752</v>
      </c>
      <c r="B354" t="s">
        <v>753</v>
      </c>
      <c r="C354" t="s">
        <v>582</v>
      </c>
      <c r="D354" t="s">
        <v>105</v>
      </c>
      <c r="E354">
        <v>129.99</v>
      </c>
      <c r="F354">
        <v>259.98</v>
      </c>
      <c r="H354" t="s">
        <v>73</v>
      </c>
      <c r="I354">
        <v>1.3333333333333333</v>
      </c>
      <c r="J354">
        <v>70</v>
      </c>
      <c r="K354">
        <v>94</v>
      </c>
    </row>
    <row r="355" spans="1:11" x14ac:dyDescent="0.2">
      <c r="A355" t="s">
        <v>5122</v>
      </c>
      <c r="B355" t="s">
        <v>5123</v>
      </c>
      <c r="C355" t="s">
        <v>3929</v>
      </c>
      <c r="D355" t="s">
        <v>138</v>
      </c>
      <c r="E355">
        <v>169.99</v>
      </c>
      <c r="F355">
        <v>169.99</v>
      </c>
      <c r="H355" t="s">
        <v>73</v>
      </c>
      <c r="I355">
        <v>0.83333333333333337</v>
      </c>
      <c r="J355">
        <v>98</v>
      </c>
      <c r="K355">
        <v>82</v>
      </c>
    </row>
    <row r="356" spans="1:11" x14ac:dyDescent="0.2">
      <c r="A356" t="s">
        <v>5124</v>
      </c>
      <c r="B356" t="s">
        <v>5125</v>
      </c>
      <c r="C356" t="s">
        <v>3929</v>
      </c>
      <c r="D356" t="s">
        <v>105</v>
      </c>
      <c r="E356">
        <v>319.99</v>
      </c>
      <c r="F356">
        <v>0</v>
      </c>
      <c r="G356">
        <v>8</v>
      </c>
      <c r="H356" t="s">
        <v>73</v>
      </c>
      <c r="I356">
        <v>0.33333333333333331</v>
      </c>
      <c r="J356">
        <v>0</v>
      </c>
      <c r="K356">
        <v>0</v>
      </c>
    </row>
    <row r="357" spans="1:11" x14ac:dyDescent="0.2">
      <c r="A357" t="s">
        <v>3899</v>
      </c>
      <c r="B357" t="s">
        <v>3900</v>
      </c>
      <c r="C357" t="s">
        <v>3876</v>
      </c>
      <c r="D357" t="s">
        <v>105</v>
      </c>
      <c r="E357">
        <v>69.989999999999995</v>
      </c>
      <c r="F357">
        <v>139.97999999999999</v>
      </c>
      <c r="G357">
        <v>168</v>
      </c>
      <c r="H357" t="s">
        <v>73</v>
      </c>
      <c r="I357">
        <v>2.1666666666666665</v>
      </c>
      <c r="J357">
        <v>9</v>
      </c>
      <c r="K357">
        <v>20</v>
      </c>
    </row>
    <row r="358" spans="1:11" x14ac:dyDescent="0.2">
      <c r="A358" t="s">
        <v>4103</v>
      </c>
      <c r="B358" t="s">
        <v>4104</v>
      </c>
      <c r="C358" t="s">
        <v>3929</v>
      </c>
      <c r="D358" t="s">
        <v>105</v>
      </c>
      <c r="E358">
        <v>99.99</v>
      </c>
      <c r="F358">
        <v>299.96999999999997</v>
      </c>
      <c r="G358">
        <v>25</v>
      </c>
      <c r="H358" t="s">
        <v>73</v>
      </c>
      <c r="I358">
        <v>3</v>
      </c>
      <c r="J358">
        <v>30</v>
      </c>
      <c r="K358">
        <v>90</v>
      </c>
    </row>
    <row r="359" spans="1:11" x14ac:dyDescent="0.2">
      <c r="A359" t="s">
        <v>3420</v>
      </c>
      <c r="B359" t="s">
        <v>3421</v>
      </c>
      <c r="C359" t="s">
        <v>3349</v>
      </c>
      <c r="D359" t="s">
        <v>138</v>
      </c>
      <c r="E359">
        <v>119.99</v>
      </c>
      <c r="F359">
        <v>0</v>
      </c>
      <c r="H359" t="s">
        <v>73</v>
      </c>
      <c r="I359">
        <v>2</v>
      </c>
      <c r="J359">
        <v>0</v>
      </c>
      <c r="K359">
        <v>1</v>
      </c>
    </row>
    <row r="360" spans="1:11" x14ac:dyDescent="0.2">
      <c r="A360" t="s">
        <v>4083</v>
      </c>
      <c r="B360" t="s">
        <v>4084</v>
      </c>
      <c r="C360" t="s">
        <v>3929</v>
      </c>
      <c r="D360" t="s">
        <v>105</v>
      </c>
      <c r="E360">
        <v>74.989999999999995</v>
      </c>
      <c r="F360">
        <v>149.97999999999999</v>
      </c>
      <c r="G360">
        <v>91</v>
      </c>
      <c r="H360" t="s">
        <v>72</v>
      </c>
      <c r="I360">
        <v>1.8333333333333333</v>
      </c>
      <c r="J360">
        <v>25</v>
      </c>
      <c r="K360">
        <v>45</v>
      </c>
    </row>
    <row r="361" spans="1:11" x14ac:dyDescent="0.2">
      <c r="A361" t="s">
        <v>3418</v>
      </c>
      <c r="B361" t="s">
        <v>3419</v>
      </c>
      <c r="C361" t="s">
        <v>3349</v>
      </c>
      <c r="D361" t="s">
        <v>138</v>
      </c>
      <c r="E361">
        <v>49.99</v>
      </c>
      <c r="F361">
        <v>0</v>
      </c>
      <c r="H361" t="s">
        <v>72</v>
      </c>
      <c r="I361">
        <v>0.66666666666666663</v>
      </c>
      <c r="J361">
        <v>26</v>
      </c>
      <c r="K361">
        <v>17</v>
      </c>
    </row>
    <row r="362" spans="1:11" x14ac:dyDescent="0.2">
      <c r="A362" t="s">
        <v>3420</v>
      </c>
      <c r="B362" t="s">
        <v>3421</v>
      </c>
      <c r="C362" t="s">
        <v>3349</v>
      </c>
      <c r="D362" t="s">
        <v>138</v>
      </c>
      <c r="E362">
        <v>119.99</v>
      </c>
      <c r="F362">
        <v>0</v>
      </c>
      <c r="H362" t="s">
        <v>72</v>
      </c>
      <c r="I362">
        <v>1</v>
      </c>
      <c r="J362">
        <v>25</v>
      </c>
      <c r="K362">
        <v>25</v>
      </c>
    </row>
    <row r="363" spans="1:11" x14ac:dyDescent="0.2">
      <c r="A363" t="s">
        <v>3932</v>
      </c>
      <c r="B363" t="s">
        <v>3933</v>
      </c>
      <c r="C363" t="s">
        <v>3929</v>
      </c>
      <c r="D363" t="s">
        <v>105</v>
      </c>
      <c r="E363">
        <v>129.99</v>
      </c>
      <c r="F363">
        <v>0</v>
      </c>
      <c r="G363">
        <v>51</v>
      </c>
      <c r="H363" t="s">
        <v>72</v>
      </c>
      <c r="I363">
        <v>0.66666666666666663</v>
      </c>
      <c r="J363">
        <v>68</v>
      </c>
      <c r="K363">
        <v>45</v>
      </c>
    </row>
    <row r="364" spans="1:11" x14ac:dyDescent="0.2">
      <c r="A364" t="s">
        <v>3930</v>
      </c>
      <c r="B364" t="s">
        <v>3931</v>
      </c>
      <c r="C364" t="s">
        <v>3929</v>
      </c>
      <c r="D364" t="s">
        <v>105</v>
      </c>
      <c r="E364">
        <v>139.99</v>
      </c>
      <c r="F364">
        <v>139.99</v>
      </c>
      <c r="G364">
        <v>42</v>
      </c>
      <c r="H364" t="s">
        <v>72</v>
      </c>
      <c r="I364">
        <v>0.5</v>
      </c>
      <c r="J364">
        <v>90</v>
      </c>
      <c r="K364">
        <v>45</v>
      </c>
    </row>
    <row r="365" spans="1:11" x14ac:dyDescent="0.2">
      <c r="A365" t="s">
        <v>3430</v>
      </c>
      <c r="B365" t="s">
        <v>3431</v>
      </c>
      <c r="C365" t="s">
        <v>3349</v>
      </c>
      <c r="D365" t="s">
        <v>138</v>
      </c>
      <c r="E365">
        <v>49.99</v>
      </c>
      <c r="F365">
        <v>99.98</v>
      </c>
      <c r="G365">
        <v>37</v>
      </c>
      <c r="H365" t="s">
        <v>72</v>
      </c>
      <c r="I365">
        <v>2.5</v>
      </c>
      <c r="J365">
        <v>19</v>
      </c>
      <c r="K365">
        <v>47</v>
      </c>
    </row>
    <row r="366" spans="1:11" x14ac:dyDescent="0.2">
      <c r="A366" t="s">
        <v>3448</v>
      </c>
      <c r="B366" t="s">
        <v>3449</v>
      </c>
      <c r="C366" t="s">
        <v>3349</v>
      </c>
      <c r="D366" t="s">
        <v>105</v>
      </c>
      <c r="E366">
        <v>379.99</v>
      </c>
      <c r="F366">
        <v>0</v>
      </c>
      <c r="H366" t="s">
        <v>72</v>
      </c>
      <c r="I366">
        <v>0.5</v>
      </c>
      <c r="J366">
        <v>54</v>
      </c>
      <c r="K366">
        <v>27</v>
      </c>
    </row>
    <row r="367" spans="1:11" x14ac:dyDescent="0.2">
      <c r="A367" t="s">
        <v>3462</v>
      </c>
      <c r="B367" t="s">
        <v>3463</v>
      </c>
      <c r="C367" t="s">
        <v>3349</v>
      </c>
      <c r="D367" t="s">
        <v>105</v>
      </c>
      <c r="E367">
        <v>119.99</v>
      </c>
      <c r="F367">
        <v>0</v>
      </c>
      <c r="G367">
        <v>5</v>
      </c>
      <c r="H367" t="s">
        <v>72</v>
      </c>
      <c r="I367">
        <v>0.16666666666666666</v>
      </c>
      <c r="J367">
        <v>72</v>
      </c>
      <c r="K367">
        <v>12</v>
      </c>
    </row>
    <row r="368" spans="1:11" x14ac:dyDescent="0.2">
      <c r="A368" t="s">
        <v>3956</v>
      </c>
      <c r="B368" t="s">
        <v>3957</v>
      </c>
      <c r="C368" t="s">
        <v>3929</v>
      </c>
      <c r="D368" t="s">
        <v>105</v>
      </c>
      <c r="E368">
        <v>129.99</v>
      </c>
      <c r="F368">
        <v>0</v>
      </c>
      <c r="G368">
        <v>65</v>
      </c>
      <c r="H368" t="s">
        <v>72</v>
      </c>
      <c r="I368">
        <v>1.3333333333333333</v>
      </c>
      <c r="J368">
        <v>14</v>
      </c>
      <c r="K368">
        <v>18</v>
      </c>
    </row>
    <row r="369" spans="1:11" x14ac:dyDescent="0.2">
      <c r="A369" t="s">
        <v>3950</v>
      </c>
      <c r="B369" t="s">
        <v>3951</v>
      </c>
      <c r="C369" t="s">
        <v>3929</v>
      </c>
      <c r="D369" t="s">
        <v>105</v>
      </c>
      <c r="E369">
        <v>119.99</v>
      </c>
      <c r="F369">
        <v>0</v>
      </c>
      <c r="G369">
        <v>24</v>
      </c>
      <c r="H369" t="s">
        <v>72</v>
      </c>
      <c r="I369">
        <v>0.5</v>
      </c>
      <c r="J369">
        <v>36</v>
      </c>
      <c r="K369">
        <v>18</v>
      </c>
    </row>
    <row r="370" spans="1:11" x14ac:dyDescent="0.2">
      <c r="A370" t="s">
        <v>3404</v>
      </c>
      <c r="B370" t="s">
        <v>3405</v>
      </c>
      <c r="C370" t="s">
        <v>3349</v>
      </c>
      <c r="D370" t="s">
        <v>105</v>
      </c>
      <c r="E370">
        <v>199.99</v>
      </c>
      <c r="F370">
        <v>399.98</v>
      </c>
      <c r="H370" t="s">
        <v>72</v>
      </c>
      <c r="I370">
        <v>1.5</v>
      </c>
      <c r="J370">
        <v>0</v>
      </c>
      <c r="K370">
        <v>0</v>
      </c>
    </row>
    <row r="371" spans="1:11" x14ac:dyDescent="0.2">
      <c r="A371" t="s">
        <v>3410</v>
      </c>
      <c r="B371" t="s">
        <v>3411</v>
      </c>
      <c r="C371" t="s">
        <v>3349</v>
      </c>
      <c r="D371" t="s">
        <v>138</v>
      </c>
      <c r="E371">
        <v>99.99</v>
      </c>
      <c r="F371">
        <v>199.98</v>
      </c>
      <c r="H371" t="s">
        <v>72</v>
      </c>
      <c r="I371">
        <v>1.3333333333333333</v>
      </c>
      <c r="J371">
        <v>22</v>
      </c>
      <c r="K371">
        <v>29</v>
      </c>
    </row>
    <row r="372" spans="1:11" x14ac:dyDescent="0.2">
      <c r="A372" t="s">
        <v>3466</v>
      </c>
      <c r="B372" t="s">
        <v>3467</v>
      </c>
      <c r="C372" t="s">
        <v>3349</v>
      </c>
      <c r="D372" t="s">
        <v>105</v>
      </c>
      <c r="E372">
        <v>369.99</v>
      </c>
      <c r="F372">
        <v>0</v>
      </c>
      <c r="H372" t="s">
        <v>72</v>
      </c>
      <c r="I372">
        <v>0.33333333333333331</v>
      </c>
      <c r="J372">
        <v>78</v>
      </c>
      <c r="K372">
        <v>26</v>
      </c>
    </row>
    <row r="373" spans="1:11" x14ac:dyDescent="0.2">
      <c r="A373" t="s">
        <v>3480</v>
      </c>
      <c r="B373" t="s">
        <v>3481</v>
      </c>
      <c r="C373" t="s">
        <v>3349</v>
      </c>
      <c r="D373" t="s">
        <v>138</v>
      </c>
      <c r="E373">
        <v>189.99</v>
      </c>
      <c r="F373">
        <v>189.99</v>
      </c>
      <c r="G373">
        <v>58</v>
      </c>
      <c r="H373" t="s">
        <v>72</v>
      </c>
      <c r="I373">
        <v>0.5</v>
      </c>
      <c r="J373">
        <v>26</v>
      </c>
      <c r="K373">
        <v>13</v>
      </c>
    </row>
    <row r="374" spans="1:11" x14ac:dyDescent="0.2">
      <c r="A374" t="s">
        <v>3488</v>
      </c>
      <c r="B374" t="s">
        <v>3489</v>
      </c>
      <c r="C374" t="s">
        <v>3349</v>
      </c>
      <c r="D374" t="s">
        <v>105</v>
      </c>
      <c r="E374">
        <v>369.99</v>
      </c>
      <c r="F374">
        <v>0</v>
      </c>
      <c r="H374" t="s">
        <v>72</v>
      </c>
      <c r="I374">
        <v>0</v>
      </c>
      <c r="J374">
        <v>0</v>
      </c>
      <c r="K374">
        <v>34</v>
      </c>
    </row>
    <row r="375" spans="1:11" x14ac:dyDescent="0.2">
      <c r="A375" t="s">
        <v>5126</v>
      </c>
      <c r="B375" t="s">
        <v>5127</v>
      </c>
      <c r="C375" t="s">
        <v>3929</v>
      </c>
      <c r="D375" t="s">
        <v>105</v>
      </c>
      <c r="E375">
        <v>129.99</v>
      </c>
      <c r="F375">
        <v>129.99</v>
      </c>
      <c r="G375">
        <v>24</v>
      </c>
      <c r="H375" t="s">
        <v>72</v>
      </c>
      <c r="I375">
        <v>0.5</v>
      </c>
      <c r="J375">
        <v>104</v>
      </c>
      <c r="K375">
        <v>52</v>
      </c>
    </row>
    <row r="376" spans="1:11" x14ac:dyDescent="0.2">
      <c r="A376" t="s">
        <v>956</v>
      </c>
      <c r="B376" t="s">
        <v>957</v>
      </c>
      <c r="C376" t="s">
        <v>911</v>
      </c>
      <c r="D376" t="s">
        <v>105</v>
      </c>
      <c r="E376">
        <v>89.99</v>
      </c>
      <c r="F376">
        <v>0</v>
      </c>
      <c r="G376">
        <v>205</v>
      </c>
      <c r="H376" t="s">
        <v>72</v>
      </c>
      <c r="I376">
        <v>0.5</v>
      </c>
      <c r="J376">
        <v>6</v>
      </c>
      <c r="K376">
        <v>3</v>
      </c>
    </row>
    <row r="377" spans="1:11" x14ac:dyDescent="0.2">
      <c r="A377" t="s">
        <v>805</v>
      </c>
      <c r="B377" t="s">
        <v>806</v>
      </c>
      <c r="C377" t="s">
        <v>582</v>
      </c>
      <c r="D377" t="s">
        <v>138</v>
      </c>
      <c r="E377">
        <v>59.99</v>
      </c>
      <c r="F377">
        <v>0</v>
      </c>
      <c r="H377" t="s">
        <v>72</v>
      </c>
      <c r="I377">
        <v>0.5</v>
      </c>
      <c r="J377">
        <v>10</v>
      </c>
      <c r="K377">
        <v>5</v>
      </c>
    </row>
    <row r="378" spans="1:11" x14ac:dyDescent="0.2">
      <c r="A378" t="s">
        <v>4555</v>
      </c>
      <c r="B378" t="s">
        <v>4556</v>
      </c>
      <c r="C378" t="s">
        <v>4518</v>
      </c>
      <c r="D378" t="s">
        <v>105</v>
      </c>
      <c r="E378">
        <v>99.99</v>
      </c>
      <c r="F378">
        <v>0</v>
      </c>
      <c r="G378">
        <v>24</v>
      </c>
      <c r="H378" t="s">
        <v>72</v>
      </c>
      <c r="I378">
        <v>0.33333333333333331</v>
      </c>
      <c r="J378">
        <v>6</v>
      </c>
      <c r="K378">
        <v>2</v>
      </c>
    </row>
    <row r="379" spans="1:11" x14ac:dyDescent="0.2">
      <c r="A379" t="s">
        <v>696</v>
      </c>
      <c r="B379" t="s">
        <v>5089</v>
      </c>
      <c r="C379" t="s">
        <v>582</v>
      </c>
      <c r="D379" t="s">
        <v>105</v>
      </c>
      <c r="E379">
        <v>44.99</v>
      </c>
      <c r="F379">
        <v>44.99</v>
      </c>
      <c r="G379">
        <v>19</v>
      </c>
      <c r="H379" t="s">
        <v>72</v>
      </c>
      <c r="I379">
        <v>1.1666666666666667</v>
      </c>
      <c r="J379">
        <v>57</v>
      </c>
      <c r="K379">
        <v>66</v>
      </c>
    </row>
    <row r="380" spans="1:11" x14ac:dyDescent="0.2">
      <c r="A380" t="s">
        <v>4551</v>
      </c>
      <c r="B380" t="s">
        <v>4552</v>
      </c>
      <c r="C380" t="s">
        <v>4518</v>
      </c>
      <c r="D380" t="s">
        <v>105</v>
      </c>
      <c r="E380">
        <v>149.99</v>
      </c>
      <c r="F380">
        <v>0</v>
      </c>
      <c r="G380">
        <v>2</v>
      </c>
      <c r="H380" t="s">
        <v>72</v>
      </c>
      <c r="I380">
        <v>0.33333333333333331</v>
      </c>
      <c r="J380">
        <v>36</v>
      </c>
      <c r="K380">
        <v>12</v>
      </c>
    </row>
    <row r="381" spans="1:11" x14ac:dyDescent="0.2">
      <c r="A381" t="s">
        <v>4097</v>
      </c>
      <c r="B381" t="s">
        <v>4098</v>
      </c>
      <c r="C381" t="s">
        <v>3929</v>
      </c>
      <c r="D381" t="s">
        <v>105</v>
      </c>
      <c r="E381">
        <v>199.99</v>
      </c>
      <c r="F381">
        <v>199.99</v>
      </c>
      <c r="H381" t="s">
        <v>72</v>
      </c>
      <c r="I381">
        <v>0.66666666666666663</v>
      </c>
      <c r="J381">
        <v>72</v>
      </c>
      <c r="K381">
        <v>48</v>
      </c>
    </row>
    <row r="382" spans="1:11" x14ac:dyDescent="0.2">
      <c r="A382" t="s">
        <v>4235</v>
      </c>
      <c r="B382" t="s">
        <v>4236</v>
      </c>
      <c r="C382" t="s">
        <v>4230</v>
      </c>
      <c r="D382" t="s">
        <v>105</v>
      </c>
      <c r="E382">
        <v>14.95</v>
      </c>
      <c r="F382">
        <v>44.849999999999994</v>
      </c>
      <c r="H382" t="s">
        <v>72</v>
      </c>
      <c r="I382">
        <v>2</v>
      </c>
      <c r="J382">
        <v>3</v>
      </c>
      <c r="K382">
        <v>6</v>
      </c>
    </row>
    <row r="383" spans="1:11" x14ac:dyDescent="0.2">
      <c r="A383" t="s">
        <v>4243</v>
      </c>
      <c r="B383" t="s">
        <v>4244</v>
      </c>
      <c r="C383" t="s">
        <v>4230</v>
      </c>
      <c r="D383" t="s">
        <v>105</v>
      </c>
      <c r="E383">
        <v>29.95</v>
      </c>
      <c r="F383">
        <v>0</v>
      </c>
      <c r="G383">
        <v>1</v>
      </c>
      <c r="H383" t="s">
        <v>72</v>
      </c>
      <c r="I383">
        <v>0.83333333333333337</v>
      </c>
      <c r="J383">
        <v>1</v>
      </c>
      <c r="K383">
        <v>1</v>
      </c>
    </row>
    <row r="384" spans="1:11" x14ac:dyDescent="0.2">
      <c r="A384" t="s">
        <v>3934</v>
      </c>
      <c r="B384" t="s">
        <v>3935</v>
      </c>
      <c r="C384" t="s">
        <v>3929</v>
      </c>
      <c r="D384" t="s">
        <v>105</v>
      </c>
      <c r="E384">
        <v>159.99</v>
      </c>
      <c r="F384">
        <v>0</v>
      </c>
      <c r="G384">
        <v>62</v>
      </c>
      <c r="H384" t="s">
        <v>5085</v>
      </c>
      <c r="I384">
        <v>0</v>
      </c>
      <c r="J384">
        <v>0</v>
      </c>
      <c r="K384">
        <v>2</v>
      </c>
    </row>
    <row r="385" spans="1:11" x14ac:dyDescent="0.2">
      <c r="A385" t="s">
        <v>3910</v>
      </c>
      <c r="B385" t="s">
        <v>3911</v>
      </c>
      <c r="C385" t="s">
        <v>3876</v>
      </c>
      <c r="D385" t="s">
        <v>105</v>
      </c>
      <c r="E385">
        <v>69.989999999999995</v>
      </c>
      <c r="F385">
        <v>0</v>
      </c>
      <c r="G385">
        <v>164</v>
      </c>
      <c r="H385" t="s">
        <v>5085</v>
      </c>
      <c r="I385">
        <v>0</v>
      </c>
      <c r="J385">
        <v>0</v>
      </c>
      <c r="K385">
        <v>7</v>
      </c>
    </row>
    <row r="386" spans="1:11" x14ac:dyDescent="0.2">
      <c r="A386" t="s">
        <v>5035</v>
      </c>
      <c r="B386" t="s">
        <v>5036</v>
      </c>
      <c r="C386" t="s">
        <v>5010</v>
      </c>
      <c r="D386" t="s">
        <v>98</v>
      </c>
      <c r="E386">
        <v>22.99</v>
      </c>
      <c r="F386">
        <v>0</v>
      </c>
      <c r="H386" t="s">
        <v>5085</v>
      </c>
      <c r="I386">
        <v>0</v>
      </c>
      <c r="J386">
        <v>0</v>
      </c>
      <c r="K386">
        <v>0</v>
      </c>
    </row>
    <row r="387" spans="1:11" x14ac:dyDescent="0.2">
      <c r="A387" t="s">
        <v>5037</v>
      </c>
      <c r="B387" t="s">
        <v>5038</v>
      </c>
      <c r="C387" t="s">
        <v>5010</v>
      </c>
      <c r="D387" t="s">
        <v>98</v>
      </c>
      <c r="E387">
        <v>94.99</v>
      </c>
      <c r="F387">
        <v>284.96999999999997</v>
      </c>
      <c r="H387" t="s">
        <v>5085</v>
      </c>
      <c r="I387">
        <v>0</v>
      </c>
      <c r="J387">
        <v>0</v>
      </c>
      <c r="K387">
        <v>0</v>
      </c>
    </row>
    <row r="388" spans="1:11" x14ac:dyDescent="0.2">
      <c r="A388" t="s">
        <v>4931</v>
      </c>
      <c r="B388" t="s">
        <v>4930</v>
      </c>
      <c r="C388" t="s">
        <v>4905</v>
      </c>
      <c r="D388" t="s">
        <v>105</v>
      </c>
      <c r="E388">
        <v>219.99</v>
      </c>
      <c r="F388">
        <v>219.99</v>
      </c>
      <c r="H388" t="s">
        <v>5085</v>
      </c>
      <c r="I388">
        <v>0</v>
      </c>
      <c r="J388">
        <v>0</v>
      </c>
      <c r="K388">
        <v>4</v>
      </c>
    </row>
    <row r="389" spans="1:11" x14ac:dyDescent="0.2">
      <c r="A389" t="s">
        <v>3906</v>
      </c>
      <c r="B389" t="s">
        <v>3907</v>
      </c>
      <c r="C389" t="s">
        <v>3876</v>
      </c>
      <c r="D389" t="s">
        <v>105</v>
      </c>
      <c r="E389">
        <v>69.989999999999995</v>
      </c>
      <c r="F389">
        <v>0</v>
      </c>
      <c r="G389">
        <v>190</v>
      </c>
      <c r="H389" t="s">
        <v>5085</v>
      </c>
      <c r="I389">
        <v>0</v>
      </c>
      <c r="J389">
        <v>0</v>
      </c>
      <c r="K389">
        <v>13</v>
      </c>
    </row>
    <row r="390" spans="1:11" x14ac:dyDescent="0.2">
      <c r="A390" t="s">
        <v>5002</v>
      </c>
      <c r="B390" t="s">
        <v>5003</v>
      </c>
      <c r="C390" t="s">
        <v>4905</v>
      </c>
      <c r="D390" t="s">
        <v>105</v>
      </c>
      <c r="E390">
        <v>219</v>
      </c>
      <c r="F390">
        <v>0</v>
      </c>
      <c r="G390">
        <v>14</v>
      </c>
      <c r="H390" t="s">
        <v>5085</v>
      </c>
      <c r="I390">
        <v>0</v>
      </c>
      <c r="J390">
        <v>0</v>
      </c>
      <c r="K390">
        <v>7</v>
      </c>
    </row>
    <row r="391" spans="1:11" x14ac:dyDescent="0.2">
      <c r="A391" t="s">
        <v>5011</v>
      </c>
      <c r="B391" t="s">
        <v>5012</v>
      </c>
      <c r="C391" t="s">
        <v>5010</v>
      </c>
      <c r="D391" t="s">
        <v>98</v>
      </c>
      <c r="E391">
        <v>99.99</v>
      </c>
      <c r="F391">
        <v>0</v>
      </c>
      <c r="H391" t="s">
        <v>5085</v>
      </c>
      <c r="I391">
        <v>0</v>
      </c>
      <c r="J391">
        <v>0</v>
      </c>
      <c r="K391">
        <v>8</v>
      </c>
    </row>
    <row r="392" spans="1:11" x14ac:dyDescent="0.2">
      <c r="A392" t="s">
        <v>5013</v>
      </c>
      <c r="B392" t="s">
        <v>5014</v>
      </c>
      <c r="C392" t="s">
        <v>5010</v>
      </c>
      <c r="D392" t="s">
        <v>98</v>
      </c>
      <c r="E392">
        <v>29.99</v>
      </c>
      <c r="F392">
        <v>0</v>
      </c>
      <c r="H392" t="s">
        <v>5085</v>
      </c>
      <c r="I392">
        <v>0</v>
      </c>
      <c r="J392">
        <v>0</v>
      </c>
      <c r="K392">
        <v>0</v>
      </c>
    </row>
    <row r="393" spans="1:11" x14ac:dyDescent="0.2">
      <c r="A393" t="s">
        <v>4042</v>
      </c>
      <c r="B393" t="s">
        <v>4043</v>
      </c>
      <c r="C393" t="s">
        <v>3929</v>
      </c>
      <c r="D393" t="s">
        <v>105</v>
      </c>
      <c r="E393">
        <v>109.99</v>
      </c>
      <c r="F393">
        <v>0</v>
      </c>
      <c r="H393" t="s">
        <v>5085</v>
      </c>
      <c r="I393">
        <v>0</v>
      </c>
      <c r="J393">
        <v>0</v>
      </c>
      <c r="K393">
        <v>0</v>
      </c>
    </row>
    <row r="394" spans="1:11" x14ac:dyDescent="0.2">
      <c r="A394" t="s">
        <v>4046</v>
      </c>
      <c r="B394" t="s">
        <v>4047</v>
      </c>
      <c r="C394" t="s">
        <v>3929</v>
      </c>
      <c r="D394" t="s">
        <v>105</v>
      </c>
      <c r="E394">
        <v>89.99</v>
      </c>
      <c r="F394">
        <v>0</v>
      </c>
      <c r="G394">
        <v>16</v>
      </c>
      <c r="H394" t="s">
        <v>5085</v>
      </c>
      <c r="I394">
        <v>0</v>
      </c>
      <c r="J394">
        <v>0</v>
      </c>
      <c r="K394">
        <v>0</v>
      </c>
    </row>
    <row r="395" spans="1:11" x14ac:dyDescent="0.2">
      <c r="A395" t="s">
        <v>4051</v>
      </c>
      <c r="B395" t="s">
        <v>4052</v>
      </c>
      <c r="C395" t="s">
        <v>3929</v>
      </c>
      <c r="D395" t="s">
        <v>105</v>
      </c>
      <c r="E395">
        <v>129.99</v>
      </c>
      <c r="F395">
        <v>0</v>
      </c>
      <c r="H395" t="s">
        <v>5085</v>
      </c>
      <c r="I395">
        <v>0</v>
      </c>
      <c r="J395">
        <v>0</v>
      </c>
      <c r="K395">
        <v>2</v>
      </c>
    </row>
    <row r="396" spans="1:11" x14ac:dyDescent="0.2">
      <c r="A396" t="s">
        <v>4328</v>
      </c>
      <c r="B396" t="s">
        <v>4329</v>
      </c>
      <c r="C396" t="s">
        <v>4283</v>
      </c>
      <c r="D396" t="s">
        <v>105</v>
      </c>
      <c r="E396">
        <v>179.99</v>
      </c>
      <c r="F396">
        <v>0</v>
      </c>
      <c r="H396" t="s">
        <v>5085</v>
      </c>
      <c r="I396">
        <v>0</v>
      </c>
      <c r="J396">
        <v>0</v>
      </c>
      <c r="K396">
        <v>5</v>
      </c>
    </row>
    <row r="397" spans="1:11" x14ac:dyDescent="0.2">
      <c r="A397" t="s">
        <v>4091</v>
      </c>
      <c r="B397" t="s">
        <v>4092</v>
      </c>
      <c r="C397" t="s">
        <v>3929</v>
      </c>
      <c r="D397" t="s">
        <v>105</v>
      </c>
      <c r="E397">
        <v>159.99</v>
      </c>
      <c r="F397">
        <v>0</v>
      </c>
      <c r="G397">
        <v>25</v>
      </c>
      <c r="H397" t="s">
        <v>5085</v>
      </c>
      <c r="I397">
        <v>0</v>
      </c>
      <c r="J397">
        <v>0</v>
      </c>
      <c r="K397">
        <v>1</v>
      </c>
    </row>
    <row r="398" spans="1:11" x14ac:dyDescent="0.2">
      <c r="A398" t="s">
        <v>4117</v>
      </c>
      <c r="B398" t="s">
        <v>4118</v>
      </c>
      <c r="C398" t="s">
        <v>3929</v>
      </c>
      <c r="D398" t="s">
        <v>105</v>
      </c>
      <c r="E398">
        <v>34.99</v>
      </c>
      <c r="F398">
        <v>0</v>
      </c>
      <c r="G398">
        <v>131</v>
      </c>
      <c r="H398" t="s">
        <v>5085</v>
      </c>
      <c r="I398">
        <v>0</v>
      </c>
      <c r="J398">
        <v>0</v>
      </c>
      <c r="K398">
        <v>0</v>
      </c>
    </row>
    <row r="399" spans="1:11" x14ac:dyDescent="0.2">
      <c r="A399" t="s">
        <v>5128</v>
      </c>
      <c r="B399" t="s">
        <v>5129</v>
      </c>
      <c r="C399" t="s">
        <v>3929</v>
      </c>
      <c r="D399" t="s">
        <v>138</v>
      </c>
      <c r="E399">
        <v>129.99</v>
      </c>
      <c r="F399">
        <v>0</v>
      </c>
      <c r="H399" t="s">
        <v>5085</v>
      </c>
      <c r="I399">
        <v>0</v>
      </c>
      <c r="J399">
        <v>0</v>
      </c>
      <c r="K399">
        <v>1</v>
      </c>
    </row>
    <row r="400" spans="1:11" x14ac:dyDescent="0.2">
      <c r="A400" t="s">
        <v>4521</v>
      </c>
      <c r="B400" t="s">
        <v>4522</v>
      </c>
      <c r="C400" t="s">
        <v>4518</v>
      </c>
      <c r="D400" t="s">
        <v>105</v>
      </c>
      <c r="E400">
        <v>89.99</v>
      </c>
      <c r="F400">
        <v>89.99</v>
      </c>
      <c r="G400">
        <v>1229</v>
      </c>
      <c r="H400" t="s">
        <v>5085</v>
      </c>
      <c r="I400">
        <v>0</v>
      </c>
      <c r="J400">
        <v>0</v>
      </c>
      <c r="K400">
        <v>33</v>
      </c>
    </row>
    <row r="401" spans="1:11" x14ac:dyDescent="0.2">
      <c r="A401" t="s">
        <v>4115</v>
      </c>
      <c r="B401" t="s">
        <v>4116</v>
      </c>
      <c r="C401" t="s">
        <v>3929</v>
      </c>
      <c r="D401" t="s">
        <v>105</v>
      </c>
      <c r="E401">
        <v>44.99</v>
      </c>
      <c r="F401">
        <v>0</v>
      </c>
      <c r="G401">
        <v>2</v>
      </c>
      <c r="H401" t="s">
        <v>5085</v>
      </c>
      <c r="I401">
        <v>0</v>
      </c>
      <c r="J401">
        <v>0</v>
      </c>
      <c r="K401">
        <v>8</v>
      </c>
    </row>
    <row r="402" spans="1:11" x14ac:dyDescent="0.2">
      <c r="A402" t="s">
        <v>3404</v>
      </c>
      <c r="B402" t="s">
        <v>3405</v>
      </c>
      <c r="C402" t="s">
        <v>3349</v>
      </c>
      <c r="D402" t="s">
        <v>105</v>
      </c>
      <c r="E402">
        <v>199.99</v>
      </c>
      <c r="F402">
        <v>0</v>
      </c>
      <c r="H402" t="s">
        <v>5085</v>
      </c>
      <c r="I402">
        <v>0</v>
      </c>
      <c r="J402">
        <v>0</v>
      </c>
      <c r="K402">
        <v>8</v>
      </c>
    </row>
    <row r="403" spans="1:11" x14ac:dyDescent="0.2">
      <c r="A403" t="s">
        <v>3354</v>
      </c>
      <c r="B403" t="s">
        <v>3355</v>
      </c>
      <c r="C403" t="s">
        <v>3349</v>
      </c>
      <c r="D403" t="s">
        <v>105</v>
      </c>
      <c r="E403">
        <v>239.99</v>
      </c>
      <c r="F403">
        <v>0</v>
      </c>
      <c r="G403">
        <v>52</v>
      </c>
      <c r="H403" t="s">
        <v>5085</v>
      </c>
      <c r="I403">
        <v>0</v>
      </c>
      <c r="J403">
        <v>0</v>
      </c>
      <c r="K403">
        <v>3</v>
      </c>
    </row>
    <row r="404" spans="1:11" x14ac:dyDescent="0.2">
      <c r="A404" t="s">
        <v>3370</v>
      </c>
      <c r="B404" t="s">
        <v>3371</v>
      </c>
      <c r="C404" t="s">
        <v>3349</v>
      </c>
      <c r="D404" t="s">
        <v>105</v>
      </c>
      <c r="E404">
        <v>389.99</v>
      </c>
      <c r="F404">
        <v>0</v>
      </c>
      <c r="G404">
        <v>6</v>
      </c>
      <c r="H404" t="s">
        <v>5085</v>
      </c>
      <c r="I404">
        <v>0</v>
      </c>
      <c r="J404">
        <v>0</v>
      </c>
      <c r="K404">
        <v>0</v>
      </c>
    </row>
    <row r="405" spans="1:11" x14ac:dyDescent="0.2">
      <c r="A405" t="s">
        <v>952</v>
      </c>
      <c r="B405" t="s">
        <v>953</v>
      </c>
      <c r="C405" t="s">
        <v>911</v>
      </c>
      <c r="D405" t="s">
        <v>105</v>
      </c>
      <c r="E405">
        <v>169.99</v>
      </c>
      <c r="F405">
        <v>0</v>
      </c>
      <c r="G405">
        <v>296</v>
      </c>
      <c r="H405" t="s">
        <v>5085</v>
      </c>
      <c r="I405">
        <v>0</v>
      </c>
      <c r="J405">
        <v>0</v>
      </c>
      <c r="K405">
        <v>0</v>
      </c>
    </row>
    <row r="406" spans="1:11" x14ac:dyDescent="0.2">
      <c r="A406" t="s">
        <v>796</v>
      </c>
      <c r="B406" t="s">
        <v>797</v>
      </c>
      <c r="C406" t="s">
        <v>582</v>
      </c>
      <c r="D406" t="s">
        <v>105</v>
      </c>
      <c r="E406">
        <v>34.99</v>
      </c>
      <c r="F406">
        <v>0</v>
      </c>
      <c r="G406">
        <v>797</v>
      </c>
      <c r="H406" t="s">
        <v>5085</v>
      </c>
      <c r="I406">
        <v>0</v>
      </c>
      <c r="J406">
        <v>0</v>
      </c>
      <c r="K406">
        <v>2</v>
      </c>
    </row>
    <row r="407" spans="1:11" x14ac:dyDescent="0.2">
      <c r="A407" t="s">
        <v>790</v>
      </c>
      <c r="B407" t="s">
        <v>791</v>
      </c>
      <c r="C407" t="s">
        <v>582</v>
      </c>
      <c r="D407" t="s">
        <v>105</v>
      </c>
      <c r="E407">
        <v>64.989999999999995</v>
      </c>
      <c r="F407">
        <v>0</v>
      </c>
      <c r="G407">
        <v>180</v>
      </c>
      <c r="H407" t="s">
        <v>5085</v>
      </c>
      <c r="I407">
        <v>0</v>
      </c>
      <c r="J407">
        <v>0</v>
      </c>
      <c r="K407">
        <v>1</v>
      </c>
    </row>
    <row r="408" spans="1:11" x14ac:dyDescent="0.2">
      <c r="A408" t="s">
        <v>786</v>
      </c>
      <c r="B408" t="s">
        <v>787</v>
      </c>
      <c r="C408" t="s">
        <v>582</v>
      </c>
      <c r="D408" t="s">
        <v>105</v>
      </c>
      <c r="E408">
        <v>44.99</v>
      </c>
      <c r="F408">
        <v>0</v>
      </c>
      <c r="G408">
        <v>445</v>
      </c>
      <c r="H408" t="s">
        <v>5085</v>
      </c>
      <c r="I408">
        <v>0</v>
      </c>
      <c r="J408">
        <v>0</v>
      </c>
      <c r="K408">
        <v>0</v>
      </c>
    </row>
    <row r="409" spans="1:11" x14ac:dyDescent="0.2">
      <c r="A409" t="s">
        <v>3352</v>
      </c>
      <c r="B409" t="s">
        <v>3353</v>
      </c>
      <c r="C409" t="s">
        <v>3349</v>
      </c>
      <c r="D409" t="s">
        <v>105</v>
      </c>
      <c r="E409">
        <v>179.99</v>
      </c>
      <c r="F409">
        <v>0</v>
      </c>
      <c r="H409" t="s">
        <v>5085</v>
      </c>
      <c r="I409">
        <v>0</v>
      </c>
      <c r="J409">
        <v>0</v>
      </c>
      <c r="K409">
        <v>0</v>
      </c>
    </row>
    <row r="410" spans="1:11" x14ac:dyDescent="0.2">
      <c r="A410" t="s">
        <v>601</v>
      </c>
      <c r="B410" t="s">
        <v>602</v>
      </c>
      <c r="C410" t="s">
        <v>582</v>
      </c>
      <c r="D410" t="s">
        <v>105</v>
      </c>
      <c r="E410">
        <v>29.99</v>
      </c>
      <c r="F410">
        <v>0</v>
      </c>
      <c r="G410">
        <v>320</v>
      </c>
      <c r="H410" t="s">
        <v>5085</v>
      </c>
      <c r="I410">
        <v>0</v>
      </c>
      <c r="J410">
        <v>0</v>
      </c>
      <c r="K410">
        <v>9</v>
      </c>
    </row>
    <row r="411" spans="1:11" x14ac:dyDescent="0.2">
      <c r="A411" t="s">
        <v>650</v>
      </c>
      <c r="B411" t="s">
        <v>651</v>
      </c>
      <c r="C411" t="s">
        <v>582</v>
      </c>
      <c r="D411" t="s">
        <v>105</v>
      </c>
      <c r="E411">
        <v>119.99</v>
      </c>
      <c r="F411">
        <v>0</v>
      </c>
      <c r="G411">
        <v>83</v>
      </c>
      <c r="H411" t="s">
        <v>5085</v>
      </c>
      <c r="I411">
        <v>0</v>
      </c>
      <c r="J411">
        <v>0</v>
      </c>
      <c r="K411">
        <v>0</v>
      </c>
    </row>
    <row r="412" spans="1:11" x14ac:dyDescent="0.2">
      <c r="A412" t="s">
        <v>782</v>
      </c>
      <c r="B412" t="s">
        <v>783</v>
      </c>
      <c r="C412" t="s">
        <v>582</v>
      </c>
      <c r="D412" t="s">
        <v>105</v>
      </c>
      <c r="E412">
        <v>19.989999999999998</v>
      </c>
      <c r="F412">
        <v>79.959999999999994</v>
      </c>
      <c r="G412">
        <v>820</v>
      </c>
      <c r="H412" t="s">
        <v>5085</v>
      </c>
      <c r="I412">
        <v>0</v>
      </c>
      <c r="J412">
        <v>0</v>
      </c>
      <c r="K412">
        <v>7</v>
      </c>
    </row>
    <row r="413" spans="1:11" x14ac:dyDescent="0.2">
      <c r="A413" t="s">
        <v>134</v>
      </c>
      <c r="B413" t="s">
        <v>135</v>
      </c>
      <c r="C413" t="s">
        <v>95</v>
      </c>
      <c r="D413" t="s">
        <v>138</v>
      </c>
      <c r="E413">
        <v>79.989999999999995</v>
      </c>
      <c r="F413">
        <v>0</v>
      </c>
      <c r="G413">
        <v>2</v>
      </c>
      <c r="H413" t="s">
        <v>5085</v>
      </c>
      <c r="I413">
        <v>0</v>
      </c>
      <c r="J413">
        <v>0</v>
      </c>
      <c r="K413">
        <v>0</v>
      </c>
    </row>
    <row r="414" spans="1:11" x14ac:dyDescent="0.2">
      <c r="A414" t="s">
        <v>746</v>
      </c>
      <c r="B414" t="s">
        <v>747</v>
      </c>
      <c r="C414" t="s">
        <v>582</v>
      </c>
      <c r="D414" t="s">
        <v>105</v>
      </c>
      <c r="E414">
        <v>29.99</v>
      </c>
      <c r="F414">
        <v>59.98</v>
      </c>
      <c r="G414">
        <v>1252</v>
      </c>
      <c r="H414" t="s">
        <v>5085</v>
      </c>
      <c r="I414">
        <v>2.5</v>
      </c>
      <c r="J414">
        <v>10</v>
      </c>
      <c r="K414">
        <v>26</v>
      </c>
    </row>
    <row r="415" spans="1:11" x14ac:dyDescent="0.2">
      <c r="A415" t="s">
        <v>3462</v>
      </c>
      <c r="B415" t="s">
        <v>3463</v>
      </c>
      <c r="C415" t="s">
        <v>3349</v>
      </c>
      <c r="D415" t="s">
        <v>105</v>
      </c>
      <c r="E415">
        <v>119.99</v>
      </c>
      <c r="F415">
        <v>0</v>
      </c>
      <c r="G415">
        <v>5</v>
      </c>
      <c r="H415" t="s">
        <v>5085</v>
      </c>
      <c r="I415">
        <v>0</v>
      </c>
      <c r="J415">
        <v>0</v>
      </c>
      <c r="K415">
        <v>3</v>
      </c>
    </row>
    <row r="416" spans="1:11" x14ac:dyDescent="0.2">
      <c r="A416" t="s">
        <v>954</v>
      </c>
      <c r="B416" t="s">
        <v>955</v>
      </c>
      <c r="C416" t="s">
        <v>911</v>
      </c>
      <c r="D416" t="s">
        <v>105</v>
      </c>
      <c r="E416">
        <v>49.99</v>
      </c>
      <c r="F416">
        <v>0</v>
      </c>
      <c r="G416">
        <v>163</v>
      </c>
      <c r="H416" t="s">
        <v>5085</v>
      </c>
      <c r="I416">
        <v>0</v>
      </c>
      <c r="J416">
        <v>0</v>
      </c>
      <c r="K416">
        <v>0</v>
      </c>
    </row>
    <row r="417" spans="1:11" x14ac:dyDescent="0.2">
      <c r="A417" t="s">
        <v>4986</v>
      </c>
      <c r="B417" t="s">
        <v>4985</v>
      </c>
      <c r="C417" t="s">
        <v>4905</v>
      </c>
      <c r="D417" t="s">
        <v>105</v>
      </c>
      <c r="E417">
        <v>479</v>
      </c>
      <c r="F417">
        <v>0</v>
      </c>
      <c r="H417" t="s">
        <v>5065</v>
      </c>
      <c r="I417">
        <v>0.16666666666666666</v>
      </c>
      <c r="J417">
        <v>288</v>
      </c>
      <c r="K417">
        <v>48</v>
      </c>
    </row>
    <row r="418" spans="1:11" x14ac:dyDescent="0.2">
      <c r="A418" t="s">
        <v>4937</v>
      </c>
      <c r="B418" t="s">
        <v>4936</v>
      </c>
      <c r="C418" t="s">
        <v>4905</v>
      </c>
      <c r="D418" t="s">
        <v>105</v>
      </c>
      <c r="E418">
        <v>199.99</v>
      </c>
      <c r="F418">
        <v>0</v>
      </c>
      <c r="G418">
        <v>148</v>
      </c>
      <c r="H418" t="s">
        <v>5065</v>
      </c>
      <c r="I418">
        <v>0.16666666666666666</v>
      </c>
      <c r="J418">
        <v>12</v>
      </c>
      <c r="K418">
        <v>2</v>
      </c>
    </row>
    <row r="419" spans="1:11" x14ac:dyDescent="0.2">
      <c r="A419" t="s">
        <v>4934</v>
      </c>
      <c r="B419" t="s">
        <v>4933</v>
      </c>
      <c r="C419" t="s">
        <v>4905</v>
      </c>
      <c r="D419" t="s">
        <v>105</v>
      </c>
      <c r="E419">
        <v>219.99</v>
      </c>
      <c r="F419">
        <v>0</v>
      </c>
      <c r="G419">
        <v>6</v>
      </c>
      <c r="H419" t="s">
        <v>5065</v>
      </c>
      <c r="I419">
        <v>1</v>
      </c>
      <c r="J419">
        <v>48</v>
      </c>
      <c r="K419">
        <v>48</v>
      </c>
    </row>
    <row r="420" spans="1:11" x14ac:dyDescent="0.2">
      <c r="A420" t="s">
        <v>4960</v>
      </c>
      <c r="B420" t="s">
        <v>4961</v>
      </c>
      <c r="C420" t="s">
        <v>4905</v>
      </c>
      <c r="D420" t="s">
        <v>105</v>
      </c>
      <c r="E420">
        <v>669</v>
      </c>
      <c r="F420">
        <v>0</v>
      </c>
      <c r="G420">
        <v>14</v>
      </c>
      <c r="H420" t="s">
        <v>5065</v>
      </c>
      <c r="I420">
        <v>1</v>
      </c>
      <c r="J420">
        <v>41</v>
      </c>
      <c r="K420">
        <v>41</v>
      </c>
    </row>
    <row r="421" spans="1:11" x14ac:dyDescent="0.2">
      <c r="A421" t="s">
        <v>4956</v>
      </c>
      <c r="B421" t="s">
        <v>4955</v>
      </c>
      <c r="C421" t="s">
        <v>4905</v>
      </c>
      <c r="D421" t="s">
        <v>105</v>
      </c>
      <c r="E421">
        <v>669</v>
      </c>
      <c r="F421">
        <v>0</v>
      </c>
      <c r="G421">
        <v>15</v>
      </c>
      <c r="H421" t="s">
        <v>5065</v>
      </c>
      <c r="I421">
        <v>0.66666666666666663</v>
      </c>
      <c r="J421">
        <v>62</v>
      </c>
      <c r="K421">
        <v>41</v>
      </c>
    </row>
    <row r="422" spans="1:11" x14ac:dyDescent="0.2">
      <c r="A422" t="s">
        <v>702</v>
      </c>
      <c r="B422" t="s">
        <v>703</v>
      </c>
      <c r="C422" t="s">
        <v>582</v>
      </c>
      <c r="D422" t="s">
        <v>105</v>
      </c>
      <c r="E422">
        <v>179.99</v>
      </c>
      <c r="F422">
        <v>179.99</v>
      </c>
      <c r="G422">
        <v>26</v>
      </c>
      <c r="H422" t="s">
        <v>5065</v>
      </c>
      <c r="I422">
        <v>1.1666666666666667</v>
      </c>
      <c r="J422">
        <v>34</v>
      </c>
      <c r="K422">
        <v>40</v>
      </c>
    </row>
    <row r="423" spans="1:11" x14ac:dyDescent="0.2">
      <c r="A423" t="s">
        <v>613</v>
      </c>
      <c r="B423" t="s">
        <v>614</v>
      </c>
      <c r="C423" t="s">
        <v>582</v>
      </c>
      <c r="D423" t="s">
        <v>105</v>
      </c>
      <c r="E423">
        <v>119.99</v>
      </c>
      <c r="F423">
        <v>0</v>
      </c>
      <c r="G423">
        <v>51</v>
      </c>
      <c r="H423" t="s">
        <v>5065</v>
      </c>
      <c r="I423">
        <v>1.5</v>
      </c>
      <c r="J423">
        <v>39</v>
      </c>
      <c r="K423">
        <v>58</v>
      </c>
    </row>
    <row r="424" spans="1:11" x14ac:dyDescent="0.2">
      <c r="A424" t="s">
        <v>738</v>
      </c>
      <c r="B424" t="s">
        <v>739</v>
      </c>
      <c r="C424" t="s">
        <v>582</v>
      </c>
      <c r="D424" t="s">
        <v>138</v>
      </c>
      <c r="E424">
        <v>59.99</v>
      </c>
      <c r="F424">
        <v>0</v>
      </c>
      <c r="H424" t="s">
        <v>5065</v>
      </c>
      <c r="I424">
        <v>0.5</v>
      </c>
      <c r="J424">
        <v>18</v>
      </c>
      <c r="K424">
        <v>9</v>
      </c>
    </row>
    <row r="425" spans="1:11" x14ac:dyDescent="0.2">
      <c r="A425" t="s">
        <v>740</v>
      </c>
      <c r="B425" t="s">
        <v>741</v>
      </c>
      <c r="C425" t="s">
        <v>582</v>
      </c>
      <c r="D425" t="s">
        <v>138</v>
      </c>
      <c r="E425">
        <v>64.989999999999995</v>
      </c>
      <c r="F425">
        <v>0</v>
      </c>
      <c r="H425" t="s">
        <v>5065</v>
      </c>
      <c r="I425">
        <v>0.83333333333333337</v>
      </c>
      <c r="J425">
        <v>24</v>
      </c>
      <c r="K425">
        <v>20</v>
      </c>
    </row>
    <row r="426" spans="1:11" x14ac:dyDescent="0.2">
      <c r="A426" t="s">
        <v>4579</v>
      </c>
      <c r="B426" t="s">
        <v>4580</v>
      </c>
      <c r="C426" t="s">
        <v>4518</v>
      </c>
      <c r="D426" t="s">
        <v>105</v>
      </c>
      <c r="E426">
        <v>139.99</v>
      </c>
      <c r="F426">
        <v>279.98</v>
      </c>
      <c r="G426">
        <v>21</v>
      </c>
      <c r="H426" t="s">
        <v>5065</v>
      </c>
      <c r="I426">
        <v>1.5</v>
      </c>
      <c r="J426">
        <v>27</v>
      </c>
      <c r="K426">
        <v>41</v>
      </c>
    </row>
    <row r="427" spans="1:11" x14ac:dyDescent="0.2">
      <c r="A427" t="s">
        <v>291</v>
      </c>
      <c r="B427" t="s">
        <v>292</v>
      </c>
      <c r="C427" t="s">
        <v>288</v>
      </c>
      <c r="D427" t="s">
        <v>105</v>
      </c>
      <c r="E427">
        <v>199.99</v>
      </c>
      <c r="F427">
        <v>199.99</v>
      </c>
      <c r="G427">
        <v>51</v>
      </c>
      <c r="H427" t="s">
        <v>5065</v>
      </c>
      <c r="I427">
        <v>2.8333333333333335</v>
      </c>
      <c r="J427">
        <v>14</v>
      </c>
      <c r="K427">
        <v>41</v>
      </c>
    </row>
    <row r="428" spans="1:11" x14ac:dyDescent="0.2">
      <c r="A428" t="s">
        <v>291</v>
      </c>
      <c r="B428" t="s">
        <v>292</v>
      </c>
      <c r="C428" t="s">
        <v>288</v>
      </c>
      <c r="D428" t="s">
        <v>105</v>
      </c>
      <c r="E428">
        <v>199.99</v>
      </c>
      <c r="F428">
        <v>199.99</v>
      </c>
      <c r="G428">
        <v>51</v>
      </c>
      <c r="H428" t="s">
        <v>5065</v>
      </c>
      <c r="I428">
        <v>2.8333333333333335</v>
      </c>
      <c r="J428">
        <v>14</v>
      </c>
      <c r="K428">
        <v>41</v>
      </c>
    </row>
    <row r="429" spans="1:11" x14ac:dyDescent="0.2">
      <c r="A429" t="s">
        <v>3358</v>
      </c>
      <c r="B429" t="s">
        <v>3359</v>
      </c>
      <c r="C429" t="s">
        <v>3349</v>
      </c>
      <c r="D429" t="s">
        <v>105</v>
      </c>
      <c r="E429">
        <v>339.99</v>
      </c>
      <c r="F429">
        <v>0</v>
      </c>
      <c r="G429">
        <v>51</v>
      </c>
      <c r="H429" t="s">
        <v>5065</v>
      </c>
      <c r="I429">
        <v>0.33333333333333331</v>
      </c>
      <c r="J429">
        <v>129</v>
      </c>
      <c r="K429">
        <v>43</v>
      </c>
    </row>
    <row r="430" spans="1:11" x14ac:dyDescent="0.2">
      <c r="A430" t="s">
        <v>3402</v>
      </c>
      <c r="B430" t="s">
        <v>3403</v>
      </c>
      <c r="C430" t="s">
        <v>3349</v>
      </c>
      <c r="D430" t="s">
        <v>105</v>
      </c>
      <c r="E430">
        <v>109.99</v>
      </c>
      <c r="F430">
        <v>0</v>
      </c>
      <c r="G430">
        <v>7</v>
      </c>
      <c r="H430" t="s">
        <v>5065</v>
      </c>
      <c r="I430">
        <v>0.16666666666666666</v>
      </c>
      <c r="J430">
        <v>0</v>
      </c>
      <c r="K430">
        <v>0</v>
      </c>
    </row>
    <row r="431" spans="1:11" x14ac:dyDescent="0.2">
      <c r="A431" t="s">
        <v>3968</v>
      </c>
      <c r="B431" t="s">
        <v>3969</v>
      </c>
      <c r="C431" t="s">
        <v>3929</v>
      </c>
      <c r="D431" t="s">
        <v>138</v>
      </c>
      <c r="E431">
        <v>184.99</v>
      </c>
      <c r="F431">
        <v>0</v>
      </c>
      <c r="G431">
        <v>30</v>
      </c>
      <c r="H431" t="s">
        <v>5065</v>
      </c>
      <c r="I431">
        <v>0.16666666666666666</v>
      </c>
      <c r="J431">
        <v>102</v>
      </c>
      <c r="K431">
        <v>17</v>
      </c>
    </row>
    <row r="432" spans="1:11" x14ac:dyDescent="0.2">
      <c r="A432" t="s">
        <v>3486</v>
      </c>
      <c r="B432" t="s">
        <v>3487</v>
      </c>
      <c r="C432" t="s">
        <v>3349</v>
      </c>
      <c r="D432" t="s">
        <v>105</v>
      </c>
      <c r="E432">
        <v>199.99</v>
      </c>
      <c r="F432">
        <v>0</v>
      </c>
      <c r="G432">
        <v>31</v>
      </c>
      <c r="H432" t="s">
        <v>5065</v>
      </c>
      <c r="I432">
        <v>0.83333333333333337</v>
      </c>
      <c r="J432">
        <v>50</v>
      </c>
      <c r="K432">
        <v>42</v>
      </c>
    </row>
    <row r="433" spans="1:11" x14ac:dyDescent="0.2">
      <c r="A433" t="s">
        <v>3432</v>
      </c>
      <c r="B433" t="s">
        <v>3433</v>
      </c>
      <c r="C433" t="s">
        <v>3349</v>
      </c>
      <c r="D433" t="s">
        <v>138</v>
      </c>
      <c r="E433">
        <v>119.99</v>
      </c>
      <c r="F433">
        <v>0</v>
      </c>
      <c r="H433" t="s">
        <v>5065</v>
      </c>
      <c r="I433">
        <v>0.83333333333333337</v>
      </c>
      <c r="J433">
        <v>10</v>
      </c>
      <c r="K433">
        <v>8</v>
      </c>
    </row>
    <row r="434" spans="1:11" x14ac:dyDescent="0.2">
      <c r="A434" t="s">
        <v>3430</v>
      </c>
      <c r="B434" t="s">
        <v>3431</v>
      </c>
      <c r="C434" t="s">
        <v>3349</v>
      </c>
      <c r="D434" t="s">
        <v>138</v>
      </c>
      <c r="E434">
        <v>49.99</v>
      </c>
      <c r="F434">
        <v>99.98</v>
      </c>
      <c r="G434">
        <v>37</v>
      </c>
      <c r="H434" t="s">
        <v>5065</v>
      </c>
      <c r="I434">
        <v>1.1666666666666667</v>
      </c>
      <c r="J434">
        <v>10</v>
      </c>
      <c r="K434">
        <v>12</v>
      </c>
    </row>
    <row r="435" spans="1:11" x14ac:dyDescent="0.2">
      <c r="A435" t="s">
        <v>4077</v>
      </c>
      <c r="B435" t="s">
        <v>4078</v>
      </c>
      <c r="C435" t="s">
        <v>3929</v>
      </c>
      <c r="D435" t="s">
        <v>105</v>
      </c>
      <c r="E435">
        <v>74.989999999999995</v>
      </c>
      <c r="F435">
        <v>0</v>
      </c>
      <c r="G435">
        <v>40</v>
      </c>
      <c r="H435" t="s">
        <v>5065</v>
      </c>
      <c r="I435">
        <v>1.1666666666666667</v>
      </c>
      <c r="J435">
        <v>39</v>
      </c>
      <c r="K435">
        <v>45</v>
      </c>
    </row>
    <row r="436" spans="1:11" x14ac:dyDescent="0.2">
      <c r="A436" t="s">
        <v>599</v>
      </c>
      <c r="B436" t="s">
        <v>600</v>
      </c>
      <c r="C436" t="s">
        <v>582</v>
      </c>
      <c r="D436" t="s">
        <v>105</v>
      </c>
      <c r="E436">
        <v>69.989999999999995</v>
      </c>
      <c r="F436">
        <v>69.989999999999995</v>
      </c>
      <c r="H436" t="s">
        <v>5065</v>
      </c>
      <c r="I436">
        <v>1.6666666666666667</v>
      </c>
      <c r="J436">
        <v>25</v>
      </c>
      <c r="K436">
        <v>42</v>
      </c>
    </row>
    <row r="437" spans="1:11" x14ac:dyDescent="0.2">
      <c r="A437" t="s">
        <v>5001</v>
      </c>
      <c r="B437" t="s">
        <v>5000</v>
      </c>
      <c r="C437" t="s">
        <v>4905</v>
      </c>
      <c r="D437" t="s">
        <v>105</v>
      </c>
      <c r="E437">
        <v>889</v>
      </c>
      <c r="F437">
        <v>0</v>
      </c>
      <c r="G437">
        <v>6</v>
      </c>
      <c r="H437" t="s">
        <v>5065</v>
      </c>
      <c r="I437">
        <v>0.5</v>
      </c>
      <c r="J437">
        <v>80</v>
      </c>
      <c r="K437">
        <v>40</v>
      </c>
    </row>
    <row r="438" spans="1:11" x14ac:dyDescent="0.2">
      <c r="A438" t="s">
        <v>811</v>
      </c>
      <c r="B438" t="s">
        <v>812</v>
      </c>
      <c r="C438" t="s">
        <v>582</v>
      </c>
      <c r="D438" t="s">
        <v>105</v>
      </c>
      <c r="E438">
        <v>44.99</v>
      </c>
      <c r="F438">
        <v>224.95000000000002</v>
      </c>
      <c r="H438" t="s">
        <v>5065</v>
      </c>
      <c r="I438">
        <v>1.5</v>
      </c>
      <c r="J438">
        <v>26</v>
      </c>
      <c r="K438">
        <v>39</v>
      </c>
    </row>
    <row r="439" spans="1:11" x14ac:dyDescent="0.2">
      <c r="A439" t="s">
        <v>5002</v>
      </c>
      <c r="B439" t="s">
        <v>5003</v>
      </c>
      <c r="C439" t="s">
        <v>4905</v>
      </c>
      <c r="D439" t="s">
        <v>105</v>
      </c>
      <c r="E439">
        <v>219</v>
      </c>
      <c r="F439">
        <v>0</v>
      </c>
      <c r="G439">
        <v>14</v>
      </c>
      <c r="H439" t="s">
        <v>8</v>
      </c>
      <c r="I439">
        <v>0.33333333333333331</v>
      </c>
      <c r="J439">
        <v>207</v>
      </c>
      <c r="K439">
        <v>69</v>
      </c>
    </row>
    <row r="440" spans="1:11" x14ac:dyDescent="0.2">
      <c r="A440" t="s">
        <v>4938</v>
      </c>
      <c r="B440" t="s">
        <v>4939</v>
      </c>
      <c r="C440" t="s">
        <v>4905</v>
      </c>
      <c r="D440" t="s">
        <v>105</v>
      </c>
      <c r="E440">
        <v>489.99</v>
      </c>
      <c r="F440">
        <v>489.99</v>
      </c>
      <c r="G440">
        <v>2</v>
      </c>
      <c r="H440" t="s">
        <v>8</v>
      </c>
      <c r="I440">
        <v>1.1666666666666667</v>
      </c>
      <c r="J440">
        <v>25</v>
      </c>
      <c r="K440">
        <v>29</v>
      </c>
    </row>
    <row r="441" spans="1:11" x14ac:dyDescent="0.2">
      <c r="A441" t="s">
        <v>370</v>
      </c>
      <c r="B441" t="s">
        <v>371</v>
      </c>
      <c r="C441" t="s">
        <v>307</v>
      </c>
      <c r="D441" t="s">
        <v>98</v>
      </c>
      <c r="E441">
        <v>1199.99</v>
      </c>
      <c r="F441">
        <v>0</v>
      </c>
      <c r="H441" t="s">
        <v>8</v>
      </c>
      <c r="I441">
        <v>0.5</v>
      </c>
      <c r="J441">
        <v>22</v>
      </c>
      <c r="K441">
        <v>11</v>
      </c>
    </row>
    <row r="442" spans="1:11" x14ac:dyDescent="0.2">
      <c r="A442" t="s">
        <v>4928</v>
      </c>
      <c r="B442" t="s">
        <v>4927</v>
      </c>
      <c r="C442" t="s">
        <v>4905</v>
      </c>
      <c r="D442" t="s">
        <v>105</v>
      </c>
      <c r="E442">
        <v>819.99</v>
      </c>
      <c r="F442">
        <v>0</v>
      </c>
      <c r="H442" t="s">
        <v>8</v>
      </c>
      <c r="I442">
        <v>0.66666666666666663</v>
      </c>
      <c r="J442">
        <v>16</v>
      </c>
      <c r="K442">
        <v>11</v>
      </c>
    </row>
    <row r="443" spans="1:11" x14ac:dyDescent="0.2">
      <c r="A443" t="s">
        <v>374</v>
      </c>
      <c r="B443" t="s">
        <v>375</v>
      </c>
      <c r="C443" t="s">
        <v>307</v>
      </c>
      <c r="D443" t="s">
        <v>98</v>
      </c>
      <c r="E443">
        <v>1899.99</v>
      </c>
      <c r="F443">
        <v>0</v>
      </c>
      <c r="H443" t="s">
        <v>8</v>
      </c>
      <c r="I443">
        <v>0.33333333333333331</v>
      </c>
      <c r="J443">
        <v>3</v>
      </c>
      <c r="K443">
        <v>1</v>
      </c>
    </row>
    <row r="444" spans="1:11" x14ac:dyDescent="0.2">
      <c r="A444" t="s">
        <v>3988</v>
      </c>
      <c r="B444" t="s">
        <v>3989</v>
      </c>
      <c r="C444" t="s">
        <v>3929</v>
      </c>
      <c r="D444" t="s">
        <v>105</v>
      </c>
      <c r="E444">
        <v>59.99</v>
      </c>
      <c r="F444">
        <v>59.99</v>
      </c>
      <c r="G444">
        <v>2</v>
      </c>
      <c r="H444" t="s">
        <v>8</v>
      </c>
      <c r="I444">
        <v>0.66666666666666663</v>
      </c>
      <c r="J444">
        <v>48</v>
      </c>
      <c r="K444">
        <v>32</v>
      </c>
    </row>
    <row r="445" spans="1:11" x14ac:dyDescent="0.2">
      <c r="A445" t="s">
        <v>3480</v>
      </c>
      <c r="B445" t="s">
        <v>3481</v>
      </c>
      <c r="C445" t="s">
        <v>3349</v>
      </c>
      <c r="D445" t="s">
        <v>138</v>
      </c>
      <c r="E445">
        <v>189.99</v>
      </c>
      <c r="F445">
        <v>0</v>
      </c>
      <c r="G445">
        <v>58</v>
      </c>
      <c r="H445" t="s">
        <v>8</v>
      </c>
      <c r="I445">
        <v>0.33333333333333331</v>
      </c>
      <c r="J445">
        <v>66</v>
      </c>
      <c r="K445">
        <v>22</v>
      </c>
    </row>
    <row r="446" spans="1:11" x14ac:dyDescent="0.2">
      <c r="A446" t="s">
        <v>3474</v>
      </c>
      <c r="B446" t="s">
        <v>3475</v>
      </c>
      <c r="C446" t="s">
        <v>3349</v>
      </c>
      <c r="D446" t="s">
        <v>105</v>
      </c>
      <c r="E446">
        <v>119.99</v>
      </c>
      <c r="F446">
        <v>119.99</v>
      </c>
      <c r="G446">
        <v>13</v>
      </c>
      <c r="H446" t="s">
        <v>8</v>
      </c>
      <c r="I446">
        <v>0.5</v>
      </c>
      <c r="J446">
        <v>40</v>
      </c>
      <c r="K446">
        <v>20</v>
      </c>
    </row>
    <row r="447" spans="1:11" x14ac:dyDescent="0.2">
      <c r="A447" t="s">
        <v>3462</v>
      </c>
      <c r="B447" t="s">
        <v>3463</v>
      </c>
      <c r="C447" t="s">
        <v>3349</v>
      </c>
      <c r="D447" t="s">
        <v>105</v>
      </c>
      <c r="E447">
        <v>119.99</v>
      </c>
      <c r="F447">
        <v>0</v>
      </c>
      <c r="G447">
        <v>5</v>
      </c>
      <c r="H447" t="s">
        <v>8</v>
      </c>
      <c r="I447">
        <v>0.33333333333333331</v>
      </c>
      <c r="J447">
        <v>48</v>
      </c>
      <c r="K447">
        <v>16</v>
      </c>
    </row>
    <row r="448" spans="1:11" x14ac:dyDescent="0.2">
      <c r="A448" t="s">
        <v>3930</v>
      </c>
      <c r="B448" t="s">
        <v>3931</v>
      </c>
      <c r="C448" t="s">
        <v>3929</v>
      </c>
      <c r="D448" t="s">
        <v>105</v>
      </c>
      <c r="E448">
        <v>139.99</v>
      </c>
      <c r="F448">
        <v>0</v>
      </c>
      <c r="G448">
        <v>42</v>
      </c>
      <c r="H448" t="s">
        <v>8</v>
      </c>
      <c r="I448">
        <v>0.33333333333333331</v>
      </c>
      <c r="J448">
        <v>54</v>
      </c>
      <c r="K448">
        <v>18</v>
      </c>
    </row>
    <row r="449" spans="1:11" x14ac:dyDescent="0.2">
      <c r="A449" t="s">
        <v>3934</v>
      </c>
      <c r="B449" t="s">
        <v>3935</v>
      </c>
      <c r="C449" t="s">
        <v>3929</v>
      </c>
      <c r="D449" t="s">
        <v>105</v>
      </c>
      <c r="E449">
        <v>159.99</v>
      </c>
      <c r="F449">
        <v>0</v>
      </c>
      <c r="G449">
        <v>62</v>
      </c>
      <c r="H449" t="s">
        <v>8</v>
      </c>
      <c r="I449">
        <v>1.8333333333333333</v>
      </c>
      <c r="J449">
        <v>10</v>
      </c>
      <c r="K449">
        <v>18</v>
      </c>
    </row>
    <row r="450" spans="1:11" x14ac:dyDescent="0.2">
      <c r="A450" t="s">
        <v>291</v>
      </c>
      <c r="B450" t="s">
        <v>292</v>
      </c>
      <c r="C450" t="s">
        <v>288</v>
      </c>
      <c r="D450" t="s">
        <v>105</v>
      </c>
      <c r="E450">
        <v>199.99</v>
      </c>
      <c r="F450">
        <v>199.99</v>
      </c>
      <c r="G450">
        <v>51</v>
      </c>
      <c r="H450" t="s">
        <v>8</v>
      </c>
      <c r="I450">
        <v>0.83333333333333337</v>
      </c>
      <c r="J450">
        <v>13</v>
      </c>
      <c r="K450">
        <v>11</v>
      </c>
    </row>
    <row r="451" spans="1:11" x14ac:dyDescent="0.2">
      <c r="A451" t="s">
        <v>5130</v>
      </c>
      <c r="B451" t="s">
        <v>5131</v>
      </c>
      <c r="C451" t="s">
        <v>3929</v>
      </c>
      <c r="D451" t="s">
        <v>138</v>
      </c>
      <c r="E451">
        <v>139.99</v>
      </c>
      <c r="F451">
        <v>0</v>
      </c>
      <c r="H451" t="s">
        <v>8</v>
      </c>
      <c r="I451">
        <v>0.66666666666666663</v>
      </c>
      <c r="J451">
        <v>10</v>
      </c>
      <c r="K451">
        <v>7</v>
      </c>
    </row>
    <row r="452" spans="1:11" x14ac:dyDescent="0.2">
      <c r="A452" t="s">
        <v>2187</v>
      </c>
      <c r="B452" t="s">
        <v>2188</v>
      </c>
      <c r="C452" t="s">
        <v>2174</v>
      </c>
      <c r="D452" t="s">
        <v>98</v>
      </c>
      <c r="E452">
        <v>99.99</v>
      </c>
      <c r="F452">
        <v>0</v>
      </c>
      <c r="H452" t="s">
        <v>73</v>
      </c>
      <c r="I452">
        <v>0</v>
      </c>
      <c r="J452">
        <v>0</v>
      </c>
      <c r="K452">
        <v>0</v>
      </c>
    </row>
    <row r="453" spans="1:11" x14ac:dyDescent="0.2">
      <c r="A453" t="s">
        <v>3319</v>
      </c>
      <c r="B453" t="s">
        <v>3320</v>
      </c>
      <c r="C453" t="s">
        <v>3291</v>
      </c>
      <c r="D453" t="s">
        <v>98</v>
      </c>
      <c r="E453">
        <v>59.99</v>
      </c>
      <c r="F453">
        <v>0</v>
      </c>
      <c r="H453" t="s">
        <v>73</v>
      </c>
      <c r="I453">
        <v>0</v>
      </c>
      <c r="J453">
        <v>0</v>
      </c>
      <c r="K453">
        <v>0</v>
      </c>
    </row>
    <row r="454" spans="1:11" x14ac:dyDescent="0.2">
      <c r="A454" t="s">
        <v>5132</v>
      </c>
      <c r="B454" t="s">
        <v>5133</v>
      </c>
      <c r="C454" t="s">
        <v>4518</v>
      </c>
      <c r="D454" t="s">
        <v>98</v>
      </c>
      <c r="E454">
        <v>49.99</v>
      </c>
      <c r="F454">
        <v>49.99</v>
      </c>
      <c r="H454" t="s">
        <v>73</v>
      </c>
      <c r="I454">
        <v>0.33333333333333331</v>
      </c>
      <c r="J454">
        <v>138</v>
      </c>
      <c r="K454">
        <v>46</v>
      </c>
    </row>
    <row r="455" spans="1:11" x14ac:dyDescent="0.2">
      <c r="A455" t="s">
        <v>5134</v>
      </c>
      <c r="B455" t="s">
        <v>5135</v>
      </c>
      <c r="C455" t="s">
        <v>904</v>
      </c>
      <c r="D455" t="s">
        <v>98</v>
      </c>
      <c r="E455">
        <v>49.99</v>
      </c>
      <c r="F455">
        <v>0</v>
      </c>
      <c r="H455" t="s">
        <v>73</v>
      </c>
      <c r="I455">
        <v>0</v>
      </c>
      <c r="J455">
        <v>0</v>
      </c>
      <c r="K455">
        <v>0</v>
      </c>
    </row>
    <row r="456" spans="1:11" x14ac:dyDescent="0.2">
      <c r="A456" t="s">
        <v>5136</v>
      </c>
      <c r="B456" t="s">
        <v>5137</v>
      </c>
      <c r="C456" t="s">
        <v>874</v>
      </c>
      <c r="D456" t="s">
        <v>98</v>
      </c>
      <c r="E456">
        <v>59.99</v>
      </c>
      <c r="F456">
        <v>0</v>
      </c>
      <c r="H456" t="s">
        <v>73</v>
      </c>
      <c r="I456">
        <v>0</v>
      </c>
      <c r="J456">
        <v>0</v>
      </c>
      <c r="K456">
        <v>0</v>
      </c>
    </row>
    <row r="457" spans="1:11" x14ac:dyDescent="0.2">
      <c r="A457" t="s">
        <v>3317</v>
      </c>
      <c r="B457" t="s">
        <v>3318</v>
      </c>
      <c r="C457" t="s">
        <v>3291</v>
      </c>
      <c r="D457" t="s">
        <v>98</v>
      </c>
      <c r="E457">
        <v>59.99</v>
      </c>
      <c r="F457">
        <v>0</v>
      </c>
      <c r="H457" t="s">
        <v>73</v>
      </c>
      <c r="I457">
        <v>0</v>
      </c>
      <c r="J457">
        <v>0</v>
      </c>
      <c r="K457">
        <v>0</v>
      </c>
    </row>
    <row r="458" spans="1:11" x14ac:dyDescent="0.2">
      <c r="A458" t="s">
        <v>5138</v>
      </c>
      <c r="B458" t="s">
        <v>5139</v>
      </c>
      <c r="C458" t="s">
        <v>3929</v>
      </c>
      <c r="D458" t="s">
        <v>98</v>
      </c>
      <c r="E458">
        <v>129.99</v>
      </c>
      <c r="F458">
        <v>0</v>
      </c>
      <c r="H458" t="s">
        <v>73</v>
      </c>
      <c r="I458">
        <v>0</v>
      </c>
      <c r="J458">
        <v>0</v>
      </c>
      <c r="K458">
        <v>0</v>
      </c>
    </row>
    <row r="459" spans="1:11" x14ac:dyDescent="0.2">
      <c r="A459" t="s">
        <v>5140</v>
      </c>
      <c r="B459" t="s">
        <v>5141</v>
      </c>
      <c r="C459" t="s">
        <v>904</v>
      </c>
      <c r="D459" t="s">
        <v>98</v>
      </c>
      <c r="E459">
        <v>29.99</v>
      </c>
      <c r="F459">
        <v>0</v>
      </c>
      <c r="H459" t="s">
        <v>73</v>
      </c>
      <c r="I459">
        <v>0</v>
      </c>
      <c r="J459">
        <v>0</v>
      </c>
      <c r="K459">
        <v>0</v>
      </c>
    </row>
    <row r="460" spans="1:11" x14ac:dyDescent="0.2">
      <c r="A460" t="s">
        <v>4071</v>
      </c>
      <c r="B460" t="s">
        <v>4072</v>
      </c>
      <c r="C460" t="s">
        <v>3929</v>
      </c>
      <c r="D460" t="s">
        <v>98</v>
      </c>
      <c r="E460">
        <v>199.99</v>
      </c>
      <c r="F460">
        <v>0</v>
      </c>
      <c r="H460" t="s">
        <v>73</v>
      </c>
      <c r="I460">
        <v>0</v>
      </c>
      <c r="J460">
        <v>0</v>
      </c>
      <c r="K460">
        <v>0</v>
      </c>
    </row>
    <row r="461" spans="1:11" x14ac:dyDescent="0.2">
      <c r="A461" t="s">
        <v>5142</v>
      </c>
      <c r="B461" t="s">
        <v>5143</v>
      </c>
      <c r="C461" t="s">
        <v>4518</v>
      </c>
      <c r="D461" t="s">
        <v>98</v>
      </c>
      <c r="E461">
        <v>109.99</v>
      </c>
      <c r="F461">
        <v>0</v>
      </c>
      <c r="H461" t="s">
        <v>73</v>
      </c>
      <c r="I461">
        <v>0</v>
      </c>
      <c r="J461">
        <v>0</v>
      </c>
      <c r="K461">
        <v>0</v>
      </c>
    </row>
    <row r="462" spans="1:11" x14ac:dyDescent="0.2">
      <c r="A462" t="s">
        <v>3315</v>
      </c>
      <c r="B462" t="s">
        <v>3316</v>
      </c>
      <c r="C462" t="s">
        <v>3291</v>
      </c>
      <c r="D462" t="s">
        <v>98</v>
      </c>
      <c r="E462">
        <v>59.99</v>
      </c>
      <c r="F462">
        <v>0</v>
      </c>
      <c r="H462" t="s">
        <v>73</v>
      </c>
      <c r="I462">
        <v>0</v>
      </c>
      <c r="J462">
        <v>0</v>
      </c>
      <c r="K462">
        <v>0</v>
      </c>
    </row>
    <row r="463" spans="1:11" x14ac:dyDescent="0.2">
      <c r="A463" t="s">
        <v>5144</v>
      </c>
      <c r="B463" t="s">
        <v>5145</v>
      </c>
      <c r="C463" t="s">
        <v>3575</v>
      </c>
      <c r="D463" t="s">
        <v>98</v>
      </c>
      <c r="E463">
        <v>19.989999999999998</v>
      </c>
      <c r="F463">
        <v>0</v>
      </c>
      <c r="H463" t="s">
        <v>73</v>
      </c>
      <c r="I463">
        <v>0</v>
      </c>
      <c r="J463">
        <v>0</v>
      </c>
      <c r="K463">
        <v>0</v>
      </c>
    </row>
    <row r="464" spans="1:11" x14ac:dyDescent="0.2">
      <c r="A464" t="s">
        <v>5146</v>
      </c>
      <c r="B464" t="s">
        <v>5147</v>
      </c>
      <c r="C464" t="s">
        <v>904</v>
      </c>
      <c r="D464" t="s">
        <v>98</v>
      </c>
      <c r="E464">
        <v>179.99</v>
      </c>
      <c r="F464">
        <v>0</v>
      </c>
      <c r="H464" t="s">
        <v>73</v>
      </c>
      <c r="I464">
        <v>0</v>
      </c>
      <c r="J464">
        <v>0</v>
      </c>
      <c r="K464">
        <v>0</v>
      </c>
    </row>
    <row r="465" spans="1:11" x14ac:dyDescent="0.2">
      <c r="A465" t="s">
        <v>5148</v>
      </c>
      <c r="B465" t="s">
        <v>5149</v>
      </c>
      <c r="C465" t="s">
        <v>874</v>
      </c>
      <c r="D465" t="s">
        <v>98</v>
      </c>
      <c r="E465">
        <v>39.99</v>
      </c>
      <c r="F465">
        <v>0</v>
      </c>
      <c r="H465" t="s">
        <v>73</v>
      </c>
      <c r="I465">
        <v>0</v>
      </c>
      <c r="J465">
        <v>0</v>
      </c>
      <c r="K465">
        <v>0</v>
      </c>
    </row>
    <row r="466" spans="1:11" x14ac:dyDescent="0.2">
      <c r="A466" t="s">
        <v>5150</v>
      </c>
      <c r="B466" t="s">
        <v>5151</v>
      </c>
      <c r="C466" t="s">
        <v>904</v>
      </c>
      <c r="D466" t="s">
        <v>98</v>
      </c>
      <c r="E466">
        <v>49.99</v>
      </c>
      <c r="F466">
        <v>0</v>
      </c>
      <c r="H466" t="s">
        <v>73</v>
      </c>
      <c r="I466">
        <v>0</v>
      </c>
      <c r="J466">
        <v>0</v>
      </c>
      <c r="K466">
        <v>0</v>
      </c>
    </row>
    <row r="467" spans="1:11" x14ac:dyDescent="0.2">
      <c r="A467" t="s">
        <v>4113</v>
      </c>
      <c r="B467" t="s">
        <v>4114</v>
      </c>
      <c r="C467" t="s">
        <v>3929</v>
      </c>
      <c r="D467" t="s">
        <v>105</v>
      </c>
      <c r="E467">
        <v>54.99</v>
      </c>
      <c r="F467">
        <v>109.98</v>
      </c>
      <c r="G467">
        <v>18</v>
      </c>
      <c r="H467" t="s">
        <v>73</v>
      </c>
      <c r="I467">
        <v>0.66666666666666663</v>
      </c>
      <c r="J467">
        <v>68</v>
      </c>
      <c r="K467">
        <v>45</v>
      </c>
    </row>
    <row r="468" spans="1:11" x14ac:dyDescent="0.2">
      <c r="A468" t="s">
        <v>5152</v>
      </c>
      <c r="B468" t="s">
        <v>5153</v>
      </c>
      <c r="C468" t="s">
        <v>904</v>
      </c>
      <c r="D468" t="s">
        <v>98</v>
      </c>
      <c r="E468">
        <v>79.989999999999995</v>
      </c>
      <c r="F468">
        <v>0</v>
      </c>
      <c r="H468" t="s">
        <v>73</v>
      </c>
      <c r="I468">
        <v>0</v>
      </c>
      <c r="J468">
        <v>0</v>
      </c>
      <c r="K468">
        <v>0</v>
      </c>
    </row>
    <row r="469" spans="1:11" x14ac:dyDescent="0.2">
      <c r="A469" t="s">
        <v>5154</v>
      </c>
      <c r="B469" t="s">
        <v>5155</v>
      </c>
      <c r="C469" t="s">
        <v>4518</v>
      </c>
      <c r="D469" t="s">
        <v>98</v>
      </c>
      <c r="E469">
        <v>49.99</v>
      </c>
      <c r="F469">
        <v>0</v>
      </c>
      <c r="H469" t="s">
        <v>73</v>
      </c>
      <c r="I469">
        <v>0</v>
      </c>
      <c r="J469">
        <v>0</v>
      </c>
      <c r="K469">
        <v>7</v>
      </c>
    </row>
    <row r="470" spans="1:11" x14ac:dyDescent="0.2">
      <c r="A470" t="s">
        <v>3982</v>
      </c>
      <c r="B470" t="s">
        <v>3983</v>
      </c>
      <c r="C470" t="s">
        <v>3929</v>
      </c>
      <c r="D470" t="s">
        <v>98</v>
      </c>
      <c r="E470">
        <v>109.99</v>
      </c>
      <c r="F470">
        <v>0</v>
      </c>
      <c r="H470" t="s">
        <v>73</v>
      </c>
      <c r="I470">
        <v>0</v>
      </c>
      <c r="J470">
        <v>0</v>
      </c>
      <c r="K470">
        <v>0</v>
      </c>
    </row>
    <row r="471" spans="1:11" x14ac:dyDescent="0.2">
      <c r="A471" t="s">
        <v>5156</v>
      </c>
      <c r="B471" t="s">
        <v>5157</v>
      </c>
      <c r="C471" t="s">
        <v>4518</v>
      </c>
      <c r="D471" t="s">
        <v>98</v>
      </c>
      <c r="E471">
        <v>129.99</v>
      </c>
      <c r="F471">
        <v>0</v>
      </c>
      <c r="H471" t="s">
        <v>73</v>
      </c>
      <c r="I471">
        <v>0</v>
      </c>
      <c r="J471">
        <v>0</v>
      </c>
      <c r="K471">
        <v>0</v>
      </c>
    </row>
    <row r="472" spans="1:11" x14ac:dyDescent="0.2">
      <c r="A472" t="s">
        <v>5158</v>
      </c>
      <c r="B472" t="s">
        <v>5159</v>
      </c>
      <c r="C472" t="s">
        <v>904</v>
      </c>
      <c r="D472" t="s">
        <v>98</v>
      </c>
      <c r="E472">
        <v>59.99</v>
      </c>
      <c r="F472">
        <v>0</v>
      </c>
      <c r="H472" t="s">
        <v>73</v>
      </c>
      <c r="I472">
        <v>0</v>
      </c>
      <c r="J472">
        <v>0</v>
      </c>
      <c r="K472">
        <v>0</v>
      </c>
    </row>
    <row r="473" spans="1:11" x14ac:dyDescent="0.2">
      <c r="A473" t="s">
        <v>3325</v>
      </c>
      <c r="B473" t="s">
        <v>3326</v>
      </c>
      <c r="C473" t="s">
        <v>3291</v>
      </c>
      <c r="D473" t="s">
        <v>98</v>
      </c>
      <c r="E473">
        <v>74.989999999999995</v>
      </c>
      <c r="F473">
        <v>0</v>
      </c>
      <c r="H473" t="s">
        <v>73</v>
      </c>
      <c r="I473">
        <v>0</v>
      </c>
      <c r="J473">
        <v>0</v>
      </c>
      <c r="K473">
        <v>0</v>
      </c>
    </row>
    <row r="474" spans="1:11" x14ac:dyDescent="0.2">
      <c r="A474" t="s">
        <v>5160</v>
      </c>
      <c r="B474" t="s">
        <v>5161</v>
      </c>
      <c r="C474" t="s">
        <v>3929</v>
      </c>
      <c r="D474" t="s">
        <v>98</v>
      </c>
      <c r="E474">
        <v>109.99</v>
      </c>
      <c r="F474">
        <v>0</v>
      </c>
      <c r="H474" t="s">
        <v>73</v>
      </c>
      <c r="I474">
        <v>0</v>
      </c>
      <c r="J474">
        <v>0</v>
      </c>
      <c r="K474">
        <v>0</v>
      </c>
    </row>
    <row r="475" spans="1:11" x14ac:dyDescent="0.2">
      <c r="A475" t="s">
        <v>5162</v>
      </c>
      <c r="B475" t="s">
        <v>5163</v>
      </c>
      <c r="C475" t="s">
        <v>4518</v>
      </c>
      <c r="D475" t="s">
        <v>98</v>
      </c>
      <c r="E475">
        <v>99.99</v>
      </c>
      <c r="F475">
        <v>0</v>
      </c>
      <c r="H475" t="s">
        <v>73</v>
      </c>
      <c r="I475">
        <v>0</v>
      </c>
      <c r="J475">
        <v>0</v>
      </c>
      <c r="K475">
        <v>0</v>
      </c>
    </row>
    <row r="476" spans="1:11" x14ac:dyDescent="0.2">
      <c r="A476" t="s">
        <v>5164</v>
      </c>
      <c r="B476" t="s">
        <v>875</v>
      </c>
      <c r="C476" t="s">
        <v>874</v>
      </c>
      <c r="D476" t="s">
        <v>98</v>
      </c>
      <c r="E476">
        <v>79.989999999999995</v>
      </c>
      <c r="F476">
        <v>0</v>
      </c>
      <c r="H476" t="s">
        <v>73</v>
      </c>
      <c r="I476">
        <v>0</v>
      </c>
      <c r="J476">
        <v>0</v>
      </c>
      <c r="K476">
        <v>0</v>
      </c>
    </row>
    <row r="477" spans="1:11" x14ac:dyDescent="0.2">
      <c r="A477" t="s">
        <v>4111</v>
      </c>
      <c r="B477" t="s">
        <v>4112</v>
      </c>
      <c r="C477" t="s">
        <v>3929</v>
      </c>
      <c r="D477" t="s">
        <v>105</v>
      </c>
      <c r="E477">
        <v>89.99</v>
      </c>
      <c r="F477">
        <v>179.98</v>
      </c>
      <c r="G477">
        <v>49</v>
      </c>
      <c r="H477" t="s">
        <v>73</v>
      </c>
      <c r="I477">
        <v>1.5</v>
      </c>
      <c r="J477">
        <v>127</v>
      </c>
      <c r="K477">
        <v>190</v>
      </c>
    </row>
    <row r="478" spans="1:11" x14ac:dyDescent="0.2">
      <c r="A478" t="s">
        <v>3323</v>
      </c>
      <c r="B478" t="s">
        <v>3324</v>
      </c>
      <c r="C478" t="s">
        <v>3291</v>
      </c>
      <c r="D478" t="s">
        <v>98</v>
      </c>
      <c r="E478">
        <v>74.989999999999995</v>
      </c>
      <c r="F478">
        <v>0</v>
      </c>
      <c r="H478" t="s">
        <v>73</v>
      </c>
      <c r="I478">
        <v>0</v>
      </c>
      <c r="J478">
        <v>0</v>
      </c>
      <c r="K478">
        <v>0</v>
      </c>
    </row>
    <row r="479" spans="1:11" x14ac:dyDescent="0.2">
      <c r="A479" t="s">
        <v>3984</v>
      </c>
      <c r="B479" t="s">
        <v>3985</v>
      </c>
      <c r="C479" t="s">
        <v>3929</v>
      </c>
      <c r="D479" t="s">
        <v>98</v>
      </c>
      <c r="E479">
        <v>84.99</v>
      </c>
      <c r="F479">
        <v>0</v>
      </c>
      <c r="H479" t="s">
        <v>73</v>
      </c>
      <c r="I479">
        <v>0</v>
      </c>
      <c r="J479">
        <v>0</v>
      </c>
      <c r="K479">
        <v>0</v>
      </c>
    </row>
    <row r="480" spans="1:11" x14ac:dyDescent="0.2">
      <c r="A480" t="s">
        <v>5165</v>
      </c>
      <c r="B480" t="s">
        <v>5166</v>
      </c>
      <c r="C480" t="s">
        <v>904</v>
      </c>
      <c r="D480" t="s">
        <v>98</v>
      </c>
      <c r="E480">
        <v>99.99</v>
      </c>
      <c r="F480">
        <v>0</v>
      </c>
      <c r="H480" t="s">
        <v>73</v>
      </c>
      <c r="I480">
        <v>0</v>
      </c>
      <c r="J480">
        <v>0</v>
      </c>
      <c r="K480">
        <v>0</v>
      </c>
    </row>
    <row r="481" spans="1:11" x14ac:dyDescent="0.2">
      <c r="A481" t="s">
        <v>5167</v>
      </c>
      <c r="B481" t="s">
        <v>5168</v>
      </c>
      <c r="C481" t="s">
        <v>4518</v>
      </c>
      <c r="D481" t="s">
        <v>98</v>
      </c>
      <c r="E481">
        <v>69.989999999999995</v>
      </c>
      <c r="F481">
        <v>0</v>
      </c>
      <c r="H481" t="s">
        <v>73</v>
      </c>
      <c r="I481">
        <v>0</v>
      </c>
      <c r="J481">
        <v>0</v>
      </c>
      <c r="K481">
        <v>0</v>
      </c>
    </row>
    <row r="482" spans="1:11" x14ac:dyDescent="0.2">
      <c r="A482" t="s">
        <v>5169</v>
      </c>
      <c r="B482" t="s">
        <v>5170</v>
      </c>
      <c r="C482" t="s">
        <v>904</v>
      </c>
      <c r="D482" t="s">
        <v>98</v>
      </c>
      <c r="E482">
        <v>59.99</v>
      </c>
      <c r="F482">
        <v>0</v>
      </c>
      <c r="H482" t="s">
        <v>73</v>
      </c>
      <c r="I482">
        <v>0</v>
      </c>
      <c r="J482">
        <v>0</v>
      </c>
      <c r="K482">
        <v>0</v>
      </c>
    </row>
    <row r="483" spans="1:11" x14ac:dyDescent="0.2">
      <c r="A483" t="s">
        <v>5171</v>
      </c>
      <c r="B483" t="s">
        <v>5172</v>
      </c>
      <c r="C483" t="s">
        <v>4518</v>
      </c>
      <c r="D483" t="s">
        <v>98</v>
      </c>
      <c r="E483">
        <v>59.99</v>
      </c>
      <c r="F483">
        <v>0</v>
      </c>
      <c r="H483" t="s">
        <v>73</v>
      </c>
      <c r="I483">
        <v>0</v>
      </c>
      <c r="J483">
        <v>0</v>
      </c>
      <c r="K483">
        <v>0</v>
      </c>
    </row>
    <row r="484" spans="1:11" x14ac:dyDescent="0.2">
      <c r="A484" t="s">
        <v>5173</v>
      </c>
      <c r="B484" t="s">
        <v>5174</v>
      </c>
      <c r="C484" t="s">
        <v>904</v>
      </c>
      <c r="D484" t="s">
        <v>98</v>
      </c>
      <c r="E484">
        <v>169.99</v>
      </c>
      <c r="F484">
        <v>0</v>
      </c>
      <c r="H484" t="s">
        <v>73</v>
      </c>
      <c r="I484">
        <v>0</v>
      </c>
      <c r="J484">
        <v>0</v>
      </c>
      <c r="K484">
        <v>0</v>
      </c>
    </row>
    <row r="485" spans="1:11" x14ac:dyDescent="0.2">
      <c r="A485" t="s">
        <v>3321</v>
      </c>
      <c r="B485" t="s">
        <v>3322</v>
      </c>
      <c r="C485" t="s">
        <v>3291</v>
      </c>
      <c r="D485" t="s">
        <v>98</v>
      </c>
      <c r="E485">
        <v>74.989999999999995</v>
      </c>
      <c r="F485">
        <v>0</v>
      </c>
      <c r="H485" t="s">
        <v>73</v>
      </c>
      <c r="I485">
        <v>0</v>
      </c>
      <c r="J485">
        <v>0</v>
      </c>
      <c r="K485">
        <v>0</v>
      </c>
    </row>
    <row r="486" spans="1:11" x14ac:dyDescent="0.2">
      <c r="A486" t="s">
        <v>3986</v>
      </c>
      <c r="B486" t="s">
        <v>3987</v>
      </c>
      <c r="C486" t="s">
        <v>3929</v>
      </c>
      <c r="D486" t="s">
        <v>98</v>
      </c>
      <c r="E486">
        <v>84.99</v>
      </c>
      <c r="F486">
        <v>0</v>
      </c>
      <c r="H486" t="s">
        <v>73</v>
      </c>
      <c r="I486">
        <v>0</v>
      </c>
      <c r="J486">
        <v>0</v>
      </c>
      <c r="K486">
        <v>0</v>
      </c>
    </row>
    <row r="487" spans="1:11" x14ac:dyDescent="0.2">
      <c r="A487" t="s">
        <v>5175</v>
      </c>
      <c r="B487" t="s">
        <v>5176</v>
      </c>
      <c r="C487" t="s">
        <v>3929</v>
      </c>
      <c r="D487" t="s">
        <v>98</v>
      </c>
      <c r="E487">
        <v>499.99</v>
      </c>
      <c r="F487">
        <v>0</v>
      </c>
      <c r="H487" t="s">
        <v>73</v>
      </c>
      <c r="I487">
        <v>0</v>
      </c>
      <c r="J487">
        <v>0</v>
      </c>
      <c r="K487">
        <v>0</v>
      </c>
    </row>
    <row r="488" spans="1:11" x14ac:dyDescent="0.2">
      <c r="A488" t="s">
        <v>5177</v>
      </c>
      <c r="B488" t="s">
        <v>5178</v>
      </c>
      <c r="C488" t="s">
        <v>4518</v>
      </c>
      <c r="D488" t="s">
        <v>98</v>
      </c>
      <c r="E488">
        <v>159.99</v>
      </c>
      <c r="F488">
        <v>0</v>
      </c>
      <c r="H488" t="s">
        <v>73</v>
      </c>
      <c r="I488">
        <v>0</v>
      </c>
      <c r="J488">
        <v>0</v>
      </c>
      <c r="K488">
        <v>0</v>
      </c>
    </row>
    <row r="489" spans="1:11" x14ac:dyDescent="0.2">
      <c r="A489" t="s">
        <v>5179</v>
      </c>
      <c r="B489" t="s">
        <v>5180</v>
      </c>
      <c r="C489" t="s">
        <v>904</v>
      </c>
      <c r="D489" t="s">
        <v>98</v>
      </c>
      <c r="E489">
        <v>49.99</v>
      </c>
      <c r="F489">
        <v>0</v>
      </c>
      <c r="H489" t="s">
        <v>73</v>
      </c>
      <c r="I489">
        <v>0</v>
      </c>
      <c r="J489">
        <v>0</v>
      </c>
      <c r="K489">
        <v>0</v>
      </c>
    </row>
    <row r="490" spans="1:11" x14ac:dyDescent="0.2">
      <c r="A490" t="s">
        <v>4477</v>
      </c>
      <c r="B490" t="s">
        <v>4478</v>
      </c>
      <c r="C490" t="s">
        <v>4437</v>
      </c>
      <c r="D490" t="s">
        <v>98</v>
      </c>
      <c r="E490">
        <v>119.99</v>
      </c>
      <c r="F490">
        <v>0</v>
      </c>
      <c r="H490" t="s">
        <v>73</v>
      </c>
      <c r="I490">
        <v>0</v>
      </c>
      <c r="J490">
        <v>0</v>
      </c>
      <c r="K490">
        <v>0</v>
      </c>
    </row>
    <row r="491" spans="1:11" x14ac:dyDescent="0.2">
      <c r="A491" t="s">
        <v>3142</v>
      </c>
      <c r="B491" t="s">
        <v>3143</v>
      </c>
      <c r="C491" t="s">
        <v>3133</v>
      </c>
      <c r="D491" t="s">
        <v>98</v>
      </c>
      <c r="E491">
        <v>59.99</v>
      </c>
      <c r="F491">
        <v>59.99</v>
      </c>
      <c r="H491" t="s">
        <v>73</v>
      </c>
      <c r="I491">
        <v>0.16666666666666666</v>
      </c>
      <c r="J491">
        <v>24</v>
      </c>
      <c r="K491">
        <v>4</v>
      </c>
    </row>
    <row r="492" spans="1:11" x14ac:dyDescent="0.2">
      <c r="A492" t="s">
        <v>4475</v>
      </c>
      <c r="B492" t="s">
        <v>4476</v>
      </c>
      <c r="C492" t="s">
        <v>4437</v>
      </c>
      <c r="D492" t="s">
        <v>98</v>
      </c>
      <c r="E492">
        <v>119.99</v>
      </c>
      <c r="F492">
        <v>0</v>
      </c>
      <c r="H492" t="s">
        <v>73</v>
      </c>
      <c r="I492">
        <v>0</v>
      </c>
      <c r="J492">
        <v>0</v>
      </c>
      <c r="K492">
        <v>0</v>
      </c>
    </row>
    <row r="493" spans="1:11" x14ac:dyDescent="0.2">
      <c r="A493" t="s">
        <v>3217</v>
      </c>
      <c r="B493" t="s">
        <v>3218</v>
      </c>
      <c r="C493" t="s">
        <v>3188</v>
      </c>
      <c r="D493" t="s">
        <v>98</v>
      </c>
      <c r="E493">
        <v>19.989999999999998</v>
      </c>
      <c r="F493">
        <v>0</v>
      </c>
      <c r="H493" t="s">
        <v>73</v>
      </c>
      <c r="I493">
        <v>0</v>
      </c>
      <c r="J493">
        <v>0</v>
      </c>
      <c r="K493">
        <v>0</v>
      </c>
    </row>
    <row r="494" spans="1:11" x14ac:dyDescent="0.2">
      <c r="A494" t="s">
        <v>920</v>
      </c>
      <c r="B494" t="s">
        <v>921</v>
      </c>
      <c r="C494" t="s">
        <v>911</v>
      </c>
      <c r="D494" t="s">
        <v>105</v>
      </c>
      <c r="E494">
        <v>89.99</v>
      </c>
      <c r="F494">
        <v>0</v>
      </c>
      <c r="G494">
        <v>107</v>
      </c>
      <c r="H494" t="s">
        <v>73</v>
      </c>
      <c r="I494">
        <v>0.33333333333333331</v>
      </c>
      <c r="J494">
        <v>0</v>
      </c>
      <c r="K494">
        <v>0</v>
      </c>
    </row>
    <row r="495" spans="1:11" x14ac:dyDescent="0.2">
      <c r="A495" t="s">
        <v>5181</v>
      </c>
      <c r="B495" t="s">
        <v>5182</v>
      </c>
      <c r="C495" t="s">
        <v>3929</v>
      </c>
      <c r="D495" t="s">
        <v>138</v>
      </c>
      <c r="E495">
        <v>79.989999999999995</v>
      </c>
      <c r="F495">
        <v>0</v>
      </c>
      <c r="H495" t="s">
        <v>73</v>
      </c>
      <c r="I495">
        <v>0</v>
      </c>
      <c r="J495">
        <v>0</v>
      </c>
      <c r="K495">
        <v>0</v>
      </c>
    </row>
    <row r="496" spans="1:11" x14ac:dyDescent="0.2">
      <c r="A496" t="s">
        <v>5183</v>
      </c>
      <c r="B496" t="s">
        <v>5184</v>
      </c>
      <c r="C496" t="s">
        <v>874</v>
      </c>
      <c r="D496" t="s">
        <v>98</v>
      </c>
      <c r="E496">
        <v>29.99</v>
      </c>
      <c r="F496">
        <v>0</v>
      </c>
      <c r="H496" t="s">
        <v>73</v>
      </c>
      <c r="I496">
        <v>0</v>
      </c>
      <c r="J496">
        <v>0</v>
      </c>
      <c r="K496">
        <v>0</v>
      </c>
    </row>
    <row r="497" spans="1:11" x14ac:dyDescent="0.2">
      <c r="A497" t="s">
        <v>4473</v>
      </c>
      <c r="B497" t="s">
        <v>4474</v>
      </c>
      <c r="C497" t="s">
        <v>4437</v>
      </c>
      <c r="D497" t="s">
        <v>98</v>
      </c>
      <c r="E497">
        <v>99.99</v>
      </c>
      <c r="F497">
        <v>0</v>
      </c>
      <c r="H497" t="s">
        <v>73</v>
      </c>
      <c r="I497">
        <v>0</v>
      </c>
      <c r="J497">
        <v>0</v>
      </c>
      <c r="K497">
        <v>0</v>
      </c>
    </row>
    <row r="498" spans="1:11" x14ac:dyDescent="0.2">
      <c r="A498" t="s">
        <v>3215</v>
      </c>
      <c r="B498" t="s">
        <v>3216</v>
      </c>
      <c r="C498" t="s">
        <v>3188</v>
      </c>
      <c r="D498" t="s">
        <v>98</v>
      </c>
      <c r="E498">
        <v>19.989999999999998</v>
      </c>
      <c r="F498">
        <v>0</v>
      </c>
      <c r="H498" t="s">
        <v>73</v>
      </c>
      <c r="I498">
        <v>0</v>
      </c>
      <c r="J498">
        <v>0</v>
      </c>
      <c r="K498">
        <v>0</v>
      </c>
    </row>
    <row r="499" spans="1:11" x14ac:dyDescent="0.2">
      <c r="A499" t="s">
        <v>2099</v>
      </c>
      <c r="B499" t="s">
        <v>2100</v>
      </c>
      <c r="C499" t="s">
        <v>2094</v>
      </c>
      <c r="D499" t="s">
        <v>98</v>
      </c>
      <c r="E499">
        <v>99.99</v>
      </c>
      <c r="F499">
        <v>0</v>
      </c>
      <c r="H499" t="s">
        <v>73</v>
      </c>
      <c r="I499">
        <v>0</v>
      </c>
      <c r="J499">
        <v>0</v>
      </c>
      <c r="K499">
        <v>0</v>
      </c>
    </row>
    <row r="500" spans="1:11" x14ac:dyDescent="0.2">
      <c r="A500" t="s">
        <v>4471</v>
      </c>
      <c r="B500" t="s">
        <v>4472</v>
      </c>
      <c r="C500" t="s">
        <v>4437</v>
      </c>
      <c r="D500" t="s">
        <v>98</v>
      </c>
      <c r="E500">
        <v>49.99</v>
      </c>
      <c r="F500">
        <v>0</v>
      </c>
      <c r="H500" t="s">
        <v>73</v>
      </c>
      <c r="I500">
        <v>0</v>
      </c>
      <c r="J500">
        <v>0</v>
      </c>
      <c r="K500">
        <v>0</v>
      </c>
    </row>
    <row r="501" spans="1:11" x14ac:dyDescent="0.2">
      <c r="A501" t="s">
        <v>4063</v>
      </c>
      <c r="B501" t="s">
        <v>4064</v>
      </c>
      <c r="C501" t="s">
        <v>3929</v>
      </c>
      <c r="D501" t="s">
        <v>105</v>
      </c>
      <c r="E501">
        <v>259.99</v>
      </c>
      <c r="F501">
        <v>0</v>
      </c>
      <c r="H501" t="s">
        <v>73</v>
      </c>
      <c r="I501">
        <v>0</v>
      </c>
      <c r="J501">
        <v>0</v>
      </c>
      <c r="K501">
        <v>20</v>
      </c>
    </row>
    <row r="502" spans="1:11" x14ac:dyDescent="0.2">
      <c r="A502" t="s">
        <v>4469</v>
      </c>
      <c r="B502" t="s">
        <v>4470</v>
      </c>
      <c r="C502" t="s">
        <v>4437</v>
      </c>
      <c r="D502" t="s">
        <v>98</v>
      </c>
      <c r="E502">
        <v>39.99</v>
      </c>
      <c r="F502">
        <v>0</v>
      </c>
      <c r="H502" t="s">
        <v>73</v>
      </c>
      <c r="I502">
        <v>0</v>
      </c>
      <c r="J502">
        <v>0</v>
      </c>
      <c r="K502">
        <v>0</v>
      </c>
    </row>
    <row r="503" spans="1:11" x14ac:dyDescent="0.2">
      <c r="A503" t="s">
        <v>2101</v>
      </c>
      <c r="B503" t="s">
        <v>2102</v>
      </c>
      <c r="C503" t="s">
        <v>2094</v>
      </c>
      <c r="D503" t="s">
        <v>138</v>
      </c>
      <c r="E503">
        <v>219.99</v>
      </c>
      <c r="F503">
        <v>0</v>
      </c>
      <c r="G503">
        <v>30</v>
      </c>
      <c r="H503" t="s">
        <v>73</v>
      </c>
      <c r="I503">
        <v>0</v>
      </c>
      <c r="J503">
        <v>0</v>
      </c>
      <c r="K503">
        <v>0</v>
      </c>
    </row>
    <row r="504" spans="1:11" x14ac:dyDescent="0.2">
      <c r="A504" t="s">
        <v>3213</v>
      </c>
      <c r="B504" t="s">
        <v>3214</v>
      </c>
      <c r="C504" t="s">
        <v>3188</v>
      </c>
      <c r="D504" t="s">
        <v>98</v>
      </c>
      <c r="E504">
        <v>19.989999999999998</v>
      </c>
      <c r="F504">
        <v>0</v>
      </c>
      <c r="H504" t="s">
        <v>73</v>
      </c>
      <c r="I504">
        <v>0</v>
      </c>
      <c r="J504">
        <v>0</v>
      </c>
      <c r="K504">
        <v>0</v>
      </c>
    </row>
    <row r="505" spans="1:11" x14ac:dyDescent="0.2">
      <c r="A505" t="s">
        <v>4061</v>
      </c>
      <c r="B505" t="s">
        <v>4062</v>
      </c>
      <c r="C505" t="s">
        <v>3929</v>
      </c>
      <c r="D505" t="s">
        <v>105</v>
      </c>
      <c r="E505">
        <v>259.99</v>
      </c>
      <c r="F505">
        <v>0</v>
      </c>
      <c r="H505" t="s">
        <v>73</v>
      </c>
      <c r="I505">
        <v>0</v>
      </c>
      <c r="J505">
        <v>0</v>
      </c>
      <c r="K505">
        <v>20</v>
      </c>
    </row>
    <row r="506" spans="1:11" x14ac:dyDescent="0.2">
      <c r="A506" t="s">
        <v>5185</v>
      </c>
      <c r="B506" t="s">
        <v>5186</v>
      </c>
      <c r="C506" t="s">
        <v>874</v>
      </c>
      <c r="D506" t="s">
        <v>98</v>
      </c>
      <c r="E506">
        <v>59.99</v>
      </c>
      <c r="F506">
        <v>0</v>
      </c>
      <c r="H506" t="s">
        <v>73</v>
      </c>
      <c r="I506">
        <v>0</v>
      </c>
      <c r="J506">
        <v>0</v>
      </c>
      <c r="K506">
        <v>0</v>
      </c>
    </row>
    <row r="507" spans="1:11" x14ac:dyDescent="0.2">
      <c r="A507" t="s">
        <v>3219</v>
      </c>
      <c r="B507" t="s">
        <v>3220</v>
      </c>
      <c r="C507" t="s">
        <v>3188</v>
      </c>
      <c r="D507" t="s">
        <v>98</v>
      </c>
      <c r="E507">
        <v>44.99</v>
      </c>
      <c r="F507">
        <v>0</v>
      </c>
      <c r="H507" t="s">
        <v>73</v>
      </c>
      <c r="I507">
        <v>0</v>
      </c>
      <c r="J507">
        <v>0</v>
      </c>
      <c r="K507">
        <v>0</v>
      </c>
    </row>
    <row r="508" spans="1:11" x14ac:dyDescent="0.2">
      <c r="A508" t="s">
        <v>958</v>
      </c>
      <c r="B508" t="s">
        <v>959</v>
      </c>
      <c r="C508" t="s">
        <v>911</v>
      </c>
      <c r="D508" t="s">
        <v>105</v>
      </c>
      <c r="E508">
        <v>169.99</v>
      </c>
      <c r="F508">
        <v>0</v>
      </c>
      <c r="G508">
        <v>49</v>
      </c>
      <c r="H508" t="s">
        <v>73</v>
      </c>
      <c r="I508">
        <v>0.16666666666666666</v>
      </c>
      <c r="J508">
        <v>6</v>
      </c>
      <c r="K508">
        <v>1</v>
      </c>
    </row>
    <row r="509" spans="1:11" x14ac:dyDescent="0.2">
      <c r="A509" t="s">
        <v>3998</v>
      </c>
      <c r="B509" t="s">
        <v>3999</v>
      </c>
      <c r="C509" t="s">
        <v>3929</v>
      </c>
      <c r="D509" t="s">
        <v>105</v>
      </c>
      <c r="E509">
        <v>79.989999999999995</v>
      </c>
      <c r="F509">
        <v>0</v>
      </c>
      <c r="H509" t="s">
        <v>73</v>
      </c>
      <c r="I509">
        <v>0</v>
      </c>
      <c r="J509">
        <v>0</v>
      </c>
      <c r="K509">
        <v>0</v>
      </c>
    </row>
    <row r="510" spans="1:11" x14ac:dyDescent="0.2">
      <c r="A510" t="s">
        <v>5187</v>
      </c>
      <c r="B510" t="s">
        <v>5188</v>
      </c>
      <c r="C510" t="s">
        <v>874</v>
      </c>
      <c r="D510" t="s">
        <v>98</v>
      </c>
      <c r="E510">
        <v>19.989999999999998</v>
      </c>
      <c r="F510">
        <v>0</v>
      </c>
      <c r="H510" t="s">
        <v>73</v>
      </c>
      <c r="I510">
        <v>0</v>
      </c>
      <c r="J510">
        <v>0</v>
      </c>
      <c r="K510">
        <v>0</v>
      </c>
    </row>
    <row r="511" spans="1:11" x14ac:dyDescent="0.2">
      <c r="A511" t="s">
        <v>5189</v>
      </c>
      <c r="B511" t="s">
        <v>5190</v>
      </c>
      <c r="C511" t="s">
        <v>904</v>
      </c>
      <c r="D511" t="s">
        <v>98</v>
      </c>
      <c r="E511">
        <v>59.99</v>
      </c>
      <c r="F511">
        <v>0</v>
      </c>
      <c r="H511" t="s">
        <v>73</v>
      </c>
      <c r="I511">
        <v>0</v>
      </c>
      <c r="J511">
        <v>0</v>
      </c>
      <c r="K511">
        <v>0</v>
      </c>
    </row>
    <row r="512" spans="1:11" x14ac:dyDescent="0.2">
      <c r="A512" t="s">
        <v>3296</v>
      </c>
      <c r="B512" t="s">
        <v>3297</v>
      </c>
      <c r="C512" t="s">
        <v>3291</v>
      </c>
      <c r="D512" t="s">
        <v>98</v>
      </c>
      <c r="E512">
        <v>59.99</v>
      </c>
      <c r="F512">
        <v>0</v>
      </c>
      <c r="H512" t="s">
        <v>73</v>
      </c>
      <c r="I512">
        <v>0</v>
      </c>
      <c r="J512">
        <v>0</v>
      </c>
      <c r="K512">
        <v>0</v>
      </c>
    </row>
    <row r="513" spans="1:11" x14ac:dyDescent="0.2">
      <c r="A513" t="s">
        <v>5191</v>
      </c>
      <c r="B513" t="s">
        <v>5192</v>
      </c>
      <c r="C513" t="s">
        <v>4518</v>
      </c>
      <c r="D513" t="s">
        <v>98</v>
      </c>
      <c r="E513">
        <v>69.989999999999995</v>
      </c>
      <c r="F513">
        <v>0</v>
      </c>
      <c r="H513" t="s">
        <v>73</v>
      </c>
      <c r="I513">
        <v>0</v>
      </c>
      <c r="J513">
        <v>0</v>
      </c>
      <c r="K513">
        <v>0</v>
      </c>
    </row>
    <row r="514" spans="1:11" x14ac:dyDescent="0.2">
      <c r="A514" t="s">
        <v>918</v>
      </c>
      <c r="B514" t="s">
        <v>919</v>
      </c>
      <c r="C514" t="s">
        <v>911</v>
      </c>
      <c r="D514" t="s">
        <v>105</v>
      </c>
      <c r="E514">
        <v>59.99</v>
      </c>
      <c r="F514">
        <v>0</v>
      </c>
      <c r="G514">
        <v>143</v>
      </c>
      <c r="H514" t="s">
        <v>73</v>
      </c>
      <c r="I514">
        <v>0</v>
      </c>
      <c r="J514">
        <v>0</v>
      </c>
      <c r="K514">
        <v>0</v>
      </c>
    </row>
    <row r="515" spans="1:11" x14ac:dyDescent="0.2">
      <c r="A515" t="s">
        <v>5193</v>
      </c>
      <c r="B515" t="s">
        <v>5194</v>
      </c>
      <c r="C515" t="s">
        <v>3929</v>
      </c>
      <c r="D515" t="s">
        <v>98</v>
      </c>
      <c r="E515">
        <v>699.99</v>
      </c>
      <c r="F515">
        <v>0</v>
      </c>
      <c r="H515" t="s">
        <v>73</v>
      </c>
      <c r="I515">
        <v>0</v>
      </c>
      <c r="J515">
        <v>0</v>
      </c>
      <c r="K515">
        <v>0</v>
      </c>
    </row>
    <row r="516" spans="1:11" x14ac:dyDescent="0.2">
      <c r="A516" t="s">
        <v>3294</v>
      </c>
      <c r="B516" t="s">
        <v>3295</v>
      </c>
      <c r="C516" t="s">
        <v>3291</v>
      </c>
      <c r="D516" t="s">
        <v>98</v>
      </c>
      <c r="E516">
        <v>59.99</v>
      </c>
      <c r="F516">
        <v>0</v>
      </c>
      <c r="H516" t="s">
        <v>73</v>
      </c>
      <c r="I516">
        <v>0</v>
      </c>
      <c r="J516">
        <v>0</v>
      </c>
      <c r="K516">
        <v>0</v>
      </c>
    </row>
    <row r="517" spans="1:11" x14ac:dyDescent="0.2">
      <c r="A517" t="s">
        <v>3994</v>
      </c>
      <c r="B517" t="s">
        <v>5195</v>
      </c>
      <c r="C517" t="s">
        <v>3929</v>
      </c>
      <c r="D517" t="s">
        <v>105</v>
      </c>
      <c r="E517">
        <v>79.989999999999995</v>
      </c>
      <c r="F517">
        <v>0</v>
      </c>
      <c r="H517" t="s">
        <v>73</v>
      </c>
      <c r="I517">
        <v>0</v>
      </c>
      <c r="J517">
        <v>0</v>
      </c>
      <c r="K517">
        <v>0</v>
      </c>
    </row>
    <row r="518" spans="1:11" x14ac:dyDescent="0.2">
      <c r="A518" t="s">
        <v>956</v>
      </c>
      <c r="B518" t="s">
        <v>957</v>
      </c>
      <c r="C518" t="s">
        <v>911</v>
      </c>
      <c r="D518" t="s">
        <v>105</v>
      </c>
      <c r="E518">
        <v>89.99</v>
      </c>
      <c r="F518">
        <v>0</v>
      </c>
      <c r="G518">
        <v>205</v>
      </c>
      <c r="H518" t="s">
        <v>73</v>
      </c>
      <c r="I518">
        <v>0.16666666666666666</v>
      </c>
      <c r="J518">
        <v>96</v>
      </c>
      <c r="K518">
        <v>16</v>
      </c>
    </row>
    <row r="519" spans="1:11" x14ac:dyDescent="0.2">
      <c r="A519" t="s">
        <v>3996</v>
      </c>
      <c r="B519" t="s">
        <v>5196</v>
      </c>
      <c r="C519" t="s">
        <v>3929</v>
      </c>
      <c r="D519" t="s">
        <v>105</v>
      </c>
      <c r="E519">
        <v>79.989999999999995</v>
      </c>
      <c r="F519">
        <v>0</v>
      </c>
      <c r="H519" t="s">
        <v>73</v>
      </c>
      <c r="I519">
        <v>0.16666666666666666</v>
      </c>
      <c r="J519">
        <v>6</v>
      </c>
      <c r="K519">
        <v>1</v>
      </c>
    </row>
    <row r="520" spans="1:11" x14ac:dyDescent="0.2">
      <c r="A520" t="s">
        <v>4481</v>
      </c>
      <c r="B520" t="s">
        <v>4482</v>
      </c>
      <c r="C520" t="s">
        <v>4437</v>
      </c>
      <c r="D520" t="s">
        <v>98</v>
      </c>
      <c r="E520">
        <v>119.99</v>
      </c>
      <c r="F520">
        <v>0</v>
      </c>
      <c r="H520" t="s">
        <v>73</v>
      </c>
      <c r="I520">
        <v>0</v>
      </c>
      <c r="J520">
        <v>0</v>
      </c>
      <c r="K520">
        <v>0</v>
      </c>
    </row>
    <row r="521" spans="1:11" x14ac:dyDescent="0.2">
      <c r="A521" t="s">
        <v>5197</v>
      </c>
      <c r="B521" t="s">
        <v>5198</v>
      </c>
      <c r="C521" t="s">
        <v>874</v>
      </c>
      <c r="D521" t="s">
        <v>98</v>
      </c>
      <c r="E521">
        <v>29.99</v>
      </c>
      <c r="F521">
        <v>0</v>
      </c>
      <c r="H521" t="s">
        <v>73</v>
      </c>
      <c r="I521">
        <v>0</v>
      </c>
      <c r="J521">
        <v>0</v>
      </c>
      <c r="K521">
        <v>0</v>
      </c>
    </row>
    <row r="522" spans="1:11" x14ac:dyDescent="0.2">
      <c r="A522" t="s">
        <v>954</v>
      </c>
      <c r="B522" t="s">
        <v>955</v>
      </c>
      <c r="C522" t="s">
        <v>911</v>
      </c>
      <c r="D522" t="s">
        <v>105</v>
      </c>
      <c r="E522">
        <v>49.99</v>
      </c>
      <c r="F522">
        <v>0</v>
      </c>
      <c r="G522">
        <v>163</v>
      </c>
      <c r="H522" t="s">
        <v>73</v>
      </c>
      <c r="I522">
        <v>0</v>
      </c>
      <c r="J522">
        <v>0</v>
      </c>
      <c r="K522">
        <v>43</v>
      </c>
    </row>
    <row r="523" spans="1:11" x14ac:dyDescent="0.2">
      <c r="A523" t="s">
        <v>3292</v>
      </c>
      <c r="B523" t="s">
        <v>3293</v>
      </c>
      <c r="C523" t="s">
        <v>3291</v>
      </c>
      <c r="D523" t="s">
        <v>98</v>
      </c>
      <c r="E523">
        <v>59.99</v>
      </c>
      <c r="F523">
        <v>0</v>
      </c>
      <c r="H523" t="s">
        <v>73</v>
      </c>
      <c r="I523">
        <v>0</v>
      </c>
      <c r="J523">
        <v>0</v>
      </c>
      <c r="K523">
        <v>0</v>
      </c>
    </row>
    <row r="524" spans="1:11" x14ac:dyDescent="0.2">
      <c r="A524" t="s">
        <v>4479</v>
      </c>
      <c r="B524" t="s">
        <v>4480</v>
      </c>
      <c r="C524" t="s">
        <v>4437</v>
      </c>
      <c r="D524" t="s">
        <v>98</v>
      </c>
      <c r="E524">
        <v>69.989999999999995</v>
      </c>
      <c r="F524">
        <v>0</v>
      </c>
      <c r="H524" t="s">
        <v>73</v>
      </c>
      <c r="I524">
        <v>0</v>
      </c>
      <c r="J524">
        <v>0</v>
      </c>
      <c r="K524">
        <v>0</v>
      </c>
    </row>
    <row r="525" spans="1:11" x14ac:dyDescent="0.2">
      <c r="A525" t="s">
        <v>5199</v>
      </c>
      <c r="B525" t="s">
        <v>5200</v>
      </c>
      <c r="C525" t="s">
        <v>4518</v>
      </c>
      <c r="D525" t="s">
        <v>98</v>
      </c>
      <c r="E525">
        <v>69.989999999999995</v>
      </c>
      <c r="F525">
        <v>0</v>
      </c>
      <c r="H525" t="s">
        <v>73</v>
      </c>
      <c r="I525">
        <v>0</v>
      </c>
      <c r="J525">
        <v>0</v>
      </c>
      <c r="K525">
        <v>0</v>
      </c>
    </row>
    <row r="526" spans="1:11" x14ac:dyDescent="0.2">
      <c r="A526" t="s">
        <v>4467</v>
      </c>
      <c r="B526" t="s">
        <v>4468</v>
      </c>
      <c r="C526" t="s">
        <v>4437</v>
      </c>
      <c r="D526" t="s">
        <v>98</v>
      </c>
      <c r="E526">
        <v>80.989999999999995</v>
      </c>
      <c r="F526">
        <v>0</v>
      </c>
      <c r="H526" t="s">
        <v>73</v>
      </c>
      <c r="I526">
        <v>0</v>
      </c>
      <c r="J526">
        <v>0</v>
      </c>
      <c r="K526">
        <v>0</v>
      </c>
    </row>
    <row r="527" spans="1:11" x14ac:dyDescent="0.2">
      <c r="A527" t="s">
        <v>3327</v>
      </c>
      <c r="B527" t="s">
        <v>3328</v>
      </c>
      <c r="C527" t="s">
        <v>3291</v>
      </c>
      <c r="D527" t="s">
        <v>98</v>
      </c>
      <c r="E527">
        <v>74.989999999999995</v>
      </c>
      <c r="F527">
        <v>0</v>
      </c>
      <c r="H527" t="s">
        <v>73</v>
      </c>
      <c r="I527">
        <v>0</v>
      </c>
      <c r="J527">
        <v>0</v>
      </c>
      <c r="K527">
        <v>0</v>
      </c>
    </row>
    <row r="528" spans="1:11" x14ac:dyDescent="0.2">
      <c r="A528" t="s">
        <v>4549</v>
      </c>
      <c r="B528" t="s">
        <v>4550</v>
      </c>
      <c r="C528" t="s">
        <v>4518</v>
      </c>
      <c r="D528" t="s">
        <v>105</v>
      </c>
      <c r="E528">
        <v>149.99</v>
      </c>
      <c r="F528">
        <v>0</v>
      </c>
      <c r="G528">
        <v>14</v>
      </c>
      <c r="H528" t="s">
        <v>73</v>
      </c>
      <c r="I528">
        <v>0.33333333333333331</v>
      </c>
      <c r="J528">
        <v>21</v>
      </c>
      <c r="K528">
        <v>7</v>
      </c>
    </row>
    <row r="529" spans="1:11" x14ac:dyDescent="0.2">
      <c r="A529" t="s">
        <v>3964</v>
      </c>
      <c r="B529" t="s">
        <v>3965</v>
      </c>
      <c r="C529" t="s">
        <v>3929</v>
      </c>
      <c r="D529" t="s">
        <v>138</v>
      </c>
      <c r="E529">
        <v>64.989999999999995</v>
      </c>
      <c r="F529">
        <v>0</v>
      </c>
      <c r="H529" t="s">
        <v>73</v>
      </c>
      <c r="I529">
        <v>0.5</v>
      </c>
      <c r="J529">
        <v>14</v>
      </c>
      <c r="K529">
        <v>7</v>
      </c>
    </row>
    <row r="530" spans="1:11" x14ac:dyDescent="0.2">
      <c r="A530" t="s">
        <v>5201</v>
      </c>
      <c r="B530" t="s">
        <v>5202</v>
      </c>
      <c r="C530" t="s">
        <v>904</v>
      </c>
      <c r="D530" t="s">
        <v>98</v>
      </c>
      <c r="E530">
        <v>29.99</v>
      </c>
      <c r="F530">
        <v>0</v>
      </c>
      <c r="H530" t="s">
        <v>73</v>
      </c>
      <c r="I530">
        <v>0</v>
      </c>
      <c r="J530">
        <v>0</v>
      </c>
      <c r="K530">
        <v>0</v>
      </c>
    </row>
    <row r="531" spans="1:11" x14ac:dyDescent="0.2">
      <c r="A531" t="s">
        <v>5203</v>
      </c>
      <c r="B531" t="s">
        <v>5204</v>
      </c>
      <c r="C531" t="s">
        <v>4518</v>
      </c>
      <c r="D531" t="s">
        <v>98</v>
      </c>
      <c r="E531">
        <v>109.99</v>
      </c>
      <c r="F531">
        <v>0</v>
      </c>
      <c r="H531" t="s">
        <v>73</v>
      </c>
      <c r="I531">
        <v>0</v>
      </c>
      <c r="J531">
        <v>0</v>
      </c>
      <c r="K531">
        <v>0</v>
      </c>
    </row>
    <row r="532" spans="1:11" x14ac:dyDescent="0.2">
      <c r="A532" t="s">
        <v>3347</v>
      </c>
      <c r="B532" t="s">
        <v>3348</v>
      </c>
      <c r="C532" t="s">
        <v>3291</v>
      </c>
      <c r="D532" t="s">
        <v>98</v>
      </c>
      <c r="E532">
        <v>59.99</v>
      </c>
      <c r="F532">
        <v>0</v>
      </c>
      <c r="H532" t="s">
        <v>73</v>
      </c>
      <c r="I532">
        <v>0</v>
      </c>
      <c r="J532">
        <v>0</v>
      </c>
      <c r="K532">
        <v>0</v>
      </c>
    </row>
    <row r="533" spans="1:11" x14ac:dyDescent="0.2">
      <c r="A533" t="s">
        <v>3966</v>
      </c>
      <c r="B533" t="s">
        <v>3967</v>
      </c>
      <c r="C533" t="s">
        <v>3929</v>
      </c>
      <c r="D533" t="s">
        <v>138</v>
      </c>
      <c r="G533">
        <v>80</v>
      </c>
      <c r="H533" t="s">
        <v>73</v>
      </c>
      <c r="I533">
        <v>0</v>
      </c>
      <c r="J533">
        <v>0</v>
      </c>
      <c r="K533">
        <v>80</v>
      </c>
    </row>
    <row r="534" spans="1:11" x14ac:dyDescent="0.2">
      <c r="A534" t="s">
        <v>5128</v>
      </c>
      <c r="B534" t="s">
        <v>5129</v>
      </c>
      <c r="C534" t="s">
        <v>3929</v>
      </c>
      <c r="D534" t="s">
        <v>138</v>
      </c>
      <c r="E534">
        <v>129.99</v>
      </c>
      <c r="F534">
        <v>0</v>
      </c>
      <c r="H534" t="s">
        <v>73</v>
      </c>
      <c r="I534">
        <v>0</v>
      </c>
      <c r="J534">
        <v>0</v>
      </c>
      <c r="K534">
        <v>0</v>
      </c>
    </row>
    <row r="535" spans="1:11" x14ac:dyDescent="0.2">
      <c r="A535" t="s">
        <v>3345</v>
      </c>
      <c r="B535" t="s">
        <v>3346</v>
      </c>
      <c r="C535" t="s">
        <v>3291</v>
      </c>
      <c r="D535" t="s">
        <v>98</v>
      </c>
      <c r="E535">
        <v>59.99</v>
      </c>
      <c r="F535">
        <v>0</v>
      </c>
      <c r="H535" t="s">
        <v>73</v>
      </c>
      <c r="I535">
        <v>0</v>
      </c>
      <c r="J535">
        <v>0</v>
      </c>
      <c r="K535">
        <v>0</v>
      </c>
    </row>
    <row r="536" spans="1:11" x14ac:dyDescent="0.2">
      <c r="A536" t="s">
        <v>5205</v>
      </c>
      <c r="B536" t="s">
        <v>5206</v>
      </c>
      <c r="C536" t="s">
        <v>4518</v>
      </c>
      <c r="D536" t="s">
        <v>98</v>
      </c>
      <c r="E536">
        <v>89.99</v>
      </c>
      <c r="F536">
        <v>0</v>
      </c>
      <c r="H536" t="s">
        <v>73</v>
      </c>
      <c r="I536">
        <v>0</v>
      </c>
      <c r="J536">
        <v>0</v>
      </c>
      <c r="K536">
        <v>0</v>
      </c>
    </row>
    <row r="537" spans="1:11" x14ac:dyDescent="0.2">
      <c r="A537" t="s">
        <v>3968</v>
      </c>
      <c r="B537" t="s">
        <v>3969</v>
      </c>
      <c r="C537" t="s">
        <v>3929</v>
      </c>
      <c r="D537" t="s">
        <v>138</v>
      </c>
      <c r="E537">
        <v>184.99</v>
      </c>
      <c r="F537">
        <v>0</v>
      </c>
      <c r="G537">
        <v>30</v>
      </c>
      <c r="H537" t="s">
        <v>73</v>
      </c>
      <c r="I537">
        <v>0.33333333333333331</v>
      </c>
      <c r="J537">
        <v>132</v>
      </c>
      <c r="K537">
        <v>44</v>
      </c>
    </row>
    <row r="538" spans="1:11" x14ac:dyDescent="0.2">
      <c r="A538" t="s">
        <v>5207</v>
      </c>
      <c r="B538" t="s">
        <v>5208</v>
      </c>
      <c r="C538" t="s">
        <v>4518</v>
      </c>
      <c r="D538" t="s">
        <v>98</v>
      </c>
      <c r="E538">
        <v>89.99</v>
      </c>
      <c r="F538">
        <v>0</v>
      </c>
      <c r="H538" t="s">
        <v>73</v>
      </c>
      <c r="I538">
        <v>0</v>
      </c>
      <c r="J538">
        <v>0</v>
      </c>
      <c r="K538">
        <v>0</v>
      </c>
    </row>
    <row r="539" spans="1:11" x14ac:dyDescent="0.2">
      <c r="A539" t="s">
        <v>3343</v>
      </c>
      <c r="B539" t="s">
        <v>3344</v>
      </c>
      <c r="C539" t="s">
        <v>3291</v>
      </c>
      <c r="D539" t="s">
        <v>98</v>
      </c>
      <c r="E539">
        <v>69.989999999999995</v>
      </c>
      <c r="F539">
        <v>0</v>
      </c>
      <c r="H539" t="s">
        <v>73</v>
      </c>
      <c r="I539">
        <v>0</v>
      </c>
      <c r="J539">
        <v>0</v>
      </c>
      <c r="K539">
        <v>0</v>
      </c>
    </row>
    <row r="540" spans="1:11" x14ac:dyDescent="0.2">
      <c r="A540" t="s">
        <v>5209</v>
      </c>
      <c r="B540" t="s">
        <v>5210</v>
      </c>
      <c r="C540" t="s">
        <v>904</v>
      </c>
      <c r="D540" t="s">
        <v>98</v>
      </c>
      <c r="E540">
        <v>49.99</v>
      </c>
      <c r="F540">
        <v>0</v>
      </c>
      <c r="H540" t="s">
        <v>73</v>
      </c>
      <c r="I540">
        <v>0</v>
      </c>
      <c r="J540">
        <v>0</v>
      </c>
      <c r="K540">
        <v>0</v>
      </c>
    </row>
    <row r="541" spans="1:11" x14ac:dyDescent="0.2">
      <c r="A541" t="s">
        <v>5211</v>
      </c>
      <c r="B541" t="s">
        <v>5212</v>
      </c>
      <c r="C541" t="s">
        <v>4518</v>
      </c>
      <c r="D541" t="s">
        <v>98</v>
      </c>
      <c r="E541">
        <v>89.99</v>
      </c>
      <c r="F541">
        <v>0</v>
      </c>
      <c r="H541" t="s">
        <v>73</v>
      </c>
      <c r="I541">
        <v>0</v>
      </c>
      <c r="J541">
        <v>0</v>
      </c>
      <c r="K541">
        <v>0</v>
      </c>
    </row>
    <row r="542" spans="1:11" x14ac:dyDescent="0.2">
      <c r="A542" t="s">
        <v>5213</v>
      </c>
      <c r="B542" t="s">
        <v>5214</v>
      </c>
      <c r="C542" t="s">
        <v>3929</v>
      </c>
      <c r="D542" t="s">
        <v>98</v>
      </c>
      <c r="E542">
        <v>89.99</v>
      </c>
      <c r="F542">
        <v>0</v>
      </c>
      <c r="H542" t="s">
        <v>73</v>
      </c>
      <c r="I542">
        <v>0</v>
      </c>
      <c r="J542">
        <v>0</v>
      </c>
      <c r="K542">
        <v>0</v>
      </c>
    </row>
    <row r="543" spans="1:11" x14ac:dyDescent="0.2">
      <c r="A543" t="s">
        <v>601</v>
      </c>
      <c r="B543" t="s">
        <v>602</v>
      </c>
      <c r="C543" t="s">
        <v>582</v>
      </c>
      <c r="D543" t="s">
        <v>105</v>
      </c>
      <c r="E543">
        <v>29.99</v>
      </c>
      <c r="F543">
        <v>0</v>
      </c>
      <c r="G543">
        <v>320</v>
      </c>
      <c r="H543" t="s">
        <v>73</v>
      </c>
      <c r="I543">
        <v>0.16666666666666666</v>
      </c>
      <c r="J543">
        <v>0</v>
      </c>
      <c r="K543">
        <v>0</v>
      </c>
    </row>
    <row r="544" spans="1:11" x14ac:dyDescent="0.2">
      <c r="A544" t="s">
        <v>4551</v>
      </c>
      <c r="B544" t="s">
        <v>4552</v>
      </c>
      <c r="C544" t="s">
        <v>4518</v>
      </c>
      <c r="D544" t="s">
        <v>105</v>
      </c>
      <c r="E544">
        <v>149.99</v>
      </c>
      <c r="F544">
        <v>0</v>
      </c>
      <c r="G544">
        <v>2</v>
      </c>
      <c r="H544" t="s">
        <v>73</v>
      </c>
      <c r="I544">
        <v>0.16666666666666666</v>
      </c>
      <c r="J544">
        <v>0</v>
      </c>
      <c r="K544">
        <v>0</v>
      </c>
    </row>
    <row r="545" spans="1:11" x14ac:dyDescent="0.2">
      <c r="A545" t="s">
        <v>4107</v>
      </c>
      <c r="B545" t="s">
        <v>4108</v>
      </c>
      <c r="C545" t="s">
        <v>3929</v>
      </c>
      <c r="D545" t="s">
        <v>138</v>
      </c>
      <c r="E545">
        <v>119.99</v>
      </c>
      <c r="F545">
        <v>239.98</v>
      </c>
      <c r="H545" t="s">
        <v>73</v>
      </c>
      <c r="I545">
        <v>1.1666666666666667</v>
      </c>
      <c r="J545">
        <v>2</v>
      </c>
      <c r="K545">
        <v>2</v>
      </c>
    </row>
    <row r="546" spans="1:11" x14ac:dyDescent="0.2">
      <c r="A546" t="s">
        <v>5215</v>
      </c>
      <c r="B546" t="s">
        <v>5216</v>
      </c>
      <c r="C546" t="s">
        <v>3929</v>
      </c>
      <c r="D546" t="s">
        <v>98</v>
      </c>
      <c r="E546">
        <v>119.99</v>
      </c>
      <c r="F546">
        <v>0</v>
      </c>
      <c r="H546" t="s">
        <v>73</v>
      </c>
      <c r="I546">
        <v>0</v>
      </c>
      <c r="J546">
        <v>0</v>
      </c>
      <c r="K546">
        <v>0</v>
      </c>
    </row>
    <row r="547" spans="1:11" x14ac:dyDescent="0.2">
      <c r="A547" t="s">
        <v>3362</v>
      </c>
      <c r="B547" t="s">
        <v>3363</v>
      </c>
      <c r="C547" t="s">
        <v>3349</v>
      </c>
      <c r="D547" t="s">
        <v>105</v>
      </c>
      <c r="E547">
        <v>89.99</v>
      </c>
      <c r="F547">
        <v>0</v>
      </c>
      <c r="G547">
        <v>6</v>
      </c>
      <c r="H547" t="s">
        <v>73</v>
      </c>
      <c r="I547">
        <v>0</v>
      </c>
      <c r="J547">
        <v>0</v>
      </c>
      <c r="K547">
        <v>9</v>
      </c>
    </row>
    <row r="548" spans="1:11" x14ac:dyDescent="0.2">
      <c r="A548" t="s">
        <v>4565</v>
      </c>
      <c r="B548" t="s">
        <v>4566</v>
      </c>
      <c r="C548" t="s">
        <v>4518</v>
      </c>
      <c r="D548" t="s">
        <v>138</v>
      </c>
      <c r="E548">
        <v>159.99</v>
      </c>
      <c r="F548">
        <v>0</v>
      </c>
      <c r="G548">
        <v>14</v>
      </c>
      <c r="H548" t="s">
        <v>73</v>
      </c>
      <c r="I548">
        <v>0</v>
      </c>
      <c r="J548">
        <v>0</v>
      </c>
      <c r="K548">
        <v>0</v>
      </c>
    </row>
    <row r="549" spans="1:11" x14ac:dyDescent="0.2">
      <c r="A549" t="s">
        <v>5217</v>
      </c>
      <c r="B549" t="s">
        <v>5218</v>
      </c>
      <c r="C549" t="s">
        <v>904</v>
      </c>
      <c r="D549" t="s">
        <v>98</v>
      </c>
      <c r="E549">
        <v>29.99</v>
      </c>
      <c r="F549">
        <v>0</v>
      </c>
      <c r="H549" t="s">
        <v>73</v>
      </c>
      <c r="I549">
        <v>0</v>
      </c>
      <c r="J549">
        <v>0</v>
      </c>
      <c r="K549">
        <v>0</v>
      </c>
    </row>
    <row r="550" spans="1:11" x14ac:dyDescent="0.2">
      <c r="A550" t="s">
        <v>3360</v>
      </c>
      <c r="B550" t="s">
        <v>3361</v>
      </c>
      <c r="C550" t="s">
        <v>3349</v>
      </c>
      <c r="D550" t="s">
        <v>105</v>
      </c>
      <c r="E550">
        <v>479.99</v>
      </c>
      <c r="F550">
        <v>0</v>
      </c>
      <c r="H550" t="s">
        <v>73</v>
      </c>
      <c r="I550">
        <v>0.16666666666666666</v>
      </c>
      <c r="J550">
        <v>132</v>
      </c>
      <c r="K550">
        <v>22</v>
      </c>
    </row>
    <row r="551" spans="1:11" x14ac:dyDescent="0.2">
      <c r="A551" t="s">
        <v>4555</v>
      </c>
      <c r="B551" t="s">
        <v>4556</v>
      </c>
      <c r="C551" t="s">
        <v>4518</v>
      </c>
      <c r="D551" t="s">
        <v>105</v>
      </c>
      <c r="E551">
        <v>99.99</v>
      </c>
      <c r="F551">
        <v>99.99</v>
      </c>
      <c r="G551">
        <v>24</v>
      </c>
      <c r="H551" t="s">
        <v>73</v>
      </c>
      <c r="I551">
        <v>0.16666666666666666</v>
      </c>
      <c r="J551">
        <v>90</v>
      </c>
      <c r="K551">
        <v>15</v>
      </c>
    </row>
    <row r="552" spans="1:11" x14ac:dyDescent="0.2">
      <c r="A552" t="s">
        <v>3162</v>
      </c>
      <c r="B552" t="s">
        <v>3163</v>
      </c>
      <c r="C552" t="s">
        <v>3133</v>
      </c>
      <c r="D552" t="s">
        <v>98</v>
      </c>
      <c r="E552">
        <v>119.99</v>
      </c>
      <c r="F552">
        <v>0</v>
      </c>
      <c r="H552" t="s">
        <v>73</v>
      </c>
      <c r="I552">
        <v>0</v>
      </c>
      <c r="J552">
        <v>0</v>
      </c>
      <c r="K552">
        <v>0</v>
      </c>
    </row>
    <row r="553" spans="1:11" x14ac:dyDescent="0.2">
      <c r="A553" t="s">
        <v>3358</v>
      </c>
      <c r="B553" t="s">
        <v>3359</v>
      </c>
      <c r="C553" t="s">
        <v>3349</v>
      </c>
      <c r="D553" t="s">
        <v>105</v>
      </c>
      <c r="E553">
        <v>339.99</v>
      </c>
      <c r="F553">
        <v>0</v>
      </c>
      <c r="G553">
        <v>51</v>
      </c>
      <c r="H553" t="s">
        <v>73</v>
      </c>
      <c r="I553">
        <v>0</v>
      </c>
      <c r="J553">
        <v>0</v>
      </c>
      <c r="K553">
        <v>11</v>
      </c>
    </row>
    <row r="554" spans="1:11" x14ac:dyDescent="0.2">
      <c r="A554" t="s">
        <v>4553</v>
      </c>
      <c r="B554" t="s">
        <v>4554</v>
      </c>
      <c r="C554" t="s">
        <v>4518</v>
      </c>
      <c r="D554" t="s">
        <v>105</v>
      </c>
      <c r="E554">
        <v>99.99</v>
      </c>
      <c r="F554">
        <v>99.99</v>
      </c>
      <c r="G554">
        <v>68</v>
      </c>
      <c r="H554" t="s">
        <v>73</v>
      </c>
      <c r="I554">
        <v>0.5</v>
      </c>
      <c r="J554">
        <v>58</v>
      </c>
      <c r="K554">
        <v>29</v>
      </c>
    </row>
    <row r="555" spans="1:11" x14ac:dyDescent="0.2">
      <c r="A555" t="s">
        <v>644</v>
      </c>
      <c r="B555" t="s">
        <v>645</v>
      </c>
      <c r="C555" t="s">
        <v>582</v>
      </c>
      <c r="D555" t="s">
        <v>98</v>
      </c>
      <c r="E555">
        <v>79.989999999999995</v>
      </c>
      <c r="F555">
        <v>0</v>
      </c>
      <c r="H555" t="s">
        <v>73</v>
      </c>
      <c r="I555">
        <v>0</v>
      </c>
      <c r="J555">
        <v>0</v>
      </c>
      <c r="K555">
        <v>0</v>
      </c>
    </row>
    <row r="556" spans="1:11" x14ac:dyDescent="0.2">
      <c r="A556" t="s">
        <v>5219</v>
      </c>
      <c r="B556" t="s">
        <v>5220</v>
      </c>
      <c r="C556" t="s">
        <v>904</v>
      </c>
      <c r="D556" t="s">
        <v>98</v>
      </c>
      <c r="E556">
        <v>29.99</v>
      </c>
      <c r="F556">
        <v>0</v>
      </c>
      <c r="H556" t="s">
        <v>73</v>
      </c>
      <c r="I556">
        <v>0</v>
      </c>
      <c r="J556">
        <v>0</v>
      </c>
      <c r="K556">
        <v>0</v>
      </c>
    </row>
    <row r="557" spans="1:11" x14ac:dyDescent="0.2">
      <c r="A557" t="s">
        <v>714</v>
      </c>
      <c r="B557" t="s">
        <v>715</v>
      </c>
      <c r="C557" t="s">
        <v>582</v>
      </c>
      <c r="D557" t="s">
        <v>98</v>
      </c>
      <c r="E557">
        <v>49.99</v>
      </c>
      <c r="F557">
        <v>0</v>
      </c>
      <c r="H557" t="s">
        <v>73</v>
      </c>
      <c r="I557">
        <v>0</v>
      </c>
      <c r="J557">
        <v>0</v>
      </c>
      <c r="K557">
        <v>14</v>
      </c>
    </row>
    <row r="558" spans="1:11" x14ac:dyDescent="0.2">
      <c r="A558" t="s">
        <v>3136</v>
      </c>
      <c r="B558" t="s">
        <v>3137</v>
      </c>
      <c r="C558" t="s">
        <v>3133</v>
      </c>
      <c r="D558" t="s">
        <v>98</v>
      </c>
      <c r="E558">
        <v>79.989999999999995</v>
      </c>
      <c r="F558">
        <v>79.989999999999995</v>
      </c>
      <c r="H558" t="s">
        <v>73</v>
      </c>
      <c r="I558">
        <v>3.6666666666666665</v>
      </c>
      <c r="J558">
        <v>1</v>
      </c>
      <c r="K558">
        <v>5</v>
      </c>
    </row>
    <row r="559" spans="1:11" x14ac:dyDescent="0.2">
      <c r="A559" t="s">
        <v>3970</v>
      </c>
      <c r="B559" t="s">
        <v>3971</v>
      </c>
      <c r="C559" t="s">
        <v>3929</v>
      </c>
      <c r="D559" t="s">
        <v>98</v>
      </c>
      <c r="E559">
        <v>139.99</v>
      </c>
      <c r="F559">
        <v>0</v>
      </c>
      <c r="H559" t="s">
        <v>73</v>
      </c>
      <c r="I559">
        <v>0</v>
      </c>
      <c r="J559">
        <v>0</v>
      </c>
      <c r="K559">
        <v>0</v>
      </c>
    </row>
    <row r="560" spans="1:11" x14ac:dyDescent="0.2">
      <c r="A560" t="s">
        <v>3341</v>
      </c>
      <c r="B560" t="s">
        <v>3342</v>
      </c>
      <c r="C560" t="s">
        <v>3291</v>
      </c>
      <c r="D560" t="s">
        <v>98</v>
      </c>
      <c r="E560">
        <v>59.99</v>
      </c>
      <c r="F560">
        <v>0</v>
      </c>
      <c r="H560" t="s">
        <v>73</v>
      </c>
      <c r="I560">
        <v>0</v>
      </c>
      <c r="J560">
        <v>0</v>
      </c>
      <c r="K560">
        <v>0</v>
      </c>
    </row>
    <row r="561" spans="1:11" x14ac:dyDescent="0.2">
      <c r="A561" t="s">
        <v>3976</v>
      </c>
      <c r="B561" t="s">
        <v>3977</v>
      </c>
      <c r="C561" t="s">
        <v>3929</v>
      </c>
      <c r="D561" t="s">
        <v>138</v>
      </c>
      <c r="E561">
        <v>99.99</v>
      </c>
      <c r="F561">
        <v>0</v>
      </c>
      <c r="G561">
        <v>37</v>
      </c>
      <c r="H561" t="s">
        <v>73</v>
      </c>
      <c r="I561">
        <v>0</v>
      </c>
      <c r="J561">
        <v>0</v>
      </c>
      <c r="K561">
        <v>0</v>
      </c>
    </row>
    <row r="562" spans="1:11" x14ac:dyDescent="0.2">
      <c r="A562" t="s">
        <v>5221</v>
      </c>
      <c r="B562" t="s">
        <v>5222</v>
      </c>
      <c r="C562" t="s">
        <v>4518</v>
      </c>
      <c r="D562" t="s">
        <v>98</v>
      </c>
      <c r="E562">
        <v>89.99</v>
      </c>
      <c r="F562">
        <v>0</v>
      </c>
      <c r="H562" t="s">
        <v>73</v>
      </c>
      <c r="I562">
        <v>0</v>
      </c>
      <c r="J562">
        <v>0</v>
      </c>
      <c r="K562">
        <v>0</v>
      </c>
    </row>
    <row r="563" spans="1:11" x14ac:dyDescent="0.2">
      <c r="A563" t="s">
        <v>5223</v>
      </c>
      <c r="B563" t="s">
        <v>5224</v>
      </c>
      <c r="C563" t="s">
        <v>4518</v>
      </c>
      <c r="D563" t="s">
        <v>98</v>
      </c>
      <c r="E563">
        <v>89.99</v>
      </c>
      <c r="F563">
        <v>0</v>
      </c>
      <c r="H563" t="s">
        <v>73</v>
      </c>
      <c r="I563">
        <v>0</v>
      </c>
      <c r="J563">
        <v>0</v>
      </c>
      <c r="K563">
        <v>0</v>
      </c>
    </row>
    <row r="564" spans="1:11" x14ac:dyDescent="0.2">
      <c r="A564" t="s">
        <v>3134</v>
      </c>
      <c r="B564" t="s">
        <v>3135</v>
      </c>
      <c r="C564" t="s">
        <v>3133</v>
      </c>
      <c r="D564" t="s">
        <v>98</v>
      </c>
      <c r="E564">
        <v>53.99</v>
      </c>
      <c r="F564">
        <v>0</v>
      </c>
      <c r="H564" t="s">
        <v>73</v>
      </c>
      <c r="I564">
        <v>0.33333333333333331</v>
      </c>
      <c r="J564">
        <v>39</v>
      </c>
      <c r="K564">
        <v>13</v>
      </c>
    </row>
    <row r="565" spans="1:11" x14ac:dyDescent="0.2">
      <c r="A565" t="s">
        <v>3331</v>
      </c>
      <c r="B565" t="s">
        <v>3332</v>
      </c>
      <c r="C565" t="s">
        <v>3291</v>
      </c>
      <c r="D565" t="s">
        <v>98</v>
      </c>
      <c r="E565">
        <v>74.989999999999995</v>
      </c>
      <c r="F565">
        <v>0</v>
      </c>
      <c r="H565" t="s">
        <v>73</v>
      </c>
      <c r="I565">
        <v>0</v>
      </c>
      <c r="J565">
        <v>0</v>
      </c>
      <c r="K565">
        <v>0</v>
      </c>
    </row>
    <row r="566" spans="1:11" x14ac:dyDescent="0.2">
      <c r="A566" t="s">
        <v>5225</v>
      </c>
      <c r="B566" t="s">
        <v>5226</v>
      </c>
      <c r="C566" t="s">
        <v>4518</v>
      </c>
      <c r="D566" t="s">
        <v>98</v>
      </c>
      <c r="E566">
        <v>89.99</v>
      </c>
      <c r="F566">
        <v>0</v>
      </c>
      <c r="H566" t="s">
        <v>73</v>
      </c>
      <c r="I566">
        <v>0</v>
      </c>
      <c r="J566">
        <v>0</v>
      </c>
      <c r="K566">
        <v>0</v>
      </c>
    </row>
    <row r="567" spans="1:11" x14ac:dyDescent="0.2">
      <c r="A567" t="s">
        <v>5227</v>
      </c>
      <c r="B567" t="s">
        <v>5228</v>
      </c>
      <c r="C567" t="s">
        <v>4518</v>
      </c>
      <c r="D567" t="s">
        <v>98</v>
      </c>
      <c r="E567">
        <v>89.99</v>
      </c>
      <c r="F567">
        <v>0</v>
      </c>
      <c r="H567" t="s">
        <v>73</v>
      </c>
      <c r="I567">
        <v>0</v>
      </c>
      <c r="J567">
        <v>0</v>
      </c>
      <c r="K567">
        <v>0</v>
      </c>
    </row>
    <row r="568" spans="1:11" x14ac:dyDescent="0.2">
      <c r="A568" t="s">
        <v>5229</v>
      </c>
      <c r="B568" t="s">
        <v>5230</v>
      </c>
      <c r="C568" t="s">
        <v>904</v>
      </c>
      <c r="D568" t="s">
        <v>98</v>
      </c>
      <c r="E568">
        <v>79.989999999999995</v>
      </c>
      <c r="F568">
        <v>0</v>
      </c>
      <c r="H568" t="s">
        <v>73</v>
      </c>
      <c r="I568">
        <v>0</v>
      </c>
      <c r="J568">
        <v>0</v>
      </c>
      <c r="K568">
        <v>0</v>
      </c>
    </row>
    <row r="569" spans="1:11" x14ac:dyDescent="0.2">
      <c r="A569" t="s">
        <v>5231</v>
      </c>
      <c r="B569" t="s">
        <v>5232</v>
      </c>
      <c r="C569" t="s">
        <v>4518</v>
      </c>
      <c r="D569" t="s">
        <v>98</v>
      </c>
      <c r="E569">
        <v>99.99</v>
      </c>
      <c r="F569">
        <v>0</v>
      </c>
      <c r="H569" t="s">
        <v>73</v>
      </c>
      <c r="I569">
        <v>0</v>
      </c>
      <c r="J569">
        <v>0</v>
      </c>
      <c r="K569">
        <v>0</v>
      </c>
    </row>
    <row r="570" spans="1:11" x14ac:dyDescent="0.2">
      <c r="A570" t="s">
        <v>650</v>
      </c>
      <c r="B570" t="s">
        <v>651</v>
      </c>
      <c r="C570" t="s">
        <v>582</v>
      </c>
      <c r="D570" t="s">
        <v>105</v>
      </c>
      <c r="E570">
        <v>119.99</v>
      </c>
      <c r="F570">
        <v>239.98</v>
      </c>
      <c r="G570">
        <v>83</v>
      </c>
      <c r="H570" t="s">
        <v>73</v>
      </c>
      <c r="I570">
        <v>1.8333333333333333</v>
      </c>
      <c r="J570">
        <v>95</v>
      </c>
      <c r="K570">
        <v>175</v>
      </c>
    </row>
    <row r="571" spans="1:11" x14ac:dyDescent="0.2">
      <c r="A571" t="s">
        <v>3329</v>
      </c>
      <c r="B571" t="s">
        <v>3330</v>
      </c>
      <c r="C571" t="s">
        <v>3291</v>
      </c>
      <c r="D571" t="s">
        <v>98</v>
      </c>
      <c r="E571">
        <v>74.989999999999995</v>
      </c>
      <c r="F571">
        <v>0</v>
      </c>
      <c r="H571" t="s">
        <v>73</v>
      </c>
      <c r="I571">
        <v>0</v>
      </c>
      <c r="J571">
        <v>0</v>
      </c>
      <c r="K571">
        <v>0</v>
      </c>
    </row>
    <row r="572" spans="1:11" x14ac:dyDescent="0.2">
      <c r="A572" t="s">
        <v>5233</v>
      </c>
      <c r="B572" t="s">
        <v>5234</v>
      </c>
      <c r="C572" t="s">
        <v>4518</v>
      </c>
      <c r="D572" t="s">
        <v>98</v>
      </c>
      <c r="E572">
        <v>159.99</v>
      </c>
      <c r="F572">
        <v>0</v>
      </c>
      <c r="H572" t="s">
        <v>73</v>
      </c>
      <c r="I572">
        <v>0</v>
      </c>
      <c r="J572">
        <v>0</v>
      </c>
      <c r="K572">
        <v>0</v>
      </c>
    </row>
    <row r="573" spans="1:11" x14ac:dyDescent="0.2">
      <c r="A573" t="s">
        <v>3333</v>
      </c>
      <c r="B573" t="s">
        <v>3334</v>
      </c>
      <c r="C573" t="s">
        <v>3291</v>
      </c>
      <c r="D573" t="s">
        <v>98</v>
      </c>
      <c r="E573">
        <v>74.989999999999995</v>
      </c>
      <c r="F573">
        <v>0</v>
      </c>
      <c r="H573" t="s">
        <v>73</v>
      </c>
      <c r="I573">
        <v>0</v>
      </c>
      <c r="J573">
        <v>0</v>
      </c>
      <c r="K573">
        <v>0</v>
      </c>
    </row>
    <row r="574" spans="1:11" x14ac:dyDescent="0.2">
      <c r="A574" t="s">
        <v>5235</v>
      </c>
      <c r="B574" t="s">
        <v>5236</v>
      </c>
      <c r="C574" t="s">
        <v>4518</v>
      </c>
      <c r="D574" t="s">
        <v>98</v>
      </c>
      <c r="E574">
        <v>89.99</v>
      </c>
      <c r="F574">
        <v>0</v>
      </c>
      <c r="H574" t="s">
        <v>73</v>
      </c>
      <c r="I574">
        <v>0</v>
      </c>
      <c r="J574">
        <v>0</v>
      </c>
      <c r="K574">
        <v>0</v>
      </c>
    </row>
    <row r="575" spans="1:11" x14ac:dyDescent="0.2">
      <c r="A575" t="s">
        <v>754</v>
      </c>
      <c r="B575" t="s">
        <v>755</v>
      </c>
      <c r="C575" t="s">
        <v>582</v>
      </c>
      <c r="D575" t="s">
        <v>98</v>
      </c>
      <c r="E575">
        <v>44.99</v>
      </c>
      <c r="F575">
        <v>0</v>
      </c>
      <c r="H575" t="s">
        <v>73</v>
      </c>
      <c r="I575">
        <v>0</v>
      </c>
      <c r="J575">
        <v>0</v>
      </c>
      <c r="K575">
        <v>0</v>
      </c>
    </row>
    <row r="576" spans="1:11" x14ac:dyDescent="0.2">
      <c r="A576" t="s">
        <v>5237</v>
      </c>
      <c r="B576" t="s">
        <v>5238</v>
      </c>
      <c r="C576" t="s">
        <v>4518</v>
      </c>
      <c r="D576" t="s">
        <v>98</v>
      </c>
      <c r="E576">
        <v>89.99</v>
      </c>
      <c r="F576">
        <v>0</v>
      </c>
      <c r="H576" t="s">
        <v>73</v>
      </c>
      <c r="I576">
        <v>0</v>
      </c>
      <c r="J576">
        <v>0</v>
      </c>
      <c r="K576">
        <v>0</v>
      </c>
    </row>
    <row r="577" spans="1:11" x14ac:dyDescent="0.2">
      <c r="A577" t="s">
        <v>5239</v>
      </c>
      <c r="B577" t="s">
        <v>5240</v>
      </c>
      <c r="C577" t="s">
        <v>4518</v>
      </c>
      <c r="D577" t="s">
        <v>98</v>
      </c>
      <c r="E577">
        <v>89.99</v>
      </c>
      <c r="F577">
        <v>0</v>
      </c>
      <c r="H577" t="s">
        <v>73</v>
      </c>
      <c r="I577">
        <v>0</v>
      </c>
      <c r="J577">
        <v>0</v>
      </c>
      <c r="K577">
        <v>0</v>
      </c>
    </row>
    <row r="578" spans="1:11" x14ac:dyDescent="0.2">
      <c r="A578" t="s">
        <v>5241</v>
      </c>
      <c r="B578" t="s">
        <v>5242</v>
      </c>
      <c r="C578" t="s">
        <v>582</v>
      </c>
      <c r="D578" t="s">
        <v>98</v>
      </c>
      <c r="E578">
        <v>79.989999999999995</v>
      </c>
      <c r="F578">
        <v>0</v>
      </c>
      <c r="H578" t="s">
        <v>73</v>
      </c>
      <c r="I578">
        <v>0</v>
      </c>
      <c r="J578">
        <v>0</v>
      </c>
      <c r="K578">
        <v>0</v>
      </c>
    </row>
    <row r="579" spans="1:11" x14ac:dyDescent="0.2">
      <c r="A579" t="s">
        <v>2193</v>
      </c>
      <c r="B579" t="s">
        <v>2194</v>
      </c>
      <c r="C579" t="s">
        <v>2174</v>
      </c>
      <c r="D579" t="s">
        <v>98</v>
      </c>
      <c r="E579">
        <v>99.99</v>
      </c>
      <c r="F579">
        <v>0</v>
      </c>
      <c r="H579" t="s">
        <v>73</v>
      </c>
      <c r="I579">
        <v>0</v>
      </c>
      <c r="J579">
        <v>0</v>
      </c>
      <c r="K579">
        <v>0</v>
      </c>
    </row>
    <row r="580" spans="1:11" x14ac:dyDescent="0.2">
      <c r="A580" t="s">
        <v>3339</v>
      </c>
      <c r="B580" t="s">
        <v>3340</v>
      </c>
      <c r="C580" t="s">
        <v>3291</v>
      </c>
      <c r="D580" t="s">
        <v>98</v>
      </c>
      <c r="E580">
        <v>69.989999999999995</v>
      </c>
      <c r="F580">
        <v>0</v>
      </c>
      <c r="H580" t="s">
        <v>73</v>
      </c>
      <c r="I580">
        <v>0</v>
      </c>
      <c r="J580">
        <v>0</v>
      </c>
      <c r="K580">
        <v>0</v>
      </c>
    </row>
    <row r="581" spans="1:11" x14ac:dyDescent="0.2">
      <c r="A581" t="s">
        <v>5243</v>
      </c>
      <c r="B581" t="s">
        <v>5244</v>
      </c>
      <c r="C581" t="s">
        <v>4518</v>
      </c>
      <c r="D581" t="s">
        <v>98</v>
      </c>
      <c r="E581">
        <v>89.99</v>
      </c>
      <c r="F581">
        <v>0</v>
      </c>
      <c r="H581" t="s">
        <v>73</v>
      </c>
      <c r="I581">
        <v>0</v>
      </c>
      <c r="J581">
        <v>0</v>
      </c>
      <c r="K581">
        <v>0</v>
      </c>
    </row>
    <row r="582" spans="1:11" x14ac:dyDescent="0.2">
      <c r="A582" t="s">
        <v>3972</v>
      </c>
      <c r="B582" t="s">
        <v>3973</v>
      </c>
      <c r="C582" t="s">
        <v>3929</v>
      </c>
      <c r="D582" t="s">
        <v>98</v>
      </c>
      <c r="E582">
        <v>129.99</v>
      </c>
      <c r="F582">
        <v>0</v>
      </c>
      <c r="H582" t="s">
        <v>73</v>
      </c>
      <c r="I582">
        <v>0</v>
      </c>
      <c r="J582">
        <v>0</v>
      </c>
      <c r="K582">
        <v>0</v>
      </c>
    </row>
    <row r="583" spans="1:11" x14ac:dyDescent="0.2">
      <c r="A583" t="s">
        <v>5245</v>
      </c>
      <c r="B583" t="s">
        <v>5246</v>
      </c>
      <c r="C583" t="s">
        <v>904</v>
      </c>
      <c r="D583" t="s">
        <v>98</v>
      </c>
      <c r="E583">
        <v>69.989999999999995</v>
      </c>
      <c r="F583">
        <v>0</v>
      </c>
      <c r="H583" t="s">
        <v>73</v>
      </c>
      <c r="I583">
        <v>0</v>
      </c>
      <c r="J583">
        <v>0</v>
      </c>
      <c r="K583">
        <v>0</v>
      </c>
    </row>
    <row r="584" spans="1:11" x14ac:dyDescent="0.2">
      <c r="A584" t="s">
        <v>5130</v>
      </c>
      <c r="B584" t="s">
        <v>5131</v>
      </c>
      <c r="C584" t="s">
        <v>3929</v>
      </c>
      <c r="D584" t="s">
        <v>138</v>
      </c>
      <c r="E584">
        <v>139.99</v>
      </c>
      <c r="F584">
        <v>0</v>
      </c>
      <c r="H584" t="s">
        <v>73</v>
      </c>
      <c r="I584">
        <v>0</v>
      </c>
      <c r="J584">
        <v>0</v>
      </c>
      <c r="K584">
        <v>0</v>
      </c>
    </row>
    <row r="585" spans="1:11" x14ac:dyDescent="0.2">
      <c r="A585" t="s">
        <v>2191</v>
      </c>
      <c r="B585" t="s">
        <v>2192</v>
      </c>
      <c r="C585" t="s">
        <v>2174</v>
      </c>
      <c r="D585" t="s">
        <v>98</v>
      </c>
      <c r="E585">
        <v>99.99</v>
      </c>
      <c r="F585">
        <v>0</v>
      </c>
      <c r="H585" t="s">
        <v>73</v>
      </c>
      <c r="I585">
        <v>0</v>
      </c>
      <c r="J585">
        <v>0</v>
      </c>
      <c r="K585">
        <v>0</v>
      </c>
    </row>
    <row r="586" spans="1:11" x14ac:dyDescent="0.2">
      <c r="A586" t="s">
        <v>5247</v>
      </c>
      <c r="B586" t="s">
        <v>5248</v>
      </c>
      <c r="C586" t="s">
        <v>4518</v>
      </c>
      <c r="D586" t="s">
        <v>98</v>
      </c>
      <c r="E586">
        <v>89.99</v>
      </c>
      <c r="F586">
        <v>0</v>
      </c>
      <c r="H586" t="s">
        <v>73</v>
      </c>
      <c r="I586">
        <v>0</v>
      </c>
      <c r="J586">
        <v>0</v>
      </c>
      <c r="K586">
        <v>0</v>
      </c>
    </row>
    <row r="587" spans="1:11" x14ac:dyDescent="0.2">
      <c r="A587" t="s">
        <v>3337</v>
      </c>
      <c r="B587" t="s">
        <v>3338</v>
      </c>
      <c r="C587" t="s">
        <v>3291</v>
      </c>
      <c r="D587" t="s">
        <v>98</v>
      </c>
      <c r="E587">
        <v>69.989999999999995</v>
      </c>
      <c r="F587">
        <v>0</v>
      </c>
      <c r="H587" t="s">
        <v>73</v>
      </c>
      <c r="I587">
        <v>0</v>
      </c>
      <c r="J587">
        <v>0</v>
      </c>
      <c r="K587">
        <v>0</v>
      </c>
    </row>
    <row r="588" spans="1:11" x14ac:dyDescent="0.2">
      <c r="A588" t="s">
        <v>5249</v>
      </c>
      <c r="B588" t="s">
        <v>5250</v>
      </c>
      <c r="C588" t="s">
        <v>3929</v>
      </c>
      <c r="D588" t="s">
        <v>98</v>
      </c>
      <c r="E588">
        <v>184.99</v>
      </c>
      <c r="F588">
        <v>0</v>
      </c>
      <c r="H588" t="s">
        <v>73</v>
      </c>
      <c r="I588">
        <v>0</v>
      </c>
      <c r="J588">
        <v>0</v>
      </c>
      <c r="K588">
        <v>0</v>
      </c>
    </row>
    <row r="589" spans="1:11" x14ac:dyDescent="0.2">
      <c r="A589" t="s">
        <v>5251</v>
      </c>
      <c r="B589" t="s">
        <v>5252</v>
      </c>
      <c r="C589" t="s">
        <v>4518</v>
      </c>
      <c r="D589" t="s">
        <v>98</v>
      </c>
      <c r="E589">
        <v>89.99</v>
      </c>
      <c r="F589">
        <v>0</v>
      </c>
      <c r="H589" t="s">
        <v>73</v>
      </c>
      <c r="I589">
        <v>0</v>
      </c>
      <c r="J589">
        <v>0</v>
      </c>
      <c r="K589">
        <v>0</v>
      </c>
    </row>
    <row r="590" spans="1:11" x14ac:dyDescent="0.2">
      <c r="A590" t="s">
        <v>3335</v>
      </c>
      <c r="B590" t="s">
        <v>3336</v>
      </c>
      <c r="C590" t="s">
        <v>3291</v>
      </c>
      <c r="D590" t="s">
        <v>98</v>
      </c>
      <c r="E590">
        <v>69.989999999999995</v>
      </c>
      <c r="F590">
        <v>0</v>
      </c>
      <c r="H590" t="s">
        <v>73</v>
      </c>
      <c r="I590">
        <v>0</v>
      </c>
      <c r="J590">
        <v>0</v>
      </c>
      <c r="K590">
        <v>0</v>
      </c>
    </row>
    <row r="591" spans="1:11" x14ac:dyDescent="0.2">
      <c r="A591" t="s">
        <v>5253</v>
      </c>
      <c r="B591" t="s">
        <v>5254</v>
      </c>
      <c r="C591" t="s">
        <v>4518</v>
      </c>
      <c r="D591" t="s">
        <v>98</v>
      </c>
      <c r="E591">
        <v>89.99</v>
      </c>
      <c r="F591">
        <v>0</v>
      </c>
      <c r="H591" t="s">
        <v>73</v>
      </c>
      <c r="I591">
        <v>0</v>
      </c>
      <c r="J591">
        <v>0</v>
      </c>
      <c r="K591">
        <v>0</v>
      </c>
    </row>
    <row r="592" spans="1:11" x14ac:dyDescent="0.2">
      <c r="A592" t="s">
        <v>5255</v>
      </c>
      <c r="B592" t="s">
        <v>5256</v>
      </c>
      <c r="C592" t="s">
        <v>904</v>
      </c>
      <c r="D592" t="s">
        <v>98</v>
      </c>
      <c r="E592">
        <v>49.99</v>
      </c>
      <c r="F592">
        <v>0</v>
      </c>
      <c r="H592" t="s">
        <v>73</v>
      </c>
      <c r="I592">
        <v>0</v>
      </c>
      <c r="J592">
        <v>0</v>
      </c>
      <c r="K592">
        <v>0</v>
      </c>
    </row>
    <row r="593" spans="1:11" x14ac:dyDescent="0.2">
      <c r="A593" t="s">
        <v>5257</v>
      </c>
      <c r="B593" t="s">
        <v>5258</v>
      </c>
      <c r="C593" t="s">
        <v>582</v>
      </c>
      <c r="D593" t="s">
        <v>98</v>
      </c>
      <c r="E593">
        <v>69.989999999999995</v>
      </c>
      <c r="F593">
        <v>69.989999999999995</v>
      </c>
      <c r="H593" t="s">
        <v>73</v>
      </c>
      <c r="I593">
        <v>0.5</v>
      </c>
      <c r="J593">
        <v>18</v>
      </c>
      <c r="K593">
        <v>9</v>
      </c>
    </row>
    <row r="594" spans="1:11" x14ac:dyDescent="0.2">
      <c r="A594" t="s">
        <v>2095</v>
      </c>
      <c r="B594" t="s">
        <v>2096</v>
      </c>
      <c r="C594" t="s">
        <v>2094</v>
      </c>
      <c r="D594" t="s">
        <v>98</v>
      </c>
      <c r="E594">
        <v>119.99</v>
      </c>
      <c r="F594">
        <v>0</v>
      </c>
      <c r="H594" t="s">
        <v>73</v>
      </c>
      <c r="I594">
        <v>0</v>
      </c>
      <c r="J594">
        <v>0</v>
      </c>
      <c r="K594">
        <v>0</v>
      </c>
    </row>
    <row r="595" spans="1:11" x14ac:dyDescent="0.2">
      <c r="A595" t="s">
        <v>3211</v>
      </c>
      <c r="B595" t="s">
        <v>3212</v>
      </c>
      <c r="C595" t="s">
        <v>3188</v>
      </c>
      <c r="D595" t="s">
        <v>98</v>
      </c>
      <c r="E595">
        <v>74.989999999999995</v>
      </c>
      <c r="F595">
        <v>0</v>
      </c>
      <c r="H595" t="s">
        <v>73</v>
      </c>
      <c r="I595">
        <v>0</v>
      </c>
      <c r="J595">
        <v>0</v>
      </c>
      <c r="K595">
        <v>0</v>
      </c>
    </row>
    <row r="596" spans="1:11" x14ac:dyDescent="0.2">
      <c r="A596" t="s">
        <v>4312</v>
      </c>
      <c r="B596" t="s">
        <v>4313</v>
      </c>
      <c r="C596" t="s">
        <v>4283</v>
      </c>
      <c r="D596" t="s">
        <v>98</v>
      </c>
      <c r="E596">
        <v>329.99</v>
      </c>
      <c r="F596">
        <v>0</v>
      </c>
      <c r="H596" t="s">
        <v>73</v>
      </c>
      <c r="I596">
        <v>0</v>
      </c>
      <c r="J596">
        <v>0</v>
      </c>
      <c r="K596">
        <v>0</v>
      </c>
    </row>
    <row r="597" spans="1:11" x14ac:dyDescent="0.2">
      <c r="A597" t="s">
        <v>5259</v>
      </c>
      <c r="B597" t="s">
        <v>5260</v>
      </c>
      <c r="C597" t="s">
        <v>4283</v>
      </c>
      <c r="D597" t="s">
        <v>98</v>
      </c>
      <c r="E597">
        <v>399.99</v>
      </c>
      <c r="F597">
        <v>0</v>
      </c>
      <c r="H597" t="s">
        <v>73</v>
      </c>
      <c r="I597">
        <v>0</v>
      </c>
      <c r="J597">
        <v>0</v>
      </c>
      <c r="K597">
        <v>0</v>
      </c>
    </row>
    <row r="598" spans="1:11" x14ac:dyDescent="0.2">
      <c r="A598" t="s">
        <v>5261</v>
      </c>
      <c r="B598" t="s">
        <v>5262</v>
      </c>
      <c r="C598" t="s">
        <v>3929</v>
      </c>
      <c r="D598" t="s">
        <v>105</v>
      </c>
      <c r="E598">
        <v>89.99</v>
      </c>
      <c r="F598">
        <v>89.99</v>
      </c>
      <c r="G598">
        <v>43</v>
      </c>
      <c r="H598" t="s">
        <v>73</v>
      </c>
      <c r="I598">
        <v>0.83333333333333337</v>
      </c>
      <c r="J598">
        <v>54</v>
      </c>
      <c r="K598">
        <v>45</v>
      </c>
    </row>
    <row r="599" spans="1:11" x14ac:dyDescent="0.2">
      <c r="A599" t="s">
        <v>5096</v>
      </c>
      <c r="B599" t="s">
        <v>5097</v>
      </c>
      <c r="C599" t="s">
        <v>3929</v>
      </c>
      <c r="D599" t="s">
        <v>105</v>
      </c>
      <c r="E599">
        <v>89.99</v>
      </c>
      <c r="F599">
        <v>0</v>
      </c>
      <c r="G599">
        <v>11</v>
      </c>
      <c r="H599" t="s">
        <v>73</v>
      </c>
      <c r="I599">
        <v>0.5</v>
      </c>
      <c r="J599">
        <v>20</v>
      </c>
      <c r="K599">
        <v>10</v>
      </c>
    </row>
    <row r="600" spans="1:11" x14ac:dyDescent="0.2">
      <c r="A600" t="s">
        <v>4306</v>
      </c>
      <c r="B600" t="s">
        <v>4307</v>
      </c>
      <c r="C600" t="s">
        <v>4283</v>
      </c>
      <c r="D600" t="s">
        <v>98</v>
      </c>
      <c r="E600">
        <v>329.99</v>
      </c>
      <c r="F600">
        <v>0</v>
      </c>
      <c r="H600" t="s">
        <v>73</v>
      </c>
      <c r="I600">
        <v>0</v>
      </c>
      <c r="J600">
        <v>0</v>
      </c>
      <c r="K600">
        <v>0</v>
      </c>
    </row>
    <row r="601" spans="1:11" x14ac:dyDescent="0.2">
      <c r="A601" t="s">
        <v>702</v>
      </c>
      <c r="B601" t="s">
        <v>703</v>
      </c>
      <c r="C601" t="s">
        <v>582</v>
      </c>
      <c r="D601" t="s">
        <v>105</v>
      </c>
      <c r="E601">
        <v>179.99</v>
      </c>
      <c r="F601">
        <v>179.99</v>
      </c>
      <c r="G601">
        <v>26</v>
      </c>
      <c r="H601" t="s">
        <v>73</v>
      </c>
      <c r="I601">
        <v>2</v>
      </c>
      <c r="J601">
        <v>27</v>
      </c>
      <c r="K601">
        <v>54</v>
      </c>
    </row>
    <row r="602" spans="1:11" x14ac:dyDescent="0.2">
      <c r="A602" t="s">
        <v>3184</v>
      </c>
      <c r="B602" t="s">
        <v>3185</v>
      </c>
      <c r="C602" t="s">
        <v>3183</v>
      </c>
      <c r="D602" t="s">
        <v>98</v>
      </c>
      <c r="E602">
        <v>29.99</v>
      </c>
      <c r="F602">
        <v>0</v>
      </c>
      <c r="H602" t="s">
        <v>73</v>
      </c>
      <c r="I602">
        <v>0</v>
      </c>
      <c r="J602">
        <v>0</v>
      </c>
      <c r="K602">
        <v>0</v>
      </c>
    </row>
    <row r="603" spans="1:11" x14ac:dyDescent="0.2">
      <c r="A603" t="s">
        <v>4300</v>
      </c>
      <c r="B603" t="s">
        <v>4301</v>
      </c>
      <c r="C603" t="s">
        <v>4283</v>
      </c>
      <c r="D603" t="s">
        <v>105</v>
      </c>
      <c r="E603">
        <v>6499.99</v>
      </c>
      <c r="F603">
        <v>0</v>
      </c>
      <c r="G603">
        <v>2</v>
      </c>
      <c r="H603" t="s">
        <v>73</v>
      </c>
      <c r="I603">
        <v>0</v>
      </c>
      <c r="J603">
        <v>0</v>
      </c>
      <c r="K603">
        <v>1</v>
      </c>
    </row>
    <row r="604" spans="1:11" x14ac:dyDescent="0.2">
      <c r="A604" t="s">
        <v>4296</v>
      </c>
      <c r="B604" t="s">
        <v>4297</v>
      </c>
      <c r="C604" t="s">
        <v>4283</v>
      </c>
      <c r="D604" t="s">
        <v>105</v>
      </c>
      <c r="E604">
        <v>429.99</v>
      </c>
      <c r="F604">
        <v>0</v>
      </c>
      <c r="G604">
        <v>38</v>
      </c>
      <c r="H604" t="s">
        <v>73</v>
      </c>
      <c r="I604">
        <v>0.16666666666666666</v>
      </c>
      <c r="J604">
        <v>132</v>
      </c>
      <c r="K604">
        <v>22</v>
      </c>
    </row>
    <row r="605" spans="1:11" x14ac:dyDescent="0.2">
      <c r="A605" t="s">
        <v>4147</v>
      </c>
      <c r="B605" t="s">
        <v>5263</v>
      </c>
      <c r="C605" t="s">
        <v>3929</v>
      </c>
      <c r="D605" t="s">
        <v>105</v>
      </c>
      <c r="E605">
        <v>119.99</v>
      </c>
      <c r="F605">
        <v>0</v>
      </c>
      <c r="G605">
        <v>8</v>
      </c>
      <c r="H605" t="s">
        <v>73</v>
      </c>
      <c r="I605">
        <v>0</v>
      </c>
      <c r="J605">
        <v>0</v>
      </c>
      <c r="K605">
        <v>49</v>
      </c>
    </row>
    <row r="606" spans="1:11" x14ac:dyDescent="0.2">
      <c r="A606" t="s">
        <v>726</v>
      </c>
      <c r="B606" t="s">
        <v>727</v>
      </c>
      <c r="C606" t="s">
        <v>582</v>
      </c>
      <c r="D606" t="s">
        <v>105</v>
      </c>
      <c r="E606">
        <v>149.99</v>
      </c>
      <c r="F606">
        <v>899.94</v>
      </c>
      <c r="G606">
        <v>50</v>
      </c>
      <c r="H606" t="s">
        <v>73</v>
      </c>
      <c r="I606">
        <v>1.3333333333333333</v>
      </c>
      <c r="J606">
        <v>65</v>
      </c>
      <c r="K606">
        <v>87</v>
      </c>
    </row>
    <row r="607" spans="1:11" x14ac:dyDescent="0.2">
      <c r="A607" t="s">
        <v>5264</v>
      </c>
      <c r="B607" t="s">
        <v>5265</v>
      </c>
      <c r="C607" t="s">
        <v>582</v>
      </c>
      <c r="D607" t="s">
        <v>98</v>
      </c>
      <c r="E607">
        <v>59.99</v>
      </c>
      <c r="F607">
        <v>0</v>
      </c>
      <c r="H607" t="s">
        <v>73</v>
      </c>
      <c r="I607">
        <v>0</v>
      </c>
      <c r="J607">
        <v>0</v>
      </c>
      <c r="K607">
        <v>0</v>
      </c>
    </row>
    <row r="608" spans="1:11" x14ac:dyDescent="0.2">
      <c r="A608" t="s">
        <v>4294</v>
      </c>
      <c r="B608" t="s">
        <v>4295</v>
      </c>
      <c r="C608" t="s">
        <v>4283</v>
      </c>
      <c r="D608" t="s">
        <v>105</v>
      </c>
      <c r="E608">
        <v>5699.99</v>
      </c>
      <c r="F608">
        <v>0</v>
      </c>
      <c r="G608">
        <v>6</v>
      </c>
      <c r="H608" t="s">
        <v>73</v>
      </c>
      <c r="I608">
        <v>0</v>
      </c>
      <c r="J608">
        <v>0</v>
      </c>
      <c r="K608">
        <v>1</v>
      </c>
    </row>
    <row r="609" spans="1:11" x14ac:dyDescent="0.2">
      <c r="A609" t="s">
        <v>4012</v>
      </c>
      <c r="B609" t="s">
        <v>4013</v>
      </c>
      <c r="C609" t="s">
        <v>3929</v>
      </c>
      <c r="D609" t="s">
        <v>98</v>
      </c>
      <c r="E609">
        <v>79.989999999999995</v>
      </c>
      <c r="F609">
        <v>0</v>
      </c>
      <c r="H609" t="s">
        <v>73</v>
      </c>
      <c r="I609">
        <v>0</v>
      </c>
      <c r="J609">
        <v>0</v>
      </c>
      <c r="K609">
        <v>0</v>
      </c>
    </row>
    <row r="610" spans="1:11" x14ac:dyDescent="0.2">
      <c r="A610" t="s">
        <v>5266</v>
      </c>
      <c r="B610" t="s">
        <v>5267</v>
      </c>
      <c r="C610" t="s">
        <v>4283</v>
      </c>
      <c r="D610" t="s">
        <v>105</v>
      </c>
      <c r="E610">
        <v>4599.99</v>
      </c>
      <c r="F610">
        <v>0</v>
      </c>
      <c r="H610" t="s">
        <v>73</v>
      </c>
      <c r="I610">
        <v>0</v>
      </c>
      <c r="J610">
        <v>0</v>
      </c>
      <c r="K610">
        <v>0</v>
      </c>
    </row>
    <row r="611" spans="1:11" x14ac:dyDescent="0.2">
      <c r="A611" t="s">
        <v>4292</v>
      </c>
      <c r="B611" t="s">
        <v>4293</v>
      </c>
      <c r="C611" t="s">
        <v>4283</v>
      </c>
      <c r="D611" t="s">
        <v>105</v>
      </c>
      <c r="E611">
        <v>379.99</v>
      </c>
      <c r="F611">
        <v>379.99</v>
      </c>
      <c r="G611">
        <v>3</v>
      </c>
      <c r="H611" t="s">
        <v>73</v>
      </c>
      <c r="I611">
        <v>0.33333333333333331</v>
      </c>
      <c r="J611">
        <v>54</v>
      </c>
      <c r="K611">
        <v>18</v>
      </c>
    </row>
    <row r="612" spans="1:11" x14ac:dyDescent="0.2">
      <c r="A612" t="s">
        <v>3186</v>
      </c>
      <c r="B612" t="s">
        <v>3187</v>
      </c>
      <c r="C612" t="s">
        <v>3183</v>
      </c>
      <c r="D612" t="s">
        <v>98</v>
      </c>
      <c r="E612">
        <v>29.99</v>
      </c>
      <c r="F612">
        <v>0</v>
      </c>
      <c r="H612" t="s">
        <v>73</v>
      </c>
      <c r="I612">
        <v>0</v>
      </c>
      <c r="J612">
        <v>0</v>
      </c>
      <c r="K612">
        <v>0</v>
      </c>
    </row>
    <row r="613" spans="1:11" x14ac:dyDescent="0.2">
      <c r="A613" t="s">
        <v>5268</v>
      </c>
      <c r="B613" t="s">
        <v>5269</v>
      </c>
      <c r="C613" t="s">
        <v>582</v>
      </c>
      <c r="D613" t="s">
        <v>98</v>
      </c>
      <c r="E613">
        <v>39.99</v>
      </c>
      <c r="F613">
        <v>0</v>
      </c>
      <c r="H613" t="s">
        <v>73</v>
      </c>
      <c r="I613">
        <v>0</v>
      </c>
      <c r="J613">
        <v>0</v>
      </c>
      <c r="K613">
        <v>0</v>
      </c>
    </row>
    <row r="614" spans="1:11" x14ac:dyDescent="0.2">
      <c r="A614" t="s">
        <v>5126</v>
      </c>
      <c r="B614" t="s">
        <v>5127</v>
      </c>
      <c r="C614" t="s">
        <v>3929</v>
      </c>
      <c r="D614" t="s">
        <v>105</v>
      </c>
      <c r="E614">
        <v>129.99</v>
      </c>
      <c r="F614">
        <v>0</v>
      </c>
      <c r="G614">
        <v>24</v>
      </c>
      <c r="H614" t="s">
        <v>73</v>
      </c>
      <c r="I614">
        <v>0</v>
      </c>
      <c r="J614">
        <v>0</v>
      </c>
      <c r="K614">
        <v>0</v>
      </c>
    </row>
    <row r="615" spans="1:11" x14ac:dyDescent="0.2">
      <c r="A615" t="s">
        <v>4318</v>
      </c>
      <c r="B615" t="s">
        <v>4319</v>
      </c>
      <c r="C615" t="s">
        <v>4283</v>
      </c>
      <c r="D615" t="s">
        <v>105</v>
      </c>
      <c r="E615">
        <v>2899.99</v>
      </c>
      <c r="F615">
        <v>0</v>
      </c>
      <c r="G615">
        <v>3</v>
      </c>
      <c r="H615" t="s">
        <v>73</v>
      </c>
      <c r="I615">
        <v>0.16666666666666666</v>
      </c>
      <c r="J615">
        <v>0</v>
      </c>
      <c r="K615">
        <v>0</v>
      </c>
    </row>
    <row r="616" spans="1:11" x14ac:dyDescent="0.2">
      <c r="A616" t="s">
        <v>3191</v>
      </c>
      <c r="B616" t="s">
        <v>3192</v>
      </c>
      <c r="C616" t="s">
        <v>3188</v>
      </c>
      <c r="D616" t="s">
        <v>98</v>
      </c>
      <c r="E616">
        <v>39.99</v>
      </c>
      <c r="F616">
        <v>0</v>
      </c>
      <c r="H616" t="s">
        <v>73</v>
      </c>
      <c r="I616">
        <v>0</v>
      </c>
      <c r="J616">
        <v>0</v>
      </c>
      <c r="K616">
        <v>0</v>
      </c>
    </row>
    <row r="617" spans="1:11" x14ac:dyDescent="0.2">
      <c r="A617" t="s">
        <v>5270</v>
      </c>
      <c r="B617" t="s">
        <v>5271</v>
      </c>
      <c r="C617" t="s">
        <v>3929</v>
      </c>
      <c r="D617" t="s">
        <v>98</v>
      </c>
      <c r="E617">
        <v>219.99</v>
      </c>
      <c r="F617">
        <v>0</v>
      </c>
      <c r="H617" t="s">
        <v>73</v>
      </c>
      <c r="I617">
        <v>0.16666666666666666</v>
      </c>
      <c r="J617">
        <v>84</v>
      </c>
      <c r="K617">
        <v>14</v>
      </c>
    </row>
    <row r="618" spans="1:11" x14ac:dyDescent="0.2">
      <c r="A618" t="s">
        <v>5272</v>
      </c>
      <c r="B618" t="s">
        <v>5273</v>
      </c>
      <c r="C618" t="s">
        <v>582</v>
      </c>
      <c r="D618" t="s">
        <v>98</v>
      </c>
      <c r="E618">
        <v>189.99</v>
      </c>
      <c r="F618">
        <v>0</v>
      </c>
      <c r="H618" t="s">
        <v>73</v>
      </c>
      <c r="I618">
        <v>0</v>
      </c>
      <c r="J618">
        <v>0</v>
      </c>
      <c r="K618">
        <v>0</v>
      </c>
    </row>
    <row r="619" spans="1:11" x14ac:dyDescent="0.2">
      <c r="A619" t="s">
        <v>4316</v>
      </c>
      <c r="B619" t="s">
        <v>4317</v>
      </c>
      <c r="C619" t="s">
        <v>4283</v>
      </c>
      <c r="D619" t="s">
        <v>105</v>
      </c>
      <c r="E619">
        <v>249.99</v>
      </c>
      <c r="F619">
        <v>0</v>
      </c>
      <c r="G619">
        <v>9</v>
      </c>
      <c r="H619" t="s">
        <v>73</v>
      </c>
      <c r="I619">
        <v>0</v>
      </c>
      <c r="J619">
        <v>0</v>
      </c>
      <c r="K619">
        <v>2</v>
      </c>
    </row>
    <row r="620" spans="1:11" x14ac:dyDescent="0.2">
      <c r="A620" t="s">
        <v>5274</v>
      </c>
      <c r="B620" t="s">
        <v>5275</v>
      </c>
      <c r="C620" t="s">
        <v>3188</v>
      </c>
      <c r="D620" t="s">
        <v>98</v>
      </c>
      <c r="E620">
        <v>19.989999999999998</v>
      </c>
      <c r="F620">
        <v>0</v>
      </c>
      <c r="H620" t="s">
        <v>73</v>
      </c>
      <c r="I620">
        <v>0</v>
      </c>
      <c r="J620">
        <v>0</v>
      </c>
      <c r="K620">
        <v>0</v>
      </c>
    </row>
    <row r="621" spans="1:11" x14ac:dyDescent="0.2">
      <c r="A621" t="s">
        <v>3180</v>
      </c>
      <c r="B621" t="s">
        <v>3181</v>
      </c>
      <c r="C621" t="s">
        <v>3133</v>
      </c>
      <c r="D621" t="s">
        <v>98</v>
      </c>
      <c r="E621">
        <v>131.99</v>
      </c>
      <c r="F621">
        <v>0</v>
      </c>
      <c r="H621" t="s">
        <v>73</v>
      </c>
      <c r="I621">
        <v>0</v>
      </c>
      <c r="J621">
        <v>0</v>
      </c>
      <c r="K621">
        <v>0</v>
      </c>
    </row>
    <row r="622" spans="1:11" x14ac:dyDescent="0.2">
      <c r="A622" t="s">
        <v>3156</v>
      </c>
      <c r="B622" t="s">
        <v>3157</v>
      </c>
      <c r="C622" t="s">
        <v>3133</v>
      </c>
      <c r="D622" t="s">
        <v>98</v>
      </c>
      <c r="E622">
        <v>149.99</v>
      </c>
      <c r="F622">
        <v>749.95</v>
      </c>
      <c r="H622" t="s">
        <v>73</v>
      </c>
      <c r="I622">
        <v>1.5</v>
      </c>
      <c r="J622">
        <v>15</v>
      </c>
      <c r="K622">
        <v>23</v>
      </c>
    </row>
    <row r="623" spans="1:11" x14ac:dyDescent="0.2">
      <c r="A623" t="s">
        <v>5276</v>
      </c>
      <c r="B623" t="s">
        <v>5277</v>
      </c>
      <c r="C623" t="s">
        <v>4283</v>
      </c>
      <c r="D623" t="s">
        <v>105</v>
      </c>
      <c r="E623">
        <v>329.99</v>
      </c>
      <c r="F623">
        <v>0</v>
      </c>
      <c r="G623">
        <v>1</v>
      </c>
      <c r="H623" t="s">
        <v>73</v>
      </c>
      <c r="I623">
        <v>0</v>
      </c>
      <c r="J623">
        <v>0</v>
      </c>
      <c r="K623">
        <v>0</v>
      </c>
    </row>
    <row r="624" spans="1:11" x14ac:dyDescent="0.2">
      <c r="A624" t="s">
        <v>660</v>
      </c>
      <c r="B624" t="s">
        <v>661</v>
      </c>
      <c r="C624" t="s">
        <v>582</v>
      </c>
      <c r="D624" t="s">
        <v>105</v>
      </c>
      <c r="E624">
        <v>79.989999999999995</v>
      </c>
      <c r="F624">
        <v>0</v>
      </c>
      <c r="H624" t="s">
        <v>73</v>
      </c>
      <c r="I624">
        <v>0.33333333333333331</v>
      </c>
      <c r="J624">
        <v>9</v>
      </c>
      <c r="K624">
        <v>3</v>
      </c>
    </row>
    <row r="625" spans="1:11" x14ac:dyDescent="0.2">
      <c r="A625" t="s">
        <v>5278</v>
      </c>
      <c r="B625" t="s">
        <v>5279</v>
      </c>
      <c r="C625" t="s">
        <v>3929</v>
      </c>
      <c r="D625" t="s">
        <v>98</v>
      </c>
      <c r="E625">
        <v>29.99</v>
      </c>
      <c r="F625">
        <v>0</v>
      </c>
      <c r="H625" t="s">
        <v>73</v>
      </c>
      <c r="I625">
        <v>0</v>
      </c>
      <c r="J625">
        <v>0</v>
      </c>
      <c r="K625">
        <v>0</v>
      </c>
    </row>
    <row r="626" spans="1:11" x14ac:dyDescent="0.2">
      <c r="A626" t="s">
        <v>662</v>
      </c>
      <c r="B626" t="s">
        <v>663</v>
      </c>
      <c r="C626" t="s">
        <v>582</v>
      </c>
      <c r="D626" t="s">
        <v>105</v>
      </c>
      <c r="E626">
        <v>79.989999999999995</v>
      </c>
      <c r="F626">
        <v>0</v>
      </c>
      <c r="H626" t="s">
        <v>73</v>
      </c>
      <c r="I626">
        <v>0.66666666666666663</v>
      </c>
      <c r="J626">
        <v>0</v>
      </c>
      <c r="K626">
        <v>0</v>
      </c>
    </row>
    <row r="627" spans="1:11" x14ac:dyDescent="0.2">
      <c r="A627" t="s">
        <v>5280</v>
      </c>
      <c r="B627" t="s">
        <v>5281</v>
      </c>
      <c r="C627" t="s">
        <v>582</v>
      </c>
      <c r="D627" t="s">
        <v>98</v>
      </c>
      <c r="E627">
        <v>179.99</v>
      </c>
      <c r="F627">
        <v>0</v>
      </c>
      <c r="H627" t="s">
        <v>73</v>
      </c>
      <c r="I627">
        <v>0</v>
      </c>
      <c r="J627">
        <v>0</v>
      </c>
      <c r="K627">
        <v>0</v>
      </c>
    </row>
    <row r="628" spans="1:11" x14ac:dyDescent="0.2">
      <c r="A628" t="s">
        <v>5282</v>
      </c>
      <c r="B628" t="s">
        <v>5283</v>
      </c>
      <c r="C628" t="s">
        <v>4283</v>
      </c>
      <c r="D628" t="s">
        <v>105</v>
      </c>
      <c r="E628">
        <v>329.99</v>
      </c>
      <c r="F628">
        <v>0</v>
      </c>
      <c r="G628">
        <v>1</v>
      </c>
      <c r="H628" t="s">
        <v>73</v>
      </c>
      <c r="I628">
        <v>0</v>
      </c>
      <c r="J628">
        <v>0</v>
      </c>
      <c r="K628">
        <v>0</v>
      </c>
    </row>
    <row r="629" spans="1:11" x14ac:dyDescent="0.2">
      <c r="A629" t="s">
        <v>3189</v>
      </c>
      <c r="B629" t="s">
        <v>3190</v>
      </c>
      <c r="C629" t="s">
        <v>3188</v>
      </c>
      <c r="D629" t="s">
        <v>98</v>
      </c>
      <c r="E629">
        <v>19.989999999999998</v>
      </c>
      <c r="F629">
        <v>0</v>
      </c>
      <c r="H629" t="s">
        <v>73</v>
      </c>
      <c r="I629">
        <v>0</v>
      </c>
      <c r="J629">
        <v>0</v>
      </c>
      <c r="K629">
        <v>0</v>
      </c>
    </row>
    <row r="630" spans="1:11" x14ac:dyDescent="0.2">
      <c r="A630" t="s">
        <v>5284</v>
      </c>
      <c r="B630" t="s">
        <v>5285</v>
      </c>
      <c r="C630" t="s">
        <v>4283</v>
      </c>
      <c r="D630" t="s">
        <v>105</v>
      </c>
      <c r="E630">
        <v>329.99</v>
      </c>
      <c r="F630">
        <v>0</v>
      </c>
      <c r="G630">
        <v>1</v>
      </c>
      <c r="H630" t="s">
        <v>73</v>
      </c>
      <c r="I630">
        <v>0</v>
      </c>
      <c r="J630">
        <v>0</v>
      </c>
      <c r="K630">
        <v>0</v>
      </c>
    </row>
    <row r="631" spans="1:11" x14ac:dyDescent="0.2">
      <c r="A631" t="s">
        <v>5286</v>
      </c>
      <c r="B631" t="s">
        <v>5287</v>
      </c>
      <c r="C631" t="s">
        <v>3188</v>
      </c>
      <c r="D631" t="s">
        <v>98</v>
      </c>
      <c r="E631">
        <v>19.989999999999998</v>
      </c>
      <c r="F631">
        <v>0</v>
      </c>
      <c r="H631" t="s">
        <v>73</v>
      </c>
      <c r="I631">
        <v>0</v>
      </c>
      <c r="J631">
        <v>0</v>
      </c>
      <c r="K631">
        <v>0</v>
      </c>
    </row>
    <row r="632" spans="1:11" x14ac:dyDescent="0.2">
      <c r="A632" t="s">
        <v>5288</v>
      </c>
      <c r="B632" t="s">
        <v>5289</v>
      </c>
      <c r="C632" t="s">
        <v>874</v>
      </c>
      <c r="D632" t="s">
        <v>98</v>
      </c>
      <c r="E632">
        <v>39.99</v>
      </c>
      <c r="F632">
        <v>0</v>
      </c>
      <c r="H632" t="s">
        <v>73</v>
      </c>
      <c r="I632">
        <v>0</v>
      </c>
      <c r="J632">
        <v>0</v>
      </c>
      <c r="K632">
        <v>0</v>
      </c>
    </row>
    <row r="633" spans="1:11" x14ac:dyDescent="0.2">
      <c r="A633" t="s">
        <v>3170</v>
      </c>
      <c r="B633" t="s">
        <v>3171</v>
      </c>
      <c r="C633" t="s">
        <v>3133</v>
      </c>
      <c r="D633" t="s">
        <v>98</v>
      </c>
      <c r="E633">
        <v>179.99</v>
      </c>
      <c r="F633">
        <v>0</v>
      </c>
      <c r="H633" t="s">
        <v>73</v>
      </c>
      <c r="I633">
        <v>0</v>
      </c>
      <c r="J633">
        <v>0</v>
      </c>
      <c r="K633">
        <v>0</v>
      </c>
    </row>
    <row r="634" spans="1:11" x14ac:dyDescent="0.2">
      <c r="A634" t="s">
        <v>5290</v>
      </c>
      <c r="B634" t="s">
        <v>5291</v>
      </c>
      <c r="C634" t="s">
        <v>3929</v>
      </c>
      <c r="D634" t="s">
        <v>98</v>
      </c>
      <c r="E634">
        <v>89.99</v>
      </c>
      <c r="F634">
        <v>0</v>
      </c>
      <c r="H634" t="s">
        <v>73</v>
      </c>
      <c r="I634">
        <v>0</v>
      </c>
      <c r="J634">
        <v>0</v>
      </c>
      <c r="K634">
        <v>0</v>
      </c>
    </row>
    <row r="635" spans="1:11" x14ac:dyDescent="0.2">
      <c r="A635" t="s">
        <v>3168</v>
      </c>
      <c r="B635" t="s">
        <v>3169</v>
      </c>
      <c r="C635" t="s">
        <v>3133</v>
      </c>
      <c r="D635" t="s">
        <v>98</v>
      </c>
      <c r="E635">
        <v>74.989999999999995</v>
      </c>
      <c r="F635">
        <v>0</v>
      </c>
      <c r="H635" t="s">
        <v>73</v>
      </c>
      <c r="I635">
        <v>0</v>
      </c>
      <c r="J635">
        <v>0</v>
      </c>
      <c r="K635">
        <v>0</v>
      </c>
    </row>
    <row r="636" spans="1:11" x14ac:dyDescent="0.2">
      <c r="A636" t="s">
        <v>418</v>
      </c>
      <c r="B636" t="s">
        <v>419</v>
      </c>
      <c r="C636" t="s">
        <v>307</v>
      </c>
      <c r="D636" t="s">
        <v>98</v>
      </c>
      <c r="E636">
        <v>449</v>
      </c>
      <c r="F636">
        <v>0</v>
      </c>
      <c r="H636" t="s">
        <v>73</v>
      </c>
      <c r="I636">
        <v>0</v>
      </c>
      <c r="J636">
        <v>0</v>
      </c>
      <c r="K636">
        <v>0</v>
      </c>
    </row>
    <row r="637" spans="1:11" x14ac:dyDescent="0.2">
      <c r="A637" t="s">
        <v>5292</v>
      </c>
      <c r="B637" t="s">
        <v>5293</v>
      </c>
      <c r="C637" t="s">
        <v>582</v>
      </c>
      <c r="D637" t="s">
        <v>98</v>
      </c>
      <c r="E637">
        <v>69.989999999999995</v>
      </c>
      <c r="F637">
        <v>0</v>
      </c>
      <c r="H637" t="s">
        <v>73</v>
      </c>
      <c r="I637">
        <v>0</v>
      </c>
      <c r="J637">
        <v>0</v>
      </c>
      <c r="K637">
        <v>0</v>
      </c>
    </row>
    <row r="638" spans="1:11" x14ac:dyDescent="0.2">
      <c r="A638" t="s">
        <v>420</v>
      </c>
      <c r="B638" t="s">
        <v>421</v>
      </c>
      <c r="C638" t="s">
        <v>307</v>
      </c>
      <c r="D638" t="s">
        <v>98</v>
      </c>
      <c r="E638">
        <v>449</v>
      </c>
      <c r="F638">
        <v>0</v>
      </c>
      <c r="H638" t="s">
        <v>73</v>
      </c>
      <c r="I638">
        <v>0</v>
      </c>
      <c r="J638">
        <v>0</v>
      </c>
      <c r="K638">
        <v>0</v>
      </c>
    </row>
    <row r="639" spans="1:11" x14ac:dyDescent="0.2">
      <c r="A639" t="s">
        <v>3166</v>
      </c>
      <c r="B639" t="s">
        <v>3167</v>
      </c>
      <c r="C639" t="s">
        <v>3133</v>
      </c>
      <c r="D639" t="s">
        <v>98</v>
      </c>
      <c r="E639">
        <v>239.99</v>
      </c>
      <c r="F639">
        <v>0</v>
      </c>
      <c r="H639" t="s">
        <v>73</v>
      </c>
      <c r="I639">
        <v>0.16666666666666666</v>
      </c>
      <c r="J639">
        <v>54</v>
      </c>
      <c r="K639">
        <v>9</v>
      </c>
    </row>
    <row r="640" spans="1:11" x14ac:dyDescent="0.2">
      <c r="A640" t="s">
        <v>5294</v>
      </c>
      <c r="B640" t="s">
        <v>5295</v>
      </c>
      <c r="C640" t="s">
        <v>3929</v>
      </c>
      <c r="D640" t="s">
        <v>98</v>
      </c>
      <c r="E640">
        <v>89.99</v>
      </c>
      <c r="F640">
        <v>0</v>
      </c>
      <c r="H640" t="s">
        <v>73</v>
      </c>
      <c r="I640">
        <v>-0.16666666666666666</v>
      </c>
      <c r="J640">
        <v>-6</v>
      </c>
      <c r="K640">
        <v>1</v>
      </c>
    </row>
    <row r="641" spans="1:11" x14ac:dyDescent="0.2">
      <c r="A641" t="s">
        <v>3160</v>
      </c>
      <c r="B641" t="s">
        <v>3161</v>
      </c>
      <c r="C641" t="s">
        <v>3133</v>
      </c>
      <c r="D641" t="s">
        <v>98</v>
      </c>
      <c r="E641">
        <v>217.99</v>
      </c>
      <c r="F641">
        <v>0</v>
      </c>
      <c r="H641" t="s">
        <v>73</v>
      </c>
      <c r="I641">
        <v>0</v>
      </c>
      <c r="J641">
        <v>0</v>
      </c>
      <c r="K641">
        <v>4</v>
      </c>
    </row>
    <row r="642" spans="1:11" x14ac:dyDescent="0.2">
      <c r="A642" t="s">
        <v>406</v>
      </c>
      <c r="B642" t="s">
        <v>407</v>
      </c>
      <c r="C642" t="s">
        <v>307</v>
      </c>
      <c r="D642" t="s">
        <v>98</v>
      </c>
      <c r="E642">
        <v>1699.99</v>
      </c>
      <c r="F642">
        <v>0</v>
      </c>
      <c r="H642" t="s">
        <v>73</v>
      </c>
      <c r="I642">
        <v>0</v>
      </c>
      <c r="J642">
        <v>0</v>
      </c>
      <c r="K642">
        <v>0</v>
      </c>
    </row>
    <row r="643" spans="1:11" x14ac:dyDescent="0.2">
      <c r="A643" t="s">
        <v>3164</v>
      </c>
      <c r="B643" t="s">
        <v>3165</v>
      </c>
      <c r="C643" t="s">
        <v>3133</v>
      </c>
      <c r="D643" t="s">
        <v>98</v>
      </c>
      <c r="E643">
        <v>99.99</v>
      </c>
      <c r="F643">
        <v>99.99</v>
      </c>
      <c r="H643" t="s">
        <v>73</v>
      </c>
      <c r="I643">
        <v>1</v>
      </c>
      <c r="J643">
        <v>5</v>
      </c>
      <c r="K643">
        <v>5</v>
      </c>
    </row>
    <row r="644" spans="1:11" x14ac:dyDescent="0.2">
      <c r="A644" t="s">
        <v>5296</v>
      </c>
      <c r="B644" t="s">
        <v>5297</v>
      </c>
      <c r="C644" t="s">
        <v>582</v>
      </c>
      <c r="D644" t="s">
        <v>98</v>
      </c>
      <c r="E644">
        <v>24.99</v>
      </c>
      <c r="F644">
        <v>0</v>
      </c>
      <c r="H644" t="s">
        <v>73</v>
      </c>
      <c r="I644">
        <v>0</v>
      </c>
      <c r="J644">
        <v>0</v>
      </c>
      <c r="K644">
        <v>0</v>
      </c>
    </row>
    <row r="645" spans="1:11" x14ac:dyDescent="0.2">
      <c r="A645" t="s">
        <v>4042</v>
      </c>
      <c r="B645" t="s">
        <v>4043</v>
      </c>
      <c r="C645" t="s">
        <v>3929</v>
      </c>
      <c r="D645" t="s">
        <v>105</v>
      </c>
      <c r="E645">
        <v>109.99</v>
      </c>
      <c r="F645">
        <v>0</v>
      </c>
      <c r="H645" t="s">
        <v>73</v>
      </c>
      <c r="I645">
        <v>0</v>
      </c>
      <c r="J645">
        <v>0</v>
      </c>
      <c r="K645">
        <v>0</v>
      </c>
    </row>
    <row r="646" spans="1:11" x14ac:dyDescent="0.2">
      <c r="A646" t="s">
        <v>5298</v>
      </c>
      <c r="B646" t="s">
        <v>5299</v>
      </c>
      <c r="C646" t="s">
        <v>582</v>
      </c>
      <c r="D646" t="s">
        <v>98</v>
      </c>
      <c r="E646">
        <v>39.99</v>
      </c>
      <c r="F646">
        <v>0</v>
      </c>
      <c r="H646" t="s">
        <v>73</v>
      </c>
      <c r="I646">
        <v>0</v>
      </c>
      <c r="J646">
        <v>0</v>
      </c>
      <c r="K646">
        <v>0</v>
      </c>
    </row>
    <row r="647" spans="1:11" x14ac:dyDescent="0.2">
      <c r="A647" t="s">
        <v>5300</v>
      </c>
      <c r="B647" t="s">
        <v>5301</v>
      </c>
      <c r="C647" t="s">
        <v>582</v>
      </c>
      <c r="D647" t="s">
        <v>98</v>
      </c>
      <c r="E647">
        <v>19.989999999999998</v>
      </c>
      <c r="F647">
        <v>0</v>
      </c>
      <c r="H647" t="s">
        <v>73</v>
      </c>
      <c r="I647">
        <v>0</v>
      </c>
      <c r="J647">
        <v>0</v>
      </c>
      <c r="K647">
        <v>0</v>
      </c>
    </row>
    <row r="648" spans="1:11" x14ac:dyDescent="0.2">
      <c r="A648" t="s">
        <v>424</v>
      </c>
      <c r="B648" t="s">
        <v>425</v>
      </c>
      <c r="C648" t="s">
        <v>307</v>
      </c>
      <c r="D648" t="s">
        <v>98</v>
      </c>
      <c r="E648">
        <v>449</v>
      </c>
      <c r="F648">
        <v>0</v>
      </c>
      <c r="H648" t="s">
        <v>73</v>
      </c>
      <c r="I648">
        <v>0</v>
      </c>
      <c r="J648">
        <v>0</v>
      </c>
      <c r="K648">
        <v>0</v>
      </c>
    </row>
    <row r="649" spans="1:11" x14ac:dyDescent="0.2">
      <c r="A649" t="s">
        <v>3158</v>
      </c>
      <c r="B649" t="s">
        <v>3159</v>
      </c>
      <c r="C649" t="s">
        <v>3133</v>
      </c>
      <c r="D649" t="s">
        <v>98</v>
      </c>
      <c r="E649">
        <v>199.99</v>
      </c>
      <c r="F649">
        <v>0</v>
      </c>
      <c r="H649" t="s">
        <v>73</v>
      </c>
      <c r="I649">
        <v>0</v>
      </c>
      <c r="J649">
        <v>0</v>
      </c>
      <c r="K649">
        <v>0</v>
      </c>
    </row>
    <row r="650" spans="1:11" x14ac:dyDescent="0.2">
      <c r="A650" t="s">
        <v>3172</v>
      </c>
      <c r="B650" t="s">
        <v>3173</v>
      </c>
      <c r="C650" t="s">
        <v>3133</v>
      </c>
      <c r="D650" t="s">
        <v>98</v>
      </c>
      <c r="E650">
        <v>139.99</v>
      </c>
      <c r="F650">
        <v>0</v>
      </c>
      <c r="H650" t="s">
        <v>73</v>
      </c>
      <c r="I650">
        <v>0</v>
      </c>
      <c r="J650">
        <v>0</v>
      </c>
      <c r="K650">
        <v>0</v>
      </c>
    </row>
    <row r="651" spans="1:11" x14ac:dyDescent="0.2">
      <c r="A651" t="s">
        <v>5302</v>
      </c>
      <c r="B651" t="s">
        <v>5303</v>
      </c>
      <c r="C651" t="s">
        <v>5304</v>
      </c>
      <c r="D651" t="s">
        <v>98</v>
      </c>
      <c r="E651">
        <v>1199.99</v>
      </c>
      <c r="F651">
        <v>0</v>
      </c>
      <c r="H651" t="s">
        <v>73</v>
      </c>
      <c r="I651">
        <v>0</v>
      </c>
      <c r="J651">
        <v>0</v>
      </c>
      <c r="K651">
        <v>0</v>
      </c>
    </row>
    <row r="652" spans="1:11" x14ac:dyDescent="0.2">
      <c r="A652" t="s">
        <v>4014</v>
      </c>
      <c r="B652" t="s">
        <v>4015</v>
      </c>
      <c r="C652" t="s">
        <v>3929</v>
      </c>
      <c r="D652" t="s">
        <v>105</v>
      </c>
      <c r="E652">
        <v>99.99</v>
      </c>
      <c r="F652">
        <v>99.99</v>
      </c>
      <c r="H652" t="s">
        <v>73</v>
      </c>
      <c r="I652">
        <v>0.16666666666666666</v>
      </c>
      <c r="J652">
        <v>336</v>
      </c>
      <c r="K652">
        <v>56</v>
      </c>
    </row>
    <row r="653" spans="1:11" x14ac:dyDescent="0.2">
      <c r="A653" t="s">
        <v>5305</v>
      </c>
      <c r="B653" t="s">
        <v>5306</v>
      </c>
      <c r="C653" t="s">
        <v>582</v>
      </c>
      <c r="D653" t="s">
        <v>98</v>
      </c>
      <c r="E653">
        <v>24.99</v>
      </c>
      <c r="F653">
        <v>0</v>
      </c>
      <c r="H653" t="s">
        <v>73</v>
      </c>
      <c r="I653">
        <v>0</v>
      </c>
      <c r="J653">
        <v>0</v>
      </c>
      <c r="K653">
        <v>0</v>
      </c>
    </row>
    <row r="654" spans="1:11" x14ac:dyDescent="0.2">
      <c r="A654" t="s">
        <v>3178</v>
      </c>
      <c r="B654" t="s">
        <v>3179</v>
      </c>
      <c r="C654" t="s">
        <v>3133</v>
      </c>
      <c r="D654" t="s">
        <v>98</v>
      </c>
      <c r="E654">
        <v>229.99</v>
      </c>
      <c r="F654">
        <v>0</v>
      </c>
      <c r="H654" t="s">
        <v>73</v>
      </c>
      <c r="I654">
        <v>0</v>
      </c>
      <c r="J654">
        <v>0</v>
      </c>
      <c r="K654">
        <v>0</v>
      </c>
    </row>
    <row r="655" spans="1:11" x14ac:dyDescent="0.2">
      <c r="A655" t="s">
        <v>338</v>
      </c>
      <c r="B655" t="s">
        <v>339</v>
      </c>
      <c r="C655" t="s">
        <v>307</v>
      </c>
      <c r="D655" t="s">
        <v>98</v>
      </c>
      <c r="E655">
        <v>2899.99</v>
      </c>
      <c r="F655">
        <v>0</v>
      </c>
      <c r="H655" t="s">
        <v>73</v>
      </c>
      <c r="I655">
        <v>0</v>
      </c>
      <c r="J655">
        <v>0</v>
      </c>
      <c r="K655">
        <v>0</v>
      </c>
    </row>
    <row r="656" spans="1:11" x14ac:dyDescent="0.2">
      <c r="A656" t="s">
        <v>3176</v>
      </c>
      <c r="B656" t="s">
        <v>3177</v>
      </c>
      <c r="C656" t="s">
        <v>3133</v>
      </c>
      <c r="D656" t="s">
        <v>98</v>
      </c>
      <c r="E656">
        <v>99.99</v>
      </c>
      <c r="F656">
        <v>0</v>
      </c>
      <c r="H656" t="s">
        <v>73</v>
      </c>
      <c r="I656">
        <v>0</v>
      </c>
      <c r="J656">
        <v>0</v>
      </c>
      <c r="K656">
        <v>0</v>
      </c>
    </row>
    <row r="657" spans="1:11" x14ac:dyDescent="0.2">
      <c r="A657" t="s">
        <v>340</v>
      </c>
      <c r="B657" t="s">
        <v>341</v>
      </c>
      <c r="C657" t="s">
        <v>307</v>
      </c>
      <c r="D657" t="s">
        <v>98</v>
      </c>
      <c r="E657">
        <v>3299.99</v>
      </c>
      <c r="F657">
        <v>0</v>
      </c>
      <c r="H657" t="s">
        <v>73</v>
      </c>
      <c r="I657">
        <v>0</v>
      </c>
      <c r="J657">
        <v>0</v>
      </c>
      <c r="K657">
        <v>0</v>
      </c>
    </row>
    <row r="658" spans="1:11" x14ac:dyDescent="0.2">
      <c r="A658" t="s">
        <v>5307</v>
      </c>
      <c r="B658" t="s">
        <v>5308</v>
      </c>
      <c r="C658" t="s">
        <v>582</v>
      </c>
      <c r="D658" t="s">
        <v>98</v>
      </c>
      <c r="E658">
        <v>29.99</v>
      </c>
      <c r="F658">
        <v>0</v>
      </c>
      <c r="H658" t="s">
        <v>73</v>
      </c>
      <c r="I658">
        <v>0</v>
      </c>
      <c r="J658">
        <v>0</v>
      </c>
      <c r="K658">
        <v>0</v>
      </c>
    </row>
    <row r="659" spans="1:11" x14ac:dyDescent="0.2">
      <c r="A659" t="s">
        <v>5309</v>
      </c>
      <c r="B659" t="s">
        <v>5310</v>
      </c>
      <c r="C659" t="s">
        <v>3929</v>
      </c>
      <c r="D659" t="s">
        <v>98</v>
      </c>
      <c r="E659">
        <v>129.99</v>
      </c>
      <c r="F659">
        <v>0</v>
      </c>
      <c r="H659" t="s">
        <v>73</v>
      </c>
      <c r="I659">
        <v>0</v>
      </c>
      <c r="J659">
        <v>0</v>
      </c>
      <c r="K659">
        <v>0</v>
      </c>
    </row>
    <row r="660" spans="1:11" x14ac:dyDescent="0.2">
      <c r="A660" t="s">
        <v>344</v>
      </c>
      <c r="B660" t="s">
        <v>345</v>
      </c>
      <c r="C660" t="s">
        <v>307</v>
      </c>
      <c r="D660" t="s">
        <v>98</v>
      </c>
      <c r="E660">
        <v>3699.99</v>
      </c>
      <c r="F660">
        <v>0</v>
      </c>
      <c r="H660" t="s">
        <v>73</v>
      </c>
      <c r="I660">
        <v>0</v>
      </c>
      <c r="J660">
        <v>0</v>
      </c>
      <c r="K660">
        <v>0</v>
      </c>
    </row>
    <row r="661" spans="1:11" x14ac:dyDescent="0.2">
      <c r="A661" t="s">
        <v>3174</v>
      </c>
      <c r="B661" t="s">
        <v>3175</v>
      </c>
      <c r="C661" t="s">
        <v>3133</v>
      </c>
      <c r="D661" t="s">
        <v>98</v>
      </c>
      <c r="E661">
        <v>329.99</v>
      </c>
      <c r="F661">
        <v>0</v>
      </c>
      <c r="H661" t="s">
        <v>73</v>
      </c>
      <c r="I661">
        <v>0</v>
      </c>
      <c r="J661">
        <v>0</v>
      </c>
      <c r="K661">
        <v>0</v>
      </c>
    </row>
    <row r="662" spans="1:11" x14ac:dyDescent="0.2">
      <c r="A662" t="s">
        <v>5311</v>
      </c>
      <c r="B662" t="s">
        <v>5312</v>
      </c>
      <c r="C662" t="s">
        <v>582</v>
      </c>
      <c r="D662" t="s">
        <v>98</v>
      </c>
      <c r="E662">
        <v>29.99</v>
      </c>
      <c r="F662">
        <v>0</v>
      </c>
      <c r="H662" t="s">
        <v>73</v>
      </c>
      <c r="I662">
        <v>0</v>
      </c>
      <c r="J662">
        <v>0</v>
      </c>
      <c r="K662">
        <v>0</v>
      </c>
    </row>
    <row r="663" spans="1:11" x14ac:dyDescent="0.2">
      <c r="A663" t="s">
        <v>377</v>
      </c>
      <c r="B663" t="s">
        <v>376</v>
      </c>
      <c r="C663" t="s">
        <v>307</v>
      </c>
      <c r="D663" t="s">
        <v>98</v>
      </c>
      <c r="E663">
        <v>2299.9899999999998</v>
      </c>
      <c r="F663">
        <v>0</v>
      </c>
      <c r="H663" t="s">
        <v>73</v>
      </c>
      <c r="I663">
        <v>0</v>
      </c>
      <c r="J663">
        <v>0</v>
      </c>
      <c r="K663">
        <v>0</v>
      </c>
    </row>
    <row r="664" spans="1:11" x14ac:dyDescent="0.2">
      <c r="A664" t="s">
        <v>4038</v>
      </c>
      <c r="B664" t="s">
        <v>4039</v>
      </c>
      <c r="C664" t="s">
        <v>3929</v>
      </c>
      <c r="D664" t="s">
        <v>98</v>
      </c>
      <c r="E664">
        <v>219.99</v>
      </c>
      <c r="F664">
        <v>0</v>
      </c>
      <c r="H664" t="s">
        <v>73</v>
      </c>
      <c r="I664">
        <v>0</v>
      </c>
      <c r="J664">
        <v>0</v>
      </c>
      <c r="K664">
        <v>0</v>
      </c>
    </row>
    <row r="665" spans="1:11" x14ac:dyDescent="0.2">
      <c r="A665" t="s">
        <v>3193</v>
      </c>
      <c r="B665" t="s">
        <v>3194</v>
      </c>
      <c r="C665" t="s">
        <v>3188</v>
      </c>
      <c r="D665" t="s">
        <v>98</v>
      </c>
      <c r="E665">
        <v>89.99</v>
      </c>
      <c r="F665">
        <v>0</v>
      </c>
      <c r="H665" t="s">
        <v>73</v>
      </c>
      <c r="I665">
        <v>0</v>
      </c>
      <c r="J665">
        <v>0</v>
      </c>
      <c r="K665">
        <v>0</v>
      </c>
    </row>
    <row r="666" spans="1:11" x14ac:dyDescent="0.2">
      <c r="A666" t="s">
        <v>3154</v>
      </c>
      <c r="B666" t="s">
        <v>3155</v>
      </c>
      <c r="C666" t="s">
        <v>3133</v>
      </c>
      <c r="D666" t="s">
        <v>98</v>
      </c>
      <c r="E666">
        <v>99.99</v>
      </c>
      <c r="F666">
        <v>0</v>
      </c>
      <c r="H666" t="s">
        <v>73</v>
      </c>
      <c r="I666">
        <v>0</v>
      </c>
      <c r="J666">
        <v>0</v>
      </c>
      <c r="K666">
        <v>0</v>
      </c>
    </row>
    <row r="667" spans="1:11" x14ac:dyDescent="0.2">
      <c r="A667" t="s">
        <v>3146</v>
      </c>
      <c r="B667" t="s">
        <v>3147</v>
      </c>
      <c r="C667" t="s">
        <v>3133</v>
      </c>
      <c r="D667" t="s">
        <v>98</v>
      </c>
      <c r="E667">
        <v>644.99</v>
      </c>
      <c r="F667">
        <v>0</v>
      </c>
      <c r="H667" t="s">
        <v>73</v>
      </c>
      <c r="I667">
        <v>0</v>
      </c>
      <c r="J667">
        <v>0</v>
      </c>
      <c r="K667">
        <v>0</v>
      </c>
    </row>
    <row r="668" spans="1:11" x14ac:dyDescent="0.2">
      <c r="A668" t="s">
        <v>4455</v>
      </c>
      <c r="B668" t="s">
        <v>4456</v>
      </c>
      <c r="C668" t="s">
        <v>4437</v>
      </c>
      <c r="D668" t="s">
        <v>98</v>
      </c>
      <c r="E668">
        <v>199.99</v>
      </c>
      <c r="F668">
        <v>0</v>
      </c>
      <c r="H668" t="s">
        <v>73</v>
      </c>
      <c r="I668">
        <v>0</v>
      </c>
      <c r="J668">
        <v>0</v>
      </c>
      <c r="K668">
        <v>0</v>
      </c>
    </row>
    <row r="669" spans="1:11" x14ac:dyDescent="0.2">
      <c r="A669" t="s">
        <v>2205</v>
      </c>
      <c r="B669" t="s">
        <v>2206</v>
      </c>
      <c r="C669" t="s">
        <v>2174</v>
      </c>
      <c r="D669" t="s">
        <v>98</v>
      </c>
      <c r="E669">
        <v>79.989999999999995</v>
      </c>
      <c r="F669">
        <v>0</v>
      </c>
      <c r="H669" t="s">
        <v>73</v>
      </c>
      <c r="I669">
        <v>0</v>
      </c>
      <c r="J669">
        <v>0</v>
      </c>
      <c r="K669">
        <v>0</v>
      </c>
    </row>
    <row r="670" spans="1:11" x14ac:dyDescent="0.2">
      <c r="A670" t="s">
        <v>3205</v>
      </c>
      <c r="B670" t="s">
        <v>3206</v>
      </c>
      <c r="C670" t="s">
        <v>3188</v>
      </c>
      <c r="D670" t="s">
        <v>98</v>
      </c>
      <c r="E670">
        <v>19.989999999999998</v>
      </c>
      <c r="F670">
        <v>0</v>
      </c>
      <c r="H670" t="s">
        <v>73</v>
      </c>
      <c r="I670">
        <v>0</v>
      </c>
      <c r="J670">
        <v>0</v>
      </c>
      <c r="K670">
        <v>0</v>
      </c>
    </row>
    <row r="671" spans="1:11" x14ac:dyDescent="0.2">
      <c r="A671" t="s">
        <v>5313</v>
      </c>
      <c r="B671" t="s">
        <v>5314</v>
      </c>
      <c r="C671" t="s">
        <v>874</v>
      </c>
      <c r="D671" t="s">
        <v>98</v>
      </c>
      <c r="E671">
        <v>39.99</v>
      </c>
      <c r="F671">
        <v>0</v>
      </c>
      <c r="H671" t="s">
        <v>73</v>
      </c>
      <c r="I671">
        <v>0</v>
      </c>
      <c r="J671">
        <v>0</v>
      </c>
      <c r="K671">
        <v>0</v>
      </c>
    </row>
    <row r="672" spans="1:11" x14ac:dyDescent="0.2">
      <c r="A672" t="s">
        <v>4453</v>
      </c>
      <c r="B672" t="s">
        <v>4454</v>
      </c>
      <c r="C672" t="s">
        <v>4437</v>
      </c>
      <c r="D672" t="s">
        <v>98</v>
      </c>
      <c r="E672">
        <v>299.99</v>
      </c>
      <c r="F672">
        <v>0</v>
      </c>
      <c r="H672" t="s">
        <v>73</v>
      </c>
      <c r="I672">
        <v>0</v>
      </c>
      <c r="J672">
        <v>0</v>
      </c>
      <c r="K672">
        <v>0</v>
      </c>
    </row>
    <row r="673" spans="1:11" x14ac:dyDescent="0.2">
      <c r="A673" t="s">
        <v>2201</v>
      </c>
      <c r="B673" t="s">
        <v>2202</v>
      </c>
      <c r="C673" t="s">
        <v>2174</v>
      </c>
      <c r="D673" t="s">
        <v>98</v>
      </c>
      <c r="E673">
        <v>69.989999999999995</v>
      </c>
      <c r="F673">
        <v>0</v>
      </c>
      <c r="H673" t="s">
        <v>73</v>
      </c>
      <c r="I673">
        <v>0</v>
      </c>
      <c r="J673">
        <v>0</v>
      </c>
      <c r="K673">
        <v>0</v>
      </c>
    </row>
    <row r="674" spans="1:11" x14ac:dyDescent="0.2">
      <c r="A674" t="s">
        <v>5315</v>
      </c>
      <c r="B674" t="s">
        <v>5316</v>
      </c>
      <c r="C674" t="s">
        <v>3188</v>
      </c>
      <c r="D674" t="s">
        <v>98</v>
      </c>
      <c r="E674">
        <v>19.989999999999998</v>
      </c>
      <c r="F674">
        <v>0</v>
      </c>
      <c r="H674" t="s">
        <v>73</v>
      </c>
      <c r="I674">
        <v>0</v>
      </c>
      <c r="J674">
        <v>0</v>
      </c>
      <c r="K674">
        <v>0</v>
      </c>
    </row>
    <row r="675" spans="1:11" x14ac:dyDescent="0.2">
      <c r="A675" t="s">
        <v>5317</v>
      </c>
      <c r="B675" t="s">
        <v>5318</v>
      </c>
      <c r="C675" t="s">
        <v>3929</v>
      </c>
      <c r="D675" t="s">
        <v>98</v>
      </c>
      <c r="E675">
        <v>69.989999999999995</v>
      </c>
      <c r="F675">
        <v>0</v>
      </c>
      <c r="H675" t="s">
        <v>73</v>
      </c>
      <c r="I675">
        <v>0</v>
      </c>
      <c r="J675">
        <v>0</v>
      </c>
      <c r="K675">
        <v>0</v>
      </c>
    </row>
    <row r="676" spans="1:11" x14ac:dyDescent="0.2">
      <c r="A676" t="s">
        <v>3148</v>
      </c>
      <c r="B676" t="s">
        <v>3149</v>
      </c>
      <c r="C676" t="s">
        <v>3133</v>
      </c>
      <c r="D676" t="s">
        <v>98</v>
      </c>
      <c r="E676">
        <v>999.99</v>
      </c>
      <c r="F676">
        <v>0</v>
      </c>
      <c r="H676" t="s">
        <v>73</v>
      </c>
      <c r="I676">
        <v>0</v>
      </c>
      <c r="J676">
        <v>0</v>
      </c>
      <c r="K676">
        <v>0</v>
      </c>
    </row>
    <row r="677" spans="1:11" x14ac:dyDescent="0.2">
      <c r="A677" t="s">
        <v>4449</v>
      </c>
      <c r="B677" t="s">
        <v>4450</v>
      </c>
      <c r="C677" t="s">
        <v>4437</v>
      </c>
      <c r="D677" t="s">
        <v>98</v>
      </c>
      <c r="E677">
        <v>179.99</v>
      </c>
      <c r="F677">
        <v>0</v>
      </c>
      <c r="H677" t="s">
        <v>73</v>
      </c>
      <c r="I677">
        <v>0</v>
      </c>
      <c r="J677">
        <v>0</v>
      </c>
      <c r="K677">
        <v>0</v>
      </c>
    </row>
    <row r="678" spans="1:11" x14ac:dyDescent="0.2">
      <c r="A678" t="s">
        <v>2199</v>
      </c>
      <c r="B678" t="s">
        <v>2200</v>
      </c>
      <c r="C678" t="s">
        <v>2174</v>
      </c>
      <c r="D678" t="s">
        <v>98</v>
      </c>
      <c r="E678">
        <v>59.99</v>
      </c>
      <c r="F678">
        <v>0</v>
      </c>
      <c r="H678" t="s">
        <v>73</v>
      </c>
      <c r="I678">
        <v>0</v>
      </c>
      <c r="J678">
        <v>0</v>
      </c>
      <c r="K678">
        <v>0</v>
      </c>
    </row>
    <row r="679" spans="1:11" x14ac:dyDescent="0.2">
      <c r="A679" t="s">
        <v>5319</v>
      </c>
      <c r="B679" t="s">
        <v>5320</v>
      </c>
      <c r="C679" t="s">
        <v>3188</v>
      </c>
      <c r="D679" t="s">
        <v>98</v>
      </c>
      <c r="E679">
        <v>19.989999999999998</v>
      </c>
      <c r="F679">
        <v>0</v>
      </c>
      <c r="H679" t="s">
        <v>73</v>
      </c>
      <c r="I679">
        <v>0</v>
      </c>
      <c r="J679">
        <v>0</v>
      </c>
      <c r="K679">
        <v>0</v>
      </c>
    </row>
    <row r="680" spans="1:11" x14ac:dyDescent="0.2">
      <c r="A680" t="s">
        <v>5321</v>
      </c>
      <c r="B680" t="s">
        <v>5322</v>
      </c>
      <c r="C680" t="s">
        <v>3929</v>
      </c>
      <c r="D680" t="s">
        <v>98</v>
      </c>
      <c r="E680">
        <v>69.989999999999995</v>
      </c>
      <c r="F680">
        <v>0</v>
      </c>
      <c r="H680" t="s">
        <v>73</v>
      </c>
      <c r="I680">
        <v>0</v>
      </c>
      <c r="J680">
        <v>0</v>
      </c>
      <c r="K680">
        <v>0</v>
      </c>
    </row>
    <row r="681" spans="1:11" x14ac:dyDescent="0.2">
      <c r="A681" t="s">
        <v>4447</v>
      </c>
      <c r="B681" t="s">
        <v>4448</v>
      </c>
      <c r="C681" t="s">
        <v>4437</v>
      </c>
      <c r="D681" t="s">
        <v>98</v>
      </c>
      <c r="E681">
        <v>72.989999999999995</v>
      </c>
      <c r="F681">
        <v>0</v>
      </c>
      <c r="H681" t="s">
        <v>73</v>
      </c>
      <c r="I681">
        <v>0</v>
      </c>
      <c r="J681">
        <v>0</v>
      </c>
      <c r="K681">
        <v>0</v>
      </c>
    </row>
    <row r="682" spans="1:11" x14ac:dyDescent="0.2">
      <c r="A682" t="s">
        <v>2207</v>
      </c>
      <c r="B682" t="s">
        <v>2208</v>
      </c>
      <c r="C682" t="s">
        <v>2174</v>
      </c>
      <c r="D682" t="s">
        <v>98</v>
      </c>
      <c r="E682">
        <v>79.989999999999995</v>
      </c>
      <c r="F682">
        <v>0</v>
      </c>
      <c r="H682" t="s">
        <v>73</v>
      </c>
      <c r="I682">
        <v>0</v>
      </c>
      <c r="J682">
        <v>0</v>
      </c>
      <c r="K682">
        <v>0</v>
      </c>
    </row>
    <row r="683" spans="1:11" x14ac:dyDescent="0.2">
      <c r="A683" t="s">
        <v>5323</v>
      </c>
      <c r="B683" t="s">
        <v>5324</v>
      </c>
      <c r="C683" t="s">
        <v>874</v>
      </c>
      <c r="D683" t="s">
        <v>98</v>
      </c>
      <c r="E683">
        <v>79.989999999999995</v>
      </c>
      <c r="F683">
        <v>0</v>
      </c>
      <c r="H683" t="s">
        <v>73</v>
      </c>
      <c r="I683">
        <v>0</v>
      </c>
      <c r="J683">
        <v>0</v>
      </c>
      <c r="K683">
        <v>0</v>
      </c>
    </row>
    <row r="684" spans="1:11" x14ac:dyDescent="0.2">
      <c r="A684" t="s">
        <v>5325</v>
      </c>
      <c r="B684" t="s">
        <v>5326</v>
      </c>
      <c r="C684" t="s">
        <v>3929</v>
      </c>
      <c r="D684" t="s">
        <v>98</v>
      </c>
      <c r="E684">
        <v>69.989999999999995</v>
      </c>
      <c r="F684">
        <v>0</v>
      </c>
      <c r="H684" t="s">
        <v>73</v>
      </c>
      <c r="I684">
        <v>0</v>
      </c>
      <c r="J684">
        <v>0</v>
      </c>
      <c r="K684">
        <v>0</v>
      </c>
    </row>
    <row r="685" spans="1:11" x14ac:dyDescent="0.2">
      <c r="A685" t="s">
        <v>5327</v>
      </c>
      <c r="B685" t="s">
        <v>5328</v>
      </c>
      <c r="C685" t="s">
        <v>3188</v>
      </c>
      <c r="D685" t="s">
        <v>98</v>
      </c>
      <c r="E685">
        <v>399.99</v>
      </c>
      <c r="F685">
        <v>0</v>
      </c>
      <c r="H685" t="s">
        <v>73</v>
      </c>
      <c r="I685">
        <v>0</v>
      </c>
      <c r="J685">
        <v>0</v>
      </c>
      <c r="K685">
        <v>0</v>
      </c>
    </row>
    <row r="686" spans="1:11" x14ac:dyDescent="0.2">
      <c r="A686" t="s">
        <v>2183</v>
      </c>
      <c r="B686" t="s">
        <v>2184</v>
      </c>
      <c r="C686" t="s">
        <v>2174</v>
      </c>
      <c r="D686" t="s">
        <v>98</v>
      </c>
      <c r="E686">
        <v>69.989999999999995</v>
      </c>
      <c r="F686">
        <v>0</v>
      </c>
      <c r="H686" t="s">
        <v>73</v>
      </c>
      <c r="I686">
        <v>0</v>
      </c>
      <c r="J686">
        <v>0</v>
      </c>
      <c r="K686">
        <v>0</v>
      </c>
    </row>
    <row r="687" spans="1:11" x14ac:dyDescent="0.2">
      <c r="A687" t="s">
        <v>4457</v>
      </c>
      <c r="B687" t="s">
        <v>4458</v>
      </c>
      <c r="C687" t="s">
        <v>4437</v>
      </c>
      <c r="D687" t="s">
        <v>98</v>
      </c>
      <c r="E687">
        <v>249.99</v>
      </c>
      <c r="F687">
        <v>0</v>
      </c>
      <c r="H687" t="s">
        <v>73</v>
      </c>
      <c r="I687">
        <v>0</v>
      </c>
      <c r="J687">
        <v>0</v>
      </c>
      <c r="K687">
        <v>0</v>
      </c>
    </row>
    <row r="688" spans="1:11" x14ac:dyDescent="0.2">
      <c r="A688" t="s">
        <v>3209</v>
      </c>
      <c r="B688" t="s">
        <v>3210</v>
      </c>
      <c r="C688" t="s">
        <v>3188</v>
      </c>
      <c r="D688" t="s">
        <v>98</v>
      </c>
      <c r="E688">
        <v>139.99</v>
      </c>
      <c r="F688">
        <v>0</v>
      </c>
      <c r="H688" t="s">
        <v>73</v>
      </c>
      <c r="I688">
        <v>0</v>
      </c>
      <c r="J688">
        <v>0</v>
      </c>
      <c r="K688">
        <v>0</v>
      </c>
    </row>
    <row r="689" spans="1:11" x14ac:dyDescent="0.2">
      <c r="A689" t="s">
        <v>4465</v>
      </c>
      <c r="B689" t="s">
        <v>4466</v>
      </c>
      <c r="C689" t="s">
        <v>4437</v>
      </c>
      <c r="D689" t="s">
        <v>98</v>
      </c>
      <c r="E689">
        <v>49.99</v>
      </c>
      <c r="F689">
        <v>0</v>
      </c>
      <c r="H689" t="s">
        <v>73</v>
      </c>
      <c r="I689">
        <v>0</v>
      </c>
      <c r="J689">
        <v>0</v>
      </c>
      <c r="K689">
        <v>0</v>
      </c>
    </row>
    <row r="690" spans="1:11" x14ac:dyDescent="0.2">
      <c r="A690" t="s">
        <v>2097</v>
      </c>
      <c r="B690" t="s">
        <v>2098</v>
      </c>
      <c r="C690" t="s">
        <v>2094</v>
      </c>
      <c r="D690" t="s">
        <v>98</v>
      </c>
      <c r="E690">
        <v>159.99</v>
      </c>
      <c r="F690">
        <v>0</v>
      </c>
      <c r="H690" t="s">
        <v>73</v>
      </c>
      <c r="I690">
        <v>0</v>
      </c>
      <c r="J690">
        <v>0</v>
      </c>
      <c r="K690">
        <v>0</v>
      </c>
    </row>
    <row r="691" spans="1:11" x14ac:dyDescent="0.2">
      <c r="A691" t="s">
        <v>5329</v>
      </c>
      <c r="B691" t="s">
        <v>5330</v>
      </c>
      <c r="C691" t="s">
        <v>3929</v>
      </c>
      <c r="D691" t="s">
        <v>138</v>
      </c>
      <c r="E691">
        <v>79.989999999999995</v>
      </c>
      <c r="F691">
        <v>0</v>
      </c>
      <c r="G691">
        <v>22</v>
      </c>
      <c r="H691" t="s">
        <v>73</v>
      </c>
      <c r="I691">
        <v>0</v>
      </c>
      <c r="J691">
        <v>0</v>
      </c>
      <c r="K691">
        <v>0</v>
      </c>
    </row>
    <row r="692" spans="1:11" x14ac:dyDescent="0.2">
      <c r="A692" t="s">
        <v>5331</v>
      </c>
      <c r="B692" t="s">
        <v>5332</v>
      </c>
      <c r="C692" t="s">
        <v>3188</v>
      </c>
      <c r="D692" t="s">
        <v>98</v>
      </c>
      <c r="E692">
        <v>169.99</v>
      </c>
      <c r="F692">
        <v>0</v>
      </c>
      <c r="H692" t="s">
        <v>73</v>
      </c>
      <c r="I692">
        <v>0</v>
      </c>
      <c r="J692">
        <v>0</v>
      </c>
      <c r="K692">
        <v>0</v>
      </c>
    </row>
    <row r="693" spans="1:11" x14ac:dyDescent="0.2">
      <c r="A693" t="s">
        <v>2103</v>
      </c>
      <c r="B693" t="s">
        <v>2104</v>
      </c>
      <c r="C693" t="s">
        <v>2094</v>
      </c>
      <c r="D693" t="s">
        <v>98</v>
      </c>
      <c r="E693">
        <v>139.99</v>
      </c>
      <c r="F693">
        <v>0</v>
      </c>
      <c r="H693" t="s">
        <v>73</v>
      </c>
      <c r="I693">
        <v>0</v>
      </c>
      <c r="J693">
        <v>0</v>
      </c>
      <c r="K693">
        <v>0</v>
      </c>
    </row>
    <row r="694" spans="1:11" x14ac:dyDescent="0.2">
      <c r="A694" t="s">
        <v>5333</v>
      </c>
      <c r="B694" t="s">
        <v>5334</v>
      </c>
      <c r="C694" t="s">
        <v>3929</v>
      </c>
      <c r="D694" t="s">
        <v>138</v>
      </c>
      <c r="E694">
        <v>69.989999999999995</v>
      </c>
      <c r="F694">
        <v>0</v>
      </c>
      <c r="H694" t="s">
        <v>73</v>
      </c>
      <c r="I694">
        <v>0</v>
      </c>
      <c r="J694">
        <v>0</v>
      </c>
      <c r="K694">
        <v>0</v>
      </c>
    </row>
    <row r="695" spans="1:11" x14ac:dyDescent="0.2">
      <c r="A695" t="s">
        <v>4463</v>
      </c>
      <c r="B695" t="s">
        <v>4464</v>
      </c>
      <c r="C695" t="s">
        <v>4437</v>
      </c>
      <c r="D695" t="s">
        <v>98</v>
      </c>
      <c r="E695">
        <v>83.99</v>
      </c>
      <c r="F695">
        <v>0</v>
      </c>
      <c r="H695" t="s">
        <v>73</v>
      </c>
      <c r="I695">
        <v>0</v>
      </c>
      <c r="J695">
        <v>0</v>
      </c>
      <c r="K695">
        <v>0</v>
      </c>
    </row>
    <row r="696" spans="1:11" x14ac:dyDescent="0.2">
      <c r="A696" t="s">
        <v>3203</v>
      </c>
      <c r="B696" t="s">
        <v>3204</v>
      </c>
      <c r="C696" t="s">
        <v>3188</v>
      </c>
      <c r="D696" t="s">
        <v>98</v>
      </c>
      <c r="E696">
        <v>42.99</v>
      </c>
      <c r="F696">
        <v>0</v>
      </c>
      <c r="H696" t="s">
        <v>73</v>
      </c>
      <c r="I696">
        <v>0</v>
      </c>
      <c r="J696">
        <v>0</v>
      </c>
      <c r="K696">
        <v>0</v>
      </c>
    </row>
    <row r="697" spans="1:11" x14ac:dyDescent="0.2">
      <c r="A697" t="s">
        <v>4059</v>
      </c>
      <c r="B697" t="s">
        <v>4060</v>
      </c>
      <c r="C697" t="s">
        <v>3929</v>
      </c>
      <c r="D697" t="s">
        <v>105</v>
      </c>
      <c r="E697">
        <v>229.99</v>
      </c>
      <c r="F697">
        <v>0</v>
      </c>
      <c r="G697">
        <v>9</v>
      </c>
      <c r="H697" t="s">
        <v>73</v>
      </c>
      <c r="I697">
        <v>0.5</v>
      </c>
      <c r="J697">
        <v>48</v>
      </c>
      <c r="K697">
        <v>24</v>
      </c>
    </row>
    <row r="698" spans="1:11" x14ac:dyDescent="0.2">
      <c r="A698" t="s">
        <v>5335</v>
      </c>
      <c r="B698" t="s">
        <v>5336</v>
      </c>
      <c r="C698" t="s">
        <v>2174</v>
      </c>
      <c r="D698" t="s">
        <v>98</v>
      </c>
      <c r="E698">
        <v>89.99</v>
      </c>
      <c r="F698">
        <v>0</v>
      </c>
      <c r="H698" t="s">
        <v>73</v>
      </c>
      <c r="I698">
        <v>0</v>
      </c>
      <c r="J698">
        <v>0</v>
      </c>
      <c r="K698">
        <v>0</v>
      </c>
    </row>
    <row r="699" spans="1:11" x14ac:dyDescent="0.2">
      <c r="A699" t="s">
        <v>5337</v>
      </c>
      <c r="B699" t="s">
        <v>5338</v>
      </c>
      <c r="C699" t="s">
        <v>874</v>
      </c>
      <c r="D699" t="s">
        <v>98</v>
      </c>
      <c r="E699">
        <v>119.99</v>
      </c>
      <c r="F699">
        <v>0</v>
      </c>
      <c r="H699" t="s">
        <v>73</v>
      </c>
      <c r="I699">
        <v>0</v>
      </c>
      <c r="J699">
        <v>0</v>
      </c>
      <c r="K699">
        <v>0</v>
      </c>
    </row>
    <row r="700" spans="1:11" x14ac:dyDescent="0.2">
      <c r="A700" t="s">
        <v>4461</v>
      </c>
      <c r="B700" t="s">
        <v>4462</v>
      </c>
      <c r="C700" t="s">
        <v>4437</v>
      </c>
      <c r="D700" t="s">
        <v>98</v>
      </c>
      <c r="E700">
        <v>139.99</v>
      </c>
      <c r="F700">
        <v>0</v>
      </c>
      <c r="H700" t="s">
        <v>73</v>
      </c>
      <c r="I700">
        <v>0</v>
      </c>
      <c r="J700">
        <v>0</v>
      </c>
      <c r="K700">
        <v>0</v>
      </c>
    </row>
    <row r="701" spans="1:11" x14ac:dyDescent="0.2">
      <c r="A701" t="s">
        <v>5339</v>
      </c>
      <c r="B701" t="s">
        <v>5340</v>
      </c>
      <c r="C701" t="s">
        <v>3188</v>
      </c>
      <c r="D701" t="s">
        <v>98</v>
      </c>
      <c r="E701">
        <v>139.99</v>
      </c>
      <c r="F701">
        <v>0</v>
      </c>
      <c r="H701" t="s">
        <v>73</v>
      </c>
      <c r="I701">
        <v>0</v>
      </c>
      <c r="J701">
        <v>0</v>
      </c>
      <c r="K701">
        <v>0</v>
      </c>
    </row>
    <row r="702" spans="1:11" x14ac:dyDescent="0.2">
      <c r="A702" t="s">
        <v>4459</v>
      </c>
      <c r="B702" t="s">
        <v>4460</v>
      </c>
      <c r="C702" t="s">
        <v>4437</v>
      </c>
      <c r="D702" t="s">
        <v>98</v>
      </c>
      <c r="E702">
        <v>99.99</v>
      </c>
      <c r="F702">
        <v>0</v>
      </c>
      <c r="H702" t="s">
        <v>73</v>
      </c>
      <c r="I702">
        <v>0</v>
      </c>
      <c r="J702">
        <v>0</v>
      </c>
      <c r="K702">
        <v>0</v>
      </c>
    </row>
    <row r="703" spans="1:11" x14ac:dyDescent="0.2">
      <c r="A703" t="s">
        <v>2181</v>
      </c>
      <c r="B703" t="s">
        <v>2182</v>
      </c>
      <c r="C703" t="s">
        <v>2174</v>
      </c>
      <c r="D703" t="s">
        <v>98</v>
      </c>
      <c r="E703">
        <v>44.99</v>
      </c>
      <c r="F703">
        <v>0</v>
      </c>
      <c r="H703" t="s">
        <v>73</v>
      </c>
      <c r="I703">
        <v>0</v>
      </c>
      <c r="J703">
        <v>0</v>
      </c>
      <c r="K703">
        <v>0</v>
      </c>
    </row>
    <row r="704" spans="1:11" x14ac:dyDescent="0.2">
      <c r="A704" t="s">
        <v>5341</v>
      </c>
      <c r="B704" t="s">
        <v>5342</v>
      </c>
      <c r="C704" t="s">
        <v>3929</v>
      </c>
      <c r="D704" t="s">
        <v>98</v>
      </c>
      <c r="E704">
        <v>69.989999999999995</v>
      </c>
      <c r="F704">
        <v>0</v>
      </c>
      <c r="H704" t="s">
        <v>73</v>
      </c>
      <c r="I704">
        <v>0</v>
      </c>
      <c r="J704">
        <v>0</v>
      </c>
      <c r="K704">
        <v>0</v>
      </c>
    </row>
    <row r="705" spans="1:11" x14ac:dyDescent="0.2">
      <c r="A705" t="s">
        <v>3207</v>
      </c>
      <c r="B705" t="s">
        <v>3208</v>
      </c>
      <c r="C705" t="s">
        <v>3188</v>
      </c>
      <c r="D705" t="s">
        <v>98</v>
      </c>
      <c r="E705">
        <v>59.99</v>
      </c>
      <c r="F705">
        <v>0</v>
      </c>
      <c r="H705" t="s">
        <v>73</v>
      </c>
      <c r="I705">
        <v>0</v>
      </c>
      <c r="J705">
        <v>0</v>
      </c>
      <c r="K705">
        <v>0</v>
      </c>
    </row>
    <row r="706" spans="1:11" x14ac:dyDescent="0.2">
      <c r="A706" t="s">
        <v>4445</v>
      </c>
      <c r="B706" t="s">
        <v>4446</v>
      </c>
      <c r="C706" t="s">
        <v>4437</v>
      </c>
      <c r="D706" t="s">
        <v>98</v>
      </c>
      <c r="E706">
        <v>139.99</v>
      </c>
      <c r="F706">
        <v>0</v>
      </c>
      <c r="H706" t="s">
        <v>73</v>
      </c>
      <c r="I706">
        <v>0</v>
      </c>
      <c r="J706">
        <v>0</v>
      </c>
      <c r="K706">
        <v>0</v>
      </c>
    </row>
    <row r="707" spans="1:11" x14ac:dyDescent="0.2">
      <c r="A707" t="s">
        <v>2179</v>
      </c>
      <c r="B707" t="s">
        <v>2180</v>
      </c>
      <c r="C707" t="s">
        <v>2174</v>
      </c>
      <c r="D707" t="s">
        <v>98</v>
      </c>
      <c r="E707">
        <v>34.99</v>
      </c>
      <c r="F707">
        <v>0</v>
      </c>
      <c r="H707" t="s">
        <v>73</v>
      </c>
      <c r="I707">
        <v>0</v>
      </c>
      <c r="J707">
        <v>0</v>
      </c>
      <c r="K707">
        <v>0</v>
      </c>
    </row>
    <row r="708" spans="1:11" x14ac:dyDescent="0.2">
      <c r="A708" t="s">
        <v>5343</v>
      </c>
      <c r="B708" t="s">
        <v>5344</v>
      </c>
      <c r="C708" t="s">
        <v>3929</v>
      </c>
      <c r="D708" t="s">
        <v>98</v>
      </c>
      <c r="E708">
        <v>69.989999999999995</v>
      </c>
      <c r="F708">
        <v>0</v>
      </c>
      <c r="H708" t="s">
        <v>73</v>
      </c>
      <c r="I708">
        <v>0</v>
      </c>
      <c r="J708">
        <v>0</v>
      </c>
      <c r="K708">
        <v>0</v>
      </c>
    </row>
    <row r="709" spans="1:11" x14ac:dyDescent="0.2">
      <c r="A709" t="s">
        <v>5345</v>
      </c>
      <c r="B709" t="s">
        <v>5346</v>
      </c>
      <c r="C709" t="s">
        <v>3929</v>
      </c>
      <c r="D709" t="s">
        <v>98</v>
      </c>
      <c r="E709">
        <v>49.99</v>
      </c>
      <c r="F709">
        <v>0</v>
      </c>
      <c r="H709" t="s">
        <v>73</v>
      </c>
      <c r="I709">
        <v>0</v>
      </c>
      <c r="J709">
        <v>0</v>
      </c>
      <c r="K709">
        <v>0</v>
      </c>
    </row>
    <row r="710" spans="1:11" x14ac:dyDescent="0.2">
      <c r="A710" t="s">
        <v>2418</v>
      </c>
      <c r="B710" t="s">
        <v>2419</v>
      </c>
      <c r="C710" t="s">
        <v>2415</v>
      </c>
      <c r="D710" t="s">
        <v>98</v>
      </c>
      <c r="E710">
        <v>349.99</v>
      </c>
      <c r="F710">
        <v>0</v>
      </c>
      <c r="H710" t="s">
        <v>73</v>
      </c>
      <c r="I710">
        <v>0</v>
      </c>
      <c r="J710">
        <v>0</v>
      </c>
      <c r="K710">
        <v>0</v>
      </c>
    </row>
    <row r="711" spans="1:11" x14ac:dyDescent="0.2">
      <c r="A711" t="s">
        <v>3152</v>
      </c>
      <c r="B711" t="s">
        <v>3153</v>
      </c>
      <c r="C711" t="s">
        <v>3133</v>
      </c>
      <c r="D711" t="s">
        <v>98</v>
      </c>
      <c r="E711">
        <v>79.989999999999995</v>
      </c>
      <c r="F711">
        <v>0</v>
      </c>
      <c r="H711" t="s">
        <v>73</v>
      </c>
      <c r="I711">
        <v>0</v>
      </c>
      <c r="J711">
        <v>0</v>
      </c>
      <c r="K711">
        <v>0</v>
      </c>
    </row>
    <row r="712" spans="1:11" x14ac:dyDescent="0.2">
      <c r="A712" t="s">
        <v>5347</v>
      </c>
      <c r="B712" t="s">
        <v>5348</v>
      </c>
      <c r="C712" t="s">
        <v>3188</v>
      </c>
      <c r="D712" t="s">
        <v>98</v>
      </c>
      <c r="E712">
        <v>99.99</v>
      </c>
      <c r="F712">
        <v>0</v>
      </c>
      <c r="H712" t="s">
        <v>73</v>
      </c>
      <c r="I712">
        <v>0</v>
      </c>
      <c r="J712">
        <v>0</v>
      </c>
      <c r="K712">
        <v>0</v>
      </c>
    </row>
    <row r="713" spans="1:11" x14ac:dyDescent="0.2">
      <c r="A713" t="s">
        <v>5349</v>
      </c>
      <c r="B713" t="s">
        <v>5350</v>
      </c>
      <c r="C713" t="s">
        <v>4283</v>
      </c>
      <c r="D713" t="s">
        <v>98</v>
      </c>
      <c r="E713">
        <v>1799.99</v>
      </c>
      <c r="F713">
        <v>0</v>
      </c>
      <c r="H713" t="s">
        <v>73</v>
      </c>
      <c r="I713">
        <v>0</v>
      </c>
      <c r="J713">
        <v>0</v>
      </c>
      <c r="K713">
        <v>0</v>
      </c>
    </row>
    <row r="714" spans="1:11" x14ac:dyDescent="0.2">
      <c r="A714" t="s">
        <v>5351</v>
      </c>
      <c r="B714" t="s">
        <v>5352</v>
      </c>
      <c r="C714" t="s">
        <v>4283</v>
      </c>
      <c r="D714" t="s">
        <v>98</v>
      </c>
      <c r="E714">
        <v>449.99</v>
      </c>
      <c r="F714">
        <v>0</v>
      </c>
      <c r="H714" t="s">
        <v>73</v>
      </c>
      <c r="I714">
        <v>0</v>
      </c>
      <c r="J714">
        <v>0</v>
      </c>
      <c r="K714">
        <v>0</v>
      </c>
    </row>
    <row r="715" spans="1:11" x14ac:dyDescent="0.2">
      <c r="A715" t="s">
        <v>5353</v>
      </c>
      <c r="B715" t="s">
        <v>5354</v>
      </c>
      <c r="C715" t="s">
        <v>2415</v>
      </c>
      <c r="D715" t="s">
        <v>98</v>
      </c>
      <c r="E715">
        <v>159.99</v>
      </c>
      <c r="F715">
        <v>0</v>
      </c>
      <c r="H715" t="s">
        <v>73</v>
      </c>
      <c r="I715">
        <v>0</v>
      </c>
      <c r="J715">
        <v>0</v>
      </c>
      <c r="K715">
        <v>0</v>
      </c>
    </row>
    <row r="716" spans="1:11" x14ac:dyDescent="0.2">
      <c r="A716" t="s">
        <v>4328</v>
      </c>
      <c r="B716" t="s">
        <v>4329</v>
      </c>
      <c r="C716" t="s">
        <v>4283</v>
      </c>
      <c r="D716" t="s">
        <v>105</v>
      </c>
      <c r="E716">
        <v>179.99</v>
      </c>
      <c r="F716">
        <v>179.99</v>
      </c>
      <c r="H716" t="s">
        <v>73</v>
      </c>
      <c r="I716">
        <v>0.5</v>
      </c>
      <c r="J716">
        <v>34</v>
      </c>
      <c r="K716">
        <v>17</v>
      </c>
    </row>
    <row r="717" spans="1:11" x14ac:dyDescent="0.2">
      <c r="A717" t="s">
        <v>5098</v>
      </c>
      <c r="B717" t="s">
        <v>5099</v>
      </c>
      <c r="C717" t="s">
        <v>3929</v>
      </c>
      <c r="D717" t="s">
        <v>138</v>
      </c>
      <c r="E717">
        <v>39.99</v>
      </c>
      <c r="F717">
        <v>0</v>
      </c>
      <c r="H717" t="s">
        <v>73</v>
      </c>
      <c r="I717">
        <v>0</v>
      </c>
      <c r="J717">
        <v>0</v>
      </c>
      <c r="K717">
        <v>37</v>
      </c>
    </row>
    <row r="718" spans="1:11" x14ac:dyDescent="0.2">
      <c r="A718" t="s">
        <v>5355</v>
      </c>
      <c r="B718" t="s">
        <v>5356</v>
      </c>
      <c r="C718" t="s">
        <v>874</v>
      </c>
      <c r="D718" t="s">
        <v>98</v>
      </c>
      <c r="E718">
        <v>19.989999999999998</v>
      </c>
      <c r="F718">
        <v>0</v>
      </c>
      <c r="H718" t="s">
        <v>73</v>
      </c>
      <c r="I718">
        <v>0</v>
      </c>
      <c r="J718">
        <v>0</v>
      </c>
      <c r="K718">
        <v>0</v>
      </c>
    </row>
    <row r="719" spans="1:11" x14ac:dyDescent="0.2">
      <c r="A719" t="s">
        <v>5357</v>
      </c>
      <c r="B719" t="s">
        <v>5358</v>
      </c>
      <c r="C719" t="s">
        <v>4283</v>
      </c>
      <c r="D719" t="s">
        <v>98</v>
      </c>
      <c r="E719">
        <v>249.99</v>
      </c>
      <c r="F719">
        <v>0</v>
      </c>
      <c r="H719" t="s">
        <v>73</v>
      </c>
      <c r="I719">
        <v>0</v>
      </c>
      <c r="J719">
        <v>0</v>
      </c>
      <c r="K719">
        <v>0</v>
      </c>
    </row>
    <row r="720" spans="1:11" x14ac:dyDescent="0.2">
      <c r="A720" t="s">
        <v>3195</v>
      </c>
      <c r="B720" t="s">
        <v>3196</v>
      </c>
      <c r="C720" t="s">
        <v>3188</v>
      </c>
      <c r="D720" t="s">
        <v>98</v>
      </c>
      <c r="E720">
        <v>19.989999999999998</v>
      </c>
      <c r="F720">
        <v>0</v>
      </c>
      <c r="H720" t="s">
        <v>73</v>
      </c>
      <c r="I720">
        <v>0</v>
      </c>
      <c r="J720">
        <v>0</v>
      </c>
      <c r="K720">
        <v>0</v>
      </c>
    </row>
    <row r="721" spans="1:11" x14ac:dyDescent="0.2">
      <c r="A721" t="s">
        <v>4322</v>
      </c>
      <c r="B721" t="s">
        <v>4323</v>
      </c>
      <c r="C721" t="s">
        <v>4283</v>
      </c>
      <c r="D721" t="s">
        <v>105</v>
      </c>
      <c r="E721">
        <v>299.99</v>
      </c>
      <c r="F721">
        <v>0</v>
      </c>
      <c r="G721">
        <v>5</v>
      </c>
      <c r="H721" t="s">
        <v>73</v>
      </c>
      <c r="I721">
        <v>0.16666666666666666</v>
      </c>
      <c r="J721">
        <v>30</v>
      </c>
      <c r="K721">
        <v>5</v>
      </c>
    </row>
    <row r="722" spans="1:11" x14ac:dyDescent="0.2">
      <c r="A722" t="s">
        <v>3197</v>
      </c>
      <c r="B722" t="s">
        <v>3198</v>
      </c>
      <c r="C722" t="s">
        <v>3188</v>
      </c>
      <c r="D722" t="s">
        <v>98</v>
      </c>
      <c r="E722">
        <v>19.989999999999998</v>
      </c>
      <c r="F722">
        <v>0</v>
      </c>
      <c r="H722" t="s">
        <v>73</v>
      </c>
      <c r="I722">
        <v>0</v>
      </c>
      <c r="J722">
        <v>0</v>
      </c>
      <c r="K722">
        <v>0</v>
      </c>
    </row>
    <row r="723" spans="1:11" x14ac:dyDescent="0.2">
      <c r="A723" t="s">
        <v>3364</v>
      </c>
      <c r="B723" t="s">
        <v>3365</v>
      </c>
      <c r="C723" t="s">
        <v>3349</v>
      </c>
      <c r="D723" t="s">
        <v>105</v>
      </c>
      <c r="E723">
        <v>59.99</v>
      </c>
      <c r="F723">
        <v>0</v>
      </c>
      <c r="H723" t="s">
        <v>73</v>
      </c>
      <c r="I723">
        <v>0</v>
      </c>
      <c r="J723">
        <v>0</v>
      </c>
      <c r="K723">
        <v>9</v>
      </c>
    </row>
    <row r="724" spans="1:11" x14ac:dyDescent="0.2">
      <c r="A724" t="s">
        <v>4340</v>
      </c>
      <c r="B724" t="s">
        <v>4341</v>
      </c>
      <c r="C724" t="s">
        <v>4283</v>
      </c>
      <c r="D724" t="s">
        <v>105</v>
      </c>
      <c r="E724">
        <v>549.99</v>
      </c>
      <c r="F724">
        <v>0</v>
      </c>
      <c r="G724">
        <v>11</v>
      </c>
      <c r="H724" t="s">
        <v>73</v>
      </c>
      <c r="I724">
        <v>0.33333333333333331</v>
      </c>
      <c r="J724">
        <v>9</v>
      </c>
      <c r="K724">
        <v>3</v>
      </c>
    </row>
    <row r="725" spans="1:11" x14ac:dyDescent="0.2">
      <c r="A725" t="s">
        <v>5359</v>
      </c>
      <c r="B725" t="s">
        <v>5360</v>
      </c>
      <c r="C725" t="s">
        <v>2415</v>
      </c>
      <c r="D725" t="s">
        <v>98</v>
      </c>
      <c r="E725">
        <v>499.99</v>
      </c>
      <c r="F725">
        <v>0</v>
      </c>
      <c r="H725" t="s">
        <v>73</v>
      </c>
      <c r="I725">
        <v>0</v>
      </c>
      <c r="J725">
        <v>0</v>
      </c>
      <c r="K725">
        <v>0</v>
      </c>
    </row>
    <row r="726" spans="1:11" x14ac:dyDescent="0.2">
      <c r="A726" t="s">
        <v>3201</v>
      </c>
      <c r="B726" t="s">
        <v>3202</v>
      </c>
      <c r="C726" t="s">
        <v>3188</v>
      </c>
      <c r="D726" t="s">
        <v>98</v>
      </c>
      <c r="E726">
        <v>49.99</v>
      </c>
      <c r="F726">
        <v>0</v>
      </c>
      <c r="H726" t="s">
        <v>73</v>
      </c>
      <c r="I726">
        <v>0</v>
      </c>
      <c r="J726">
        <v>0</v>
      </c>
      <c r="K726">
        <v>0</v>
      </c>
    </row>
    <row r="727" spans="1:11" x14ac:dyDescent="0.2">
      <c r="A727" t="s">
        <v>4443</v>
      </c>
      <c r="B727" t="s">
        <v>4444</v>
      </c>
      <c r="C727" t="s">
        <v>4437</v>
      </c>
      <c r="D727" t="s">
        <v>98</v>
      </c>
      <c r="E727">
        <v>79.989999999999995</v>
      </c>
      <c r="F727">
        <v>0</v>
      </c>
      <c r="H727" t="s">
        <v>73</v>
      </c>
      <c r="I727">
        <v>0</v>
      </c>
      <c r="J727">
        <v>0</v>
      </c>
      <c r="K727">
        <v>0</v>
      </c>
    </row>
    <row r="728" spans="1:11" x14ac:dyDescent="0.2">
      <c r="A728" t="s">
        <v>5361</v>
      </c>
      <c r="B728" t="s">
        <v>5362</v>
      </c>
      <c r="C728" t="s">
        <v>2174</v>
      </c>
      <c r="D728" t="s">
        <v>138</v>
      </c>
      <c r="E728">
        <v>89.99</v>
      </c>
      <c r="F728">
        <v>0</v>
      </c>
      <c r="H728" t="s">
        <v>73</v>
      </c>
      <c r="I728">
        <v>0</v>
      </c>
      <c r="J728">
        <v>0</v>
      </c>
      <c r="K728">
        <v>0</v>
      </c>
    </row>
    <row r="729" spans="1:11" x14ac:dyDescent="0.2">
      <c r="A729" t="s">
        <v>3150</v>
      </c>
      <c r="B729" t="s">
        <v>3151</v>
      </c>
      <c r="C729" t="s">
        <v>3133</v>
      </c>
      <c r="D729" t="s">
        <v>98</v>
      </c>
      <c r="E729">
        <v>59.99</v>
      </c>
      <c r="F729">
        <v>0</v>
      </c>
      <c r="H729" t="s">
        <v>73</v>
      </c>
      <c r="I729">
        <v>0</v>
      </c>
      <c r="J729">
        <v>0</v>
      </c>
      <c r="K729">
        <v>0</v>
      </c>
    </row>
    <row r="730" spans="1:11" x14ac:dyDescent="0.2">
      <c r="A730" t="s">
        <v>3199</v>
      </c>
      <c r="B730" t="s">
        <v>3200</v>
      </c>
      <c r="C730" t="s">
        <v>3188</v>
      </c>
      <c r="D730" t="s">
        <v>98</v>
      </c>
      <c r="E730">
        <v>54.99</v>
      </c>
      <c r="F730">
        <v>0</v>
      </c>
      <c r="H730" t="s">
        <v>73</v>
      </c>
      <c r="I730">
        <v>0</v>
      </c>
      <c r="J730">
        <v>0</v>
      </c>
      <c r="K730">
        <v>0</v>
      </c>
    </row>
    <row r="731" spans="1:11" x14ac:dyDescent="0.2">
      <c r="A731" t="s">
        <v>5363</v>
      </c>
      <c r="B731" t="s">
        <v>5364</v>
      </c>
      <c r="C731" t="s">
        <v>2415</v>
      </c>
      <c r="D731" t="s">
        <v>98</v>
      </c>
      <c r="E731">
        <v>149.99</v>
      </c>
      <c r="F731">
        <v>0</v>
      </c>
      <c r="H731" t="s">
        <v>73</v>
      </c>
      <c r="I731">
        <v>0</v>
      </c>
      <c r="J731">
        <v>0</v>
      </c>
      <c r="K731">
        <v>0</v>
      </c>
    </row>
    <row r="732" spans="1:11" x14ac:dyDescent="0.2">
      <c r="A732" t="s">
        <v>5365</v>
      </c>
      <c r="B732" t="s">
        <v>5366</v>
      </c>
      <c r="C732" t="s">
        <v>874</v>
      </c>
      <c r="D732" t="s">
        <v>98</v>
      </c>
      <c r="E732">
        <v>79.989999999999995</v>
      </c>
      <c r="F732">
        <v>0</v>
      </c>
      <c r="H732" t="s">
        <v>73</v>
      </c>
      <c r="I732">
        <v>0</v>
      </c>
      <c r="J732">
        <v>0</v>
      </c>
      <c r="K732">
        <v>0</v>
      </c>
    </row>
    <row r="733" spans="1:11" x14ac:dyDescent="0.2">
      <c r="A733" t="s">
        <v>4440</v>
      </c>
      <c r="B733" t="s">
        <v>4441</v>
      </c>
      <c r="C733" t="s">
        <v>4437</v>
      </c>
      <c r="D733" t="s">
        <v>98</v>
      </c>
      <c r="E733">
        <v>99.99</v>
      </c>
      <c r="F733">
        <v>0</v>
      </c>
      <c r="H733" t="s">
        <v>73</v>
      </c>
      <c r="I733">
        <v>0</v>
      </c>
      <c r="J733">
        <v>0</v>
      </c>
      <c r="K733">
        <v>0</v>
      </c>
    </row>
    <row r="734" spans="1:11" x14ac:dyDescent="0.2">
      <c r="A734" t="s">
        <v>5367</v>
      </c>
      <c r="B734" t="s">
        <v>5368</v>
      </c>
      <c r="C734" t="s">
        <v>3188</v>
      </c>
      <c r="D734" t="s">
        <v>98</v>
      </c>
      <c r="E734">
        <v>99.99</v>
      </c>
      <c r="F734">
        <v>0</v>
      </c>
      <c r="H734" t="s">
        <v>73</v>
      </c>
      <c r="I734">
        <v>0</v>
      </c>
      <c r="J734">
        <v>0</v>
      </c>
      <c r="K734">
        <v>0</v>
      </c>
    </row>
    <row r="735" spans="1:11" x14ac:dyDescent="0.2">
      <c r="A735" t="s">
        <v>5369</v>
      </c>
      <c r="B735" t="s">
        <v>5370</v>
      </c>
      <c r="C735" t="s">
        <v>3929</v>
      </c>
      <c r="D735" t="s">
        <v>98</v>
      </c>
      <c r="E735">
        <v>69.989999999999995</v>
      </c>
      <c r="F735">
        <v>69.989999999999995</v>
      </c>
      <c r="H735" t="s">
        <v>73</v>
      </c>
      <c r="I735">
        <v>0.83333333333333337</v>
      </c>
      <c r="J735">
        <v>37</v>
      </c>
      <c r="K735">
        <v>31</v>
      </c>
    </row>
    <row r="736" spans="1:11" x14ac:dyDescent="0.2">
      <c r="A736" t="s">
        <v>5371</v>
      </c>
      <c r="B736" t="s">
        <v>5372</v>
      </c>
      <c r="C736" t="s">
        <v>2415</v>
      </c>
      <c r="D736" t="s">
        <v>98</v>
      </c>
      <c r="E736">
        <v>119.99</v>
      </c>
      <c r="F736">
        <v>0</v>
      </c>
      <c r="H736" t="s">
        <v>73</v>
      </c>
      <c r="I736">
        <v>0</v>
      </c>
      <c r="J736">
        <v>0</v>
      </c>
      <c r="K736">
        <v>0</v>
      </c>
    </row>
    <row r="737" spans="1:11" x14ac:dyDescent="0.2">
      <c r="A737" t="s">
        <v>5373</v>
      </c>
      <c r="B737" t="s">
        <v>5374</v>
      </c>
      <c r="C737" t="s">
        <v>3188</v>
      </c>
      <c r="D737" t="s">
        <v>98</v>
      </c>
      <c r="E737">
        <v>59.99</v>
      </c>
      <c r="F737">
        <v>0</v>
      </c>
      <c r="H737" t="s">
        <v>73</v>
      </c>
      <c r="I737">
        <v>0</v>
      </c>
      <c r="J737">
        <v>0</v>
      </c>
      <c r="K737">
        <v>0</v>
      </c>
    </row>
    <row r="738" spans="1:11" x14ac:dyDescent="0.2">
      <c r="A738" t="s">
        <v>5375</v>
      </c>
      <c r="B738" t="s">
        <v>4436</v>
      </c>
      <c r="C738" t="s">
        <v>4435</v>
      </c>
      <c r="D738" t="s">
        <v>98</v>
      </c>
      <c r="E738">
        <v>189.99</v>
      </c>
      <c r="F738">
        <v>0</v>
      </c>
      <c r="H738" t="s">
        <v>73</v>
      </c>
      <c r="I738">
        <v>0</v>
      </c>
      <c r="J738">
        <v>0</v>
      </c>
      <c r="K738">
        <v>0</v>
      </c>
    </row>
    <row r="739" spans="1:11" x14ac:dyDescent="0.2">
      <c r="A739" t="s">
        <v>2420</v>
      </c>
      <c r="B739" t="s">
        <v>2421</v>
      </c>
      <c r="C739" t="s">
        <v>2415</v>
      </c>
      <c r="D739" t="s">
        <v>98</v>
      </c>
      <c r="E739">
        <v>189.99</v>
      </c>
      <c r="F739">
        <v>0</v>
      </c>
      <c r="H739" t="s">
        <v>73</v>
      </c>
      <c r="I739">
        <v>0</v>
      </c>
      <c r="J739">
        <v>0</v>
      </c>
      <c r="K739">
        <v>0</v>
      </c>
    </row>
    <row r="740" spans="1:11" x14ac:dyDescent="0.2">
      <c r="A740" t="s">
        <v>5376</v>
      </c>
      <c r="B740" t="s">
        <v>5377</v>
      </c>
      <c r="C740" t="s">
        <v>3188</v>
      </c>
      <c r="D740" t="s">
        <v>98</v>
      </c>
      <c r="E740">
        <v>69.989999999999995</v>
      </c>
      <c r="F740">
        <v>0</v>
      </c>
      <c r="H740" t="s">
        <v>73</v>
      </c>
      <c r="I740">
        <v>0</v>
      </c>
      <c r="J740">
        <v>0</v>
      </c>
      <c r="K740">
        <v>0</v>
      </c>
    </row>
    <row r="741" spans="1:11" x14ac:dyDescent="0.2">
      <c r="A741" t="s">
        <v>3922</v>
      </c>
      <c r="B741" t="s">
        <v>3923</v>
      </c>
      <c r="C741" t="s">
        <v>3921</v>
      </c>
      <c r="D741" t="s">
        <v>98</v>
      </c>
      <c r="E741">
        <v>34.99</v>
      </c>
      <c r="F741">
        <v>0</v>
      </c>
      <c r="H741" t="s">
        <v>73</v>
      </c>
      <c r="I741">
        <v>0</v>
      </c>
      <c r="J741">
        <v>0</v>
      </c>
      <c r="K741">
        <v>0</v>
      </c>
    </row>
    <row r="742" spans="1:11" x14ac:dyDescent="0.2">
      <c r="A742" t="s">
        <v>5378</v>
      </c>
      <c r="B742" t="s">
        <v>5379</v>
      </c>
      <c r="C742" t="s">
        <v>874</v>
      </c>
      <c r="D742" t="s">
        <v>98</v>
      </c>
      <c r="E742">
        <v>69.989999999999995</v>
      </c>
      <c r="F742">
        <v>0</v>
      </c>
      <c r="H742" t="s">
        <v>73</v>
      </c>
      <c r="I742">
        <v>0</v>
      </c>
      <c r="J742">
        <v>0</v>
      </c>
      <c r="K742">
        <v>0</v>
      </c>
    </row>
    <row r="743" spans="1:11" x14ac:dyDescent="0.2">
      <c r="A743" t="s">
        <v>4438</v>
      </c>
      <c r="B743" t="s">
        <v>4439</v>
      </c>
      <c r="C743" t="s">
        <v>4437</v>
      </c>
      <c r="D743" t="s">
        <v>98</v>
      </c>
      <c r="E743">
        <v>98.99</v>
      </c>
      <c r="F743">
        <v>0</v>
      </c>
      <c r="H743" t="s">
        <v>73</v>
      </c>
      <c r="I743">
        <v>0.33333333333333331</v>
      </c>
      <c r="J743">
        <v>0</v>
      </c>
      <c r="K743">
        <v>0</v>
      </c>
    </row>
    <row r="744" spans="1:11" x14ac:dyDescent="0.2">
      <c r="A744" t="s">
        <v>603</v>
      </c>
      <c r="B744" t="s">
        <v>604</v>
      </c>
      <c r="C744" t="s">
        <v>582</v>
      </c>
      <c r="D744" t="s">
        <v>138</v>
      </c>
      <c r="E744">
        <v>269.99</v>
      </c>
      <c r="F744">
        <v>0</v>
      </c>
      <c r="G744">
        <v>2</v>
      </c>
      <c r="H744" t="s">
        <v>73</v>
      </c>
      <c r="I744">
        <v>0</v>
      </c>
      <c r="J744">
        <v>0</v>
      </c>
      <c r="K744">
        <v>0</v>
      </c>
    </row>
    <row r="745" spans="1:11" x14ac:dyDescent="0.2">
      <c r="A745" t="s">
        <v>5380</v>
      </c>
      <c r="B745" t="s">
        <v>5381</v>
      </c>
      <c r="C745" t="s">
        <v>3929</v>
      </c>
      <c r="D745" t="s">
        <v>98</v>
      </c>
      <c r="E745">
        <v>69.989999999999995</v>
      </c>
      <c r="F745">
        <v>0</v>
      </c>
      <c r="H745" t="s">
        <v>73</v>
      </c>
      <c r="I745">
        <v>0</v>
      </c>
      <c r="J745">
        <v>0</v>
      </c>
      <c r="K745">
        <v>0</v>
      </c>
    </row>
    <row r="746" spans="1:11" x14ac:dyDescent="0.2">
      <c r="A746" t="s">
        <v>126</v>
      </c>
      <c r="B746" t="s">
        <v>127</v>
      </c>
      <c r="C746" t="s">
        <v>95</v>
      </c>
      <c r="D746" t="s">
        <v>98</v>
      </c>
      <c r="E746">
        <v>59.99</v>
      </c>
      <c r="F746">
        <v>0</v>
      </c>
      <c r="H746" t="s">
        <v>73</v>
      </c>
      <c r="I746">
        <v>0</v>
      </c>
      <c r="J746">
        <v>0</v>
      </c>
      <c r="K746">
        <v>0</v>
      </c>
    </row>
    <row r="747" spans="1:11" x14ac:dyDescent="0.2">
      <c r="A747" t="s">
        <v>3484</v>
      </c>
      <c r="B747" t="s">
        <v>3485</v>
      </c>
      <c r="C747" t="s">
        <v>3349</v>
      </c>
      <c r="D747" t="s">
        <v>98</v>
      </c>
      <c r="E747">
        <v>529.99</v>
      </c>
      <c r="F747">
        <v>0</v>
      </c>
      <c r="H747" t="s">
        <v>73</v>
      </c>
      <c r="I747">
        <v>0</v>
      </c>
      <c r="J747">
        <v>0</v>
      </c>
      <c r="K747">
        <v>1</v>
      </c>
    </row>
    <row r="748" spans="1:11" x14ac:dyDescent="0.2">
      <c r="A748" t="s">
        <v>5382</v>
      </c>
      <c r="B748" t="s">
        <v>5383</v>
      </c>
      <c r="C748" t="s">
        <v>3582</v>
      </c>
      <c r="D748" t="s">
        <v>98</v>
      </c>
      <c r="E748">
        <v>99.99</v>
      </c>
      <c r="F748">
        <v>0</v>
      </c>
      <c r="H748" t="s">
        <v>73</v>
      </c>
      <c r="I748">
        <v>0</v>
      </c>
      <c r="J748">
        <v>0</v>
      </c>
      <c r="K748">
        <v>0</v>
      </c>
    </row>
    <row r="749" spans="1:11" x14ac:dyDescent="0.2">
      <c r="A749" t="s">
        <v>5044</v>
      </c>
      <c r="B749" t="s">
        <v>5045</v>
      </c>
      <c r="C749" t="s">
        <v>5039</v>
      </c>
      <c r="D749" t="s">
        <v>98</v>
      </c>
      <c r="E749">
        <v>149.99</v>
      </c>
      <c r="F749">
        <v>0</v>
      </c>
      <c r="H749" t="s">
        <v>73</v>
      </c>
      <c r="I749">
        <v>0</v>
      </c>
      <c r="J749">
        <v>0</v>
      </c>
      <c r="K749">
        <v>0</v>
      </c>
    </row>
    <row r="750" spans="1:11" x14ac:dyDescent="0.2">
      <c r="A750" t="s">
        <v>343</v>
      </c>
      <c r="B750" t="s">
        <v>342</v>
      </c>
      <c r="C750" t="s">
        <v>307</v>
      </c>
      <c r="D750" t="s">
        <v>98</v>
      </c>
      <c r="E750">
        <v>3999.99</v>
      </c>
      <c r="F750">
        <v>0</v>
      </c>
      <c r="H750" t="s">
        <v>73</v>
      </c>
      <c r="I750">
        <v>0</v>
      </c>
      <c r="J750">
        <v>0</v>
      </c>
      <c r="K750">
        <v>0</v>
      </c>
    </row>
    <row r="751" spans="1:11" x14ac:dyDescent="0.2">
      <c r="A751" t="s">
        <v>3482</v>
      </c>
      <c r="B751" t="s">
        <v>3483</v>
      </c>
      <c r="C751" t="s">
        <v>3349</v>
      </c>
      <c r="D751" t="s">
        <v>105</v>
      </c>
      <c r="E751">
        <v>249.99</v>
      </c>
      <c r="F751">
        <v>0</v>
      </c>
      <c r="H751" t="s">
        <v>73</v>
      </c>
      <c r="I751">
        <v>0</v>
      </c>
      <c r="J751">
        <v>0</v>
      </c>
      <c r="K751">
        <v>4</v>
      </c>
    </row>
    <row r="752" spans="1:11" x14ac:dyDescent="0.2">
      <c r="A752" t="s">
        <v>5384</v>
      </c>
      <c r="B752" t="s">
        <v>5385</v>
      </c>
      <c r="C752" t="s">
        <v>3582</v>
      </c>
      <c r="D752" t="s">
        <v>98</v>
      </c>
      <c r="E752">
        <v>99.99</v>
      </c>
      <c r="F752">
        <v>0</v>
      </c>
      <c r="H752" t="s">
        <v>73</v>
      </c>
      <c r="I752">
        <v>0</v>
      </c>
      <c r="J752">
        <v>0</v>
      </c>
      <c r="K752">
        <v>0</v>
      </c>
    </row>
    <row r="753" spans="1:11" x14ac:dyDescent="0.2">
      <c r="A753" t="s">
        <v>5042</v>
      </c>
      <c r="B753" t="s">
        <v>5043</v>
      </c>
      <c r="C753" t="s">
        <v>5039</v>
      </c>
      <c r="D753" t="s">
        <v>98</v>
      </c>
      <c r="E753">
        <v>149.99</v>
      </c>
      <c r="F753">
        <v>0</v>
      </c>
      <c r="H753" t="s">
        <v>73</v>
      </c>
      <c r="I753">
        <v>0</v>
      </c>
      <c r="J753">
        <v>0</v>
      </c>
      <c r="K753">
        <v>0</v>
      </c>
    </row>
    <row r="754" spans="1:11" x14ac:dyDescent="0.2">
      <c r="A754" t="s">
        <v>130</v>
      </c>
      <c r="B754" t="s">
        <v>131</v>
      </c>
      <c r="C754" t="s">
        <v>95</v>
      </c>
      <c r="D754" t="s">
        <v>98</v>
      </c>
      <c r="E754">
        <v>24.99</v>
      </c>
      <c r="F754">
        <v>0</v>
      </c>
      <c r="H754" t="s">
        <v>73</v>
      </c>
      <c r="I754">
        <v>0</v>
      </c>
      <c r="J754">
        <v>0</v>
      </c>
      <c r="K754">
        <v>0</v>
      </c>
    </row>
    <row r="755" spans="1:11" x14ac:dyDescent="0.2">
      <c r="A755" t="s">
        <v>5386</v>
      </c>
      <c r="B755" t="s">
        <v>5387</v>
      </c>
      <c r="C755" t="s">
        <v>5388</v>
      </c>
      <c r="D755" t="s">
        <v>98</v>
      </c>
      <c r="E755">
        <v>689.99</v>
      </c>
      <c r="F755">
        <v>0</v>
      </c>
      <c r="H755" t="s">
        <v>73</v>
      </c>
      <c r="I755">
        <v>0</v>
      </c>
      <c r="J755">
        <v>0</v>
      </c>
      <c r="K755">
        <v>0</v>
      </c>
    </row>
    <row r="756" spans="1:11" x14ac:dyDescent="0.2">
      <c r="A756" t="s">
        <v>3480</v>
      </c>
      <c r="B756" t="s">
        <v>3481</v>
      </c>
      <c r="C756" t="s">
        <v>3349</v>
      </c>
      <c r="D756" t="s">
        <v>138</v>
      </c>
      <c r="E756">
        <v>189.99</v>
      </c>
      <c r="F756">
        <v>0</v>
      </c>
      <c r="G756">
        <v>58</v>
      </c>
      <c r="H756" t="s">
        <v>73</v>
      </c>
      <c r="I756">
        <v>0</v>
      </c>
      <c r="J756">
        <v>0</v>
      </c>
      <c r="K756">
        <v>4</v>
      </c>
    </row>
    <row r="757" spans="1:11" x14ac:dyDescent="0.2">
      <c r="A757" t="s">
        <v>5389</v>
      </c>
      <c r="B757" t="s">
        <v>5390</v>
      </c>
      <c r="C757" t="s">
        <v>2415</v>
      </c>
      <c r="D757" t="s">
        <v>98</v>
      </c>
      <c r="E757">
        <v>149.99</v>
      </c>
      <c r="F757">
        <v>0</v>
      </c>
      <c r="H757" t="s">
        <v>73</v>
      </c>
      <c r="I757">
        <v>0</v>
      </c>
      <c r="J757">
        <v>0</v>
      </c>
      <c r="K757">
        <v>0</v>
      </c>
    </row>
    <row r="758" spans="1:11" x14ac:dyDescent="0.2">
      <c r="A758" t="s">
        <v>5391</v>
      </c>
      <c r="B758" t="s">
        <v>5392</v>
      </c>
      <c r="C758" t="s">
        <v>5039</v>
      </c>
      <c r="D758" t="s">
        <v>98</v>
      </c>
      <c r="E758">
        <v>149.99</v>
      </c>
      <c r="F758">
        <v>0</v>
      </c>
      <c r="H758" t="s">
        <v>73</v>
      </c>
      <c r="I758">
        <v>0</v>
      </c>
      <c r="J758">
        <v>0</v>
      </c>
      <c r="K758">
        <v>0</v>
      </c>
    </row>
    <row r="759" spans="1:11" x14ac:dyDescent="0.2">
      <c r="A759" t="s">
        <v>5393</v>
      </c>
      <c r="B759" t="s">
        <v>5394</v>
      </c>
      <c r="C759" t="s">
        <v>3582</v>
      </c>
      <c r="D759" t="s">
        <v>98</v>
      </c>
      <c r="E759">
        <v>109.99</v>
      </c>
      <c r="F759">
        <v>0</v>
      </c>
      <c r="H759" t="s">
        <v>73</v>
      </c>
      <c r="I759">
        <v>0</v>
      </c>
      <c r="J759">
        <v>0</v>
      </c>
      <c r="K759">
        <v>0</v>
      </c>
    </row>
    <row r="760" spans="1:11" x14ac:dyDescent="0.2">
      <c r="A760" t="s">
        <v>410</v>
      </c>
      <c r="B760" t="s">
        <v>411</v>
      </c>
      <c r="C760" t="s">
        <v>307</v>
      </c>
      <c r="D760" t="s">
        <v>98</v>
      </c>
      <c r="E760">
        <v>199.99</v>
      </c>
      <c r="F760">
        <v>0</v>
      </c>
      <c r="H760" t="s">
        <v>73</v>
      </c>
      <c r="I760">
        <v>0</v>
      </c>
      <c r="J760">
        <v>0</v>
      </c>
      <c r="K760">
        <v>0</v>
      </c>
    </row>
    <row r="761" spans="1:11" x14ac:dyDescent="0.2">
      <c r="A761" t="s">
        <v>5395</v>
      </c>
      <c r="B761" t="s">
        <v>5396</v>
      </c>
      <c r="C761" t="s">
        <v>5039</v>
      </c>
      <c r="D761" t="s">
        <v>98</v>
      </c>
      <c r="E761">
        <v>99.99</v>
      </c>
      <c r="F761">
        <v>0</v>
      </c>
      <c r="H761" t="s">
        <v>73</v>
      </c>
      <c r="I761">
        <v>0</v>
      </c>
      <c r="J761">
        <v>0</v>
      </c>
      <c r="K761">
        <v>0</v>
      </c>
    </row>
    <row r="762" spans="1:11" x14ac:dyDescent="0.2">
      <c r="A762" t="s">
        <v>416</v>
      </c>
      <c r="B762" t="s">
        <v>417</v>
      </c>
      <c r="C762" t="s">
        <v>307</v>
      </c>
      <c r="D762" t="s">
        <v>105</v>
      </c>
      <c r="E762">
        <v>49.99</v>
      </c>
      <c r="F762">
        <v>0</v>
      </c>
      <c r="G762">
        <v>2</v>
      </c>
      <c r="H762" t="s">
        <v>73</v>
      </c>
      <c r="I762">
        <v>0</v>
      </c>
      <c r="J762">
        <v>0</v>
      </c>
      <c r="K762">
        <v>0</v>
      </c>
    </row>
    <row r="763" spans="1:11" x14ac:dyDescent="0.2">
      <c r="A763" t="s">
        <v>3478</v>
      </c>
      <c r="B763" t="s">
        <v>3479</v>
      </c>
      <c r="C763" t="s">
        <v>3349</v>
      </c>
      <c r="D763" t="s">
        <v>105</v>
      </c>
      <c r="E763">
        <v>189.99</v>
      </c>
      <c r="F763">
        <v>0</v>
      </c>
      <c r="G763">
        <v>83</v>
      </c>
      <c r="H763" t="s">
        <v>73</v>
      </c>
      <c r="I763">
        <v>0.16666666666666666</v>
      </c>
      <c r="J763">
        <v>0</v>
      </c>
      <c r="K763">
        <v>0</v>
      </c>
    </row>
    <row r="764" spans="1:11" x14ac:dyDescent="0.2">
      <c r="A764" t="s">
        <v>5397</v>
      </c>
      <c r="B764" t="s">
        <v>5398</v>
      </c>
      <c r="C764" t="s">
        <v>5039</v>
      </c>
      <c r="D764" t="s">
        <v>98</v>
      </c>
      <c r="E764">
        <v>99.99</v>
      </c>
      <c r="F764">
        <v>0</v>
      </c>
      <c r="H764" t="s">
        <v>73</v>
      </c>
      <c r="I764">
        <v>0</v>
      </c>
      <c r="J764">
        <v>0</v>
      </c>
      <c r="K764">
        <v>0</v>
      </c>
    </row>
    <row r="765" spans="1:11" x14ac:dyDescent="0.2">
      <c r="A765" t="s">
        <v>354</v>
      </c>
      <c r="B765" t="s">
        <v>355</v>
      </c>
      <c r="C765" t="s">
        <v>307</v>
      </c>
      <c r="D765" t="s">
        <v>98</v>
      </c>
      <c r="E765">
        <v>1999.99</v>
      </c>
      <c r="F765">
        <v>0</v>
      </c>
      <c r="H765" t="s">
        <v>73</v>
      </c>
      <c r="I765">
        <v>0.16666666666666666</v>
      </c>
      <c r="J765">
        <v>0</v>
      </c>
      <c r="K765">
        <v>0</v>
      </c>
    </row>
    <row r="766" spans="1:11" x14ac:dyDescent="0.2">
      <c r="A766" t="s">
        <v>3589</v>
      </c>
      <c r="B766" t="s">
        <v>3590</v>
      </c>
      <c r="C766" t="s">
        <v>3582</v>
      </c>
      <c r="D766" t="s">
        <v>98</v>
      </c>
      <c r="E766">
        <v>179.99</v>
      </c>
      <c r="F766">
        <v>0</v>
      </c>
      <c r="H766" t="s">
        <v>73</v>
      </c>
      <c r="I766">
        <v>0</v>
      </c>
      <c r="J766">
        <v>0</v>
      </c>
      <c r="K766">
        <v>0</v>
      </c>
    </row>
    <row r="767" spans="1:11" x14ac:dyDescent="0.2">
      <c r="A767" t="s">
        <v>2416</v>
      </c>
      <c r="B767" t="s">
        <v>2417</v>
      </c>
      <c r="C767" t="s">
        <v>2415</v>
      </c>
      <c r="D767" t="s">
        <v>98</v>
      </c>
      <c r="E767">
        <v>49.99</v>
      </c>
      <c r="F767">
        <v>0</v>
      </c>
      <c r="H767" t="s">
        <v>73</v>
      </c>
      <c r="I767">
        <v>0</v>
      </c>
      <c r="J767">
        <v>0</v>
      </c>
      <c r="K767">
        <v>0</v>
      </c>
    </row>
    <row r="768" spans="1:11" x14ac:dyDescent="0.2">
      <c r="A768" t="s">
        <v>120</v>
      </c>
      <c r="B768" t="s">
        <v>121</v>
      </c>
      <c r="C768" t="s">
        <v>95</v>
      </c>
      <c r="D768" t="s">
        <v>98</v>
      </c>
      <c r="E768">
        <v>25.99</v>
      </c>
      <c r="F768">
        <v>0</v>
      </c>
      <c r="H768" t="s">
        <v>73</v>
      </c>
      <c r="I768">
        <v>0</v>
      </c>
      <c r="J768">
        <v>0</v>
      </c>
      <c r="K768">
        <v>0</v>
      </c>
    </row>
    <row r="769" spans="1:11" x14ac:dyDescent="0.2">
      <c r="A769" t="s">
        <v>5399</v>
      </c>
      <c r="B769" t="s">
        <v>5400</v>
      </c>
      <c r="C769" t="s">
        <v>3582</v>
      </c>
      <c r="D769" t="s">
        <v>98</v>
      </c>
      <c r="E769">
        <v>3999.99</v>
      </c>
      <c r="F769">
        <v>0</v>
      </c>
      <c r="H769" t="s">
        <v>73</v>
      </c>
      <c r="I769">
        <v>0</v>
      </c>
      <c r="J769">
        <v>0</v>
      </c>
      <c r="K769">
        <v>0</v>
      </c>
    </row>
    <row r="770" spans="1:11" x14ac:dyDescent="0.2">
      <c r="A770" t="s">
        <v>5401</v>
      </c>
      <c r="B770" t="s">
        <v>5402</v>
      </c>
      <c r="C770" t="s">
        <v>5039</v>
      </c>
      <c r="D770" t="s">
        <v>98</v>
      </c>
      <c r="E770">
        <v>99.99</v>
      </c>
      <c r="F770">
        <v>0</v>
      </c>
      <c r="H770" t="s">
        <v>73</v>
      </c>
      <c r="I770">
        <v>0</v>
      </c>
      <c r="J770">
        <v>0</v>
      </c>
      <c r="K770">
        <v>0</v>
      </c>
    </row>
    <row r="771" spans="1:11" x14ac:dyDescent="0.2">
      <c r="A771" t="s">
        <v>5403</v>
      </c>
      <c r="B771" t="s">
        <v>5404</v>
      </c>
      <c r="C771" t="s">
        <v>5388</v>
      </c>
      <c r="D771" t="s">
        <v>98</v>
      </c>
      <c r="E771">
        <v>5599.99</v>
      </c>
      <c r="F771">
        <v>0</v>
      </c>
      <c r="H771" t="s">
        <v>73</v>
      </c>
      <c r="I771">
        <v>0</v>
      </c>
      <c r="J771">
        <v>0</v>
      </c>
      <c r="K771">
        <v>0</v>
      </c>
    </row>
    <row r="772" spans="1:11" x14ac:dyDescent="0.2">
      <c r="A772" t="s">
        <v>368</v>
      </c>
      <c r="B772" t="s">
        <v>369</v>
      </c>
      <c r="C772" t="s">
        <v>307</v>
      </c>
      <c r="D772" t="s">
        <v>98</v>
      </c>
      <c r="E772">
        <v>1199.99</v>
      </c>
      <c r="F772">
        <v>0</v>
      </c>
      <c r="H772" t="s">
        <v>73</v>
      </c>
      <c r="I772">
        <v>0</v>
      </c>
      <c r="J772">
        <v>0</v>
      </c>
      <c r="K772">
        <v>0</v>
      </c>
    </row>
    <row r="773" spans="1:11" x14ac:dyDescent="0.2">
      <c r="A773" t="s">
        <v>3495</v>
      </c>
      <c r="B773" t="s">
        <v>3496</v>
      </c>
      <c r="C773" t="s">
        <v>3494</v>
      </c>
      <c r="D773" t="s">
        <v>138</v>
      </c>
      <c r="E773">
        <v>169.99</v>
      </c>
      <c r="F773">
        <v>0</v>
      </c>
      <c r="H773" t="s">
        <v>73</v>
      </c>
      <c r="I773">
        <v>0</v>
      </c>
      <c r="J773">
        <v>0</v>
      </c>
      <c r="K773">
        <v>0</v>
      </c>
    </row>
    <row r="774" spans="1:11" x14ac:dyDescent="0.2">
      <c r="A774" t="s">
        <v>5405</v>
      </c>
      <c r="B774" t="s">
        <v>5406</v>
      </c>
      <c r="C774" t="s">
        <v>5039</v>
      </c>
      <c r="D774" t="s">
        <v>98</v>
      </c>
      <c r="E774">
        <v>149.99</v>
      </c>
      <c r="F774">
        <v>0</v>
      </c>
      <c r="H774" t="s">
        <v>73</v>
      </c>
      <c r="I774">
        <v>0</v>
      </c>
      <c r="J774">
        <v>0</v>
      </c>
      <c r="K774">
        <v>0</v>
      </c>
    </row>
    <row r="775" spans="1:11" x14ac:dyDescent="0.2">
      <c r="A775" t="s">
        <v>3587</v>
      </c>
      <c r="B775" t="s">
        <v>3588</v>
      </c>
      <c r="C775" t="s">
        <v>3582</v>
      </c>
      <c r="D775" t="s">
        <v>98</v>
      </c>
      <c r="E775">
        <v>179.99</v>
      </c>
      <c r="F775">
        <v>0</v>
      </c>
      <c r="H775" t="s">
        <v>73</v>
      </c>
      <c r="I775">
        <v>0</v>
      </c>
      <c r="J775">
        <v>0</v>
      </c>
      <c r="K775">
        <v>0</v>
      </c>
    </row>
    <row r="776" spans="1:11" x14ac:dyDescent="0.2">
      <c r="A776" t="s">
        <v>5407</v>
      </c>
      <c r="B776" t="s">
        <v>5408</v>
      </c>
      <c r="C776" t="s">
        <v>5039</v>
      </c>
      <c r="D776" t="s">
        <v>98</v>
      </c>
      <c r="E776">
        <v>179.99</v>
      </c>
      <c r="F776">
        <v>0</v>
      </c>
      <c r="H776" t="s">
        <v>73</v>
      </c>
      <c r="I776">
        <v>0</v>
      </c>
      <c r="J776">
        <v>0</v>
      </c>
      <c r="K776">
        <v>0</v>
      </c>
    </row>
    <row r="777" spans="1:11" x14ac:dyDescent="0.2">
      <c r="A777" t="s">
        <v>5409</v>
      </c>
      <c r="B777" t="s">
        <v>5410</v>
      </c>
      <c r="C777" t="s">
        <v>3929</v>
      </c>
      <c r="D777" t="s">
        <v>105</v>
      </c>
      <c r="E777">
        <v>249.99</v>
      </c>
      <c r="F777">
        <v>0</v>
      </c>
      <c r="G777">
        <v>11</v>
      </c>
      <c r="H777" t="s">
        <v>73</v>
      </c>
      <c r="I777">
        <v>0</v>
      </c>
      <c r="J777">
        <v>0</v>
      </c>
      <c r="K777">
        <v>0</v>
      </c>
    </row>
    <row r="778" spans="1:11" x14ac:dyDescent="0.2">
      <c r="A778" t="s">
        <v>5411</v>
      </c>
      <c r="B778" t="s">
        <v>5412</v>
      </c>
      <c r="C778" t="s">
        <v>5039</v>
      </c>
      <c r="D778" t="s">
        <v>98</v>
      </c>
      <c r="E778">
        <v>99.99</v>
      </c>
      <c r="F778">
        <v>0</v>
      </c>
      <c r="H778" t="s">
        <v>73</v>
      </c>
      <c r="I778">
        <v>0</v>
      </c>
      <c r="J778">
        <v>0</v>
      </c>
      <c r="K778">
        <v>0</v>
      </c>
    </row>
    <row r="779" spans="1:11" x14ac:dyDescent="0.2">
      <c r="A779" t="s">
        <v>3488</v>
      </c>
      <c r="B779" t="s">
        <v>3489</v>
      </c>
      <c r="C779" t="s">
        <v>3349</v>
      </c>
      <c r="D779" t="s">
        <v>105</v>
      </c>
      <c r="E779">
        <v>369.99</v>
      </c>
      <c r="F779">
        <v>0</v>
      </c>
      <c r="H779" t="s">
        <v>73</v>
      </c>
      <c r="I779">
        <v>0</v>
      </c>
      <c r="J779">
        <v>0</v>
      </c>
      <c r="K779">
        <v>1</v>
      </c>
    </row>
    <row r="780" spans="1:11" x14ac:dyDescent="0.2">
      <c r="A780" t="s">
        <v>5413</v>
      </c>
      <c r="B780" t="s">
        <v>5414</v>
      </c>
      <c r="C780" t="s">
        <v>3582</v>
      </c>
      <c r="D780" t="s">
        <v>98</v>
      </c>
      <c r="E780">
        <v>69.989999999999995</v>
      </c>
      <c r="F780">
        <v>0</v>
      </c>
      <c r="H780" t="s">
        <v>73</v>
      </c>
      <c r="I780">
        <v>0</v>
      </c>
      <c r="J780">
        <v>0</v>
      </c>
      <c r="K780">
        <v>0</v>
      </c>
    </row>
    <row r="781" spans="1:11" x14ac:dyDescent="0.2">
      <c r="A781" t="s">
        <v>336</v>
      </c>
      <c r="B781" t="s">
        <v>337</v>
      </c>
      <c r="C781" t="s">
        <v>307</v>
      </c>
      <c r="D781" t="s">
        <v>98</v>
      </c>
      <c r="E781">
        <v>2899.99</v>
      </c>
      <c r="F781">
        <v>0</v>
      </c>
      <c r="H781" t="s">
        <v>73</v>
      </c>
      <c r="I781">
        <v>0</v>
      </c>
      <c r="J781">
        <v>0</v>
      </c>
      <c r="K781">
        <v>0</v>
      </c>
    </row>
    <row r="782" spans="1:11" x14ac:dyDescent="0.2">
      <c r="A782" t="s">
        <v>5415</v>
      </c>
      <c r="B782" t="s">
        <v>5416</v>
      </c>
      <c r="C782" t="s">
        <v>2415</v>
      </c>
      <c r="D782" t="s">
        <v>98</v>
      </c>
      <c r="E782">
        <v>159.99</v>
      </c>
      <c r="F782">
        <v>0</v>
      </c>
      <c r="H782" t="s">
        <v>73</v>
      </c>
      <c r="I782">
        <v>0</v>
      </c>
      <c r="J782">
        <v>0</v>
      </c>
      <c r="K782">
        <v>0</v>
      </c>
    </row>
    <row r="783" spans="1:11" x14ac:dyDescent="0.2">
      <c r="A783" t="s">
        <v>5417</v>
      </c>
      <c r="B783" t="s">
        <v>5418</v>
      </c>
      <c r="C783" t="s">
        <v>5039</v>
      </c>
      <c r="D783" t="s">
        <v>98</v>
      </c>
      <c r="E783">
        <v>149.99</v>
      </c>
      <c r="F783">
        <v>0</v>
      </c>
      <c r="H783" t="s">
        <v>73</v>
      </c>
      <c r="I783">
        <v>0</v>
      </c>
      <c r="J783">
        <v>0</v>
      </c>
      <c r="K783">
        <v>0</v>
      </c>
    </row>
    <row r="784" spans="1:11" x14ac:dyDescent="0.2">
      <c r="A784" t="s">
        <v>977</v>
      </c>
      <c r="B784" t="s">
        <v>978</v>
      </c>
      <c r="C784" t="s">
        <v>976</v>
      </c>
      <c r="D784" t="s">
        <v>98</v>
      </c>
      <c r="E784">
        <v>3499.99</v>
      </c>
      <c r="F784">
        <v>0</v>
      </c>
      <c r="H784" t="s">
        <v>73</v>
      </c>
      <c r="I784">
        <v>0</v>
      </c>
      <c r="J784">
        <v>0</v>
      </c>
      <c r="K784">
        <v>0</v>
      </c>
    </row>
    <row r="785" spans="1:11" x14ac:dyDescent="0.2">
      <c r="A785" t="s">
        <v>3486</v>
      </c>
      <c r="B785" t="s">
        <v>3487</v>
      </c>
      <c r="C785" t="s">
        <v>3349</v>
      </c>
      <c r="D785" t="s">
        <v>105</v>
      </c>
      <c r="E785">
        <v>199.99</v>
      </c>
      <c r="F785">
        <v>0</v>
      </c>
      <c r="G785">
        <v>31</v>
      </c>
      <c r="H785" t="s">
        <v>73</v>
      </c>
      <c r="I785">
        <v>0</v>
      </c>
      <c r="J785">
        <v>0</v>
      </c>
      <c r="K785">
        <v>0</v>
      </c>
    </row>
    <row r="786" spans="1:11" x14ac:dyDescent="0.2">
      <c r="A786" t="s">
        <v>374</v>
      </c>
      <c r="B786" t="s">
        <v>375</v>
      </c>
      <c r="C786" t="s">
        <v>307</v>
      </c>
      <c r="D786" t="s">
        <v>98</v>
      </c>
      <c r="E786">
        <v>1899.99</v>
      </c>
      <c r="F786">
        <v>0</v>
      </c>
      <c r="H786" t="s">
        <v>73</v>
      </c>
      <c r="I786">
        <v>0</v>
      </c>
      <c r="J786">
        <v>0</v>
      </c>
      <c r="K786">
        <v>0</v>
      </c>
    </row>
    <row r="787" spans="1:11" x14ac:dyDescent="0.2">
      <c r="A787" t="s">
        <v>5419</v>
      </c>
      <c r="B787" t="s">
        <v>5420</v>
      </c>
      <c r="C787" t="s">
        <v>3582</v>
      </c>
      <c r="D787" t="s">
        <v>98</v>
      </c>
      <c r="E787">
        <v>99.99</v>
      </c>
      <c r="F787">
        <v>0</v>
      </c>
      <c r="H787" t="s">
        <v>73</v>
      </c>
      <c r="I787">
        <v>0</v>
      </c>
      <c r="J787">
        <v>0</v>
      </c>
      <c r="K787">
        <v>0</v>
      </c>
    </row>
    <row r="788" spans="1:11" x14ac:dyDescent="0.2">
      <c r="A788" t="s">
        <v>5421</v>
      </c>
      <c r="B788" t="s">
        <v>5422</v>
      </c>
      <c r="C788" t="s">
        <v>5039</v>
      </c>
      <c r="D788" t="s">
        <v>98</v>
      </c>
      <c r="E788">
        <v>54.99</v>
      </c>
      <c r="F788">
        <v>0</v>
      </c>
      <c r="H788" t="s">
        <v>73</v>
      </c>
      <c r="I788">
        <v>0</v>
      </c>
      <c r="J788">
        <v>0</v>
      </c>
      <c r="K788">
        <v>0</v>
      </c>
    </row>
    <row r="789" spans="1:11" x14ac:dyDescent="0.2">
      <c r="A789" t="s">
        <v>5423</v>
      </c>
      <c r="B789" t="s">
        <v>5424</v>
      </c>
      <c r="C789" t="s">
        <v>5388</v>
      </c>
      <c r="D789" t="s">
        <v>98</v>
      </c>
      <c r="E789">
        <v>3999.99</v>
      </c>
      <c r="F789">
        <v>0</v>
      </c>
      <c r="H789" t="s">
        <v>73</v>
      </c>
      <c r="I789">
        <v>0</v>
      </c>
      <c r="J789">
        <v>0</v>
      </c>
      <c r="K789">
        <v>0</v>
      </c>
    </row>
    <row r="790" spans="1:11" x14ac:dyDescent="0.2">
      <c r="A790" t="s">
        <v>3468</v>
      </c>
      <c r="B790" t="s">
        <v>3469</v>
      </c>
      <c r="C790" t="s">
        <v>3349</v>
      </c>
      <c r="D790" t="s">
        <v>98</v>
      </c>
      <c r="E790">
        <v>529.99</v>
      </c>
      <c r="F790">
        <v>0</v>
      </c>
      <c r="H790" t="s">
        <v>73</v>
      </c>
      <c r="I790">
        <v>0</v>
      </c>
      <c r="J790">
        <v>0</v>
      </c>
      <c r="K790">
        <v>0</v>
      </c>
    </row>
    <row r="791" spans="1:11" x14ac:dyDescent="0.2">
      <c r="A791" t="s">
        <v>5029</v>
      </c>
      <c r="B791" t="s">
        <v>5030</v>
      </c>
      <c r="C791" t="s">
        <v>5010</v>
      </c>
      <c r="D791" t="s">
        <v>98</v>
      </c>
      <c r="E791">
        <v>799.99</v>
      </c>
      <c r="F791">
        <v>0</v>
      </c>
      <c r="H791" t="s">
        <v>73</v>
      </c>
      <c r="I791">
        <v>0</v>
      </c>
      <c r="J791">
        <v>0</v>
      </c>
      <c r="K791">
        <v>0</v>
      </c>
    </row>
    <row r="792" spans="1:11" x14ac:dyDescent="0.2">
      <c r="A792" t="s">
        <v>318</v>
      </c>
      <c r="B792" t="s">
        <v>317</v>
      </c>
      <c r="C792" t="s">
        <v>307</v>
      </c>
      <c r="D792" t="s">
        <v>98</v>
      </c>
      <c r="E792">
        <v>499.99</v>
      </c>
      <c r="F792">
        <v>0</v>
      </c>
      <c r="H792" t="s">
        <v>73</v>
      </c>
      <c r="I792">
        <v>0</v>
      </c>
      <c r="J792">
        <v>0</v>
      </c>
      <c r="K792">
        <v>0</v>
      </c>
    </row>
    <row r="793" spans="1:11" x14ac:dyDescent="0.2">
      <c r="A793" t="s">
        <v>5425</v>
      </c>
      <c r="B793" t="s">
        <v>5426</v>
      </c>
      <c r="C793" t="s">
        <v>3582</v>
      </c>
      <c r="D793" t="s">
        <v>98</v>
      </c>
      <c r="E793">
        <v>59.99</v>
      </c>
      <c r="F793">
        <v>0</v>
      </c>
      <c r="H793" t="s">
        <v>73</v>
      </c>
      <c r="I793">
        <v>0</v>
      </c>
      <c r="J793">
        <v>0</v>
      </c>
      <c r="K793">
        <v>0</v>
      </c>
    </row>
    <row r="794" spans="1:11" x14ac:dyDescent="0.2">
      <c r="A794" t="s">
        <v>5427</v>
      </c>
      <c r="B794" t="s">
        <v>5428</v>
      </c>
      <c r="C794" t="s">
        <v>2415</v>
      </c>
      <c r="D794" t="s">
        <v>98</v>
      </c>
      <c r="E794">
        <v>189.99</v>
      </c>
      <c r="F794">
        <v>0</v>
      </c>
      <c r="H794" t="s">
        <v>73</v>
      </c>
      <c r="I794">
        <v>0</v>
      </c>
      <c r="J794">
        <v>0</v>
      </c>
      <c r="K794">
        <v>0</v>
      </c>
    </row>
    <row r="795" spans="1:11" x14ac:dyDescent="0.2">
      <c r="A795" t="s">
        <v>3595</v>
      </c>
      <c r="B795" t="s">
        <v>3596</v>
      </c>
      <c r="C795" t="s">
        <v>3582</v>
      </c>
      <c r="D795" t="s">
        <v>98</v>
      </c>
      <c r="E795">
        <v>139.99</v>
      </c>
      <c r="F795">
        <v>0</v>
      </c>
      <c r="H795" t="s">
        <v>73</v>
      </c>
      <c r="I795">
        <v>0</v>
      </c>
      <c r="J795">
        <v>0</v>
      </c>
      <c r="K795">
        <v>0</v>
      </c>
    </row>
    <row r="796" spans="1:11" x14ac:dyDescent="0.2">
      <c r="A796" t="s">
        <v>5027</v>
      </c>
      <c r="B796" t="s">
        <v>5028</v>
      </c>
      <c r="C796" t="s">
        <v>5010</v>
      </c>
      <c r="D796" t="s">
        <v>98</v>
      </c>
      <c r="E796">
        <v>649.99</v>
      </c>
      <c r="F796">
        <v>0</v>
      </c>
      <c r="H796" t="s">
        <v>73</v>
      </c>
      <c r="I796">
        <v>0</v>
      </c>
      <c r="J796">
        <v>0</v>
      </c>
      <c r="K796">
        <v>0</v>
      </c>
    </row>
    <row r="797" spans="1:11" x14ac:dyDescent="0.2">
      <c r="A797" t="s">
        <v>319</v>
      </c>
      <c r="B797" t="s">
        <v>320</v>
      </c>
      <c r="C797" t="s">
        <v>307</v>
      </c>
      <c r="D797" t="s">
        <v>98</v>
      </c>
      <c r="E797">
        <v>649.99</v>
      </c>
      <c r="F797">
        <v>0</v>
      </c>
      <c r="H797" t="s">
        <v>73</v>
      </c>
      <c r="I797">
        <v>0</v>
      </c>
      <c r="J797">
        <v>0</v>
      </c>
      <c r="K797">
        <v>0</v>
      </c>
    </row>
    <row r="798" spans="1:11" x14ac:dyDescent="0.2">
      <c r="A798" t="s">
        <v>4567</v>
      </c>
      <c r="B798" t="s">
        <v>4568</v>
      </c>
      <c r="C798" t="s">
        <v>4518</v>
      </c>
      <c r="D798" t="s">
        <v>105</v>
      </c>
      <c r="E798">
        <v>89.99</v>
      </c>
      <c r="F798">
        <v>0</v>
      </c>
      <c r="G798">
        <v>16</v>
      </c>
      <c r="H798" t="s">
        <v>73</v>
      </c>
      <c r="I798">
        <v>0</v>
      </c>
      <c r="J798">
        <v>0</v>
      </c>
      <c r="K798">
        <v>1</v>
      </c>
    </row>
    <row r="799" spans="1:11" x14ac:dyDescent="0.2">
      <c r="A799" t="s">
        <v>5429</v>
      </c>
      <c r="B799" t="s">
        <v>5430</v>
      </c>
      <c r="C799" t="s">
        <v>904</v>
      </c>
      <c r="D799" t="s">
        <v>98</v>
      </c>
      <c r="E799">
        <v>169.99</v>
      </c>
      <c r="F799">
        <v>0</v>
      </c>
      <c r="H799" t="s">
        <v>73</v>
      </c>
      <c r="I799">
        <v>0</v>
      </c>
      <c r="J799">
        <v>0</v>
      </c>
      <c r="K799">
        <v>0</v>
      </c>
    </row>
    <row r="800" spans="1:11" x14ac:dyDescent="0.2">
      <c r="A800" t="s">
        <v>5431</v>
      </c>
      <c r="B800" t="s">
        <v>5432</v>
      </c>
      <c r="C800" t="s">
        <v>3582</v>
      </c>
      <c r="D800" t="s">
        <v>98</v>
      </c>
      <c r="E800">
        <v>39.99</v>
      </c>
      <c r="F800">
        <v>0</v>
      </c>
      <c r="H800" t="s">
        <v>73</v>
      </c>
      <c r="I800">
        <v>0</v>
      </c>
      <c r="J800">
        <v>0</v>
      </c>
      <c r="K800">
        <v>0</v>
      </c>
    </row>
    <row r="801" spans="1:11" x14ac:dyDescent="0.2">
      <c r="A801" t="s">
        <v>5433</v>
      </c>
      <c r="B801" t="s">
        <v>5434</v>
      </c>
      <c r="C801" t="s">
        <v>904</v>
      </c>
      <c r="D801" t="s">
        <v>98</v>
      </c>
      <c r="E801">
        <v>39.99</v>
      </c>
      <c r="F801">
        <v>0</v>
      </c>
      <c r="H801" t="s">
        <v>73</v>
      </c>
      <c r="I801">
        <v>0</v>
      </c>
      <c r="J801">
        <v>0</v>
      </c>
      <c r="K801">
        <v>0</v>
      </c>
    </row>
    <row r="802" spans="1:11" x14ac:dyDescent="0.2">
      <c r="A802" t="s">
        <v>5019</v>
      </c>
      <c r="B802" t="s">
        <v>5020</v>
      </c>
      <c r="C802" t="s">
        <v>5010</v>
      </c>
      <c r="D802" t="s">
        <v>98</v>
      </c>
      <c r="E802">
        <v>22.99</v>
      </c>
      <c r="F802">
        <v>0</v>
      </c>
      <c r="H802" t="s">
        <v>73</v>
      </c>
      <c r="I802">
        <v>0</v>
      </c>
      <c r="J802">
        <v>0</v>
      </c>
      <c r="K802">
        <v>0</v>
      </c>
    </row>
    <row r="803" spans="1:11" x14ac:dyDescent="0.2">
      <c r="A803" t="s">
        <v>3891</v>
      </c>
      <c r="B803" t="s">
        <v>3892</v>
      </c>
      <c r="C803" t="s">
        <v>3876</v>
      </c>
      <c r="D803" t="s">
        <v>98</v>
      </c>
      <c r="E803">
        <v>59.99</v>
      </c>
      <c r="F803">
        <v>0</v>
      </c>
      <c r="H803" t="s">
        <v>73</v>
      </c>
      <c r="I803">
        <v>0</v>
      </c>
      <c r="J803">
        <v>0</v>
      </c>
      <c r="K803">
        <v>0</v>
      </c>
    </row>
    <row r="804" spans="1:11" x14ac:dyDescent="0.2">
      <c r="A804" t="s">
        <v>325</v>
      </c>
      <c r="B804" t="s">
        <v>326</v>
      </c>
      <c r="C804" t="s">
        <v>307</v>
      </c>
      <c r="D804" t="s">
        <v>98</v>
      </c>
      <c r="E804">
        <v>849.99</v>
      </c>
      <c r="F804">
        <v>0</v>
      </c>
      <c r="H804" t="s">
        <v>73</v>
      </c>
      <c r="I804">
        <v>0</v>
      </c>
      <c r="J804">
        <v>0</v>
      </c>
      <c r="K804">
        <v>0</v>
      </c>
    </row>
    <row r="805" spans="1:11" x14ac:dyDescent="0.2">
      <c r="A805" t="s">
        <v>4101</v>
      </c>
      <c r="B805" t="s">
        <v>4102</v>
      </c>
      <c r="C805" t="s">
        <v>3929</v>
      </c>
      <c r="D805" t="s">
        <v>105</v>
      </c>
      <c r="E805">
        <v>199.99</v>
      </c>
      <c r="F805">
        <v>0</v>
      </c>
      <c r="G805">
        <v>20</v>
      </c>
      <c r="H805" t="s">
        <v>73</v>
      </c>
      <c r="I805">
        <v>0.83333333333333337</v>
      </c>
      <c r="J805">
        <v>42</v>
      </c>
      <c r="K805">
        <v>35</v>
      </c>
    </row>
    <row r="806" spans="1:11" x14ac:dyDescent="0.2">
      <c r="A806" t="s">
        <v>4081</v>
      </c>
      <c r="B806" t="s">
        <v>4082</v>
      </c>
      <c r="C806" t="s">
        <v>3929</v>
      </c>
      <c r="D806" t="s">
        <v>105</v>
      </c>
      <c r="E806">
        <v>109.99</v>
      </c>
      <c r="F806">
        <v>0</v>
      </c>
      <c r="H806" t="s">
        <v>73</v>
      </c>
      <c r="I806">
        <v>0</v>
      </c>
      <c r="J806">
        <v>0</v>
      </c>
      <c r="K806">
        <v>0</v>
      </c>
    </row>
    <row r="807" spans="1:11" x14ac:dyDescent="0.2">
      <c r="A807" t="s">
        <v>5017</v>
      </c>
      <c r="B807" t="s">
        <v>5018</v>
      </c>
      <c r="C807" t="s">
        <v>5010</v>
      </c>
      <c r="D807" t="s">
        <v>98</v>
      </c>
      <c r="E807">
        <v>22.99</v>
      </c>
      <c r="F807">
        <v>0</v>
      </c>
      <c r="H807" t="s">
        <v>73</v>
      </c>
      <c r="I807">
        <v>0</v>
      </c>
      <c r="J807">
        <v>0</v>
      </c>
      <c r="K807">
        <v>0</v>
      </c>
    </row>
    <row r="808" spans="1:11" x14ac:dyDescent="0.2">
      <c r="A808" t="s">
        <v>3462</v>
      </c>
      <c r="B808" t="s">
        <v>3463</v>
      </c>
      <c r="C808" t="s">
        <v>3349</v>
      </c>
      <c r="D808" t="s">
        <v>105</v>
      </c>
      <c r="E808">
        <v>119.99</v>
      </c>
      <c r="F808">
        <v>0</v>
      </c>
      <c r="G808">
        <v>5</v>
      </c>
      <c r="H808" t="s">
        <v>73</v>
      </c>
      <c r="I808">
        <v>0.16666666666666666</v>
      </c>
      <c r="J808">
        <v>0</v>
      </c>
      <c r="K808">
        <v>0</v>
      </c>
    </row>
    <row r="809" spans="1:11" x14ac:dyDescent="0.2">
      <c r="A809" t="s">
        <v>321</v>
      </c>
      <c r="B809" t="s">
        <v>322</v>
      </c>
      <c r="C809" t="s">
        <v>307</v>
      </c>
      <c r="D809" t="s">
        <v>98</v>
      </c>
      <c r="E809">
        <v>849.99</v>
      </c>
      <c r="F809">
        <v>0</v>
      </c>
      <c r="H809" t="s">
        <v>73</v>
      </c>
      <c r="I809">
        <v>0</v>
      </c>
      <c r="J809">
        <v>0</v>
      </c>
      <c r="K809">
        <v>0</v>
      </c>
    </row>
    <row r="810" spans="1:11" x14ac:dyDescent="0.2">
      <c r="A810" t="s">
        <v>5435</v>
      </c>
      <c r="B810" t="s">
        <v>5436</v>
      </c>
      <c r="C810" t="s">
        <v>5039</v>
      </c>
      <c r="D810" t="s">
        <v>98</v>
      </c>
      <c r="E810">
        <v>149.99</v>
      </c>
      <c r="F810">
        <v>0</v>
      </c>
      <c r="H810" t="s">
        <v>73</v>
      </c>
      <c r="I810">
        <v>0</v>
      </c>
      <c r="J810">
        <v>0</v>
      </c>
      <c r="K810">
        <v>0</v>
      </c>
    </row>
    <row r="811" spans="1:11" x14ac:dyDescent="0.2">
      <c r="A811" t="s">
        <v>5437</v>
      </c>
      <c r="B811" t="s">
        <v>5438</v>
      </c>
      <c r="C811" t="s">
        <v>3929</v>
      </c>
      <c r="D811" t="s">
        <v>98</v>
      </c>
      <c r="E811">
        <v>74.989999999999995</v>
      </c>
      <c r="F811">
        <v>0</v>
      </c>
      <c r="H811" t="s">
        <v>73</v>
      </c>
      <c r="I811">
        <v>0</v>
      </c>
      <c r="J811">
        <v>0</v>
      </c>
      <c r="K811">
        <v>0</v>
      </c>
    </row>
    <row r="812" spans="1:11" x14ac:dyDescent="0.2">
      <c r="A812" t="s">
        <v>5031</v>
      </c>
      <c r="B812" t="s">
        <v>5032</v>
      </c>
      <c r="C812" t="s">
        <v>5010</v>
      </c>
      <c r="D812" t="s">
        <v>98</v>
      </c>
      <c r="E812">
        <v>449.99</v>
      </c>
      <c r="F812">
        <v>0</v>
      </c>
      <c r="H812" t="s">
        <v>73</v>
      </c>
      <c r="I812">
        <v>0</v>
      </c>
      <c r="J812">
        <v>0</v>
      </c>
      <c r="K812">
        <v>1</v>
      </c>
    </row>
    <row r="813" spans="1:11" x14ac:dyDescent="0.2">
      <c r="A813" t="s">
        <v>430</v>
      </c>
      <c r="B813" t="s">
        <v>431</v>
      </c>
      <c r="C813" t="s">
        <v>307</v>
      </c>
      <c r="D813" t="s">
        <v>98</v>
      </c>
      <c r="E813">
        <v>469.99</v>
      </c>
      <c r="F813">
        <v>0</v>
      </c>
      <c r="H813" t="s">
        <v>73</v>
      </c>
      <c r="I813">
        <v>0</v>
      </c>
      <c r="J813">
        <v>0</v>
      </c>
      <c r="K813">
        <v>0</v>
      </c>
    </row>
    <row r="814" spans="1:11" x14ac:dyDescent="0.2">
      <c r="A814" t="s">
        <v>5439</v>
      </c>
      <c r="B814" t="s">
        <v>5440</v>
      </c>
      <c r="C814" t="s">
        <v>5039</v>
      </c>
      <c r="D814" t="s">
        <v>98</v>
      </c>
      <c r="E814">
        <v>799.99</v>
      </c>
      <c r="F814">
        <v>0</v>
      </c>
      <c r="H814" t="s">
        <v>73</v>
      </c>
      <c r="I814">
        <v>0</v>
      </c>
      <c r="J814">
        <v>0</v>
      </c>
      <c r="K814">
        <v>0</v>
      </c>
    </row>
    <row r="815" spans="1:11" x14ac:dyDescent="0.2">
      <c r="A815" t="s">
        <v>3474</v>
      </c>
      <c r="B815" t="s">
        <v>3475</v>
      </c>
      <c r="C815" t="s">
        <v>3349</v>
      </c>
      <c r="D815" t="s">
        <v>105</v>
      </c>
      <c r="E815">
        <v>119.99</v>
      </c>
      <c r="F815">
        <v>0</v>
      </c>
      <c r="G815">
        <v>13</v>
      </c>
      <c r="H815" t="s">
        <v>73</v>
      </c>
      <c r="I815">
        <v>0</v>
      </c>
      <c r="J815">
        <v>0</v>
      </c>
      <c r="K815">
        <v>0</v>
      </c>
    </row>
    <row r="816" spans="1:11" x14ac:dyDescent="0.2">
      <c r="A816" t="s">
        <v>388</v>
      </c>
      <c r="B816" t="s">
        <v>389</v>
      </c>
      <c r="C816" t="s">
        <v>307</v>
      </c>
      <c r="D816" t="s">
        <v>98</v>
      </c>
      <c r="E816">
        <v>229</v>
      </c>
      <c r="F816">
        <v>0</v>
      </c>
      <c r="H816" t="s">
        <v>73</v>
      </c>
      <c r="I816">
        <v>0</v>
      </c>
      <c r="J816">
        <v>0</v>
      </c>
      <c r="K816">
        <v>0</v>
      </c>
    </row>
    <row r="817" spans="1:11" x14ac:dyDescent="0.2">
      <c r="A817" t="s">
        <v>5441</v>
      </c>
      <c r="B817" t="s">
        <v>5442</v>
      </c>
      <c r="C817" t="s">
        <v>3582</v>
      </c>
      <c r="D817" t="s">
        <v>98</v>
      </c>
      <c r="E817">
        <v>99.99</v>
      </c>
      <c r="F817">
        <v>0</v>
      </c>
      <c r="H817" t="s">
        <v>73</v>
      </c>
      <c r="I817">
        <v>0</v>
      </c>
      <c r="J817">
        <v>0</v>
      </c>
      <c r="K817">
        <v>0</v>
      </c>
    </row>
    <row r="818" spans="1:11" x14ac:dyDescent="0.2">
      <c r="A818" t="s">
        <v>5443</v>
      </c>
      <c r="B818" t="s">
        <v>5444</v>
      </c>
      <c r="C818" t="s">
        <v>5039</v>
      </c>
      <c r="D818" t="s">
        <v>98</v>
      </c>
      <c r="E818">
        <v>649.99</v>
      </c>
      <c r="F818">
        <v>0</v>
      </c>
      <c r="H818" t="s">
        <v>73</v>
      </c>
      <c r="I818">
        <v>0</v>
      </c>
      <c r="J818">
        <v>0</v>
      </c>
      <c r="K818">
        <v>0</v>
      </c>
    </row>
    <row r="819" spans="1:11" x14ac:dyDescent="0.2">
      <c r="A819" t="s">
        <v>5445</v>
      </c>
      <c r="B819" t="s">
        <v>5446</v>
      </c>
      <c r="C819" t="s">
        <v>2415</v>
      </c>
      <c r="D819" t="s">
        <v>98</v>
      </c>
      <c r="E819">
        <v>199.99</v>
      </c>
      <c r="F819">
        <v>0</v>
      </c>
      <c r="H819" t="s">
        <v>73</v>
      </c>
      <c r="I819">
        <v>0</v>
      </c>
      <c r="J819">
        <v>0</v>
      </c>
      <c r="K819">
        <v>0</v>
      </c>
    </row>
    <row r="820" spans="1:11" x14ac:dyDescent="0.2">
      <c r="A820" t="s">
        <v>5037</v>
      </c>
      <c r="B820" t="s">
        <v>5038</v>
      </c>
      <c r="C820" t="s">
        <v>5010</v>
      </c>
      <c r="D820" t="s">
        <v>98</v>
      </c>
      <c r="E820">
        <v>94.99</v>
      </c>
      <c r="F820">
        <v>0</v>
      </c>
      <c r="H820" t="s">
        <v>73</v>
      </c>
      <c r="I820">
        <v>0</v>
      </c>
      <c r="J820">
        <v>0</v>
      </c>
      <c r="K820">
        <v>0</v>
      </c>
    </row>
    <row r="821" spans="1:11" x14ac:dyDescent="0.2">
      <c r="A821" t="s">
        <v>312</v>
      </c>
      <c r="B821" t="s">
        <v>313</v>
      </c>
      <c r="C821" t="s">
        <v>307</v>
      </c>
      <c r="D821" t="s">
        <v>98</v>
      </c>
      <c r="E821">
        <v>549.99</v>
      </c>
      <c r="F821">
        <v>0</v>
      </c>
      <c r="H821" t="s">
        <v>73</v>
      </c>
      <c r="I821">
        <v>0</v>
      </c>
      <c r="J821">
        <v>0</v>
      </c>
      <c r="K821">
        <v>0</v>
      </c>
    </row>
    <row r="822" spans="1:11" x14ac:dyDescent="0.2">
      <c r="A822" t="s">
        <v>390</v>
      </c>
      <c r="B822" t="s">
        <v>391</v>
      </c>
      <c r="C822" t="s">
        <v>307</v>
      </c>
      <c r="D822" t="s">
        <v>98</v>
      </c>
      <c r="E822">
        <v>289.99</v>
      </c>
      <c r="F822">
        <v>0</v>
      </c>
      <c r="H822" t="s">
        <v>73</v>
      </c>
      <c r="I822">
        <v>0</v>
      </c>
      <c r="J822">
        <v>0</v>
      </c>
      <c r="K822">
        <v>0</v>
      </c>
    </row>
    <row r="823" spans="1:11" x14ac:dyDescent="0.2">
      <c r="A823" t="s">
        <v>5447</v>
      </c>
      <c r="B823" t="s">
        <v>5448</v>
      </c>
      <c r="C823" t="s">
        <v>3582</v>
      </c>
      <c r="D823" t="s">
        <v>98</v>
      </c>
      <c r="E823">
        <v>0</v>
      </c>
      <c r="F823">
        <v>0</v>
      </c>
      <c r="H823" t="s">
        <v>73</v>
      </c>
      <c r="I823">
        <v>0</v>
      </c>
      <c r="J823">
        <v>0</v>
      </c>
      <c r="K823">
        <v>0</v>
      </c>
    </row>
    <row r="824" spans="1:11" x14ac:dyDescent="0.2">
      <c r="A824" t="s">
        <v>5035</v>
      </c>
      <c r="B824" t="s">
        <v>5036</v>
      </c>
      <c r="C824" t="s">
        <v>5010</v>
      </c>
      <c r="D824" t="s">
        <v>98</v>
      </c>
      <c r="E824">
        <v>22.99</v>
      </c>
      <c r="F824">
        <v>0</v>
      </c>
      <c r="H824" t="s">
        <v>73</v>
      </c>
      <c r="I824">
        <v>0</v>
      </c>
      <c r="J824">
        <v>0</v>
      </c>
      <c r="K824">
        <v>0</v>
      </c>
    </row>
    <row r="825" spans="1:11" x14ac:dyDescent="0.2">
      <c r="A825" t="s">
        <v>346</v>
      </c>
      <c r="B825" t="s">
        <v>347</v>
      </c>
      <c r="C825" t="s">
        <v>307</v>
      </c>
      <c r="D825" t="s">
        <v>98</v>
      </c>
      <c r="E825">
        <v>419.99</v>
      </c>
      <c r="F825">
        <v>0</v>
      </c>
      <c r="H825" t="s">
        <v>73</v>
      </c>
      <c r="I825">
        <v>0</v>
      </c>
      <c r="J825">
        <v>0</v>
      </c>
      <c r="K825">
        <v>0</v>
      </c>
    </row>
    <row r="826" spans="1:11" x14ac:dyDescent="0.2">
      <c r="A826" t="s">
        <v>5449</v>
      </c>
      <c r="B826" t="s">
        <v>5450</v>
      </c>
      <c r="C826" t="s">
        <v>904</v>
      </c>
      <c r="D826" t="s">
        <v>98</v>
      </c>
      <c r="E826">
        <v>199.99</v>
      </c>
      <c r="F826">
        <v>0</v>
      </c>
      <c r="H826" t="s">
        <v>73</v>
      </c>
      <c r="I826">
        <v>0</v>
      </c>
      <c r="J826">
        <v>0</v>
      </c>
      <c r="K826">
        <v>0</v>
      </c>
    </row>
    <row r="827" spans="1:11" x14ac:dyDescent="0.2">
      <c r="A827" t="s">
        <v>3591</v>
      </c>
      <c r="B827" t="s">
        <v>3592</v>
      </c>
      <c r="C827" t="s">
        <v>3582</v>
      </c>
      <c r="D827" t="s">
        <v>98</v>
      </c>
      <c r="E827">
        <v>109.99</v>
      </c>
      <c r="F827">
        <v>0</v>
      </c>
      <c r="H827" t="s">
        <v>73</v>
      </c>
      <c r="I827">
        <v>0</v>
      </c>
      <c r="J827">
        <v>0</v>
      </c>
      <c r="K827">
        <v>0</v>
      </c>
    </row>
    <row r="828" spans="1:11" x14ac:dyDescent="0.2">
      <c r="A828" t="s">
        <v>5033</v>
      </c>
      <c r="B828" t="s">
        <v>5034</v>
      </c>
      <c r="C828" t="s">
        <v>5010</v>
      </c>
      <c r="D828" t="s">
        <v>98</v>
      </c>
      <c r="E828">
        <v>199.99</v>
      </c>
      <c r="F828">
        <v>0</v>
      </c>
      <c r="H828" t="s">
        <v>73</v>
      </c>
      <c r="I828">
        <v>0</v>
      </c>
      <c r="J828">
        <v>0</v>
      </c>
      <c r="K828">
        <v>0</v>
      </c>
    </row>
    <row r="829" spans="1:11" x14ac:dyDescent="0.2">
      <c r="A829" t="s">
        <v>3470</v>
      </c>
      <c r="B829" t="s">
        <v>3471</v>
      </c>
      <c r="C829" t="s">
        <v>3349</v>
      </c>
      <c r="D829" t="s">
        <v>105</v>
      </c>
      <c r="E829">
        <v>19.989999999999998</v>
      </c>
      <c r="F829">
        <v>0</v>
      </c>
      <c r="G829">
        <v>33</v>
      </c>
      <c r="H829" t="s">
        <v>73</v>
      </c>
      <c r="I829">
        <v>0.33333333333333331</v>
      </c>
      <c r="J829">
        <v>0</v>
      </c>
      <c r="K829">
        <v>0</v>
      </c>
    </row>
    <row r="830" spans="1:11" x14ac:dyDescent="0.2">
      <c r="A830" t="s">
        <v>4099</v>
      </c>
      <c r="B830" t="s">
        <v>4100</v>
      </c>
      <c r="C830" t="s">
        <v>3929</v>
      </c>
      <c r="D830" t="s">
        <v>105</v>
      </c>
      <c r="E830">
        <v>249.99</v>
      </c>
      <c r="F830">
        <v>499.98</v>
      </c>
      <c r="G830">
        <v>9</v>
      </c>
      <c r="H830" t="s">
        <v>73</v>
      </c>
      <c r="I830">
        <v>0.66666666666666663</v>
      </c>
      <c r="J830">
        <v>46</v>
      </c>
      <c r="K830">
        <v>31</v>
      </c>
    </row>
    <row r="831" spans="1:11" x14ac:dyDescent="0.2">
      <c r="A831" t="s">
        <v>3593</v>
      </c>
      <c r="B831" t="s">
        <v>3594</v>
      </c>
      <c r="C831" t="s">
        <v>3582</v>
      </c>
      <c r="D831" t="s">
        <v>98</v>
      </c>
      <c r="E831">
        <v>79.989999999999995</v>
      </c>
      <c r="F831">
        <v>0</v>
      </c>
      <c r="H831" t="s">
        <v>73</v>
      </c>
      <c r="I831">
        <v>0</v>
      </c>
      <c r="J831">
        <v>0</v>
      </c>
      <c r="K831">
        <v>0</v>
      </c>
    </row>
    <row r="832" spans="1:11" x14ac:dyDescent="0.2">
      <c r="A832" t="s">
        <v>3472</v>
      </c>
      <c r="B832" t="s">
        <v>3473</v>
      </c>
      <c r="C832" t="s">
        <v>3349</v>
      </c>
      <c r="D832" t="s">
        <v>105</v>
      </c>
      <c r="E832">
        <v>19.989999999999998</v>
      </c>
      <c r="F832">
        <v>0</v>
      </c>
      <c r="G832">
        <v>22</v>
      </c>
      <c r="H832" t="s">
        <v>73</v>
      </c>
      <c r="I832">
        <v>0</v>
      </c>
      <c r="J832">
        <v>0</v>
      </c>
      <c r="K832">
        <v>0</v>
      </c>
    </row>
    <row r="833" spans="1:11" x14ac:dyDescent="0.2">
      <c r="A833" t="s">
        <v>329</v>
      </c>
      <c r="B833" t="s">
        <v>328</v>
      </c>
      <c r="C833" t="s">
        <v>307</v>
      </c>
      <c r="D833" t="s">
        <v>105</v>
      </c>
      <c r="E833">
        <v>1799.99</v>
      </c>
      <c r="F833">
        <v>0</v>
      </c>
      <c r="G833">
        <v>1</v>
      </c>
      <c r="H833" t="s">
        <v>73</v>
      </c>
      <c r="I833">
        <v>0</v>
      </c>
      <c r="J833">
        <v>0</v>
      </c>
      <c r="K833">
        <v>0</v>
      </c>
    </row>
    <row r="834" spans="1:11" x14ac:dyDescent="0.2">
      <c r="A834" t="s">
        <v>3497</v>
      </c>
      <c r="B834" t="s">
        <v>3498</v>
      </c>
      <c r="C834" t="s">
        <v>3494</v>
      </c>
      <c r="D834" t="s">
        <v>138</v>
      </c>
      <c r="E834">
        <v>49.99</v>
      </c>
      <c r="F834">
        <v>0</v>
      </c>
      <c r="H834" t="s">
        <v>73</v>
      </c>
      <c r="I834">
        <v>0</v>
      </c>
      <c r="J834">
        <v>0</v>
      </c>
      <c r="K834">
        <v>0</v>
      </c>
    </row>
    <row r="835" spans="1:11" x14ac:dyDescent="0.2">
      <c r="A835" t="s">
        <v>134</v>
      </c>
      <c r="B835" t="s">
        <v>135</v>
      </c>
      <c r="C835" t="s">
        <v>95</v>
      </c>
      <c r="D835" t="s">
        <v>138</v>
      </c>
      <c r="E835">
        <v>79.989999999999995</v>
      </c>
      <c r="F835">
        <v>0</v>
      </c>
      <c r="G835">
        <v>2</v>
      </c>
      <c r="H835" t="s">
        <v>73</v>
      </c>
      <c r="I835">
        <v>0</v>
      </c>
      <c r="J835">
        <v>0</v>
      </c>
      <c r="K835">
        <v>87</v>
      </c>
    </row>
    <row r="836" spans="1:11" x14ac:dyDescent="0.2">
      <c r="A836" t="s">
        <v>5451</v>
      </c>
      <c r="B836" t="s">
        <v>5452</v>
      </c>
      <c r="C836" t="s">
        <v>3575</v>
      </c>
      <c r="D836" t="s">
        <v>98</v>
      </c>
      <c r="E836">
        <v>69.989999999999995</v>
      </c>
      <c r="F836">
        <v>0</v>
      </c>
      <c r="H836" t="s">
        <v>73</v>
      </c>
      <c r="I836">
        <v>0</v>
      </c>
      <c r="J836">
        <v>0</v>
      </c>
      <c r="K836">
        <v>0</v>
      </c>
    </row>
    <row r="837" spans="1:11" x14ac:dyDescent="0.2">
      <c r="A837" t="s">
        <v>136</v>
      </c>
      <c r="B837" t="s">
        <v>137</v>
      </c>
      <c r="C837" t="s">
        <v>95</v>
      </c>
      <c r="D837" t="s">
        <v>138</v>
      </c>
      <c r="E837">
        <v>79.989999999999995</v>
      </c>
      <c r="F837">
        <v>0</v>
      </c>
      <c r="G837">
        <v>30</v>
      </c>
      <c r="H837" t="s">
        <v>73</v>
      </c>
      <c r="I837">
        <v>0.5</v>
      </c>
      <c r="J837">
        <v>220</v>
      </c>
      <c r="K837">
        <v>110</v>
      </c>
    </row>
    <row r="838" spans="1:11" x14ac:dyDescent="0.2">
      <c r="A838" t="s">
        <v>5453</v>
      </c>
      <c r="B838" t="s">
        <v>5454</v>
      </c>
      <c r="C838" t="s">
        <v>5039</v>
      </c>
      <c r="D838" t="s">
        <v>98</v>
      </c>
      <c r="E838">
        <v>1199.99</v>
      </c>
      <c r="F838">
        <v>0</v>
      </c>
      <c r="H838" t="s">
        <v>73</v>
      </c>
      <c r="I838">
        <v>0</v>
      </c>
      <c r="J838">
        <v>0</v>
      </c>
      <c r="K838">
        <v>0</v>
      </c>
    </row>
    <row r="839" spans="1:11" x14ac:dyDescent="0.2">
      <c r="A839" t="s">
        <v>5455</v>
      </c>
      <c r="B839" t="s">
        <v>5456</v>
      </c>
      <c r="C839" t="s">
        <v>3575</v>
      </c>
      <c r="D839" t="s">
        <v>98</v>
      </c>
      <c r="E839">
        <v>49.99</v>
      </c>
      <c r="F839">
        <v>0</v>
      </c>
      <c r="H839" t="s">
        <v>73</v>
      </c>
      <c r="I839">
        <v>0</v>
      </c>
      <c r="J839">
        <v>0</v>
      </c>
      <c r="K839">
        <v>0</v>
      </c>
    </row>
    <row r="840" spans="1:11" x14ac:dyDescent="0.2">
      <c r="A840" t="s">
        <v>2189</v>
      </c>
      <c r="B840" t="s">
        <v>2190</v>
      </c>
      <c r="C840" t="s">
        <v>2174</v>
      </c>
      <c r="D840" t="s">
        <v>98</v>
      </c>
      <c r="E840">
        <v>99.99</v>
      </c>
      <c r="F840">
        <v>0</v>
      </c>
      <c r="H840" t="s">
        <v>73</v>
      </c>
      <c r="I840">
        <v>0</v>
      </c>
      <c r="J840">
        <v>0</v>
      </c>
      <c r="K840">
        <v>0</v>
      </c>
    </row>
    <row r="841" spans="1:11" x14ac:dyDescent="0.2">
      <c r="A841" t="s">
        <v>5457</v>
      </c>
      <c r="B841" t="s">
        <v>5458</v>
      </c>
      <c r="C841" t="s">
        <v>3575</v>
      </c>
      <c r="D841" t="s">
        <v>98</v>
      </c>
      <c r="E841">
        <v>49.99</v>
      </c>
      <c r="F841">
        <v>0</v>
      </c>
      <c r="H841" t="s">
        <v>73</v>
      </c>
      <c r="I841">
        <v>0</v>
      </c>
      <c r="J841">
        <v>0</v>
      </c>
      <c r="K841">
        <v>0</v>
      </c>
    </row>
    <row r="842" spans="1:11" x14ac:dyDescent="0.2">
      <c r="A842" t="s">
        <v>5459</v>
      </c>
      <c r="B842" t="s">
        <v>5460</v>
      </c>
      <c r="C842" t="s">
        <v>5039</v>
      </c>
      <c r="D842" t="s">
        <v>98</v>
      </c>
      <c r="E842">
        <v>899.99</v>
      </c>
      <c r="F842">
        <v>0</v>
      </c>
      <c r="H842" t="s">
        <v>73</v>
      </c>
      <c r="I842">
        <v>0</v>
      </c>
      <c r="J842">
        <v>0</v>
      </c>
      <c r="K842">
        <v>0</v>
      </c>
    </row>
    <row r="843" spans="1:11" x14ac:dyDescent="0.2">
      <c r="A843" t="s">
        <v>5461</v>
      </c>
      <c r="B843" t="s">
        <v>5462</v>
      </c>
      <c r="C843" t="s">
        <v>3929</v>
      </c>
      <c r="D843" t="s">
        <v>98</v>
      </c>
      <c r="E843">
        <v>89.99</v>
      </c>
      <c r="F843">
        <v>0</v>
      </c>
      <c r="H843" t="s">
        <v>73</v>
      </c>
      <c r="I843">
        <v>0</v>
      </c>
      <c r="J843">
        <v>0</v>
      </c>
      <c r="K843">
        <v>0</v>
      </c>
    </row>
    <row r="844" spans="1:11" x14ac:dyDescent="0.2">
      <c r="A844" t="s">
        <v>3515</v>
      </c>
      <c r="B844" t="s">
        <v>3516</v>
      </c>
      <c r="C844" t="s">
        <v>3494</v>
      </c>
      <c r="D844" t="s">
        <v>138</v>
      </c>
      <c r="E844">
        <v>189.99</v>
      </c>
      <c r="F844">
        <v>0</v>
      </c>
      <c r="H844" t="s">
        <v>73</v>
      </c>
      <c r="I844">
        <v>0</v>
      </c>
      <c r="J844">
        <v>0</v>
      </c>
      <c r="K844">
        <v>0</v>
      </c>
    </row>
    <row r="845" spans="1:11" x14ac:dyDescent="0.2">
      <c r="A845" t="s">
        <v>5463</v>
      </c>
      <c r="B845" t="s">
        <v>5464</v>
      </c>
      <c r="C845" t="s">
        <v>3929</v>
      </c>
      <c r="D845" t="s">
        <v>98</v>
      </c>
      <c r="E845">
        <v>199.99</v>
      </c>
      <c r="F845">
        <v>0</v>
      </c>
      <c r="H845" t="s">
        <v>73</v>
      </c>
      <c r="I845">
        <v>0</v>
      </c>
      <c r="J845">
        <v>0</v>
      </c>
      <c r="K845">
        <v>0</v>
      </c>
    </row>
    <row r="846" spans="1:11" x14ac:dyDescent="0.2">
      <c r="A846" t="s">
        <v>5050</v>
      </c>
      <c r="B846" t="s">
        <v>5051</v>
      </c>
      <c r="C846" t="s">
        <v>5039</v>
      </c>
      <c r="D846" t="s">
        <v>98</v>
      </c>
      <c r="E846">
        <v>899.99</v>
      </c>
      <c r="F846">
        <v>0</v>
      </c>
      <c r="H846" t="s">
        <v>73</v>
      </c>
      <c r="I846">
        <v>0</v>
      </c>
      <c r="J846">
        <v>0</v>
      </c>
      <c r="K846">
        <v>0</v>
      </c>
    </row>
    <row r="847" spans="1:11" x14ac:dyDescent="0.2">
      <c r="A847" t="s">
        <v>99</v>
      </c>
      <c r="B847" t="s">
        <v>100</v>
      </c>
      <c r="C847" t="s">
        <v>95</v>
      </c>
      <c r="D847" t="s">
        <v>98</v>
      </c>
      <c r="E847">
        <v>129.99</v>
      </c>
      <c r="F847">
        <v>0</v>
      </c>
      <c r="H847" t="s">
        <v>73</v>
      </c>
      <c r="I847">
        <v>0</v>
      </c>
      <c r="J847">
        <v>0</v>
      </c>
      <c r="K847">
        <v>0</v>
      </c>
    </row>
    <row r="848" spans="1:11" x14ac:dyDescent="0.2">
      <c r="A848" t="s">
        <v>5465</v>
      </c>
      <c r="B848" t="s">
        <v>5466</v>
      </c>
      <c r="C848" t="s">
        <v>3575</v>
      </c>
      <c r="D848" t="s">
        <v>98</v>
      </c>
      <c r="E848">
        <v>39.99</v>
      </c>
      <c r="F848">
        <v>0</v>
      </c>
      <c r="H848" t="s">
        <v>73</v>
      </c>
      <c r="I848">
        <v>0</v>
      </c>
      <c r="J848">
        <v>0</v>
      </c>
      <c r="K848">
        <v>0</v>
      </c>
    </row>
    <row r="849" spans="1:11" x14ac:dyDescent="0.2">
      <c r="A849" t="s">
        <v>2203</v>
      </c>
      <c r="B849" t="s">
        <v>2204</v>
      </c>
      <c r="C849" t="s">
        <v>2174</v>
      </c>
      <c r="D849" t="s">
        <v>98</v>
      </c>
      <c r="E849">
        <v>69.989999999999995</v>
      </c>
      <c r="F849">
        <v>0</v>
      </c>
      <c r="H849" t="s">
        <v>73</v>
      </c>
      <c r="I849">
        <v>0</v>
      </c>
      <c r="J849">
        <v>0</v>
      </c>
      <c r="K849">
        <v>0</v>
      </c>
    </row>
    <row r="850" spans="1:11" x14ac:dyDescent="0.2">
      <c r="A850" t="s">
        <v>2211</v>
      </c>
      <c r="B850" t="s">
        <v>2212</v>
      </c>
      <c r="C850" t="s">
        <v>2174</v>
      </c>
      <c r="D850" t="s">
        <v>98</v>
      </c>
      <c r="E850">
        <v>99.99</v>
      </c>
      <c r="F850">
        <v>0</v>
      </c>
      <c r="H850" t="s">
        <v>73</v>
      </c>
      <c r="I850">
        <v>0</v>
      </c>
      <c r="J850">
        <v>0</v>
      </c>
      <c r="K850">
        <v>0</v>
      </c>
    </row>
    <row r="851" spans="1:11" x14ac:dyDescent="0.2">
      <c r="A851" t="s">
        <v>5054</v>
      </c>
      <c r="B851" t="s">
        <v>5055</v>
      </c>
      <c r="C851" t="s">
        <v>5039</v>
      </c>
      <c r="D851" t="s">
        <v>98</v>
      </c>
      <c r="E851">
        <v>99.99</v>
      </c>
      <c r="F851">
        <v>0</v>
      </c>
      <c r="H851" t="s">
        <v>73</v>
      </c>
      <c r="I851">
        <v>0</v>
      </c>
      <c r="J851">
        <v>0</v>
      </c>
      <c r="K851">
        <v>0</v>
      </c>
    </row>
    <row r="852" spans="1:11" x14ac:dyDescent="0.2">
      <c r="A852" t="s">
        <v>5467</v>
      </c>
      <c r="B852" t="s">
        <v>5468</v>
      </c>
      <c r="C852" t="s">
        <v>3575</v>
      </c>
      <c r="D852" t="s">
        <v>98</v>
      </c>
      <c r="E852">
        <v>34.99</v>
      </c>
      <c r="F852">
        <v>0</v>
      </c>
      <c r="H852" t="s">
        <v>73</v>
      </c>
      <c r="I852">
        <v>0</v>
      </c>
      <c r="J852">
        <v>0</v>
      </c>
      <c r="K852">
        <v>0</v>
      </c>
    </row>
    <row r="853" spans="1:11" x14ac:dyDescent="0.2">
      <c r="A853" t="s">
        <v>112</v>
      </c>
      <c r="B853" t="s">
        <v>113</v>
      </c>
      <c r="C853" t="s">
        <v>95</v>
      </c>
      <c r="D853" t="s">
        <v>98</v>
      </c>
      <c r="E853">
        <v>99.99</v>
      </c>
      <c r="F853">
        <v>0</v>
      </c>
      <c r="H853" t="s">
        <v>73</v>
      </c>
      <c r="I853">
        <v>0</v>
      </c>
      <c r="J853">
        <v>0</v>
      </c>
      <c r="K853">
        <v>0</v>
      </c>
    </row>
    <row r="854" spans="1:11" x14ac:dyDescent="0.2">
      <c r="A854" t="s">
        <v>5469</v>
      </c>
      <c r="B854" t="s">
        <v>5470</v>
      </c>
      <c r="C854" t="s">
        <v>3575</v>
      </c>
      <c r="D854" t="s">
        <v>98</v>
      </c>
      <c r="E854">
        <v>59.99</v>
      </c>
      <c r="F854">
        <v>0</v>
      </c>
      <c r="H854" t="s">
        <v>73</v>
      </c>
      <c r="I854">
        <v>0</v>
      </c>
      <c r="J854">
        <v>0</v>
      </c>
      <c r="K854">
        <v>0</v>
      </c>
    </row>
    <row r="855" spans="1:11" x14ac:dyDescent="0.2">
      <c r="A855" t="s">
        <v>5471</v>
      </c>
      <c r="B855" t="s">
        <v>5472</v>
      </c>
      <c r="C855" t="s">
        <v>5039</v>
      </c>
      <c r="D855" t="s">
        <v>98</v>
      </c>
      <c r="E855">
        <v>149.99</v>
      </c>
      <c r="F855">
        <v>0</v>
      </c>
      <c r="H855" t="s">
        <v>73</v>
      </c>
      <c r="I855">
        <v>0</v>
      </c>
      <c r="J855">
        <v>0</v>
      </c>
      <c r="K855">
        <v>0</v>
      </c>
    </row>
    <row r="856" spans="1:11" x14ac:dyDescent="0.2">
      <c r="A856" t="s">
        <v>108</v>
      </c>
      <c r="B856" t="s">
        <v>109</v>
      </c>
      <c r="C856" t="s">
        <v>95</v>
      </c>
      <c r="D856" t="s">
        <v>98</v>
      </c>
      <c r="E856">
        <v>39.99</v>
      </c>
      <c r="F856">
        <v>0</v>
      </c>
      <c r="H856" t="s">
        <v>73</v>
      </c>
      <c r="I856">
        <v>0</v>
      </c>
      <c r="J856">
        <v>0</v>
      </c>
      <c r="K856">
        <v>0</v>
      </c>
    </row>
    <row r="857" spans="1:11" x14ac:dyDescent="0.2">
      <c r="A857" t="s">
        <v>5473</v>
      </c>
      <c r="B857" t="s">
        <v>5474</v>
      </c>
      <c r="C857" t="s">
        <v>3575</v>
      </c>
      <c r="D857" t="s">
        <v>98</v>
      </c>
      <c r="E857">
        <v>59.99</v>
      </c>
      <c r="F857">
        <v>0</v>
      </c>
      <c r="H857" t="s">
        <v>73</v>
      </c>
      <c r="I857">
        <v>0</v>
      </c>
      <c r="J857">
        <v>0</v>
      </c>
      <c r="K857">
        <v>0</v>
      </c>
    </row>
    <row r="858" spans="1:11" x14ac:dyDescent="0.2">
      <c r="A858" t="s">
        <v>5475</v>
      </c>
      <c r="B858" t="s">
        <v>5476</v>
      </c>
      <c r="C858" t="s">
        <v>3575</v>
      </c>
      <c r="D858" t="s">
        <v>98</v>
      </c>
      <c r="E858">
        <v>29.99</v>
      </c>
      <c r="F858">
        <v>0</v>
      </c>
      <c r="H858" t="s">
        <v>73</v>
      </c>
      <c r="I858">
        <v>0</v>
      </c>
      <c r="J858">
        <v>0</v>
      </c>
      <c r="K858">
        <v>0</v>
      </c>
    </row>
    <row r="859" spans="1:11" x14ac:dyDescent="0.2">
      <c r="A859" t="s">
        <v>2195</v>
      </c>
      <c r="B859" t="s">
        <v>2196</v>
      </c>
      <c r="C859" t="s">
        <v>2174</v>
      </c>
      <c r="D859" t="s">
        <v>98</v>
      </c>
      <c r="E859">
        <v>99.99</v>
      </c>
      <c r="F859">
        <v>0</v>
      </c>
      <c r="H859" t="s">
        <v>73</v>
      </c>
      <c r="I859">
        <v>0</v>
      </c>
      <c r="J859">
        <v>0</v>
      </c>
      <c r="K859">
        <v>0</v>
      </c>
    </row>
    <row r="860" spans="1:11" x14ac:dyDescent="0.2">
      <c r="A860" t="s">
        <v>5477</v>
      </c>
      <c r="B860" t="s">
        <v>5478</v>
      </c>
      <c r="C860" t="s">
        <v>5039</v>
      </c>
      <c r="D860" t="s">
        <v>98</v>
      </c>
      <c r="E860">
        <v>99.99</v>
      </c>
      <c r="F860">
        <v>0</v>
      </c>
      <c r="H860" t="s">
        <v>73</v>
      </c>
      <c r="I860">
        <v>0</v>
      </c>
      <c r="J860">
        <v>0</v>
      </c>
      <c r="K860">
        <v>0</v>
      </c>
    </row>
    <row r="861" spans="1:11" x14ac:dyDescent="0.2">
      <c r="A861" t="s">
        <v>3578</v>
      </c>
      <c r="B861" t="s">
        <v>3579</v>
      </c>
      <c r="C861" t="s">
        <v>3575</v>
      </c>
      <c r="D861" t="s">
        <v>138</v>
      </c>
      <c r="E861">
        <v>19.989999999999998</v>
      </c>
      <c r="F861">
        <v>0</v>
      </c>
      <c r="H861" t="s">
        <v>73</v>
      </c>
      <c r="I861">
        <v>0</v>
      </c>
      <c r="J861">
        <v>0</v>
      </c>
      <c r="K861">
        <v>0</v>
      </c>
    </row>
    <row r="862" spans="1:11" x14ac:dyDescent="0.2">
      <c r="A862" t="s">
        <v>4087</v>
      </c>
      <c r="B862" t="s">
        <v>4088</v>
      </c>
      <c r="C862" t="s">
        <v>3929</v>
      </c>
      <c r="D862" t="s">
        <v>105</v>
      </c>
      <c r="E862">
        <v>99.99</v>
      </c>
      <c r="F862">
        <v>0</v>
      </c>
      <c r="G862">
        <v>9</v>
      </c>
      <c r="H862" t="s">
        <v>73</v>
      </c>
      <c r="I862">
        <v>0</v>
      </c>
      <c r="J862">
        <v>0</v>
      </c>
      <c r="K862">
        <v>115</v>
      </c>
    </row>
    <row r="863" spans="1:11" x14ac:dyDescent="0.2">
      <c r="A863" t="s">
        <v>5048</v>
      </c>
      <c r="B863" t="s">
        <v>5049</v>
      </c>
      <c r="C863" t="s">
        <v>5039</v>
      </c>
      <c r="D863" t="s">
        <v>98</v>
      </c>
      <c r="E863">
        <v>429.99</v>
      </c>
      <c r="F863">
        <v>0</v>
      </c>
      <c r="H863" t="s">
        <v>73</v>
      </c>
      <c r="I863">
        <v>0</v>
      </c>
      <c r="J863">
        <v>0</v>
      </c>
      <c r="K863">
        <v>0</v>
      </c>
    </row>
    <row r="864" spans="1:11" x14ac:dyDescent="0.2">
      <c r="A864" t="s">
        <v>5479</v>
      </c>
      <c r="B864" t="s">
        <v>5480</v>
      </c>
      <c r="C864" t="s">
        <v>5039</v>
      </c>
      <c r="D864" t="s">
        <v>98</v>
      </c>
      <c r="E864">
        <v>149.99</v>
      </c>
      <c r="F864">
        <v>0</v>
      </c>
      <c r="H864" t="s">
        <v>73</v>
      </c>
      <c r="I864">
        <v>0</v>
      </c>
      <c r="J864">
        <v>0</v>
      </c>
      <c r="K864">
        <v>0</v>
      </c>
    </row>
    <row r="865" spans="1:11" x14ac:dyDescent="0.2">
      <c r="A865" t="s">
        <v>5481</v>
      </c>
      <c r="B865" t="s">
        <v>5482</v>
      </c>
      <c r="C865" t="s">
        <v>3575</v>
      </c>
      <c r="D865" t="s">
        <v>98</v>
      </c>
      <c r="E865">
        <v>29.99</v>
      </c>
      <c r="F865">
        <v>0</v>
      </c>
      <c r="H865" t="s">
        <v>73</v>
      </c>
      <c r="I865">
        <v>0</v>
      </c>
      <c r="J865">
        <v>0</v>
      </c>
      <c r="K865">
        <v>0</v>
      </c>
    </row>
    <row r="866" spans="1:11" x14ac:dyDescent="0.2">
      <c r="A866" t="s">
        <v>5483</v>
      </c>
      <c r="B866" t="s">
        <v>5484</v>
      </c>
      <c r="C866" t="s">
        <v>2174</v>
      </c>
      <c r="D866" t="s">
        <v>98</v>
      </c>
      <c r="E866">
        <v>99.99</v>
      </c>
      <c r="F866">
        <v>0</v>
      </c>
      <c r="H866" t="s">
        <v>73</v>
      </c>
      <c r="I866">
        <v>0</v>
      </c>
      <c r="J866">
        <v>0</v>
      </c>
      <c r="K866">
        <v>0</v>
      </c>
    </row>
    <row r="867" spans="1:11" x14ac:dyDescent="0.2">
      <c r="A867" t="s">
        <v>5485</v>
      </c>
      <c r="B867" t="s">
        <v>5486</v>
      </c>
      <c r="C867" t="s">
        <v>5039</v>
      </c>
      <c r="D867" t="s">
        <v>98</v>
      </c>
      <c r="E867">
        <v>99.99</v>
      </c>
      <c r="F867">
        <v>0</v>
      </c>
      <c r="H867" t="s">
        <v>73</v>
      </c>
      <c r="I867">
        <v>0</v>
      </c>
      <c r="J867">
        <v>0</v>
      </c>
      <c r="K867">
        <v>0</v>
      </c>
    </row>
    <row r="868" spans="1:11" x14ac:dyDescent="0.2">
      <c r="A868" t="s">
        <v>2213</v>
      </c>
      <c r="B868" t="s">
        <v>2214</v>
      </c>
      <c r="C868" t="s">
        <v>2174</v>
      </c>
      <c r="D868" t="s">
        <v>98</v>
      </c>
      <c r="E868">
        <v>99.99</v>
      </c>
      <c r="F868">
        <v>0</v>
      </c>
      <c r="H868" t="s">
        <v>73</v>
      </c>
      <c r="I868">
        <v>0</v>
      </c>
      <c r="J868">
        <v>0</v>
      </c>
      <c r="K868">
        <v>0</v>
      </c>
    </row>
    <row r="869" spans="1:11" x14ac:dyDescent="0.2">
      <c r="A869" t="s">
        <v>5487</v>
      </c>
      <c r="B869" t="s">
        <v>5488</v>
      </c>
      <c r="C869" t="s">
        <v>3575</v>
      </c>
      <c r="D869" t="s">
        <v>98</v>
      </c>
      <c r="E869">
        <v>49.99</v>
      </c>
      <c r="F869">
        <v>0</v>
      </c>
      <c r="H869" t="s">
        <v>73</v>
      </c>
      <c r="I869">
        <v>0</v>
      </c>
      <c r="J869">
        <v>0</v>
      </c>
      <c r="K869">
        <v>0</v>
      </c>
    </row>
    <row r="870" spans="1:11" x14ac:dyDescent="0.2">
      <c r="A870" t="s">
        <v>4091</v>
      </c>
      <c r="B870" t="s">
        <v>4092</v>
      </c>
      <c r="C870" t="s">
        <v>3929</v>
      </c>
      <c r="D870" t="s">
        <v>105</v>
      </c>
      <c r="E870">
        <v>159.99</v>
      </c>
      <c r="F870">
        <v>0</v>
      </c>
      <c r="G870">
        <v>25</v>
      </c>
      <c r="H870" t="s">
        <v>73</v>
      </c>
      <c r="I870">
        <v>0</v>
      </c>
      <c r="J870">
        <v>0</v>
      </c>
      <c r="K870">
        <v>0</v>
      </c>
    </row>
    <row r="871" spans="1:11" x14ac:dyDescent="0.2">
      <c r="A871" t="s">
        <v>5489</v>
      </c>
      <c r="B871" t="s">
        <v>5490</v>
      </c>
      <c r="C871" t="s">
        <v>5039</v>
      </c>
      <c r="D871" t="s">
        <v>98</v>
      </c>
      <c r="E871">
        <v>149.99</v>
      </c>
      <c r="F871">
        <v>0</v>
      </c>
      <c r="H871" t="s">
        <v>73</v>
      </c>
      <c r="I871">
        <v>0</v>
      </c>
      <c r="J871">
        <v>0</v>
      </c>
      <c r="K871">
        <v>0</v>
      </c>
    </row>
    <row r="872" spans="1:11" x14ac:dyDescent="0.2">
      <c r="A872" t="s">
        <v>5491</v>
      </c>
      <c r="B872" t="s">
        <v>5492</v>
      </c>
      <c r="C872" t="s">
        <v>3929</v>
      </c>
      <c r="D872" t="s">
        <v>98</v>
      </c>
      <c r="E872">
        <v>219.99</v>
      </c>
      <c r="F872">
        <v>0</v>
      </c>
      <c r="H872" t="s">
        <v>73</v>
      </c>
      <c r="I872">
        <v>0</v>
      </c>
      <c r="J872">
        <v>0</v>
      </c>
      <c r="K872">
        <v>0</v>
      </c>
    </row>
    <row r="873" spans="1:11" x14ac:dyDescent="0.2">
      <c r="A873" t="s">
        <v>3513</v>
      </c>
      <c r="B873" t="s">
        <v>3514</v>
      </c>
      <c r="C873" t="s">
        <v>3494</v>
      </c>
      <c r="D873" t="s">
        <v>138</v>
      </c>
      <c r="E873">
        <v>479.99</v>
      </c>
      <c r="F873">
        <v>0</v>
      </c>
      <c r="H873" t="s">
        <v>73</v>
      </c>
      <c r="I873">
        <v>0</v>
      </c>
      <c r="J873">
        <v>0</v>
      </c>
      <c r="K873">
        <v>0</v>
      </c>
    </row>
    <row r="874" spans="1:11" x14ac:dyDescent="0.2">
      <c r="A874" t="s">
        <v>5493</v>
      </c>
      <c r="B874" t="s">
        <v>5494</v>
      </c>
      <c r="C874" t="s">
        <v>3575</v>
      </c>
      <c r="D874" t="s">
        <v>138</v>
      </c>
      <c r="E874">
        <v>19.989999999999998</v>
      </c>
      <c r="F874">
        <v>0</v>
      </c>
      <c r="H874" t="s">
        <v>73</v>
      </c>
      <c r="I874">
        <v>0</v>
      </c>
      <c r="J874">
        <v>0</v>
      </c>
      <c r="K874">
        <v>0</v>
      </c>
    </row>
    <row r="875" spans="1:11" x14ac:dyDescent="0.2">
      <c r="A875" t="s">
        <v>106</v>
      </c>
      <c r="B875" t="s">
        <v>107</v>
      </c>
      <c r="C875" t="s">
        <v>95</v>
      </c>
      <c r="D875" t="s">
        <v>98</v>
      </c>
      <c r="E875">
        <v>29.99</v>
      </c>
      <c r="F875">
        <v>0</v>
      </c>
      <c r="H875" t="s">
        <v>73</v>
      </c>
      <c r="I875">
        <v>0</v>
      </c>
      <c r="J875">
        <v>0</v>
      </c>
      <c r="K875">
        <v>0</v>
      </c>
    </row>
    <row r="876" spans="1:11" x14ac:dyDescent="0.2">
      <c r="A876" t="s">
        <v>3505</v>
      </c>
      <c r="B876" t="s">
        <v>3506</v>
      </c>
      <c r="C876" t="s">
        <v>3494</v>
      </c>
      <c r="D876" t="s">
        <v>138</v>
      </c>
      <c r="E876">
        <v>299.99</v>
      </c>
      <c r="F876">
        <v>0</v>
      </c>
      <c r="H876" t="s">
        <v>73</v>
      </c>
      <c r="I876">
        <v>0</v>
      </c>
      <c r="J876">
        <v>0</v>
      </c>
      <c r="K876">
        <v>0</v>
      </c>
    </row>
    <row r="877" spans="1:11" x14ac:dyDescent="0.2">
      <c r="A877" t="s">
        <v>299</v>
      </c>
      <c r="B877" t="s">
        <v>300</v>
      </c>
      <c r="C877" t="s">
        <v>288</v>
      </c>
      <c r="D877" t="s">
        <v>98</v>
      </c>
      <c r="E877">
        <v>199.99</v>
      </c>
      <c r="F877">
        <v>0</v>
      </c>
      <c r="H877" t="s">
        <v>73</v>
      </c>
      <c r="I877">
        <v>0</v>
      </c>
      <c r="J877">
        <v>0</v>
      </c>
      <c r="K877">
        <v>0</v>
      </c>
    </row>
    <row r="878" spans="1:11" x14ac:dyDescent="0.2">
      <c r="A878" t="s">
        <v>3585</v>
      </c>
      <c r="B878" t="s">
        <v>3586</v>
      </c>
      <c r="C878" t="s">
        <v>3582</v>
      </c>
      <c r="D878" t="s">
        <v>98</v>
      </c>
      <c r="E878">
        <v>149.99</v>
      </c>
      <c r="F878">
        <v>0</v>
      </c>
      <c r="H878" t="s">
        <v>73</v>
      </c>
      <c r="I878">
        <v>0</v>
      </c>
      <c r="J878">
        <v>0</v>
      </c>
      <c r="K878">
        <v>0</v>
      </c>
    </row>
    <row r="879" spans="1:11" x14ac:dyDescent="0.2">
      <c r="A879" t="s">
        <v>2175</v>
      </c>
      <c r="B879" t="s">
        <v>2176</v>
      </c>
      <c r="C879" t="s">
        <v>2174</v>
      </c>
      <c r="D879" t="s">
        <v>98</v>
      </c>
      <c r="E879">
        <v>69.989999999999995</v>
      </c>
      <c r="F879">
        <v>0</v>
      </c>
      <c r="H879" t="s">
        <v>73</v>
      </c>
      <c r="I879">
        <v>0</v>
      </c>
      <c r="J879">
        <v>0</v>
      </c>
      <c r="K879">
        <v>0</v>
      </c>
    </row>
    <row r="880" spans="1:11" x14ac:dyDescent="0.2">
      <c r="A880" t="s">
        <v>5495</v>
      </c>
      <c r="B880" t="s">
        <v>5496</v>
      </c>
      <c r="C880" t="s">
        <v>5039</v>
      </c>
      <c r="D880" t="s">
        <v>98</v>
      </c>
      <c r="E880">
        <v>69.989999999999995</v>
      </c>
      <c r="F880">
        <v>0</v>
      </c>
      <c r="H880" t="s">
        <v>73</v>
      </c>
      <c r="I880">
        <v>0</v>
      </c>
      <c r="J880">
        <v>0</v>
      </c>
      <c r="K880">
        <v>0</v>
      </c>
    </row>
    <row r="881" spans="1:11" x14ac:dyDescent="0.2">
      <c r="A881" t="s">
        <v>5497</v>
      </c>
      <c r="B881" t="s">
        <v>5498</v>
      </c>
      <c r="C881" t="s">
        <v>3582</v>
      </c>
      <c r="D881" t="s">
        <v>98</v>
      </c>
      <c r="E881">
        <v>99.99</v>
      </c>
      <c r="F881">
        <v>0</v>
      </c>
      <c r="H881" t="s">
        <v>73</v>
      </c>
      <c r="I881">
        <v>0</v>
      </c>
      <c r="J881">
        <v>0</v>
      </c>
      <c r="K881">
        <v>0</v>
      </c>
    </row>
    <row r="882" spans="1:11" x14ac:dyDescent="0.2">
      <c r="A882" t="s">
        <v>370</v>
      </c>
      <c r="B882" t="s">
        <v>371</v>
      </c>
      <c r="C882" t="s">
        <v>307</v>
      </c>
      <c r="D882" t="s">
        <v>98</v>
      </c>
      <c r="E882">
        <v>1199.99</v>
      </c>
      <c r="F882">
        <v>0</v>
      </c>
      <c r="H882" t="s">
        <v>73</v>
      </c>
      <c r="I882">
        <v>0</v>
      </c>
      <c r="J882">
        <v>0</v>
      </c>
      <c r="K882">
        <v>0</v>
      </c>
    </row>
    <row r="883" spans="1:11" x14ac:dyDescent="0.2">
      <c r="A883" t="s">
        <v>4093</v>
      </c>
      <c r="B883" t="s">
        <v>4094</v>
      </c>
      <c r="C883" t="s">
        <v>3929</v>
      </c>
      <c r="D883" t="s">
        <v>105</v>
      </c>
      <c r="E883">
        <v>129.99</v>
      </c>
      <c r="F883">
        <v>129.99</v>
      </c>
      <c r="H883" t="s">
        <v>73</v>
      </c>
      <c r="I883">
        <v>0.5</v>
      </c>
      <c r="J883">
        <v>84</v>
      </c>
      <c r="K883">
        <v>42</v>
      </c>
    </row>
    <row r="884" spans="1:11" x14ac:dyDescent="0.2">
      <c r="A884" t="s">
        <v>3503</v>
      </c>
      <c r="B884" t="s">
        <v>3504</v>
      </c>
      <c r="C884" t="s">
        <v>3494</v>
      </c>
      <c r="D884" t="s">
        <v>98</v>
      </c>
      <c r="E884">
        <v>189.99</v>
      </c>
      <c r="F884">
        <v>0</v>
      </c>
      <c r="H884" t="s">
        <v>73</v>
      </c>
      <c r="I884">
        <v>0</v>
      </c>
      <c r="J884">
        <v>0</v>
      </c>
      <c r="K884">
        <v>0</v>
      </c>
    </row>
    <row r="885" spans="1:11" x14ac:dyDescent="0.2">
      <c r="A885" t="s">
        <v>5499</v>
      </c>
      <c r="B885" t="s">
        <v>5500</v>
      </c>
      <c r="C885" t="s">
        <v>5039</v>
      </c>
      <c r="D885" t="s">
        <v>98</v>
      </c>
      <c r="E885">
        <v>39.99</v>
      </c>
      <c r="F885">
        <v>0</v>
      </c>
      <c r="H885" t="s">
        <v>73</v>
      </c>
      <c r="I885">
        <v>0</v>
      </c>
      <c r="J885">
        <v>0</v>
      </c>
      <c r="K885">
        <v>0</v>
      </c>
    </row>
    <row r="886" spans="1:11" x14ac:dyDescent="0.2">
      <c r="A886" t="s">
        <v>5501</v>
      </c>
      <c r="B886" t="s">
        <v>5502</v>
      </c>
      <c r="C886" t="s">
        <v>5039</v>
      </c>
      <c r="D886" t="s">
        <v>98</v>
      </c>
      <c r="E886">
        <v>79.989999999999995</v>
      </c>
      <c r="F886">
        <v>0</v>
      </c>
      <c r="H886" t="s">
        <v>73</v>
      </c>
      <c r="I886">
        <v>0</v>
      </c>
      <c r="J886">
        <v>0</v>
      </c>
      <c r="K886">
        <v>0</v>
      </c>
    </row>
    <row r="887" spans="1:11" x14ac:dyDescent="0.2">
      <c r="A887" t="s">
        <v>3501</v>
      </c>
      <c r="B887" t="s">
        <v>3502</v>
      </c>
      <c r="C887" t="s">
        <v>3494</v>
      </c>
      <c r="D887" t="s">
        <v>138</v>
      </c>
      <c r="E887">
        <v>129.99</v>
      </c>
      <c r="F887">
        <v>0</v>
      </c>
      <c r="H887" t="s">
        <v>73</v>
      </c>
      <c r="I887">
        <v>0</v>
      </c>
      <c r="J887">
        <v>0</v>
      </c>
      <c r="K887">
        <v>0</v>
      </c>
    </row>
    <row r="888" spans="1:11" x14ac:dyDescent="0.2">
      <c r="A888" t="s">
        <v>5503</v>
      </c>
      <c r="B888" t="s">
        <v>5504</v>
      </c>
      <c r="C888" t="s">
        <v>5039</v>
      </c>
      <c r="D888" t="s">
        <v>98</v>
      </c>
      <c r="E888">
        <v>79.989999999999995</v>
      </c>
      <c r="F888">
        <v>0</v>
      </c>
      <c r="H888" t="s">
        <v>73</v>
      </c>
      <c r="I888">
        <v>0</v>
      </c>
      <c r="J888">
        <v>0</v>
      </c>
      <c r="K888">
        <v>0</v>
      </c>
    </row>
    <row r="889" spans="1:11" x14ac:dyDescent="0.2">
      <c r="A889" t="s">
        <v>352</v>
      </c>
      <c r="B889" t="s">
        <v>353</v>
      </c>
      <c r="C889" t="s">
        <v>307</v>
      </c>
      <c r="D889" t="s">
        <v>98</v>
      </c>
      <c r="E889">
        <v>1899.99</v>
      </c>
      <c r="F889">
        <v>0</v>
      </c>
      <c r="H889" t="s">
        <v>73</v>
      </c>
      <c r="I889">
        <v>0</v>
      </c>
      <c r="J889">
        <v>0</v>
      </c>
      <c r="K889">
        <v>0</v>
      </c>
    </row>
    <row r="890" spans="1:11" x14ac:dyDescent="0.2">
      <c r="A890" t="s">
        <v>5505</v>
      </c>
      <c r="B890" t="s">
        <v>5506</v>
      </c>
      <c r="C890" t="s">
        <v>3582</v>
      </c>
      <c r="D890" t="s">
        <v>98</v>
      </c>
      <c r="E890">
        <v>799.99</v>
      </c>
      <c r="F890">
        <v>0</v>
      </c>
      <c r="H890" t="s">
        <v>73</v>
      </c>
      <c r="I890">
        <v>0</v>
      </c>
      <c r="J890">
        <v>0</v>
      </c>
      <c r="K890">
        <v>0</v>
      </c>
    </row>
    <row r="891" spans="1:11" x14ac:dyDescent="0.2">
      <c r="A891" t="s">
        <v>118</v>
      </c>
      <c r="B891" t="s">
        <v>119</v>
      </c>
      <c r="C891" t="s">
        <v>95</v>
      </c>
      <c r="D891" t="s">
        <v>98</v>
      </c>
      <c r="E891">
        <v>149.99</v>
      </c>
      <c r="F891">
        <v>0</v>
      </c>
      <c r="H891" t="s">
        <v>73</v>
      </c>
      <c r="I891">
        <v>0</v>
      </c>
      <c r="J891">
        <v>0</v>
      </c>
      <c r="K891">
        <v>0</v>
      </c>
    </row>
    <row r="892" spans="1:11" x14ac:dyDescent="0.2">
      <c r="A892" t="s">
        <v>5507</v>
      </c>
      <c r="B892" t="s">
        <v>5508</v>
      </c>
      <c r="C892" t="s">
        <v>5509</v>
      </c>
      <c r="D892" t="s">
        <v>98</v>
      </c>
      <c r="E892">
        <v>19.989999999999998</v>
      </c>
      <c r="F892">
        <v>0</v>
      </c>
      <c r="H892" t="s">
        <v>73</v>
      </c>
      <c r="I892">
        <v>0</v>
      </c>
      <c r="J892">
        <v>0</v>
      </c>
      <c r="K892">
        <v>0</v>
      </c>
    </row>
    <row r="893" spans="1:11" x14ac:dyDescent="0.2">
      <c r="A893" t="s">
        <v>5510</v>
      </c>
      <c r="B893" t="s">
        <v>5511</v>
      </c>
      <c r="C893" t="s">
        <v>5039</v>
      </c>
      <c r="D893" t="s">
        <v>98</v>
      </c>
      <c r="E893">
        <v>69.989999999999995</v>
      </c>
      <c r="F893">
        <v>0</v>
      </c>
      <c r="H893" t="s">
        <v>73</v>
      </c>
      <c r="I893">
        <v>0</v>
      </c>
      <c r="J893">
        <v>0</v>
      </c>
      <c r="K893">
        <v>0</v>
      </c>
    </row>
    <row r="894" spans="1:11" x14ac:dyDescent="0.2">
      <c r="A894" t="s">
        <v>5512</v>
      </c>
      <c r="B894" t="s">
        <v>5513</v>
      </c>
      <c r="C894" t="s">
        <v>3582</v>
      </c>
      <c r="D894" t="s">
        <v>98</v>
      </c>
      <c r="E894">
        <v>199.99</v>
      </c>
      <c r="F894">
        <v>0</v>
      </c>
      <c r="H894" t="s">
        <v>73</v>
      </c>
      <c r="I894">
        <v>0</v>
      </c>
      <c r="J894">
        <v>0</v>
      </c>
      <c r="K894">
        <v>0</v>
      </c>
    </row>
    <row r="895" spans="1:11" x14ac:dyDescent="0.2">
      <c r="A895" t="s">
        <v>116</v>
      </c>
      <c r="B895" t="s">
        <v>117</v>
      </c>
      <c r="C895" t="s">
        <v>95</v>
      </c>
      <c r="D895" t="s">
        <v>98</v>
      </c>
      <c r="E895">
        <v>129.99</v>
      </c>
      <c r="F895">
        <v>0</v>
      </c>
      <c r="H895" t="s">
        <v>73</v>
      </c>
      <c r="I895">
        <v>0.16666666666666666</v>
      </c>
      <c r="J895">
        <v>12</v>
      </c>
      <c r="K895">
        <v>2</v>
      </c>
    </row>
    <row r="896" spans="1:11" x14ac:dyDescent="0.2">
      <c r="A896" t="s">
        <v>372</v>
      </c>
      <c r="B896" t="s">
        <v>373</v>
      </c>
      <c r="C896" t="s">
        <v>307</v>
      </c>
      <c r="D896" t="s">
        <v>98</v>
      </c>
      <c r="E896">
        <v>699.99</v>
      </c>
      <c r="F896">
        <v>0</v>
      </c>
      <c r="H896" t="s">
        <v>73</v>
      </c>
      <c r="I896">
        <v>0</v>
      </c>
      <c r="J896">
        <v>0</v>
      </c>
      <c r="K896">
        <v>0</v>
      </c>
    </row>
    <row r="897" spans="1:11" x14ac:dyDescent="0.2">
      <c r="A897" t="s">
        <v>5514</v>
      </c>
      <c r="B897" t="s">
        <v>5515</v>
      </c>
      <c r="C897" t="s">
        <v>2415</v>
      </c>
      <c r="D897" t="s">
        <v>98</v>
      </c>
      <c r="E897">
        <v>69.989999999999995</v>
      </c>
      <c r="F897">
        <v>0</v>
      </c>
      <c r="H897" t="s">
        <v>73</v>
      </c>
      <c r="I897">
        <v>0</v>
      </c>
      <c r="J897">
        <v>0</v>
      </c>
      <c r="K897">
        <v>0</v>
      </c>
    </row>
    <row r="898" spans="1:11" x14ac:dyDescent="0.2">
      <c r="A898" t="s">
        <v>5516</v>
      </c>
      <c r="B898" t="s">
        <v>5517</v>
      </c>
      <c r="C898" t="s">
        <v>3929</v>
      </c>
      <c r="D898" t="s">
        <v>98</v>
      </c>
      <c r="E898">
        <v>19.989999999999998</v>
      </c>
      <c r="F898">
        <v>0</v>
      </c>
      <c r="H898" t="s">
        <v>73</v>
      </c>
      <c r="I898">
        <v>0</v>
      </c>
      <c r="J898">
        <v>0</v>
      </c>
      <c r="K898">
        <v>0</v>
      </c>
    </row>
    <row r="899" spans="1:11" x14ac:dyDescent="0.2">
      <c r="A899" t="s">
        <v>5518</v>
      </c>
      <c r="B899" t="s">
        <v>5519</v>
      </c>
      <c r="C899" t="s">
        <v>5039</v>
      </c>
      <c r="D899" t="s">
        <v>98</v>
      </c>
      <c r="E899">
        <v>149.99</v>
      </c>
      <c r="F899">
        <v>0</v>
      </c>
      <c r="H899" t="s">
        <v>73</v>
      </c>
      <c r="I899">
        <v>0</v>
      </c>
      <c r="J899">
        <v>0</v>
      </c>
      <c r="K899">
        <v>0</v>
      </c>
    </row>
    <row r="900" spans="1:11" x14ac:dyDescent="0.2">
      <c r="A900" t="s">
        <v>5520</v>
      </c>
      <c r="B900" t="s">
        <v>5521</v>
      </c>
      <c r="C900" t="s">
        <v>3929</v>
      </c>
      <c r="D900" t="s">
        <v>138</v>
      </c>
      <c r="E900">
        <v>89.99</v>
      </c>
      <c r="F900">
        <v>0</v>
      </c>
      <c r="H900" t="s">
        <v>73</v>
      </c>
      <c r="I900">
        <v>0.16666666666666666</v>
      </c>
      <c r="J900">
        <v>84</v>
      </c>
      <c r="K900">
        <v>14</v>
      </c>
    </row>
    <row r="901" spans="1:11" x14ac:dyDescent="0.2">
      <c r="A901" t="s">
        <v>3511</v>
      </c>
      <c r="B901" t="s">
        <v>3512</v>
      </c>
      <c r="C901" t="s">
        <v>3494</v>
      </c>
      <c r="D901" t="s">
        <v>138</v>
      </c>
      <c r="E901">
        <v>499.99</v>
      </c>
      <c r="F901">
        <v>0</v>
      </c>
      <c r="H901" t="s">
        <v>73</v>
      </c>
      <c r="I901">
        <v>0</v>
      </c>
      <c r="J901">
        <v>0</v>
      </c>
      <c r="K901">
        <v>0</v>
      </c>
    </row>
    <row r="902" spans="1:11" x14ac:dyDescent="0.2">
      <c r="A902" t="s">
        <v>5522</v>
      </c>
      <c r="B902" t="s">
        <v>5523</v>
      </c>
      <c r="C902" t="s">
        <v>5039</v>
      </c>
      <c r="D902" t="s">
        <v>98</v>
      </c>
      <c r="E902">
        <v>99.99</v>
      </c>
      <c r="F902">
        <v>0</v>
      </c>
      <c r="H902" t="s">
        <v>73</v>
      </c>
      <c r="I902">
        <v>0</v>
      </c>
      <c r="J902">
        <v>0</v>
      </c>
      <c r="K902">
        <v>0</v>
      </c>
    </row>
    <row r="903" spans="1:11" x14ac:dyDescent="0.2">
      <c r="A903" t="s">
        <v>289</v>
      </c>
      <c r="B903" t="s">
        <v>290</v>
      </c>
      <c r="C903" t="s">
        <v>288</v>
      </c>
      <c r="D903" t="s">
        <v>98</v>
      </c>
      <c r="E903">
        <v>0</v>
      </c>
      <c r="F903">
        <v>0</v>
      </c>
      <c r="H903" t="s">
        <v>73</v>
      </c>
      <c r="I903">
        <v>0</v>
      </c>
      <c r="J903">
        <v>0</v>
      </c>
      <c r="K903">
        <v>0</v>
      </c>
    </row>
    <row r="904" spans="1:11" x14ac:dyDescent="0.2">
      <c r="A904" t="s">
        <v>5524</v>
      </c>
      <c r="B904" t="s">
        <v>5525</v>
      </c>
      <c r="C904" t="s">
        <v>2174</v>
      </c>
      <c r="D904" t="s">
        <v>98</v>
      </c>
      <c r="E904">
        <v>99.99</v>
      </c>
      <c r="F904">
        <v>0</v>
      </c>
      <c r="H904" t="s">
        <v>73</v>
      </c>
      <c r="I904">
        <v>0</v>
      </c>
      <c r="J904">
        <v>0</v>
      </c>
      <c r="K904">
        <v>0</v>
      </c>
    </row>
    <row r="905" spans="1:11" x14ac:dyDescent="0.2">
      <c r="A905" t="s">
        <v>5526</v>
      </c>
      <c r="B905" t="s">
        <v>5527</v>
      </c>
      <c r="C905" t="s">
        <v>3575</v>
      </c>
      <c r="D905" t="s">
        <v>98</v>
      </c>
      <c r="E905">
        <v>34.99</v>
      </c>
      <c r="F905">
        <v>0</v>
      </c>
      <c r="H905" t="s">
        <v>73</v>
      </c>
      <c r="I905">
        <v>0</v>
      </c>
      <c r="J905">
        <v>0</v>
      </c>
      <c r="K905">
        <v>0</v>
      </c>
    </row>
    <row r="906" spans="1:11" x14ac:dyDescent="0.2">
      <c r="A906" t="s">
        <v>2209</v>
      </c>
      <c r="B906" t="s">
        <v>2210</v>
      </c>
      <c r="C906" t="s">
        <v>2174</v>
      </c>
      <c r="D906" t="s">
        <v>98</v>
      </c>
      <c r="E906">
        <v>99.99</v>
      </c>
      <c r="F906">
        <v>0</v>
      </c>
      <c r="H906" t="s">
        <v>73</v>
      </c>
      <c r="I906">
        <v>0</v>
      </c>
      <c r="J906">
        <v>0</v>
      </c>
      <c r="K906">
        <v>0</v>
      </c>
    </row>
    <row r="907" spans="1:11" x14ac:dyDescent="0.2">
      <c r="A907" t="s">
        <v>5046</v>
      </c>
      <c r="B907" t="s">
        <v>5047</v>
      </c>
      <c r="C907" t="s">
        <v>5039</v>
      </c>
      <c r="D907" t="s">
        <v>98</v>
      </c>
      <c r="E907">
        <v>149.99</v>
      </c>
      <c r="F907">
        <v>0</v>
      </c>
      <c r="H907" t="s">
        <v>73</v>
      </c>
      <c r="I907">
        <v>0</v>
      </c>
      <c r="J907">
        <v>0</v>
      </c>
      <c r="K907">
        <v>0</v>
      </c>
    </row>
    <row r="908" spans="1:11" x14ac:dyDescent="0.2">
      <c r="A908" t="s">
        <v>3583</v>
      </c>
      <c r="B908" t="s">
        <v>3584</v>
      </c>
      <c r="C908" t="s">
        <v>3582</v>
      </c>
      <c r="D908" t="s">
        <v>98</v>
      </c>
      <c r="E908">
        <v>199.99</v>
      </c>
      <c r="F908">
        <v>0</v>
      </c>
      <c r="H908" t="s">
        <v>73</v>
      </c>
      <c r="I908">
        <v>0</v>
      </c>
      <c r="J908">
        <v>0</v>
      </c>
      <c r="K908">
        <v>0</v>
      </c>
    </row>
    <row r="909" spans="1:11" x14ac:dyDescent="0.2">
      <c r="A909" t="s">
        <v>293</v>
      </c>
      <c r="B909" t="s">
        <v>294</v>
      </c>
      <c r="C909" t="s">
        <v>288</v>
      </c>
      <c r="D909" t="s">
        <v>138</v>
      </c>
      <c r="E909">
        <v>199.99</v>
      </c>
      <c r="F909">
        <v>199.99</v>
      </c>
      <c r="G909">
        <v>93</v>
      </c>
      <c r="H909" t="s">
        <v>73</v>
      </c>
      <c r="I909">
        <v>0.16666666666666666</v>
      </c>
      <c r="J909">
        <v>0</v>
      </c>
      <c r="K909">
        <v>0</v>
      </c>
    </row>
    <row r="910" spans="1:11" x14ac:dyDescent="0.2">
      <c r="A910" t="s">
        <v>5528</v>
      </c>
      <c r="B910" t="s">
        <v>5529</v>
      </c>
      <c r="C910" t="s">
        <v>3575</v>
      </c>
      <c r="D910" t="s">
        <v>98</v>
      </c>
      <c r="E910">
        <v>34.99</v>
      </c>
      <c r="F910">
        <v>0</v>
      </c>
      <c r="H910" t="s">
        <v>73</v>
      </c>
      <c r="I910">
        <v>0</v>
      </c>
      <c r="J910">
        <v>0</v>
      </c>
      <c r="K910">
        <v>0</v>
      </c>
    </row>
    <row r="911" spans="1:11" x14ac:dyDescent="0.2">
      <c r="A911" t="s">
        <v>5530</v>
      </c>
      <c r="B911" t="s">
        <v>5531</v>
      </c>
      <c r="C911" t="s">
        <v>5039</v>
      </c>
      <c r="D911" t="s">
        <v>98</v>
      </c>
      <c r="E911">
        <v>99.99</v>
      </c>
      <c r="F911">
        <v>0</v>
      </c>
      <c r="H911" t="s">
        <v>73</v>
      </c>
      <c r="I911">
        <v>0</v>
      </c>
      <c r="J911">
        <v>0</v>
      </c>
      <c r="K911">
        <v>0</v>
      </c>
    </row>
    <row r="912" spans="1:11" x14ac:dyDescent="0.2">
      <c r="A912" t="s">
        <v>297</v>
      </c>
      <c r="B912" t="s">
        <v>298</v>
      </c>
      <c r="C912" t="s">
        <v>288</v>
      </c>
      <c r="D912" t="s">
        <v>98</v>
      </c>
      <c r="E912">
        <v>199.99</v>
      </c>
      <c r="F912">
        <v>0</v>
      </c>
      <c r="H912" t="s">
        <v>73</v>
      </c>
      <c r="I912">
        <v>0</v>
      </c>
      <c r="J912">
        <v>0</v>
      </c>
      <c r="K912">
        <v>0</v>
      </c>
    </row>
    <row r="913" spans="1:11" x14ac:dyDescent="0.2">
      <c r="A913" t="s">
        <v>5532</v>
      </c>
      <c r="B913" t="s">
        <v>5533</v>
      </c>
      <c r="C913" t="s">
        <v>3575</v>
      </c>
      <c r="D913" t="s">
        <v>98</v>
      </c>
      <c r="E913">
        <v>79.989999999999995</v>
      </c>
      <c r="F913">
        <v>0</v>
      </c>
      <c r="H913" t="s">
        <v>73</v>
      </c>
      <c r="I913">
        <v>0</v>
      </c>
      <c r="J913">
        <v>0</v>
      </c>
      <c r="K913">
        <v>0</v>
      </c>
    </row>
    <row r="914" spans="1:11" x14ac:dyDescent="0.2">
      <c r="A914" t="s">
        <v>2177</v>
      </c>
      <c r="B914" t="s">
        <v>2178</v>
      </c>
      <c r="C914" t="s">
        <v>2174</v>
      </c>
      <c r="D914" t="s">
        <v>98</v>
      </c>
      <c r="E914">
        <v>69.989999999999995</v>
      </c>
      <c r="F914">
        <v>0</v>
      </c>
      <c r="H914" t="s">
        <v>73</v>
      </c>
      <c r="I914">
        <v>0</v>
      </c>
      <c r="J914">
        <v>0</v>
      </c>
      <c r="K914">
        <v>0</v>
      </c>
    </row>
    <row r="915" spans="1:11" x14ac:dyDescent="0.2">
      <c r="A915" t="s">
        <v>3507</v>
      </c>
      <c r="B915" t="s">
        <v>3508</v>
      </c>
      <c r="C915" t="s">
        <v>3494</v>
      </c>
      <c r="D915" t="s">
        <v>138</v>
      </c>
      <c r="E915">
        <v>359.99</v>
      </c>
      <c r="F915">
        <v>0</v>
      </c>
      <c r="H915" t="s">
        <v>73</v>
      </c>
      <c r="I915">
        <v>0</v>
      </c>
      <c r="J915">
        <v>0</v>
      </c>
      <c r="K915">
        <v>0</v>
      </c>
    </row>
    <row r="916" spans="1:11" x14ac:dyDescent="0.2">
      <c r="A916" t="s">
        <v>5534</v>
      </c>
      <c r="B916" t="s">
        <v>5535</v>
      </c>
      <c r="C916" t="s">
        <v>5039</v>
      </c>
      <c r="D916" t="s">
        <v>98</v>
      </c>
      <c r="E916">
        <v>49.99</v>
      </c>
      <c r="F916">
        <v>0</v>
      </c>
      <c r="H916" t="s">
        <v>73</v>
      </c>
      <c r="I916">
        <v>0</v>
      </c>
      <c r="J916">
        <v>0</v>
      </c>
      <c r="K916">
        <v>0</v>
      </c>
    </row>
    <row r="917" spans="1:11" x14ac:dyDescent="0.2">
      <c r="A917" t="s">
        <v>295</v>
      </c>
      <c r="B917" t="s">
        <v>296</v>
      </c>
      <c r="C917" t="s">
        <v>288</v>
      </c>
      <c r="D917" t="s">
        <v>98</v>
      </c>
      <c r="E917">
        <v>199.99</v>
      </c>
      <c r="F917">
        <v>0</v>
      </c>
      <c r="H917" t="s">
        <v>73</v>
      </c>
      <c r="I917">
        <v>0.16666666666666666</v>
      </c>
      <c r="J917">
        <v>0</v>
      </c>
      <c r="K917">
        <v>0</v>
      </c>
    </row>
    <row r="918" spans="1:11" x14ac:dyDescent="0.2">
      <c r="A918" t="s">
        <v>3509</v>
      </c>
      <c r="B918" t="s">
        <v>3510</v>
      </c>
      <c r="C918" t="s">
        <v>3494</v>
      </c>
      <c r="D918" t="s">
        <v>138</v>
      </c>
      <c r="E918">
        <v>149.99</v>
      </c>
      <c r="F918">
        <v>0</v>
      </c>
      <c r="G918">
        <v>1</v>
      </c>
      <c r="H918" t="s">
        <v>73</v>
      </c>
      <c r="I918">
        <v>0</v>
      </c>
      <c r="J918">
        <v>0</v>
      </c>
      <c r="K918">
        <v>0</v>
      </c>
    </row>
    <row r="919" spans="1:11" x14ac:dyDescent="0.2">
      <c r="A919" t="s">
        <v>3893</v>
      </c>
      <c r="B919" t="s">
        <v>3894</v>
      </c>
      <c r="C919" t="s">
        <v>3876</v>
      </c>
      <c r="D919" t="s">
        <v>98</v>
      </c>
      <c r="E919">
        <v>59.99</v>
      </c>
      <c r="F919">
        <v>0</v>
      </c>
      <c r="H919" t="s">
        <v>73</v>
      </c>
      <c r="I919">
        <v>0</v>
      </c>
      <c r="J919">
        <v>0</v>
      </c>
      <c r="K919">
        <v>0</v>
      </c>
    </row>
    <row r="920" spans="1:11" x14ac:dyDescent="0.2">
      <c r="A920" t="s">
        <v>4237</v>
      </c>
      <c r="B920" t="s">
        <v>4238</v>
      </c>
      <c r="C920" t="s">
        <v>4230</v>
      </c>
      <c r="D920" t="s">
        <v>105</v>
      </c>
      <c r="E920">
        <v>379</v>
      </c>
      <c r="F920">
        <v>0</v>
      </c>
      <c r="G920">
        <v>187</v>
      </c>
      <c r="H920" t="s">
        <v>73</v>
      </c>
      <c r="I920">
        <v>0.5</v>
      </c>
      <c r="J920">
        <v>42</v>
      </c>
      <c r="K920">
        <v>21</v>
      </c>
    </row>
    <row r="921" spans="1:11" x14ac:dyDescent="0.2">
      <c r="A921" t="s">
        <v>5015</v>
      </c>
      <c r="B921" t="s">
        <v>5016</v>
      </c>
      <c r="C921" t="s">
        <v>5010</v>
      </c>
      <c r="D921" t="s">
        <v>98</v>
      </c>
      <c r="E921">
        <v>22.99</v>
      </c>
      <c r="F921">
        <v>0</v>
      </c>
      <c r="H921" t="s">
        <v>73</v>
      </c>
      <c r="I921">
        <v>0</v>
      </c>
      <c r="J921">
        <v>0</v>
      </c>
      <c r="K921">
        <v>0</v>
      </c>
    </row>
    <row r="922" spans="1:11" x14ac:dyDescent="0.2">
      <c r="A922" t="s">
        <v>5536</v>
      </c>
      <c r="B922" t="s">
        <v>5537</v>
      </c>
      <c r="C922" t="s">
        <v>4518</v>
      </c>
      <c r="D922" t="s">
        <v>98</v>
      </c>
      <c r="E922">
        <v>99.99</v>
      </c>
      <c r="F922">
        <v>0</v>
      </c>
      <c r="H922" t="s">
        <v>73</v>
      </c>
      <c r="I922">
        <v>0</v>
      </c>
      <c r="J922">
        <v>0</v>
      </c>
      <c r="K922">
        <v>0</v>
      </c>
    </row>
    <row r="923" spans="1:11" x14ac:dyDescent="0.2">
      <c r="A923" t="s">
        <v>3406</v>
      </c>
      <c r="B923" t="s">
        <v>3407</v>
      </c>
      <c r="C923" t="s">
        <v>3349</v>
      </c>
      <c r="D923" t="s">
        <v>138</v>
      </c>
      <c r="E923">
        <v>34.99</v>
      </c>
      <c r="F923">
        <v>0</v>
      </c>
      <c r="H923" t="s">
        <v>73</v>
      </c>
      <c r="I923">
        <v>0</v>
      </c>
      <c r="J923">
        <v>0</v>
      </c>
      <c r="K923">
        <v>0</v>
      </c>
    </row>
    <row r="924" spans="1:11" x14ac:dyDescent="0.2">
      <c r="A924" t="s">
        <v>5538</v>
      </c>
      <c r="B924" t="s">
        <v>5539</v>
      </c>
      <c r="C924" t="s">
        <v>4518</v>
      </c>
      <c r="D924" t="s">
        <v>98</v>
      </c>
      <c r="E924">
        <v>99.99</v>
      </c>
      <c r="F924">
        <v>0</v>
      </c>
      <c r="H924" t="s">
        <v>73</v>
      </c>
      <c r="I924">
        <v>0</v>
      </c>
      <c r="J924">
        <v>0</v>
      </c>
      <c r="K924">
        <v>0</v>
      </c>
    </row>
    <row r="925" spans="1:11" x14ac:dyDescent="0.2">
      <c r="A925" t="s">
        <v>5540</v>
      </c>
      <c r="B925" t="s">
        <v>5541</v>
      </c>
      <c r="C925" t="s">
        <v>904</v>
      </c>
      <c r="D925" t="s">
        <v>98</v>
      </c>
      <c r="E925">
        <v>9.99</v>
      </c>
      <c r="F925">
        <v>0</v>
      </c>
      <c r="H925" t="s">
        <v>73</v>
      </c>
      <c r="I925">
        <v>0</v>
      </c>
      <c r="J925">
        <v>0</v>
      </c>
      <c r="K925">
        <v>0</v>
      </c>
    </row>
    <row r="926" spans="1:11" x14ac:dyDescent="0.2">
      <c r="A926" t="s">
        <v>809</v>
      </c>
      <c r="B926" t="s">
        <v>810</v>
      </c>
      <c r="C926" t="s">
        <v>582</v>
      </c>
      <c r="D926" t="s">
        <v>98</v>
      </c>
      <c r="E926">
        <v>69.989999999999995</v>
      </c>
      <c r="F926">
        <v>209.96999999999997</v>
      </c>
      <c r="H926" t="s">
        <v>73</v>
      </c>
      <c r="I926">
        <v>0.5</v>
      </c>
      <c r="J926">
        <v>92</v>
      </c>
      <c r="K926">
        <v>46</v>
      </c>
    </row>
    <row r="927" spans="1:11" x14ac:dyDescent="0.2">
      <c r="A927" t="s">
        <v>823</v>
      </c>
      <c r="B927" t="s">
        <v>824</v>
      </c>
      <c r="C927" t="s">
        <v>582</v>
      </c>
      <c r="D927" t="s">
        <v>98</v>
      </c>
      <c r="E927">
        <v>79.989999999999995</v>
      </c>
      <c r="F927">
        <v>0</v>
      </c>
      <c r="G927">
        <v>36</v>
      </c>
      <c r="H927" t="s">
        <v>73</v>
      </c>
      <c r="I927">
        <v>0</v>
      </c>
      <c r="J927">
        <v>0</v>
      </c>
      <c r="K927">
        <v>0</v>
      </c>
    </row>
    <row r="928" spans="1:11" x14ac:dyDescent="0.2">
      <c r="A928" t="s">
        <v>5542</v>
      </c>
      <c r="B928" t="s">
        <v>5543</v>
      </c>
      <c r="C928" t="s">
        <v>3929</v>
      </c>
      <c r="D928" t="s">
        <v>98</v>
      </c>
      <c r="E928">
        <v>159.99</v>
      </c>
      <c r="F928">
        <v>0</v>
      </c>
      <c r="H928" t="s">
        <v>73</v>
      </c>
      <c r="I928">
        <v>0</v>
      </c>
      <c r="J928">
        <v>0</v>
      </c>
      <c r="K928">
        <v>0</v>
      </c>
    </row>
    <row r="929" spans="1:11" x14ac:dyDescent="0.2">
      <c r="A929" t="s">
        <v>4583</v>
      </c>
      <c r="B929" t="s">
        <v>4584</v>
      </c>
      <c r="C929" t="s">
        <v>4518</v>
      </c>
      <c r="D929" t="s">
        <v>138</v>
      </c>
      <c r="E929">
        <v>249.99</v>
      </c>
      <c r="F929">
        <v>0</v>
      </c>
      <c r="G929">
        <v>8</v>
      </c>
      <c r="H929" t="s">
        <v>73</v>
      </c>
      <c r="I929">
        <v>0</v>
      </c>
      <c r="J929">
        <v>0</v>
      </c>
      <c r="K929">
        <v>0</v>
      </c>
    </row>
    <row r="930" spans="1:11" x14ac:dyDescent="0.2">
      <c r="A930" t="s">
        <v>5544</v>
      </c>
      <c r="B930" t="s">
        <v>5545</v>
      </c>
      <c r="C930" t="s">
        <v>582</v>
      </c>
      <c r="D930" t="s">
        <v>98</v>
      </c>
      <c r="E930">
        <v>39.99</v>
      </c>
      <c r="F930">
        <v>0</v>
      </c>
      <c r="H930" t="s">
        <v>73</v>
      </c>
      <c r="I930">
        <v>0</v>
      </c>
      <c r="J930">
        <v>0</v>
      </c>
      <c r="K930">
        <v>0</v>
      </c>
    </row>
    <row r="931" spans="1:11" x14ac:dyDescent="0.2">
      <c r="A931" t="s">
        <v>3402</v>
      </c>
      <c r="B931" t="s">
        <v>3403</v>
      </c>
      <c r="C931" t="s">
        <v>3349</v>
      </c>
      <c r="D931" t="s">
        <v>105</v>
      </c>
      <c r="E931">
        <v>109.99</v>
      </c>
      <c r="F931">
        <v>0</v>
      </c>
      <c r="G931">
        <v>7</v>
      </c>
      <c r="H931" t="s">
        <v>73</v>
      </c>
      <c r="I931">
        <v>0</v>
      </c>
      <c r="J931">
        <v>0</v>
      </c>
      <c r="K931">
        <v>0</v>
      </c>
    </row>
    <row r="932" spans="1:11" x14ac:dyDescent="0.2">
      <c r="A932" t="s">
        <v>5546</v>
      </c>
      <c r="B932" t="s">
        <v>5547</v>
      </c>
      <c r="C932" t="s">
        <v>582</v>
      </c>
      <c r="D932" t="s">
        <v>98</v>
      </c>
      <c r="E932">
        <v>89.99</v>
      </c>
      <c r="F932">
        <v>0</v>
      </c>
      <c r="H932" t="s">
        <v>73</v>
      </c>
      <c r="I932">
        <v>0</v>
      </c>
      <c r="J932">
        <v>0</v>
      </c>
      <c r="K932">
        <v>0</v>
      </c>
    </row>
    <row r="933" spans="1:11" x14ac:dyDescent="0.2">
      <c r="A933" t="s">
        <v>3952</v>
      </c>
      <c r="B933" t="s">
        <v>3953</v>
      </c>
      <c r="C933" t="s">
        <v>3929</v>
      </c>
      <c r="D933" t="s">
        <v>105</v>
      </c>
      <c r="E933">
        <v>99.99</v>
      </c>
      <c r="F933">
        <v>99.99</v>
      </c>
      <c r="G933">
        <v>18</v>
      </c>
      <c r="H933" t="s">
        <v>73</v>
      </c>
      <c r="I933">
        <v>1</v>
      </c>
      <c r="J933">
        <v>20</v>
      </c>
      <c r="K933">
        <v>20</v>
      </c>
    </row>
    <row r="934" spans="1:11" x14ac:dyDescent="0.2">
      <c r="A934" t="s">
        <v>5548</v>
      </c>
      <c r="B934" t="s">
        <v>5549</v>
      </c>
      <c r="C934" t="s">
        <v>4518</v>
      </c>
      <c r="D934" t="s">
        <v>98</v>
      </c>
      <c r="E934">
        <v>249.99</v>
      </c>
      <c r="F934">
        <v>0</v>
      </c>
      <c r="H934" t="s">
        <v>73</v>
      </c>
      <c r="I934">
        <v>0</v>
      </c>
      <c r="J934">
        <v>0</v>
      </c>
      <c r="K934">
        <v>0</v>
      </c>
    </row>
    <row r="935" spans="1:11" x14ac:dyDescent="0.2">
      <c r="A935" t="s">
        <v>5550</v>
      </c>
      <c r="B935" t="s">
        <v>5551</v>
      </c>
      <c r="C935" t="s">
        <v>582</v>
      </c>
      <c r="D935" t="s">
        <v>98</v>
      </c>
      <c r="E935">
        <v>34.99</v>
      </c>
      <c r="F935">
        <v>0</v>
      </c>
      <c r="H935" t="s">
        <v>73</v>
      </c>
      <c r="I935">
        <v>0</v>
      </c>
      <c r="J935">
        <v>0</v>
      </c>
      <c r="K935">
        <v>0</v>
      </c>
    </row>
    <row r="936" spans="1:11" x14ac:dyDescent="0.2">
      <c r="A936" t="s">
        <v>5552</v>
      </c>
      <c r="B936" t="s">
        <v>5553</v>
      </c>
      <c r="C936" t="s">
        <v>3929</v>
      </c>
      <c r="D936" t="s">
        <v>98</v>
      </c>
      <c r="E936">
        <v>44.99</v>
      </c>
      <c r="F936">
        <v>0</v>
      </c>
      <c r="H936" t="s">
        <v>73</v>
      </c>
      <c r="I936">
        <v>0</v>
      </c>
      <c r="J936">
        <v>0</v>
      </c>
      <c r="K936">
        <v>0</v>
      </c>
    </row>
    <row r="937" spans="1:11" x14ac:dyDescent="0.2">
      <c r="A937" t="s">
        <v>3938</v>
      </c>
      <c r="B937" t="s">
        <v>3939</v>
      </c>
      <c r="C937" t="s">
        <v>3929</v>
      </c>
      <c r="D937" t="s">
        <v>105</v>
      </c>
      <c r="E937">
        <v>259.99</v>
      </c>
      <c r="F937">
        <v>259.99</v>
      </c>
      <c r="G937">
        <v>13</v>
      </c>
      <c r="H937" t="s">
        <v>73</v>
      </c>
      <c r="I937">
        <v>0.83333333333333337</v>
      </c>
      <c r="J937">
        <v>41</v>
      </c>
      <c r="K937">
        <v>34</v>
      </c>
    </row>
    <row r="938" spans="1:11" x14ac:dyDescent="0.2">
      <c r="A938" t="s">
        <v>4595</v>
      </c>
      <c r="B938" t="s">
        <v>4596</v>
      </c>
      <c r="C938" t="s">
        <v>4518</v>
      </c>
      <c r="D938" t="s">
        <v>98</v>
      </c>
      <c r="E938">
        <v>179.99</v>
      </c>
      <c r="F938">
        <v>0</v>
      </c>
      <c r="H938" t="s">
        <v>73</v>
      </c>
      <c r="I938">
        <v>0</v>
      </c>
      <c r="J938">
        <v>0</v>
      </c>
      <c r="K938">
        <v>0</v>
      </c>
    </row>
    <row r="939" spans="1:11" x14ac:dyDescent="0.2">
      <c r="A939" t="s">
        <v>5554</v>
      </c>
      <c r="B939" t="s">
        <v>5555</v>
      </c>
      <c r="C939" t="s">
        <v>904</v>
      </c>
      <c r="D939" t="s">
        <v>98</v>
      </c>
      <c r="E939">
        <v>29.99</v>
      </c>
      <c r="F939">
        <v>0</v>
      </c>
      <c r="H939" t="s">
        <v>73</v>
      </c>
      <c r="I939">
        <v>0</v>
      </c>
      <c r="J939">
        <v>0</v>
      </c>
      <c r="K939">
        <v>0</v>
      </c>
    </row>
    <row r="940" spans="1:11" x14ac:dyDescent="0.2">
      <c r="A940" t="s">
        <v>5556</v>
      </c>
      <c r="B940" t="s">
        <v>5557</v>
      </c>
      <c r="C940" t="s">
        <v>582</v>
      </c>
      <c r="D940" t="s">
        <v>98</v>
      </c>
      <c r="E940">
        <v>59.99</v>
      </c>
      <c r="F940">
        <v>0</v>
      </c>
      <c r="H940" t="s">
        <v>73</v>
      </c>
      <c r="I940">
        <v>0</v>
      </c>
      <c r="J940">
        <v>0</v>
      </c>
      <c r="K940">
        <v>0</v>
      </c>
    </row>
    <row r="941" spans="1:11" x14ac:dyDescent="0.2">
      <c r="A941" t="s">
        <v>3414</v>
      </c>
      <c r="B941" t="s">
        <v>3415</v>
      </c>
      <c r="C941" t="s">
        <v>3349</v>
      </c>
      <c r="D941" t="s">
        <v>138</v>
      </c>
      <c r="E941">
        <v>89.99</v>
      </c>
      <c r="F941">
        <v>0</v>
      </c>
      <c r="H941" t="s">
        <v>73</v>
      </c>
      <c r="I941">
        <v>0</v>
      </c>
      <c r="J941">
        <v>0</v>
      </c>
      <c r="K941">
        <v>0</v>
      </c>
    </row>
    <row r="942" spans="1:11" x14ac:dyDescent="0.2">
      <c r="A942" t="s">
        <v>3942</v>
      </c>
      <c r="B942" t="s">
        <v>3943</v>
      </c>
      <c r="C942" t="s">
        <v>3929</v>
      </c>
      <c r="D942" t="s">
        <v>105</v>
      </c>
      <c r="E942">
        <v>149.99</v>
      </c>
      <c r="F942">
        <v>0</v>
      </c>
      <c r="H942" t="s">
        <v>73</v>
      </c>
      <c r="I942">
        <v>0.5</v>
      </c>
      <c r="J942">
        <v>110</v>
      </c>
      <c r="K942">
        <v>55</v>
      </c>
    </row>
    <row r="943" spans="1:11" x14ac:dyDescent="0.2">
      <c r="A943" t="s">
        <v>5558</v>
      </c>
      <c r="B943" t="s">
        <v>5559</v>
      </c>
      <c r="C943" t="s">
        <v>904</v>
      </c>
      <c r="D943" t="s">
        <v>98</v>
      </c>
      <c r="E943">
        <v>29.99</v>
      </c>
      <c r="F943">
        <v>0</v>
      </c>
      <c r="H943" t="s">
        <v>73</v>
      </c>
      <c r="I943">
        <v>0</v>
      </c>
      <c r="J943">
        <v>0</v>
      </c>
      <c r="K943">
        <v>0</v>
      </c>
    </row>
    <row r="944" spans="1:11" x14ac:dyDescent="0.2">
      <c r="A944" t="s">
        <v>5560</v>
      </c>
      <c r="B944" t="s">
        <v>5561</v>
      </c>
      <c r="C944" t="s">
        <v>4518</v>
      </c>
      <c r="D944" t="s">
        <v>98</v>
      </c>
      <c r="E944">
        <v>119.99</v>
      </c>
      <c r="F944">
        <v>0</v>
      </c>
      <c r="H944" t="s">
        <v>73</v>
      </c>
      <c r="I944">
        <v>0</v>
      </c>
      <c r="J944">
        <v>0</v>
      </c>
      <c r="K944">
        <v>0</v>
      </c>
    </row>
    <row r="945" spans="1:11" x14ac:dyDescent="0.2">
      <c r="A945" t="s">
        <v>3410</v>
      </c>
      <c r="B945" t="s">
        <v>3411</v>
      </c>
      <c r="C945" t="s">
        <v>3349</v>
      </c>
      <c r="D945" t="s">
        <v>138</v>
      </c>
      <c r="E945">
        <v>99.99</v>
      </c>
      <c r="F945">
        <v>0</v>
      </c>
      <c r="H945" t="s">
        <v>73</v>
      </c>
      <c r="I945">
        <v>0</v>
      </c>
      <c r="J945">
        <v>0</v>
      </c>
      <c r="K945">
        <v>0</v>
      </c>
    </row>
    <row r="946" spans="1:11" x14ac:dyDescent="0.2">
      <c r="A946" t="s">
        <v>3944</v>
      </c>
      <c r="B946" t="s">
        <v>3945</v>
      </c>
      <c r="C946" t="s">
        <v>3929</v>
      </c>
      <c r="D946" t="s">
        <v>105</v>
      </c>
      <c r="E946">
        <v>179.99</v>
      </c>
      <c r="F946">
        <v>359.98</v>
      </c>
      <c r="G946">
        <v>9</v>
      </c>
      <c r="H946" t="s">
        <v>73</v>
      </c>
      <c r="I946">
        <v>1</v>
      </c>
      <c r="J946">
        <v>50</v>
      </c>
      <c r="K946">
        <v>50</v>
      </c>
    </row>
    <row r="947" spans="1:11" x14ac:dyDescent="0.2">
      <c r="A947" t="s">
        <v>4589</v>
      </c>
      <c r="B947" t="s">
        <v>4590</v>
      </c>
      <c r="C947" t="s">
        <v>4518</v>
      </c>
      <c r="D947" t="s">
        <v>98</v>
      </c>
      <c r="E947">
        <v>119.99</v>
      </c>
      <c r="F947">
        <v>0</v>
      </c>
      <c r="H947" t="s">
        <v>73</v>
      </c>
      <c r="I947">
        <v>0</v>
      </c>
      <c r="J947">
        <v>0</v>
      </c>
      <c r="K947">
        <v>0</v>
      </c>
    </row>
    <row r="948" spans="1:11" x14ac:dyDescent="0.2">
      <c r="A948" t="s">
        <v>3408</v>
      </c>
      <c r="B948" t="s">
        <v>3409</v>
      </c>
      <c r="C948" t="s">
        <v>3349</v>
      </c>
      <c r="D948" t="s">
        <v>138</v>
      </c>
      <c r="E948">
        <v>59.99</v>
      </c>
      <c r="F948">
        <v>0</v>
      </c>
      <c r="H948" t="s">
        <v>73</v>
      </c>
      <c r="I948">
        <v>0</v>
      </c>
      <c r="J948">
        <v>0</v>
      </c>
      <c r="K948">
        <v>0</v>
      </c>
    </row>
    <row r="949" spans="1:11" x14ac:dyDescent="0.2">
      <c r="A949" t="s">
        <v>5562</v>
      </c>
      <c r="B949" t="s">
        <v>5563</v>
      </c>
      <c r="C949" t="s">
        <v>582</v>
      </c>
      <c r="D949" t="s">
        <v>98</v>
      </c>
      <c r="E949">
        <v>99.99</v>
      </c>
      <c r="F949">
        <v>0</v>
      </c>
      <c r="H949" t="s">
        <v>73</v>
      </c>
      <c r="I949">
        <v>0</v>
      </c>
      <c r="J949">
        <v>0</v>
      </c>
      <c r="K949">
        <v>0</v>
      </c>
    </row>
    <row r="950" spans="1:11" x14ac:dyDescent="0.2">
      <c r="A950" t="s">
        <v>5564</v>
      </c>
      <c r="B950" t="s">
        <v>5565</v>
      </c>
      <c r="C950" t="s">
        <v>4518</v>
      </c>
      <c r="D950" t="s">
        <v>138</v>
      </c>
      <c r="E950">
        <v>119.99</v>
      </c>
      <c r="F950">
        <v>0</v>
      </c>
      <c r="H950" t="s">
        <v>73</v>
      </c>
      <c r="I950">
        <v>0</v>
      </c>
      <c r="J950">
        <v>0</v>
      </c>
      <c r="K950">
        <v>0</v>
      </c>
    </row>
    <row r="951" spans="1:11" x14ac:dyDescent="0.2">
      <c r="A951" t="s">
        <v>3372</v>
      </c>
      <c r="B951" t="s">
        <v>3373</v>
      </c>
      <c r="C951" t="s">
        <v>3349</v>
      </c>
      <c r="D951" t="s">
        <v>105</v>
      </c>
      <c r="E951">
        <v>99.99</v>
      </c>
      <c r="F951">
        <v>0</v>
      </c>
      <c r="H951" t="s">
        <v>73</v>
      </c>
      <c r="I951">
        <v>0</v>
      </c>
      <c r="J951">
        <v>0</v>
      </c>
      <c r="K951">
        <v>3</v>
      </c>
    </row>
    <row r="952" spans="1:11" x14ac:dyDescent="0.2">
      <c r="A952" t="s">
        <v>5566</v>
      </c>
      <c r="B952" t="s">
        <v>5567</v>
      </c>
      <c r="C952" t="s">
        <v>904</v>
      </c>
      <c r="D952" t="s">
        <v>98</v>
      </c>
      <c r="E952">
        <v>9.99</v>
      </c>
      <c r="F952">
        <v>0</v>
      </c>
      <c r="H952" t="s">
        <v>73</v>
      </c>
      <c r="I952">
        <v>0</v>
      </c>
      <c r="J952">
        <v>0</v>
      </c>
      <c r="K952">
        <v>0</v>
      </c>
    </row>
    <row r="953" spans="1:11" x14ac:dyDescent="0.2">
      <c r="A953" t="s">
        <v>3370</v>
      </c>
      <c r="B953" t="s">
        <v>3371</v>
      </c>
      <c r="C953" t="s">
        <v>3349</v>
      </c>
      <c r="D953" t="s">
        <v>105</v>
      </c>
      <c r="E953">
        <v>389.99</v>
      </c>
      <c r="F953">
        <v>0</v>
      </c>
      <c r="G953">
        <v>6</v>
      </c>
      <c r="H953" t="s">
        <v>73</v>
      </c>
      <c r="I953">
        <v>0</v>
      </c>
      <c r="J953">
        <v>0</v>
      </c>
      <c r="K953">
        <v>14</v>
      </c>
    </row>
    <row r="954" spans="1:11" x14ac:dyDescent="0.2">
      <c r="A954" t="s">
        <v>5568</v>
      </c>
      <c r="B954" t="s">
        <v>5569</v>
      </c>
      <c r="C954" t="s">
        <v>4518</v>
      </c>
      <c r="D954" t="s">
        <v>138</v>
      </c>
      <c r="E954">
        <v>169.99</v>
      </c>
      <c r="F954">
        <v>0</v>
      </c>
      <c r="H954" t="s">
        <v>73</v>
      </c>
      <c r="I954">
        <v>0</v>
      </c>
      <c r="J954">
        <v>0</v>
      </c>
      <c r="K954">
        <v>0</v>
      </c>
    </row>
    <row r="955" spans="1:11" x14ac:dyDescent="0.2">
      <c r="A955" t="s">
        <v>632</v>
      </c>
      <c r="B955" t="s">
        <v>633</v>
      </c>
      <c r="C955" t="s">
        <v>582</v>
      </c>
      <c r="D955" t="s">
        <v>138</v>
      </c>
      <c r="E955">
        <v>159.99</v>
      </c>
      <c r="F955">
        <v>0</v>
      </c>
      <c r="H955" t="s">
        <v>73</v>
      </c>
      <c r="I955">
        <v>0</v>
      </c>
      <c r="J955">
        <v>0</v>
      </c>
      <c r="K955">
        <v>0</v>
      </c>
    </row>
    <row r="956" spans="1:11" x14ac:dyDescent="0.2">
      <c r="A956" t="s">
        <v>3368</v>
      </c>
      <c r="B956" t="s">
        <v>3369</v>
      </c>
      <c r="C956" t="s">
        <v>3349</v>
      </c>
      <c r="D956" t="s">
        <v>105</v>
      </c>
      <c r="E956">
        <v>99.99</v>
      </c>
      <c r="F956">
        <v>0</v>
      </c>
      <c r="H956" t="s">
        <v>73</v>
      </c>
      <c r="I956">
        <v>0</v>
      </c>
      <c r="J956">
        <v>0</v>
      </c>
      <c r="K956">
        <v>3</v>
      </c>
    </row>
    <row r="957" spans="1:11" x14ac:dyDescent="0.2">
      <c r="A957" t="s">
        <v>4569</v>
      </c>
      <c r="B957" t="s">
        <v>4570</v>
      </c>
      <c r="C957" t="s">
        <v>4518</v>
      </c>
      <c r="D957" t="s">
        <v>138</v>
      </c>
      <c r="E957">
        <v>79.989999999999995</v>
      </c>
      <c r="F957">
        <v>0</v>
      </c>
      <c r="G957">
        <v>46</v>
      </c>
      <c r="H957" t="s">
        <v>73</v>
      </c>
      <c r="I957">
        <v>0</v>
      </c>
      <c r="J957">
        <v>0</v>
      </c>
      <c r="K957">
        <v>0</v>
      </c>
    </row>
    <row r="958" spans="1:11" x14ac:dyDescent="0.2">
      <c r="A958" t="s">
        <v>638</v>
      </c>
      <c r="B958" t="s">
        <v>639</v>
      </c>
      <c r="C958" t="s">
        <v>582</v>
      </c>
      <c r="D958" t="s">
        <v>98</v>
      </c>
      <c r="E958">
        <v>199.99</v>
      </c>
      <c r="F958">
        <v>199.99</v>
      </c>
      <c r="H958" t="s">
        <v>73</v>
      </c>
      <c r="I958">
        <v>0.83333333333333337</v>
      </c>
      <c r="J958">
        <v>6</v>
      </c>
      <c r="K958">
        <v>5</v>
      </c>
    </row>
    <row r="959" spans="1:11" x14ac:dyDescent="0.2">
      <c r="A959" t="s">
        <v>5570</v>
      </c>
      <c r="B959" t="s">
        <v>5571</v>
      </c>
      <c r="C959" t="s">
        <v>904</v>
      </c>
      <c r="D959" t="s">
        <v>98</v>
      </c>
      <c r="E959">
        <v>29.99</v>
      </c>
      <c r="F959">
        <v>0</v>
      </c>
      <c r="H959" t="s">
        <v>73</v>
      </c>
      <c r="I959">
        <v>0</v>
      </c>
      <c r="J959">
        <v>0</v>
      </c>
      <c r="K959">
        <v>0</v>
      </c>
    </row>
    <row r="960" spans="1:11" x14ac:dyDescent="0.2">
      <c r="A960" t="s">
        <v>3366</v>
      </c>
      <c r="B960" t="s">
        <v>3367</v>
      </c>
      <c r="C960" t="s">
        <v>3349</v>
      </c>
      <c r="D960" t="s">
        <v>105</v>
      </c>
      <c r="E960">
        <v>99.99</v>
      </c>
      <c r="F960">
        <v>0</v>
      </c>
      <c r="H960" t="s">
        <v>73</v>
      </c>
      <c r="I960">
        <v>0</v>
      </c>
      <c r="J960">
        <v>0</v>
      </c>
      <c r="K960">
        <v>13</v>
      </c>
    </row>
    <row r="961" spans="1:11" x14ac:dyDescent="0.2">
      <c r="A961" t="s">
        <v>605</v>
      </c>
      <c r="B961" t="s">
        <v>606</v>
      </c>
      <c r="C961" t="s">
        <v>582</v>
      </c>
      <c r="D961" t="s">
        <v>105</v>
      </c>
      <c r="E961">
        <v>199.99</v>
      </c>
      <c r="F961">
        <v>599.97</v>
      </c>
      <c r="G961">
        <v>16</v>
      </c>
      <c r="H961" t="s">
        <v>73</v>
      </c>
      <c r="I961">
        <v>1.6666666666666667</v>
      </c>
      <c r="J961">
        <v>36</v>
      </c>
      <c r="K961">
        <v>60</v>
      </c>
    </row>
    <row r="962" spans="1:11" x14ac:dyDescent="0.2">
      <c r="A962" t="s">
        <v>4575</v>
      </c>
      <c r="B962" t="s">
        <v>4576</v>
      </c>
      <c r="C962" t="s">
        <v>4518</v>
      </c>
      <c r="D962" t="s">
        <v>105</v>
      </c>
      <c r="E962">
        <v>149.99</v>
      </c>
      <c r="F962">
        <v>0</v>
      </c>
      <c r="H962" t="s">
        <v>73</v>
      </c>
      <c r="I962">
        <v>0.5</v>
      </c>
      <c r="J962">
        <v>8</v>
      </c>
      <c r="K962">
        <v>4</v>
      </c>
    </row>
    <row r="963" spans="1:11" x14ac:dyDescent="0.2">
      <c r="A963" t="s">
        <v>3386</v>
      </c>
      <c r="B963" t="s">
        <v>3387</v>
      </c>
      <c r="C963" t="s">
        <v>3349</v>
      </c>
      <c r="D963" t="s">
        <v>98</v>
      </c>
      <c r="E963">
        <v>359.99</v>
      </c>
      <c r="F963">
        <v>0</v>
      </c>
      <c r="H963" t="s">
        <v>73</v>
      </c>
      <c r="I963">
        <v>0</v>
      </c>
      <c r="J963">
        <v>0</v>
      </c>
      <c r="K963">
        <v>0</v>
      </c>
    </row>
    <row r="964" spans="1:11" x14ac:dyDescent="0.2">
      <c r="A964" t="s">
        <v>5572</v>
      </c>
      <c r="B964" t="s">
        <v>5573</v>
      </c>
      <c r="C964" t="s">
        <v>4518</v>
      </c>
      <c r="D964" t="s">
        <v>98</v>
      </c>
      <c r="E964">
        <v>79.989999999999995</v>
      </c>
      <c r="F964">
        <v>0</v>
      </c>
      <c r="H964" t="s">
        <v>73</v>
      </c>
      <c r="I964">
        <v>0</v>
      </c>
      <c r="J964">
        <v>0</v>
      </c>
      <c r="K964">
        <v>0</v>
      </c>
    </row>
    <row r="965" spans="1:11" x14ac:dyDescent="0.2">
      <c r="A965" t="s">
        <v>5574</v>
      </c>
      <c r="B965" t="s">
        <v>5575</v>
      </c>
      <c r="C965" t="s">
        <v>4518</v>
      </c>
      <c r="D965" t="s">
        <v>98</v>
      </c>
      <c r="E965">
        <v>79.989999999999995</v>
      </c>
      <c r="F965">
        <v>0</v>
      </c>
      <c r="H965" t="s">
        <v>73</v>
      </c>
      <c r="I965">
        <v>0</v>
      </c>
      <c r="J965">
        <v>0</v>
      </c>
      <c r="K965">
        <v>0</v>
      </c>
    </row>
    <row r="966" spans="1:11" x14ac:dyDescent="0.2">
      <c r="A966" t="s">
        <v>5576</v>
      </c>
      <c r="B966" t="s">
        <v>5577</v>
      </c>
      <c r="C966" t="s">
        <v>904</v>
      </c>
      <c r="D966" t="s">
        <v>98</v>
      </c>
      <c r="E966">
        <v>9.99</v>
      </c>
      <c r="F966">
        <v>0</v>
      </c>
      <c r="H966" t="s">
        <v>73</v>
      </c>
      <c r="I966">
        <v>0</v>
      </c>
      <c r="J966">
        <v>0</v>
      </c>
      <c r="K966">
        <v>0</v>
      </c>
    </row>
    <row r="967" spans="1:11" x14ac:dyDescent="0.2">
      <c r="A967" t="s">
        <v>4581</v>
      </c>
      <c r="B967" t="s">
        <v>4582</v>
      </c>
      <c r="C967" t="s">
        <v>4518</v>
      </c>
      <c r="D967" t="s">
        <v>105</v>
      </c>
      <c r="E967">
        <v>249.99</v>
      </c>
      <c r="F967">
        <v>0</v>
      </c>
      <c r="H967" t="s">
        <v>73</v>
      </c>
      <c r="I967">
        <v>0</v>
      </c>
      <c r="J967">
        <v>0</v>
      </c>
      <c r="K967">
        <v>0</v>
      </c>
    </row>
    <row r="968" spans="1:11" x14ac:dyDescent="0.2">
      <c r="A968" t="s">
        <v>5578</v>
      </c>
      <c r="B968" t="s">
        <v>5579</v>
      </c>
      <c r="C968" t="s">
        <v>4518</v>
      </c>
      <c r="D968" t="s">
        <v>98</v>
      </c>
      <c r="E968">
        <v>139.99</v>
      </c>
      <c r="F968">
        <v>0</v>
      </c>
      <c r="H968" t="s">
        <v>73</v>
      </c>
      <c r="I968">
        <v>0</v>
      </c>
      <c r="J968">
        <v>0</v>
      </c>
      <c r="K968">
        <v>0</v>
      </c>
    </row>
    <row r="969" spans="1:11" x14ac:dyDescent="0.2">
      <c r="A969" t="s">
        <v>5580</v>
      </c>
      <c r="B969" t="s">
        <v>5581</v>
      </c>
      <c r="C969" t="s">
        <v>904</v>
      </c>
      <c r="D969" t="s">
        <v>98</v>
      </c>
      <c r="E969">
        <v>9.99</v>
      </c>
      <c r="F969">
        <v>0</v>
      </c>
      <c r="H969" t="s">
        <v>73</v>
      </c>
      <c r="I969">
        <v>0</v>
      </c>
      <c r="J969">
        <v>0</v>
      </c>
      <c r="K969">
        <v>0</v>
      </c>
    </row>
    <row r="970" spans="1:11" x14ac:dyDescent="0.2">
      <c r="A970" t="s">
        <v>4579</v>
      </c>
      <c r="B970" t="s">
        <v>4580</v>
      </c>
      <c r="C970" t="s">
        <v>4518</v>
      </c>
      <c r="D970" t="s">
        <v>105</v>
      </c>
      <c r="E970">
        <v>139.99</v>
      </c>
      <c r="F970">
        <v>0</v>
      </c>
      <c r="G970">
        <v>21</v>
      </c>
      <c r="H970" t="s">
        <v>73</v>
      </c>
      <c r="I970">
        <v>0.16666666666666666</v>
      </c>
      <c r="J970">
        <v>0</v>
      </c>
      <c r="K970">
        <v>0</v>
      </c>
    </row>
    <row r="971" spans="1:11" x14ac:dyDescent="0.2">
      <c r="A971" t="s">
        <v>5582</v>
      </c>
      <c r="B971" t="s">
        <v>5583</v>
      </c>
      <c r="C971" t="s">
        <v>3929</v>
      </c>
      <c r="D971" t="s">
        <v>98</v>
      </c>
      <c r="E971">
        <v>64.989999999999995</v>
      </c>
      <c r="F971">
        <v>0</v>
      </c>
      <c r="H971" t="s">
        <v>73</v>
      </c>
      <c r="I971">
        <v>0</v>
      </c>
      <c r="J971">
        <v>0</v>
      </c>
      <c r="K971">
        <v>0</v>
      </c>
    </row>
    <row r="972" spans="1:11" x14ac:dyDescent="0.2">
      <c r="A972" t="s">
        <v>3416</v>
      </c>
      <c r="B972" t="s">
        <v>3417</v>
      </c>
      <c r="C972" t="s">
        <v>3349</v>
      </c>
      <c r="D972" t="s">
        <v>138</v>
      </c>
      <c r="E972">
        <v>49.99</v>
      </c>
      <c r="F972">
        <v>0</v>
      </c>
      <c r="H972" t="s">
        <v>73</v>
      </c>
      <c r="I972">
        <v>0</v>
      </c>
      <c r="J972">
        <v>0</v>
      </c>
      <c r="K972">
        <v>0</v>
      </c>
    </row>
    <row r="973" spans="1:11" x14ac:dyDescent="0.2">
      <c r="A973" t="s">
        <v>3412</v>
      </c>
      <c r="B973" t="s">
        <v>3413</v>
      </c>
      <c r="C973" t="s">
        <v>3349</v>
      </c>
      <c r="D973" t="s">
        <v>105</v>
      </c>
      <c r="E973">
        <v>149.99</v>
      </c>
      <c r="F973">
        <v>0</v>
      </c>
      <c r="H973" t="s">
        <v>73</v>
      </c>
      <c r="I973">
        <v>0.33333333333333331</v>
      </c>
      <c r="J973">
        <v>0</v>
      </c>
      <c r="K973">
        <v>0</v>
      </c>
    </row>
    <row r="974" spans="1:11" x14ac:dyDescent="0.2">
      <c r="A974" t="s">
        <v>3444</v>
      </c>
      <c r="B974" t="s">
        <v>3445</v>
      </c>
      <c r="C974" t="s">
        <v>3349</v>
      </c>
      <c r="D974" t="s">
        <v>105</v>
      </c>
      <c r="E974">
        <v>119.99</v>
      </c>
      <c r="F974">
        <v>0</v>
      </c>
      <c r="G974">
        <v>15</v>
      </c>
      <c r="H974" t="s">
        <v>73</v>
      </c>
      <c r="I974">
        <v>0</v>
      </c>
      <c r="J974">
        <v>0</v>
      </c>
      <c r="K974">
        <v>0</v>
      </c>
    </row>
    <row r="975" spans="1:11" x14ac:dyDescent="0.2">
      <c r="A975" t="s">
        <v>5584</v>
      </c>
      <c r="B975" t="s">
        <v>5585</v>
      </c>
      <c r="C975" t="s">
        <v>3929</v>
      </c>
      <c r="D975" t="s">
        <v>98</v>
      </c>
      <c r="E975">
        <v>199.99</v>
      </c>
      <c r="F975">
        <v>0</v>
      </c>
      <c r="H975" t="s">
        <v>73</v>
      </c>
      <c r="I975">
        <v>0</v>
      </c>
      <c r="J975">
        <v>0</v>
      </c>
      <c r="K975">
        <v>60</v>
      </c>
    </row>
    <row r="976" spans="1:11" x14ac:dyDescent="0.2">
      <c r="A976" t="s">
        <v>3438</v>
      </c>
      <c r="B976" t="s">
        <v>3439</v>
      </c>
      <c r="C976" t="s">
        <v>3349</v>
      </c>
      <c r="D976" t="s">
        <v>98</v>
      </c>
      <c r="E976">
        <v>129.99</v>
      </c>
      <c r="F976">
        <v>0</v>
      </c>
      <c r="H976" t="s">
        <v>73</v>
      </c>
      <c r="I976">
        <v>0</v>
      </c>
      <c r="J976">
        <v>0</v>
      </c>
      <c r="K976">
        <v>0</v>
      </c>
    </row>
    <row r="977" spans="1:11" x14ac:dyDescent="0.2">
      <c r="A977" t="s">
        <v>422</v>
      </c>
      <c r="B977" t="s">
        <v>423</v>
      </c>
      <c r="C977" t="s">
        <v>307</v>
      </c>
      <c r="D977" t="s">
        <v>98</v>
      </c>
      <c r="E977">
        <v>449</v>
      </c>
      <c r="F977">
        <v>0</v>
      </c>
      <c r="H977" t="s">
        <v>73</v>
      </c>
      <c r="I977">
        <v>0</v>
      </c>
      <c r="J977">
        <v>0</v>
      </c>
      <c r="K977">
        <v>0</v>
      </c>
    </row>
    <row r="978" spans="1:11" x14ac:dyDescent="0.2">
      <c r="A978" t="s">
        <v>3432</v>
      </c>
      <c r="B978" t="s">
        <v>3433</v>
      </c>
      <c r="C978" t="s">
        <v>3349</v>
      </c>
      <c r="D978" t="s">
        <v>138</v>
      </c>
      <c r="E978">
        <v>119.99</v>
      </c>
      <c r="F978">
        <v>0</v>
      </c>
      <c r="H978" t="s">
        <v>73</v>
      </c>
      <c r="I978">
        <v>0</v>
      </c>
      <c r="J978">
        <v>0</v>
      </c>
      <c r="K978">
        <v>0</v>
      </c>
    </row>
    <row r="979" spans="1:11" x14ac:dyDescent="0.2">
      <c r="A979" t="s">
        <v>3908</v>
      </c>
      <c r="B979" t="s">
        <v>3909</v>
      </c>
      <c r="C979" t="s">
        <v>3876</v>
      </c>
      <c r="D979" t="s">
        <v>105</v>
      </c>
      <c r="E979">
        <v>69.989999999999995</v>
      </c>
      <c r="F979">
        <v>0</v>
      </c>
      <c r="G979">
        <v>81</v>
      </c>
      <c r="H979" t="s">
        <v>73</v>
      </c>
      <c r="I979">
        <v>1.1666666666666667</v>
      </c>
      <c r="J979">
        <v>52</v>
      </c>
      <c r="K979">
        <v>61</v>
      </c>
    </row>
    <row r="980" spans="1:11" x14ac:dyDescent="0.2">
      <c r="A980" t="s">
        <v>404</v>
      </c>
      <c r="B980" t="s">
        <v>405</v>
      </c>
      <c r="C980" t="s">
        <v>307</v>
      </c>
      <c r="D980" t="s">
        <v>98</v>
      </c>
      <c r="E980">
        <v>1699.99</v>
      </c>
      <c r="F980">
        <v>0</v>
      </c>
      <c r="H980" t="s">
        <v>73</v>
      </c>
      <c r="I980">
        <v>0</v>
      </c>
      <c r="J980">
        <v>0</v>
      </c>
      <c r="K980">
        <v>0</v>
      </c>
    </row>
    <row r="981" spans="1:11" x14ac:dyDescent="0.2">
      <c r="A981" t="s">
        <v>3430</v>
      </c>
      <c r="B981" t="s">
        <v>3431</v>
      </c>
      <c r="C981" t="s">
        <v>3349</v>
      </c>
      <c r="D981" t="s">
        <v>138</v>
      </c>
      <c r="E981">
        <v>49.99</v>
      </c>
      <c r="F981">
        <v>0</v>
      </c>
      <c r="G981">
        <v>37</v>
      </c>
      <c r="H981" t="s">
        <v>73</v>
      </c>
      <c r="I981">
        <v>0</v>
      </c>
      <c r="J981">
        <v>0</v>
      </c>
      <c r="K981">
        <v>0</v>
      </c>
    </row>
    <row r="982" spans="1:11" x14ac:dyDescent="0.2">
      <c r="A982" t="s">
        <v>5100</v>
      </c>
      <c r="B982" t="s">
        <v>5101</v>
      </c>
      <c r="C982" t="s">
        <v>3929</v>
      </c>
      <c r="D982" t="s">
        <v>98</v>
      </c>
      <c r="E982">
        <v>189.99</v>
      </c>
      <c r="F982">
        <v>0</v>
      </c>
      <c r="H982" t="s">
        <v>73</v>
      </c>
      <c r="I982">
        <v>0.5</v>
      </c>
      <c r="J982">
        <v>288</v>
      </c>
      <c r="K982">
        <v>144</v>
      </c>
    </row>
    <row r="983" spans="1:11" x14ac:dyDescent="0.2">
      <c r="A983" t="s">
        <v>3446</v>
      </c>
      <c r="B983" t="s">
        <v>3447</v>
      </c>
      <c r="C983" t="s">
        <v>3349</v>
      </c>
      <c r="D983" t="s">
        <v>98</v>
      </c>
      <c r="E983">
        <v>559.99</v>
      </c>
      <c r="F983">
        <v>0</v>
      </c>
      <c r="H983" t="s">
        <v>73</v>
      </c>
      <c r="I983">
        <v>0</v>
      </c>
      <c r="J983">
        <v>0</v>
      </c>
      <c r="K983">
        <v>0</v>
      </c>
    </row>
    <row r="984" spans="1:11" x14ac:dyDescent="0.2">
      <c r="A984" t="s">
        <v>323</v>
      </c>
      <c r="B984" t="s">
        <v>324</v>
      </c>
      <c r="C984" t="s">
        <v>307</v>
      </c>
      <c r="D984" t="s">
        <v>98</v>
      </c>
      <c r="E984">
        <v>1499.99</v>
      </c>
      <c r="F984">
        <v>0</v>
      </c>
      <c r="H984" t="s">
        <v>73</v>
      </c>
      <c r="I984">
        <v>0</v>
      </c>
      <c r="J984">
        <v>0</v>
      </c>
      <c r="K984">
        <v>0</v>
      </c>
    </row>
    <row r="985" spans="1:11" x14ac:dyDescent="0.2">
      <c r="A985" t="s">
        <v>5586</v>
      </c>
      <c r="B985" t="s">
        <v>5587</v>
      </c>
      <c r="C985" t="s">
        <v>904</v>
      </c>
      <c r="D985" t="s">
        <v>98</v>
      </c>
      <c r="E985">
        <v>119.99</v>
      </c>
      <c r="F985">
        <v>0</v>
      </c>
      <c r="H985" t="s">
        <v>73</v>
      </c>
      <c r="I985">
        <v>0</v>
      </c>
      <c r="J985">
        <v>0</v>
      </c>
      <c r="K985">
        <v>0</v>
      </c>
    </row>
    <row r="986" spans="1:11" x14ac:dyDescent="0.2">
      <c r="A986" t="s">
        <v>5588</v>
      </c>
      <c r="B986" t="s">
        <v>5589</v>
      </c>
      <c r="C986" t="s">
        <v>2415</v>
      </c>
      <c r="D986" t="s">
        <v>98</v>
      </c>
      <c r="E986">
        <v>449</v>
      </c>
      <c r="F986">
        <v>0</v>
      </c>
      <c r="H986" t="s">
        <v>73</v>
      </c>
      <c r="I986">
        <v>0</v>
      </c>
      <c r="J986">
        <v>0</v>
      </c>
      <c r="K986">
        <v>0</v>
      </c>
    </row>
    <row r="987" spans="1:11" x14ac:dyDescent="0.2">
      <c r="A987" t="s">
        <v>5590</v>
      </c>
      <c r="B987" t="s">
        <v>5591</v>
      </c>
      <c r="C987" t="s">
        <v>904</v>
      </c>
      <c r="D987" t="s">
        <v>98</v>
      </c>
      <c r="E987">
        <v>99.99</v>
      </c>
      <c r="F987">
        <v>0</v>
      </c>
      <c r="H987" t="s">
        <v>73</v>
      </c>
      <c r="I987">
        <v>0</v>
      </c>
      <c r="J987">
        <v>0</v>
      </c>
      <c r="K987">
        <v>0</v>
      </c>
    </row>
    <row r="988" spans="1:11" x14ac:dyDescent="0.2">
      <c r="A988" t="s">
        <v>330</v>
      </c>
      <c r="B988" t="s">
        <v>331</v>
      </c>
      <c r="C988" t="s">
        <v>307</v>
      </c>
      <c r="D988" t="s">
        <v>98</v>
      </c>
      <c r="E988">
        <v>2099.9899999999998</v>
      </c>
      <c r="F988">
        <v>0</v>
      </c>
      <c r="H988" t="s">
        <v>73</v>
      </c>
      <c r="I988">
        <v>0</v>
      </c>
      <c r="J988">
        <v>0</v>
      </c>
      <c r="K988">
        <v>0</v>
      </c>
    </row>
    <row r="989" spans="1:11" x14ac:dyDescent="0.2">
      <c r="A989" t="s">
        <v>3460</v>
      </c>
      <c r="B989" t="s">
        <v>3461</v>
      </c>
      <c r="C989" t="s">
        <v>3349</v>
      </c>
      <c r="D989" t="s">
        <v>105</v>
      </c>
      <c r="E989">
        <v>24.99</v>
      </c>
      <c r="F989">
        <v>0</v>
      </c>
      <c r="G989">
        <v>80</v>
      </c>
      <c r="H989" t="s">
        <v>73</v>
      </c>
      <c r="I989">
        <v>0.16666666666666666</v>
      </c>
      <c r="J989">
        <v>0</v>
      </c>
      <c r="K989">
        <v>0</v>
      </c>
    </row>
    <row r="990" spans="1:11" x14ac:dyDescent="0.2">
      <c r="A990" t="s">
        <v>3895</v>
      </c>
      <c r="B990" t="s">
        <v>3896</v>
      </c>
      <c r="C990" t="s">
        <v>3876</v>
      </c>
      <c r="D990" t="s">
        <v>98</v>
      </c>
      <c r="E990">
        <v>59.99</v>
      </c>
      <c r="F990">
        <v>0</v>
      </c>
      <c r="H990" t="s">
        <v>73</v>
      </c>
      <c r="I990">
        <v>0</v>
      </c>
      <c r="J990">
        <v>0</v>
      </c>
      <c r="K990">
        <v>0</v>
      </c>
    </row>
    <row r="991" spans="1:11" x14ac:dyDescent="0.2">
      <c r="A991" t="s">
        <v>5013</v>
      </c>
      <c r="B991" t="s">
        <v>5014</v>
      </c>
      <c r="C991" t="s">
        <v>5010</v>
      </c>
      <c r="D991" t="s">
        <v>98</v>
      </c>
      <c r="E991">
        <v>29.99</v>
      </c>
      <c r="F991">
        <v>0</v>
      </c>
      <c r="H991" t="s">
        <v>73</v>
      </c>
      <c r="I991">
        <v>0</v>
      </c>
      <c r="J991">
        <v>0</v>
      </c>
      <c r="K991">
        <v>0</v>
      </c>
    </row>
    <row r="992" spans="1:11" x14ac:dyDescent="0.2">
      <c r="A992" t="s">
        <v>348</v>
      </c>
      <c r="B992" t="s">
        <v>349</v>
      </c>
      <c r="C992" t="s">
        <v>307</v>
      </c>
      <c r="D992" t="s">
        <v>98</v>
      </c>
      <c r="E992">
        <v>299.99</v>
      </c>
      <c r="F992">
        <v>0</v>
      </c>
      <c r="H992" t="s">
        <v>73</v>
      </c>
      <c r="I992">
        <v>0</v>
      </c>
      <c r="J992">
        <v>0</v>
      </c>
      <c r="K992">
        <v>0</v>
      </c>
    </row>
    <row r="993" spans="1:11" x14ac:dyDescent="0.2">
      <c r="A993" t="s">
        <v>5592</v>
      </c>
      <c r="B993" t="s">
        <v>5593</v>
      </c>
      <c r="C993" t="s">
        <v>2415</v>
      </c>
      <c r="D993" t="s">
        <v>98</v>
      </c>
      <c r="E993">
        <v>139.99</v>
      </c>
      <c r="F993">
        <v>0</v>
      </c>
      <c r="H993" t="s">
        <v>73</v>
      </c>
      <c r="I993">
        <v>0</v>
      </c>
      <c r="J993">
        <v>0</v>
      </c>
      <c r="K993">
        <v>0</v>
      </c>
    </row>
    <row r="994" spans="1:11" x14ac:dyDescent="0.2">
      <c r="A994" t="s">
        <v>3458</v>
      </c>
      <c r="B994" t="s">
        <v>3459</v>
      </c>
      <c r="C994" t="s">
        <v>3349</v>
      </c>
      <c r="D994" t="s">
        <v>105</v>
      </c>
      <c r="E994">
        <v>19.989999999999998</v>
      </c>
      <c r="F994">
        <v>0</v>
      </c>
      <c r="H994" t="s">
        <v>73</v>
      </c>
      <c r="I994">
        <v>0</v>
      </c>
      <c r="J994">
        <v>0</v>
      </c>
      <c r="K994">
        <v>0</v>
      </c>
    </row>
    <row r="995" spans="1:11" x14ac:dyDescent="0.2">
      <c r="A995" t="s">
        <v>5594</v>
      </c>
      <c r="B995" t="s">
        <v>5595</v>
      </c>
      <c r="C995" t="s">
        <v>2415</v>
      </c>
      <c r="D995" t="s">
        <v>98</v>
      </c>
      <c r="E995">
        <v>139.99</v>
      </c>
      <c r="F995">
        <v>0</v>
      </c>
      <c r="H995" t="s">
        <v>73</v>
      </c>
      <c r="I995">
        <v>0</v>
      </c>
      <c r="J995">
        <v>0</v>
      </c>
      <c r="K995">
        <v>0</v>
      </c>
    </row>
    <row r="996" spans="1:11" x14ac:dyDescent="0.2">
      <c r="A996" t="s">
        <v>5011</v>
      </c>
      <c r="B996" t="s">
        <v>5012</v>
      </c>
      <c r="C996" t="s">
        <v>5010</v>
      </c>
      <c r="D996" t="s">
        <v>98</v>
      </c>
      <c r="E996">
        <v>99.99</v>
      </c>
      <c r="F996">
        <v>0</v>
      </c>
      <c r="H996" t="s">
        <v>73</v>
      </c>
      <c r="I996">
        <v>0</v>
      </c>
      <c r="J996">
        <v>0</v>
      </c>
      <c r="K996">
        <v>0</v>
      </c>
    </row>
    <row r="997" spans="1:11" x14ac:dyDescent="0.2">
      <c r="A997" t="s">
        <v>350</v>
      </c>
      <c r="B997" t="s">
        <v>351</v>
      </c>
      <c r="C997" t="s">
        <v>307</v>
      </c>
      <c r="D997" t="s">
        <v>98</v>
      </c>
      <c r="E997">
        <v>399.99</v>
      </c>
      <c r="F997">
        <v>0</v>
      </c>
      <c r="H997" t="s">
        <v>73</v>
      </c>
      <c r="I997">
        <v>0</v>
      </c>
      <c r="J997">
        <v>0</v>
      </c>
      <c r="K997">
        <v>0</v>
      </c>
    </row>
    <row r="998" spans="1:11" x14ac:dyDescent="0.2">
      <c r="A998" t="s">
        <v>5596</v>
      </c>
      <c r="B998" t="s">
        <v>5597</v>
      </c>
      <c r="C998" t="s">
        <v>904</v>
      </c>
      <c r="D998" t="s">
        <v>98</v>
      </c>
      <c r="E998">
        <v>69.989999999999995</v>
      </c>
      <c r="F998">
        <v>0</v>
      </c>
      <c r="H998" t="s">
        <v>73</v>
      </c>
      <c r="I998">
        <v>0</v>
      </c>
      <c r="J998">
        <v>0</v>
      </c>
      <c r="K998">
        <v>0</v>
      </c>
    </row>
    <row r="999" spans="1:11" x14ac:dyDescent="0.2">
      <c r="A999" t="s">
        <v>4079</v>
      </c>
      <c r="B999" t="s">
        <v>4080</v>
      </c>
      <c r="C999" t="s">
        <v>3929</v>
      </c>
      <c r="D999" t="s">
        <v>98</v>
      </c>
      <c r="E999">
        <v>199.99</v>
      </c>
      <c r="F999">
        <v>0</v>
      </c>
      <c r="H999" t="s">
        <v>73</v>
      </c>
      <c r="I999">
        <v>0</v>
      </c>
      <c r="J999">
        <v>0</v>
      </c>
      <c r="K999">
        <v>0</v>
      </c>
    </row>
    <row r="1000" spans="1:11" x14ac:dyDescent="0.2">
      <c r="A1000" t="s">
        <v>314</v>
      </c>
      <c r="B1000" t="s">
        <v>315</v>
      </c>
      <c r="C1000" t="s">
        <v>307</v>
      </c>
      <c r="D1000" t="s">
        <v>98</v>
      </c>
      <c r="E1000">
        <v>1299.99</v>
      </c>
      <c r="F1000">
        <v>0</v>
      </c>
      <c r="H1000" t="s">
        <v>73</v>
      </c>
      <c r="I1000">
        <v>0</v>
      </c>
      <c r="J1000">
        <v>0</v>
      </c>
      <c r="K1000">
        <v>0</v>
      </c>
    </row>
    <row r="1001" spans="1:11" x14ac:dyDescent="0.2">
      <c r="A1001" t="s">
        <v>3448</v>
      </c>
      <c r="B1001" t="s">
        <v>3449</v>
      </c>
      <c r="C1001" t="s">
        <v>3349</v>
      </c>
      <c r="D1001" t="s">
        <v>105</v>
      </c>
      <c r="E1001">
        <v>379.99</v>
      </c>
      <c r="F1001">
        <v>0</v>
      </c>
      <c r="H1001" t="s">
        <v>73</v>
      </c>
      <c r="I1001">
        <v>0.16666666666666666</v>
      </c>
      <c r="J1001">
        <v>48</v>
      </c>
      <c r="K1001">
        <v>8</v>
      </c>
    </row>
    <row r="1002" spans="1:11" x14ac:dyDescent="0.2">
      <c r="A1002" t="s">
        <v>3897</v>
      </c>
      <c r="B1002" t="s">
        <v>3898</v>
      </c>
      <c r="C1002" t="s">
        <v>3876</v>
      </c>
      <c r="D1002" t="s">
        <v>98</v>
      </c>
      <c r="E1002">
        <v>59.99</v>
      </c>
      <c r="F1002">
        <v>0</v>
      </c>
      <c r="H1002" t="s">
        <v>73</v>
      </c>
      <c r="I1002">
        <v>0</v>
      </c>
      <c r="J1002">
        <v>0</v>
      </c>
      <c r="K1002">
        <v>0</v>
      </c>
    </row>
    <row r="1003" spans="1:11" x14ac:dyDescent="0.2">
      <c r="A1003" t="s">
        <v>3428</v>
      </c>
      <c r="B1003" t="s">
        <v>3429</v>
      </c>
      <c r="C1003" t="s">
        <v>3349</v>
      </c>
      <c r="D1003" t="s">
        <v>138</v>
      </c>
      <c r="E1003">
        <v>49.99</v>
      </c>
      <c r="F1003">
        <v>0</v>
      </c>
      <c r="H1003" t="s">
        <v>73</v>
      </c>
      <c r="I1003">
        <v>0</v>
      </c>
      <c r="J1003">
        <v>0</v>
      </c>
      <c r="K1003">
        <v>0</v>
      </c>
    </row>
    <row r="1004" spans="1:11" x14ac:dyDescent="0.2">
      <c r="A1004" t="s">
        <v>5598</v>
      </c>
      <c r="B1004" t="s">
        <v>5599</v>
      </c>
      <c r="C1004" t="s">
        <v>904</v>
      </c>
      <c r="D1004" t="s">
        <v>98</v>
      </c>
      <c r="E1004">
        <v>119.99</v>
      </c>
      <c r="F1004">
        <v>0</v>
      </c>
      <c r="H1004" t="s">
        <v>73</v>
      </c>
      <c r="I1004">
        <v>0</v>
      </c>
      <c r="J1004">
        <v>0</v>
      </c>
      <c r="K1004">
        <v>0</v>
      </c>
    </row>
    <row r="1005" spans="1:11" x14ac:dyDescent="0.2">
      <c r="A1005" t="s">
        <v>5600</v>
      </c>
      <c r="B1005" t="s">
        <v>5601</v>
      </c>
      <c r="C1005" t="s">
        <v>904</v>
      </c>
      <c r="D1005" t="s">
        <v>98</v>
      </c>
      <c r="E1005">
        <v>119.99</v>
      </c>
      <c r="F1005">
        <v>0</v>
      </c>
      <c r="H1005" t="s">
        <v>73</v>
      </c>
      <c r="I1005">
        <v>0</v>
      </c>
      <c r="J1005">
        <v>0</v>
      </c>
      <c r="K1005">
        <v>0</v>
      </c>
    </row>
    <row r="1006" spans="1:11" x14ac:dyDescent="0.2">
      <c r="A1006" t="s">
        <v>5602</v>
      </c>
      <c r="B1006" t="s">
        <v>5603</v>
      </c>
      <c r="C1006" t="s">
        <v>582</v>
      </c>
      <c r="D1006" t="s">
        <v>98</v>
      </c>
      <c r="E1006">
        <v>79.989999999999995</v>
      </c>
      <c r="F1006">
        <v>0</v>
      </c>
      <c r="H1006" t="s">
        <v>73</v>
      </c>
      <c r="I1006">
        <v>0</v>
      </c>
      <c r="J1006">
        <v>0</v>
      </c>
      <c r="K1006">
        <v>0</v>
      </c>
    </row>
    <row r="1007" spans="1:11" x14ac:dyDescent="0.2">
      <c r="A1007" t="s">
        <v>5604</v>
      </c>
      <c r="B1007" t="s">
        <v>5605</v>
      </c>
      <c r="C1007" t="s">
        <v>582</v>
      </c>
      <c r="D1007" t="s">
        <v>98</v>
      </c>
      <c r="E1007">
        <v>39.99</v>
      </c>
      <c r="F1007">
        <v>0</v>
      </c>
      <c r="H1007" t="s">
        <v>73</v>
      </c>
      <c r="I1007">
        <v>0</v>
      </c>
      <c r="J1007">
        <v>0</v>
      </c>
      <c r="K1007">
        <v>0</v>
      </c>
    </row>
    <row r="1008" spans="1:11" x14ac:dyDescent="0.2">
      <c r="A1008" t="s">
        <v>5606</v>
      </c>
      <c r="B1008" t="s">
        <v>5607</v>
      </c>
      <c r="C1008" t="s">
        <v>3929</v>
      </c>
      <c r="D1008" t="s">
        <v>138</v>
      </c>
      <c r="E1008">
        <v>169.99</v>
      </c>
      <c r="F1008">
        <v>509.97</v>
      </c>
      <c r="G1008">
        <v>2</v>
      </c>
      <c r="H1008" t="s">
        <v>73</v>
      </c>
      <c r="I1008">
        <v>1</v>
      </c>
      <c r="J1008">
        <v>42</v>
      </c>
      <c r="K1008">
        <v>42</v>
      </c>
    </row>
    <row r="1009" spans="1:11" x14ac:dyDescent="0.2">
      <c r="A1009" t="s">
        <v>4606</v>
      </c>
      <c r="B1009" t="s">
        <v>4607</v>
      </c>
      <c r="C1009" t="s">
        <v>4597</v>
      </c>
      <c r="D1009" t="s">
        <v>98</v>
      </c>
      <c r="E1009">
        <v>99.99</v>
      </c>
      <c r="F1009">
        <v>0</v>
      </c>
      <c r="H1009" t="s">
        <v>73</v>
      </c>
      <c r="I1009">
        <v>0</v>
      </c>
      <c r="J1009">
        <v>0</v>
      </c>
      <c r="K1009">
        <v>0</v>
      </c>
    </row>
    <row r="1010" spans="1:11" x14ac:dyDescent="0.2">
      <c r="A1010" t="s">
        <v>4604</v>
      </c>
      <c r="B1010" t="s">
        <v>4605</v>
      </c>
      <c r="C1010" t="s">
        <v>4597</v>
      </c>
      <c r="D1010" t="s">
        <v>98</v>
      </c>
      <c r="E1010">
        <v>174.99</v>
      </c>
      <c r="F1010">
        <v>0</v>
      </c>
      <c r="H1010" t="s">
        <v>73</v>
      </c>
      <c r="I1010">
        <v>0</v>
      </c>
      <c r="J1010">
        <v>0</v>
      </c>
      <c r="K1010">
        <v>0</v>
      </c>
    </row>
    <row r="1011" spans="1:11" x14ac:dyDescent="0.2">
      <c r="A1011" t="s">
        <v>4602</v>
      </c>
      <c r="B1011" t="s">
        <v>4603</v>
      </c>
      <c r="C1011" t="s">
        <v>4597</v>
      </c>
      <c r="D1011" t="s">
        <v>98</v>
      </c>
      <c r="E1011">
        <v>139.99</v>
      </c>
      <c r="F1011">
        <v>0</v>
      </c>
      <c r="H1011" t="s">
        <v>73</v>
      </c>
      <c r="I1011">
        <v>0</v>
      </c>
      <c r="J1011">
        <v>0</v>
      </c>
      <c r="K1011">
        <v>0</v>
      </c>
    </row>
    <row r="1012" spans="1:11" x14ac:dyDescent="0.2">
      <c r="A1012" t="s">
        <v>5608</v>
      </c>
      <c r="B1012" t="s">
        <v>5609</v>
      </c>
      <c r="C1012" t="s">
        <v>582</v>
      </c>
      <c r="D1012" t="s">
        <v>98</v>
      </c>
      <c r="E1012">
        <v>59.99</v>
      </c>
      <c r="F1012">
        <v>0</v>
      </c>
      <c r="H1012" t="s">
        <v>73</v>
      </c>
      <c r="I1012">
        <v>0</v>
      </c>
      <c r="J1012">
        <v>0</v>
      </c>
      <c r="K1012">
        <v>0</v>
      </c>
    </row>
    <row r="1013" spans="1:11" x14ac:dyDescent="0.2">
      <c r="A1013" t="s">
        <v>3426</v>
      </c>
      <c r="B1013" t="s">
        <v>3427</v>
      </c>
      <c r="C1013" t="s">
        <v>3349</v>
      </c>
      <c r="D1013" t="s">
        <v>98</v>
      </c>
      <c r="E1013">
        <v>129.99</v>
      </c>
      <c r="F1013">
        <v>0</v>
      </c>
      <c r="H1013" t="s">
        <v>73</v>
      </c>
      <c r="I1013">
        <v>0</v>
      </c>
      <c r="J1013">
        <v>0</v>
      </c>
      <c r="K1013">
        <v>0</v>
      </c>
    </row>
    <row r="1014" spans="1:11" x14ac:dyDescent="0.2">
      <c r="A1014" t="s">
        <v>3418</v>
      </c>
      <c r="B1014" t="s">
        <v>3419</v>
      </c>
      <c r="C1014" t="s">
        <v>3349</v>
      </c>
      <c r="D1014" t="s">
        <v>138</v>
      </c>
      <c r="E1014">
        <v>49.99</v>
      </c>
      <c r="F1014">
        <v>0</v>
      </c>
      <c r="H1014" t="s">
        <v>73</v>
      </c>
      <c r="I1014">
        <v>0</v>
      </c>
      <c r="J1014">
        <v>0</v>
      </c>
      <c r="K1014">
        <v>0</v>
      </c>
    </row>
    <row r="1015" spans="1:11" x14ac:dyDescent="0.2">
      <c r="A1015" t="s">
        <v>4600</v>
      </c>
      <c r="B1015" t="s">
        <v>4601</v>
      </c>
      <c r="C1015" t="s">
        <v>4597</v>
      </c>
      <c r="D1015" t="s">
        <v>98</v>
      </c>
      <c r="E1015">
        <v>129.99</v>
      </c>
      <c r="F1015">
        <v>0</v>
      </c>
      <c r="H1015" t="s">
        <v>73</v>
      </c>
      <c r="I1015">
        <v>0</v>
      </c>
      <c r="J1015">
        <v>0</v>
      </c>
      <c r="K1015">
        <v>0</v>
      </c>
    </row>
    <row r="1016" spans="1:11" x14ac:dyDescent="0.2">
      <c r="A1016" t="s">
        <v>4608</v>
      </c>
      <c r="B1016" t="s">
        <v>4609</v>
      </c>
      <c r="C1016" t="s">
        <v>4597</v>
      </c>
      <c r="D1016" t="s">
        <v>98</v>
      </c>
      <c r="E1016">
        <v>139.99</v>
      </c>
      <c r="F1016">
        <v>0</v>
      </c>
      <c r="H1016" t="s">
        <v>73</v>
      </c>
      <c r="I1016">
        <v>0</v>
      </c>
      <c r="J1016">
        <v>0</v>
      </c>
      <c r="K1016">
        <v>0</v>
      </c>
    </row>
    <row r="1017" spans="1:11" x14ac:dyDescent="0.2">
      <c r="A1017" t="s">
        <v>5610</v>
      </c>
      <c r="B1017" t="s">
        <v>5611</v>
      </c>
      <c r="C1017" t="s">
        <v>582</v>
      </c>
      <c r="D1017" t="s">
        <v>98</v>
      </c>
      <c r="E1017">
        <v>59.99</v>
      </c>
      <c r="F1017">
        <v>0</v>
      </c>
      <c r="H1017" t="s">
        <v>73</v>
      </c>
      <c r="I1017">
        <v>0</v>
      </c>
      <c r="J1017">
        <v>0</v>
      </c>
      <c r="K1017">
        <v>0</v>
      </c>
    </row>
    <row r="1018" spans="1:11" x14ac:dyDescent="0.2">
      <c r="A1018" t="s">
        <v>5612</v>
      </c>
      <c r="B1018" t="s">
        <v>5613</v>
      </c>
      <c r="C1018" t="s">
        <v>904</v>
      </c>
      <c r="D1018" t="s">
        <v>98</v>
      </c>
      <c r="E1018">
        <v>119.99</v>
      </c>
      <c r="F1018">
        <v>0</v>
      </c>
      <c r="H1018" t="s">
        <v>73</v>
      </c>
      <c r="I1018">
        <v>0</v>
      </c>
      <c r="J1018">
        <v>0</v>
      </c>
      <c r="K1018">
        <v>0</v>
      </c>
    </row>
    <row r="1019" spans="1:11" x14ac:dyDescent="0.2">
      <c r="A1019" t="s">
        <v>3160</v>
      </c>
      <c r="B1019" t="s">
        <v>3161</v>
      </c>
      <c r="C1019" t="s">
        <v>3133</v>
      </c>
      <c r="D1019" t="s">
        <v>98</v>
      </c>
      <c r="E1019">
        <v>217.99</v>
      </c>
      <c r="F1019">
        <v>0</v>
      </c>
      <c r="H1019" t="s">
        <v>72</v>
      </c>
      <c r="I1019">
        <v>0</v>
      </c>
      <c r="J1019">
        <v>0</v>
      </c>
      <c r="K1019">
        <v>0</v>
      </c>
    </row>
    <row r="1020" spans="1:11" x14ac:dyDescent="0.2">
      <c r="A1020" t="s">
        <v>4075</v>
      </c>
      <c r="B1020" t="s">
        <v>4076</v>
      </c>
      <c r="C1020" t="s">
        <v>3929</v>
      </c>
      <c r="D1020" t="s">
        <v>105</v>
      </c>
      <c r="E1020">
        <v>64.989999999999995</v>
      </c>
      <c r="F1020">
        <v>64.989999999999995</v>
      </c>
      <c r="G1020">
        <v>11</v>
      </c>
      <c r="H1020" t="s">
        <v>72</v>
      </c>
      <c r="I1020">
        <v>1.1666666666666667</v>
      </c>
      <c r="J1020">
        <v>34</v>
      </c>
      <c r="K1020">
        <v>40</v>
      </c>
    </row>
    <row r="1021" spans="1:11" x14ac:dyDescent="0.2">
      <c r="A1021" t="s">
        <v>5483</v>
      </c>
      <c r="B1021" t="s">
        <v>5484</v>
      </c>
      <c r="C1021" t="s">
        <v>2174</v>
      </c>
      <c r="D1021" t="s">
        <v>98</v>
      </c>
      <c r="E1021">
        <v>99.99</v>
      </c>
      <c r="F1021">
        <v>0</v>
      </c>
      <c r="H1021" t="s">
        <v>72</v>
      </c>
      <c r="I1021">
        <v>0</v>
      </c>
      <c r="J1021">
        <v>0</v>
      </c>
      <c r="K1021">
        <v>0</v>
      </c>
    </row>
    <row r="1022" spans="1:11" x14ac:dyDescent="0.2">
      <c r="A1022" t="s">
        <v>3142</v>
      </c>
      <c r="B1022" t="s">
        <v>3143</v>
      </c>
      <c r="C1022" t="s">
        <v>3133</v>
      </c>
      <c r="D1022" t="s">
        <v>98</v>
      </c>
      <c r="E1022">
        <v>59.99</v>
      </c>
      <c r="F1022">
        <v>0</v>
      </c>
      <c r="H1022" t="s">
        <v>72</v>
      </c>
      <c r="I1022">
        <v>0</v>
      </c>
      <c r="J1022">
        <v>0</v>
      </c>
      <c r="K1022">
        <v>0</v>
      </c>
    </row>
    <row r="1023" spans="1:11" x14ac:dyDescent="0.2">
      <c r="A1023" t="s">
        <v>3134</v>
      </c>
      <c r="B1023" t="s">
        <v>3135</v>
      </c>
      <c r="C1023" t="s">
        <v>3133</v>
      </c>
      <c r="D1023" t="s">
        <v>98</v>
      </c>
      <c r="E1023">
        <v>53.99</v>
      </c>
      <c r="F1023">
        <v>0</v>
      </c>
      <c r="H1023" t="s">
        <v>72</v>
      </c>
      <c r="I1023">
        <v>0</v>
      </c>
      <c r="J1023">
        <v>0</v>
      </c>
      <c r="K1023">
        <v>0</v>
      </c>
    </row>
    <row r="1024" spans="1:11" x14ac:dyDescent="0.2">
      <c r="A1024" t="s">
        <v>4079</v>
      </c>
      <c r="B1024" t="s">
        <v>4080</v>
      </c>
      <c r="C1024" t="s">
        <v>3929</v>
      </c>
      <c r="D1024" t="s">
        <v>98</v>
      </c>
      <c r="E1024">
        <v>199.99</v>
      </c>
      <c r="F1024">
        <v>0</v>
      </c>
      <c r="H1024" t="s">
        <v>72</v>
      </c>
      <c r="I1024">
        <v>0</v>
      </c>
      <c r="J1024">
        <v>0</v>
      </c>
      <c r="K1024">
        <v>0</v>
      </c>
    </row>
    <row r="1025" spans="1:11" x14ac:dyDescent="0.2">
      <c r="A1025" t="s">
        <v>5463</v>
      </c>
      <c r="B1025" t="s">
        <v>5464</v>
      </c>
      <c r="C1025" t="s">
        <v>3929</v>
      </c>
      <c r="D1025" t="s">
        <v>98</v>
      </c>
      <c r="E1025">
        <v>199.99</v>
      </c>
      <c r="F1025">
        <v>0</v>
      </c>
      <c r="H1025" t="s">
        <v>72</v>
      </c>
      <c r="I1025">
        <v>0</v>
      </c>
      <c r="J1025">
        <v>0</v>
      </c>
      <c r="K1025">
        <v>0</v>
      </c>
    </row>
    <row r="1026" spans="1:11" x14ac:dyDescent="0.2">
      <c r="A1026" t="s">
        <v>3136</v>
      </c>
      <c r="B1026" t="s">
        <v>3137</v>
      </c>
      <c r="C1026" t="s">
        <v>3133</v>
      </c>
      <c r="D1026" t="s">
        <v>98</v>
      </c>
      <c r="E1026">
        <v>79.989999999999995</v>
      </c>
      <c r="F1026">
        <v>0</v>
      </c>
      <c r="H1026" t="s">
        <v>72</v>
      </c>
      <c r="I1026">
        <v>0</v>
      </c>
      <c r="J1026">
        <v>0</v>
      </c>
      <c r="K1026">
        <v>0</v>
      </c>
    </row>
    <row r="1027" spans="1:11" x14ac:dyDescent="0.2">
      <c r="A1027" t="s">
        <v>5614</v>
      </c>
      <c r="B1027" t="s">
        <v>5615</v>
      </c>
      <c r="C1027" t="s">
        <v>904</v>
      </c>
      <c r="D1027" t="s">
        <v>98</v>
      </c>
      <c r="E1027">
        <v>44.99</v>
      </c>
      <c r="F1027">
        <v>0</v>
      </c>
      <c r="H1027" t="s">
        <v>72</v>
      </c>
      <c r="I1027">
        <v>0</v>
      </c>
      <c r="J1027">
        <v>0</v>
      </c>
      <c r="K1027">
        <v>0</v>
      </c>
    </row>
    <row r="1028" spans="1:11" x14ac:dyDescent="0.2">
      <c r="A1028" t="s">
        <v>4051</v>
      </c>
      <c r="B1028" t="s">
        <v>4052</v>
      </c>
      <c r="C1028" t="s">
        <v>3929</v>
      </c>
      <c r="D1028" t="s">
        <v>105</v>
      </c>
      <c r="E1028">
        <v>129.99</v>
      </c>
      <c r="F1028">
        <v>0</v>
      </c>
      <c r="H1028" t="s">
        <v>72</v>
      </c>
      <c r="I1028">
        <v>0</v>
      </c>
      <c r="J1028">
        <v>0</v>
      </c>
      <c r="K1028">
        <v>0</v>
      </c>
    </row>
    <row r="1029" spans="1:11" x14ac:dyDescent="0.2">
      <c r="A1029" t="s">
        <v>5427</v>
      </c>
      <c r="B1029" t="s">
        <v>5428</v>
      </c>
      <c r="C1029" t="s">
        <v>2415</v>
      </c>
      <c r="D1029" t="s">
        <v>98</v>
      </c>
      <c r="E1029">
        <v>189.99</v>
      </c>
      <c r="F1029">
        <v>0</v>
      </c>
      <c r="H1029" t="s">
        <v>72</v>
      </c>
      <c r="I1029">
        <v>0</v>
      </c>
      <c r="J1029">
        <v>0</v>
      </c>
      <c r="K1029">
        <v>0</v>
      </c>
    </row>
    <row r="1030" spans="1:11" x14ac:dyDescent="0.2">
      <c r="A1030" t="s">
        <v>5415</v>
      </c>
      <c r="B1030" t="s">
        <v>5416</v>
      </c>
      <c r="C1030" t="s">
        <v>2415</v>
      </c>
      <c r="D1030" t="s">
        <v>98</v>
      </c>
      <c r="E1030">
        <v>159.99</v>
      </c>
      <c r="F1030">
        <v>0</v>
      </c>
      <c r="H1030" t="s">
        <v>72</v>
      </c>
      <c r="I1030">
        <v>0</v>
      </c>
      <c r="J1030">
        <v>0</v>
      </c>
      <c r="K1030">
        <v>0</v>
      </c>
    </row>
    <row r="1031" spans="1:11" x14ac:dyDescent="0.2">
      <c r="A1031" t="s">
        <v>3158</v>
      </c>
      <c r="B1031" t="s">
        <v>3159</v>
      </c>
      <c r="C1031" t="s">
        <v>3133</v>
      </c>
      <c r="D1031" t="s">
        <v>98</v>
      </c>
      <c r="E1031">
        <v>199.99</v>
      </c>
      <c r="F1031">
        <v>0</v>
      </c>
      <c r="H1031" t="s">
        <v>72</v>
      </c>
      <c r="I1031">
        <v>0</v>
      </c>
      <c r="J1031">
        <v>0</v>
      </c>
      <c r="K1031">
        <v>0</v>
      </c>
    </row>
    <row r="1032" spans="1:11" x14ac:dyDescent="0.2">
      <c r="A1032" t="s">
        <v>5616</v>
      </c>
      <c r="B1032" t="s">
        <v>5617</v>
      </c>
      <c r="C1032" t="s">
        <v>904</v>
      </c>
      <c r="D1032" t="s">
        <v>98</v>
      </c>
      <c r="E1032">
        <v>49.99</v>
      </c>
      <c r="F1032">
        <v>0</v>
      </c>
      <c r="H1032" t="s">
        <v>72</v>
      </c>
      <c r="I1032">
        <v>0</v>
      </c>
      <c r="J1032">
        <v>0</v>
      </c>
      <c r="K1032">
        <v>0</v>
      </c>
    </row>
    <row r="1033" spans="1:11" x14ac:dyDescent="0.2">
      <c r="A1033" t="s">
        <v>907</v>
      </c>
      <c r="B1033" t="s">
        <v>908</v>
      </c>
      <c r="C1033" t="s">
        <v>904</v>
      </c>
      <c r="D1033" t="s">
        <v>98</v>
      </c>
      <c r="E1033">
        <v>49.99</v>
      </c>
      <c r="F1033">
        <v>0</v>
      </c>
      <c r="H1033" t="s">
        <v>72</v>
      </c>
      <c r="I1033">
        <v>0</v>
      </c>
      <c r="J1033">
        <v>0</v>
      </c>
      <c r="K1033">
        <v>0</v>
      </c>
    </row>
    <row r="1034" spans="1:11" x14ac:dyDescent="0.2">
      <c r="A1034" t="s">
        <v>2416</v>
      </c>
      <c r="B1034" t="s">
        <v>2417</v>
      </c>
      <c r="C1034" t="s">
        <v>2415</v>
      </c>
      <c r="D1034" t="s">
        <v>98</v>
      </c>
      <c r="E1034">
        <v>49.99</v>
      </c>
      <c r="F1034">
        <v>0</v>
      </c>
      <c r="H1034" t="s">
        <v>72</v>
      </c>
      <c r="I1034">
        <v>0</v>
      </c>
      <c r="J1034">
        <v>0</v>
      </c>
      <c r="K1034">
        <v>0</v>
      </c>
    </row>
    <row r="1035" spans="1:11" x14ac:dyDescent="0.2">
      <c r="A1035" t="s">
        <v>4044</v>
      </c>
      <c r="B1035" t="s">
        <v>4045</v>
      </c>
      <c r="C1035" t="s">
        <v>3929</v>
      </c>
      <c r="D1035" t="s">
        <v>105</v>
      </c>
      <c r="E1035">
        <v>129.99</v>
      </c>
      <c r="F1035">
        <v>0</v>
      </c>
      <c r="H1035" t="s">
        <v>72</v>
      </c>
      <c r="I1035">
        <v>0</v>
      </c>
      <c r="J1035">
        <v>0</v>
      </c>
      <c r="K1035">
        <v>0</v>
      </c>
    </row>
    <row r="1036" spans="1:11" x14ac:dyDescent="0.2">
      <c r="A1036" t="s">
        <v>3152</v>
      </c>
      <c r="B1036" t="s">
        <v>3153</v>
      </c>
      <c r="C1036" t="s">
        <v>3133</v>
      </c>
      <c r="D1036" t="s">
        <v>98</v>
      </c>
      <c r="E1036">
        <v>79.989999999999995</v>
      </c>
      <c r="F1036">
        <v>0</v>
      </c>
      <c r="H1036" t="s">
        <v>72</v>
      </c>
      <c r="I1036">
        <v>0</v>
      </c>
      <c r="J1036">
        <v>0</v>
      </c>
      <c r="K1036">
        <v>0</v>
      </c>
    </row>
    <row r="1037" spans="1:11" x14ac:dyDescent="0.2">
      <c r="A1037" t="s">
        <v>5083</v>
      </c>
      <c r="B1037" t="s">
        <v>5084</v>
      </c>
      <c r="C1037" t="s">
        <v>3929</v>
      </c>
      <c r="D1037" t="s">
        <v>138</v>
      </c>
      <c r="E1037">
        <v>64.989999999999995</v>
      </c>
      <c r="F1037">
        <v>0</v>
      </c>
      <c r="H1037" t="s">
        <v>72</v>
      </c>
      <c r="I1037">
        <v>0</v>
      </c>
      <c r="J1037">
        <v>0</v>
      </c>
      <c r="K1037">
        <v>0</v>
      </c>
    </row>
    <row r="1038" spans="1:11" x14ac:dyDescent="0.2">
      <c r="A1038" t="s">
        <v>5618</v>
      </c>
      <c r="B1038" t="s">
        <v>5619</v>
      </c>
      <c r="C1038" t="s">
        <v>904</v>
      </c>
      <c r="D1038" t="s">
        <v>98</v>
      </c>
      <c r="E1038">
        <v>49.99</v>
      </c>
      <c r="F1038">
        <v>0</v>
      </c>
      <c r="H1038" t="s">
        <v>72</v>
      </c>
      <c r="I1038">
        <v>0</v>
      </c>
      <c r="J1038">
        <v>0</v>
      </c>
      <c r="K1038">
        <v>0</v>
      </c>
    </row>
    <row r="1039" spans="1:11" x14ac:dyDescent="0.2">
      <c r="A1039" t="s">
        <v>5592</v>
      </c>
      <c r="B1039" t="s">
        <v>5593</v>
      </c>
      <c r="C1039" t="s">
        <v>2415</v>
      </c>
      <c r="D1039" t="s">
        <v>98</v>
      </c>
      <c r="E1039">
        <v>139.99</v>
      </c>
      <c r="F1039">
        <v>0</v>
      </c>
      <c r="H1039" t="s">
        <v>72</v>
      </c>
      <c r="I1039">
        <v>0</v>
      </c>
      <c r="J1039">
        <v>0</v>
      </c>
      <c r="K1039">
        <v>0</v>
      </c>
    </row>
    <row r="1040" spans="1:11" x14ac:dyDescent="0.2">
      <c r="A1040" t="s">
        <v>4081</v>
      </c>
      <c r="B1040" t="s">
        <v>4082</v>
      </c>
      <c r="C1040" t="s">
        <v>3929</v>
      </c>
      <c r="D1040" t="s">
        <v>105</v>
      </c>
      <c r="E1040">
        <v>109.99</v>
      </c>
      <c r="F1040">
        <v>0</v>
      </c>
      <c r="H1040" t="s">
        <v>72</v>
      </c>
      <c r="I1040">
        <v>0</v>
      </c>
      <c r="J1040">
        <v>0</v>
      </c>
      <c r="K1040">
        <v>0</v>
      </c>
    </row>
    <row r="1041" spans="1:11" x14ac:dyDescent="0.2">
      <c r="A1041" t="s">
        <v>944</v>
      </c>
      <c r="B1041" t="s">
        <v>945</v>
      </c>
      <c r="C1041" t="s">
        <v>911</v>
      </c>
      <c r="D1041" t="s">
        <v>98</v>
      </c>
      <c r="E1041">
        <v>49.99</v>
      </c>
      <c r="F1041">
        <v>0</v>
      </c>
      <c r="H1041" t="s">
        <v>72</v>
      </c>
      <c r="I1041">
        <v>0</v>
      </c>
      <c r="J1041">
        <v>0</v>
      </c>
      <c r="K1041">
        <v>0</v>
      </c>
    </row>
    <row r="1042" spans="1:11" x14ac:dyDescent="0.2">
      <c r="A1042" t="s">
        <v>942</v>
      </c>
      <c r="B1042" t="s">
        <v>943</v>
      </c>
      <c r="C1042" t="s">
        <v>911</v>
      </c>
      <c r="D1042" t="s">
        <v>98</v>
      </c>
      <c r="E1042">
        <v>49.99</v>
      </c>
      <c r="F1042">
        <v>0</v>
      </c>
      <c r="H1042" t="s">
        <v>72</v>
      </c>
      <c r="I1042">
        <v>0</v>
      </c>
      <c r="J1042">
        <v>0</v>
      </c>
      <c r="K1042">
        <v>0</v>
      </c>
    </row>
    <row r="1043" spans="1:11" x14ac:dyDescent="0.2">
      <c r="A1043" t="s">
        <v>3138</v>
      </c>
      <c r="B1043" t="s">
        <v>3139</v>
      </c>
      <c r="C1043" t="s">
        <v>3133</v>
      </c>
      <c r="D1043" t="s">
        <v>98</v>
      </c>
      <c r="E1043">
        <v>119.99</v>
      </c>
      <c r="F1043">
        <v>0</v>
      </c>
      <c r="H1043" t="s">
        <v>72</v>
      </c>
      <c r="I1043">
        <v>0</v>
      </c>
      <c r="J1043">
        <v>0</v>
      </c>
      <c r="K1043">
        <v>0</v>
      </c>
    </row>
    <row r="1044" spans="1:11" x14ac:dyDescent="0.2">
      <c r="A1044" t="s">
        <v>2185</v>
      </c>
      <c r="B1044" t="s">
        <v>2186</v>
      </c>
      <c r="C1044" t="s">
        <v>2174</v>
      </c>
      <c r="D1044" t="s">
        <v>98</v>
      </c>
      <c r="E1044">
        <v>99.99</v>
      </c>
      <c r="F1044">
        <v>0</v>
      </c>
      <c r="H1044" t="s">
        <v>72</v>
      </c>
      <c r="I1044">
        <v>0</v>
      </c>
      <c r="J1044">
        <v>0</v>
      </c>
      <c r="K1044">
        <v>0</v>
      </c>
    </row>
    <row r="1045" spans="1:11" x14ac:dyDescent="0.2">
      <c r="A1045" t="s">
        <v>5514</v>
      </c>
      <c r="B1045" t="s">
        <v>5515</v>
      </c>
      <c r="C1045" t="s">
        <v>2415</v>
      </c>
      <c r="D1045" t="s">
        <v>98</v>
      </c>
      <c r="E1045">
        <v>69.989999999999995</v>
      </c>
      <c r="F1045">
        <v>0</v>
      </c>
      <c r="H1045" t="s">
        <v>72</v>
      </c>
      <c r="I1045">
        <v>0</v>
      </c>
      <c r="J1045">
        <v>0</v>
      </c>
      <c r="K1045">
        <v>0</v>
      </c>
    </row>
    <row r="1046" spans="1:11" x14ac:dyDescent="0.2">
      <c r="A1046" t="s">
        <v>5389</v>
      </c>
      <c r="B1046" t="s">
        <v>5390</v>
      </c>
      <c r="C1046" t="s">
        <v>2415</v>
      </c>
      <c r="D1046" t="s">
        <v>98</v>
      </c>
      <c r="E1046">
        <v>149.99</v>
      </c>
      <c r="F1046">
        <v>0</v>
      </c>
      <c r="H1046" t="s">
        <v>72</v>
      </c>
      <c r="I1046">
        <v>0</v>
      </c>
      <c r="J1046">
        <v>0</v>
      </c>
      <c r="K1046">
        <v>0</v>
      </c>
    </row>
    <row r="1047" spans="1:11" x14ac:dyDescent="0.2">
      <c r="A1047" t="s">
        <v>2197</v>
      </c>
      <c r="B1047" t="s">
        <v>2198</v>
      </c>
      <c r="C1047" t="s">
        <v>2174</v>
      </c>
      <c r="D1047" t="s">
        <v>98</v>
      </c>
      <c r="E1047">
        <v>99.99</v>
      </c>
      <c r="F1047">
        <v>0</v>
      </c>
      <c r="H1047" t="s">
        <v>72</v>
      </c>
      <c r="I1047">
        <v>0</v>
      </c>
      <c r="J1047">
        <v>0</v>
      </c>
      <c r="K1047">
        <v>0</v>
      </c>
    </row>
    <row r="1048" spans="1:11" x14ac:dyDescent="0.2">
      <c r="A1048" t="s">
        <v>2191</v>
      </c>
      <c r="B1048" t="s">
        <v>2192</v>
      </c>
      <c r="C1048" t="s">
        <v>2174</v>
      </c>
      <c r="D1048" t="s">
        <v>98</v>
      </c>
      <c r="E1048">
        <v>99.99</v>
      </c>
      <c r="F1048">
        <v>0</v>
      </c>
      <c r="H1048" t="s">
        <v>72</v>
      </c>
      <c r="I1048">
        <v>0</v>
      </c>
      <c r="J1048">
        <v>0</v>
      </c>
      <c r="K1048">
        <v>1</v>
      </c>
    </row>
    <row r="1049" spans="1:11" x14ac:dyDescent="0.2">
      <c r="A1049" t="s">
        <v>5290</v>
      </c>
      <c r="B1049" t="s">
        <v>5291</v>
      </c>
      <c r="C1049" t="s">
        <v>3929</v>
      </c>
      <c r="D1049" t="s">
        <v>98</v>
      </c>
      <c r="E1049">
        <v>89.99</v>
      </c>
      <c r="F1049">
        <v>0</v>
      </c>
      <c r="H1049" t="s">
        <v>72</v>
      </c>
      <c r="I1049">
        <v>0</v>
      </c>
      <c r="J1049">
        <v>0</v>
      </c>
      <c r="K1049">
        <v>0</v>
      </c>
    </row>
    <row r="1050" spans="1:11" x14ac:dyDescent="0.2">
      <c r="A1050" t="s">
        <v>2209</v>
      </c>
      <c r="B1050" t="s">
        <v>2210</v>
      </c>
      <c r="C1050" t="s">
        <v>2174</v>
      </c>
      <c r="D1050" t="s">
        <v>98</v>
      </c>
      <c r="E1050">
        <v>99.99</v>
      </c>
      <c r="F1050">
        <v>0</v>
      </c>
      <c r="H1050" t="s">
        <v>72</v>
      </c>
      <c r="I1050">
        <v>0</v>
      </c>
      <c r="J1050">
        <v>0</v>
      </c>
      <c r="K1050">
        <v>0</v>
      </c>
    </row>
    <row r="1051" spans="1:11" x14ac:dyDescent="0.2">
      <c r="A1051" t="s">
        <v>4055</v>
      </c>
      <c r="B1051" t="s">
        <v>4056</v>
      </c>
      <c r="C1051" t="s">
        <v>3929</v>
      </c>
      <c r="D1051" t="s">
        <v>105</v>
      </c>
      <c r="E1051">
        <v>159.99</v>
      </c>
      <c r="F1051">
        <v>0</v>
      </c>
      <c r="H1051" t="s">
        <v>72</v>
      </c>
      <c r="I1051">
        <v>0</v>
      </c>
      <c r="J1051">
        <v>0</v>
      </c>
      <c r="K1051">
        <v>0</v>
      </c>
    </row>
    <row r="1052" spans="1:11" x14ac:dyDescent="0.2">
      <c r="A1052" t="s">
        <v>5594</v>
      </c>
      <c r="B1052" t="s">
        <v>5595</v>
      </c>
      <c r="C1052" t="s">
        <v>2415</v>
      </c>
      <c r="D1052" t="s">
        <v>98</v>
      </c>
      <c r="E1052">
        <v>139.99</v>
      </c>
      <c r="F1052">
        <v>0</v>
      </c>
      <c r="H1052" t="s">
        <v>72</v>
      </c>
      <c r="I1052">
        <v>0</v>
      </c>
      <c r="J1052">
        <v>0</v>
      </c>
      <c r="K1052">
        <v>0</v>
      </c>
    </row>
    <row r="1053" spans="1:11" x14ac:dyDescent="0.2">
      <c r="A1053" t="s">
        <v>4053</v>
      </c>
      <c r="B1053" t="s">
        <v>4054</v>
      </c>
      <c r="C1053" t="s">
        <v>3929</v>
      </c>
      <c r="D1053" t="s">
        <v>105</v>
      </c>
      <c r="E1053">
        <v>149.99</v>
      </c>
      <c r="F1053">
        <v>0</v>
      </c>
      <c r="G1053">
        <v>24</v>
      </c>
      <c r="H1053" t="s">
        <v>72</v>
      </c>
      <c r="I1053">
        <v>0</v>
      </c>
      <c r="J1053">
        <v>0</v>
      </c>
      <c r="K1053">
        <v>0</v>
      </c>
    </row>
    <row r="1054" spans="1:11" x14ac:dyDescent="0.2">
      <c r="A1054" t="s">
        <v>4077</v>
      </c>
      <c r="B1054" t="s">
        <v>4078</v>
      </c>
      <c r="C1054" t="s">
        <v>3929</v>
      </c>
      <c r="D1054" t="s">
        <v>105</v>
      </c>
      <c r="E1054">
        <v>74.989999999999995</v>
      </c>
      <c r="F1054">
        <v>74.989999999999995</v>
      </c>
      <c r="G1054">
        <v>40</v>
      </c>
      <c r="H1054" t="s">
        <v>72</v>
      </c>
      <c r="I1054">
        <v>0.66666666666666663</v>
      </c>
      <c r="J1054">
        <v>69</v>
      </c>
      <c r="K1054">
        <v>46</v>
      </c>
    </row>
    <row r="1055" spans="1:11" x14ac:dyDescent="0.2">
      <c r="A1055" t="s">
        <v>4085</v>
      </c>
      <c r="B1055" t="s">
        <v>4086</v>
      </c>
      <c r="C1055" t="s">
        <v>3929</v>
      </c>
      <c r="D1055" t="s">
        <v>98</v>
      </c>
      <c r="E1055">
        <v>119.99</v>
      </c>
      <c r="F1055">
        <v>0</v>
      </c>
      <c r="H1055" t="s">
        <v>72</v>
      </c>
      <c r="I1055">
        <v>0</v>
      </c>
      <c r="J1055">
        <v>0</v>
      </c>
      <c r="K1055">
        <v>4</v>
      </c>
    </row>
    <row r="1056" spans="1:11" x14ac:dyDescent="0.2">
      <c r="A1056" t="s">
        <v>5445</v>
      </c>
      <c r="B1056" t="s">
        <v>5446</v>
      </c>
      <c r="C1056" t="s">
        <v>2415</v>
      </c>
      <c r="D1056" t="s">
        <v>98</v>
      </c>
      <c r="E1056">
        <v>199.99</v>
      </c>
      <c r="F1056">
        <v>0</v>
      </c>
      <c r="H1056" t="s">
        <v>72</v>
      </c>
      <c r="I1056">
        <v>0</v>
      </c>
      <c r="J1056">
        <v>0</v>
      </c>
      <c r="K1056">
        <v>0</v>
      </c>
    </row>
    <row r="1057" spans="1:11" x14ac:dyDescent="0.2">
      <c r="A1057" t="s">
        <v>948</v>
      </c>
      <c r="B1057" t="s">
        <v>949</v>
      </c>
      <c r="C1057" t="s">
        <v>911</v>
      </c>
      <c r="D1057" t="s">
        <v>98</v>
      </c>
      <c r="E1057">
        <v>49.99</v>
      </c>
      <c r="F1057">
        <v>0</v>
      </c>
      <c r="H1057" t="s">
        <v>72</v>
      </c>
      <c r="I1057">
        <v>0</v>
      </c>
      <c r="J1057">
        <v>0</v>
      </c>
      <c r="K1057">
        <v>0</v>
      </c>
    </row>
    <row r="1058" spans="1:11" x14ac:dyDescent="0.2">
      <c r="A1058" t="s">
        <v>2203</v>
      </c>
      <c r="B1058" t="s">
        <v>2204</v>
      </c>
      <c r="C1058" t="s">
        <v>2174</v>
      </c>
      <c r="D1058" t="s">
        <v>98</v>
      </c>
      <c r="E1058">
        <v>69.989999999999995</v>
      </c>
      <c r="F1058">
        <v>0</v>
      </c>
      <c r="H1058" t="s">
        <v>72</v>
      </c>
      <c r="I1058">
        <v>0</v>
      </c>
      <c r="J1058">
        <v>0</v>
      </c>
      <c r="K1058">
        <v>1</v>
      </c>
    </row>
    <row r="1059" spans="1:11" x14ac:dyDescent="0.2">
      <c r="A1059" t="s">
        <v>4071</v>
      </c>
      <c r="B1059" t="s">
        <v>4072</v>
      </c>
      <c r="C1059" t="s">
        <v>3929</v>
      </c>
      <c r="D1059" t="s">
        <v>98</v>
      </c>
      <c r="E1059">
        <v>199.99</v>
      </c>
      <c r="F1059">
        <v>0</v>
      </c>
      <c r="H1059" t="s">
        <v>72</v>
      </c>
      <c r="I1059">
        <v>0</v>
      </c>
      <c r="J1059">
        <v>0</v>
      </c>
      <c r="K1059">
        <v>0</v>
      </c>
    </row>
    <row r="1060" spans="1:11" x14ac:dyDescent="0.2">
      <c r="A1060" t="s">
        <v>3156</v>
      </c>
      <c r="B1060" t="s">
        <v>3157</v>
      </c>
      <c r="C1060" t="s">
        <v>3133</v>
      </c>
      <c r="D1060" t="s">
        <v>98</v>
      </c>
      <c r="E1060">
        <v>149.99</v>
      </c>
      <c r="F1060">
        <v>0</v>
      </c>
      <c r="H1060" t="s">
        <v>72</v>
      </c>
      <c r="I1060">
        <v>0</v>
      </c>
      <c r="J1060">
        <v>0</v>
      </c>
      <c r="K1060">
        <v>0</v>
      </c>
    </row>
    <row r="1061" spans="1:11" x14ac:dyDescent="0.2">
      <c r="A1061" t="s">
        <v>5552</v>
      </c>
      <c r="B1061" t="s">
        <v>5553</v>
      </c>
      <c r="C1061" t="s">
        <v>3929</v>
      </c>
      <c r="D1061" t="s">
        <v>98</v>
      </c>
      <c r="E1061">
        <v>44.99</v>
      </c>
      <c r="F1061">
        <v>0</v>
      </c>
      <c r="H1061" t="s">
        <v>72</v>
      </c>
      <c r="I1061">
        <v>0</v>
      </c>
      <c r="J1061">
        <v>0</v>
      </c>
      <c r="K1061">
        <v>0</v>
      </c>
    </row>
    <row r="1062" spans="1:11" x14ac:dyDescent="0.2">
      <c r="A1062" t="s">
        <v>3140</v>
      </c>
      <c r="B1062" t="s">
        <v>3141</v>
      </c>
      <c r="C1062" t="s">
        <v>3133</v>
      </c>
      <c r="D1062" t="s">
        <v>98</v>
      </c>
      <c r="E1062">
        <v>24.99</v>
      </c>
      <c r="F1062">
        <v>0</v>
      </c>
      <c r="H1062" t="s">
        <v>72</v>
      </c>
      <c r="I1062">
        <v>0</v>
      </c>
      <c r="J1062">
        <v>0</v>
      </c>
      <c r="K1062">
        <v>1</v>
      </c>
    </row>
    <row r="1063" spans="1:11" x14ac:dyDescent="0.2">
      <c r="A1063" t="s">
        <v>3150</v>
      </c>
      <c r="B1063" t="s">
        <v>3151</v>
      </c>
      <c r="C1063" t="s">
        <v>3133</v>
      </c>
      <c r="D1063" t="s">
        <v>98</v>
      </c>
      <c r="E1063">
        <v>59.99</v>
      </c>
      <c r="F1063">
        <v>0</v>
      </c>
      <c r="H1063" t="s">
        <v>72</v>
      </c>
      <c r="I1063">
        <v>0</v>
      </c>
      <c r="J1063">
        <v>0</v>
      </c>
      <c r="K1063">
        <v>0</v>
      </c>
    </row>
    <row r="1064" spans="1:11" x14ac:dyDescent="0.2">
      <c r="A1064" t="s">
        <v>3144</v>
      </c>
      <c r="B1064" t="s">
        <v>3145</v>
      </c>
      <c r="C1064" t="s">
        <v>3133</v>
      </c>
      <c r="D1064" t="s">
        <v>98</v>
      </c>
      <c r="E1064">
        <v>69.989999999999995</v>
      </c>
      <c r="F1064">
        <v>0</v>
      </c>
      <c r="H1064" t="s">
        <v>72</v>
      </c>
      <c r="I1064">
        <v>0</v>
      </c>
      <c r="J1064">
        <v>0</v>
      </c>
      <c r="K1064">
        <v>0</v>
      </c>
    </row>
    <row r="1065" spans="1:11" x14ac:dyDescent="0.2">
      <c r="A1065" t="s">
        <v>946</v>
      </c>
      <c r="B1065" t="s">
        <v>947</v>
      </c>
      <c r="C1065" t="s">
        <v>911</v>
      </c>
      <c r="D1065" t="s">
        <v>98</v>
      </c>
      <c r="E1065">
        <v>49.99</v>
      </c>
      <c r="F1065">
        <v>0</v>
      </c>
      <c r="H1065" t="s">
        <v>72</v>
      </c>
      <c r="I1065">
        <v>0</v>
      </c>
      <c r="J1065">
        <v>0</v>
      </c>
      <c r="K1065">
        <v>2</v>
      </c>
    </row>
    <row r="1066" spans="1:11" x14ac:dyDescent="0.2">
      <c r="A1066" t="s">
        <v>5437</v>
      </c>
      <c r="B1066" t="s">
        <v>5438</v>
      </c>
      <c r="C1066" t="s">
        <v>3929</v>
      </c>
      <c r="D1066" t="s">
        <v>98</v>
      </c>
      <c r="E1066">
        <v>74.989999999999995</v>
      </c>
      <c r="F1066">
        <v>0</v>
      </c>
      <c r="H1066" t="s">
        <v>72</v>
      </c>
      <c r="I1066">
        <v>0</v>
      </c>
      <c r="J1066">
        <v>0</v>
      </c>
      <c r="K1066">
        <v>0</v>
      </c>
    </row>
    <row r="1067" spans="1:11" x14ac:dyDescent="0.2">
      <c r="A1067" t="s">
        <v>5588</v>
      </c>
      <c r="B1067" t="s">
        <v>5589</v>
      </c>
      <c r="C1067" t="s">
        <v>2415</v>
      </c>
      <c r="D1067" t="s">
        <v>98</v>
      </c>
      <c r="E1067">
        <v>449</v>
      </c>
      <c r="F1067">
        <v>0</v>
      </c>
      <c r="H1067" t="s">
        <v>72</v>
      </c>
      <c r="I1067">
        <v>0</v>
      </c>
      <c r="J1067">
        <v>0</v>
      </c>
      <c r="K1067">
        <v>0</v>
      </c>
    </row>
    <row r="1068" spans="1:11" x14ac:dyDescent="0.2">
      <c r="A1068" t="s">
        <v>5620</v>
      </c>
      <c r="B1068" t="s">
        <v>5621</v>
      </c>
      <c r="C1068" t="s">
        <v>3929</v>
      </c>
      <c r="D1068" t="s">
        <v>98</v>
      </c>
      <c r="E1068">
        <v>79.989999999999995</v>
      </c>
      <c r="F1068">
        <v>0</v>
      </c>
      <c r="H1068" t="s">
        <v>72</v>
      </c>
      <c r="I1068">
        <v>0</v>
      </c>
      <c r="J1068">
        <v>0</v>
      </c>
      <c r="K1068">
        <v>0</v>
      </c>
    </row>
    <row r="1069" spans="1:11" x14ac:dyDescent="0.2">
      <c r="A1069" t="s">
        <v>5118</v>
      </c>
      <c r="B1069" t="s">
        <v>5119</v>
      </c>
      <c r="C1069" t="s">
        <v>3929</v>
      </c>
      <c r="D1069" t="s">
        <v>98</v>
      </c>
      <c r="E1069">
        <v>109.99</v>
      </c>
      <c r="F1069">
        <v>0</v>
      </c>
      <c r="H1069" t="s">
        <v>72</v>
      </c>
      <c r="I1069">
        <v>0</v>
      </c>
      <c r="J1069">
        <v>0</v>
      </c>
      <c r="K1069">
        <v>0</v>
      </c>
    </row>
    <row r="1070" spans="1:11" x14ac:dyDescent="0.2">
      <c r="A1070" t="s">
        <v>3154</v>
      </c>
      <c r="B1070" t="s">
        <v>3155</v>
      </c>
      <c r="C1070" t="s">
        <v>3133</v>
      </c>
      <c r="D1070" t="s">
        <v>98</v>
      </c>
      <c r="E1070">
        <v>99.99</v>
      </c>
      <c r="F1070">
        <v>0</v>
      </c>
      <c r="H1070" t="s">
        <v>72</v>
      </c>
      <c r="I1070">
        <v>0</v>
      </c>
      <c r="J1070">
        <v>0</v>
      </c>
      <c r="K1070">
        <v>0</v>
      </c>
    </row>
    <row r="1071" spans="1:11" x14ac:dyDescent="0.2">
      <c r="A1071" t="s">
        <v>4046</v>
      </c>
      <c r="B1071" t="s">
        <v>4047</v>
      </c>
      <c r="C1071" t="s">
        <v>3929</v>
      </c>
      <c r="D1071" t="s">
        <v>105</v>
      </c>
      <c r="E1071">
        <v>89.99</v>
      </c>
      <c r="F1071">
        <v>0</v>
      </c>
      <c r="G1071">
        <v>16</v>
      </c>
      <c r="H1071" t="s">
        <v>72</v>
      </c>
      <c r="I1071">
        <v>0</v>
      </c>
      <c r="J1071">
        <v>0</v>
      </c>
      <c r="K1071">
        <v>0</v>
      </c>
    </row>
    <row r="1072" spans="1:11" x14ac:dyDescent="0.2">
      <c r="A1072" t="s">
        <v>5075</v>
      </c>
      <c r="B1072" t="s">
        <v>5076</v>
      </c>
      <c r="C1072" t="s">
        <v>3929</v>
      </c>
      <c r="D1072" t="s">
        <v>98</v>
      </c>
      <c r="E1072">
        <v>74.989999999999995</v>
      </c>
      <c r="F1072">
        <v>0</v>
      </c>
      <c r="H1072" t="s">
        <v>72</v>
      </c>
      <c r="I1072">
        <v>0</v>
      </c>
      <c r="J1072">
        <v>0</v>
      </c>
      <c r="K1072">
        <v>0</v>
      </c>
    </row>
    <row r="1073" spans="1:11" x14ac:dyDescent="0.2">
      <c r="A1073" t="s">
        <v>5622</v>
      </c>
      <c r="B1073" t="s">
        <v>5623</v>
      </c>
      <c r="C1073" t="s">
        <v>904</v>
      </c>
      <c r="D1073" t="s">
        <v>98</v>
      </c>
      <c r="E1073">
        <v>44.99</v>
      </c>
      <c r="F1073">
        <v>0</v>
      </c>
      <c r="H1073" t="s">
        <v>72</v>
      </c>
      <c r="I1073">
        <v>0</v>
      </c>
      <c r="J1073">
        <v>0</v>
      </c>
      <c r="K1073">
        <v>0</v>
      </c>
    </row>
    <row r="1074" spans="1:11" x14ac:dyDescent="0.2">
      <c r="A1074" t="s">
        <v>3986</v>
      </c>
      <c r="B1074" t="s">
        <v>3987</v>
      </c>
      <c r="C1074" t="s">
        <v>3929</v>
      </c>
      <c r="D1074" t="s">
        <v>98</v>
      </c>
      <c r="E1074">
        <v>84.99</v>
      </c>
      <c r="F1074">
        <v>0</v>
      </c>
      <c r="H1074" t="s">
        <v>72</v>
      </c>
      <c r="I1074">
        <v>0</v>
      </c>
      <c r="J1074">
        <v>0</v>
      </c>
      <c r="K1074">
        <v>0</v>
      </c>
    </row>
    <row r="1075" spans="1:11" x14ac:dyDescent="0.2">
      <c r="A1075" t="s">
        <v>4042</v>
      </c>
      <c r="B1075" t="s">
        <v>4043</v>
      </c>
      <c r="C1075" t="s">
        <v>3929</v>
      </c>
      <c r="D1075" t="s">
        <v>105</v>
      </c>
      <c r="E1075">
        <v>109.99</v>
      </c>
      <c r="F1075">
        <v>0</v>
      </c>
      <c r="H1075" t="s">
        <v>72</v>
      </c>
      <c r="I1075">
        <v>0</v>
      </c>
      <c r="J1075">
        <v>0</v>
      </c>
      <c r="K1075">
        <v>0</v>
      </c>
    </row>
    <row r="1076" spans="1:11" x14ac:dyDescent="0.2">
      <c r="A1076" t="s">
        <v>3934</v>
      </c>
      <c r="B1076" t="s">
        <v>3935</v>
      </c>
      <c r="C1076" t="s">
        <v>3929</v>
      </c>
      <c r="D1076" t="s">
        <v>105</v>
      </c>
      <c r="E1076">
        <v>159.99</v>
      </c>
      <c r="F1076">
        <v>0</v>
      </c>
      <c r="G1076">
        <v>62</v>
      </c>
      <c r="H1076" t="s">
        <v>72</v>
      </c>
      <c r="I1076">
        <v>0</v>
      </c>
      <c r="J1076">
        <v>0</v>
      </c>
      <c r="K1076">
        <v>0</v>
      </c>
    </row>
    <row r="1077" spans="1:11" x14ac:dyDescent="0.2">
      <c r="A1077" t="s">
        <v>3426</v>
      </c>
      <c r="B1077" t="s">
        <v>3427</v>
      </c>
      <c r="C1077" t="s">
        <v>3349</v>
      </c>
      <c r="D1077" t="s">
        <v>98</v>
      </c>
      <c r="E1077">
        <v>129.99</v>
      </c>
      <c r="F1077">
        <v>0</v>
      </c>
      <c r="H1077" t="s">
        <v>72</v>
      </c>
      <c r="I1077">
        <v>0</v>
      </c>
      <c r="J1077">
        <v>0</v>
      </c>
      <c r="K1077">
        <v>0</v>
      </c>
    </row>
    <row r="1078" spans="1:11" x14ac:dyDescent="0.2">
      <c r="A1078" t="s">
        <v>3428</v>
      </c>
      <c r="B1078" t="s">
        <v>3429</v>
      </c>
      <c r="C1078" t="s">
        <v>3349</v>
      </c>
      <c r="D1078" t="s">
        <v>138</v>
      </c>
      <c r="E1078">
        <v>49.99</v>
      </c>
      <c r="F1078">
        <v>0</v>
      </c>
      <c r="H1078" t="s">
        <v>72</v>
      </c>
      <c r="I1078">
        <v>0</v>
      </c>
      <c r="J1078">
        <v>0</v>
      </c>
      <c r="K1078">
        <v>1</v>
      </c>
    </row>
    <row r="1079" spans="1:11" x14ac:dyDescent="0.2">
      <c r="A1079" t="s">
        <v>3910</v>
      </c>
      <c r="B1079" t="s">
        <v>3911</v>
      </c>
      <c r="C1079" t="s">
        <v>3876</v>
      </c>
      <c r="D1079" t="s">
        <v>105</v>
      </c>
      <c r="E1079">
        <v>69.989999999999995</v>
      </c>
      <c r="F1079">
        <v>0</v>
      </c>
      <c r="G1079">
        <v>164</v>
      </c>
      <c r="H1079" t="s">
        <v>72</v>
      </c>
      <c r="I1079">
        <v>0</v>
      </c>
      <c r="J1079">
        <v>0</v>
      </c>
      <c r="K1079">
        <v>2</v>
      </c>
    </row>
    <row r="1080" spans="1:11" x14ac:dyDescent="0.2">
      <c r="A1080" t="s">
        <v>3906</v>
      </c>
      <c r="B1080" t="s">
        <v>3907</v>
      </c>
      <c r="C1080" t="s">
        <v>3876</v>
      </c>
      <c r="D1080" t="s">
        <v>105</v>
      </c>
      <c r="E1080">
        <v>69.989999999999995</v>
      </c>
      <c r="F1080">
        <v>0</v>
      </c>
      <c r="G1080">
        <v>190</v>
      </c>
      <c r="H1080" t="s">
        <v>72</v>
      </c>
      <c r="I1080">
        <v>0</v>
      </c>
      <c r="J1080">
        <v>0</v>
      </c>
      <c r="K1080">
        <v>0</v>
      </c>
    </row>
    <row r="1081" spans="1:11" x14ac:dyDescent="0.2">
      <c r="A1081" t="s">
        <v>3438</v>
      </c>
      <c r="B1081" t="s">
        <v>3439</v>
      </c>
      <c r="C1081" t="s">
        <v>3349</v>
      </c>
      <c r="D1081" t="s">
        <v>98</v>
      </c>
      <c r="E1081">
        <v>129.99</v>
      </c>
      <c r="F1081">
        <v>0</v>
      </c>
      <c r="H1081" t="s">
        <v>72</v>
      </c>
      <c r="I1081">
        <v>0</v>
      </c>
      <c r="J1081">
        <v>0</v>
      </c>
      <c r="K1081">
        <v>0</v>
      </c>
    </row>
    <row r="1082" spans="1:11" x14ac:dyDescent="0.2">
      <c r="A1082" t="s">
        <v>3444</v>
      </c>
      <c r="B1082" t="s">
        <v>3445</v>
      </c>
      <c r="C1082" t="s">
        <v>3349</v>
      </c>
      <c r="D1082" t="s">
        <v>105</v>
      </c>
      <c r="E1082">
        <v>119.99</v>
      </c>
      <c r="F1082">
        <v>0</v>
      </c>
      <c r="G1082">
        <v>15</v>
      </c>
      <c r="H1082" t="s">
        <v>72</v>
      </c>
      <c r="I1082">
        <v>0</v>
      </c>
      <c r="J1082">
        <v>0</v>
      </c>
      <c r="K1082">
        <v>23</v>
      </c>
    </row>
    <row r="1083" spans="1:11" x14ac:dyDescent="0.2">
      <c r="A1083" t="s">
        <v>3446</v>
      </c>
      <c r="B1083" t="s">
        <v>3447</v>
      </c>
      <c r="C1083" t="s">
        <v>3349</v>
      </c>
      <c r="D1083" t="s">
        <v>98</v>
      </c>
      <c r="E1083">
        <v>559.99</v>
      </c>
      <c r="F1083">
        <v>0</v>
      </c>
      <c r="H1083" t="s">
        <v>72</v>
      </c>
      <c r="I1083">
        <v>0</v>
      </c>
      <c r="J1083">
        <v>0</v>
      </c>
      <c r="K1083">
        <v>1</v>
      </c>
    </row>
    <row r="1084" spans="1:11" x14ac:dyDescent="0.2">
      <c r="A1084" t="s">
        <v>3899</v>
      </c>
      <c r="B1084" t="s">
        <v>3900</v>
      </c>
      <c r="C1084" t="s">
        <v>3876</v>
      </c>
      <c r="D1084" t="s">
        <v>105</v>
      </c>
      <c r="E1084">
        <v>69.989999999999995</v>
      </c>
      <c r="F1084">
        <v>0</v>
      </c>
      <c r="G1084">
        <v>168</v>
      </c>
      <c r="H1084" t="s">
        <v>72</v>
      </c>
      <c r="I1084">
        <v>0</v>
      </c>
      <c r="J1084">
        <v>0</v>
      </c>
      <c r="K1084">
        <v>5</v>
      </c>
    </row>
    <row r="1085" spans="1:11" x14ac:dyDescent="0.2">
      <c r="A1085" t="s">
        <v>3456</v>
      </c>
      <c r="B1085" t="s">
        <v>3457</v>
      </c>
      <c r="C1085" t="s">
        <v>3349</v>
      </c>
      <c r="D1085" t="s">
        <v>105</v>
      </c>
      <c r="E1085">
        <v>79.989999999999995</v>
      </c>
      <c r="F1085">
        <v>0</v>
      </c>
      <c r="G1085">
        <v>25</v>
      </c>
      <c r="H1085" t="s">
        <v>72</v>
      </c>
      <c r="I1085">
        <v>0</v>
      </c>
      <c r="J1085">
        <v>0</v>
      </c>
      <c r="K1085">
        <v>0</v>
      </c>
    </row>
    <row r="1086" spans="1:11" x14ac:dyDescent="0.2">
      <c r="A1086" t="s">
        <v>3897</v>
      </c>
      <c r="B1086" t="s">
        <v>3898</v>
      </c>
      <c r="C1086" t="s">
        <v>3876</v>
      </c>
      <c r="D1086" t="s">
        <v>98</v>
      </c>
      <c r="E1086">
        <v>59.99</v>
      </c>
      <c r="F1086">
        <v>0</v>
      </c>
      <c r="H1086" t="s">
        <v>72</v>
      </c>
      <c r="I1086">
        <v>0</v>
      </c>
      <c r="J1086">
        <v>0</v>
      </c>
      <c r="K1086">
        <v>0</v>
      </c>
    </row>
    <row r="1087" spans="1:11" x14ac:dyDescent="0.2">
      <c r="A1087" t="s">
        <v>3458</v>
      </c>
      <c r="B1087" t="s">
        <v>3459</v>
      </c>
      <c r="C1087" t="s">
        <v>3349</v>
      </c>
      <c r="D1087" t="s">
        <v>105</v>
      </c>
      <c r="E1087">
        <v>19.989999999999998</v>
      </c>
      <c r="F1087">
        <v>19.989999999999998</v>
      </c>
      <c r="H1087" t="s">
        <v>72</v>
      </c>
      <c r="I1087">
        <v>0.83333333333333337</v>
      </c>
      <c r="J1087">
        <v>1</v>
      </c>
      <c r="K1087">
        <v>1</v>
      </c>
    </row>
    <row r="1088" spans="1:11" x14ac:dyDescent="0.2">
      <c r="A1088" t="s">
        <v>3895</v>
      </c>
      <c r="B1088" t="s">
        <v>3896</v>
      </c>
      <c r="C1088" t="s">
        <v>3876</v>
      </c>
      <c r="D1088" t="s">
        <v>98</v>
      </c>
      <c r="E1088">
        <v>59.99</v>
      </c>
      <c r="F1088">
        <v>0</v>
      </c>
      <c r="H1088" t="s">
        <v>72</v>
      </c>
      <c r="I1088">
        <v>0.16666666666666666</v>
      </c>
      <c r="J1088">
        <v>0</v>
      </c>
      <c r="K1088">
        <v>0</v>
      </c>
    </row>
    <row r="1089" spans="1:11" x14ac:dyDescent="0.2">
      <c r="A1089" t="s">
        <v>3460</v>
      </c>
      <c r="B1089" t="s">
        <v>3461</v>
      </c>
      <c r="C1089" t="s">
        <v>3349</v>
      </c>
      <c r="D1089" t="s">
        <v>105</v>
      </c>
      <c r="E1089">
        <v>24.99</v>
      </c>
      <c r="F1089">
        <v>0</v>
      </c>
      <c r="G1089">
        <v>80</v>
      </c>
      <c r="H1089" t="s">
        <v>72</v>
      </c>
      <c r="I1089">
        <v>0</v>
      </c>
      <c r="J1089">
        <v>0</v>
      </c>
      <c r="K1089">
        <v>0</v>
      </c>
    </row>
    <row r="1090" spans="1:11" x14ac:dyDescent="0.2">
      <c r="A1090" t="s">
        <v>3893</v>
      </c>
      <c r="B1090" t="s">
        <v>3894</v>
      </c>
      <c r="C1090" t="s">
        <v>3876</v>
      </c>
      <c r="D1090" t="s">
        <v>98</v>
      </c>
      <c r="E1090">
        <v>59.99</v>
      </c>
      <c r="F1090">
        <v>0</v>
      </c>
      <c r="H1090" t="s">
        <v>72</v>
      </c>
      <c r="I1090">
        <v>0</v>
      </c>
      <c r="J1090">
        <v>0</v>
      </c>
      <c r="K1090">
        <v>0</v>
      </c>
    </row>
    <row r="1091" spans="1:11" x14ac:dyDescent="0.2">
      <c r="A1091" t="s">
        <v>3416</v>
      </c>
      <c r="B1091" t="s">
        <v>3417</v>
      </c>
      <c r="C1091" t="s">
        <v>3349</v>
      </c>
      <c r="D1091" t="s">
        <v>138</v>
      </c>
      <c r="E1091">
        <v>49.99</v>
      </c>
      <c r="F1091">
        <v>0</v>
      </c>
      <c r="H1091" t="s">
        <v>72</v>
      </c>
      <c r="I1091">
        <v>0</v>
      </c>
      <c r="J1091">
        <v>0</v>
      </c>
      <c r="K1091">
        <v>0</v>
      </c>
    </row>
    <row r="1092" spans="1:11" x14ac:dyDescent="0.2">
      <c r="A1092" t="s">
        <v>3891</v>
      </c>
      <c r="B1092" t="s">
        <v>3892</v>
      </c>
      <c r="C1092" t="s">
        <v>3876</v>
      </c>
      <c r="D1092" t="s">
        <v>98</v>
      </c>
      <c r="E1092">
        <v>59.99</v>
      </c>
      <c r="F1092">
        <v>0</v>
      </c>
      <c r="H1092" t="s">
        <v>72</v>
      </c>
      <c r="I1092">
        <v>0</v>
      </c>
      <c r="J1092">
        <v>0</v>
      </c>
      <c r="K1092">
        <v>1</v>
      </c>
    </row>
    <row r="1093" spans="1:11" x14ac:dyDescent="0.2">
      <c r="A1093" t="s">
        <v>3938</v>
      </c>
      <c r="B1093" t="s">
        <v>3939</v>
      </c>
      <c r="C1093" t="s">
        <v>3929</v>
      </c>
      <c r="D1093" t="s">
        <v>105</v>
      </c>
      <c r="E1093">
        <v>259.99</v>
      </c>
      <c r="F1093">
        <v>0</v>
      </c>
      <c r="G1093">
        <v>13</v>
      </c>
      <c r="H1093" t="s">
        <v>72</v>
      </c>
      <c r="I1093">
        <v>0</v>
      </c>
      <c r="J1093">
        <v>0</v>
      </c>
      <c r="K1093">
        <v>48</v>
      </c>
    </row>
    <row r="1094" spans="1:11" x14ac:dyDescent="0.2">
      <c r="A1094" t="s">
        <v>3940</v>
      </c>
      <c r="B1094" t="s">
        <v>3941</v>
      </c>
      <c r="C1094" t="s">
        <v>3929</v>
      </c>
      <c r="D1094" t="s">
        <v>105</v>
      </c>
      <c r="E1094">
        <v>209.99</v>
      </c>
      <c r="F1094">
        <v>0</v>
      </c>
      <c r="G1094">
        <v>7</v>
      </c>
      <c r="H1094" t="s">
        <v>72</v>
      </c>
      <c r="I1094">
        <v>0.5</v>
      </c>
      <c r="J1094">
        <v>90</v>
      </c>
      <c r="K1094">
        <v>45</v>
      </c>
    </row>
    <row r="1095" spans="1:11" x14ac:dyDescent="0.2">
      <c r="A1095" t="s">
        <v>3362</v>
      </c>
      <c r="B1095" t="s">
        <v>3363</v>
      </c>
      <c r="C1095" t="s">
        <v>3349</v>
      </c>
      <c r="D1095" t="s">
        <v>105</v>
      </c>
      <c r="E1095">
        <v>89.99</v>
      </c>
      <c r="F1095">
        <v>0</v>
      </c>
      <c r="G1095">
        <v>6</v>
      </c>
      <c r="H1095" t="s">
        <v>72</v>
      </c>
      <c r="I1095">
        <v>0</v>
      </c>
      <c r="J1095">
        <v>0</v>
      </c>
      <c r="K1095">
        <v>2</v>
      </c>
    </row>
    <row r="1096" spans="1:11" x14ac:dyDescent="0.2">
      <c r="A1096" t="s">
        <v>5120</v>
      </c>
      <c r="B1096" t="s">
        <v>5121</v>
      </c>
      <c r="C1096" t="s">
        <v>3929</v>
      </c>
      <c r="D1096" t="s">
        <v>105</v>
      </c>
      <c r="E1096">
        <v>89.99</v>
      </c>
      <c r="F1096">
        <v>0</v>
      </c>
      <c r="G1096">
        <v>15</v>
      </c>
      <c r="H1096" t="s">
        <v>72</v>
      </c>
      <c r="I1096">
        <v>0.16666666666666666</v>
      </c>
      <c r="J1096">
        <v>264</v>
      </c>
      <c r="K1096">
        <v>44</v>
      </c>
    </row>
    <row r="1097" spans="1:11" x14ac:dyDescent="0.2">
      <c r="A1097" t="s">
        <v>3364</v>
      </c>
      <c r="B1097" t="s">
        <v>3365</v>
      </c>
      <c r="C1097" t="s">
        <v>3349</v>
      </c>
      <c r="D1097" t="s">
        <v>105</v>
      </c>
      <c r="E1097">
        <v>59.99</v>
      </c>
      <c r="F1097">
        <v>0</v>
      </c>
      <c r="H1097" t="s">
        <v>72</v>
      </c>
      <c r="I1097">
        <v>0</v>
      </c>
      <c r="J1097">
        <v>0</v>
      </c>
      <c r="K1097">
        <v>2</v>
      </c>
    </row>
    <row r="1098" spans="1:11" x14ac:dyDescent="0.2">
      <c r="A1098" t="s">
        <v>3366</v>
      </c>
      <c r="B1098" t="s">
        <v>3367</v>
      </c>
      <c r="C1098" t="s">
        <v>3349</v>
      </c>
      <c r="D1098" t="s">
        <v>105</v>
      </c>
      <c r="E1098">
        <v>99.99</v>
      </c>
      <c r="F1098">
        <v>0</v>
      </c>
      <c r="H1098" t="s">
        <v>72</v>
      </c>
      <c r="I1098">
        <v>0</v>
      </c>
      <c r="J1098">
        <v>0</v>
      </c>
      <c r="K1098">
        <v>2</v>
      </c>
    </row>
    <row r="1099" spans="1:11" x14ac:dyDescent="0.2">
      <c r="A1099" t="s">
        <v>3368</v>
      </c>
      <c r="B1099" t="s">
        <v>3369</v>
      </c>
      <c r="C1099" t="s">
        <v>3349</v>
      </c>
      <c r="D1099" t="s">
        <v>105</v>
      </c>
      <c r="E1099">
        <v>99.99</v>
      </c>
      <c r="F1099">
        <v>0</v>
      </c>
      <c r="H1099" t="s">
        <v>72</v>
      </c>
      <c r="I1099">
        <v>0</v>
      </c>
      <c r="J1099">
        <v>0</v>
      </c>
      <c r="K1099">
        <v>2</v>
      </c>
    </row>
    <row r="1100" spans="1:11" x14ac:dyDescent="0.2">
      <c r="A1100" t="s">
        <v>5624</v>
      </c>
      <c r="B1100" t="s">
        <v>5625</v>
      </c>
      <c r="C1100" t="s">
        <v>3929</v>
      </c>
      <c r="D1100" t="s">
        <v>98</v>
      </c>
      <c r="E1100">
        <v>99.99</v>
      </c>
      <c r="F1100">
        <v>0</v>
      </c>
      <c r="H1100" t="s">
        <v>72</v>
      </c>
      <c r="I1100">
        <v>0</v>
      </c>
      <c r="J1100">
        <v>0</v>
      </c>
      <c r="K1100">
        <v>0</v>
      </c>
    </row>
    <row r="1101" spans="1:11" x14ac:dyDescent="0.2">
      <c r="A1101" t="s">
        <v>3370</v>
      </c>
      <c r="B1101" t="s">
        <v>3371</v>
      </c>
      <c r="C1101" t="s">
        <v>3349</v>
      </c>
      <c r="D1101" t="s">
        <v>105</v>
      </c>
      <c r="E1101">
        <v>389.99</v>
      </c>
      <c r="F1101">
        <v>0</v>
      </c>
      <c r="G1101">
        <v>6</v>
      </c>
      <c r="H1101" t="s">
        <v>72</v>
      </c>
      <c r="I1101">
        <v>0</v>
      </c>
      <c r="J1101">
        <v>0</v>
      </c>
      <c r="K1101">
        <v>6</v>
      </c>
    </row>
    <row r="1102" spans="1:11" x14ac:dyDescent="0.2">
      <c r="A1102" t="s">
        <v>3960</v>
      </c>
      <c r="B1102" t="s">
        <v>3961</v>
      </c>
      <c r="C1102" t="s">
        <v>3929</v>
      </c>
      <c r="D1102" t="s">
        <v>105</v>
      </c>
      <c r="E1102">
        <v>64.989999999999995</v>
      </c>
      <c r="F1102">
        <v>64.989999999999995</v>
      </c>
      <c r="G1102">
        <v>20</v>
      </c>
      <c r="H1102" t="s">
        <v>72</v>
      </c>
      <c r="I1102">
        <v>0.16666666666666666</v>
      </c>
      <c r="J1102">
        <v>18</v>
      </c>
      <c r="K1102">
        <v>3</v>
      </c>
    </row>
    <row r="1103" spans="1:11" x14ac:dyDescent="0.2">
      <c r="A1103" t="s">
        <v>3372</v>
      </c>
      <c r="B1103" t="s">
        <v>3373</v>
      </c>
      <c r="C1103" t="s">
        <v>3349</v>
      </c>
      <c r="D1103" t="s">
        <v>105</v>
      </c>
      <c r="E1103">
        <v>99.99</v>
      </c>
      <c r="F1103">
        <v>0</v>
      </c>
      <c r="H1103" t="s">
        <v>72</v>
      </c>
      <c r="I1103">
        <v>0</v>
      </c>
      <c r="J1103">
        <v>0</v>
      </c>
      <c r="K1103">
        <v>2</v>
      </c>
    </row>
    <row r="1104" spans="1:11" x14ac:dyDescent="0.2">
      <c r="A1104" t="s">
        <v>5582</v>
      </c>
      <c r="B1104" t="s">
        <v>5583</v>
      </c>
      <c r="C1104" t="s">
        <v>3929</v>
      </c>
      <c r="D1104" t="s">
        <v>98</v>
      </c>
      <c r="E1104">
        <v>64.989999999999995</v>
      </c>
      <c r="F1104">
        <v>0</v>
      </c>
      <c r="H1104" t="s">
        <v>72</v>
      </c>
      <c r="I1104">
        <v>0</v>
      </c>
      <c r="J1104">
        <v>0</v>
      </c>
      <c r="K1104">
        <v>0</v>
      </c>
    </row>
    <row r="1105" spans="1:11" x14ac:dyDescent="0.2">
      <c r="A1105" t="s">
        <v>3386</v>
      </c>
      <c r="B1105" t="s">
        <v>3387</v>
      </c>
      <c r="C1105" t="s">
        <v>3349</v>
      </c>
      <c r="D1105" t="s">
        <v>98</v>
      </c>
      <c r="E1105">
        <v>359.99</v>
      </c>
      <c r="F1105">
        <v>0</v>
      </c>
      <c r="H1105" t="s">
        <v>72</v>
      </c>
      <c r="I1105">
        <v>0</v>
      </c>
      <c r="J1105">
        <v>0</v>
      </c>
      <c r="K1105">
        <v>0</v>
      </c>
    </row>
    <row r="1106" spans="1:11" x14ac:dyDescent="0.2">
      <c r="A1106" t="s">
        <v>3392</v>
      </c>
      <c r="B1106" t="s">
        <v>3393</v>
      </c>
      <c r="C1106" t="s">
        <v>3349</v>
      </c>
      <c r="D1106" t="s">
        <v>105</v>
      </c>
      <c r="E1106">
        <v>139.99</v>
      </c>
      <c r="F1106">
        <v>0</v>
      </c>
      <c r="G1106">
        <v>33</v>
      </c>
      <c r="H1106" t="s">
        <v>72</v>
      </c>
      <c r="I1106">
        <v>0</v>
      </c>
      <c r="J1106">
        <v>0</v>
      </c>
      <c r="K1106">
        <v>11</v>
      </c>
    </row>
    <row r="1107" spans="1:11" x14ac:dyDescent="0.2">
      <c r="A1107" t="s">
        <v>3954</v>
      </c>
      <c r="B1107" t="s">
        <v>3955</v>
      </c>
      <c r="C1107" t="s">
        <v>3929</v>
      </c>
      <c r="D1107" t="s">
        <v>105</v>
      </c>
      <c r="E1107">
        <v>64.989999999999995</v>
      </c>
      <c r="F1107">
        <v>0</v>
      </c>
      <c r="G1107">
        <v>38</v>
      </c>
      <c r="H1107" t="s">
        <v>72</v>
      </c>
      <c r="I1107">
        <v>0</v>
      </c>
      <c r="J1107">
        <v>0</v>
      </c>
      <c r="K1107">
        <v>0</v>
      </c>
    </row>
    <row r="1108" spans="1:11" x14ac:dyDescent="0.2">
      <c r="A1108" t="s">
        <v>3394</v>
      </c>
      <c r="B1108" t="s">
        <v>3395</v>
      </c>
      <c r="C1108" t="s">
        <v>3349</v>
      </c>
      <c r="D1108" t="s">
        <v>105</v>
      </c>
      <c r="E1108">
        <v>399.99</v>
      </c>
      <c r="F1108">
        <v>0</v>
      </c>
      <c r="G1108">
        <v>34</v>
      </c>
      <c r="H1108" t="s">
        <v>72</v>
      </c>
      <c r="I1108">
        <v>-0.16666666666666666</v>
      </c>
      <c r="J1108">
        <v>-48</v>
      </c>
      <c r="K1108">
        <v>8</v>
      </c>
    </row>
    <row r="1109" spans="1:11" x14ac:dyDescent="0.2">
      <c r="A1109" t="s">
        <v>3402</v>
      </c>
      <c r="B1109" t="s">
        <v>3403</v>
      </c>
      <c r="C1109" t="s">
        <v>3349</v>
      </c>
      <c r="D1109" t="s">
        <v>105</v>
      </c>
      <c r="E1109">
        <v>109.99</v>
      </c>
      <c r="F1109">
        <v>109.99</v>
      </c>
      <c r="G1109">
        <v>7</v>
      </c>
      <c r="H1109" t="s">
        <v>72</v>
      </c>
      <c r="I1109">
        <v>0.5</v>
      </c>
      <c r="J1109">
        <v>18</v>
      </c>
      <c r="K1109">
        <v>9</v>
      </c>
    </row>
    <row r="1110" spans="1:11" x14ac:dyDescent="0.2">
      <c r="A1110" t="s">
        <v>3406</v>
      </c>
      <c r="B1110" t="s">
        <v>3407</v>
      </c>
      <c r="C1110" t="s">
        <v>3349</v>
      </c>
      <c r="D1110" t="s">
        <v>138</v>
      </c>
      <c r="E1110">
        <v>34.99</v>
      </c>
      <c r="F1110">
        <v>0</v>
      </c>
      <c r="H1110" t="s">
        <v>72</v>
      </c>
      <c r="I1110">
        <v>0</v>
      </c>
      <c r="J1110">
        <v>0</v>
      </c>
      <c r="K1110">
        <v>2</v>
      </c>
    </row>
    <row r="1111" spans="1:11" x14ac:dyDescent="0.2">
      <c r="A1111" t="s">
        <v>3408</v>
      </c>
      <c r="B1111" t="s">
        <v>3409</v>
      </c>
      <c r="C1111" t="s">
        <v>3349</v>
      </c>
      <c r="D1111" t="s">
        <v>138</v>
      </c>
      <c r="E1111">
        <v>59.99</v>
      </c>
      <c r="F1111">
        <v>0</v>
      </c>
      <c r="H1111" t="s">
        <v>72</v>
      </c>
      <c r="I1111">
        <v>0</v>
      </c>
      <c r="J1111">
        <v>0</v>
      </c>
      <c r="K1111">
        <v>0</v>
      </c>
    </row>
    <row r="1112" spans="1:11" x14ac:dyDescent="0.2">
      <c r="A1112" t="s">
        <v>3942</v>
      </c>
      <c r="B1112" t="s">
        <v>3943</v>
      </c>
      <c r="C1112" t="s">
        <v>3929</v>
      </c>
      <c r="D1112" t="s">
        <v>105</v>
      </c>
      <c r="E1112">
        <v>149.99</v>
      </c>
      <c r="F1112">
        <v>0</v>
      </c>
      <c r="H1112" t="s">
        <v>72</v>
      </c>
      <c r="I1112">
        <v>0</v>
      </c>
      <c r="J1112">
        <v>0</v>
      </c>
      <c r="K1112">
        <v>0</v>
      </c>
    </row>
    <row r="1113" spans="1:11" x14ac:dyDescent="0.2">
      <c r="A1113" t="s">
        <v>3412</v>
      </c>
      <c r="B1113" t="s">
        <v>3413</v>
      </c>
      <c r="C1113" t="s">
        <v>3349</v>
      </c>
      <c r="D1113" t="s">
        <v>105</v>
      </c>
      <c r="E1113">
        <v>149.99</v>
      </c>
      <c r="F1113">
        <v>0</v>
      </c>
      <c r="H1113" t="s">
        <v>72</v>
      </c>
      <c r="I1113">
        <v>0.5</v>
      </c>
      <c r="J1113">
        <v>28</v>
      </c>
      <c r="K1113">
        <v>14</v>
      </c>
    </row>
    <row r="1114" spans="1:11" x14ac:dyDescent="0.2">
      <c r="A1114" t="s">
        <v>3414</v>
      </c>
      <c r="B1114" t="s">
        <v>3415</v>
      </c>
      <c r="C1114" t="s">
        <v>3349</v>
      </c>
      <c r="D1114" t="s">
        <v>138</v>
      </c>
      <c r="E1114">
        <v>89.99</v>
      </c>
      <c r="F1114">
        <v>0</v>
      </c>
      <c r="H1114" t="s">
        <v>72</v>
      </c>
      <c r="I1114">
        <v>0</v>
      </c>
      <c r="J1114">
        <v>0</v>
      </c>
      <c r="K1114">
        <v>2</v>
      </c>
    </row>
    <row r="1115" spans="1:11" x14ac:dyDescent="0.2">
      <c r="A1115" t="s">
        <v>5073</v>
      </c>
      <c r="B1115" t="s">
        <v>5074</v>
      </c>
      <c r="C1115" t="s">
        <v>3929</v>
      </c>
      <c r="D1115" t="s">
        <v>105</v>
      </c>
      <c r="E1115">
        <v>99.99</v>
      </c>
      <c r="F1115">
        <v>0</v>
      </c>
      <c r="H1115" t="s">
        <v>72</v>
      </c>
      <c r="I1115">
        <v>0</v>
      </c>
      <c r="J1115">
        <v>0</v>
      </c>
      <c r="K1115">
        <v>0</v>
      </c>
    </row>
    <row r="1116" spans="1:11" x14ac:dyDescent="0.2">
      <c r="A1116" t="s">
        <v>3464</v>
      </c>
      <c r="B1116" t="s">
        <v>3465</v>
      </c>
      <c r="C1116" t="s">
        <v>3349</v>
      </c>
      <c r="D1116" t="s">
        <v>105</v>
      </c>
      <c r="E1116">
        <v>229.99</v>
      </c>
      <c r="F1116">
        <v>0</v>
      </c>
      <c r="H1116" t="s">
        <v>72</v>
      </c>
      <c r="I1116">
        <v>0.5</v>
      </c>
      <c r="J1116">
        <v>56</v>
      </c>
      <c r="K1116">
        <v>28</v>
      </c>
    </row>
    <row r="1117" spans="1:11" x14ac:dyDescent="0.2">
      <c r="A1117" t="s">
        <v>3585</v>
      </c>
      <c r="B1117" t="s">
        <v>3586</v>
      </c>
      <c r="C1117" t="s">
        <v>3582</v>
      </c>
      <c r="D1117" t="s">
        <v>98</v>
      </c>
      <c r="E1117">
        <v>149.99</v>
      </c>
      <c r="F1117">
        <v>0</v>
      </c>
      <c r="H1117" t="s">
        <v>72</v>
      </c>
      <c r="I1117">
        <v>0</v>
      </c>
      <c r="J1117">
        <v>0</v>
      </c>
      <c r="K1117">
        <v>3</v>
      </c>
    </row>
    <row r="1118" spans="1:11" x14ac:dyDescent="0.2">
      <c r="A1118" t="s">
        <v>3505</v>
      </c>
      <c r="B1118" t="s">
        <v>3506</v>
      </c>
      <c r="C1118" t="s">
        <v>3494</v>
      </c>
      <c r="D1118" t="s">
        <v>138</v>
      </c>
      <c r="E1118">
        <v>299.99</v>
      </c>
      <c r="F1118">
        <v>299.99</v>
      </c>
      <c r="H1118" t="s">
        <v>72</v>
      </c>
      <c r="I1118">
        <v>0.16666666666666666</v>
      </c>
      <c r="J1118">
        <v>0</v>
      </c>
      <c r="K1118">
        <v>0</v>
      </c>
    </row>
    <row r="1119" spans="1:11" x14ac:dyDescent="0.2">
      <c r="A1119" t="s">
        <v>3583</v>
      </c>
      <c r="B1119" t="s">
        <v>3584</v>
      </c>
      <c r="C1119" t="s">
        <v>3582</v>
      </c>
      <c r="D1119" t="s">
        <v>98</v>
      </c>
      <c r="E1119">
        <v>199.99</v>
      </c>
      <c r="F1119">
        <v>0</v>
      </c>
      <c r="H1119" t="s">
        <v>72</v>
      </c>
      <c r="I1119">
        <v>0</v>
      </c>
      <c r="J1119">
        <v>0</v>
      </c>
      <c r="K1119">
        <v>0</v>
      </c>
    </row>
    <row r="1120" spans="1:11" x14ac:dyDescent="0.2">
      <c r="A1120" t="s">
        <v>5532</v>
      </c>
      <c r="B1120" t="s">
        <v>5533</v>
      </c>
      <c r="C1120" t="s">
        <v>3575</v>
      </c>
      <c r="D1120" t="s">
        <v>98</v>
      </c>
      <c r="E1120">
        <v>79.989999999999995</v>
      </c>
      <c r="F1120">
        <v>0</v>
      </c>
      <c r="H1120" t="s">
        <v>72</v>
      </c>
      <c r="I1120">
        <v>0</v>
      </c>
      <c r="J1120">
        <v>0</v>
      </c>
      <c r="K1120">
        <v>0</v>
      </c>
    </row>
    <row r="1121" spans="1:11" x14ac:dyDescent="0.2">
      <c r="A1121" t="s">
        <v>3507</v>
      </c>
      <c r="B1121" t="s">
        <v>3508</v>
      </c>
      <c r="C1121" t="s">
        <v>3494</v>
      </c>
      <c r="D1121" t="s">
        <v>138</v>
      </c>
      <c r="E1121">
        <v>359.99</v>
      </c>
      <c r="F1121">
        <v>0</v>
      </c>
      <c r="H1121" t="s">
        <v>72</v>
      </c>
      <c r="I1121">
        <v>0</v>
      </c>
      <c r="J1121">
        <v>0</v>
      </c>
      <c r="K1121">
        <v>0</v>
      </c>
    </row>
    <row r="1122" spans="1:11" x14ac:dyDescent="0.2">
      <c r="A1122" t="s">
        <v>5528</v>
      </c>
      <c r="B1122" t="s">
        <v>5529</v>
      </c>
      <c r="C1122" t="s">
        <v>3575</v>
      </c>
      <c r="D1122" t="s">
        <v>98</v>
      </c>
      <c r="E1122">
        <v>34.99</v>
      </c>
      <c r="F1122">
        <v>0</v>
      </c>
      <c r="H1122" t="s">
        <v>72</v>
      </c>
      <c r="I1122">
        <v>0</v>
      </c>
      <c r="J1122">
        <v>0</v>
      </c>
      <c r="K1122">
        <v>0</v>
      </c>
    </row>
    <row r="1123" spans="1:11" x14ac:dyDescent="0.2">
      <c r="A1123" t="s">
        <v>3509</v>
      </c>
      <c r="B1123" t="s">
        <v>3510</v>
      </c>
      <c r="C1123" t="s">
        <v>3494</v>
      </c>
      <c r="D1123" t="s">
        <v>138</v>
      </c>
      <c r="E1123">
        <v>149.99</v>
      </c>
      <c r="F1123">
        <v>0</v>
      </c>
      <c r="G1123">
        <v>1</v>
      </c>
      <c r="H1123" t="s">
        <v>72</v>
      </c>
      <c r="I1123">
        <v>0</v>
      </c>
      <c r="J1123">
        <v>0</v>
      </c>
      <c r="K1123">
        <v>0</v>
      </c>
    </row>
    <row r="1124" spans="1:11" x14ac:dyDescent="0.2">
      <c r="A1124" t="s">
        <v>5526</v>
      </c>
      <c r="B1124" t="s">
        <v>5527</v>
      </c>
      <c r="C1124" t="s">
        <v>3575</v>
      </c>
      <c r="D1124" t="s">
        <v>98</v>
      </c>
      <c r="E1124">
        <v>34.99</v>
      </c>
      <c r="F1124">
        <v>0</v>
      </c>
      <c r="H1124" t="s">
        <v>72</v>
      </c>
      <c r="I1124">
        <v>0</v>
      </c>
      <c r="J1124">
        <v>0</v>
      </c>
      <c r="K1124">
        <v>0</v>
      </c>
    </row>
    <row r="1125" spans="1:11" x14ac:dyDescent="0.2">
      <c r="A1125" t="s">
        <v>3580</v>
      </c>
      <c r="B1125" t="s">
        <v>3581</v>
      </c>
      <c r="C1125" t="s">
        <v>3575</v>
      </c>
      <c r="D1125" t="s">
        <v>98</v>
      </c>
      <c r="E1125">
        <v>24.99</v>
      </c>
      <c r="F1125">
        <v>0</v>
      </c>
      <c r="H1125" t="s">
        <v>72</v>
      </c>
      <c r="I1125">
        <v>0.16666666666666666</v>
      </c>
      <c r="J1125">
        <v>0</v>
      </c>
      <c r="K1125">
        <v>0</v>
      </c>
    </row>
    <row r="1126" spans="1:11" x14ac:dyDescent="0.2">
      <c r="A1126" t="s">
        <v>3511</v>
      </c>
      <c r="B1126" t="s">
        <v>3512</v>
      </c>
      <c r="C1126" t="s">
        <v>3494</v>
      </c>
      <c r="D1126" t="s">
        <v>138</v>
      </c>
      <c r="E1126">
        <v>499.99</v>
      </c>
      <c r="F1126">
        <v>0</v>
      </c>
      <c r="H1126" t="s">
        <v>72</v>
      </c>
      <c r="I1126">
        <v>0.16666666666666666</v>
      </c>
      <c r="J1126">
        <v>6</v>
      </c>
      <c r="K1126">
        <v>1</v>
      </c>
    </row>
    <row r="1127" spans="1:11" x14ac:dyDescent="0.2">
      <c r="A1127" t="s">
        <v>5626</v>
      </c>
      <c r="B1127" t="s">
        <v>5627</v>
      </c>
      <c r="C1127" t="s">
        <v>3575</v>
      </c>
      <c r="D1127" t="s">
        <v>98</v>
      </c>
      <c r="E1127">
        <v>19.989999999999998</v>
      </c>
      <c r="F1127">
        <v>0</v>
      </c>
      <c r="H1127" t="s">
        <v>72</v>
      </c>
      <c r="I1127">
        <v>0</v>
      </c>
      <c r="J1127">
        <v>0</v>
      </c>
      <c r="K1127">
        <v>0</v>
      </c>
    </row>
    <row r="1128" spans="1:11" x14ac:dyDescent="0.2">
      <c r="A1128" t="s">
        <v>5493</v>
      </c>
      <c r="B1128" t="s">
        <v>5494</v>
      </c>
      <c r="C1128" t="s">
        <v>3575</v>
      </c>
      <c r="D1128" t="s">
        <v>138</v>
      </c>
      <c r="E1128">
        <v>19.989999999999998</v>
      </c>
      <c r="F1128">
        <v>0</v>
      </c>
      <c r="H1128" t="s">
        <v>72</v>
      </c>
      <c r="I1128">
        <v>0</v>
      </c>
      <c r="J1128">
        <v>0</v>
      </c>
      <c r="K1128">
        <v>0</v>
      </c>
    </row>
    <row r="1129" spans="1:11" x14ac:dyDescent="0.2">
      <c r="A1129" t="s">
        <v>3513</v>
      </c>
      <c r="B1129" t="s">
        <v>3514</v>
      </c>
      <c r="C1129" t="s">
        <v>3494</v>
      </c>
      <c r="D1129" t="s">
        <v>138</v>
      </c>
      <c r="E1129">
        <v>479.99</v>
      </c>
      <c r="F1129">
        <v>0</v>
      </c>
      <c r="H1129" t="s">
        <v>72</v>
      </c>
      <c r="I1129">
        <v>0</v>
      </c>
      <c r="J1129">
        <v>0</v>
      </c>
      <c r="K1129">
        <v>0</v>
      </c>
    </row>
    <row r="1130" spans="1:11" x14ac:dyDescent="0.2">
      <c r="A1130" t="s">
        <v>5465</v>
      </c>
      <c r="B1130" t="s">
        <v>5466</v>
      </c>
      <c r="C1130" t="s">
        <v>3575</v>
      </c>
      <c r="D1130" t="s">
        <v>98</v>
      </c>
      <c r="E1130">
        <v>39.99</v>
      </c>
      <c r="F1130">
        <v>0</v>
      </c>
      <c r="H1130" t="s">
        <v>72</v>
      </c>
      <c r="I1130">
        <v>0</v>
      </c>
      <c r="J1130">
        <v>0</v>
      </c>
      <c r="K1130">
        <v>0</v>
      </c>
    </row>
    <row r="1131" spans="1:11" x14ac:dyDescent="0.2">
      <c r="A1131" t="s">
        <v>5457</v>
      </c>
      <c r="B1131" t="s">
        <v>5458</v>
      </c>
      <c r="C1131" t="s">
        <v>3575</v>
      </c>
      <c r="D1131" t="s">
        <v>98</v>
      </c>
      <c r="E1131">
        <v>49.99</v>
      </c>
      <c r="F1131">
        <v>0</v>
      </c>
      <c r="H1131" t="s">
        <v>72</v>
      </c>
      <c r="I1131">
        <v>0</v>
      </c>
      <c r="J1131">
        <v>0</v>
      </c>
      <c r="K1131">
        <v>0</v>
      </c>
    </row>
    <row r="1132" spans="1:11" x14ac:dyDescent="0.2">
      <c r="A1132" t="s">
        <v>3515</v>
      </c>
      <c r="B1132" t="s">
        <v>3516</v>
      </c>
      <c r="C1132" t="s">
        <v>3494</v>
      </c>
      <c r="D1132" t="s">
        <v>138</v>
      </c>
      <c r="E1132">
        <v>189.99</v>
      </c>
      <c r="F1132">
        <v>0</v>
      </c>
      <c r="H1132" t="s">
        <v>72</v>
      </c>
      <c r="I1132">
        <v>0</v>
      </c>
      <c r="J1132">
        <v>0</v>
      </c>
      <c r="K1132">
        <v>0</v>
      </c>
    </row>
    <row r="1133" spans="1:11" x14ac:dyDescent="0.2">
      <c r="A1133" t="s">
        <v>5455</v>
      </c>
      <c r="B1133" t="s">
        <v>5456</v>
      </c>
      <c r="C1133" t="s">
        <v>3575</v>
      </c>
      <c r="D1133" t="s">
        <v>98</v>
      </c>
      <c r="E1133">
        <v>49.99</v>
      </c>
      <c r="F1133">
        <v>0</v>
      </c>
      <c r="H1133" t="s">
        <v>72</v>
      </c>
      <c r="I1133">
        <v>0</v>
      </c>
      <c r="J1133">
        <v>0</v>
      </c>
      <c r="K1133">
        <v>0</v>
      </c>
    </row>
    <row r="1134" spans="1:11" x14ac:dyDescent="0.2">
      <c r="A1134" t="s">
        <v>5451</v>
      </c>
      <c r="B1134" t="s">
        <v>5452</v>
      </c>
      <c r="C1134" t="s">
        <v>3575</v>
      </c>
      <c r="D1134" t="s">
        <v>98</v>
      </c>
      <c r="E1134">
        <v>69.989999999999995</v>
      </c>
      <c r="F1134">
        <v>0</v>
      </c>
      <c r="H1134" t="s">
        <v>72</v>
      </c>
      <c r="I1134">
        <v>0</v>
      </c>
      <c r="J1134">
        <v>0</v>
      </c>
      <c r="K1134">
        <v>0</v>
      </c>
    </row>
    <row r="1135" spans="1:11" x14ac:dyDescent="0.2">
      <c r="A1135" t="s">
        <v>5467</v>
      </c>
      <c r="B1135" t="s">
        <v>5468</v>
      </c>
      <c r="C1135" t="s">
        <v>3575</v>
      </c>
      <c r="D1135" t="s">
        <v>98</v>
      </c>
      <c r="E1135">
        <v>34.99</v>
      </c>
      <c r="F1135">
        <v>0</v>
      </c>
      <c r="H1135" t="s">
        <v>72</v>
      </c>
      <c r="I1135">
        <v>0</v>
      </c>
      <c r="J1135">
        <v>0</v>
      </c>
      <c r="K1135">
        <v>0</v>
      </c>
    </row>
    <row r="1136" spans="1:11" x14ac:dyDescent="0.2">
      <c r="A1136" t="s">
        <v>5469</v>
      </c>
      <c r="B1136" t="s">
        <v>5470</v>
      </c>
      <c r="C1136" t="s">
        <v>3575</v>
      </c>
      <c r="D1136" t="s">
        <v>98</v>
      </c>
      <c r="E1136">
        <v>59.99</v>
      </c>
      <c r="F1136">
        <v>0</v>
      </c>
      <c r="H1136" t="s">
        <v>72</v>
      </c>
      <c r="I1136">
        <v>0</v>
      </c>
      <c r="J1136">
        <v>0</v>
      </c>
      <c r="K1136">
        <v>0</v>
      </c>
    </row>
    <row r="1137" spans="1:11" x14ac:dyDescent="0.2">
      <c r="A1137" t="s">
        <v>5481</v>
      </c>
      <c r="B1137" t="s">
        <v>5482</v>
      </c>
      <c r="C1137" t="s">
        <v>3575</v>
      </c>
      <c r="D1137" t="s">
        <v>98</v>
      </c>
      <c r="E1137">
        <v>29.99</v>
      </c>
      <c r="F1137">
        <v>0</v>
      </c>
      <c r="H1137" t="s">
        <v>72</v>
      </c>
      <c r="I1137">
        <v>0</v>
      </c>
      <c r="J1137">
        <v>0</v>
      </c>
      <c r="K1137">
        <v>0</v>
      </c>
    </row>
    <row r="1138" spans="1:11" x14ac:dyDescent="0.2">
      <c r="A1138" t="s">
        <v>5628</v>
      </c>
      <c r="B1138" t="s">
        <v>5629</v>
      </c>
      <c r="C1138" t="s">
        <v>3575</v>
      </c>
      <c r="D1138" t="s">
        <v>98</v>
      </c>
      <c r="E1138">
        <v>59.99</v>
      </c>
      <c r="F1138">
        <v>0</v>
      </c>
      <c r="H1138" t="s">
        <v>72</v>
      </c>
      <c r="I1138">
        <v>0</v>
      </c>
      <c r="J1138">
        <v>0</v>
      </c>
      <c r="K1138">
        <v>0</v>
      </c>
    </row>
    <row r="1139" spans="1:11" x14ac:dyDescent="0.2">
      <c r="A1139" t="s">
        <v>3576</v>
      </c>
      <c r="B1139" t="s">
        <v>3577</v>
      </c>
      <c r="C1139" t="s">
        <v>3575</v>
      </c>
      <c r="D1139" t="s">
        <v>138</v>
      </c>
      <c r="E1139">
        <v>59.99</v>
      </c>
      <c r="F1139">
        <v>0</v>
      </c>
      <c r="H1139" t="s">
        <v>72</v>
      </c>
      <c r="I1139">
        <v>0</v>
      </c>
      <c r="J1139">
        <v>0</v>
      </c>
      <c r="K1139">
        <v>0</v>
      </c>
    </row>
    <row r="1140" spans="1:11" x14ac:dyDescent="0.2">
      <c r="A1140" t="s">
        <v>5475</v>
      </c>
      <c r="B1140" t="s">
        <v>5476</v>
      </c>
      <c r="C1140" t="s">
        <v>3575</v>
      </c>
      <c r="D1140" t="s">
        <v>98</v>
      </c>
      <c r="E1140">
        <v>29.99</v>
      </c>
      <c r="F1140">
        <v>0</v>
      </c>
      <c r="H1140" t="s">
        <v>72</v>
      </c>
      <c r="I1140">
        <v>0</v>
      </c>
      <c r="J1140">
        <v>0</v>
      </c>
      <c r="K1140">
        <v>0</v>
      </c>
    </row>
    <row r="1141" spans="1:11" x14ac:dyDescent="0.2">
      <c r="A1141" t="s">
        <v>3578</v>
      </c>
      <c r="B1141" t="s">
        <v>3579</v>
      </c>
      <c r="C1141" t="s">
        <v>3575</v>
      </c>
      <c r="D1141" t="s">
        <v>138</v>
      </c>
      <c r="E1141">
        <v>19.989999999999998</v>
      </c>
      <c r="F1141">
        <v>0</v>
      </c>
      <c r="H1141" t="s">
        <v>72</v>
      </c>
      <c r="I1141">
        <v>0</v>
      </c>
      <c r="J1141">
        <v>0</v>
      </c>
      <c r="K1141">
        <v>0</v>
      </c>
    </row>
    <row r="1142" spans="1:11" x14ac:dyDescent="0.2">
      <c r="A1142" t="s">
        <v>3503</v>
      </c>
      <c r="B1142" t="s">
        <v>3504</v>
      </c>
      <c r="C1142" t="s">
        <v>3494</v>
      </c>
      <c r="D1142" t="s">
        <v>98</v>
      </c>
      <c r="E1142">
        <v>189.99</v>
      </c>
      <c r="F1142">
        <v>0</v>
      </c>
      <c r="H1142" t="s">
        <v>72</v>
      </c>
      <c r="I1142">
        <v>0</v>
      </c>
      <c r="J1142">
        <v>0</v>
      </c>
      <c r="K1142">
        <v>0</v>
      </c>
    </row>
    <row r="1143" spans="1:11" x14ac:dyDescent="0.2">
      <c r="A1143" t="s">
        <v>5431</v>
      </c>
      <c r="B1143" t="s">
        <v>5432</v>
      </c>
      <c r="C1143" t="s">
        <v>3582</v>
      </c>
      <c r="D1143" t="s">
        <v>98</v>
      </c>
      <c r="E1143">
        <v>39.99</v>
      </c>
      <c r="F1143">
        <v>0</v>
      </c>
      <c r="H1143" t="s">
        <v>72</v>
      </c>
      <c r="I1143">
        <v>0</v>
      </c>
      <c r="J1143">
        <v>0</v>
      </c>
      <c r="K1143">
        <v>0</v>
      </c>
    </row>
    <row r="1144" spans="1:11" x14ac:dyDescent="0.2">
      <c r="A1144" t="s">
        <v>5497</v>
      </c>
      <c r="B1144" t="s">
        <v>5498</v>
      </c>
      <c r="C1144" t="s">
        <v>3582</v>
      </c>
      <c r="D1144" t="s">
        <v>98</v>
      </c>
      <c r="E1144">
        <v>99.99</v>
      </c>
      <c r="F1144">
        <v>0</v>
      </c>
      <c r="H1144" t="s">
        <v>72</v>
      </c>
      <c r="I1144">
        <v>0</v>
      </c>
      <c r="J1144">
        <v>0</v>
      </c>
      <c r="K1144">
        <v>0</v>
      </c>
    </row>
    <row r="1145" spans="1:11" x14ac:dyDescent="0.2">
      <c r="A1145" t="s">
        <v>5505</v>
      </c>
      <c r="B1145" t="s">
        <v>5506</v>
      </c>
      <c r="C1145" t="s">
        <v>3582</v>
      </c>
      <c r="D1145" t="s">
        <v>98</v>
      </c>
      <c r="E1145">
        <v>799.99</v>
      </c>
      <c r="F1145">
        <v>0</v>
      </c>
      <c r="H1145" t="s">
        <v>72</v>
      </c>
      <c r="I1145">
        <v>0</v>
      </c>
      <c r="J1145">
        <v>0</v>
      </c>
      <c r="K1145">
        <v>0</v>
      </c>
    </row>
    <row r="1146" spans="1:11" x14ac:dyDescent="0.2">
      <c r="A1146" t="s">
        <v>5425</v>
      </c>
      <c r="B1146" t="s">
        <v>5426</v>
      </c>
      <c r="C1146" t="s">
        <v>3582</v>
      </c>
      <c r="D1146" t="s">
        <v>98</v>
      </c>
      <c r="E1146">
        <v>59.99</v>
      </c>
      <c r="F1146">
        <v>0</v>
      </c>
      <c r="H1146" t="s">
        <v>72</v>
      </c>
      <c r="I1146">
        <v>0</v>
      </c>
      <c r="J1146">
        <v>0</v>
      </c>
      <c r="K1146">
        <v>0</v>
      </c>
    </row>
    <row r="1147" spans="1:11" x14ac:dyDescent="0.2">
      <c r="A1147" t="s">
        <v>3468</v>
      </c>
      <c r="B1147" t="s">
        <v>3469</v>
      </c>
      <c r="C1147" t="s">
        <v>3349</v>
      </c>
      <c r="D1147" t="s">
        <v>98</v>
      </c>
      <c r="E1147">
        <v>529.99</v>
      </c>
      <c r="F1147">
        <v>0</v>
      </c>
      <c r="H1147" t="s">
        <v>72</v>
      </c>
      <c r="I1147">
        <v>0</v>
      </c>
      <c r="J1147">
        <v>0</v>
      </c>
      <c r="K1147">
        <v>0</v>
      </c>
    </row>
    <row r="1148" spans="1:11" x14ac:dyDescent="0.2">
      <c r="A1148" t="s">
        <v>3593</v>
      </c>
      <c r="B1148" t="s">
        <v>3594</v>
      </c>
      <c r="C1148" t="s">
        <v>3582</v>
      </c>
      <c r="D1148" t="s">
        <v>98</v>
      </c>
      <c r="E1148">
        <v>79.989999999999995</v>
      </c>
      <c r="F1148">
        <v>0</v>
      </c>
      <c r="H1148" t="s">
        <v>72</v>
      </c>
      <c r="I1148">
        <v>0</v>
      </c>
      <c r="J1148">
        <v>0</v>
      </c>
      <c r="K1148">
        <v>0</v>
      </c>
    </row>
    <row r="1149" spans="1:11" x14ac:dyDescent="0.2">
      <c r="A1149" t="s">
        <v>3591</v>
      </c>
      <c r="B1149" t="s">
        <v>3592</v>
      </c>
      <c r="C1149" t="s">
        <v>3582</v>
      </c>
      <c r="D1149" t="s">
        <v>98</v>
      </c>
      <c r="E1149">
        <v>109.99</v>
      </c>
      <c r="F1149">
        <v>0</v>
      </c>
      <c r="H1149" t="s">
        <v>72</v>
      </c>
      <c r="I1149">
        <v>0</v>
      </c>
      <c r="J1149">
        <v>0</v>
      </c>
      <c r="K1149">
        <v>0</v>
      </c>
    </row>
    <row r="1150" spans="1:11" x14ac:dyDescent="0.2">
      <c r="A1150" t="s">
        <v>3470</v>
      </c>
      <c r="B1150" t="s">
        <v>3471</v>
      </c>
      <c r="C1150" t="s">
        <v>3349</v>
      </c>
      <c r="D1150" t="s">
        <v>105</v>
      </c>
      <c r="E1150">
        <v>19.989999999999998</v>
      </c>
      <c r="F1150">
        <v>0</v>
      </c>
      <c r="G1150">
        <v>33</v>
      </c>
      <c r="H1150" t="s">
        <v>72</v>
      </c>
      <c r="I1150">
        <v>0</v>
      </c>
      <c r="J1150">
        <v>0</v>
      </c>
      <c r="K1150">
        <v>0</v>
      </c>
    </row>
    <row r="1151" spans="1:11" x14ac:dyDescent="0.2">
      <c r="A1151" t="s">
        <v>5447</v>
      </c>
      <c r="B1151" t="s">
        <v>5448</v>
      </c>
      <c r="C1151" t="s">
        <v>3582</v>
      </c>
      <c r="D1151" t="s">
        <v>98</v>
      </c>
      <c r="E1151">
        <v>0</v>
      </c>
      <c r="F1151">
        <v>0</v>
      </c>
      <c r="H1151" t="s">
        <v>72</v>
      </c>
      <c r="I1151">
        <v>0</v>
      </c>
      <c r="J1151">
        <v>0</v>
      </c>
      <c r="K1151">
        <v>0</v>
      </c>
    </row>
    <row r="1152" spans="1:11" x14ac:dyDescent="0.2">
      <c r="A1152" t="s">
        <v>3472</v>
      </c>
      <c r="B1152" t="s">
        <v>3473</v>
      </c>
      <c r="C1152" t="s">
        <v>3349</v>
      </c>
      <c r="D1152" t="s">
        <v>105</v>
      </c>
      <c r="E1152">
        <v>19.989999999999998</v>
      </c>
      <c r="F1152">
        <v>0</v>
      </c>
      <c r="G1152">
        <v>22</v>
      </c>
      <c r="H1152" t="s">
        <v>72</v>
      </c>
      <c r="I1152">
        <v>0</v>
      </c>
      <c r="J1152">
        <v>0</v>
      </c>
      <c r="K1152">
        <v>0</v>
      </c>
    </row>
    <row r="1153" spans="1:11" x14ac:dyDescent="0.2">
      <c r="A1153" t="s">
        <v>5441</v>
      </c>
      <c r="B1153" t="s">
        <v>5442</v>
      </c>
      <c r="C1153" t="s">
        <v>3582</v>
      </c>
      <c r="D1153" t="s">
        <v>98</v>
      </c>
      <c r="E1153">
        <v>99.99</v>
      </c>
      <c r="F1153">
        <v>0</v>
      </c>
      <c r="H1153" t="s">
        <v>72</v>
      </c>
      <c r="I1153">
        <v>0</v>
      </c>
      <c r="J1153">
        <v>0</v>
      </c>
      <c r="K1153">
        <v>2</v>
      </c>
    </row>
    <row r="1154" spans="1:11" x14ac:dyDescent="0.2">
      <c r="A1154" t="s">
        <v>3474</v>
      </c>
      <c r="B1154" t="s">
        <v>3475</v>
      </c>
      <c r="C1154" t="s">
        <v>3349</v>
      </c>
      <c r="D1154" t="s">
        <v>105</v>
      </c>
      <c r="E1154">
        <v>119.99</v>
      </c>
      <c r="F1154">
        <v>0</v>
      </c>
      <c r="G1154">
        <v>13</v>
      </c>
      <c r="H1154" t="s">
        <v>72</v>
      </c>
      <c r="I1154">
        <v>0</v>
      </c>
      <c r="J1154">
        <v>0</v>
      </c>
      <c r="K1154">
        <v>34</v>
      </c>
    </row>
    <row r="1155" spans="1:11" x14ac:dyDescent="0.2">
      <c r="A1155" t="s">
        <v>5419</v>
      </c>
      <c r="B1155" t="s">
        <v>5420</v>
      </c>
      <c r="C1155" t="s">
        <v>3582</v>
      </c>
      <c r="D1155" t="s">
        <v>98</v>
      </c>
      <c r="E1155">
        <v>99.99</v>
      </c>
      <c r="F1155">
        <v>0</v>
      </c>
      <c r="H1155" t="s">
        <v>72</v>
      </c>
      <c r="I1155">
        <v>0</v>
      </c>
      <c r="J1155">
        <v>0</v>
      </c>
      <c r="K1155">
        <v>0</v>
      </c>
    </row>
    <row r="1156" spans="1:11" x14ac:dyDescent="0.2">
      <c r="A1156" t="s">
        <v>3478</v>
      </c>
      <c r="B1156" t="s">
        <v>3479</v>
      </c>
      <c r="C1156" t="s">
        <v>3349</v>
      </c>
      <c r="D1156" t="s">
        <v>105</v>
      </c>
      <c r="E1156">
        <v>189.99</v>
      </c>
      <c r="F1156">
        <v>0</v>
      </c>
      <c r="G1156">
        <v>83</v>
      </c>
      <c r="H1156" t="s">
        <v>72</v>
      </c>
      <c r="I1156">
        <v>0</v>
      </c>
      <c r="J1156">
        <v>0</v>
      </c>
      <c r="K1156">
        <v>0</v>
      </c>
    </row>
    <row r="1157" spans="1:11" x14ac:dyDescent="0.2">
      <c r="A1157" t="s">
        <v>5393</v>
      </c>
      <c r="B1157" t="s">
        <v>5394</v>
      </c>
      <c r="C1157" t="s">
        <v>3582</v>
      </c>
      <c r="D1157" t="s">
        <v>98</v>
      </c>
      <c r="E1157">
        <v>109.99</v>
      </c>
      <c r="F1157">
        <v>0</v>
      </c>
      <c r="H1157" t="s">
        <v>72</v>
      </c>
      <c r="I1157">
        <v>0</v>
      </c>
      <c r="J1157">
        <v>0</v>
      </c>
      <c r="K1157">
        <v>0</v>
      </c>
    </row>
    <row r="1158" spans="1:11" x14ac:dyDescent="0.2">
      <c r="A1158" t="s">
        <v>5384</v>
      </c>
      <c r="B1158" t="s">
        <v>5385</v>
      </c>
      <c r="C1158" t="s">
        <v>3582</v>
      </c>
      <c r="D1158" t="s">
        <v>98</v>
      </c>
      <c r="E1158">
        <v>99.99</v>
      </c>
      <c r="F1158">
        <v>0</v>
      </c>
      <c r="H1158" t="s">
        <v>72</v>
      </c>
      <c r="I1158">
        <v>0</v>
      </c>
      <c r="J1158">
        <v>0</v>
      </c>
      <c r="K1158">
        <v>0</v>
      </c>
    </row>
    <row r="1159" spans="1:11" x14ac:dyDescent="0.2">
      <c r="A1159" t="s">
        <v>5382</v>
      </c>
      <c r="B1159" t="s">
        <v>5383</v>
      </c>
      <c r="C1159" t="s">
        <v>3582</v>
      </c>
      <c r="D1159" t="s">
        <v>98</v>
      </c>
      <c r="E1159">
        <v>99.99</v>
      </c>
      <c r="F1159">
        <v>0</v>
      </c>
      <c r="H1159" t="s">
        <v>72</v>
      </c>
      <c r="I1159">
        <v>0</v>
      </c>
      <c r="J1159">
        <v>0</v>
      </c>
      <c r="K1159">
        <v>0</v>
      </c>
    </row>
    <row r="1160" spans="1:11" x14ac:dyDescent="0.2">
      <c r="A1160" t="s">
        <v>3484</v>
      </c>
      <c r="B1160" t="s">
        <v>3485</v>
      </c>
      <c r="C1160" t="s">
        <v>3349</v>
      </c>
      <c r="D1160" t="s">
        <v>98</v>
      </c>
      <c r="E1160">
        <v>529.99</v>
      </c>
      <c r="F1160">
        <v>0</v>
      </c>
      <c r="H1160" t="s">
        <v>72</v>
      </c>
      <c r="I1160">
        <v>0</v>
      </c>
      <c r="J1160">
        <v>0</v>
      </c>
      <c r="K1160">
        <v>0</v>
      </c>
    </row>
    <row r="1161" spans="1:11" x14ac:dyDescent="0.2">
      <c r="A1161" t="s">
        <v>3589</v>
      </c>
      <c r="B1161" t="s">
        <v>3590</v>
      </c>
      <c r="C1161" t="s">
        <v>3582</v>
      </c>
      <c r="D1161" t="s">
        <v>98</v>
      </c>
      <c r="E1161">
        <v>179.99</v>
      </c>
      <c r="F1161">
        <v>0</v>
      </c>
      <c r="H1161" t="s">
        <v>72</v>
      </c>
      <c r="I1161">
        <v>0</v>
      </c>
      <c r="J1161">
        <v>0</v>
      </c>
      <c r="K1161">
        <v>0</v>
      </c>
    </row>
    <row r="1162" spans="1:11" x14ac:dyDescent="0.2">
      <c r="A1162" t="s">
        <v>5471</v>
      </c>
      <c r="B1162" t="s">
        <v>5472</v>
      </c>
      <c r="C1162" t="s">
        <v>5039</v>
      </c>
      <c r="D1162" t="s">
        <v>98</v>
      </c>
      <c r="E1162">
        <v>149.99</v>
      </c>
      <c r="F1162">
        <v>0</v>
      </c>
      <c r="H1162" t="s">
        <v>72</v>
      </c>
      <c r="I1162">
        <v>0</v>
      </c>
      <c r="J1162">
        <v>0</v>
      </c>
      <c r="K1162">
        <v>0</v>
      </c>
    </row>
    <row r="1163" spans="1:11" x14ac:dyDescent="0.2">
      <c r="A1163" t="s">
        <v>5413</v>
      </c>
      <c r="B1163" t="s">
        <v>5414</v>
      </c>
      <c r="C1163" t="s">
        <v>3582</v>
      </c>
      <c r="D1163" t="s">
        <v>98</v>
      </c>
      <c r="E1163">
        <v>69.989999999999995</v>
      </c>
      <c r="F1163">
        <v>0</v>
      </c>
      <c r="H1163" t="s">
        <v>72</v>
      </c>
      <c r="I1163">
        <v>0</v>
      </c>
      <c r="J1163">
        <v>0</v>
      </c>
      <c r="K1163">
        <v>2</v>
      </c>
    </row>
    <row r="1164" spans="1:11" x14ac:dyDescent="0.2">
      <c r="A1164" t="s">
        <v>3587</v>
      </c>
      <c r="B1164" t="s">
        <v>3588</v>
      </c>
      <c r="C1164" t="s">
        <v>3582</v>
      </c>
      <c r="D1164" t="s">
        <v>98</v>
      </c>
      <c r="E1164">
        <v>179.99</v>
      </c>
      <c r="F1164">
        <v>0</v>
      </c>
      <c r="H1164" t="s">
        <v>72</v>
      </c>
      <c r="I1164">
        <v>0</v>
      </c>
      <c r="J1164">
        <v>0</v>
      </c>
      <c r="K1164">
        <v>0</v>
      </c>
    </row>
    <row r="1165" spans="1:11" x14ac:dyDescent="0.2">
      <c r="A1165" t="s">
        <v>3495</v>
      </c>
      <c r="B1165" t="s">
        <v>3496</v>
      </c>
      <c r="C1165" t="s">
        <v>3494</v>
      </c>
      <c r="D1165" t="s">
        <v>138</v>
      </c>
      <c r="E1165">
        <v>169.99</v>
      </c>
      <c r="F1165">
        <v>0</v>
      </c>
      <c r="H1165" t="s">
        <v>72</v>
      </c>
      <c r="I1165">
        <v>0</v>
      </c>
      <c r="J1165">
        <v>0</v>
      </c>
      <c r="K1165">
        <v>1</v>
      </c>
    </row>
    <row r="1166" spans="1:11" x14ac:dyDescent="0.2">
      <c r="A1166" t="s">
        <v>5399</v>
      </c>
      <c r="B1166" t="s">
        <v>5400</v>
      </c>
      <c r="C1166" t="s">
        <v>3582</v>
      </c>
      <c r="D1166" t="s">
        <v>98</v>
      </c>
      <c r="E1166">
        <v>3999.99</v>
      </c>
      <c r="F1166">
        <v>0</v>
      </c>
      <c r="H1166" t="s">
        <v>72</v>
      </c>
      <c r="I1166">
        <v>0</v>
      </c>
      <c r="J1166">
        <v>0</v>
      </c>
      <c r="K1166">
        <v>0</v>
      </c>
    </row>
    <row r="1167" spans="1:11" x14ac:dyDescent="0.2">
      <c r="A1167" t="s">
        <v>5512</v>
      </c>
      <c r="B1167" t="s">
        <v>5513</v>
      </c>
      <c r="C1167" t="s">
        <v>3582</v>
      </c>
      <c r="D1167" t="s">
        <v>98</v>
      </c>
      <c r="E1167">
        <v>199.99</v>
      </c>
      <c r="F1167">
        <v>0</v>
      </c>
      <c r="H1167" t="s">
        <v>72</v>
      </c>
      <c r="I1167">
        <v>0</v>
      </c>
      <c r="J1167">
        <v>0</v>
      </c>
      <c r="K1167">
        <v>0</v>
      </c>
    </row>
    <row r="1168" spans="1:11" x14ac:dyDescent="0.2">
      <c r="A1168" t="s">
        <v>3497</v>
      </c>
      <c r="B1168" t="s">
        <v>3498</v>
      </c>
      <c r="C1168" t="s">
        <v>3494</v>
      </c>
      <c r="D1168" t="s">
        <v>138</v>
      </c>
      <c r="E1168">
        <v>49.99</v>
      </c>
      <c r="F1168">
        <v>0</v>
      </c>
      <c r="H1168" t="s">
        <v>72</v>
      </c>
      <c r="I1168">
        <v>0</v>
      </c>
      <c r="J1168">
        <v>0</v>
      </c>
      <c r="K1168">
        <v>0</v>
      </c>
    </row>
    <row r="1169" spans="1:11" x14ac:dyDescent="0.2">
      <c r="A1169" t="s">
        <v>3501</v>
      </c>
      <c r="B1169" t="s">
        <v>3502</v>
      </c>
      <c r="C1169" t="s">
        <v>3494</v>
      </c>
      <c r="D1169" t="s">
        <v>138</v>
      </c>
      <c r="E1169">
        <v>129.99</v>
      </c>
      <c r="F1169">
        <v>0</v>
      </c>
      <c r="H1169" t="s">
        <v>72</v>
      </c>
      <c r="I1169">
        <v>0</v>
      </c>
      <c r="J1169">
        <v>0</v>
      </c>
      <c r="K1169">
        <v>0</v>
      </c>
    </row>
    <row r="1170" spans="1:11" x14ac:dyDescent="0.2">
      <c r="A1170" t="s">
        <v>3360</v>
      </c>
      <c r="B1170" t="s">
        <v>3361</v>
      </c>
      <c r="C1170" t="s">
        <v>3349</v>
      </c>
      <c r="D1170" t="s">
        <v>105</v>
      </c>
      <c r="E1170">
        <v>479.99</v>
      </c>
      <c r="F1170">
        <v>0</v>
      </c>
      <c r="H1170" t="s">
        <v>72</v>
      </c>
      <c r="I1170">
        <v>0.16666666666666666</v>
      </c>
      <c r="J1170">
        <v>66</v>
      </c>
      <c r="K1170">
        <v>11</v>
      </c>
    </row>
    <row r="1171" spans="1:11" x14ac:dyDescent="0.2">
      <c r="A1171" t="s">
        <v>5380</v>
      </c>
      <c r="B1171" t="s">
        <v>5381</v>
      </c>
      <c r="C1171" t="s">
        <v>3929</v>
      </c>
      <c r="D1171" t="s">
        <v>98</v>
      </c>
      <c r="E1171">
        <v>69.989999999999995</v>
      </c>
      <c r="F1171">
        <v>0</v>
      </c>
      <c r="H1171" t="s">
        <v>72</v>
      </c>
      <c r="I1171">
        <v>0</v>
      </c>
      <c r="J1171">
        <v>0</v>
      </c>
      <c r="K1171">
        <v>0</v>
      </c>
    </row>
    <row r="1172" spans="1:11" x14ac:dyDescent="0.2">
      <c r="A1172" t="s">
        <v>3358</v>
      </c>
      <c r="B1172" t="s">
        <v>3359</v>
      </c>
      <c r="C1172" t="s">
        <v>3349</v>
      </c>
      <c r="D1172" t="s">
        <v>105</v>
      </c>
      <c r="E1172">
        <v>339.99</v>
      </c>
      <c r="F1172">
        <v>0</v>
      </c>
      <c r="G1172">
        <v>51</v>
      </c>
      <c r="H1172" t="s">
        <v>72</v>
      </c>
      <c r="I1172">
        <v>0</v>
      </c>
      <c r="J1172">
        <v>0</v>
      </c>
      <c r="K1172">
        <v>46</v>
      </c>
    </row>
    <row r="1173" spans="1:11" x14ac:dyDescent="0.2">
      <c r="A1173" t="s">
        <v>5630</v>
      </c>
      <c r="B1173" t="s">
        <v>5631</v>
      </c>
      <c r="C1173" t="s">
        <v>3188</v>
      </c>
      <c r="D1173" t="s">
        <v>98</v>
      </c>
      <c r="E1173">
        <v>39.99</v>
      </c>
      <c r="F1173">
        <v>0</v>
      </c>
      <c r="H1173" t="s">
        <v>72</v>
      </c>
      <c r="I1173">
        <v>0</v>
      </c>
      <c r="J1173">
        <v>0</v>
      </c>
      <c r="K1173">
        <v>0</v>
      </c>
    </row>
    <row r="1174" spans="1:11" x14ac:dyDescent="0.2">
      <c r="A1174" t="s">
        <v>3193</v>
      </c>
      <c r="B1174" t="s">
        <v>3194</v>
      </c>
      <c r="C1174" t="s">
        <v>3188</v>
      </c>
      <c r="D1174" t="s">
        <v>98</v>
      </c>
      <c r="E1174">
        <v>89.99</v>
      </c>
      <c r="F1174">
        <v>0</v>
      </c>
      <c r="H1174" t="s">
        <v>72</v>
      </c>
      <c r="I1174">
        <v>0</v>
      </c>
      <c r="J1174">
        <v>0</v>
      </c>
      <c r="K1174">
        <v>0</v>
      </c>
    </row>
    <row r="1175" spans="1:11" x14ac:dyDescent="0.2">
      <c r="A1175" t="s">
        <v>4006</v>
      </c>
      <c r="B1175" t="s">
        <v>4007</v>
      </c>
      <c r="C1175" t="s">
        <v>3929</v>
      </c>
      <c r="D1175" t="s">
        <v>105</v>
      </c>
      <c r="E1175">
        <v>64.989999999999995</v>
      </c>
      <c r="F1175">
        <v>0</v>
      </c>
      <c r="H1175" t="s">
        <v>72</v>
      </c>
      <c r="I1175">
        <v>0</v>
      </c>
      <c r="J1175">
        <v>0</v>
      </c>
      <c r="K1175">
        <v>0</v>
      </c>
    </row>
    <row r="1176" spans="1:11" x14ac:dyDescent="0.2">
      <c r="A1176" t="s">
        <v>3195</v>
      </c>
      <c r="B1176" t="s">
        <v>3196</v>
      </c>
      <c r="C1176" t="s">
        <v>3188</v>
      </c>
      <c r="D1176" t="s">
        <v>98</v>
      </c>
      <c r="E1176">
        <v>19.989999999999998</v>
      </c>
      <c r="F1176">
        <v>0</v>
      </c>
      <c r="H1176" t="s">
        <v>72</v>
      </c>
      <c r="I1176">
        <v>0</v>
      </c>
      <c r="J1176">
        <v>0</v>
      </c>
      <c r="K1176">
        <v>0</v>
      </c>
    </row>
    <row r="1177" spans="1:11" x14ac:dyDescent="0.2">
      <c r="A1177" t="s">
        <v>4004</v>
      </c>
      <c r="B1177" t="s">
        <v>4005</v>
      </c>
      <c r="C1177" t="s">
        <v>3929</v>
      </c>
      <c r="D1177" t="s">
        <v>105</v>
      </c>
      <c r="E1177">
        <v>64.989999999999995</v>
      </c>
      <c r="F1177">
        <v>0</v>
      </c>
      <c r="G1177">
        <v>5</v>
      </c>
      <c r="H1177" t="s">
        <v>72</v>
      </c>
      <c r="I1177">
        <v>0</v>
      </c>
      <c r="J1177">
        <v>0</v>
      </c>
      <c r="K1177">
        <v>0</v>
      </c>
    </row>
    <row r="1178" spans="1:11" x14ac:dyDescent="0.2">
      <c r="A1178" t="s">
        <v>3197</v>
      </c>
      <c r="B1178" t="s">
        <v>3198</v>
      </c>
      <c r="C1178" t="s">
        <v>3188</v>
      </c>
      <c r="D1178" t="s">
        <v>98</v>
      </c>
      <c r="E1178">
        <v>19.989999999999998</v>
      </c>
      <c r="F1178">
        <v>0</v>
      </c>
      <c r="H1178" t="s">
        <v>72</v>
      </c>
      <c r="I1178">
        <v>0</v>
      </c>
      <c r="J1178">
        <v>0</v>
      </c>
      <c r="K1178">
        <v>0</v>
      </c>
    </row>
    <row r="1179" spans="1:11" x14ac:dyDescent="0.2">
      <c r="A1179" t="s">
        <v>5347</v>
      </c>
      <c r="B1179" t="s">
        <v>5348</v>
      </c>
      <c r="C1179" t="s">
        <v>3188</v>
      </c>
      <c r="D1179" t="s">
        <v>98</v>
      </c>
      <c r="E1179">
        <v>99.99</v>
      </c>
      <c r="F1179">
        <v>0</v>
      </c>
      <c r="H1179" t="s">
        <v>72</v>
      </c>
      <c r="I1179">
        <v>0</v>
      </c>
      <c r="J1179">
        <v>0</v>
      </c>
      <c r="K1179">
        <v>0</v>
      </c>
    </row>
    <row r="1180" spans="1:11" x14ac:dyDescent="0.2">
      <c r="A1180" t="s">
        <v>5098</v>
      </c>
      <c r="B1180" t="s">
        <v>5099</v>
      </c>
      <c r="C1180" t="s">
        <v>3929</v>
      </c>
      <c r="D1180" t="s">
        <v>138</v>
      </c>
      <c r="E1180">
        <v>39.99</v>
      </c>
      <c r="F1180">
        <v>0</v>
      </c>
      <c r="H1180" t="s">
        <v>72</v>
      </c>
      <c r="I1180">
        <v>0</v>
      </c>
      <c r="J1180">
        <v>0</v>
      </c>
      <c r="K1180">
        <v>0</v>
      </c>
    </row>
    <row r="1181" spans="1:11" x14ac:dyDescent="0.2">
      <c r="A1181" t="s">
        <v>5367</v>
      </c>
      <c r="B1181" t="s">
        <v>5368</v>
      </c>
      <c r="C1181" t="s">
        <v>3188</v>
      </c>
      <c r="D1181" t="s">
        <v>98</v>
      </c>
      <c r="E1181">
        <v>99.99</v>
      </c>
      <c r="F1181">
        <v>0</v>
      </c>
      <c r="H1181" t="s">
        <v>72</v>
      </c>
      <c r="I1181">
        <v>0</v>
      </c>
      <c r="J1181">
        <v>0</v>
      </c>
      <c r="K1181">
        <v>0</v>
      </c>
    </row>
    <row r="1182" spans="1:11" x14ac:dyDescent="0.2">
      <c r="A1182" t="s">
        <v>5090</v>
      </c>
      <c r="B1182" t="s">
        <v>5091</v>
      </c>
      <c r="C1182" t="s">
        <v>3929</v>
      </c>
      <c r="D1182" t="s">
        <v>138</v>
      </c>
      <c r="E1182">
        <v>39.99</v>
      </c>
      <c r="F1182">
        <v>0</v>
      </c>
      <c r="H1182" t="s">
        <v>72</v>
      </c>
      <c r="I1182">
        <v>0</v>
      </c>
      <c r="J1182">
        <v>0</v>
      </c>
      <c r="K1182">
        <v>0</v>
      </c>
    </row>
    <row r="1183" spans="1:11" x14ac:dyDescent="0.2">
      <c r="A1183" t="s">
        <v>5376</v>
      </c>
      <c r="B1183" t="s">
        <v>5377</v>
      </c>
      <c r="C1183" t="s">
        <v>3188</v>
      </c>
      <c r="D1183" t="s">
        <v>98</v>
      </c>
      <c r="E1183">
        <v>69.989999999999995</v>
      </c>
      <c r="F1183">
        <v>0</v>
      </c>
      <c r="H1183" t="s">
        <v>72</v>
      </c>
      <c r="I1183">
        <v>0</v>
      </c>
      <c r="J1183">
        <v>0</v>
      </c>
      <c r="K1183">
        <v>0</v>
      </c>
    </row>
    <row r="1184" spans="1:11" x14ac:dyDescent="0.2">
      <c r="A1184" t="s">
        <v>5373</v>
      </c>
      <c r="B1184" t="s">
        <v>5374</v>
      </c>
      <c r="C1184" t="s">
        <v>3188</v>
      </c>
      <c r="D1184" t="s">
        <v>98</v>
      </c>
      <c r="E1184">
        <v>59.99</v>
      </c>
      <c r="F1184">
        <v>0</v>
      </c>
      <c r="H1184" t="s">
        <v>72</v>
      </c>
      <c r="I1184">
        <v>0</v>
      </c>
      <c r="J1184">
        <v>0</v>
      </c>
      <c r="K1184">
        <v>0</v>
      </c>
    </row>
    <row r="1185" spans="1:11" x14ac:dyDescent="0.2">
      <c r="A1185" t="s">
        <v>5112</v>
      </c>
      <c r="B1185" t="s">
        <v>5113</v>
      </c>
      <c r="C1185" t="s">
        <v>3929</v>
      </c>
      <c r="D1185" t="s">
        <v>138</v>
      </c>
      <c r="E1185">
        <v>39.99</v>
      </c>
      <c r="F1185">
        <v>0</v>
      </c>
      <c r="G1185">
        <v>46</v>
      </c>
      <c r="H1185" t="s">
        <v>72</v>
      </c>
      <c r="I1185">
        <v>0</v>
      </c>
      <c r="J1185">
        <v>0</v>
      </c>
      <c r="K1185">
        <v>0</v>
      </c>
    </row>
    <row r="1186" spans="1:11" x14ac:dyDescent="0.2">
      <c r="A1186" t="s">
        <v>3199</v>
      </c>
      <c r="B1186" t="s">
        <v>3200</v>
      </c>
      <c r="C1186" t="s">
        <v>3188</v>
      </c>
      <c r="D1186" t="s">
        <v>98</v>
      </c>
      <c r="E1186">
        <v>54.99</v>
      </c>
      <c r="F1186">
        <v>0</v>
      </c>
      <c r="H1186" t="s">
        <v>72</v>
      </c>
      <c r="I1186">
        <v>0</v>
      </c>
      <c r="J1186">
        <v>0</v>
      </c>
      <c r="K1186">
        <v>0</v>
      </c>
    </row>
    <row r="1187" spans="1:11" x14ac:dyDescent="0.2">
      <c r="A1187" t="s">
        <v>5343</v>
      </c>
      <c r="B1187" t="s">
        <v>5344</v>
      </c>
      <c r="C1187" t="s">
        <v>3929</v>
      </c>
      <c r="D1187" t="s">
        <v>98</v>
      </c>
      <c r="E1187">
        <v>69.989999999999995</v>
      </c>
      <c r="F1187">
        <v>0</v>
      </c>
      <c r="H1187" t="s">
        <v>72</v>
      </c>
      <c r="I1187">
        <v>0</v>
      </c>
      <c r="J1187">
        <v>0</v>
      </c>
      <c r="K1187">
        <v>0</v>
      </c>
    </row>
    <row r="1188" spans="1:11" x14ac:dyDescent="0.2">
      <c r="A1188" t="s">
        <v>3201</v>
      </c>
      <c r="B1188" t="s">
        <v>3202</v>
      </c>
      <c r="C1188" t="s">
        <v>3188</v>
      </c>
      <c r="D1188" t="s">
        <v>98</v>
      </c>
      <c r="E1188">
        <v>49.99</v>
      </c>
      <c r="F1188">
        <v>0</v>
      </c>
      <c r="H1188" t="s">
        <v>72</v>
      </c>
      <c r="I1188">
        <v>0</v>
      </c>
      <c r="J1188">
        <v>0</v>
      </c>
      <c r="K1188">
        <v>0</v>
      </c>
    </row>
    <row r="1189" spans="1:11" x14ac:dyDescent="0.2">
      <c r="A1189" t="s">
        <v>3203</v>
      </c>
      <c r="B1189" t="s">
        <v>3204</v>
      </c>
      <c r="C1189" t="s">
        <v>3188</v>
      </c>
      <c r="D1189" t="s">
        <v>98</v>
      </c>
      <c r="E1189">
        <v>42.99</v>
      </c>
      <c r="F1189">
        <v>0</v>
      </c>
      <c r="H1189" t="s">
        <v>72</v>
      </c>
      <c r="I1189">
        <v>0</v>
      </c>
      <c r="J1189">
        <v>0</v>
      </c>
      <c r="K1189">
        <v>0</v>
      </c>
    </row>
    <row r="1190" spans="1:11" x14ac:dyDescent="0.2">
      <c r="A1190" t="s">
        <v>5321</v>
      </c>
      <c r="B1190" t="s">
        <v>5322</v>
      </c>
      <c r="C1190" t="s">
        <v>3929</v>
      </c>
      <c r="D1190" t="s">
        <v>98</v>
      </c>
      <c r="E1190">
        <v>69.989999999999995</v>
      </c>
      <c r="F1190">
        <v>0</v>
      </c>
      <c r="H1190" t="s">
        <v>72</v>
      </c>
      <c r="I1190">
        <v>0</v>
      </c>
      <c r="J1190">
        <v>0</v>
      </c>
      <c r="K1190">
        <v>0</v>
      </c>
    </row>
    <row r="1191" spans="1:11" x14ac:dyDescent="0.2">
      <c r="A1191" t="s">
        <v>5319</v>
      </c>
      <c r="B1191" t="s">
        <v>5320</v>
      </c>
      <c r="C1191" t="s">
        <v>3188</v>
      </c>
      <c r="D1191" t="s">
        <v>98</v>
      </c>
      <c r="E1191">
        <v>19.989999999999998</v>
      </c>
      <c r="F1191">
        <v>0</v>
      </c>
      <c r="H1191" t="s">
        <v>72</v>
      </c>
      <c r="I1191">
        <v>0</v>
      </c>
      <c r="J1191">
        <v>0</v>
      </c>
      <c r="K1191">
        <v>0</v>
      </c>
    </row>
    <row r="1192" spans="1:11" x14ac:dyDescent="0.2">
      <c r="A1192" t="s">
        <v>5317</v>
      </c>
      <c r="B1192" t="s">
        <v>5318</v>
      </c>
      <c r="C1192" t="s">
        <v>3929</v>
      </c>
      <c r="D1192" t="s">
        <v>98</v>
      </c>
      <c r="E1192">
        <v>69.989999999999995</v>
      </c>
      <c r="F1192">
        <v>0</v>
      </c>
      <c r="H1192" t="s">
        <v>72</v>
      </c>
      <c r="I1192">
        <v>0</v>
      </c>
      <c r="J1192">
        <v>0</v>
      </c>
      <c r="K1192">
        <v>0</v>
      </c>
    </row>
    <row r="1193" spans="1:11" x14ac:dyDescent="0.2">
      <c r="A1193" t="s">
        <v>5315</v>
      </c>
      <c r="B1193" t="s">
        <v>5316</v>
      </c>
      <c r="C1193" t="s">
        <v>3188</v>
      </c>
      <c r="D1193" t="s">
        <v>98</v>
      </c>
      <c r="E1193">
        <v>19.989999999999998</v>
      </c>
      <c r="F1193">
        <v>0</v>
      </c>
      <c r="H1193" t="s">
        <v>72</v>
      </c>
      <c r="I1193">
        <v>0</v>
      </c>
      <c r="J1193">
        <v>0</v>
      </c>
      <c r="K1193">
        <v>0</v>
      </c>
    </row>
    <row r="1194" spans="1:11" x14ac:dyDescent="0.2">
      <c r="A1194" t="s">
        <v>5325</v>
      </c>
      <c r="B1194" t="s">
        <v>5326</v>
      </c>
      <c r="C1194" t="s">
        <v>3929</v>
      </c>
      <c r="D1194" t="s">
        <v>98</v>
      </c>
      <c r="E1194">
        <v>69.989999999999995</v>
      </c>
      <c r="F1194">
        <v>0</v>
      </c>
      <c r="H1194" t="s">
        <v>72</v>
      </c>
      <c r="I1194">
        <v>0</v>
      </c>
      <c r="J1194">
        <v>0</v>
      </c>
      <c r="K1194">
        <v>0</v>
      </c>
    </row>
    <row r="1195" spans="1:11" x14ac:dyDescent="0.2">
      <c r="A1195" t="s">
        <v>3205</v>
      </c>
      <c r="B1195" t="s">
        <v>3206</v>
      </c>
      <c r="C1195" t="s">
        <v>3188</v>
      </c>
      <c r="D1195" t="s">
        <v>98</v>
      </c>
      <c r="E1195">
        <v>19.989999999999998</v>
      </c>
      <c r="F1195">
        <v>0</v>
      </c>
      <c r="H1195" t="s">
        <v>72</v>
      </c>
      <c r="I1195">
        <v>0</v>
      </c>
      <c r="J1195">
        <v>0</v>
      </c>
      <c r="K1195">
        <v>0</v>
      </c>
    </row>
    <row r="1196" spans="1:11" x14ac:dyDescent="0.2">
      <c r="A1196" t="s">
        <v>5327</v>
      </c>
      <c r="B1196" t="s">
        <v>5328</v>
      </c>
      <c r="C1196" t="s">
        <v>3188</v>
      </c>
      <c r="D1196" t="s">
        <v>98</v>
      </c>
      <c r="E1196">
        <v>399.99</v>
      </c>
      <c r="F1196">
        <v>0</v>
      </c>
      <c r="H1196" t="s">
        <v>72</v>
      </c>
      <c r="I1196">
        <v>0</v>
      </c>
      <c r="J1196">
        <v>0</v>
      </c>
      <c r="K1196">
        <v>0</v>
      </c>
    </row>
    <row r="1197" spans="1:11" x14ac:dyDescent="0.2">
      <c r="A1197" t="s">
        <v>5341</v>
      </c>
      <c r="B1197" t="s">
        <v>5342</v>
      </c>
      <c r="C1197" t="s">
        <v>3929</v>
      </c>
      <c r="D1197" t="s">
        <v>98</v>
      </c>
      <c r="E1197">
        <v>69.989999999999995</v>
      </c>
      <c r="F1197">
        <v>0</v>
      </c>
      <c r="H1197" t="s">
        <v>72</v>
      </c>
      <c r="I1197">
        <v>0</v>
      </c>
      <c r="J1197">
        <v>0</v>
      </c>
      <c r="K1197">
        <v>0</v>
      </c>
    </row>
    <row r="1198" spans="1:11" x14ac:dyDescent="0.2">
      <c r="A1198" t="s">
        <v>5632</v>
      </c>
      <c r="B1198" t="s">
        <v>5633</v>
      </c>
      <c r="C1198" t="s">
        <v>3188</v>
      </c>
      <c r="D1198" t="s">
        <v>98</v>
      </c>
      <c r="E1198">
        <v>39.99</v>
      </c>
      <c r="F1198">
        <v>0</v>
      </c>
      <c r="H1198" t="s">
        <v>72</v>
      </c>
      <c r="I1198">
        <v>0</v>
      </c>
      <c r="J1198">
        <v>0</v>
      </c>
      <c r="K1198">
        <v>0</v>
      </c>
    </row>
    <row r="1199" spans="1:11" x14ac:dyDescent="0.2">
      <c r="A1199" t="s">
        <v>5339</v>
      </c>
      <c r="B1199" t="s">
        <v>5340</v>
      </c>
      <c r="C1199" t="s">
        <v>3188</v>
      </c>
      <c r="D1199" t="s">
        <v>98</v>
      </c>
      <c r="E1199">
        <v>139.99</v>
      </c>
      <c r="F1199">
        <v>0</v>
      </c>
      <c r="H1199" t="s">
        <v>72</v>
      </c>
      <c r="I1199">
        <v>0</v>
      </c>
      <c r="J1199">
        <v>0</v>
      </c>
      <c r="K1199">
        <v>0</v>
      </c>
    </row>
    <row r="1200" spans="1:11" x14ac:dyDescent="0.2">
      <c r="A1200" t="s">
        <v>5274</v>
      </c>
      <c r="B1200" t="s">
        <v>5275</v>
      </c>
      <c r="C1200" t="s">
        <v>3188</v>
      </c>
      <c r="D1200" t="s">
        <v>98</v>
      </c>
      <c r="E1200">
        <v>19.989999999999998</v>
      </c>
      <c r="F1200">
        <v>0</v>
      </c>
      <c r="H1200" t="s">
        <v>72</v>
      </c>
      <c r="I1200">
        <v>0</v>
      </c>
      <c r="J1200">
        <v>0</v>
      </c>
      <c r="K1200">
        <v>0</v>
      </c>
    </row>
    <row r="1201" spans="1:11" x14ac:dyDescent="0.2">
      <c r="A1201" t="s">
        <v>3164</v>
      </c>
      <c r="B1201" t="s">
        <v>3165</v>
      </c>
      <c r="C1201" t="s">
        <v>3133</v>
      </c>
      <c r="D1201" t="s">
        <v>98</v>
      </c>
      <c r="E1201">
        <v>99.99</v>
      </c>
      <c r="F1201">
        <v>0</v>
      </c>
      <c r="H1201" t="s">
        <v>72</v>
      </c>
      <c r="I1201">
        <v>0</v>
      </c>
      <c r="J1201">
        <v>0</v>
      </c>
      <c r="K1201">
        <v>0</v>
      </c>
    </row>
    <row r="1202" spans="1:11" x14ac:dyDescent="0.2">
      <c r="A1202" t="s">
        <v>5294</v>
      </c>
      <c r="B1202" t="s">
        <v>5295</v>
      </c>
      <c r="C1202" t="s">
        <v>3929</v>
      </c>
      <c r="D1202" t="s">
        <v>98</v>
      </c>
      <c r="E1202">
        <v>89.99</v>
      </c>
      <c r="F1202">
        <v>0</v>
      </c>
      <c r="H1202" t="s">
        <v>72</v>
      </c>
      <c r="I1202">
        <v>0</v>
      </c>
      <c r="J1202">
        <v>0</v>
      </c>
      <c r="K1202">
        <v>2</v>
      </c>
    </row>
    <row r="1203" spans="1:11" x14ac:dyDescent="0.2">
      <c r="A1203" t="s">
        <v>3166</v>
      </c>
      <c r="B1203" t="s">
        <v>3167</v>
      </c>
      <c r="C1203" t="s">
        <v>3133</v>
      </c>
      <c r="D1203" t="s">
        <v>98</v>
      </c>
      <c r="E1203">
        <v>239.99</v>
      </c>
      <c r="F1203">
        <v>0</v>
      </c>
      <c r="H1203" t="s">
        <v>72</v>
      </c>
      <c r="I1203">
        <v>0</v>
      </c>
      <c r="J1203">
        <v>0</v>
      </c>
      <c r="K1203">
        <v>0</v>
      </c>
    </row>
    <row r="1204" spans="1:11" x14ac:dyDescent="0.2">
      <c r="A1204" t="s">
        <v>4040</v>
      </c>
      <c r="B1204" t="s">
        <v>4041</v>
      </c>
      <c r="C1204" t="s">
        <v>3929</v>
      </c>
      <c r="D1204" t="s">
        <v>105</v>
      </c>
      <c r="E1204">
        <v>89.99</v>
      </c>
      <c r="F1204">
        <v>0</v>
      </c>
      <c r="G1204">
        <v>28</v>
      </c>
      <c r="H1204" t="s">
        <v>72</v>
      </c>
      <c r="I1204">
        <v>0</v>
      </c>
      <c r="J1204">
        <v>0</v>
      </c>
      <c r="K1204">
        <v>0</v>
      </c>
    </row>
    <row r="1205" spans="1:11" x14ac:dyDescent="0.2">
      <c r="A1205" t="s">
        <v>3168</v>
      </c>
      <c r="B1205" t="s">
        <v>3169</v>
      </c>
      <c r="C1205" t="s">
        <v>3133</v>
      </c>
      <c r="D1205" t="s">
        <v>98</v>
      </c>
      <c r="E1205">
        <v>74.989999999999995</v>
      </c>
      <c r="F1205">
        <v>0</v>
      </c>
      <c r="H1205" t="s">
        <v>72</v>
      </c>
      <c r="I1205">
        <v>0</v>
      </c>
      <c r="J1205">
        <v>0</v>
      </c>
      <c r="K1205">
        <v>0</v>
      </c>
    </row>
    <row r="1206" spans="1:11" x14ac:dyDescent="0.2">
      <c r="A1206" t="s">
        <v>5106</v>
      </c>
      <c r="B1206" t="s">
        <v>5107</v>
      </c>
      <c r="C1206" t="s">
        <v>3929</v>
      </c>
      <c r="D1206" t="s">
        <v>138</v>
      </c>
      <c r="E1206">
        <v>89.99</v>
      </c>
      <c r="F1206">
        <v>0</v>
      </c>
      <c r="G1206">
        <v>12</v>
      </c>
      <c r="H1206" t="s">
        <v>72</v>
      </c>
      <c r="I1206">
        <v>0</v>
      </c>
      <c r="J1206">
        <v>0</v>
      </c>
      <c r="K1206">
        <v>0</v>
      </c>
    </row>
    <row r="1207" spans="1:11" x14ac:dyDescent="0.2">
      <c r="A1207" t="s">
        <v>3170</v>
      </c>
      <c r="B1207" t="s">
        <v>3171</v>
      </c>
      <c r="C1207" t="s">
        <v>3133</v>
      </c>
      <c r="D1207" t="s">
        <v>98</v>
      </c>
      <c r="E1207">
        <v>179.99</v>
      </c>
      <c r="F1207">
        <v>0</v>
      </c>
      <c r="H1207" t="s">
        <v>72</v>
      </c>
      <c r="I1207">
        <v>0</v>
      </c>
      <c r="J1207">
        <v>0</v>
      </c>
      <c r="K1207">
        <v>0</v>
      </c>
    </row>
    <row r="1208" spans="1:11" x14ac:dyDescent="0.2">
      <c r="A1208" t="s">
        <v>5108</v>
      </c>
      <c r="B1208" t="s">
        <v>5109</v>
      </c>
      <c r="C1208" t="s">
        <v>3929</v>
      </c>
      <c r="D1208" t="s">
        <v>98</v>
      </c>
      <c r="E1208">
        <v>89.99</v>
      </c>
      <c r="F1208">
        <v>0</v>
      </c>
      <c r="H1208" t="s">
        <v>72</v>
      </c>
      <c r="I1208">
        <v>0</v>
      </c>
      <c r="J1208">
        <v>0</v>
      </c>
      <c r="K1208">
        <v>0</v>
      </c>
    </row>
    <row r="1209" spans="1:11" x14ac:dyDescent="0.2">
      <c r="A1209" t="s">
        <v>3172</v>
      </c>
      <c r="B1209" t="s">
        <v>3173</v>
      </c>
      <c r="C1209" t="s">
        <v>3133</v>
      </c>
      <c r="D1209" t="s">
        <v>98</v>
      </c>
      <c r="E1209">
        <v>139.99</v>
      </c>
      <c r="F1209">
        <v>0</v>
      </c>
      <c r="H1209" t="s">
        <v>72</v>
      </c>
      <c r="I1209">
        <v>0</v>
      </c>
      <c r="J1209">
        <v>0</v>
      </c>
      <c r="K1209">
        <v>0</v>
      </c>
    </row>
    <row r="1210" spans="1:11" x14ac:dyDescent="0.2">
      <c r="A1210" t="s">
        <v>3174</v>
      </c>
      <c r="B1210" t="s">
        <v>3175</v>
      </c>
      <c r="C1210" t="s">
        <v>3133</v>
      </c>
      <c r="D1210" t="s">
        <v>98</v>
      </c>
      <c r="E1210">
        <v>329.99</v>
      </c>
      <c r="F1210">
        <v>0</v>
      </c>
      <c r="H1210" t="s">
        <v>72</v>
      </c>
      <c r="I1210">
        <v>0</v>
      </c>
      <c r="J1210">
        <v>0</v>
      </c>
      <c r="K1210">
        <v>0</v>
      </c>
    </row>
    <row r="1211" spans="1:11" x14ac:dyDescent="0.2">
      <c r="A1211" t="s">
        <v>4038</v>
      </c>
      <c r="B1211" t="s">
        <v>4039</v>
      </c>
      <c r="C1211" t="s">
        <v>3929</v>
      </c>
      <c r="D1211" t="s">
        <v>98</v>
      </c>
      <c r="E1211">
        <v>219.99</v>
      </c>
      <c r="F1211">
        <v>0</v>
      </c>
      <c r="H1211" t="s">
        <v>72</v>
      </c>
      <c r="I1211">
        <v>0</v>
      </c>
      <c r="J1211">
        <v>0</v>
      </c>
      <c r="K1211">
        <v>0</v>
      </c>
    </row>
    <row r="1212" spans="1:11" x14ac:dyDescent="0.2">
      <c r="A1212" t="s">
        <v>3176</v>
      </c>
      <c r="B1212" t="s">
        <v>3177</v>
      </c>
      <c r="C1212" t="s">
        <v>3133</v>
      </c>
      <c r="D1212" t="s">
        <v>98</v>
      </c>
      <c r="E1212">
        <v>99.99</v>
      </c>
      <c r="F1212">
        <v>0</v>
      </c>
      <c r="H1212" t="s">
        <v>72</v>
      </c>
      <c r="I1212">
        <v>0</v>
      </c>
      <c r="J1212">
        <v>0</v>
      </c>
      <c r="K1212">
        <v>0</v>
      </c>
    </row>
    <row r="1213" spans="1:11" x14ac:dyDescent="0.2">
      <c r="A1213" t="s">
        <v>3178</v>
      </c>
      <c r="B1213" t="s">
        <v>3179</v>
      </c>
      <c r="C1213" t="s">
        <v>3133</v>
      </c>
      <c r="D1213" t="s">
        <v>98</v>
      </c>
      <c r="E1213">
        <v>229.99</v>
      </c>
      <c r="F1213">
        <v>0</v>
      </c>
      <c r="H1213" t="s">
        <v>72</v>
      </c>
      <c r="I1213">
        <v>0</v>
      </c>
      <c r="J1213">
        <v>0</v>
      </c>
      <c r="K1213">
        <v>0</v>
      </c>
    </row>
    <row r="1214" spans="1:11" x14ac:dyDescent="0.2">
      <c r="A1214" t="s">
        <v>5081</v>
      </c>
      <c r="B1214" t="s">
        <v>5082</v>
      </c>
      <c r="C1214" t="s">
        <v>3929</v>
      </c>
      <c r="D1214" t="s">
        <v>138</v>
      </c>
      <c r="E1214">
        <v>59.99</v>
      </c>
      <c r="F1214">
        <v>0</v>
      </c>
      <c r="H1214" t="s">
        <v>72</v>
      </c>
      <c r="I1214">
        <v>0</v>
      </c>
      <c r="J1214">
        <v>0</v>
      </c>
      <c r="K1214">
        <v>0</v>
      </c>
    </row>
    <row r="1215" spans="1:11" x14ac:dyDescent="0.2">
      <c r="A1215" t="s">
        <v>3180</v>
      </c>
      <c r="B1215" t="s">
        <v>3181</v>
      </c>
      <c r="C1215" t="s">
        <v>3133</v>
      </c>
      <c r="D1215" t="s">
        <v>98</v>
      </c>
      <c r="E1215">
        <v>131.99</v>
      </c>
      <c r="F1215">
        <v>0</v>
      </c>
      <c r="H1215" t="s">
        <v>72</v>
      </c>
      <c r="I1215">
        <v>0</v>
      </c>
      <c r="J1215">
        <v>0</v>
      </c>
      <c r="K1215">
        <v>0</v>
      </c>
    </row>
    <row r="1216" spans="1:11" x14ac:dyDescent="0.2">
      <c r="A1216" t="s">
        <v>4012</v>
      </c>
      <c r="B1216" t="s">
        <v>4013</v>
      </c>
      <c r="C1216" t="s">
        <v>3929</v>
      </c>
      <c r="D1216" t="s">
        <v>98</v>
      </c>
      <c r="E1216">
        <v>79.989999999999995</v>
      </c>
      <c r="F1216">
        <v>0</v>
      </c>
      <c r="H1216" t="s">
        <v>72</v>
      </c>
      <c r="I1216">
        <v>0</v>
      </c>
      <c r="J1216">
        <v>0</v>
      </c>
      <c r="K1216">
        <v>0</v>
      </c>
    </row>
    <row r="1217" spans="1:11" x14ac:dyDescent="0.2">
      <c r="A1217" t="s">
        <v>5634</v>
      </c>
      <c r="B1217" t="s">
        <v>5635</v>
      </c>
      <c r="C1217" t="s">
        <v>3182</v>
      </c>
      <c r="D1217" t="s">
        <v>98</v>
      </c>
      <c r="E1217">
        <v>259.99</v>
      </c>
      <c r="F1217">
        <v>0</v>
      </c>
      <c r="H1217" t="s">
        <v>72</v>
      </c>
      <c r="I1217">
        <v>0</v>
      </c>
      <c r="J1217">
        <v>0</v>
      </c>
      <c r="K1217">
        <v>0</v>
      </c>
    </row>
    <row r="1218" spans="1:11" x14ac:dyDescent="0.2">
      <c r="A1218" t="s">
        <v>3184</v>
      </c>
      <c r="B1218" t="s">
        <v>3185</v>
      </c>
      <c r="C1218" t="s">
        <v>3183</v>
      </c>
      <c r="D1218" t="s">
        <v>98</v>
      </c>
      <c r="E1218">
        <v>29.99</v>
      </c>
      <c r="F1218">
        <v>0</v>
      </c>
      <c r="H1218" t="s">
        <v>72</v>
      </c>
      <c r="I1218">
        <v>0</v>
      </c>
      <c r="J1218">
        <v>0</v>
      </c>
      <c r="K1218">
        <v>0</v>
      </c>
    </row>
    <row r="1219" spans="1:11" x14ac:dyDescent="0.2">
      <c r="A1219" t="s">
        <v>3186</v>
      </c>
      <c r="B1219" t="s">
        <v>3187</v>
      </c>
      <c r="C1219" t="s">
        <v>3183</v>
      </c>
      <c r="D1219" t="s">
        <v>98</v>
      </c>
      <c r="E1219">
        <v>29.99</v>
      </c>
      <c r="F1219">
        <v>0</v>
      </c>
      <c r="H1219" t="s">
        <v>72</v>
      </c>
      <c r="I1219">
        <v>0</v>
      </c>
      <c r="J1219">
        <v>0</v>
      </c>
      <c r="K1219">
        <v>0</v>
      </c>
    </row>
    <row r="1220" spans="1:11" x14ac:dyDescent="0.2">
      <c r="A1220" t="s">
        <v>3189</v>
      </c>
      <c r="B1220" t="s">
        <v>3190</v>
      </c>
      <c r="C1220" t="s">
        <v>3188</v>
      </c>
      <c r="D1220" t="s">
        <v>98</v>
      </c>
      <c r="E1220">
        <v>19.989999999999998</v>
      </c>
      <c r="F1220">
        <v>0</v>
      </c>
      <c r="H1220" t="s">
        <v>72</v>
      </c>
      <c r="I1220">
        <v>0</v>
      </c>
      <c r="J1220">
        <v>0</v>
      </c>
      <c r="K1220">
        <v>0</v>
      </c>
    </row>
    <row r="1221" spans="1:11" x14ac:dyDescent="0.2">
      <c r="A1221" t="s">
        <v>5278</v>
      </c>
      <c r="B1221" t="s">
        <v>5279</v>
      </c>
      <c r="C1221" t="s">
        <v>3929</v>
      </c>
      <c r="D1221" t="s">
        <v>98</v>
      </c>
      <c r="E1221">
        <v>29.99</v>
      </c>
      <c r="F1221">
        <v>0</v>
      </c>
      <c r="H1221" t="s">
        <v>72</v>
      </c>
      <c r="I1221">
        <v>0</v>
      </c>
      <c r="J1221">
        <v>0</v>
      </c>
      <c r="K1221">
        <v>0</v>
      </c>
    </row>
    <row r="1222" spans="1:11" x14ac:dyDescent="0.2">
      <c r="A1222" t="s">
        <v>5286</v>
      </c>
      <c r="B1222" t="s">
        <v>5287</v>
      </c>
      <c r="C1222" t="s">
        <v>3188</v>
      </c>
      <c r="D1222" t="s">
        <v>98</v>
      </c>
      <c r="E1222">
        <v>19.989999999999998</v>
      </c>
      <c r="F1222">
        <v>0</v>
      </c>
      <c r="H1222" t="s">
        <v>72</v>
      </c>
      <c r="I1222">
        <v>0</v>
      </c>
      <c r="J1222">
        <v>0</v>
      </c>
      <c r="K1222">
        <v>0</v>
      </c>
    </row>
    <row r="1223" spans="1:11" x14ac:dyDescent="0.2">
      <c r="A1223" t="s">
        <v>5270</v>
      </c>
      <c r="B1223" t="s">
        <v>5271</v>
      </c>
      <c r="C1223" t="s">
        <v>3929</v>
      </c>
      <c r="D1223" t="s">
        <v>98</v>
      </c>
      <c r="E1223">
        <v>219.99</v>
      </c>
      <c r="F1223">
        <v>0</v>
      </c>
      <c r="H1223" t="s">
        <v>72</v>
      </c>
      <c r="I1223">
        <v>0</v>
      </c>
      <c r="J1223">
        <v>0</v>
      </c>
      <c r="K1223">
        <v>0</v>
      </c>
    </row>
    <row r="1224" spans="1:11" x14ac:dyDescent="0.2">
      <c r="A1224" t="s">
        <v>3191</v>
      </c>
      <c r="B1224" t="s">
        <v>3192</v>
      </c>
      <c r="C1224" t="s">
        <v>3188</v>
      </c>
      <c r="D1224" t="s">
        <v>98</v>
      </c>
      <c r="E1224">
        <v>39.99</v>
      </c>
      <c r="F1224">
        <v>0</v>
      </c>
      <c r="H1224" t="s">
        <v>72</v>
      </c>
      <c r="I1224">
        <v>0</v>
      </c>
      <c r="J1224">
        <v>0</v>
      </c>
      <c r="K1224">
        <v>0</v>
      </c>
    </row>
    <row r="1225" spans="1:11" x14ac:dyDescent="0.2">
      <c r="A1225" t="s">
        <v>5333</v>
      </c>
      <c r="B1225" t="s">
        <v>5334</v>
      </c>
      <c r="C1225" t="s">
        <v>3929</v>
      </c>
      <c r="D1225" t="s">
        <v>138</v>
      </c>
      <c r="E1225">
        <v>69.989999999999995</v>
      </c>
      <c r="F1225">
        <v>0</v>
      </c>
      <c r="H1225" t="s">
        <v>72</v>
      </c>
      <c r="I1225">
        <v>0</v>
      </c>
      <c r="J1225">
        <v>0</v>
      </c>
      <c r="K1225">
        <v>0</v>
      </c>
    </row>
    <row r="1226" spans="1:11" x14ac:dyDescent="0.2">
      <c r="A1226" t="s">
        <v>5331</v>
      </c>
      <c r="B1226" t="s">
        <v>5332</v>
      </c>
      <c r="C1226" t="s">
        <v>3188</v>
      </c>
      <c r="D1226" t="s">
        <v>98</v>
      </c>
      <c r="E1226">
        <v>169.99</v>
      </c>
      <c r="F1226">
        <v>0</v>
      </c>
      <c r="H1226" t="s">
        <v>72</v>
      </c>
      <c r="I1226">
        <v>0</v>
      </c>
      <c r="J1226">
        <v>0</v>
      </c>
      <c r="K1226">
        <v>0</v>
      </c>
    </row>
    <row r="1227" spans="1:11" x14ac:dyDescent="0.2">
      <c r="A1227" t="s">
        <v>5329</v>
      </c>
      <c r="B1227" t="s">
        <v>5330</v>
      </c>
      <c r="C1227" t="s">
        <v>3929</v>
      </c>
      <c r="D1227" t="s">
        <v>138</v>
      </c>
      <c r="E1227">
        <v>79.989999999999995</v>
      </c>
      <c r="F1227">
        <v>0</v>
      </c>
      <c r="G1227">
        <v>22</v>
      </c>
      <c r="H1227" t="s">
        <v>72</v>
      </c>
      <c r="I1227">
        <v>0</v>
      </c>
      <c r="J1227">
        <v>0</v>
      </c>
      <c r="K1227">
        <v>1</v>
      </c>
    </row>
    <row r="1228" spans="1:11" x14ac:dyDescent="0.2">
      <c r="A1228" t="s">
        <v>3982</v>
      </c>
      <c r="B1228" t="s">
        <v>3983</v>
      </c>
      <c r="C1228" t="s">
        <v>3929</v>
      </c>
      <c r="D1228" t="s">
        <v>98</v>
      </c>
      <c r="E1228">
        <v>109.99</v>
      </c>
      <c r="F1228">
        <v>0</v>
      </c>
      <c r="H1228" t="s">
        <v>72</v>
      </c>
      <c r="I1228">
        <v>0</v>
      </c>
      <c r="J1228">
        <v>0</v>
      </c>
      <c r="K1228">
        <v>0</v>
      </c>
    </row>
    <row r="1229" spans="1:11" x14ac:dyDescent="0.2">
      <c r="A1229" t="s">
        <v>3327</v>
      </c>
      <c r="B1229" t="s">
        <v>3328</v>
      </c>
      <c r="C1229" t="s">
        <v>3291</v>
      </c>
      <c r="D1229" t="s">
        <v>98</v>
      </c>
      <c r="E1229">
        <v>74.989999999999995</v>
      </c>
      <c r="F1229">
        <v>0</v>
      </c>
      <c r="H1229" t="s">
        <v>72</v>
      </c>
      <c r="I1229">
        <v>0.16666666666666666</v>
      </c>
      <c r="J1229">
        <v>12</v>
      </c>
      <c r="K1229">
        <v>2</v>
      </c>
    </row>
    <row r="1230" spans="1:11" x14ac:dyDescent="0.2">
      <c r="A1230" t="s">
        <v>3980</v>
      </c>
      <c r="B1230" t="s">
        <v>3981</v>
      </c>
      <c r="C1230" t="s">
        <v>3929</v>
      </c>
      <c r="D1230" t="s">
        <v>105</v>
      </c>
      <c r="E1230">
        <v>24.99</v>
      </c>
      <c r="F1230">
        <v>24.99</v>
      </c>
      <c r="G1230">
        <v>242</v>
      </c>
      <c r="H1230" t="s">
        <v>72</v>
      </c>
      <c r="I1230">
        <v>0.16666666666666666</v>
      </c>
      <c r="J1230">
        <v>12</v>
      </c>
      <c r="K1230">
        <v>2</v>
      </c>
    </row>
    <row r="1231" spans="1:11" x14ac:dyDescent="0.2">
      <c r="A1231" t="s">
        <v>3329</v>
      </c>
      <c r="B1231" t="s">
        <v>3330</v>
      </c>
      <c r="C1231" t="s">
        <v>3291</v>
      </c>
      <c r="D1231" t="s">
        <v>98</v>
      </c>
      <c r="E1231">
        <v>74.989999999999995</v>
      </c>
      <c r="F1231">
        <v>0</v>
      </c>
      <c r="H1231" t="s">
        <v>72</v>
      </c>
      <c r="I1231">
        <v>0</v>
      </c>
      <c r="J1231">
        <v>0</v>
      </c>
      <c r="K1231">
        <v>0</v>
      </c>
    </row>
    <row r="1232" spans="1:11" x14ac:dyDescent="0.2">
      <c r="A1232" t="s">
        <v>3978</v>
      </c>
      <c r="B1232" t="s">
        <v>3979</v>
      </c>
      <c r="C1232" t="s">
        <v>3929</v>
      </c>
      <c r="D1232" t="s">
        <v>105</v>
      </c>
      <c r="E1232">
        <v>24.99</v>
      </c>
      <c r="F1232">
        <v>0</v>
      </c>
      <c r="G1232">
        <v>41</v>
      </c>
      <c r="H1232" t="s">
        <v>72</v>
      </c>
      <c r="I1232">
        <v>0</v>
      </c>
      <c r="J1232">
        <v>0</v>
      </c>
      <c r="K1232">
        <v>0</v>
      </c>
    </row>
    <row r="1233" spans="1:11" x14ac:dyDescent="0.2">
      <c r="A1233" t="s">
        <v>3331</v>
      </c>
      <c r="B1233" t="s">
        <v>3332</v>
      </c>
      <c r="C1233" t="s">
        <v>3291</v>
      </c>
      <c r="D1233" t="s">
        <v>98</v>
      </c>
      <c r="E1233">
        <v>74.989999999999995</v>
      </c>
      <c r="F1233">
        <v>0</v>
      </c>
      <c r="H1233" t="s">
        <v>72</v>
      </c>
      <c r="I1233">
        <v>0</v>
      </c>
      <c r="J1233">
        <v>0</v>
      </c>
      <c r="K1233">
        <v>0</v>
      </c>
    </row>
    <row r="1234" spans="1:11" x14ac:dyDescent="0.2">
      <c r="A1234" t="s">
        <v>3976</v>
      </c>
      <c r="B1234" t="s">
        <v>3977</v>
      </c>
      <c r="C1234" t="s">
        <v>3929</v>
      </c>
      <c r="D1234" t="s">
        <v>138</v>
      </c>
      <c r="E1234">
        <v>99.99</v>
      </c>
      <c r="F1234">
        <v>0</v>
      </c>
      <c r="G1234">
        <v>37</v>
      </c>
      <c r="H1234" t="s">
        <v>72</v>
      </c>
      <c r="I1234">
        <v>0</v>
      </c>
      <c r="J1234">
        <v>0</v>
      </c>
      <c r="K1234">
        <v>0</v>
      </c>
    </row>
    <row r="1235" spans="1:11" x14ac:dyDescent="0.2">
      <c r="A1235" t="s">
        <v>3333</v>
      </c>
      <c r="B1235" t="s">
        <v>3334</v>
      </c>
      <c r="C1235" t="s">
        <v>3291</v>
      </c>
      <c r="D1235" t="s">
        <v>98</v>
      </c>
      <c r="E1235">
        <v>74.989999999999995</v>
      </c>
      <c r="F1235">
        <v>0</v>
      </c>
      <c r="H1235" t="s">
        <v>72</v>
      </c>
      <c r="I1235">
        <v>0</v>
      </c>
      <c r="J1235">
        <v>0</v>
      </c>
      <c r="K1235">
        <v>0</v>
      </c>
    </row>
    <row r="1236" spans="1:11" x14ac:dyDescent="0.2">
      <c r="A1236" t="s">
        <v>3974</v>
      </c>
      <c r="B1236" t="s">
        <v>3975</v>
      </c>
      <c r="C1236" t="s">
        <v>3929</v>
      </c>
      <c r="D1236" t="s">
        <v>105</v>
      </c>
      <c r="E1236">
        <v>199.99</v>
      </c>
      <c r="F1236">
        <v>0</v>
      </c>
      <c r="G1236">
        <v>8</v>
      </c>
      <c r="H1236" t="s">
        <v>72</v>
      </c>
      <c r="I1236">
        <v>0</v>
      </c>
      <c r="J1236">
        <v>0</v>
      </c>
      <c r="K1236">
        <v>0</v>
      </c>
    </row>
    <row r="1237" spans="1:11" x14ac:dyDescent="0.2">
      <c r="A1237" t="s">
        <v>3335</v>
      </c>
      <c r="B1237" t="s">
        <v>3336</v>
      </c>
      <c r="C1237" t="s">
        <v>3291</v>
      </c>
      <c r="D1237" t="s">
        <v>98</v>
      </c>
      <c r="E1237">
        <v>69.989999999999995</v>
      </c>
      <c r="F1237">
        <v>0</v>
      </c>
      <c r="H1237" t="s">
        <v>72</v>
      </c>
      <c r="I1237">
        <v>0</v>
      </c>
      <c r="J1237">
        <v>0</v>
      </c>
      <c r="K1237">
        <v>0</v>
      </c>
    </row>
    <row r="1238" spans="1:11" x14ac:dyDescent="0.2">
      <c r="A1238" t="s">
        <v>5249</v>
      </c>
      <c r="B1238" t="s">
        <v>5250</v>
      </c>
      <c r="C1238" t="s">
        <v>3929</v>
      </c>
      <c r="D1238" t="s">
        <v>98</v>
      </c>
      <c r="E1238">
        <v>184.99</v>
      </c>
      <c r="F1238">
        <v>0</v>
      </c>
      <c r="H1238" t="s">
        <v>72</v>
      </c>
      <c r="I1238">
        <v>0</v>
      </c>
      <c r="J1238">
        <v>0</v>
      </c>
      <c r="K1238">
        <v>0</v>
      </c>
    </row>
    <row r="1239" spans="1:11" x14ac:dyDescent="0.2">
      <c r="A1239" t="s">
        <v>3337</v>
      </c>
      <c r="B1239" t="s">
        <v>3338</v>
      </c>
      <c r="C1239" t="s">
        <v>3291</v>
      </c>
      <c r="D1239" t="s">
        <v>98</v>
      </c>
      <c r="E1239">
        <v>69.989999999999995</v>
      </c>
      <c r="F1239">
        <v>0</v>
      </c>
      <c r="H1239" t="s">
        <v>72</v>
      </c>
      <c r="I1239">
        <v>0</v>
      </c>
      <c r="J1239">
        <v>0</v>
      </c>
      <c r="K1239">
        <v>0</v>
      </c>
    </row>
    <row r="1240" spans="1:11" x14ac:dyDescent="0.2">
      <c r="A1240" t="s">
        <v>3972</v>
      </c>
      <c r="B1240" t="s">
        <v>3973</v>
      </c>
      <c r="C1240" t="s">
        <v>3929</v>
      </c>
      <c r="D1240" t="s">
        <v>98</v>
      </c>
      <c r="E1240">
        <v>129.99</v>
      </c>
      <c r="F1240">
        <v>0</v>
      </c>
      <c r="H1240" t="s">
        <v>72</v>
      </c>
      <c r="I1240">
        <v>0</v>
      </c>
      <c r="J1240">
        <v>0</v>
      </c>
      <c r="K1240">
        <v>0</v>
      </c>
    </row>
    <row r="1241" spans="1:11" x14ac:dyDescent="0.2">
      <c r="A1241" t="s">
        <v>3339</v>
      </c>
      <c r="B1241" t="s">
        <v>3340</v>
      </c>
      <c r="C1241" t="s">
        <v>3291</v>
      </c>
      <c r="D1241" t="s">
        <v>98</v>
      </c>
      <c r="E1241">
        <v>69.989999999999995</v>
      </c>
      <c r="F1241">
        <v>0</v>
      </c>
      <c r="H1241" t="s">
        <v>72</v>
      </c>
      <c r="I1241">
        <v>0</v>
      </c>
      <c r="J1241">
        <v>0</v>
      </c>
      <c r="K1241">
        <v>0</v>
      </c>
    </row>
    <row r="1242" spans="1:11" x14ac:dyDescent="0.2">
      <c r="A1242" t="s">
        <v>3970</v>
      </c>
      <c r="B1242" t="s">
        <v>3971</v>
      </c>
      <c r="C1242" t="s">
        <v>3929</v>
      </c>
      <c r="D1242" t="s">
        <v>98</v>
      </c>
      <c r="E1242">
        <v>139.99</v>
      </c>
      <c r="F1242">
        <v>0</v>
      </c>
      <c r="H1242" t="s">
        <v>72</v>
      </c>
      <c r="I1242">
        <v>0</v>
      </c>
      <c r="J1242">
        <v>0</v>
      </c>
      <c r="K1242">
        <v>0</v>
      </c>
    </row>
    <row r="1243" spans="1:11" x14ac:dyDescent="0.2">
      <c r="A1243" t="s">
        <v>3341</v>
      </c>
      <c r="B1243" t="s">
        <v>3342</v>
      </c>
      <c r="C1243" t="s">
        <v>3291</v>
      </c>
      <c r="D1243" t="s">
        <v>98</v>
      </c>
      <c r="E1243">
        <v>59.99</v>
      </c>
      <c r="F1243">
        <v>0</v>
      </c>
      <c r="H1243" t="s">
        <v>72</v>
      </c>
      <c r="I1243">
        <v>0</v>
      </c>
      <c r="J1243">
        <v>0</v>
      </c>
      <c r="K1243">
        <v>0</v>
      </c>
    </row>
    <row r="1244" spans="1:11" x14ac:dyDescent="0.2">
      <c r="A1244" t="s">
        <v>3968</v>
      </c>
      <c r="B1244" t="s">
        <v>3969</v>
      </c>
      <c r="C1244" t="s">
        <v>3929</v>
      </c>
      <c r="D1244" t="s">
        <v>138</v>
      </c>
      <c r="E1244">
        <v>184.99</v>
      </c>
      <c r="F1244">
        <v>0</v>
      </c>
      <c r="G1244">
        <v>30</v>
      </c>
      <c r="H1244" t="s">
        <v>72</v>
      </c>
      <c r="I1244">
        <v>0</v>
      </c>
      <c r="J1244">
        <v>0</v>
      </c>
      <c r="K1244">
        <v>1</v>
      </c>
    </row>
    <row r="1245" spans="1:11" x14ac:dyDescent="0.2">
      <c r="A1245" t="s">
        <v>3343</v>
      </c>
      <c r="B1245" t="s">
        <v>3344</v>
      </c>
      <c r="C1245" t="s">
        <v>3291</v>
      </c>
      <c r="D1245" t="s">
        <v>98</v>
      </c>
      <c r="E1245">
        <v>69.989999999999995</v>
      </c>
      <c r="F1245">
        <v>0</v>
      </c>
      <c r="H1245" t="s">
        <v>72</v>
      </c>
      <c r="I1245">
        <v>0</v>
      </c>
      <c r="J1245">
        <v>0</v>
      </c>
      <c r="K1245">
        <v>0</v>
      </c>
    </row>
    <row r="1246" spans="1:11" x14ac:dyDescent="0.2">
      <c r="A1246" t="s">
        <v>3345</v>
      </c>
      <c r="B1246" t="s">
        <v>3346</v>
      </c>
      <c r="C1246" t="s">
        <v>3291</v>
      </c>
      <c r="D1246" t="s">
        <v>98</v>
      </c>
      <c r="E1246">
        <v>59.99</v>
      </c>
      <c r="F1246">
        <v>0</v>
      </c>
      <c r="H1246" t="s">
        <v>72</v>
      </c>
      <c r="I1246">
        <v>0</v>
      </c>
      <c r="J1246">
        <v>0</v>
      </c>
      <c r="K1246">
        <v>0</v>
      </c>
    </row>
    <row r="1247" spans="1:11" x14ac:dyDescent="0.2">
      <c r="A1247" t="s">
        <v>3964</v>
      </c>
      <c r="B1247" t="s">
        <v>3965</v>
      </c>
      <c r="C1247" t="s">
        <v>3929</v>
      </c>
      <c r="D1247" t="s">
        <v>138</v>
      </c>
      <c r="E1247">
        <v>64.989999999999995</v>
      </c>
      <c r="F1247">
        <v>0</v>
      </c>
      <c r="H1247" t="s">
        <v>72</v>
      </c>
      <c r="I1247">
        <v>0</v>
      </c>
      <c r="J1247">
        <v>0</v>
      </c>
      <c r="K1247">
        <v>0</v>
      </c>
    </row>
    <row r="1248" spans="1:11" x14ac:dyDescent="0.2">
      <c r="A1248" t="s">
        <v>3347</v>
      </c>
      <c r="B1248" t="s">
        <v>3348</v>
      </c>
      <c r="C1248" t="s">
        <v>3291</v>
      </c>
      <c r="D1248" t="s">
        <v>98</v>
      </c>
      <c r="E1248">
        <v>59.99</v>
      </c>
      <c r="F1248">
        <v>0</v>
      </c>
      <c r="H1248" t="s">
        <v>72</v>
      </c>
      <c r="I1248">
        <v>0</v>
      </c>
      <c r="J1248">
        <v>0</v>
      </c>
      <c r="K1248">
        <v>0</v>
      </c>
    </row>
    <row r="1249" spans="1:11" x14ac:dyDescent="0.2">
      <c r="A1249" t="s">
        <v>5213</v>
      </c>
      <c r="B1249" t="s">
        <v>5214</v>
      </c>
      <c r="C1249" t="s">
        <v>3929</v>
      </c>
      <c r="D1249" t="s">
        <v>98</v>
      </c>
      <c r="E1249">
        <v>89.99</v>
      </c>
      <c r="F1249">
        <v>0</v>
      </c>
      <c r="H1249" t="s">
        <v>72</v>
      </c>
      <c r="I1249">
        <v>0</v>
      </c>
      <c r="J1249">
        <v>0</v>
      </c>
      <c r="K1249">
        <v>0</v>
      </c>
    </row>
    <row r="1250" spans="1:11" x14ac:dyDescent="0.2">
      <c r="A1250" t="s">
        <v>5102</v>
      </c>
      <c r="B1250" t="s">
        <v>5103</v>
      </c>
      <c r="C1250" t="s">
        <v>3929</v>
      </c>
      <c r="D1250" t="s">
        <v>98</v>
      </c>
      <c r="E1250">
        <v>99.99</v>
      </c>
      <c r="F1250">
        <v>0</v>
      </c>
      <c r="H1250" t="s">
        <v>72</v>
      </c>
      <c r="I1250">
        <v>0</v>
      </c>
      <c r="J1250">
        <v>0</v>
      </c>
      <c r="K1250">
        <v>0</v>
      </c>
    </row>
    <row r="1251" spans="1:11" x14ac:dyDescent="0.2">
      <c r="A1251" t="s">
        <v>3325</v>
      </c>
      <c r="B1251" t="s">
        <v>3326</v>
      </c>
      <c r="C1251" t="s">
        <v>3291</v>
      </c>
      <c r="D1251" t="s">
        <v>98</v>
      </c>
      <c r="E1251">
        <v>74.989999999999995</v>
      </c>
      <c r="F1251">
        <v>0</v>
      </c>
      <c r="H1251" t="s">
        <v>72</v>
      </c>
      <c r="I1251">
        <v>0</v>
      </c>
      <c r="J1251">
        <v>0</v>
      </c>
      <c r="K1251">
        <v>0</v>
      </c>
    </row>
    <row r="1252" spans="1:11" x14ac:dyDescent="0.2">
      <c r="A1252" t="s">
        <v>5160</v>
      </c>
      <c r="B1252" t="s">
        <v>5161</v>
      </c>
      <c r="C1252" t="s">
        <v>3929</v>
      </c>
      <c r="D1252" t="s">
        <v>98</v>
      </c>
      <c r="E1252">
        <v>109.99</v>
      </c>
      <c r="F1252">
        <v>0</v>
      </c>
      <c r="H1252" t="s">
        <v>72</v>
      </c>
      <c r="I1252">
        <v>0</v>
      </c>
      <c r="J1252">
        <v>0</v>
      </c>
      <c r="K1252">
        <v>0</v>
      </c>
    </row>
    <row r="1253" spans="1:11" x14ac:dyDescent="0.2">
      <c r="A1253" t="s">
        <v>3323</v>
      </c>
      <c r="B1253" t="s">
        <v>3324</v>
      </c>
      <c r="C1253" t="s">
        <v>3291</v>
      </c>
      <c r="D1253" t="s">
        <v>98</v>
      </c>
      <c r="E1253">
        <v>74.989999999999995</v>
      </c>
      <c r="F1253">
        <v>0</v>
      </c>
      <c r="H1253" t="s">
        <v>72</v>
      </c>
      <c r="I1253">
        <v>0</v>
      </c>
      <c r="J1253">
        <v>0</v>
      </c>
      <c r="K1253">
        <v>0</v>
      </c>
    </row>
    <row r="1254" spans="1:11" x14ac:dyDescent="0.2">
      <c r="A1254" t="s">
        <v>3984</v>
      </c>
      <c r="B1254" t="s">
        <v>3985</v>
      </c>
      <c r="C1254" t="s">
        <v>3929</v>
      </c>
      <c r="D1254" t="s">
        <v>98</v>
      </c>
      <c r="E1254">
        <v>84.99</v>
      </c>
      <c r="F1254">
        <v>0</v>
      </c>
      <c r="H1254" t="s">
        <v>72</v>
      </c>
      <c r="I1254">
        <v>0</v>
      </c>
      <c r="J1254">
        <v>0</v>
      </c>
      <c r="K1254">
        <v>0</v>
      </c>
    </row>
    <row r="1255" spans="1:11" x14ac:dyDescent="0.2">
      <c r="A1255" t="s">
        <v>3209</v>
      </c>
      <c r="B1255" t="s">
        <v>3210</v>
      </c>
      <c r="C1255" t="s">
        <v>3188</v>
      </c>
      <c r="D1255" t="s">
        <v>98</v>
      </c>
      <c r="E1255">
        <v>139.99</v>
      </c>
      <c r="F1255">
        <v>0</v>
      </c>
      <c r="H1255" t="s">
        <v>72</v>
      </c>
      <c r="I1255">
        <v>0</v>
      </c>
      <c r="J1255">
        <v>0</v>
      </c>
      <c r="K1255">
        <v>0</v>
      </c>
    </row>
    <row r="1256" spans="1:11" x14ac:dyDescent="0.2">
      <c r="A1256" t="s">
        <v>5636</v>
      </c>
      <c r="B1256" t="s">
        <v>5637</v>
      </c>
      <c r="C1256" t="s">
        <v>3188</v>
      </c>
      <c r="D1256" t="s">
        <v>98</v>
      </c>
      <c r="E1256">
        <v>69.989999999999995</v>
      </c>
      <c r="F1256">
        <v>0</v>
      </c>
      <c r="H1256" t="s">
        <v>72</v>
      </c>
      <c r="I1256">
        <v>0</v>
      </c>
      <c r="J1256">
        <v>0</v>
      </c>
      <c r="K1256">
        <v>0</v>
      </c>
    </row>
    <row r="1257" spans="1:11" x14ac:dyDescent="0.2">
      <c r="A1257" t="s">
        <v>5087</v>
      </c>
      <c r="B1257" t="s">
        <v>5088</v>
      </c>
      <c r="C1257" t="s">
        <v>3929</v>
      </c>
      <c r="D1257" t="s">
        <v>138</v>
      </c>
      <c r="E1257">
        <v>79.989999999999995</v>
      </c>
      <c r="F1257">
        <v>0</v>
      </c>
      <c r="G1257">
        <v>7</v>
      </c>
      <c r="H1257" t="s">
        <v>72</v>
      </c>
      <c r="I1257">
        <v>0</v>
      </c>
      <c r="J1257">
        <v>0</v>
      </c>
      <c r="K1257">
        <v>2</v>
      </c>
    </row>
    <row r="1258" spans="1:11" x14ac:dyDescent="0.2">
      <c r="A1258" t="s">
        <v>3213</v>
      </c>
      <c r="B1258" t="s">
        <v>3214</v>
      </c>
      <c r="C1258" t="s">
        <v>3188</v>
      </c>
      <c r="D1258" t="s">
        <v>98</v>
      </c>
      <c r="E1258">
        <v>19.989999999999998</v>
      </c>
      <c r="F1258">
        <v>0</v>
      </c>
      <c r="H1258" t="s">
        <v>72</v>
      </c>
      <c r="I1258">
        <v>0</v>
      </c>
      <c r="J1258">
        <v>0</v>
      </c>
      <c r="K1258">
        <v>0</v>
      </c>
    </row>
    <row r="1259" spans="1:11" x14ac:dyDescent="0.2">
      <c r="A1259" t="s">
        <v>3215</v>
      </c>
      <c r="B1259" t="s">
        <v>3216</v>
      </c>
      <c r="C1259" t="s">
        <v>3188</v>
      </c>
      <c r="D1259" t="s">
        <v>98</v>
      </c>
      <c r="E1259">
        <v>19.989999999999998</v>
      </c>
      <c r="F1259">
        <v>0</v>
      </c>
      <c r="H1259" t="s">
        <v>72</v>
      </c>
      <c r="I1259">
        <v>0</v>
      </c>
      <c r="J1259">
        <v>0</v>
      </c>
      <c r="K1259">
        <v>0</v>
      </c>
    </row>
    <row r="1260" spans="1:11" x14ac:dyDescent="0.2">
      <c r="A1260" t="s">
        <v>5181</v>
      </c>
      <c r="B1260" t="s">
        <v>5182</v>
      </c>
      <c r="C1260" t="s">
        <v>3929</v>
      </c>
      <c r="D1260" t="s">
        <v>138</v>
      </c>
      <c r="E1260">
        <v>79.989999999999995</v>
      </c>
      <c r="F1260">
        <v>0</v>
      </c>
      <c r="H1260" t="s">
        <v>72</v>
      </c>
      <c r="I1260">
        <v>0</v>
      </c>
      <c r="J1260">
        <v>0</v>
      </c>
      <c r="K1260">
        <v>0</v>
      </c>
    </row>
    <row r="1261" spans="1:11" x14ac:dyDescent="0.2">
      <c r="A1261" t="s">
        <v>3217</v>
      </c>
      <c r="B1261" t="s">
        <v>3218</v>
      </c>
      <c r="C1261" t="s">
        <v>3188</v>
      </c>
      <c r="D1261" t="s">
        <v>98</v>
      </c>
      <c r="E1261">
        <v>19.989999999999998</v>
      </c>
      <c r="F1261">
        <v>0</v>
      </c>
      <c r="H1261" t="s">
        <v>72</v>
      </c>
      <c r="I1261">
        <v>0</v>
      </c>
      <c r="J1261">
        <v>0</v>
      </c>
      <c r="K1261">
        <v>0</v>
      </c>
    </row>
    <row r="1262" spans="1:11" x14ac:dyDescent="0.2">
      <c r="A1262" t="s">
        <v>3998</v>
      </c>
      <c r="B1262" t="s">
        <v>3999</v>
      </c>
      <c r="C1262" t="s">
        <v>3929</v>
      </c>
      <c r="D1262" t="s">
        <v>105</v>
      </c>
      <c r="E1262">
        <v>79.989999999999995</v>
      </c>
      <c r="F1262">
        <v>0</v>
      </c>
      <c r="H1262" t="s">
        <v>72</v>
      </c>
      <c r="I1262">
        <v>0</v>
      </c>
      <c r="J1262">
        <v>0</v>
      </c>
      <c r="K1262">
        <v>0</v>
      </c>
    </row>
    <row r="1263" spans="1:11" x14ac:dyDescent="0.2">
      <c r="A1263" t="s">
        <v>3219</v>
      </c>
      <c r="B1263" t="s">
        <v>3220</v>
      </c>
      <c r="C1263" t="s">
        <v>3188</v>
      </c>
      <c r="D1263" t="s">
        <v>98</v>
      </c>
      <c r="E1263">
        <v>44.99</v>
      </c>
      <c r="F1263">
        <v>0</v>
      </c>
      <c r="H1263" t="s">
        <v>72</v>
      </c>
      <c r="I1263">
        <v>0</v>
      </c>
      <c r="J1263">
        <v>0</v>
      </c>
      <c r="K1263">
        <v>0</v>
      </c>
    </row>
    <row r="1264" spans="1:11" x14ac:dyDescent="0.2">
      <c r="A1264" t="s">
        <v>3292</v>
      </c>
      <c r="B1264" t="s">
        <v>3293</v>
      </c>
      <c r="C1264" t="s">
        <v>3291</v>
      </c>
      <c r="D1264" t="s">
        <v>98</v>
      </c>
      <c r="E1264">
        <v>59.99</v>
      </c>
      <c r="F1264">
        <v>0</v>
      </c>
      <c r="H1264" t="s">
        <v>72</v>
      </c>
      <c r="I1264">
        <v>0</v>
      </c>
      <c r="J1264">
        <v>0</v>
      </c>
      <c r="K1264">
        <v>0</v>
      </c>
    </row>
    <row r="1265" spans="1:11" x14ac:dyDescent="0.2">
      <c r="A1265" t="s">
        <v>3294</v>
      </c>
      <c r="B1265" t="s">
        <v>3295</v>
      </c>
      <c r="C1265" t="s">
        <v>3291</v>
      </c>
      <c r="D1265" t="s">
        <v>98</v>
      </c>
      <c r="E1265">
        <v>59.99</v>
      </c>
      <c r="F1265">
        <v>0</v>
      </c>
      <c r="H1265" t="s">
        <v>72</v>
      </c>
      <c r="I1265">
        <v>0</v>
      </c>
      <c r="J1265">
        <v>0</v>
      </c>
      <c r="K1265">
        <v>0</v>
      </c>
    </row>
    <row r="1266" spans="1:11" x14ac:dyDescent="0.2">
      <c r="A1266" t="s">
        <v>3296</v>
      </c>
      <c r="B1266" t="s">
        <v>3297</v>
      </c>
      <c r="C1266" t="s">
        <v>3291</v>
      </c>
      <c r="D1266" t="s">
        <v>98</v>
      </c>
      <c r="E1266">
        <v>59.99</v>
      </c>
      <c r="F1266">
        <v>0</v>
      </c>
      <c r="H1266" t="s">
        <v>72</v>
      </c>
      <c r="I1266">
        <v>0</v>
      </c>
      <c r="J1266">
        <v>0</v>
      </c>
      <c r="K1266">
        <v>0</v>
      </c>
    </row>
    <row r="1267" spans="1:11" x14ac:dyDescent="0.2">
      <c r="A1267" t="s">
        <v>3162</v>
      </c>
      <c r="B1267" t="s">
        <v>3163</v>
      </c>
      <c r="C1267" t="s">
        <v>3133</v>
      </c>
      <c r="D1267" t="s">
        <v>98</v>
      </c>
      <c r="E1267">
        <v>119.99</v>
      </c>
      <c r="F1267">
        <v>0</v>
      </c>
      <c r="H1267" t="s">
        <v>72</v>
      </c>
      <c r="I1267">
        <v>0</v>
      </c>
      <c r="J1267">
        <v>0</v>
      </c>
      <c r="K1267">
        <v>0</v>
      </c>
    </row>
    <row r="1268" spans="1:11" x14ac:dyDescent="0.2">
      <c r="A1268" t="s">
        <v>3307</v>
      </c>
      <c r="B1268" t="s">
        <v>3308</v>
      </c>
      <c r="C1268" t="s">
        <v>3291</v>
      </c>
      <c r="D1268" t="s">
        <v>98</v>
      </c>
      <c r="E1268">
        <v>69.989999999999995</v>
      </c>
      <c r="F1268">
        <v>0</v>
      </c>
      <c r="H1268" t="s">
        <v>72</v>
      </c>
      <c r="I1268">
        <v>0</v>
      </c>
      <c r="J1268">
        <v>0</v>
      </c>
      <c r="K1268">
        <v>0</v>
      </c>
    </row>
    <row r="1269" spans="1:11" x14ac:dyDescent="0.2">
      <c r="A1269" t="s">
        <v>3309</v>
      </c>
      <c r="B1269" t="s">
        <v>3310</v>
      </c>
      <c r="C1269" t="s">
        <v>3291</v>
      </c>
      <c r="D1269" t="s">
        <v>98</v>
      </c>
      <c r="E1269">
        <v>69.989999999999995</v>
      </c>
      <c r="F1269">
        <v>0</v>
      </c>
      <c r="H1269" t="s">
        <v>72</v>
      </c>
      <c r="I1269">
        <v>0</v>
      </c>
      <c r="J1269">
        <v>0</v>
      </c>
      <c r="K1269">
        <v>0</v>
      </c>
    </row>
    <row r="1270" spans="1:11" x14ac:dyDescent="0.2">
      <c r="A1270" t="s">
        <v>3311</v>
      </c>
      <c r="B1270" t="s">
        <v>3312</v>
      </c>
      <c r="C1270" t="s">
        <v>3291</v>
      </c>
      <c r="D1270" t="s">
        <v>98</v>
      </c>
      <c r="E1270">
        <v>69.989999999999995</v>
      </c>
      <c r="F1270">
        <v>0</v>
      </c>
      <c r="H1270" t="s">
        <v>72</v>
      </c>
      <c r="I1270">
        <v>0</v>
      </c>
      <c r="J1270">
        <v>0</v>
      </c>
      <c r="K1270">
        <v>4</v>
      </c>
    </row>
    <row r="1271" spans="1:11" x14ac:dyDescent="0.2">
      <c r="A1271" t="s">
        <v>3313</v>
      </c>
      <c r="B1271" t="s">
        <v>3314</v>
      </c>
      <c r="C1271" t="s">
        <v>3291</v>
      </c>
      <c r="D1271" t="s">
        <v>98</v>
      </c>
      <c r="E1271">
        <v>69.989999999999995</v>
      </c>
      <c r="F1271">
        <v>0</v>
      </c>
      <c r="H1271" t="s">
        <v>72</v>
      </c>
      <c r="I1271">
        <v>0</v>
      </c>
      <c r="J1271">
        <v>0</v>
      </c>
      <c r="K1271">
        <v>1</v>
      </c>
    </row>
    <row r="1272" spans="1:11" x14ac:dyDescent="0.2">
      <c r="A1272" t="s">
        <v>5138</v>
      </c>
      <c r="B1272" t="s">
        <v>5139</v>
      </c>
      <c r="C1272" t="s">
        <v>3929</v>
      </c>
      <c r="D1272" t="s">
        <v>98</v>
      </c>
      <c r="E1272">
        <v>129.99</v>
      </c>
      <c r="F1272">
        <v>0</v>
      </c>
      <c r="H1272" t="s">
        <v>72</v>
      </c>
      <c r="I1272">
        <v>0</v>
      </c>
      <c r="J1272">
        <v>0</v>
      </c>
      <c r="K1272">
        <v>0</v>
      </c>
    </row>
    <row r="1273" spans="1:11" x14ac:dyDescent="0.2">
      <c r="A1273" t="s">
        <v>3315</v>
      </c>
      <c r="B1273" t="s">
        <v>3316</v>
      </c>
      <c r="C1273" t="s">
        <v>3291</v>
      </c>
      <c r="D1273" t="s">
        <v>98</v>
      </c>
      <c r="E1273">
        <v>59.99</v>
      </c>
      <c r="F1273">
        <v>0</v>
      </c>
      <c r="H1273" t="s">
        <v>72</v>
      </c>
      <c r="I1273">
        <v>0</v>
      </c>
      <c r="J1273">
        <v>0</v>
      </c>
      <c r="K1273">
        <v>0</v>
      </c>
    </row>
    <row r="1274" spans="1:11" x14ac:dyDescent="0.2">
      <c r="A1274" t="s">
        <v>3317</v>
      </c>
      <c r="B1274" t="s">
        <v>3318</v>
      </c>
      <c r="C1274" t="s">
        <v>3291</v>
      </c>
      <c r="D1274" t="s">
        <v>98</v>
      </c>
      <c r="E1274">
        <v>59.99</v>
      </c>
      <c r="F1274">
        <v>0</v>
      </c>
      <c r="H1274" t="s">
        <v>72</v>
      </c>
      <c r="I1274">
        <v>0</v>
      </c>
      <c r="J1274">
        <v>0</v>
      </c>
      <c r="K1274">
        <v>0</v>
      </c>
    </row>
    <row r="1275" spans="1:11" x14ac:dyDescent="0.2">
      <c r="A1275" t="s">
        <v>3988</v>
      </c>
      <c r="B1275" t="s">
        <v>3989</v>
      </c>
      <c r="C1275" t="s">
        <v>3929</v>
      </c>
      <c r="D1275" t="s">
        <v>105</v>
      </c>
      <c r="E1275">
        <v>59.99</v>
      </c>
      <c r="F1275">
        <v>0</v>
      </c>
      <c r="G1275">
        <v>2</v>
      </c>
      <c r="H1275" t="s">
        <v>72</v>
      </c>
      <c r="I1275">
        <v>0</v>
      </c>
      <c r="J1275">
        <v>0</v>
      </c>
      <c r="K1275">
        <v>0</v>
      </c>
    </row>
    <row r="1276" spans="1:11" x14ac:dyDescent="0.2">
      <c r="A1276" t="s">
        <v>3319</v>
      </c>
      <c r="B1276" t="s">
        <v>3320</v>
      </c>
      <c r="C1276" t="s">
        <v>3291</v>
      </c>
      <c r="D1276" t="s">
        <v>98</v>
      </c>
      <c r="E1276">
        <v>59.99</v>
      </c>
      <c r="F1276">
        <v>0</v>
      </c>
      <c r="H1276" t="s">
        <v>72</v>
      </c>
      <c r="I1276">
        <v>0</v>
      </c>
      <c r="J1276">
        <v>0</v>
      </c>
      <c r="K1276">
        <v>0</v>
      </c>
    </row>
    <row r="1277" spans="1:11" x14ac:dyDescent="0.2">
      <c r="A1277" t="s">
        <v>2187</v>
      </c>
      <c r="B1277" t="s">
        <v>2188</v>
      </c>
      <c r="C1277" t="s">
        <v>2174</v>
      </c>
      <c r="D1277" t="s">
        <v>98</v>
      </c>
      <c r="E1277">
        <v>99.99</v>
      </c>
      <c r="F1277">
        <v>0</v>
      </c>
      <c r="H1277" t="s">
        <v>72</v>
      </c>
      <c r="I1277">
        <v>0</v>
      </c>
      <c r="J1277">
        <v>0</v>
      </c>
      <c r="K1277">
        <v>4</v>
      </c>
    </row>
    <row r="1278" spans="1:11" x14ac:dyDescent="0.2">
      <c r="A1278" t="s">
        <v>3321</v>
      </c>
      <c r="B1278" t="s">
        <v>3322</v>
      </c>
      <c r="C1278" t="s">
        <v>3291</v>
      </c>
      <c r="D1278" t="s">
        <v>98</v>
      </c>
      <c r="E1278">
        <v>74.989999999999995</v>
      </c>
      <c r="F1278">
        <v>0</v>
      </c>
      <c r="H1278" t="s">
        <v>72</v>
      </c>
      <c r="I1278">
        <v>0</v>
      </c>
      <c r="J1278">
        <v>0</v>
      </c>
      <c r="K1278">
        <v>0</v>
      </c>
    </row>
    <row r="1279" spans="1:11" x14ac:dyDescent="0.2">
      <c r="A1279" t="s">
        <v>3298</v>
      </c>
      <c r="B1279" t="s">
        <v>3299</v>
      </c>
      <c r="C1279" t="s">
        <v>3291</v>
      </c>
      <c r="D1279" t="s">
        <v>98</v>
      </c>
      <c r="E1279">
        <v>69.989999999999995</v>
      </c>
      <c r="F1279">
        <v>0</v>
      </c>
      <c r="H1279" t="s">
        <v>72</v>
      </c>
      <c r="I1279">
        <v>0</v>
      </c>
      <c r="J1279">
        <v>0</v>
      </c>
      <c r="K1279">
        <v>0</v>
      </c>
    </row>
    <row r="1280" spans="1:11" x14ac:dyDescent="0.2">
      <c r="A1280" t="s">
        <v>3486</v>
      </c>
      <c r="B1280" t="s">
        <v>3487</v>
      </c>
      <c r="C1280" t="s">
        <v>3349</v>
      </c>
      <c r="D1280" t="s">
        <v>105</v>
      </c>
      <c r="E1280">
        <v>199.99</v>
      </c>
      <c r="F1280">
        <v>0</v>
      </c>
      <c r="G1280">
        <v>31</v>
      </c>
      <c r="H1280" t="s">
        <v>72</v>
      </c>
      <c r="I1280">
        <v>0</v>
      </c>
      <c r="J1280">
        <v>0</v>
      </c>
      <c r="K1280">
        <v>6</v>
      </c>
    </row>
    <row r="1281" spans="1:11" x14ac:dyDescent="0.2">
      <c r="A1281" t="s">
        <v>5144</v>
      </c>
      <c r="B1281" t="s">
        <v>5145</v>
      </c>
      <c r="C1281" t="s">
        <v>3575</v>
      </c>
      <c r="D1281" t="s">
        <v>98</v>
      </c>
      <c r="E1281">
        <v>19.989999999999998</v>
      </c>
      <c r="F1281">
        <v>0</v>
      </c>
      <c r="H1281" t="s">
        <v>72</v>
      </c>
      <c r="I1281">
        <v>0</v>
      </c>
      <c r="J1281">
        <v>0</v>
      </c>
      <c r="K1281">
        <v>0</v>
      </c>
    </row>
    <row r="1282" spans="1:11" x14ac:dyDescent="0.2">
      <c r="A1282" t="s">
        <v>5165</v>
      </c>
      <c r="B1282" t="s">
        <v>5166</v>
      </c>
      <c r="C1282" t="s">
        <v>904</v>
      </c>
      <c r="D1282" t="s">
        <v>98</v>
      </c>
      <c r="E1282">
        <v>99.99</v>
      </c>
      <c r="F1282">
        <v>0</v>
      </c>
      <c r="H1282" t="s">
        <v>72</v>
      </c>
      <c r="I1282">
        <v>0</v>
      </c>
      <c r="J1282">
        <v>0</v>
      </c>
      <c r="K1282">
        <v>0</v>
      </c>
    </row>
    <row r="1283" spans="1:11" x14ac:dyDescent="0.2">
      <c r="A1283" t="s">
        <v>5179</v>
      </c>
      <c r="B1283" t="s">
        <v>5180</v>
      </c>
      <c r="C1283" t="s">
        <v>904</v>
      </c>
      <c r="D1283" t="s">
        <v>98</v>
      </c>
      <c r="E1283">
        <v>49.99</v>
      </c>
      <c r="F1283">
        <v>0</v>
      </c>
      <c r="H1283" t="s">
        <v>72</v>
      </c>
      <c r="I1283">
        <v>0</v>
      </c>
      <c r="J1283">
        <v>0</v>
      </c>
      <c r="K1283">
        <v>0</v>
      </c>
    </row>
    <row r="1284" spans="1:11" x14ac:dyDescent="0.2">
      <c r="A1284" t="s">
        <v>5017</v>
      </c>
      <c r="B1284" t="s">
        <v>5018</v>
      </c>
      <c r="C1284" t="s">
        <v>5010</v>
      </c>
      <c r="D1284" t="s">
        <v>98</v>
      </c>
      <c r="E1284">
        <v>22.99</v>
      </c>
      <c r="F1284">
        <v>0</v>
      </c>
      <c r="H1284" t="s">
        <v>72</v>
      </c>
      <c r="I1284">
        <v>0</v>
      </c>
      <c r="J1284">
        <v>0</v>
      </c>
      <c r="K1284">
        <v>0</v>
      </c>
    </row>
    <row r="1285" spans="1:11" x14ac:dyDescent="0.2">
      <c r="A1285" t="s">
        <v>5189</v>
      </c>
      <c r="B1285" t="s">
        <v>5190</v>
      </c>
      <c r="C1285" t="s">
        <v>904</v>
      </c>
      <c r="D1285" t="s">
        <v>98</v>
      </c>
      <c r="E1285">
        <v>59.99</v>
      </c>
      <c r="F1285">
        <v>0</v>
      </c>
      <c r="H1285" t="s">
        <v>72</v>
      </c>
      <c r="I1285">
        <v>0</v>
      </c>
      <c r="J1285">
        <v>0</v>
      </c>
      <c r="K1285">
        <v>0</v>
      </c>
    </row>
    <row r="1286" spans="1:11" x14ac:dyDescent="0.2">
      <c r="A1286" t="s">
        <v>5191</v>
      </c>
      <c r="B1286" t="s">
        <v>5192</v>
      </c>
      <c r="C1286" t="s">
        <v>4518</v>
      </c>
      <c r="D1286" t="s">
        <v>98</v>
      </c>
      <c r="E1286">
        <v>69.989999999999995</v>
      </c>
      <c r="F1286">
        <v>0</v>
      </c>
      <c r="H1286" t="s">
        <v>72</v>
      </c>
      <c r="I1286">
        <v>0</v>
      </c>
      <c r="J1286">
        <v>0</v>
      </c>
      <c r="K1286">
        <v>0</v>
      </c>
    </row>
    <row r="1287" spans="1:11" x14ac:dyDescent="0.2">
      <c r="A1287" t="s">
        <v>5199</v>
      </c>
      <c r="B1287" t="s">
        <v>5200</v>
      </c>
      <c r="C1287" t="s">
        <v>4518</v>
      </c>
      <c r="D1287" t="s">
        <v>98</v>
      </c>
      <c r="E1287">
        <v>69.989999999999995</v>
      </c>
      <c r="F1287">
        <v>0</v>
      </c>
      <c r="H1287" t="s">
        <v>72</v>
      </c>
      <c r="I1287">
        <v>0</v>
      </c>
      <c r="J1287">
        <v>0</v>
      </c>
      <c r="K1287">
        <v>0</v>
      </c>
    </row>
    <row r="1288" spans="1:11" x14ac:dyDescent="0.2">
      <c r="A1288" t="s">
        <v>325</v>
      </c>
      <c r="B1288" t="s">
        <v>326</v>
      </c>
      <c r="C1288" t="s">
        <v>307</v>
      </c>
      <c r="D1288" t="s">
        <v>98</v>
      </c>
      <c r="E1288">
        <v>849.99</v>
      </c>
      <c r="F1288">
        <v>0</v>
      </c>
      <c r="H1288" t="s">
        <v>72</v>
      </c>
      <c r="I1288">
        <v>0</v>
      </c>
      <c r="J1288">
        <v>0</v>
      </c>
      <c r="K1288">
        <v>0</v>
      </c>
    </row>
    <row r="1289" spans="1:11" x14ac:dyDescent="0.2">
      <c r="A1289" t="s">
        <v>4481</v>
      </c>
      <c r="B1289" t="s">
        <v>4482</v>
      </c>
      <c r="C1289" t="s">
        <v>4437</v>
      </c>
      <c r="D1289" t="s">
        <v>98</v>
      </c>
      <c r="E1289">
        <v>119.99</v>
      </c>
      <c r="F1289">
        <v>0</v>
      </c>
      <c r="H1289" t="s">
        <v>72</v>
      </c>
      <c r="I1289">
        <v>0</v>
      </c>
      <c r="J1289">
        <v>0</v>
      </c>
      <c r="K1289">
        <v>0</v>
      </c>
    </row>
    <row r="1290" spans="1:11" x14ac:dyDescent="0.2">
      <c r="A1290" t="s">
        <v>4479</v>
      </c>
      <c r="B1290" t="s">
        <v>4480</v>
      </c>
      <c r="C1290" t="s">
        <v>4437</v>
      </c>
      <c r="D1290" t="s">
        <v>98</v>
      </c>
      <c r="E1290">
        <v>69.989999999999995</v>
      </c>
      <c r="F1290">
        <v>0</v>
      </c>
      <c r="H1290" t="s">
        <v>72</v>
      </c>
      <c r="I1290">
        <v>0</v>
      </c>
      <c r="J1290">
        <v>0</v>
      </c>
      <c r="K1290">
        <v>0</v>
      </c>
    </row>
    <row r="1291" spans="1:11" x14ac:dyDescent="0.2">
      <c r="A1291" t="s">
        <v>4477</v>
      </c>
      <c r="B1291" t="s">
        <v>4478</v>
      </c>
      <c r="C1291" t="s">
        <v>4437</v>
      </c>
      <c r="D1291" t="s">
        <v>98</v>
      </c>
      <c r="E1291">
        <v>119.99</v>
      </c>
      <c r="F1291">
        <v>0</v>
      </c>
      <c r="H1291" t="s">
        <v>72</v>
      </c>
      <c r="I1291">
        <v>0</v>
      </c>
      <c r="J1291">
        <v>0</v>
      </c>
      <c r="K1291">
        <v>0</v>
      </c>
    </row>
    <row r="1292" spans="1:11" x14ac:dyDescent="0.2">
      <c r="A1292" t="s">
        <v>958</v>
      </c>
      <c r="B1292" t="s">
        <v>959</v>
      </c>
      <c r="C1292" t="s">
        <v>911</v>
      </c>
      <c r="D1292" t="s">
        <v>105</v>
      </c>
      <c r="E1292">
        <v>169.99</v>
      </c>
      <c r="F1292">
        <v>0</v>
      </c>
      <c r="G1292">
        <v>49</v>
      </c>
      <c r="H1292" t="s">
        <v>72</v>
      </c>
      <c r="I1292">
        <v>0</v>
      </c>
      <c r="J1292">
        <v>0</v>
      </c>
      <c r="K1292">
        <v>1</v>
      </c>
    </row>
    <row r="1293" spans="1:11" x14ac:dyDescent="0.2">
      <c r="A1293" t="s">
        <v>321</v>
      </c>
      <c r="B1293" t="s">
        <v>322</v>
      </c>
      <c r="C1293" t="s">
        <v>307</v>
      </c>
      <c r="D1293" t="s">
        <v>98</v>
      </c>
      <c r="E1293">
        <v>849.99</v>
      </c>
      <c r="F1293">
        <v>0</v>
      </c>
      <c r="H1293" t="s">
        <v>72</v>
      </c>
      <c r="I1293">
        <v>0</v>
      </c>
      <c r="J1293">
        <v>0</v>
      </c>
      <c r="K1293">
        <v>0</v>
      </c>
    </row>
    <row r="1294" spans="1:11" x14ac:dyDescent="0.2">
      <c r="A1294" t="s">
        <v>4475</v>
      </c>
      <c r="B1294" t="s">
        <v>4476</v>
      </c>
      <c r="C1294" t="s">
        <v>4437</v>
      </c>
      <c r="D1294" t="s">
        <v>98</v>
      </c>
      <c r="E1294">
        <v>119.99</v>
      </c>
      <c r="F1294">
        <v>0</v>
      </c>
      <c r="H1294" t="s">
        <v>72</v>
      </c>
      <c r="I1294">
        <v>0</v>
      </c>
      <c r="J1294">
        <v>0</v>
      </c>
      <c r="K1294">
        <v>0</v>
      </c>
    </row>
    <row r="1295" spans="1:11" x14ac:dyDescent="0.2">
      <c r="A1295" t="s">
        <v>4473</v>
      </c>
      <c r="B1295" t="s">
        <v>4474</v>
      </c>
      <c r="C1295" t="s">
        <v>4437</v>
      </c>
      <c r="D1295" t="s">
        <v>98</v>
      </c>
      <c r="E1295">
        <v>99.99</v>
      </c>
      <c r="F1295">
        <v>0</v>
      </c>
      <c r="H1295" t="s">
        <v>72</v>
      </c>
      <c r="I1295">
        <v>0</v>
      </c>
      <c r="J1295">
        <v>0</v>
      </c>
      <c r="K1295">
        <v>0</v>
      </c>
    </row>
    <row r="1296" spans="1:11" x14ac:dyDescent="0.2">
      <c r="A1296" t="s">
        <v>920</v>
      </c>
      <c r="B1296" t="s">
        <v>921</v>
      </c>
      <c r="C1296" t="s">
        <v>911</v>
      </c>
      <c r="D1296" t="s">
        <v>105</v>
      </c>
      <c r="E1296">
        <v>89.99</v>
      </c>
      <c r="F1296">
        <v>0</v>
      </c>
      <c r="G1296">
        <v>107</v>
      </c>
      <c r="H1296" t="s">
        <v>72</v>
      </c>
      <c r="I1296">
        <v>0</v>
      </c>
      <c r="J1296">
        <v>0</v>
      </c>
      <c r="K1296">
        <v>0</v>
      </c>
    </row>
    <row r="1297" spans="1:11" x14ac:dyDescent="0.2">
      <c r="A1297" t="s">
        <v>920</v>
      </c>
      <c r="B1297" t="s">
        <v>921</v>
      </c>
      <c r="C1297" t="s">
        <v>911</v>
      </c>
      <c r="D1297" t="s">
        <v>105</v>
      </c>
      <c r="E1297">
        <v>89.99</v>
      </c>
      <c r="F1297">
        <v>0</v>
      </c>
      <c r="G1297">
        <v>107</v>
      </c>
      <c r="H1297" t="s">
        <v>72</v>
      </c>
      <c r="I1297">
        <v>0</v>
      </c>
      <c r="J1297">
        <v>0</v>
      </c>
      <c r="K1297">
        <v>0</v>
      </c>
    </row>
    <row r="1298" spans="1:11" x14ac:dyDescent="0.2">
      <c r="A1298" t="s">
        <v>4471</v>
      </c>
      <c r="B1298" t="s">
        <v>4472</v>
      </c>
      <c r="C1298" t="s">
        <v>4437</v>
      </c>
      <c r="D1298" t="s">
        <v>98</v>
      </c>
      <c r="E1298">
        <v>49.99</v>
      </c>
      <c r="F1298">
        <v>0</v>
      </c>
      <c r="H1298" t="s">
        <v>72</v>
      </c>
      <c r="I1298">
        <v>0</v>
      </c>
      <c r="J1298">
        <v>0</v>
      </c>
      <c r="K1298">
        <v>0</v>
      </c>
    </row>
    <row r="1299" spans="1:11" x14ac:dyDescent="0.2">
      <c r="A1299" t="s">
        <v>2099</v>
      </c>
      <c r="B1299" t="s">
        <v>2100</v>
      </c>
      <c r="C1299" t="s">
        <v>2094</v>
      </c>
      <c r="D1299" t="s">
        <v>98</v>
      </c>
      <c r="E1299">
        <v>99.99</v>
      </c>
      <c r="F1299">
        <v>0</v>
      </c>
      <c r="H1299" t="s">
        <v>72</v>
      </c>
      <c r="I1299">
        <v>0</v>
      </c>
      <c r="J1299">
        <v>0</v>
      </c>
      <c r="K1299">
        <v>0</v>
      </c>
    </row>
    <row r="1300" spans="1:11" x14ac:dyDescent="0.2">
      <c r="A1300" t="s">
        <v>4469</v>
      </c>
      <c r="B1300" t="s">
        <v>4470</v>
      </c>
      <c r="C1300" t="s">
        <v>4437</v>
      </c>
      <c r="D1300" t="s">
        <v>98</v>
      </c>
      <c r="E1300">
        <v>39.99</v>
      </c>
      <c r="F1300">
        <v>0</v>
      </c>
      <c r="H1300" t="s">
        <v>72</v>
      </c>
      <c r="I1300">
        <v>0</v>
      </c>
      <c r="J1300">
        <v>0</v>
      </c>
      <c r="K1300">
        <v>1</v>
      </c>
    </row>
    <row r="1301" spans="1:11" x14ac:dyDescent="0.2">
      <c r="A1301" t="s">
        <v>2101</v>
      </c>
      <c r="B1301" t="s">
        <v>2102</v>
      </c>
      <c r="C1301" t="s">
        <v>2094</v>
      </c>
      <c r="D1301" t="s">
        <v>138</v>
      </c>
      <c r="E1301">
        <v>219.99</v>
      </c>
      <c r="F1301">
        <v>0</v>
      </c>
      <c r="G1301">
        <v>30</v>
      </c>
      <c r="H1301" t="s">
        <v>72</v>
      </c>
      <c r="I1301">
        <v>0</v>
      </c>
      <c r="J1301">
        <v>0</v>
      </c>
      <c r="K1301">
        <v>0</v>
      </c>
    </row>
    <row r="1302" spans="1:11" x14ac:dyDescent="0.2">
      <c r="A1302" t="s">
        <v>5019</v>
      </c>
      <c r="B1302" t="s">
        <v>5020</v>
      </c>
      <c r="C1302" t="s">
        <v>5010</v>
      </c>
      <c r="D1302" t="s">
        <v>98</v>
      </c>
      <c r="E1302">
        <v>22.99</v>
      </c>
      <c r="F1302">
        <v>0</v>
      </c>
      <c r="H1302" t="s">
        <v>72</v>
      </c>
      <c r="I1302">
        <v>0</v>
      </c>
      <c r="J1302">
        <v>0</v>
      </c>
      <c r="K1302">
        <v>0</v>
      </c>
    </row>
    <row r="1303" spans="1:11" x14ac:dyDescent="0.2">
      <c r="A1303" t="s">
        <v>5150</v>
      </c>
      <c r="B1303" t="s">
        <v>5151</v>
      </c>
      <c r="C1303" t="s">
        <v>904</v>
      </c>
      <c r="D1303" t="s">
        <v>98</v>
      </c>
      <c r="E1303">
        <v>49.99</v>
      </c>
      <c r="F1303">
        <v>0</v>
      </c>
      <c r="H1303" t="s">
        <v>72</v>
      </c>
      <c r="I1303">
        <v>0</v>
      </c>
      <c r="J1303">
        <v>0</v>
      </c>
      <c r="K1303">
        <v>0</v>
      </c>
    </row>
    <row r="1304" spans="1:11" x14ac:dyDescent="0.2">
      <c r="A1304" t="s">
        <v>329</v>
      </c>
      <c r="B1304" t="s">
        <v>328</v>
      </c>
      <c r="C1304" t="s">
        <v>307</v>
      </c>
      <c r="D1304" t="s">
        <v>105</v>
      </c>
      <c r="E1304">
        <v>1799.99</v>
      </c>
      <c r="F1304">
        <v>0</v>
      </c>
      <c r="G1304">
        <v>1</v>
      </c>
      <c r="H1304" t="s">
        <v>72</v>
      </c>
      <c r="I1304">
        <v>0</v>
      </c>
      <c r="J1304">
        <v>0</v>
      </c>
      <c r="K1304">
        <v>0</v>
      </c>
    </row>
    <row r="1305" spans="1:11" x14ac:dyDescent="0.2">
      <c r="A1305" t="s">
        <v>5015</v>
      </c>
      <c r="B1305" t="s">
        <v>5016</v>
      </c>
      <c r="C1305" t="s">
        <v>5010</v>
      </c>
      <c r="D1305" t="s">
        <v>98</v>
      </c>
      <c r="E1305">
        <v>22.99</v>
      </c>
      <c r="F1305">
        <v>0</v>
      </c>
      <c r="H1305" t="s">
        <v>72</v>
      </c>
      <c r="I1305">
        <v>0</v>
      </c>
      <c r="J1305">
        <v>0</v>
      </c>
      <c r="K1305">
        <v>0</v>
      </c>
    </row>
    <row r="1306" spans="1:11" x14ac:dyDescent="0.2">
      <c r="A1306" t="s">
        <v>5156</v>
      </c>
      <c r="B1306" t="s">
        <v>5157</v>
      </c>
      <c r="C1306" t="s">
        <v>4518</v>
      </c>
      <c r="D1306" t="s">
        <v>98</v>
      </c>
      <c r="E1306">
        <v>129.99</v>
      </c>
      <c r="F1306">
        <v>0</v>
      </c>
      <c r="H1306" t="s">
        <v>72</v>
      </c>
      <c r="I1306">
        <v>0</v>
      </c>
      <c r="J1306">
        <v>0</v>
      </c>
      <c r="K1306">
        <v>0</v>
      </c>
    </row>
    <row r="1307" spans="1:11" x14ac:dyDescent="0.2">
      <c r="A1307" t="s">
        <v>5005</v>
      </c>
      <c r="B1307" t="s">
        <v>5006</v>
      </c>
      <c r="C1307" t="s">
        <v>4905</v>
      </c>
      <c r="D1307" t="s">
        <v>105</v>
      </c>
      <c r="E1307">
        <v>199</v>
      </c>
      <c r="F1307">
        <v>0</v>
      </c>
      <c r="H1307" t="s">
        <v>72</v>
      </c>
      <c r="I1307">
        <v>0.16666666666666666</v>
      </c>
      <c r="J1307">
        <v>192</v>
      </c>
      <c r="K1307">
        <v>32</v>
      </c>
    </row>
    <row r="1308" spans="1:11" x14ac:dyDescent="0.2">
      <c r="A1308" t="s">
        <v>350</v>
      </c>
      <c r="B1308" t="s">
        <v>351</v>
      </c>
      <c r="C1308" t="s">
        <v>307</v>
      </c>
      <c r="D1308" t="s">
        <v>98</v>
      </c>
      <c r="E1308">
        <v>399.99</v>
      </c>
      <c r="F1308">
        <v>0</v>
      </c>
      <c r="H1308" t="s">
        <v>72</v>
      </c>
      <c r="I1308">
        <v>0</v>
      </c>
      <c r="J1308">
        <v>0</v>
      </c>
      <c r="K1308">
        <v>0</v>
      </c>
    </row>
    <row r="1309" spans="1:11" x14ac:dyDescent="0.2">
      <c r="A1309" t="s">
        <v>5162</v>
      </c>
      <c r="B1309" t="s">
        <v>5163</v>
      </c>
      <c r="C1309" t="s">
        <v>4518</v>
      </c>
      <c r="D1309" t="s">
        <v>98</v>
      </c>
      <c r="E1309">
        <v>99.99</v>
      </c>
      <c r="F1309">
        <v>0</v>
      </c>
      <c r="H1309" t="s">
        <v>72</v>
      </c>
      <c r="I1309">
        <v>0</v>
      </c>
      <c r="J1309">
        <v>0</v>
      </c>
      <c r="K1309">
        <v>4</v>
      </c>
    </row>
    <row r="1310" spans="1:11" x14ac:dyDescent="0.2">
      <c r="A1310" t="s">
        <v>5164</v>
      </c>
      <c r="B1310" t="s">
        <v>875</v>
      </c>
      <c r="C1310" t="s">
        <v>874</v>
      </c>
      <c r="D1310" t="s">
        <v>98</v>
      </c>
      <c r="E1310">
        <v>79.989999999999995</v>
      </c>
      <c r="F1310">
        <v>0</v>
      </c>
      <c r="H1310" t="s">
        <v>72</v>
      </c>
      <c r="I1310">
        <v>0</v>
      </c>
      <c r="J1310">
        <v>0</v>
      </c>
      <c r="K1310">
        <v>0</v>
      </c>
    </row>
    <row r="1311" spans="1:11" x14ac:dyDescent="0.2">
      <c r="A1311" t="s">
        <v>5011</v>
      </c>
      <c r="B1311" t="s">
        <v>5012</v>
      </c>
      <c r="C1311" t="s">
        <v>5010</v>
      </c>
      <c r="D1311" t="s">
        <v>98</v>
      </c>
      <c r="E1311">
        <v>99.99</v>
      </c>
      <c r="F1311">
        <v>0</v>
      </c>
      <c r="H1311" t="s">
        <v>72</v>
      </c>
      <c r="I1311">
        <v>0</v>
      </c>
      <c r="J1311">
        <v>0</v>
      </c>
      <c r="K1311">
        <v>0</v>
      </c>
    </row>
    <row r="1312" spans="1:11" x14ac:dyDescent="0.2">
      <c r="A1312" t="s">
        <v>5638</v>
      </c>
      <c r="B1312" t="s">
        <v>5639</v>
      </c>
      <c r="C1312" t="s">
        <v>4518</v>
      </c>
      <c r="D1312" t="s">
        <v>98</v>
      </c>
      <c r="E1312">
        <v>69.989999999999995</v>
      </c>
      <c r="F1312">
        <v>0</v>
      </c>
      <c r="H1312" t="s">
        <v>72</v>
      </c>
      <c r="I1312">
        <v>0</v>
      </c>
      <c r="J1312">
        <v>0</v>
      </c>
      <c r="K1312">
        <v>0</v>
      </c>
    </row>
    <row r="1313" spans="1:11" x14ac:dyDescent="0.2">
      <c r="A1313" t="s">
        <v>5167</v>
      </c>
      <c r="B1313" t="s">
        <v>5168</v>
      </c>
      <c r="C1313" t="s">
        <v>4518</v>
      </c>
      <c r="D1313" t="s">
        <v>98</v>
      </c>
      <c r="E1313">
        <v>69.989999999999995</v>
      </c>
      <c r="F1313">
        <v>0</v>
      </c>
      <c r="H1313" t="s">
        <v>72</v>
      </c>
      <c r="I1313">
        <v>0</v>
      </c>
      <c r="J1313">
        <v>0</v>
      </c>
      <c r="K1313">
        <v>0</v>
      </c>
    </row>
    <row r="1314" spans="1:11" x14ac:dyDescent="0.2">
      <c r="A1314" t="s">
        <v>5491</v>
      </c>
      <c r="B1314" t="s">
        <v>5492</v>
      </c>
      <c r="C1314" t="s">
        <v>3929</v>
      </c>
      <c r="D1314" t="s">
        <v>98</v>
      </c>
      <c r="E1314">
        <v>219.99</v>
      </c>
      <c r="F1314">
        <v>0</v>
      </c>
      <c r="H1314" t="s">
        <v>72</v>
      </c>
      <c r="I1314">
        <v>0</v>
      </c>
      <c r="J1314">
        <v>0</v>
      </c>
      <c r="K1314">
        <v>0</v>
      </c>
    </row>
    <row r="1315" spans="1:11" x14ac:dyDescent="0.2">
      <c r="A1315" t="s">
        <v>348</v>
      </c>
      <c r="B1315" t="s">
        <v>349</v>
      </c>
      <c r="C1315" t="s">
        <v>307</v>
      </c>
      <c r="D1315" t="s">
        <v>98</v>
      </c>
      <c r="E1315">
        <v>299.99</v>
      </c>
      <c r="F1315">
        <v>0</v>
      </c>
      <c r="H1315" t="s">
        <v>72</v>
      </c>
      <c r="I1315">
        <v>0</v>
      </c>
      <c r="J1315">
        <v>0</v>
      </c>
      <c r="K1315">
        <v>0</v>
      </c>
    </row>
    <row r="1316" spans="1:11" x14ac:dyDescent="0.2">
      <c r="A1316" t="s">
        <v>5171</v>
      </c>
      <c r="B1316" t="s">
        <v>5172</v>
      </c>
      <c r="C1316" t="s">
        <v>4518</v>
      </c>
      <c r="D1316" t="s">
        <v>98</v>
      </c>
      <c r="E1316">
        <v>59.99</v>
      </c>
      <c r="F1316">
        <v>0</v>
      </c>
      <c r="H1316" t="s">
        <v>72</v>
      </c>
      <c r="I1316">
        <v>0</v>
      </c>
      <c r="J1316">
        <v>0</v>
      </c>
      <c r="K1316">
        <v>0</v>
      </c>
    </row>
    <row r="1317" spans="1:11" x14ac:dyDescent="0.2">
      <c r="A1317" t="s">
        <v>5173</v>
      </c>
      <c r="B1317" t="s">
        <v>5174</v>
      </c>
      <c r="C1317" t="s">
        <v>904</v>
      </c>
      <c r="D1317" t="s">
        <v>98</v>
      </c>
      <c r="E1317">
        <v>169.99</v>
      </c>
      <c r="F1317">
        <v>0</v>
      </c>
      <c r="H1317" t="s">
        <v>72</v>
      </c>
      <c r="I1317">
        <v>0</v>
      </c>
      <c r="J1317">
        <v>0</v>
      </c>
      <c r="K1317">
        <v>0</v>
      </c>
    </row>
    <row r="1318" spans="1:11" x14ac:dyDescent="0.2">
      <c r="A1318" t="s">
        <v>5154</v>
      </c>
      <c r="B1318" t="s">
        <v>5155</v>
      </c>
      <c r="C1318" t="s">
        <v>4518</v>
      </c>
      <c r="D1318" t="s">
        <v>98</v>
      </c>
      <c r="E1318">
        <v>49.99</v>
      </c>
      <c r="F1318">
        <v>0</v>
      </c>
      <c r="H1318" t="s">
        <v>72</v>
      </c>
      <c r="I1318">
        <v>0</v>
      </c>
      <c r="J1318">
        <v>0</v>
      </c>
      <c r="K1318">
        <v>0</v>
      </c>
    </row>
    <row r="1319" spans="1:11" x14ac:dyDescent="0.2">
      <c r="A1319" t="s">
        <v>5013</v>
      </c>
      <c r="B1319" t="s">
        <v>5014</v>
      </c>
      <c r="C1319" t="s">
        <v>5010</v>
      </c>
      <c r="D1319" t="s">
        <v>98</v>
      </c>
      <c r="E1319">
        <v>29.99</v>
      </c>
      <c r="F1319">
        <v>0</v>
      </c>
      <c r="H1319" t="s">
        <v>72</v>
      </c>
      <c r="I1319">
        <v>0</v>
      </c>
      <c r="J1319">
        <v>0</v>
      </c>
      <c r="K1319">
        <v>0</v>
      </c>
    </row>
    <row r="1320" spans="1:11" x14ac:dyDescent="0.2">
      <c r="A1320" t="s">
        <v>5152</v>
      </c>
      <c r="B1320" t="s">
        <v>5153</v>
      </c>
      <c r="C1320" t="s">
        <v>904</v>
      </c>
      <c r="D1320" t="s">
        <v>98</v>
      </c>
      <c r="E1320">
        <v>79.989999999999995</v>
      </c>
      <c r="F1320">
        <v>0</v>
      </c>
      <c r="H1320" t="s">
        <v>72</v>
      </c>
      <c r="I1320">
        <v>0</v>
      </c>
      <c r="J1320">
        <v>0</v>
      </c>
      <c r="K1320">
        <v>0</v>
      </c>
    </row>
    <row r="1321" spans="1:11" x14ac:dyDescent="0.2">
      <c r="A1321" t="s">
        <v>5132</v>
      </c>
      <c r="B1321" t="s">
        <v>5133</v>
      </c>
      <c r="C1321" t="s">
        <v>4518</v>
      </c>
      <c r="D1321" t="s">
        <v>98</v>
      </c>
      <c r="E1321">
        <v>49.99</v>
      </c>
      <c r="F1321">
        <v>0</v>
      </c>
      <c r="H1321" t="s">
        <v>72</v>
      </c>
      <c r="I1321">
        <v>0</v>
      </c>
      <c r="J1321">
        <v>0</v>
      </c>
      <c r="K1321">
        <v>0</v>
      </c>
    </row>
    <row r="1322" spans="1:11" x14ac:dyDescent="0.2">
      <c r="A1322" t="s">
        <v>5134</v>
      </c>
      <c r="B1322" t="s">
        <v>5135</v>
      </c>
      <c r="C1322" t="s">
        <v>904</v>
      </c>
      <c r="D1322" t="s">
        <v>98</v>
      </c>
      <c r="E1322">
        <v>49.99</v>
      </c>
      <c r="F1322">
        <v>0</v>
      </c>
      <c r="H1322" t="s">
        <v>72</v>
      </c>
      <c r="I1322">
        <v>0</v>
      </c>
      <c r="J1322">
        <v>0</v>
      </c>
      <c r="K1322">
        <v>0</v>
      </c>
    </row>
    <row r="1323" spans="1:11" x14ac:dyDescent="0.2">
      <c r="A1323" t="s">
        <v>4539</v>
      </c>
      <c r="B1323" t="s">
        <v>4540</v>
      </c>
      <c r="C1323" t="s">
        <v>4518</v>
      </c>
      <c r="D1323" t="s">
        <v>98</v>
      </c>
      <c r="E1323">
        <v>59.99</v>
      </c>
      <c r="F1323">
        <v>0</v>
      </c>
      <c r="H1323" t="s">
        <v>72</v>
      </c>
      <c r="I1323">
        <v>0</v>
      </c>
      <c r="J1323">
        <v>0</v>
      </c>
      <c r="K1323">
        <v>0</v>
      </c>
    </row>
    <row r="1324" spans="1:11" x14ac:dyDescent="0.2">
      <c r="A1324" t="s">
        <v>5640</v>
      </c>
      <c r="B1324" t="s">
        <v>5641</v>
      </c>
      <c r="C1324" t="s">
        <v>4518</v>
      </c>
      <c r="D1324" t="s">
        <v>98</v>
      </c>
      <c r="E1324">
        <v>59.99</v>
      </c>
      <c r="F1324">
        <v>0</v>
      </c>
      <c r="H1324" t="s">
        <v>72</v>
      </c>
      <c r="I1324">
        <v>0</v>
      </c>
      <c r="J1324">
        <v>0</v>
      </c>
      <c r="K1324">
        <v>0</v>
      </c>
    </row>
    <row r="1325" spans="1:11" x14ac:dyDescent="0.2">
      <c r="A1325" t="s">
        <v>330</v>
      </c>
      <c r="B1325" t="s">
        <v>331</v>
      </c>
      <c r="C1325" t="s">
        <v>307</v>
      </c>
      <c r="D1325" t="s">
        <v>98</v>
      </c>
      <c r="E1325">
        <v>2099.9899999999998</v>
      </c>
      <c r="F1325">
        <v>0</v>
      </c>
      <c r="H1325" t="s">
        <v>72</v>
      </c>
      <c r="I1325">
        <v>0</v>
      </c>
      <c r="J1325">
        <v>0</v>
      </c>
      <c r="K1325">
        <v>0</v>
      </c>
    </row>
    <row r="1326" spans="1:11" x14ac:dyDescent="0.2">
      <c r="A1326" t="s">
        <v>5142</v>
      </c>
      <c r="B1326" t="s">
        <v>5143</v>
      </c>
      <c r="C1326" t="s">
        <v>4518</v>
      </c>
      <c r="D1326" t="s">
        <v>98</v>
      </c>
      <c r="E1326">
        <v>109.99</v>
      </c>
      <c r="F1326">
        <v>0</v>
      </c>
      <c r="H1326" t="s">
        <v>72</v>
      </c>
      <c r="I1326">
        <v>0</v>
      </c>
      <c r="J1326">
        <v>0</v>
      </c>
      <c r="K1326">
        <v>0</v>
      </c>
    </row>
    <row r="1327" spans="1:11" x14ac:dyDescent="0.2">
      <c r="A1327" t="s">
        <v>5140</v>
      </c>
      <c r="B1327" t="s">
        <v>5141</v>
      </c>
      <c r="C1327" t="s">
        <v>904</v>
      </c>
      <c r="D1327" t="s">
        <v>98</v>
      </c>
      <c r="E1327">
        <v>29.99</v>
      </c>
      <c r="F1327">
        <v>0</v>
      </c>
      <c r="H1327" t="s">
        <v>72</v>
      </c>
      <c r="I1327">
        <v>0</v>
      </c>
      <c r="J1327">
        <v>0</v>
      </c>
      <c r="K1327">
        <v>0</v>
      </c>
    </row>
    <row r="1328" spans="1:11" x14ac:dyDescent="0.2">
      <c r="A1328" t="s">
        <v>5146</v>
      </c>
      <c r="B1328" t="s">
        <v>5147</v>
      </c>
      <c r="C1328" t="s">
        <v>904</v>
      </c>
      <c r="D1328" t="s">
        <v>98</v>
      </c>
      <c r="E1328">
        <v>179.99</v>
      </c>
      <c r="F1328">
        <v>0</v>
      </c>
      <c r="H1328" t="s">
        <v>72</v>
      </c>
      <c r="I1328">
        <v>0</v>
      </c>
      <c r="J1328">
        <v>0</v>
      </c>
      <c r="K1328">
        <v>0</v>
      </c>
    </row>
    <row r="1329" spans="1:11" x14ac:dyDescent="0.2">
      <c r="A1329" t="s">
        <v>4467</v>
      </c>
      <c r="B1329" t="s">
        <v>4468</v>
      </c>
      <c r="C1329" t="s">
        <v>4437</v>
      </c>
      <c r="D1329" t="s">
        <v>98</v>
      </c>
      <c r="E1329">
        <v>80.989999999999995</v>
      </c>
      <c r="F1329">
        <v>0</v>
      </c>
      <c r="H1329" t="s">
        <v>72</v>
      </c>
      <c r="I1329">
        <v>0</v>
      </c>
      <c r="J1329">
        <v>0</v>
      </c>
      <c r="K1329">
        <v>0</v>
      </c>
    </row>
    <row r="1330" spans="1:11" x14ac:dyDescent="0.2">
      <c r="A1330" t="s">
        <v>2095</v>
      </c>
      <c r="B1330" t="s">
        <v>2096</v>
      </c>
      <c r="C1330" t="s">
        <v>2094</v>
      </c>
      <c r="D1330" t="s">
        <v>98</v>
      </c>
      <c r="E1330">
        <v>119.99</v>
      </c>
      <c r="F1330">
        <v>0</v>
      </c>
      <c r="H1330" t="s">
        <v>72</v>
      </c>
      <c r="I1330">
        <v>0</v>
      </c>
      <c r="J1330">
        <v>0</v>
      </c>
      <c r="K1330">
        <v>0</v>
      </c>
    </row>
    <row r="1331" spans="1:11" x14ac:dyDescent="0.2">
      <c r="A1331" t="s">
        <v>319</v>
      </c>
      <c r="B1331" t="s">
        <v>320</v>
      </c>
      <c r="C1331" t="s">
        <v>307</v>
      </c>
      <c r="D1331" t="s">
        <v>98</v>
      </c>
      <c r="E1331">
        <v>649.99</v>
      </c>
      <c r="F1331">
        <v>0</v>
      </c>
      <c r="H1331" t="s">
        <v>72</v>
      </c>
      <c r="I1331">
        <v>0</v>
      </c>
      <c r="J1331">
        <v>0</v>
      </c>
      <c r="K1331">
        <v>0</v>
      </c>
    </row>
    <row r="1332" spans="1:11" x14ac:dyDescent="0.2">
      <c r="A1332" t="s">
        <v>5027</v>
      </c>
      <c r="B1332" t="s">
        <v>5028</v>
      </c>
      <c r="C1332" t="s">
        <v>5010</v>
      </c>
      <c r="D1332" t="s">
        <v>98</v>
      </c>
      <c r="E1332">
        <v>649.99</v>
      </c>
      <c r="F1332">
        <v>0</v>
      </c>
      <c r="H1332" t="s">
        <v>72</v>
      </c>
      <c r="I1332">
        <v>0</v>
      </c>
      <c r="J1332">
        <v>0</v>
      </c>
      <c r="K1332">
        <v>0</v>
      </c>
    </row>
    <row r="1333" spans="1:11" x14ac:dyDescent="0.2">
      <c r="A1333" t="s">
        <v>2179</v>
      </c>
      <c r="B1333" t="s">
        <v>2180</v>
      </c>
      <c r="C1333" t="s">
        <v>2174</v>
      </c>
      <c r="D1333" t="s">
        <v>98</v>
      </c>
      <c r="E1333">
        <v>34.99</v>
      </c>
      <c r="F1333">
        <v>0</v>
      </c>
      <c r="H1333" t="s">
        <v>72</v>
      </c>
      <c r="I1333">
        <v>0</v>
      </c>
      <c r="J1333">
        <v>0</v>
      </c>
      <c r="K1333">
        <v>0</v>
      </c>
    </row>
    <row r="1334" spans="1:11" x14ac:dyDescent="0.2">
      <c r="A1334" t="s">
        <v>390</v>
      </c>
      <c r="B1334" t="s">
        <v>391</v>
      </c>
      <c r="C1334" t="s">
        <v>307</v>
      </c>
      <c r="D1334" t="s">
        <v>98</v>
      </c>
      <c r="E1334">
        <v>289.99</v>
      </c>
      <c r="F1334">
        <v>0</v>
      </c>
      <c r="H1334" t="s">
        <v>72</v>
      </c>
      <c r="I1334">
        <v>0</v>
      </c>
      <c r="J1334">
        <v>0</v>
      </c>
      <c r="K1334">
        <v>0</v>
      </c>
    </row>
    <row r="1335" spans="1:11" x14ac:dyDescent="0.2">
      <c r="A1335" t="s">
        <v>4443</v>
      </c>
      <c r="B1335" t="s">
        <v>4444</v>
      </c>
      <c r="C1335" t="s">
        <v>4437</v>
      </c>
      <c r="D1335" t="s">
        <v>98</v>
      </c>
      <c r="E1335">
        <v>79.989999999999995</v>
      </c>
      <c r="F1335">
        <v>0</v>
      </c>
      <c r="H1335" t="s">
        <v>72</v>
      </c>
      <c r="I1335">
        <v>0</v>
      </c>
      <c r="J1335">
        <v>0</v>
      </c>
      <c r="K1335">
        <v>1</v>
      </c>
    </row>
    <row r="1336" spans="1:11" x14ac:dyDescent="0.2">
      <c r="A1336" t="s">
        <v>5361</v>
      </c>
      <c r="B1336" t="s">
        <v>5362</v>
      </c>
      <c r="C1336" t="s">
        <v>2174</v>
      </c>
      <c r="D1336" t="s">
        <v>138</v>
      </c>
      <c r="E1336">
        <v>89.99</v>
      </c>
      <c r="F1336">
        <v>0</v>
      </c>
      <c r="H1336" t="s">
        <v>72</v>
      </c>
      <c r="I1336">
        <v>0</v>
      </c>
      <c r="J1336">
        <v>0</v>
      </c>
      <c r="K1336">
        <v>0</v>
      </c>
    </row>
    <row r="1337" spans="1:11" x14ac:dyDescent="0.2">
      <c r="A1337" t="s">
        <v>5037</v>
      </c>
      <c r="B1337" t="s">
        <v>5038</v>
      </c>
      <c r="C1337" t="s">
        <v>5010</v>
      </c>
      <c r="D1337" t="s">
        <v>98</v>
      </c>
      <c r="E1337">
        <v>94.99</v>
      </c>
      <c r="F1337">
        <v>0</v>
      </c>
      <c r="H1337" t="s">
        <v>72</v>
      </c>
      <c r="I1337">
        <v>0</v>
      </c>
      <c r="J1337">
        <v>0</v>
      </c>
      <c r="K1337">
        <v>0</v>
      </c>
    </row>
    <row r="1338" spans="1:11" x14ac:dyDescent="0.2">
      <c r="A1338" t="s">
        <v>388</v>
      </c>
      <c r="B1338" t="s">
        <v>389</v>
      </c>
      <c r="C1338" t="s">
        <v>307</v>
      </c>
      <c r="D1338" t="s">
        <v>98</v>
      </c>
      <c r="E1338">
        <v>229</v>
      </c>
      <c r="F1338">
        <v>0</v>
      </c>
      <c r="H1338" t="s">
        <v>72</v>
      </c>
      <c r="I1338">
        <v>0</v>
      </c>
      <c r="J1338">
        <v>0</v>
      </c>
      <c r="K1338">
        <v>0</v>
      </c>
    </row>
    <row r="1339" spans="1:11" x14ac:dyDescent="0.2">
      <c r="A1339" t="s">
        <v>4440</v>
      </c>
      <c r="B1339" t="s">
        <v>4441</v>
      </c>
      <c r="C1339" t="s">
        <v>4437</v>
      </c>
      <c r="D1339" t="s">
        <v>98</v>
      </c>
      <c r="E1339">
        <v>99.99</v>
      </c>
      <c r="F1339">
        <v>0</v>
      </c>
      <c r="H1339" t="s">
        <v>72</v>
      </c>
      <c r="I1339">
        <v>0</v>
      </c>
      <c r="J1339">
        <v>0</v>
      </c>
      <c r="K1339">
        <v>0</v>
      </c>
    </row>
    <row r="1340" spans="1:11" x14ac:dyDescent="0.2">
      <c r="A1340" t="s">
        <v>5363</v>
      </c>
      <c r="B1340" t="s">
        <v>5364</v>
      </c>
      <c r="C1340" t="s">
        <v>2415</v>
      </c>
      <c r="D1340" t="s">
        <v>98</v>
      </c>
      <c r="E1340">
        <v>149.99</v>
      </c>
      <c r="F1340">
        <v>0</v>
      </c>
      <c r="H1340" t="s">
        <v>72</v>
      </c>
      <c r="I1340">
        <v>0</v>
      </c>
      <c r="J1340">
        <v>0</v>
      </c>
      <c r="K1340">
        <v>0</v>
      </c>
    </row>
    <row r="1341" spans="1:11" x14ac:dyDescent="0.2">
      <c r="A1341" t="s">
        <v>4438</v>
      </c>
      <c r="B1341" t="s">
        <v>4439</v>
      </c>
      <c r="C1341" t="s">
        <v>4437</v>
      </c>
      <c r="D1341" t="s">
        <v>98</v>
      </c>
      <c r="E1341">
        <v>98.99</v>
      </c>
      <c r="F1341">
        <v>0</v>
      </c>
      <c r="H1341" t="s">
        <v>72</v>
      </c>
      <c r="I1341">
        <v>0</v>
      </c>
      <c r="J1341">
        <v>0</v>
      </c>
      <c r="K1341">
        <v>0</v>
      </c>
    </row>
    <row r="1342" spans="1:11" x14ac:dyDescent="0.2">
      <c r="A1342" t="s">
        <v>5371</v>
      </c>
      <c r="B1342" t="s">
        <v>5372</v>
      </c>
      <c r="C1342" t="s">
        <v>2415</v>
      </c>
      <c r="D1342" t="s">
        <v>98</v>
      </c>
      <c r="E1342">
        <v>119.99</v>
      </c>
      <c r="F1342">
        <v>0</v>
      </c>
      <c r="H1342" t="s">
        <v>72</v>
      </c>
      <c r="I1342">
        <v>0</v>
      </c>
      <c r="J1342">
        <v>0</v>
      </c>
      <c r="K1342">
        <v>0</v>
      </c>
    </row>
    <row r="1343" spans="1:11" x14ac:dyDescent="0.2">
      <c r="A1343" t="s">
        <v>5443</v>
      </c>
      <c r="B1343" t="s">
        <v>5444</v>
      </c>
      <c r="C1343" t="s">
        <v>5039</v>
      </c>
      <c r="D1343" t="s">
        <v>98</v>
      </c>
      <c r="E1343">
        <v>649.99</v>
      </c>
      <c r="F1343">
        <v>0</v>
      </c>
      <c r="H1343" t="s">
        <v>72</v>
      </c>
      <c r="I1343">
        <v>0</v>
      </c>
      <c r="J1343">
        <v>0</v>
      </c>
      <c r="K1343">
        <v>0</v>
      </c>
    </row>
    <row r="1344" spans="1:11" x14ac:dyDescent="0.2">
      <c r="A1344" t="s">
        <v>5375</v>
      </c>
      <c r="B1344" t="s">
        <v>4436</v>
      </c>
      <c r="C1344" t="s">
        <v>4435</v>
      </c>
      <c r="D1344" t="s">
        <v>98</v>
      </c>
      <c r="E1344">
        <v>189.99</v>
      </c>
      <c r="F1344">
        <v>0</v>
      </c>
      <c r="H1344" t="s">
        <v>72</v>
      </c>
      <c r="I1344">
        <v>0</v>
      </c>
      <c r="J1344">
        <v>0</v>
      </c>
      <c r="K1344">
        <v>0</v>
      </c>
    </row>
    <row r="1345" spans="1:11" x14ac:dyDescent="0.2">
      <c r="A1345" t="s">
        <v>2420</v>
      </c>
      <c r="B1345" t="s">
        <v>2421</v>
      </c>
      <c r="C1345" t="s">
        <v>2415</v>
      </c>
      <c r="D1345" t="s">
        <v>98</v>
      </c>
      <c r="E1345">
        <v>189.99</v>
      </c>
      <c r="F1345">
        <v>0</v>
      </c>
      <c r="H1345" t="s">
        <v>72</v>
      </c>
      <c r="I1345">
        <v>0</v>
      </c>
      <c r="J1345">
        <v>0</v>
      </c>
      <c r="K1345">
        <v>0</v>
      </c>
    </row>
    <row r="1346" spans="1:11" x14ac:dyDescent="0.2">
      <c r="A1346" t="s">
        <v>5642</v>
      </c>
      <c r="B1346" t="s">
        <v>5643</v>
      </c>
      <c r="C1346" t="s">
        <v>4283</v>
      </c>
      <c r="D1346" t="s">
        <v>98</v>
      </c>
      <c r="E1346">
        <v>219.99</v>
      </c>
      <c r="F1346">
        <v>0</v>
      </c>
      <c r="H1346" t="s">
        <v>72</v>
      </c>
      <c r="I1346">
        <v>0</v>
      </c>
      <c r="J1346">
        <v>0</v>
      </c>
      <c r="K1346">
        <v>0</v>
      </c>
    </row>
    <row r="1347" spans="1:11" x14ac:dyDescent="0.2">
      <c r="A1347" t="s">
        <v>5439</v>
      </c>
      <c r="B1347" t="s">
        <v>5440</v>
      </c>
      <c r="C1347" t="s">
        <v>5039</v>
      </c>
      <c r="D1347" t="s">
        <v>98</v>
      </c>
      <c r="E1347">
        <v>799.99</v>
      </c>
      <c r="F1347">
        <v>0</v>
      </c>
      <c r="H1347" t="s">
        <v>72</v>
      </c>
      <c r="I1347">
        <v>0</v>
      </c>
      <c r="J1347">
        <v>0</v>
      </c>
      <c r="K1347">
        <v>0</v>
      </c>
    </row>
    <row r="1348" spans="1:11" x14ac:dyDescent="0.2">
      <c r="A1348" t="s">
        <v>5359</v>
      </c>
      <c r="B1348" t="s">
        <v>5360</v>
      </c>
      <c r="C1348" t="s">
        <v>2415</v>
      </c>
      <c r="D1348" t="s">
        <v>98</v>
      </c>
      <c r="E1348">
        <v>499.99</v>
      </c>
      <c r="F1348">
        <v>0</v>
      </c>
      <c r="H1348" t="s">
        <v>72</v>
      </c>
      <c r="I1348">
        <v>0</v>
      </c>
      <c r="J1348">
        <v>0</v>
      </c>
      <c r="K1348">
        <v>0</v>
      </c>
    </row>
    <row r="1349" spans="1:11" x14ac:dyDescent="0.2">
      <c r="A1349" t="s">
        <v>5421</v>
      </c>
      <c r="B1349" t="s">
        <v>5422</v>
      </c>
      <c r="C1349" t="s">
        <v>5039</v>
      </c>
      <c r="D1349" t="s">
        <v>98</v>
      </c>
      <c r="E1349">
        <v>54.99</v>
      </c>
      <c r="F1349">
        <v>0</v>
      </c>
      <c r="H1349" t="s">
        <v>72</v>
      </c>
      <c r="I1349">
        <v>0</v>
      </c>
      <c r="J1349">
        <v>0</v>
      </c>
      <c r="K1349">
        <v>0</v>
      </c>
    </row>
    <row r="1350" spans="1:11" x14ac:dyDescent="0.2">
      <c r="A1350" t="s">
        <v>2418</v>
      </c>
      <c r="B1350" t="s">
        <v>2419</v>
      </c>
      <c r="C1350" t="s">
        <v>2415</v>
      </c>
      <c r="D1350" t="s">
        <v>98</v>
      </c>
      <c r="E1350">
        <v>349.99</v>
      </c>
      <c r="F1350">
        <v>0</v>
      </c>
      <c r="H1350" t="s">
        <v>72</v>
      </c>
      <c r="I1350">
        <v>0</v>
      </c>
      <c r="J1350">
        <v>0</v>
      </c>
      <c r="K1350">
        <v>0</v>
      </c>
    </row>
    <row r="1351" spans="1:11" x14ac:dyDescent="0.2">
      <c r="A1351" t="s">
        <v>5349</v>
      </c>
      <c r="B1351" t="s">
        <v>5350</v>
      </c>
      <c r="C1351" t="s">
        <v>4283</v>
      </c>
      <c r="D1351" t="s">
        <v>98</v>
      </c>
      <c r="E1351">
        <v>1799.99</v>
      </c>
      <c r="F1351">
        <v>0</v>
      </c>
      <c r="H1351" t="s">
        <v>72</v>
      </c>
      <c r="I1351">
        <v>0</v>
      </c>
      <c r="J1351">
        <v>0</v>
      </c>
      <c r="K1351">
        <v>0</v>
      </c>
    </row>
    <row r="1352" spans="1:11" x14ac:dyDescent="0.2">
      <c r="A1352" t="s">
        <v>5407</v>
      </c>
      <c r="B1352" t="s">
        <v>5408</v>
      </c>
      <c r="C1352" t="s">
        <v>5039</v>
      </c>
      <c r="D1352" t="s">
        <v>98</v>
      </c>
      <c r="E1352">
        <v>179.99</v>
      </c>
      <c r="F1352">
        <v>0</v>
      </c>
      <c r="H1352" t="s">
        <v>72</v>
      </c>
      <c r="I1352">
        <v>0</v>
      </c>
      <c r="J1352">
        <v>0</v>
      </c>
      <c r="K1352">
        <v>0</v>
      </c>
    </row>
    <row r="1353" spans="1:11" x14ac:dyDescent="0.2">
      <c r="A1353" t="s">
        <v>5353</v>
      </c>
      <c r="B1353" t="s">
        <v>5354</v>
      </c>
      <c r="C1353" t="s">
        <v>2415</v>
      </c>
      <c r="D1353" t="s">
        <v>98</v>
      </c>
      <c r="E1353">
        <v>159.99</v>
      </c>
      <c r="F1353">
        <v>0</v>
      </c>
      <c r="H1353" t="s">
        <v>72</v>
      </c>
      <c r="I1353">
        <v>0</v>
      </c>
      <c r="J1353">
        <v>0</v>
      </c>
      <c r="K1353">
        <v>0</v>
      </c>
    </row>
    <row r="1354" spans="1:11" x14ac:dyDescent="0.2">
      <c r="A1354" t="s">
        <v>4328</v>
      </c>
      <c r="B1354" t="s">
        <v>4329</v>
      </c>
      <c r="C1354" t="s">
        <v>4283</v>
      </c>
      <c r="D1354" t="s">
        <v>105</v>
      </c>
      <c r="E1354">
        <v>179.99</v>
      </c>
      <c r="F1354">
        <v>0</v>
      </c>
      <c r="H1354" t="s">
        <v>72</v>
      </c>
      <c r="I1354">
        <v>0</v>
      </c>
      <c r="J1354">
        <v>0</v>
      </c>
      <c r="K1354">
        <v>0</v>
      </c>
    </row>
    <row r="1355" spans="1:11" x14ac:dyDescent="0.2">
      <c r="A1355" t="s">
        <v>416</v>
      </c>
      <c r="B1355" t="s">
        <v>417</v>
      </c>
      <c r="C1355" t="s">
        <v>307</v>
      </c>
      <c r="D1355" t="s">
        <v>105</v>
      </c>
      <c r="E1355">
        <v>49.99</v>
      </c>
      <c r="F1355">
        <v>0</v>
      </c>
      <c r="G1355">
        <v>2</v>
      </c>
      <c r="H1355" t="s">
        <v>72</v>
      </c>
      <c r="I1355">
        <v>0</v>
      </c>
      <c r="J1355">
        <v>0</v>
      </c>
      <c r="K1355">
        <v>0</v>
      </c>
    </row>
    <row r="1356" spans="1:11" x14ac:dyDescent="0.2">
      <c r="A1356" t="s">
        <v>5644</v>
      </c>
      <c r="B1356" t="s">
        <v>5645</v>
      </c>
      <c r="C1356" t="s">
        <v>4283</v>
      </c>
      <c r="D1356" t="s">
        <v>98</v>
      </c>
      <c r="E1356">
        <v>89.99</v>
      </c>
      <c r="F1356">
        <v>0</v>
      </c>
      <c r="H1356" t="s">
        <v>72</v>
      </c>
      <c r="I1356">
        <v>0</v>
      </c>
      <c r="J1356">
        <v>0</v>
      </c>
      <c r="K1356">
        <v>0</v>
      </c>
    </row>
    <row r="1357" spans="1:11" x14ac:dyDescent="0.2">
      <c r="A1357" t="s">
        <v>5395</v>
      </c>
      <c r="B1357" t="s">
        <v>5396</v>
      </c>
      <c r="C1357" t="s">
        <v>5039</v>
      </c>
      <c r="D1357" t="s">
        <v>98</v>
      </c>
      <c r="E1357">
        <v>99.99</v>
      </c>
      <c r="F1357">
        <v>0</v>
      </c>
      <c r="H1357" t="s">
        <v>72</v>
      </c>
      <c r="I1357">
        <v>0</v>
      </c>
      <c r="J1357">
        <v>0</v>
      </c>
      <c r="K1357">
        <v>0</v>
      </c>
    </row>
    <row r="1358" spans="1:11" x14ac:dyDescent="0.2">
      <c r="A1358" t="s">
        <v>4445</v>
      </c>
      <c r="B1358" t="s">
        <v>4446</v>
      </c>
      <c r="C1358" t="s">
        <v>4437</v>
      </c>
      <c r="D1358" t="s">
        <v>98</v>
      </c>
      <c r="E1358">
        <v>139.99</v>
      </c>
      <c r="F1358">
        <v>0</v>
      </c>
      <c r="H1358" t="s">
        <v>72</v>
      </c>
      <c r="I1358">
        <v>0</v>
      </c>
      <c r="J1358">
        <v>0</v>
      </c>
      <c r="K1358">
        <v>0</v>
      </c>
    </row>
    <row r="1359" spans="1:11" x14ac:dyDescent="0.2">
      <c r="A1359" t="s">
        <v>5177</v>
      </c>
      <c r="B1359" t="s">
        <v>5178</v>
      </c>
      <c r="C1359" t="s">
        <v>4518</v>
      </c>
      <c r="D1359" t="s">
        <v>98</v>
      </c>
      <c r="E1359">
        <v>159.99</v>
      </c>
      <c r="F1359">
        <v>0</v>
      </c>
      <c r="H1359" t="s">
        <v>72</v>
      </c>
      <c r="I1359">
        <v>0</v>
      </c>
      <c r="J1359">
        <v>0</v>
      </c>
      <c r="K1359">
        <v>0</v>
      </c>
    </row>
    <row r="1360" spans="1:11" x14ac:dyDescent="0.2">
      <c r="A1360" t="s">
        <v>5035</v>
      </c>
      <c r="B1360" t="s">
        <v>5036</v>
      </c>
      <c r="C1360" t="s">
        <v>5010</v>
      </c>
      <c r="D1360" t="s">
        <v>98</v>
      </c>
      <c r="E1360">
        <v>22.99</v>
      </c>
      <c r="F1360">
        <v>0</v>
      </c>
      <c r="H1360" t="s">
        <v>72</v>
      </c>
      <c r="I1360">
        <v>0</v>
      </c>
      <c r="J1360">
        <v>0</v>
      </c>
      <c r="K1360">
        <v>0</v>
      </c>
    </row>
    <row r="1361" spans="1:11" x14ac:dyDescent="0.2">
      <c r="A1361" t="s">
        <v>4447</v>
      </c>
      <c r="B1361" t="s">
        <v>4448</v>
      </c>
      <c r="C1361" t="s">
        <v>4437</v>
      </c>
      <c r="D1361" t="s">
        <v>98</v>
      </c>
      <c r="E1361">
        <v>72.989999999999995</v>
      </c>
      <c r="F1361">
        <v>0</v>
      </c>
      <c r="H1361" t="s">
        <v>72</v>
      </c>
      <c r="I1361">
        <v>0</v>
      </c>
      <c r="J1361">
        <v>0</v>
      </c>
      <c r="K1361">
        <v>0</v>
      </c>
    </row>
    <row r="1362" spans="1:11" x14ac:dyDescent="0.2">
      <c r="A1362" t="s">
        <v>4465</v>
      </c>
      <c r="B1362" t="s">
        <v>4466</v>
      </c>
      <c r="C1362" t="s">
        <v>4437</v>
      </c>
      <c r="D1362" t="s">
        <v>98</v>
      </c>
      <c r="E1362">
        <v>49.99</v>
      </c>
      <c r="F1362">
        <v>0</v>
      </c>
      <c r="H1362" t="s">
        <v>72</v>
      </c>
      <c r="I1362">
        <v>0</v>
      </c>
      <c r="J1362">
        <v>0</v>
      </c>
      <c r="K1362">
        <v>0</v>
      </c>
    </row>
    <row r="1363" spans="1:11" x14ac:dyDescent="0.2">
      <c r="A1363" t="s">
        <v>2097</v>
      </c>
      <c r="B1363" t="s">
        <v>2098</v>
      </c>
      <c r="C1363" t="s">
        <v>2094</v>
      </c>
      <c r="D1363" t="s">
        <v>98</v>
      </c>
      <c r="E1363">
        <v>159.99</v>
      </c>
      <c r="F1363">
        <v>0</v>
      </c>
      <c r="H1363" t="s">
        <v>72</v>
      </c>
      <c r="I1363">
        <v>0</v>
      </c>
      <c r="J1363">
        <v>0</v>
      </c>
      <c r="K1363">
        <v>0</v>
      </c>
    </row>
    <row r="1364" spans="1:11" x14ac:dyDescent="0.2">
      <c r="A1364" t="s">
        <v>5646</v>
      </c>
      <c r="B1364" t="s">
        <v>5647</v>
      </c>
      <c r="C1364" t="s">
        <v>4437</v>
      </c>
      <c r="D1364" t="s">
        <v>98</v>
      </c>
      <c r="E1364">
        <v>149.99</v>
      </c>
      <c r="F1364">
        <v>0</v>
      </c>
      <c r="H1364" t="s">
        <v>72</v>
      </c>
      <c r="I1364">
        <v>0</v>
      </c>
      <c r="J1364">
        <v>0</v>
      </c>
      <c r="K1364">
        <v>0</v>
      </c>
    </row>
    <row r="1365" spans="1:11" x14ac:dyDescent="0.2">
      <c r="A1365" t="s">
        <v>4463</v>
      </c>
      <c r="B1365" t="s">
        <v>4464</v>
      </c>
      <c r="C1365" t="s">
        <v>4437</v>
      </c>
      <c r="D1365" t="s">
        <v>98</v>
      </c>
      <c r="E1365">
        <v>83.99</v>
      </c>
      <c r="F1365">
        <v>0</v>
      </c>
      <c r="H1365" t="s">
        <v>72</v>
      </c>
      <c r="I1365">
        <v>0</v>
      </c>
      <c r="J1365">
        <v>0</v>
      </c>
      <c r="K1365">
        <v>0</v>
      </c>
    </row>
    <row r="1366" spans="1:11" x14ac:dyDescent="0.2">
      <c r="A1366" t="s">
        <v>318</v>
      </c>
      <c r="B1366" t="s">
        <v>317</v>
      </c>
      <c r="C1366" t="s">
        <v>307</v>
      </c>
      <c r="D1366" t="s">
        <v>98</v>
      </c>
      <c r="E1366">
        <v>499.99</v>
      </c>
      <c r="F1366">
        <v>0</v>
      </c>
      <c r="H1366" t="s">
        <v>72</v>
      </c>
      <c r="I1366">
        <v>0</v>
      </c>
      <c r="J1366">
        <v>0</v>
      </c>
      <c r="K1366">
        <v>0</v>
      </c>
    </row>
    <row r="1367" spans="1:11" x14ac:dyDescent="0.2">
      <c r="A1367" t="s">
        <v>2103</v>
      </c>
      <c r="B1367" t="s">
        <v>2104</v>
      </c>
      <c r="C1367" t="s">
        <v>2094</v>
      </c>
      <c r="D1367" t="s">
        <v>98</v>
      </c>
      <c r="E1367">
        <v>139.99</v>
      </c>
      <c r="F1367">
        <v>0</v>
      </c>
      <c r="H1367" t="s">
        <v>72</v>
      </c>
      <c r="I1367">
        <v>0</v>
      </c>
      <c r="J1367">
        <v>0</v>
      </c>
      <c r="K1367">
        <v>0</v>
      </c>
    </row>
    <row r="1368" spans="1:11" x14ac:dyDescent="0.2">
      <c r="A1368" t="s">
        <v>5029</v>
      </c>
      <c r="B1368" t="s">
        <v>5030</v>
      </c>
      <c r="C1368" t="s">
        <v>5010</v>
      </c>
      <c r="D1368" t="s">
        <v>98</v>
      </c>
      <c r="E1368">
        <v>799.99</v>
      </c>
      <c r="F1368">
        <v>0</v>
      </c>
      <c r="H1368" t="s">
        <v>72</v>
      </c>
      <c r="I1368">
        <v>0</v>
      </c>
      <c r="J1368">
        <v>0</v>
      </c>
      <c r="K1368">
        <v>0</v>
      </c>
    </row>
    <row r="1369" spans="1:11" x14ac:dyDescent="0.2">
      <c r="A1369" t="s">
        <v>4461</v>
      </c>
      <c r="B1369" t="s">
        <v>4462</v>
      </c>
      <c r="C1369" t="s">
        <v>4437</v>
      </c>
      <c r="D1369" t="s">
        <v>98</v>
      </c>
      <c r="E1369">
        <v>139.99</v>
      </c>
      <c r="F1369">
        <v>0</v>
      </c>
      <c r="H1369" t="s">
        <v>72</v>
      </c>
      <c r="I1369">
        <v>0</v>
      </c>
      <c r="J1369">
        <v>0</v>
      </c>
      <c r="K1369">
        <v>0</v>
      </c>
    </row>
    <row r="1370" spans="1:11" x14ac:dyDescent="0.2">
      <c r="A1370" t="s">
        <v>5335</v>
      </c>
      <c r="B1370" t="s">
        <v>5336</v>
      </c>
      <c r="C1370" t="s">
        <v>2174</v>
      </c>
      <c r="D1370" t="s">
        <v>98</v>
      </c>
      <c r="E1370">
        <v>89.99</v>
      </c>
      <c r="F1370">
        <v>0</v>
      </c>
      <c r="H1370" t="s">
        <v>72</v>
      </c>
      <c r="I1370">
        <v>0</v>
      </c>
      <c r="J1370">
        <v>0</v>
      </c>
      <c r="K1370">
        <v>0</v>
      </c>
    </row>
    <row r="1371" spans="1:11" x14ac:dyDescent="0.2">
      <c r="A1371" t="s">
        <v>4459</v>
      </c>
      <c r="B1371" t="s">
        <v>4460</v>
      </c>
      <c r="C1371" t="s">
        <v>4437</v>
      </c>
      <c r="D1371" t="s">
        <v>98</v>
      </c>
      <c r="E1371">
        <v>99.99</v>
      </c>
      <c r="F1371">
        <v>0</v>
      </c>
      <c r="H1371" t="s">
        <v>72</v>
      </c>
      <c r="I1371">
        <v>0</v>
      </c>
      <c r="J1371">
        <v>0</v>
      </c>
      <c r="K1371">
        <v>0</v>
      </c>
    </row>
    <row r="1372" spans="1:11" x14ac:dyDescent="0.2">
      <c r="A1372" t="s">
        <v>2181</v>
      </c>
      <c r="B1372" t="s">
        <v>2182</v>
      </c>
      <c r="C1372" t="s">
        <v>2174</v>
      </c>
      <c r="D1372" t="s">
        <v>98</v>
      </c>
      <c r="E1372">
        <v>44.99</v>
      </c>
      <c r="F1372">
        <v>0</v>
      </c>
      <c r="H1372" t="s">
        <v>72</v>
      </c>
      <c r="I1372">
        <v>0</v>
      </c>
      <c r="J1372">
        <v>0</v>
      </c>
      <c r="K1372">
        <v>0</v>
      </c>
    </row>
    <row r="1373" spans="1:11" x14ac:dyDescent="0.2">
      <c r="A1373" t="s">
        <v>312</v>
      </c>
      <c r="B1373" t="s">
        <v>313</v>
      </c>
      <c r="C1373" t="s">
        <v>307</v>
      </c>
      <c r="D1373" t="s">
        <v>98</v>
      </c>
      <c r="E1373">
        <v>549.99</v>
      </c>
      <c r="F1373">
        <v>0</v>
      </c>
      <c r="H1373" t="s">
        <v>72</v>
      </c>
      <c r="I1373">
        <v>0</v>
      </c>
      <c r="J1373">
        <v>0</v>
      </c>
      <c r="K1373">
        <v>0</v>
      </c>
    </row>
    <row r="1374" spans="1:11" x14ac:dyDescent="0.2">
      <c r="A1374" t="s">
        <v>4457</v>
      </c>
      <c r="B1374" t="s">
        <v>4458</v>
      </c>
      <c r="C1374" t="s">
        <v>4437</v>
      </c>
      <c r="D1374" t="s">
        <v>98</v>
      </c>
      <c r="E1374">
        <v>249.99</v>
      </c>
      <c r="F1374">
        <v>0</v>
      </c>
      <c r="H1374" t="s">
        <v>72</v>
      </c>
      <c r="I1374">
        <v>0</v>
      </c>
      <c r="J1374">
        <v>0</v>
      </c>
      <c r="K1374">
        <v>0</v>
      </c>
    </row>
    <row r="1375" spans="1:11" x14ac:dyDescent="0.2">
      <c r="A1375" t="s">
        <v>2183</v>
      </c>
      <c r="B1375" t="s">
        <v>2184</v>
      </c>
      <c r="C1375" t="s">
        <v>2174</v>
      </c>
      <c r="D1375" t="s">
        <v>98</v>
      </c>
      <c r="E1375">
        <v>69.989999999999995</v>
      </c>
      <c r="F1375">
        <v>0</v>
      </c>
      <c r="H1375" t="s">
        <v>72</v>
      </c>
      <c r="I1375">
        <v>0</v>
      </c>
      <c r="J1375">
        <v>0</v>
      </c>
      <c r="K1375">
        <v>3</v>
      </c>
    </row>
    <row r="1376" spans="1:11" x14ac:dyDescent="0.2">
      <c r="A1376" t="s">
        <v>5031</v>
      </c>
      <c r="B1376" t="s">
        <v>5032</v>
      </c>
      <c r="C1376" t="s">
        <v>5010</v>
      </c>
      <c r="D1376" t="s">
        <v>98</v>
      </c>
      <c r="E1376">
        <v>449.99</v>
      </c>
      <c r="F1376">
        <v>0</v>
      </c>
      <c r="H1376" t="s">
        <v>72</v>
      </c>
      <c r="I1376">
        <v>0</v>
      </c>
      <c r="J1376">
        <v>0</v>
      </c>
      <c r="K1376">
        <v>0</v>
      </c>
    </row>
    <row r="1377" spans="1:11" x14ac:dyDescent="0.2">
      <c r="A1377" t="s">
        <v>4455</v>
      </c>
      <c r="B1377" t="s">
        <v>4456</v>
      </c>
      <c r="C1377" t="s">
        <v>4437</v>
      </c>
      <c r="D1377" t="s">
        <v>98</v>
      </c>
      <c r="E1377">
        <v>199.99</v>
      </c>
      <c r="F1377">
        <v>0</v>
      </c>
      <c r="H1377" t="s">
        <v>72</v>
      </c>
      <c r="I1377">
        <v>0</v>
      </c>
      <c r="J1377">
        <v>0</v>
      </c>
      <c r="K1377">
        <v>0</v>
      </c>
    </row>
    <row r="1378" spans="1:11" x14ac:dyDescent="0.2">
      <c r="A1378" t="s">
        <v>2205</v>
      </c>
      <c r="B1378" t="s">
        <v>2206</v>
      </c>
      <c r="C1378" t="s">
        <v>2174</v>
      </c>
      <c r="D1378" t="s">
        <v>98</v>
      </c>
      <c r="E1378">
        <v>79.989999999999995</v>
      </c>
      <c r="F1378">
        <v>0</v>
      </c>
      <c r="H1378" t="s">
        <v>72</v>
      </c>
      <c r="I1378">
        <v>0</v>
      </c>
      <c r="J1378">
        <v>0</v>
      </c>
      <c r="K1378">
        <v>0</v>
      </c>
    </row>
    <row r="1379" spans="1:11" x14ac:dyDescent="0.2">
      <c r="A1379" t="s">
        <v>310</v>
      </c>
      <c r="B1379" t="s">
        <v>311</v>
      </c>
      <c r="C1379" t="s">
        <v>307</v>
      </c>
      <c r="D1379" t="s">
        <v>98</v>
      </c>
      <c r="E1379">
        <v>449.99</v>
      </c>
      <c r="F1379">
        <v>0</v>
      </c>
      <c r="H1379" t="s">
        <v>72</v>
      </c>
      <c r="I1379">
        <v>0</v>
      </c>
      <c r="J1379">
        <v>0</v>
      </c>
      <c r="K1379">
        <v>0</v>
      </c>
    </row>
    <row r="1380" spans="1:11" x14ac:dyDescent="0.2">
      <c r="A1380" t="s">
        <v>5033</v>
      </c>
      <c r="B1380" t="s">
        <v>5034</v>
      </c>
      <c r="C1380" t="s">
        <v>5010</v>
      </c>
      <c r="D1380" t="s">
        <v>98</v>
      </c>
      <c r="E1380">
        <v>199.99</v>
      </c>
      <c r="F1380">
        <v>0</v>
      </c>
      <c r="H1380" t="s">
        <v>72</v>
      </c>
      <c r="I1380">
        <v>0</v>
      </c>
      <c r="J1380">
        <v>0</v>
      </c>
      <c r="K1380">
        <v>0</v>
      </c>
    </row>
    <row r="1381" spans="1:11" x14ac:dyDescent="0.2">
      <c r="A1381" t="s">
        <v>4453</v>
      </c>
      <c r="B1381" t="s">
        <v>4454</v>
      </c>
      <c r="C1381" t="s">
        <v>4437</v>
      </c>
      <c r="D1381" t="s">
        <v>98</v>
      </c>
      <c r="E1381">
        <v>299.99</v>
      </c>
      <c r="F1381">
        <v>0</v>
      </c>
      <c r="H1381" t="s">
        <v>72</v>
      </c>
      <c r="I1381">
        <v>0</v>
      </c>
      <c r="J1381">
        <v>0</v>
      </c>
      <c r="K1381">
        <v>0</v>
      </c>
    </row>
    <row r="1382" spans="1:11" x14ac:dyDescent="0.2">
      <c r="A1382" t="s">
        <v>2201</v>
      </c>
      <c r="B1382" t="s">
        <v>2202</v>
      </c>
      <c r="C1382" t="s">
        <v>2174</v>
      </c>
      <c r="D1382" t="s">
        <v>98</v>
      </c>
      <c r="E1382">
        <v>69.989999999999995</v>
      </c>
      <c r="F1382">
        <v>0</v>
      </c>
      <c r="H1382" t="s">
        <v>72</v>
      </c>
      <c r="I1382">
        <v>0</v>
      </c>
      <c r="J1382">
        <v>0</v>
      </c>
      <c r="K1382">
        <v>0</v>
      </c>
    </row>
    <row r="1383" spans="1:11" x14ac:dyDescent="0.2">
      <c r="A1383" t="s">
        <v>4451</v>
      </c>
      <c r="B1383" t="s">
        <v>4452</v>
      </c>
      <c r="C1383" t="s">
        <v>4437</v>
      </c>
      <c r="D1383" t="s">
        <v>98</v>
      </c>
      <c r="E1383">
        <v>299.99</v>
      </c>
      <c r="F1383">
        <v>0</v>
      </c>
      <c r="H1383" t="s">
        <v>72</v>
      </c>
      <c r="I1383">
        <v>0</v>
      </c>
      <c r="J1383">
        <v>0</v>
      </c>
      <c r="K1383">
        <v>1</v>
      </c>
    </row>
    <row r="1384" spans="1:11" x14ac:dyDescent="0.2">
      <c r="A1384" t="s">
        <v>4449</v>
      </c>
      <c r="B1384" t="s">
        <v>4450</v>
      </c>
      <c r="C1384" t="s">
        <v>4437</v>
      </c>
      <c r="D1384" t="s">
        <v>98</v>
      </c>
      <c r="E1384">
        <v>179.99</v>
      </c>
      <c r="F1384">
        <v>0</v>
      </c>
      <c r="H1384" t="s">
        <v>72</v>
      </c>
      <c r="I1384">
        <v>0</v>
      </c>
      <c r="J1384">
        <v>0</v>
      </c>
      <c r="K1384">
        <v>0</v>
      </c>
    </row>
    <row r="1385" spans="1:11" x14ac:dyDescent="0.2">
      <c r="A1385" t="s">
        <v>2199</v>
      </c>
      <c r="B1385" t="s">
        <v>2200</v>
      </c>
      <c r="C1385" t="s">
        <v>2174</v>
      </c>
      <c r="D1385" t="s">
        <v>98</v>
      </c>
      <c r="E1385">
        <v>59.99</v>
      </c>
      <c r="F1385">
        <v>0</v>
      </c>
      <c r="H1385" t="s">
        <v>72</v>
      </c>
      <c r="I1385">
        <v>0</v>
      </c>
      <c r="J1385">
        <v>0</v>
      </c>
      <c r="K1385">
        <v>0</v>
      </c>
    </row>
    <row r="1386" spans="1:11" x14ac:dyDescent="0.2">
      <c r="A1386" t="s">
        <v>346</v>
      </c>
      <c r="B1386" t="s">
        <v>347</v>
      </c>
      <c r="C1386" t="s">
        <v>307</v>
      </c>
      <c r="D1386" t="s">
        <v>98</v>
      </c>
      <c r="E1386">
        <v>419.99</v>
      </c>
      <c r="F1386">
        <v>0</v>
      </c>
      <c r="H1386" t="s">
        <v>72</v>
      </c>
      <c r="I1386">
        <v>0</v>
      </c>
      <c r="J1386">
        <v>0</v>
      </c>
      <c r="K1386">
        <v>0</v>
      </c>
    </row>
    <row r="1387" spans="1:11" x14ac:dyDescent="0.2">
      <c r="A1387" t="s">
        <v>2207</v>
      </c>
      <c r="B1387" t="s">
        <v>2208</v>
      </c>
      <c r="C1387" t="s">
        <v>2174</v>
      </c>
      <c r="D1387" t="s">
        <v>98</v>
      </c>
      <c r="E1387">
        <v>79.989999999999995</v>
      </c>
      <c r="F1387">
        <v>0</v>
      </c>
      <c r="H1387" t="s">
        <v>72</v>
      </c>
      <c r="I1387">
        <v>0</v>
      </c>
      <c r="J1387">
        <v>0</v>
      </c>
      <c r="K1387">
        <v>0</v>
      </c>
    </row>
    <row r="1388" spans="1:11" x14ac:dyDescent="0.2">
      <c r="A1388" t="s">
        <v>5357</v>
      </c>
      <c r="B1388" t="s">
        <v>5358</v>
      </c>
      <c r="C1388" t="s">
        <v>4283</v>
      </c>
      <c r="D1388" t="s">
        <v>98</v>
      </c>
      <c r="E1388">
        <v>249.99</v>
      </c>
      <c r="F1388">
        <v>0</v>
      </c>
      <c r="H1388" t="s">
        <v>72</v>
      </c>
      <c r="I1388">
        <v>0</v>
      </c>
      <c r="J1388">
        <v>0</v>
      </c>
      <c r="K1388">
        <v>0</v>
      </c>
    </row>
    <row r="1389" spans="1:11" x14ac:dyDescent="0.2">
      <c r="A1389" t="s">
        <v>5233</v>
      </c>
      <c r="B1389" t="s">
        <v>5234</v>
      </c>
      <c r="C1389" t="s">
        <v>4518</v>
      </c>
      <c r="D1389" t="s">
        <v>98</v>
      </c>
      <c r="E1389">
        <v>159.99</v>
      </c>
      <c r="F1389">
        <v>0</v>
      </c>
      <c r="H1389" t="s">
        <v>72</v>
      </c>
      <c r="I1389">
        <v>0</v>
      </c>
      <c r="J1389">
        <v>0</v>
      </c>
      <c r="K1389">
        <v>0</v>
      </c>
    </row>
    <row r="1390" spans="1:11" x14ac:dyDescent="0.2">
      <c r="A1390" t="s">
        <v>5572</v>
      </c>
      <c r="B1390" t="s">
        <v>5573</v>
      </c>
      <c r="C1390" t="s">
        <v>4518</v>
      </c>
      <c r="D1390" t="s">
        <v>98</v>
      </c>
      <c r="E1390">
        <v>79.989999999999995</v>
      </c>
      <c r="F1390">
        <v>0</v>
      </c>
      <c r="H1390" t="s">
        <v>72</v>
      </c>
      <c r="I1390">
        <v>0</v>
      </c>
      <c r="J1390">
        <v>0</v>
      </c>
      <c r="K1390">
        <v>0</v>
      </c>
    </row>
    <row r="1391" spans="1:11" x14ac:dyDescent="0.2">
      <c r="A1391" t="s">
        <v>4908</v>
      </c>
      <c r="B1391" t="s">
        <v>4909</v>
      </c>
      <c r="C1391" t="s">
        <v>4905</v>
      </c>
      <c r="D1391" t="s">
        <v>138</v>
      </c>
      <c r="E1391">
        <v>199.99</v>
      </c>
      <c r="F1391">
        <v>0</v>
      </c>
      <c r="H1391" t="s">
        <v>72</v>
      </c>
      <c r="I1391">
        <v>0</v>
      </c>
      <c r="J1391">
        <v>0</v>
      </c>
      <c r="K1391">
        <v>0</v>
      </c>
    </row>
    <row r="1392" spans="1:11" x14ac:dyDescent="0.2">
      <c r="A1392" t="s">
        <v>613</v>
      </c>
      <c r="B1392" t="s">
        <v>614</v>
      </c>
      <c r="C1392" t="s">
        <v>582</v>
      </c>
      <c r="D1392" t="s">
        <v>105</v>
      </c>
      <c r="E1392">
        <v>119.99</v>
      </c>
      <c r="F1392">
        <v>359.96999999999997</v>
      </c>
      <c r="G1392">
        <v>51</v>
      </c>
      <c r="H1392" t="s">
        <v>72</v>
      </c>
      <c r="I1392">
        <v>2.1666666666666665</v>
      </c>
      <c r="J1392">
        <v>32</v>
      </c>
      <c r="K1392">
        <v>69</v>
      </c>
    </row>
    <row r="1393" spans="1:11" x14ac:dyDescent="0.2">
      <c r="A1393" t="s">
        <v>5648</v>
      </c>
      <c r="B1393" t="s">
        <v>5649</v>
      </c>
      <c r="C1393" t="s">
        <v>4518</v>
      </c>
      <c r="D1393" t="s">
        <v>98</v>
      </c>
      <c r="E1393">
        <v>79.989999999999995</v>
      </c>
      <c r="F1393">
        <v>0</v>
      </c>
      <c r="H1393" t="s">
        <v>72</v>
      </c>
      <c r="I1393">
        <v>0</v>
      </c>
      <c r="J1393">
        <v>0</v>
      </c>
      <c r="K1393">
        <v>0</v>
      </c>
    </row>
    <row r="1394" spans="1:11" x14ac:dyDescent="0.2">
      <c r="A1394" t="s">
        <v>4581</v>
      </c>
      <c r="B1394" t="s">
        <v>4582</v>
      </c>
      <c r="C1394" t="s">
        <v>4518</v>
      </c>
      <c r="D1394" t="s">
        <v>105</v>
      </c>
      <c r="E1394">
        <v>249.99</v>
      </c>
      <c r="F1394">
        <v>0</v>
      </c>
      <c r="H1394" t="s">
        <v>72</v>
      </c>
      <c r="I1394">
        <v>0.33333333333333331</v>
      </c>
      <c r="J1394">
        <v>39</v>
      </c>
      <c r="K1394">
        <v>13</v>
      </c>
    </row>
    <row r="1395" spans="1:11" x14ac:dyDescent="0.2">
      <c r="A1395" t="s">
        <v>5578</v>
      </c>
      <c r="B1395" t="s">
        <v>5579</v>
      </c>
      <c r="C1395" t="s">
        <v>4518</v>
      </c>
      <c r="D1395" t="s">
        <v>98</v>
      </c>
      <c r="E1395">
        <v>139.99</v>
      </c>
      <c r="F1395">
        <v>0</v>
      </c>
      <c r="H1395" t="s">
        <v>72</v>
      </c>
      <c r="I1395">
        <v>0</v>
      </c>
      <c r="J1395">
        <v>0</v>
      </c>
      <c r="K1395">
        <v>0</v>
      </c>
    </row>
    <row r="1396" spans="1:11" x14ac:dyDescent="0.2">
      <c r="A1396" t="s">
        <v>4579</v>
      </c>
      <c r="B1396" t="s">
        <v>4580</v>
      </c>
      <c r="C1396" t="s">
        <v>4518</v>
      </c>
      <c r="D1396" t="s">
        <v>105</v>
      </c>
      <c r="E1396">
        <v>139.99</v>
      </c>
      <c r="F1396">
        <v>0</v>
      </c>
      <c r="G1396">
        <v>21</v>
      </c>
      <c r="H1396" t="s">
        <v>72</v>
      </c>
      <c r="I1396">
        <v>0.66666666666666663</v>
      </c>
      <c r="J1396">
        <v>18</v>
      </c>
      <c r="K1396">
        <v>12</v>
      </c>
    </row>
    <row r="1397" spans="1:11" x14ac:dyDescent="0.2">
      <c r="A1397" t="s">
        <v>5546</v>
      </c>
      <c r="B1397" t="s">
        <v>5547</v>
      </c>
      <c r="C1397" t="s">
        <v>582</v>
      </c>
      <c r="D1397" t="s">
        <v>98</v>
      </c>
      <c r="E1397">
        <v>89.99</v>
      </c>
      <c r="F1397">
        <v>0</v>
      </c>
      <c r="H1397" t="s">
        <v>72</v>
      </c>
      <c r="I1397">
        <v>0</v>
      </c>
      <c r="J1397">
        <v>0</v>
      </c>
      <c r="K1397">
        <v>3</v>
      </c>
    </row>
    <row r="1398" spans="1:11" x14ac:dyDescent="0.2">
      <c r="A1398" t="s">
        <v>4575</v>
      </c>
      <c r="B1398" t="s">
        <v>4576</v>
      </c>
      <c r="C1398" t="s">
        <v>4518</v>
      </c>
      <c r="D1398" t="s">
        <v>105</v>
      </c>
      <c r="E1398">
        <v>149.99</v>
      </c>
      <c r="F1398">
        <v>0</v>
      </c>
      <c r="H1398" t="s">
        <v>72</v>
      </c>
      <c r="I1398">
        <v>0</v>
      </c>
      <c r="J1398">
        <v>0</v>
      </c>
      <c r="K1398">
        <v>14</v>
      </c>
    </row>
    <row r="1399" spans="1:11" x14ac:dyDescent="0.2">
      <c r="A1399" t="s">
        <v>5564</v>
      </c>
      <c r="B1399" t="s">
        <v>5565</v>
      </c>
      <c r="C1399" t="s">
        <v>4518</v>
      </c>
      <c r="D1399" t="s">
        <v>138</v>
      </c>
      <c r="E1399">
        <v>119.99</v>
      </c>
      <c r="F1399">
        <v>0</v>
      </c>
      <c r="H1399" t="s">
        <v>72</v>
      </c>
      <c r="I1399">
        <v>0</v>
      </c>
      <c r="J1399">
        <v>0</v>
      </c>
      <c r="K1399">
        <v>1</v>
      </c>
    </row>
    <row r="1400" spans="1:11" x14ac:dyDescent="0.2">
      <c r="A1400" t="s">
        <v>5650</v>
      </c>
      <c r="B1400" t="s">
        <v>5651</v>
      </c>
      <c r="C1400" t="s">
        <v>4518</v>
      </c>
      <c r="D1400" t="s">
        <v>98</v>
      </c>
      <c r="E1400">
        <v>69.989999999999995</v>
      </c>
      <c r="F1400">
        <v>0</v>
      </c>
      <c r="H1400" t="s">
        <v>72</v>
      </c>
      <c r="I1400">
        <v>0</v>
      </c>
      <c r="J1400">
        <v>0</v>
      </c>
      <c r="K1400">
        <v>0</v>
      </c>
    </row>
    <row r="1401" spans="1:11" x14ac:dyDescent="0.2">
      <c r="A1401" t="s">
        <v>5568</v>
      </c>
      <c r="B1401" t="s">
        <v>5569</v>
      </c>
      <c r="C1401" t="s">
        <v>4518</v>
      </c>
      <c r="D1401" t="s">
        <v>138</v>
      </c>
      <c r="E1401">
        <v>169.99</v>
      </c>
      <c r="F1401">
        <v>0</v>
      </c>
      <c r="H1401" t="s">
        <v>72</v>
      </c>
      <c r="I1401">
        <v>0</v>
      </c>
      <c r="J1401">
        <v>0</v>
      </c>
      <c r="K1401">
        <v>1</v>
      </c>
    </row>
    <row r="1402" spans="1:11" x14ac:dyDescent="0.2">
      <c r="A1402" t="s">
        <v>632</v>
      </c>
      <c r="B1402" t="s">
        <v>633</v>
      </c>
      <c r="C1402" t="s">
        <v>582</v>
      </c>
      <c r="D1402" t="s">
        <v>138</v>
      </c>
      <c r="E1402">
        <v>159.99</v>
      </c>
      <c r="F1402">
        <v>0</v>
      </c>
      <c r="H1402" t="s">
        <v>72</v>
      </c>
      <c r="I1402">
        <v>0</v>
      </c>
      <c r="J1402">
        <v>0</v>
      </c>
      <c r="K1402">
        <v>0</v>
      </c>
    </row>
    <row r="1403" spans="1:11" x14ac:dyDescent="0.2">
      <c r="A1403" t="s">
        <v>422</v>
      </c>
      <c r="B1403" t="s">
        <v>423</v>
      </c>
      <c r="C1403" t="s">
        <v>307</v>
      </c>
      <c r="D1403" t="s">
        <v>98</v>
      </c>
      <c r="E1403">
        <v>449</v>
      </c>
      <c r="F1403">
        <v>0</v>
      </c>
      <c r="H1403" t="s">
        <v>72</v>
      </c>
      <c r="I1403">
        <v>0</v>
      </c>
      <c r="J1403">
        <v>0</v>
      </c>
      <c r="K1403">
        <v>0</v>
      </c>
    </row>
    <row r="1404" spans="1:11" x14ac:dyDescent="0.2">
      <c r="A1404" t="s">
        <v>5652</v>
      </c>
      <c r="B1404" t="s">
        <v>5653</v>
      </c>
      <c r="C1404" t="s">
        <v>4518</v>
      </c>
      <c r="D1404" t="s">
        <v>98</v>
      </c>
      <c r="E1404">
        <v>59.99</v>
      </c>
      <c r="F1404">
        <v>0</v>
      </c>
      <c r="H1404" t="s">
        <v>72</v>
      </c>
      <c r="I1404">
        <v>0</v>
      </c>
      <c r="J1404">
        <v>0</v>
      </c>
      <c r="K1404">
        <v>0</v>
      </c>
    </row>
    <row r="1405" spans="1:11" x14ac:dyDescent="0.2">
      <c r="A1405" t="s">
        <v>404</v>
      </c>
      <c r="B1405" t="s">
        <v>405</v>
      </c>
      <c r="C1405" t="s">
        <v>307</v>
      </c>
      <c r="D1405" t="s">
        <v>98</v>
      </c>
      <c r="E1405">
        <v>1699.99</v>
      </c>
      <c r="F1405">
        <v>0</v>
      </c>
      <c r="H1405" t="s">
        <v>72</v>
      </c>
      <c r="I1405">
        <v>0</v>
      </c>
      <c r="J1405">
        <v>0</v>
      </c>
      <c r="K1405">
        <v>5</v>
      </c>
    </row>
    <row r="1406" spans="1:11" x14ac:dyDescent="0.2">
      <c r="A1406" t="s">
        <v>5548</v>
      </c>
      <c r="B1406" t="s">
        <v>5549</v>
      </c>
      <c r="C1406" t="s">
        <v>4518</v>
      </c>
      <c r="D1406" t="s">
        <v>98</v>
      </c>
      <c r="E1406">
        <v>249.99</v>
      </c>
      <c r="F1406">
        <v>0</v>
      </c>
      <c r="H1406" t="s">
        <v>72</v>
      </c>
      <c r="I1406">
        <v>0</v>
      </c>
      <c r="J1406">
        <v>0</v>
      </c>
      <c r="K1406">
        <v>0</v>
      </c>
    </row>
    <row r="1407" spans="1:11" x14ac:dyDescent="0.2">
      <c r="A1407" t="s">
        <v>4608</v>
      </c>
      <c r="B1407" t="s">
        <v>4609</v>
      </c>
      <c r="C1407" t="s">
        <v>4597</v>
      </c>
      <c r="D1407" t="s">
        <v>98</v>
      </c>
      <c r="E1407">
        <v>139.99</v>
      </c>
      <c r="F1407">
        <v>0</v>
      </c>
      <c r="H1407" t="s">
        <v>72</v>
      </c>
      <c r="I1407">
        <v>0</v>
      </c>
      <c r="J1407">
        <v>0</v>
      </c>
      <c r="K1407">
        <v>0</v>
      </c>
    </row>
    <row r="1408" spans="1:11" x14ac:dyDescent="0.2">
      <c r="A1408" t="s">
        <v>823</v>
      </c>
      <c r="B1408" t="s">
        <v>824</v>
      </c>
      <c r="C1408" t="s">
        <v>582</v>
      </c>
      <c r="D1408" t="s">
        <v>98</v>
      </c>
      <c r="E1408">
        <v>79.989999999999995</v>
      </c>
      <c r="F1408">
        <v>0</v>
      </c>
      <c r="G1408">
        <v>36</v>
      </c>
      <c r="H1408" t="s">
        <v>72</v>
      </c>
      <c r="I1408">
        <v>0</v>
      </c>
      <c r="J1408">
        <v>0</v>
      </c>
      <c r="K1408">
        <v>8</v>
      </c>
    </row>
    <row r="1409" spans="1:11" x14ac:dyDescent="0.2">
      <c r="A1409" t="s">
        <v>4600</v>
      </c>
      <c r="B1409" t="s">
        <v>4601</v>
      </c>
      <c r="C1409" t="s">
        <v>4597</v>
      </c>
      <c r="D1409" t="s">
        <v>98</v>
      </c>
      <c r="E1409">
        <v>129.99</v>
      </c>
      <c r="F1409">
        <v>0</v>
      </c>
      <c r="H1409" t="s">
        <v>72</v>
      </c>
      <c r="I1409">
        <v>0</v>
      </c>
      <c r="J1409">
        <v>0</v>
      </c>
      <c r="K1409">
        <v>0</v>
      </c>
    </row>
    <row r="1410" spans="1:11" x14ac:dyDescent="0.2">
      <c r="A1410" t="s">
        <v>4595</v>
      </c>
      <c r="B1410" t="s">
        <v>4596</v>
      </c>
      <c r="C1410" t="s">
        <v>4518</v>
      </c>
      <c r="D1410" t="s">
        <v>98</v>
      </c>
      <c r="E1410">
        <v>179.99</v>
      </c>
      <c r="F1410">
        <v>0</v>
      </c>
      <c r="H1410" t="s">
        <v>72</v>
      </c>
      <c r="I1410">
        <v>0</v>
      </c>
      <c r="J1410">
        <v>0</v>
      </c>
      <c r="K1410">
        <v>0</v>
      </c>
    </row>
    <row r="1411" spans="1:11" x14ac:dyDescent="0.2">
      <c r="A1411" t="s">
        <v>5562</v>
      </c>
      <c r="B1411" t="s">
        <v>5563</v>
      </c>
      <c r="C1411" t="s">
        <v>582</v>
      </c>
      <c r="D1411" t="s">
        <v>98</v>
      </c>
      <c r="E1411">
        <v>99.99</v>
      </c>
      <c r="F1411">
        <v>0</v>
      </c>
      <c r="H1411" t="s">
        <v>72</v>
      </c>
      <c r="I1411">
        <v>0</v>
      </c>
      <c r="J1411">
        <v>0</v>
      </c>
      <c r="K1411">
        <v>0</v>
      </c>
    </row>
    <row r="1412" spans="1:11" x14ac:dyDescent="0.2">
      <c r="A1412" t="s">
        <v>5604</v>
      </c>
      <c r="B1412" t="s">
        <v>5605</v>
      </c>
      <c r="C1412" t="s">
        <v>582</v>
      </c>
      <c r="D1412" t="s">
        <v>98</v>
      </c>
      <c r="E1412">
        <v>39.99</v>
      </c>
      <c r="F1412">
        <v>0</v>
      </c>
      <c r="H1412" t="s">
        <v>72</v>
      </c>
      <c r="I1412">
        <v>0</v>
      </c>
      <c r="J1412">
        <v>0</v>
      </c>
      <c r="K1412">
        <v>0</v>
      </c>
    </row>
    <row r="1413" spans="1:11" x14ac:dyDescent="0.2">
      <c r="A1413" t="s">
        <v>4602</v>
      </c>
      <c r="B1413" t="s">
        <v>4603</v>
      </c>
      <c r="C1413" t="s">
        <v>4597</v>
      </c>
      <c r="D1413" t="s">
        <v>98</v>
      </c>
      <c r="E1413">
        <v>139.99</v>
      </c>
      <c r="F1413">
        <v>0</v>
      </c>
      <c r="H1413" t="s">
        <v>72</v>
      </c>
      <c r="I1413">
        <v>0</v>
      </c>
      <c r="J1413">
        <v>0</v>
      </c>
      <c r="K1413">
        <v>0</v>
      </c>
    </row>
    <row r="1414" spans="1:11" x14ac:dyDescent="0.2">
      <c r="A1414" t="s">
        <v>4593</v>
      </c>
      <c r="B1414" t="s">
        <v>4594</v>
      </c>
      <c r="C1414" t="s">
        <v>4518</v>
      </c>
      <c r="D1414" t="s">
        <v>138</v>
      </c>
      <c r="E1414">
        <v>179.99</v>
      </c>
      <c r="F1414">
        <v>0</v>
      </c>
      <c r="G1414">
        <v>79</v>
      </c>
      <c r="H1414" t="s">
        <v>72</v>
      </c>
      <c r="I1414">
        <v>0</v>
      </c>
      <c r="J1414">
        <v>0</v>
      </c>
      <c r="K1414">
        <v>0</v>
      </c>
    </row>
    <row r="1415" spans="1:11" x14ac:dyDescent="0.2">
      <c r="A1415" t="s">
        <v>5556</v>
      </c>
      <c r="B1415" t="s">
        <v>5557</v>
      </c>
      <c r="C1415" t="s">
        <v>582</v>
      </c>
      <c r="D1415" t="s">
        <v>98</v>
      </c>
      <c r="E1415">
        <v>59.99</v>
      </c>
      <c r="F1415">
        <v>0</v>
      </c>
      <c r="H1415" t="s">
        <v>72</v>
      </c>
      <c r="I1415">
        <v>0</v>
      </c>
      <c r="J1415">
        <v>0</v>
      </c>
      <c r="K1415">
        <v>0</v>
      </c>
    </row>
    <row r="1416" spans="1:11" x14ac:dyDescent="0.2">
      <c r="A1416" t="s">
        <v>4591</v>
      </c>
      <c r="B1416" t="s">
        <v>4592</v>
      </c>
      <c r="C1416" t="s">
        <v>4518</v>
      </c>
      <c r="D1416" t="s">
        <v>138</v>
      </c>
      <c r="E1416">
        <v>99.99</v>
      </c>
      <c r="F1416">
        <v>0</v>
      </c>
      <c r="G1416">
        <v>77</v>
      </c>
      <c r="H1416" t="s">
        <v>72</v>
      </c>
      <c r="I1416">
        <v>0</v>
      </c>
      <c r="J1416">
        <v>0</v>
      </c>
      <c r="K1416">
        <v>0</v>
      </c>
    </row>
    <row r="1417" spans="1:11" x14ac:dyDescent="0.2">
      <c r="A1417" t="s">
        <v>5602</v>
      </c>
      <c r="B1417" t="s">
        <v>5603</v>
      </c>
      <c r="C1417" t="s">
        <v>582</v>
      </c>
      <c r="D1417" t="s">
        <v>98</v>
      </c>
      <c r="E1417">
        <v>79.989999999999995</v>
      </c>
      <c r="F1417">
        <v>0</v>
      </c>
      <c r="H1417" t="s">
        <v>72</v>
      </c>
      <c r="I1417">
        <v>0</v>
      </c>
      <c r="J1417">
        <v>0</v>
      </c>
      <c r="K1417">
        <v>0</v>
      </c>
    </row>
    <row r="1418" spans="1:11" x14ac:dyDescent="0.2">
      <c r="A1418" t="s">
        <v>5560</v>
      </c>
      <c r="B1418" t="s">
        <v>5561</v>
      </c>
      <c r="C1418" t="s">
        <v>4518</v>
      </c>
      <c r="D1418" t="s">
        <v>98</v>
      </c>
      <c r="E1418">
        <v>119.99</v>
      </c>
      <c r="F1418">
        <v>0</v>
      </c>
      <c r="H1418" t="s">
        <v>72</v>
      </c>
      <c r="I1418">
        <v>0</v>
      </c>
      <c r="J1418">
        <v>0</v>
      </c>
      <c r="K1418">
        <v>0</v>
      </c>
    </row>
    <row r="1419" spans="1:11" x14ac:dyDescent="0.2">
      <c r="A1419" t="s">
        <v>792</v>
      </c>
      <c r="B1419" t="s">
        <v>793</v>
      </c>
      <c r="C1419" t="s">
        <v>582</v>
      </c>
      <c r="D1419" t="s">
        <v>105</v>
      </c>
      <c r="E1419">
        <v>69.989999999999995</v>
      </c>
      <c r="F1419">
        <v>0</v>
      </c>
      <c r="G1419">
        <v>61</v>
      </c>
      <c r="H1419" t="s">
        <v>72</v>
      </c>
      <c r="I1419">
        <v>0</v>
      </c>
      <c r="J1419">
        <v>0</v>
      </c>
      <c r="K1419">
        <v>0</v>
      </c>
    </row>
    <row r="1420" spans="1:11" x14ac:dyDescent="0.2">
      <c r="A1420" t="s">
        <v>4604</v>
      </c>
      <c r="B1420" t="s">
        <v>4605</v>
      </c>
      <c r="C1420" t="s">
        <v>4597</v>
      </c>
      <c r="D1420" t="s">
        <v>98</v>
      </c>
      <c r="E1420">
        <v>174.99</v>
      </c>
      <c r="F1420">
        <v>0</v>
      </c>
      <c r="H1420" t="s">
        <v>72</v>
      </c>
      <c r="I1420">
        <v>0</v>
      </c>
      <c r="J1420">
        <v>0</v>
      </c>
      <c r="K1420">
        <v>0</v>
      </c>
    </row>
    <row r="1421" spans="1:11" x14ac:dyDescent="0.2">
      <c r="A1421" t="s">
        <v>4589</v>
      </c>
      <c r="B1421" t="s">
        <v>4590</v>
      </c>
      <c r="C1421" t="s">
        <v>4518</v>
      </c>
      <c r="D1421" t="s">
        <v>98</v>
      </c>
      <c r="E1421">
        <v>119.99</v>
      </c>
      <c r="F1421">
        <v>0</v>
      </c>
      <c r="H1421" t="s">
        <v>72</v>
      </c>
      <c r="I1421">
        <v>0</v>
      </c>
      <c r="J1421">
        <v>0</v>
      </c>
      <c r="K1421">
        <v>0</v>
      </c>
    </row>
    <row r="1422" spans="1:11" x14ac:dyDescent="0.2">
      <c r="A1422" t="s">
        <v>738</v>
      </c>
      <c r="B1422" t="s">
        <v>739</v>
      </c>
      <c r="C1422" t="s">
        <v>582</v>
      </c>
      <c r="D1422" t="s">
        <v>138</v>
      </c>
      <c r="E1422">
        <v>59.99</v>
      </c>
      <c r="F1422">
        <v>0</v>
      </c>
      <c r="H1422" t="s">
        <v>72</v>
      </c>
      <c r="I1422">
        <v>0</v>
      </c>
      <c r="J1422">
        <v>0</v>
      </c>
      <c r="K1422">
        <v>0</v>
      </c>
    </row>
    <row r="1423" spans="1:11" x14ac:dyDescent="0.2">
      <c r="A1423" t="s">
        <v>5608</v>
      </c>
      <c r="B1423" t="s">
        <v>5609</v>
      </c>
      <c r="C1423" t="s">
        <v>582</v>
      </c>
      <c r="D1423" t="s">
        <v>98</v>
      </c>
      <c r="E1423">
        <v>59.99</v>
      </c>
      <c r="F1423">
        <v>0</v>
      </c>
      <c r="H1423" t="s">
        <v>72</v>
      </c>
      <c r="I1423">
        <v>0</v>
      </c>
      <c r="J1423">
        <v>0</v>
      </c>
      <c r="K1423">
        <v>0</v>
      </c>
    </row>
    <row r="1424" spans="1:11" x14ac:dyDescent="0.2">
      <c r="A1424" t="s">
        <v>5536</v>
      </c>
      <c r="B1424" t="s">
        <v>5537</v>
      </c>
      <c r="C1424" t="s">
        <v>4518</v>
      </c>
      <c r="D1424" t="s">
        <v>98</v>
      </c>
      <c r="E1424">
        <v>99.99</v>
      </c>
      <c r="F1424">
        <v>0</v>
      </c>
      <c r="H1424" t="s">
        <v>72</v>
      </c>
      <c r="I1424">
        <v>0</v>
      </c>
      <c r="J1424">
        <v>0</v>
      </c>
      <c r="K1424">
        <v>0</v>
      </c>
    </row>
    <row r="1425" spans="1:11" x14ac:dyDescent="0.2">
      <c r="A1425" t="s">
        <v>740</v>
      </c>
      <c r="B1425" t="s">
        <v>741</v>
      </c>
      <c r="C1425" t="s">
        <v>582</v>
      </c>
      <c r="D1425" t="s">
        <v>138</v>
      </c>
      <c r="E1425">
        <v>64.989999999999995</v>
      </c>
      <c r="F1425">
        <v>0</v>
      </c>
      <c r="H1425" t="s">
        <v>72</v>
      </c>
      <c r="I1425">
        <v>0</v>
      </c>
      <c r="J1425">
        <v>0</v>
      </c>
      <c r="K1425">
        <v>0</v>
      </c>
    </row>
    <row r="1426" spans="1:11" x14ac:dyDescent="0.2">
      <c r="A1426" t="s">
        <v>5538</v>
      </c>
      <c r="B1426" t="s">
        <v>5539</v>
      </c>
      <c r="C1426" t="s">
        <v>4518</v>
      </c>
      <c r="D1426" t="s">
        <v>98</v>
      </c>
      <c r="E1426">
        <v>99.99</v>
      </c>
      <c r="F1426">
        <v>0</v>
      </c>
      <c r="H1426" t="s">
        <v>72</v>
      </c>
      <c r="I1426">
        <v>0</v>
      </c>
      <c r="J1426">
        <v>0</v>
      </c>
      <c r="K1426">
        <v>0</v>
      </c>
    </row>
    <row r="1427" spans="1:11" x14ac:dyDescent="0.2">
      <c r="A1427" t="s">
        <v>4606</v>
      </c>
      <c r="B1427" t="s">
        <v>4607</v>
      </c>
      <c r="C1427" t="s">
        <v>4597</v>
      </c>
      <c r="D1427" t="s">
        <v>98</v>
      </c>
      <c r="E1427">
        <v>99.99</v>
      </c>
      <c r="F1427">
        <v>0</v>
      </c>
      <c r="H1427" t="s">
        <v>72</v>
      </c>
      <c r="I1427">
        <v>0</v>
      </c>
      <c r="J1427">
        <v>0</v>
      </c>
      <c r="K1427">
        <v>0</v>
      </c>
    </row>
    <row r="1428" spans="1:11" x14ac:dyDescent="0.2">
      <c r="A1428" t="s">
        <v>5654</v>
      </c>
      <c r="B1428" t="s">
        <v>5655</v>
      </c>
      <c r="C1428" t="s">
        <v>4518</v>
      </c>
      <c r="D1428" t="s">
        <v>98</v>
      </c>
      <c r="E1428">
        <v>59.99</v>
      </c>
      <c r="F1428">
        <v>0</v>
      </c>
      <c r="H1428" t="s">
        <v>72</v>
      </c>
      <c r="I1428">
        <v>0</v>
      </c>
      <c r="J1428">
        <v>0</v>
      </c>
      <c r="K1428">
        <v>0</v>
      </c>
    </row>
    <row r="1429" spans="1:11" x14ac:dyDescent="0.2">
      <c r="A1429" t="s">
        <v>5610</v>
      </c>
      <c r="B1429" t="s">
        <v>5611</v>
      </c>
      <c r="C1429" t="s">
        <v>582</v>
      </c>
      <c r="D1429" t="s">
        <v>98</v>
      </c>
      <c r="E1429">
        <v>59.99</v>
      </c>
      <c r="F1429">
        <v>0</v>
      </c>
      <c r="H1429" t="s">
        <v>72</v>
      </c>
      <c r="I1429">
        <v>0</v>
      </c>
      <c r="J1429">
        <v>0</v>
      </c>
      <c r="K1429">
        <v>0</v>
      </c>
    </row>
    <row r="1430" spans="1:11" x14ac:dyDescent="0.2">
      <c r="A1430" t="s">
        <v>4583</v>
      </c>
      <c r="B1430" t="s">
        <v>4584</v>
      </c>
      <c r="C1430" t="s">
        <v>4518</v>
      </c>
      <c r="D1430" t="s">
        <v>138</v>
      </c>
      <c r="E1430">
        <v>249.99</v>
      </c>
      <c r="F1430">
        <v>0</v>
      </c>
      <c r="G1430">
        <v>8</v>
      </c>
      <c r="H1430" t="s">
        <v>72</v>
      </c>
      <c r="I1430">
        <v>0</v>
      </c>
      <c r="J1430">
        <v>0</v>
      </c>
      <c r="K1430">
        <v>0</v>
      </c>
    </row>
    <row r="1431" spans="1:11" x14ac:dyDescent="0.2">
      <c r="A1431" t="s">
        <v>638</v>
      </c>
      <c r="B1431" t="s">
        <v>639</v>
      </c>
      <c r="C1431" t="s">
        <v>582</v>
      </c>
      <c r="D1431" t="s">
        <v>98</v>
      </c>
      <c r="E1431">
        <v>199.99</v>
      </c>
      <c r="F1431">
        <v>0</v>
      </c>
      <c r="H1431" t="s">
        <v>72</v>
      </c>
      <c r="I1431">
        <v>0</v>
      </c>
      <c r="J1431">
        <v>0</v>
      </c>
      <c r="K1431">
        <v>0</v>
      </c>
    </row>
    <row r="1432" spans="1:11" x14ac:dyDescent="0.2">
      <c r="A1432" t="s">
        <v>5656</v>
      </c>
      <c r="B1432" t="s">
        <v>5657</v>
      </c>
      <c r="C1432" t="s">
        <v>4518</v>
      </c>
      <c r="D1432" t="s">
        <v>98</v>
      </c>
      <c r="E1432">
        <v>129.99</v>
      </c>
      <c r="F1432">
        <v>0</v>
      </c>
      <c r="H1432" t="s">
        <v>72</v>
      </c>
      <c r="I1432">
        <v>0</v>
      </c>
      <c r="J1432">
        <v>0</v>
      </c>
      <c r="K1432">
        <v>0</v>
      </c>
    </row>
    <row r="1433" spans="1:11" x14ac:dyDescent="0.2">
      <c r="A1433" t="s">
        <v>5658</v>
      </c>
      <c r="B1433" t="s">
        <v>5659</v>
      </c>
      <c r="C1433" t="s">
        <v>4518</v>
      </c>
      <c r="D1433" t="s">
        <v>98</v>
      </c>
      <c r="E1433">
        <v>129.99</v>
      </c>
      <c r="F1433">
        <v>0</v>
      </c>
      <c r="H1433" t="s">
        <v>72</v>
      </c>
      <c r="I1433">
        <v>0</v>
      </c>
      <c r="J1433">
        <v>0</v>
      </c>
      <c r="K1433">
        <v>0</v>
      </c>
    </row>
    <row r="1434" spans="1:11" x14ac:dyDescent="0.2">
      <c r="A1434" t="s">
        <v>766</v>
      </c>
      <c r="B1434" t="s">
        <v>767</v>
      </c>
      <c r="C1434" t="s">
        <v>582</v>
      </c>
      <c r="D1434" t="s">
        <v>105</v>
      </c>
      <c r="E1434">
        <v>59.99</v>
      </c>
      <c r="F1434">
        <v>0</v>
      </c>
      <c r="H1434" t="s">
        <v>72</v>
      </c>
      <c r="I1434">
        <v>0</v>
      </c>
      <c r="J1434">
        <v>0</v>
      </c>
      <c r="K1434">
        <v>0</v>
      </c>
    </row>
    <row r="1435" spans="1:11" x14ac:dyDescent="0.2">
      <c r="A1435" t="s">
        <v>5239</v>
      </c>
      <c r="B1435" t="s">
        <v>5240</v>
      </c>
      <c r="C1435" t="s">
        <v>4518</v>
      </c>
      <c r="D1435" t="s">
        <v>98</v>
      </c>
      <c r="E1435">
        <v>89.99</v>
      </c>
      <c r="F1435">
        <v>0</v>
      </c>
      <c r="H1435" t="s">
        <v>72</v>
      </c>
      <c r="I1435">
        <v>0</v>
      </c>
      <c r="J1435">
        <v>0</v>
      </c>
      <c r="K1435">
        <v>0</v>
      </c>
    </row>
    <row r="1436" spans="1:11" x14ac:dyDescent="0.2">
      <c r="A1436" t="s">
        <v>5241</v>
      </c>
      <c r="B1436" t="s">
        <v>5242</v>
      </c>
      <c r="C1436" t="s">
        <v>582</v>
      </c>
      <c r="D1436" t="s">
        <v>98</v>
      </c>
      <c r="E1436">
        <v>79.989999999999995</v>
      </c>
      <c r="F1436">
        <v>0</v>
      </c>
      <c r="H1436" t="s">
        <v>72</v>
      </c>
      <c r="I1436">
        <v>0</v>
      </c>
      <c r="J1436">
        <v>0</v>
      </c>
      <c r="K1436">
        <v>0</v>
      </c>
    </row>
    <row r="1437" spans="1:11" x14ac:dyDescent="0.2">
      <c r="A1437" t="s">
        <v>323</v>
      </c>
      <c r="B1437" t="s">
        <v>324</v>
      </c>
      <c r="C1437" t="s">
        <v>307</v>
      </c>
      <c r="D1437" t="s">
        <v>98</v>
      </c>
      <c r="E1437">
        <v>1499.99</v>
      </c>
      <c r="F1437">
        <v>0</v>
      </c>
      <c r="H1437" t="s">
        <v>72</v>
      </c>
      <c r="I1437">
        <v>0</v>
      </c>
      <c r="J1437">
        <v>0</v>
      </c>
      <c r="K1437">
        <v>0</v>
      </c>
    </row>
    <row r="1438" spans="1:11" x14ac:dyDescent="0.2">
      <c r="A1438" t="s">
        <v>5243</v>
      </c>
      <c r="B1438" t="s">
        <v>5244</v>
      </c>
      <c r="C1438" t="s">
        <v>4518</v>
      </c>
      <c r="D1438" t="s">
        <v>98</v>
      </c>
      <c r="E1438">
        <v>89.99</v>
      </c>
      <c r="F1438">
        <v>0</v>
      </c>
      <c r="H1438" t="s">
        <v>72</v>
      </c>
      <c r="I1438">
        <v>0</v>
      </c>
      <c r="J1438">
        <v>0</v>
      </c>
      <c r="K1438">
        <v>0</v>
      </c>
    </row>
    <row r="1439" spans="1:11" x14ac:dyDescent="0.2">
      <c r="A1439" t="s">
        <v>776</v>
      </c>
      <c r="B1439" t="s">
        <v>777</v>
      </c>
      <c r="C1439" t="s">
        <v>582</v>
      </c>
      <c r="D1439" t="s">
        <v>105</v>
      </c>
      <c r="E1439">
        <v>69.989999999999995</v>
      </c>
      <c r="F1439">
        <v>0</v>
      </c>
      <c r="G1439">
        <v>64</v>
      </c>
      <c r="H1439" t="s">
        <v>72</v>
      </c>
      <c r="I1439">
        <v>0</v>
      </c>
      <c r="J1439">
        <v>0</v>
      </c>
      <c r="K1439">
        <v>0</v>
      </c>
    </row>
    <row r="1440" spans="1:11" x14ac:dyDescent="0.2">
      <c r="A1440" t="s">
        <v>5247</v>
      </c>
      <c r="B1440" t="s">
        <v>5248</v>
      </c>
      <c r="C1440" t="s">
        <v>4518</v>
      </c>
      <c r="D1440" t="s">
        <v>98</v>
      </c>
      <c r="E1440">
        <v>89.99</v>
      </c>
      <c r="F1440">
        <v>0</v>
      </c>
      <c r="H1440" t="s">
        <v>72</v>
      </c>
      <c r="I1440">
        <v>0</v>
      </c>
      <c r="J1440">
        <v>0</v>
      </c>
      <c r="K1440">
        <v>0</v>
      </c>
    </row>
    <row r="1441" spans="1:11" x14ac:dyDescent="0.2">
      <c r="A1441" t="s">
        <v>5257</v>
      </c>
      <c r="B1441" t="s">
        <v>5258</v>
      </c>
      <c r="C1441" t="s">
        <v>582</v>
      </c>
      <c r="D1441" t="s">
        <v>98</v>
      </c>
      <c r="E1441">
        <v>69.989999999999995</v>
      </c>
      <c r="F1441">
        <v>0</v>
      </c>
      <c r="H1441" t="s">
        <v>72</v>
      </c>
      <c r="I1441">
        <v>0</v>
      </c>
      <c r="J1441">
        <v>0</v>
      </c>
      <c r="K1441">
        <v>0</v>
      </c>
    </row>
    <row r="1442" spans="1:11" x14ac:dyDescent="0.2">
      <c r="A1442" t="s">
        <v>5251</v>
      </c>
      <c r="B1442" t="s">
        <v>5252</v>
      </c>
      <c r="C1442" t="s">
        <v>4518</v>
      </c>
      <c r="D1442" t="s">
        <v>98</v>
      </c>
      <c r="E1442">
        <v>89.99</v>
      </c>
      <c r="F1442">
        <v>0</v>
      </c>
      <c r="H1442" t="s">
        <v>72</v>
      </c>
      <c r="I1442">
        <v>0</v>
      </c>
      <c r="J1442">
        <v>0</v>
      </c>
      <c r="K1442">
        <v>0</v>
      </c>
    </row>
    <row r="1443" spans="1:11" x14ac:dyDescent="0.2">
      <c r="A1443" t="s">
        <v>314</v>
      </c>
      <c r="B1443" t="s">
        <v>315</v>
      </c>
      <c r="C1443" t="s">
        <v>307</v>
      </c>
      <c r="D1443" t="s">
        <v>98</v>
      </c>
      <c r="E1443">
        <v>1299.99</v>
      </c>
      <c r="F1443">
        <v>0</v>
      </c>
      <c r="H1443" t="s">
        <v>72</v>
      </c>
      <c r="I1443">
        <v>0</v>
      </c>
      <c r="J1443">
        <v>0</v>
      </c>
      <c r="K1443">
        <v>0</v>
      </c>
    </row>
    <row r="1444" spans="1:11" x14ac:dyDescent="0.2">
      <c r="A1444" t="s">
        <v>778</v>
      </c>
      <c r="B1444" t="s">
        <v>779</v>
      </c>
      <c r="C1444" t="s">
        <v>582</v>
      </c>
      <c r="D1444" t="s">
        <v>105</v>
      </c>
      <c r="E1444">
        <v>59.99</v>
      </c>
      <c r="F1444">
        <v>0</v>
      </c>
      <c r="G1444">
        <v>26</v>
      </c>
      <c r="H1444" t="s">
        <v>72</v>
      </c>
      <c r="I1444">
        <v>0</v>
      </c>
      <c r="J1444">
        <v>0</v>
      </c>
      <c r="K1444">
        <v>0</v>
      </c>
    </row>
    <row r="1445" spans="1:11" x14ac:dyDescent="0.2">
      <c r="A1445" t="s">
        <v>5253</v>
      </c>
      <c r="B1445" t="s">
        <v>5254</v>
      </c>
      <c r="C1445" t="s">
        <v>4518</v>
      </c>
      <c r="D1445" t="s">
        <v>98</v>
      </c>
      <c r="E1445">
        <v>89.99</v>
      </c>
      <c r="F1445">
        <v>0</v>
      </c>
      <c r="H1445" t="s">
        <v>72</v>
      </c>
      <c r="I1445">
        <v>0</v>
      </c>
      <c r="J1445">
        <v>0</v>
      </c>
      <c r="K1445">
        <v>0</v>
      </c>
    </row>
    <row r="1446" spans="1:11" x14ac:dyDescent="0.2">
      <c r="A1446" t="s">
        <v>5237</v>
      </c>
      <c r="B1446" t="s">
        <v>5238</v>
      </c>
      <c r="C1446" t="s">
        <v>4518</v>
      </c>
      <c r="D1446" t="s">
        <v>98</v>
      </c>
      <c r="E1446">
        <v>89.99</v>
      </c>
      <c r="F1446">
        <v>0</v>
      </c>
      <c r="H1446" t="s">
        <v>72</v>
      </c>
      <c r="I1446">
        <v>0</v>
      </c>
      <c r="J1446">
        <v>0</v>
      </c>
      <c r="K1446">
        <v>0</v>
      </c>
    </row>
    <row r="1447" spans="1:11" x14ac:dyDescent="0.2">
      <c r="A1447" t="s">
        <v>5235</v>
      </c>
      <c r="B1447" t="s">
        <v>5236</v>
      </c>
      <c r="C1447" t="s">
        <v>4518</v>
      </c>
      <c r="D1447" t="s">
        <v>98</v>
      </c>
      <c r="E1447">
        <v>89.99</v>
      </c>
      <c r="F1447">
        <v>0</v>
      </c>
      <c r="H1447" t="s">
        <v>72</v>
      </c>
      <c r="I1447">
        <v>0</v>
      </c>
      <c r="J1447">
        <v>0</v>
      </c>
      <c r="K1447">
        <v>0</v>
      </c>
    </row>
    <row r="1448" spans="1:11" x14ac:dyDescent="0.2">
      <c r="A1448" t="s">
        <v>5221</v>
      </c>
      <c r="B1448" t="s">
        <v>5222</v>
      </c>
      <c r="C1448" t="s">
        <v>4518</v>
      </c>
      <c r="D1448" t="s">
        <v>98</v>
      </c>
      <c r="E1448">
        <v>89.99</v>
      </c>
      <c r="F1448">
        <v>0</v>
      </c>
      <c r="H1448" t="s">
        <v>72</v>
      </c>
      <c r="I1448">
        <v>0</v>
      </c>
      <c r="J1448">
        <v>0</v>
      </c>
      <c r="K1448">
        <v>0</v>
      </c>
    </row>
    <row r="1449" spans="1:11" x14ac:dyDescent="0.2">
      <c r="A1449" t="s">
        <v>5223</v>
      </c>
      <c r="B1449" t="s">
        <v>5224</v>
      </c>
      <c r="C1449" t="s">
        <v>4518</v>
      </c>
      <c r="D1449" t="s">
        <v>98</v>
      </c>
      <c r="E1449">
        <v>89.99</v>
      </c>
      <c r="F1449">
        <v>0</v>
      </c>
      <c r="H1449" t="s">
        <v>72</v>
      </c>
      <c r="I1449">
        <v>0</v>
      </c>
      <c r="J1449">
        <v>0</v>
      </c>
      <c r="K1449">
        <v>0</v>
      </c>
    </row>
    <row r="1450" spans="1:11" x14ac:dyDescent="0.2">
      <c r="A1450" t="s">
        <v>5002</v>
      </c>
      <c r="B1450" t="s">
        <v>5003</v>
      </c>
      <c r="C1450" t="s">
        <v>4905</v>
      </c>
      <c r="D1450" t="s">
        <v>105</v>
      </c>
      <c r="E1450">
        <v>219</v>
      </c>
      <c r="F1450">
        <v>0</v>
      </c>
      <c r="G1450">
        <v>14</v>
      </c>
      <c r="H1450" t="s">
        <v>72</v>
      </c>
      <c r="I1450">
        <v>0.5</v>
      </c>
      <c r="J1450">
        <v>6</v>
      </c>
      <c r="K1450">
        <v>3</v>
      </c>
    </row>
    <row r="1451" spans="1:11" x14ac:dyDescent="0.2">
      <c r="A1451" t="s">
        <v>5225</v>
      </c>
      <c r="B1451" t="s">
        <v>5226</v>
      </c>
      <c r="C1451" t="s">
        <v>4518</v>
      </c>
      <c r="D1451" t="s">
        <v>98</v>
      </c>
      <c r="E1451">
        <v>89.99</v>
      </c>
      <c r="F1451">
        <v>0</v>
      </c>
      <c r="H1451" t="s">
        <v>72</v>
      </c>
      <c r="I1451">
        <v>0</v>
      </c>
      <c r="J1451">
        <v>0</v>
      </c>
      <c r="K1451">
        <v>0</v>
      </c>
    </row>
    <row r="1452" spans="1:11" x14ac:dyDescent="0.2">
      <c r="A1452" t="s">
        <v>5227</v>
      </c>
      <c r="B1452" t="s">
        <v>5228</v>
      </c>
      <c r="C1452" t="s">
        <v>4518</v>
      </c>
      <c r="D1452" t="s">
        <v>98</v>
      </c>
      <c r="E1452">
        <v>89.99</v>
      </c>
      <c r="F1452">
        <v>0</v>
      </c>
      <c r="H1452" t="s">
        <v>72</v>
      </c>
      <c r="I1452">
        <v>0</v>
      </c>
      <c r="J1452">
        <v>0</v>
      </c>
      <c r="K1452">
        <v>0</v>
      </c>
    </row>
    <row r="1453" spans="1:11" x14ac:dyDescent="0.2">
      <c r="A1453" t="s">
        <v>720</v>
      </c>
      <c r="B1453" t="s">
        <v>721</v>
      </c>
      <c r="C1453" t="s">
        <v>582</v>
      </c>
      <c r="D1453" t="s">
        <v>105</v>
      </c>
      <c r="E1453">
        <v>69.989999999999995</v>
      </c>
      <c r="F1453">
        <v>139.97999999999999</v>
      </c>
      <c r="G1453">
        <v>26</v>
      </c>
      <c r="H1453" t="s">
        <v>72</v>
      </c>
      <c r="I1453">
        <v>3.3333333333333335</v>
      </c>
      <c r="J1453">
        <v>32</v>
      </c>
      <c r="K1453">
        <v>106</v>
      </c>
    </row>
    <row r="1454" spans="1:11" x14ac:dyDescent="0.2">
      <c r="A1454" t="s">
        <v>5231</v>
      </c>
      <c r="B1454" t="s">
        <v>5232</v>
      </c>
      <c r="C1454" t="s">
        <v>4518</v>
      </c>
      <c r="D1454" t="s">
        <v>98</v>
      </c>
      <c r="E1454">
        <v>99.99</v>
      </c>
      <c r="F1454">
        <v>0</v>
      </c>
      <c r="H1454" t="s">
        <v>72</v>
      </c>
      <c r="I1454">
        <v>0</v>
      </c>
      <c r="J1454">
        <v>0</v>
      </c>
      <c r="K1454">
        <v>0</v>
      </c>
    </row>
    <row r="1455" spans="1:11" x14ac:dyDescent="0.2">
      <c r="A1455" t="s">
        <v>5211</v>
      </c>
      <c r="B1455" t="s">
        <v>5212</v>
      </c>
      <c r="C1455" t="s">
        <v>4518</v>
      </c>
      <c r="D1455" t="s">
        <v>98</v>
      </c>
      <c r="E1455">
        <v>89.99</v>
      </c>
      <c r="F1455">
        <v>0</v>
      </c>
      <c r="H1455" t="s">
        <v>72</v>
      </c>
      <c r="I1455">
        <v>0</v>
      </c>
      <c r="J1455">
        <v>0</v>
      </c>
      <c r="K1455">
        <v>0</v>
      </c>
    </row>
    <row r="1456" spans="1:11" x14ac:dyDescent="0.2">
      <c r="A1456" t="s">
        <v>5005</v>
      </c>
      <c r="B1456" t="s">
        <v>5006</v>
      </c>
      <c r="C1456" t="s">
        <v>4905</v>
      </c>
      <c r="D1456" t="s">
        <v>105</v>
      </c>
      <c r="E1456">
        <v>199</v>
      </c>
      <c r="F1456">
        <v>0</v>
      </c>
      <c r="H1456" t="s">
        <v>72</v>
      </c>
      <c r="I1456">
        <v>0.16666666666666666</v>
      </c>
      <c r="J1456">
        <v>192</v>
      </c>
      <c r="K1456">
        <v>32</v>
      </c>
    </row>
    <row r="1457" spans="1:11" x14ac:dyDescent="0.2">
      <c r="A1457" t="s">
        <v>5660</v>
      </c>
      <c r="B1457" t="s">
        <v>5661</v>
      </c>
      <c r="C1457" t="s">
        <v>4518</v>
      </c>
      <c r="D1457" t="s">
        <v>98</v>
      </c>
      <c r="E1457">
        <v>89.99</v>
      </c>
      <c r="F1457">
        <v>0</v>
      </c>
      <c r="H1457" t="s">
        <v>72</v>
      </c>
      <c r="I1457">
        <v>0</v>
      </c>
      <c r="J1457">
        <v>0</v>
      </c>
      <c r="K1457">
        <v>0</v>
      </c>
    </row>
    <row r="1458" spans="1:11" x14ac:dyDescent="0.2">
      <c r="A1458" t="s">
        <v>5207</v>
      </c>
      <c r="B1458" t="s">
        <v>5208</v>
      </c>
      <c r="C1458" t="s">
        <v>4518</v>
      </c>
      <c r="D1458" t="s">
        <v>98</v>
      </c>
      <c r="E1458">
        <v>89.99</v>
      </c>
      <c r="F1458">
        <v>0</v>
      </c>
      <c r="H1458" t="s">
        <v>72</v>
      </c>
      <c r="I1458">
        <v>0</v>
      </c>
      <c r="J1458">
        <v>0</v>
      </c>
      <c r="K1458">
        <v>0</v>
      </c>
    </row>
    <row r="1459" spans="1:11" x14ac:dyDescent="0.2">
      <c r="A1459" t="s">
        <v>603</v>
      </c>
      <c r="B1459" t="s">
        <v>604</v>
      </c>
      <c r="C1459" t="s">
        <v>582</v>
      </c>
      <c r="D1459" t="s">
        <v>138</v>
      </c>
      <c r="E1459">
        <v>269.99</v>
      </c>
      <c r="F1459">
        <v>0</v>
      </c>
      <c r="G1459">
        <v>2</v>
      </c>
      <c r="H1459" t="s">
        <v>72</v>
      </c>
      <c r="I1459">
        <v>0</v>
      </c>
      <c r="J1459">
        <v>0</v>
      </c>
      <c r="K1459">
        <v>0</v>
      </c>
    </row>
    <row r="1460" spans="1:11" x14ac:dyDescent="0.2">
      <c r="A1460" t="s">
        <v>4565</v>
      </c>
      <c r="B1460" t="s">
        <v>4566</v>
      </c>
      <c r="C1460" t="s">
        <v>4518</v>
      </c>
      <c r="D1460" t="s">
        <v>138</v>
      </c>
      <c r="E1460">
        <v>159.99</v>
      </c>
      <c r="F1460">
        <v>0</v>
      </c>
      <c r="G1460">
        <v>14</v>
      </c>
      <c r="H1460" t="s">
        <v>72</v>
      </c>
      <c r="I1460">
        <v>0</v>
      </c>
      <c r="J1460">
        <v>0</v>
      </c>
      <c r="K1460">
        <v>0</v>
      </c>
    </row>
    <row r="1461" spans="1:11" x14ac:dyDescent="0.2">
      <c r="A1461" t="s">
        <v>4553</v>
      </c>
      <c r="B1461" t="s">
        <v>4554</v>
      </c>
      <c r="C1461" t="s">
        <v>4518</v>
      </c>
      <c r="D1461" t="s">
        <v>105</v>
      </c>
      <c r="E1461">
        <v>99.99</v>
      </c>
      <c r="F1461">
        <v>199.98</v>
      </c>
      <c r="G1461">
        <v>68</v>
      </c>
      <c r="H1461" t="s">
        <v>72</v>
      </c>
      <c r="I1461">
        <v>1.5</v>
      </c>
      <c r="J1461">
        <v>46</v>
      </c>
      <c r="K1461">
        <v>69</v>
      </c>
    </row>
    <row r="1462" spans="1:11" x14ac:dyDescent="0.2">
      <c r="A1462" t="s">
        <v>644</v>
      </c>
      <c r="B1462" t="s">
        <v>645</v>
      </c>
      <c r="C1462" t="s">
        <v>582</v>
      </c>
      <c r="D1462" t="s">
        <v>98</v>
      </c>
      <c r="E1462">
        <v>79.989999999999995</v>
      </c>
      <c r="F1462">
        <v>0</v>
      </c>
      <c r="H1462" t="s">
        <v>72</v>
      </c>
      <c r="I1462">
        <v>0</v>
      </c>
      <c r="J1462">
        <v>0</v>
      </c>
      <c r="K1462">
        <v>1</v>
      </c>
    </row>
    <row r="1463" spans="1:11" x14ac:dyDescent="0.2">
      <c r="A1463" t="s">
        <v>714</v>
      </c>
      <c r="B1463" t="s">
        <v>715</v>
      </c>
      <c r="C1463" t="s">
        <v>582</v>
      </c>
      <c r="D1463" t="s">
        <v>98</v>
      </c>
      <c r="E1463">
        <v>49.99</v>
      </c>
      <c r="F1463">
        <v>0</v>
      </c>
      <c r="H1463" t="s">
        <v>72</v>
      </c>
      <c r="I1463">
        <v>0</v>
      </c>
      <c r="J1463">
        <v>0</v>
      </c>
      <c r="K1463">
        <v>1</v>
      </c>
    </row>
    <row r="1464" spans="1:11" x14ac:dyDescent="0.2">
      <c r="A1464" t="s">
        <v>601</v>
      </c>
      <c r="B1464" t="s">
        <v>602</v>
      </c>
      <c r="C1464" t="s">
        <v>582</v>
      </c>
      <c r="D1464" t="s">
        <v>105</v>
      </c>
      <c r="E1464">
        <v>29.99</v>
      </c>
      <c r="F1464">
        <v>0</v>
      </c>
      <c r="G1464">
        <v>320</v>
      </c>
      <c r="H1464" t="s">
        <v>72</v>
      </c>
      <c r="I1464">
        <v>0</v>
      </c>
      <c r="J1464">
        <v>0</v>
      </c>
      <c r="K1464">
        <v>38</v>
      </c>
    </row>
    <row r="1465" spans="1:11" x14ac:dyDescent="0.2">
      <c r="A1465" t="s">
        <v>4549</v>
      </c>
      <c r="B1465" t="s">
        <v>4550</v>
      </c>
      <c r="C1465" t="s">
        <v>4518</v>
      </c>
      <c r="D1465" t="s">
        <v>105</v>
      </c>
      <c r="E1465">
        <v>149.99</v>
      </c>
      <c r="F1465">
        <v>149.99</v>
      </c>
      <c r="G1465">
        <v>14</v>
      </c>
      <c r="H1465" t="s">
        <v>72</v>
      </c>
      <c r="I1465">
        <v>0.16666666666666666</v>
      </c>
      <c r="J1465">
        <v>66</v>
      </c>
      <c r="K1465">
        <v>11</v>
      </c>
    </row>
    <row r="1466" spans="1:11" x14ac:dyDescent="0.2">
      <c r="A1466" t="s">
        <v>746</v>
      </c>
      <c r="B1466" t="s">
        <v>747</v>
      </c>
      <c r="C1466" t="s">
        <v>582</v>
      </c>
      <c r="D1466" t="s">
        <v>105</v>
      </c>
      <c r="E1466">
        <v>29.99</v>
      </c>
      <c r="F1466">
        <v>0</v>
      </c>
      <c r="G1466">
        <v>1252</v>
      </c>
      <c r="H1466" t="s">
        <v>72</v>
      </c>
      <c r="I1466">
        <v>0</v>
      </c>
      <c r="J1466">
        <v>0</v>
      </c>
      <c r="K1466">
        <v>4</v>
      </c>
    </row>
    <row r="1467" spans="1:11" x14ac:dyDescent="0.2">
      <c r="A1467" t="s">
        <v>5203</v>
      </c>
      <c r="B1467" t="s">
        <v>5204</v>
      </c>
      <c r="C1467" t="s">
        <v>4518</v>
      </c>
      <c r="D1467" t="s">
        <v>98</v>
      </c>
      <c r="E1467">
        <v>109.99</v>
      </c>
      <c r="F1467">
        <v>0</v>
      </c>
      <c r="H1467" t="s">
        <v>72</v>
      </c>
      <c r="I1467">
        <v>0</v>
      </c>
      <c r="J1467">
        <v>0</v>
      </c>
      <c r="K1467">
        <v>0</v>
      </c>
    </row>
    <row r="1468" spans="1:11" x14ac:dyDescent="0.2">
      <c r="A1468" t="s">
        <v>760</v>
      </c>
      <c r="B1468" t="s">
        <v>761</v>
      </c>
      <c r="C1468" t="s">
        <v>582</v>
      </c>
      <c r="D1468" t="s">
        <v>105</v>
      </c>
      <c r="E1468">
        <v>59.99</v>
      </c>
      <c r="F1468">
        <v>0</v>
      </c>
      <c r="H1468" t="s">
        <v>72</v>
      </c>
      <c r="I1468">
        <v>0</v>
      </c>
      <c r="J1468">
        <v>0</v>
      </c>
      <c r="K1468">
        <v>0</v>
      </c>
    </row>
    <row r="1469" spans="1:11" x14ac:dyDescent="0.2">
      <c r="A1469" t="s">
        <v>5662</v>
      </c>
      <c r="B1469" t="s">
        <v>5663</v>
      </c>
      <c r="C1469" t="s">
        <v>4518</v>
      </c>
      <c r="D1469" t="s">
        <v>98</v>
      </c>
      <c r="E1469">
        <v>129.99</v>
      </c>
      <c r="F1469">
        <v>0</v>
      </c>
      <c r="H1469" t="s">
        <v>72</v>
      </c>
      <c r="I1469">
        <v>0</v>
      </c>
      <c r="J1469">
        <v>0</v>
      </c>
      <c r="K1469">
        <v>0</v>
      </c>
    </row>
    <row r="1470" spans="1:11" x14ac:dyDescent="0.2">
      <c r="A1470" t="s">
        <v>5205</v>
      </c>
      <c r="B1470" t="s">
        <v>5206</v>
      </c>
      <c r="C1470" t="s">
        <v>4518</v>
      </c>
      <c r="D1470" t="s">
        <v>98</v>
      </c>
      <c r="E1470">
        <v>89.99</v>
      </c>
      <c r="F1470">
        <v>0</v>
      </c>
      <c r="H1470" t="s">
        <v>72</v>
      </c>
      <c r="I1470">
        <v>0</v>
      </c>
      <c r="J1470">
        <v>0</v>
      </c>
      <c r="K1470">
        <v>0</v>
      </c>
    </row>
    <row r="1471" spans="1:11" x14ac:dyDescent="0.2">
      <c r="A1471" t="s">
        <v>762</v>
      </c>
      <c r="B1471" t="s">
        <v>763</v>
      </c>
      <c r="C1471" t="s">
        <v>582</v>
      </c>
      <c r="D1471" t="s">
        <v>98</v>
      </c>
      <c r="E1471">
        <v>59.99</v>
      </c>
      <c r="F1471">
        <v>0</v>
      </c>
      <c r="H1471" t="s">
        <v>72</v>
      </c>
      <c r="I1471">
        <v>0</v>
      </c>
      <c r="J1471">
        <v>0</v>
      </c>
      <c r="K1471">
        <v>0</v>
      </c>
    </row>
    <row r="1472" spans="1:11" x14ac:dyDescent="0.2">
      <c r="A1472" t="s">
        <v>764</v>
      </c>
      <c r="B1472" t="s">
        <v>765</v>
      </c>
      <c r="C1472" t="s">
        <v>582</v>
      </c>
      <c r="D1472" t="s">
        <v>105</v>
      </c>
      <c r="E1472">
        <v>59.99</v>
      </c>
      <c r="F1472">
        <v>0</v>
      </c>
      <c r="H1472" t="s">
        <v>72</v>
      </c>
      <c r="I1472">
        <v>0</v>
      </c>
      <c r="J1472">
        <v>0</v>
      </c>
      <c r="K1472">
        <v>0</v>
      </c>
    </row>
    <row r="1473" spans="1:11" x14ac:dyDescent="0.2">
      <c r="A1473" t="s">
        <v>4322</v>
      </c>
      <c r="B1473" t="s">
        <v>4323</v>
      </c>
      <c r="C1473" t="s">
        <v>4283</v>
      </c>
      <c r="D1473" t="s">
        <v>105</v>
      </c>
      <c r="E1473">
        <v>299.99</v>
      </c>
      <c r="F1473">
        <v>0</v>
      </c>
      <c r="G1473">
        <v>5</v>
      </c>
      <c r="H1473" t="s">
        <v>72</v>
      </c>
      <c r="I1473">
        <v>0</v>
      </c>
      <c r="J1473">
        <v>0</v>
      </c>
      <c r="K1473">
        <v>0</v>
      </c>
    </row>
    <row r="1474" spans="1:11" x14ac:dyDescent="0.2">
      <c r="A1474" t="s">
        <v>4442</v>
      </c>
      <c r="B1474" t="s">
        <v>4441</v>
      </c>
      <c r="C1474" t="s">
        <v>4437</v>
      </c>
      <c r="D1474" t="s">
        <v>98</v>
      </c>
      <c r="E1474">
        <v>99.99</v>
      </c>
      <c r="F1474">
        <v>0</v>
      </c>
      <c r="H1474" t="s">
        <v>72</v>
      </c>
      <c r="I1474">
        <v>0</v>
      </c>
      <c r="J1474">
        <v>0</v>
      </c>
      <c r="K1474">
        <v>0</v>
      </c>
    </row>
    <row r="1475" spans="1:11" x14ac:dyDescent="0.2">
      <c r="A1475" t="s">
        <v>5094</v>
      </c>
      <c r="B1475" t="s">
        <v>5095</v>
      </c>
      <c r="C1475" t="s">
        <v>582</v>
      </c>
      <c r="D1475" t="s">
        <v>98</v>
      </c>
      <c r="E1475">
        <v>69.989999999999995</v>
      </c>
      <c r="F1475">
        <v>0</v>
      </c>
      <c r="H1475" t="s">
        <v>72</v>
      </c>
      <c r="I1475">
        <v>0</v>
      </c>
      <c r="J1475">
        <v>0</v>
      </c>
      <c r="K1475">
        <v>0</v>
      </c>
    </row>
    <row r="1476" spans="1:11" x14ac:dyDescent="0.2">
      <c r="A1476" t="s">
        <v>4123</v>
      </c>
      <c r="B1476" t="s">
        <v>4124</v>
      </c>
      <c r="C1476" t="s">
        <v>3929</v>
      </c>
      <c r="D1476" t="s">
        <v>105</v>
      </c>
      <c r="E1476">
        <v>29.99</v>
      </c>
      <c r="F1476">
        <v>0</v>
      </c>
      <c r="G1476">
        <v>3</v>
      </c>
      <c r="H1476" t="s">
        <v>72</v>
      </c>
      <c r="I1476">
        <v>0</v>
      </c>
      <c r="J1476">
        <v>0</v>
      </c>
      <c r="K1476">
        <v>0</v>
      </c>
    </row>
    <row r="1477" spans="1:11" x14ac:dyDescent="0.2">
      <c r="A1477" t="s">
        <v>5313</v>
      </c>
      <c r="B1477" t="s">
        <v>5314</v>
      </c>
      <c r="C1477" t="s">
        <v>874</v>
      </c>
      <c r="D1477" t="s">
        <v>98</v>
      </c>
      <c r="E1477">
        <v>39.99</v>
      </c>
      <c r="F1477">
        <v>0</v>
      </c>
      <c r="H1477" t="s">
        <v>72</v>
      </c>
      <c r="I1477">
        <v>0</v>
      </c>
      <c r="J1477">
        <v>0</v>
      </c>
      <c r="K1477">
        <v>0</v>
      </c>
    </row>
    <row r="1478" spans="1:11" x14ac:dyDescent="0.2">
      <c r="A1478" t="s">
        <v>5664</v>
      </c>
      <c r="B1478" t="s">
        <v>5665</v>
      </c>
      <c r="C1478" t="s">
        <v>95</v>
      </c>
      <c r="D1478" t="s">
        <v>98</v>
      </c>
      <c r="E1478">
        <v>99.99</v>
      </c>
      <c r="F1478">
        <v>0</v>
      </c>
      <c r="H1478" t="s">
        <v>72</v>
      </c>
      <c r="I1478">
        <v>0</v>
      </c>
      <c r="J1478">
        <v>0</v>
      </c>
      <c r="K1478">
        <v>1</v>
      </c>
    </row>
    <row r="1479" spans="1:11" x14ac:dyDescent="0.2">
      <c r="A1479" t="s">
        <v>5337</v>
      </c>
      <c r="B1479" t="s">
        <v>5338</v>
      </c>
      <c r="C1479" t="s">
        <v>874</v>
      </c>
      <c r="D1479" t="s">
        <v>98</v>
      </c>
      <c r="E1479">
        <v>119.99</v>
      </c>
      <c r="F1479">
        <v>0</v>
      </c>
      <c r="H1479" t="s">
        <v>72</v>
      </c>
      <c r="I1479">
        <v>0</v>
      </c>
      <c r="J1479">
        <v>0</v>
      </c>
      <c r="K1479">
        <v>0</v>
      </c>
    </row>
    <row r="1480" spans="1:11" x14ac:dyDescent="0.2">
      <c r="A1480" t="s">
        <v>4121</v>
      </c>
      <c r="B1480" t="s">
        <v>4122</v>
      </c>
      <c r="C1480" t="s">
        <v>3929</v>
      </c>
      <c r="D1480" t="s">
        <v>105</v>
      </c>
      <c r="E1480">
        <v>44.99</v>
      </c>
      <c r="F1480">
        <v>0</v>
      </c>
      <c r="G1480">
        <v>27</v>
      </c>
      <c r="H1480" t="s">
        <v>72</v>
      </c>
      <c r="I1480">
        <v>0</v>
      </c>
      <c r="J1480">
        <v>0</v>
      </c>
      <c r="K1480">
        <v>0</v>
      </c>
    </row>
    <row r="1481" spans="1:11" x14ac:dyDescent="0.2">
      <c r="A1481" t="s">
        <v>5499</v>
      </c>
      <c r="B1481" t="s">
        <v>5500</v>
      </c>
      <c r="C1481" t="s">
        <v>5039</v>
      </c>
      <c r="D1481" t="s">
        <v>98</v>
      </c>
      <c r="E1481">
        <v>39.99</v>
      </c>
      <c r="F1481">
        <v>0</v>
      </c>
      <c r="H1481" t="s">
        <v>72</v>
      </c>
      <c r="I1481">
        <v>0</v>
      </c>
      <c r="J1481">
        <v>0</v>
      </c>
      <c r="K1481">
        <v>0</v>
      </c>
    </row>
    <row r="1482" spans="1:11" x14ac:dyDescent="0.2">
      <c r="A1482" t="s">
        <v>5185</v>
      </c>
      <c r="B1482" t="s">
        <v>5186</v>
      </c>
      <c r="C1482" t="s">
        <v>874</v>
      </c>
      <c r="D1482" t="s">
        <v>98</v>
      </c>
      <c r="E1482">
        <v>59.99</v>
      </c>
      <c r="F1482">
        <v>0</v>
      </c>
      <c r="H1482" t="s">
        <v>72</v>
      </c>
      <c r="I1482">
        <v>0</v>
      </c>
      <c r="J1482">
        <v>0</v>
      </c>
      <c r="K1482">
        <v>0</v>
      </c>
    </row>
    <row r="1483" spans="1:11" x14ac:dyDescent="0.2">
      <c r="A1483" t="s">
        <v>5449</v>
      </c>
      <c r="B1483" t="s">
        <v>5450</v>
      </c>
      <c r="C1483" t="s">
        <v>904</v>
      </c>
      <c r="D1483" t="s">
        <v>98</v>
      </c>
      <c r="E1483">
        <v>199.99</v>
      </c>
      <c r="F1483">
        <v>0</v>
      </c>
      <c r="H1483" t="s">
        <v>72</v>
      </c>
      <c r="I1483">
        <v>0</v>
      </c>
      <c r="J1483">
        <v>0</v>
      </c>
      <c r="K1483">
        <v>0</v>
      </c>
    </row>
    <row r="1484" spans="1:11" x14ac:dyDescent="0.2">
      <c r="A1484" t="s">
        <v>5116</v>
      </c>
      <c r="B1484" t="s">
        <v>5117</v>
      </c>
      <c r="C1484" t="s">
        <v>3929</v>
      </c>
      <c r="D1484" t="s">
        <v>138</v>
      </c>
      <c r="E1484">
        <v>209.99</v>
      </c>
      <c r="F1484">
        <v>0</v>
      </c>
      <c r="H1484" t="s">
        <v>72</v>
      </c>
      <c r="I1484">
        <v>0</v>
      </c>
      <c r="J1484">
        <v>0</v>
      </c>
      <c r="K1484">
        <v>0</v>
      </c>
    </row>
    <row r="1485" spans="1:11" x14ac:dyDescent="0.2">
      <c r="A1485" t="s">
        <v>5054</v>
      </c>
      <c r="B1485" t="s">
        <v>5055</v>
      </c>
      <c r="C1485" t="s">
        <v>5039</v>
      </c>
      <c r="D1485" t="s">
        <v>98</v>
      </c>
      <c r="E1485">
        <v>99.99</v>
      </c>
      <c r="F1485">
        <v>0</v>
      </c>
      <c r="H1485" t="s">
        <v>72</v>
      </c>
      <c r="I1485">
        <v>0</v>
      </c>
      <c r="J1485">
        <v>0</v>
      </c>
      <c r="K1485">
        <v>0</v>
      </c>
    </row>
    <row r="1486" spans="1:11" x14ac:dyDescent="0.2">
      <c r="A1486" t="s">
        <v>295</v>
      </c>
      <c r="B1486" t="s">
        <v>296</v>
      </c>
      <c r="C1486" t="s">
        <v>288</v>
      </c>
      <c r="D1486" t="s">
        <v>98</v>
      </c>
      <c r="E1486">
        <v>199.99</v>
      </c>
      <c r="F1486">
        <v>0</v>
      </c>
      <c r="H1486" t="s">
        <v>72</v>
      </c>
      <c r="I1486">
        <v>0</v>
      </c>
      <c r="J1486">
        <v>0</v>
      </c>
      <c r="K1486">
        <v>0</v>
      </c>
    </row>
    <row r="1487" spans="1:11" x14ac:dyDescent="0.2">
      <c r="A1487" t="s">
        <v>5197</v>
      </c>
      <c r="B1487" t="s">
        <v>5198</v>
      </c>
      <c r="C1487" t="s">
        <v>874</v>
      </c>
      <c r="D1487" t="s">
        <v>98</v>
      </c>
      <c r="E1487">
        <v>29.99</v>
      </c>
      <c r="F1487">
        <v>0</v>
      </c>
      <c r="H1487" t="s">
        <v>72</v>
      </c>
      <c r="I1487">
        <v>0</v>
      </c>
      <c r="J1487">
        <v>0</v>
      </c>
      <c r="K1487">
        <v>0</v>
      </c>
    </row>
    <row r="1488" spans="1:11" x14ac:dyDescent="0.2">
      <c r="A1488" t="s">
        <v>5534</v>
      </c>
      <c r="B1488" t="s">
        <v>5535</v>
      </c>
      <c r="C1488" t="s">
        <v>5039</v>
      </c>
      <c r="D1488" t="s">
        <v>98</v>
      </c>
      <c r="E1488">
        <v>49.99</v>
      </c>
      <c r="F1488">
        <v>0</v>
      </c>
      <c r="H1488" t="s">
        <v>72</v>
      </c>
      <c r="I1488">
        <v>0</v>
      </c>
      <c r="J1488">
        <v>0</v>
      </c>
      <c r="K1488">
        <v>0</v>
      </c>
    </row>
    <row r="1489" spans="1:11" x14ac:dyDescent="0.2">
      <c r="A1489" t="s">
        <v>5187</v>
      </c>
      <c r="B1489" t="s">
        <v>5188</v>
      </c>
      <c r="C1489" t="s">
        <v>874</v>
      </c>
      <c r="D1489" t="s">
        <v>98</v>
      </c>
      <c r="E1489">
        <v>19.989999999999998</v>
      </c>
      <c r="F1489">
        <v>0</v>
      </c>
      <c r="H1489" t="s">
        <v>72</v>
      </c>
      <c r="I1489">
        <v>0</v>
      </c>
      <c r="J1489">
        <v>0</v>
      </c>
      <c r="K1489">
        <v>0</v>
      </c>
    </row>
    <row r="1490" spans="1:11" x14ac:dyDescent="0.2">
      <c r="A1490" t="s">
        <v>4115</v>
      </c>
      <c r="B1490" t="s">
        <v>4116</v>
      </c>
      <c r="C1490" t="s">
        <v>3929</v>
      </c>
      <c r="D1490" t="s">
        <v>105</v>
      </c>
      <c r="E1490">
        <v>44.99</v>
      </c>
      <c r="F1490">
        <v>0</v>
      </c>
      <c r="G1490">
        <v>2</v>
      </c>
      <c r="H1490" t="s">
        <v>72</v>
      </c>
      <c r="I1490">
        <v>0</v>
      </c>
      <c r="J1490">
        <v>0</v>
      </c>
      <c r="K1490">
        <v>0</v>
      </c>
    </row>
    <row r="1491" spans="1:11" x14ac:dyDescent="0.2">
      <c r="A1491" t="s">
        <v>5429</v>
      </c>
      <c r="B1491" t="s">
        <v>5430</v>
      </c>
      <c r="C1491" t="s">
        <v>904</v>
      </c>
      <c r="D1491" t="s">
        <v>98</v>
      </c>
      <c r="E1491">
        <v>169.99</v>
      </c>
      <c r="F1491">
        <v>0</v>
      </c>
      <c r="H1491" t="s">
        <v>72</v>
      </c>
      <c r="I1491">
        <v>0</v>
      </c>
      <c r="J1491">
        <v>0</v>
      </c>
      <c r="K1491">
        <v>0</v>
      </c>
    </row>
    <row r="1492" spans="1:11" x14ac:dyDescent="0.2">
      <c r="A1492" t="s">
        <v>5148</v>
      </c>
      <c r="B1492" t="s">
        <v>5149</v>
      </c>
      <c r="C1492" t="s">
        <v>874</v>
      </c>
      <c r="D1492" t="s">
        <v>98</v>
      </c>
      <c r="E1492">
        <v>39.99</v>
      </c>
      <c r="F1492">
        <v>0</v>
      </c>
      <c r="H1492" t="s">
        <v>72</v>
      </c>
      <c r="I1492">
        <v>0</v>
      </c>
      <c r="J1492">
        <v>0</v>
      </c>
      <c r="K1492">
        <v>0</v>
      </c>
    </row>
    <row r="1493" spans="1:11" x14ac:dyDescent="0.2">
      <c r="A1493" t="s">
        <v>4113</v>
      </c>
      <c r="B1493" t="s">
        <v>4114</v>
      </c>
      <c r="C1493" t="s">
        <v>3929</v>
      </c>
      <c r="D1493" t="s">
        <v>105</v>
      </c>
      <c r="E1493">
        <v>54.99</v>
      </c>
      <c r="F1493">
        <v>0</v>
      </c>
      <c r="G1493">
        <v>18</v>
      </c>
      <c r="H1493" t="s">
        <v>72</v>
      </c>
      <c r="I1493">
        <v>0</v>
      </c>
      <c r="J1493">
        <v>0</v>
      </c>
      <c r="K1493">
        <v>0</v>
      </c>
    </row>
    <row r="1494" spans="1:11" x14ac:dyDescent="0.2">
      <c r="A1494" t="s">
        <v>5136</v>
      </c>
      <c r="B1494" t="s">
        <v>5137</v>
      </c>
      <c r="C1494" t="s">
        <v>874</v>
      </c>
      <c r="D1494" t="s">
        <v>98</v>
      </c>
      <c r="E1494">
        <v>59.99</v>
      </c>
      <c r="F1494">
        <v>0</v>
      </c>
      <c r="H1494" t="s">
        <v>72</v>
      </c>
      <c r="I1494">
        <v>0</v>
      </c>
      <c r="J1494">
        <v>0</v>
      </c>
      <c r="K1494">
        <v>0</v>
      </c>
    </row>
    <row r="1495" spans="1:11" x14ac:dyDescent="0.2">
      <c r="A1495" t="s">
        <v>5183</v>
      </c>
      <c r="B1495" t="s">
        <v>5184</v>
      </c>
      <c r="C1495" t="s">
        <v>874</v>
      </c>
      <c r="D1495" t="s">
        <v>98</v>
      </c>
      <c r="E1495">
        <v>29.99</v>
      </c>
      <c r="F1495">
        <v>0</v>
      </c>
      <c r="H1495" t="s">
        <v>72</v>
      </c>
      <c r="I1495">
        <v>0</v>
      </c>
      <c r="J1495">
        <v>0</v>
      </c>
      <c r="K1495">
        <v>0</v>
      </c>
    </row>
    <row r="1496" spans="1:11" x14ac:dyDescent="0.2">
      <c r="A1496" t="s">
        <v>297</v>
      </c>
      <c r="B1496" t="s">
        <v>298</v>
      </c>
      <c r="C1496" t="s">
        <v>288</v>
      </c>
      <c r="D1496" t="s">
        <v>98</v>
      </c>
      <c r="E1496">
        <v>199.99</v>
      </c>
      <c r="F1496">
        <v>0</v>
      </c>
      <c r="H1496" t="s">
        <v>72</v>
      </c>
      <c r="I1496">
        <v>0</v>
      </c>
      <c r="J1496">
        <v>0</v>
      </c>
      <c r="K1496">
        <v>2</v>
      </c>
    </row>
    <row r="1497" spans="1:11" x14ac:dyDescent="0.2">
      <c r="A1497" t="s">
        <v>5323</v>
      </c>
      <c r="B1497" t="s">
        <v>5324</v>
      </c>
      <c r="C1497" t="s">
        <v>874</v>
      </c>
      <c r="D1497" t="s">
        <v>98</v>
      </c>
      <c r="E1497">
        <v>79.989999999999995</v>
      </c>
      <c r="F1497">
        <v>0</v>
      </c>
      <c r="H1497" t="s">
        <v>72</v>
      </c>
      <c r="I1497">
        <v>0</v>
      </c>
      <c r="J1497">
        <v>0</v>
      </c>
      <c r="K1497">
        <v>0</v>
      </c>
    </row>
    <row r="1498" spans="1:11" x14ac:dyDescent="0.2">
      <c r="A1498" t="s">
        <v>299</v>
      </c>
      <c r="B1498" t="s">
        <v>300</v>
      </c>
      <c r="C1498" t="s">
        <v>288</v>
      </c>
      <c r="D1498" t="s">
        <v>98</v>
      </c>
      <c r="E1498">
        <v>199.99</v>
      </c>
      <c r="F1498">
        <v>0</v>
      </c>
      <c r="H1498" t="s">
        <v>72</v>
      </c>
      <c r="I1498">
        <v>0</v>
      </c>
      <c r="J1498">
        <v>0</v>
      </c>
      <c r="K1498">
        <v>0</v>
      </c>
    </row>
    <row r="1499" spans="1:11" x14ac:dyDescent="0.2">
      <c r="A1499" t="s">
        <v>4161</v>
      </c>
      <c r="B1499" t="s">
        <v>4162</v>
      </c>
      <c r="C1499" t="s">
        <v>3929</v>
      </c>
      <c r="D1499" t="s">
        <v>105</v>
      </c>
      <c r="E1499">
        <v>139.99</v>
      </c>
      <c r="F1499">
        <v>0</v>
      </c>
      <c r="H1499" t="s">
        <v>72</v>
      </c>
      <c r="I1499">
        <v>0</v>
      </c>
      <c r="J1499">
        <v>0</v>
      </c>
      <c r="K1499">
        <v>0</v>
      </c>
    </row>
    <row r="1500" spans="1:11" x14ac:dyDescent="0.2">
      <c r="A1500" t="s">
        <v>5510</v>
      </c>
      <c r="B1500" t="s">
        <v>5511</v>
      </c>
      <c r="C1500" t="s">
        <v>5039</v>
      </c>
      <c r="D1500" t="s">
        <v>98</v>
      </c>
      <c r="E1500">
        <v>69.989999999999995</v>
      </c>
      <c r="F1500">
        <v>0</v>
      </c>
      <c r="H1500" t="s">
        <v>72</v>
      </c>
      <c r="I1500">
        <v>0</v>
      </c>
      <c r="J1500">
        <v>0</v>
      </c>
      <c r="K1500">
        <v>0</v>
      </c>
    </row>
    <row r="1501" spans="1:11" x14ac:dyDescent="0.2">
      <c r="A1501" t="s">
        <v>99</v>
      </c>
      <c r="B1501" t="s">
        <v>100</v>
      </c>
      <c r="C1501" t="s">
        <v>95</v>
      </c>
      <c r="D1501" t="s">
        <v>98</v>
      </c>
      <c r="E1501">
        <v>129.99</v>
      </c>
      <c r="F1501">
        <v>0</v>
      </c>
      <c r="H1501" t="s">
        <v>72</v>
      </c>
      <c r="I1501">
        <v>0</v>
      </c>
      <c r="J1501">
        <v>0</v>
      </c>
      <c r="K1501">
        <v>0</v>
      </c>
    </row>
    <row r="1502" spans="1:11" x14ac:dyDescent="0.2">
      <c r="A1502" t="s">
        <v>5503</v>
      </c>
      <c r="B1502" t="s">
        <v>5504</v>
      </c>
      <c r="C1502" t="s">
        <v>5039</v>
      </c>
      <c r="D1502" t="s">
        <v>98</v>
      </c>
      <c r="E1502">
        <v>79.989999999999995</v>
      </c>
      <c r="F1502">
        <v>0</v>
      </c>
      <c r="H1502" t="s">
        <v>72</v>
      </c>
      <c r="I1502">
        <v>0</v>
      </c>
      <c r="J1502">
        <v>0</v>
      </c>
      <c r="K1502">
        <v>0</v>
      </c>
    </row>
    <row r="1503" spans="1:11" x14ac:dyDescent="0.2">
      <c r="A1503" t="s">
        <v>5489</v>
      </c>
      <c r="B1503" t="s">
        <v>5490</v>
      </c>
      <c r="C1503" t="s">
        <v>5039</v>
      </c>
      <c r="D1503" t="s">
        <v>98</v>
      </c>
      <c r="E1503">
        <v>149.99</v>
      </c>
      <c r="F1503">
        <v>0</v>
      </c>
      <c r="H1503" t="s">
        <v>72</v>
      </c>
      <c r="I1503">
        <v>0</v>
      </c>
      <c r="J1503">
        <v>0</v>
      </c>
      <c r="K1503">
        <v>0</v>
      </c>
    </row>
    <row r="1504" spans="1:11" x14ac:dyDescent="0.2">
      <c r="A1504" t="s">
        <v>5386</v>
      </c>
      <c r="B1504" t="s">
        <v>5387</v>
      </c>
      <c r="C1504" t="s">
        <v>5388</v>
      </c>
      <c r="D1504" t="s">
        <v>98</v>
      </c>
      <c r="E1504">
        <v>689.99</v>
      </c>
      <c r="F1504">
        <v>0</v>
      </c>
      <c r="H1504" t="s">
        <v>72</v>
      </c>
      <c r="I1504">
        <v>0</v>
      </c>
      <c r="J1504">
        <v>0</v>
      </c>
      <c r="K1504">
        <v>0</v>
      </c>
    </row>
    <row r="1505" spans="1:11" x14ac:dyDescent="0.2">
      <c r="A1505" t="s">
        <v>5280</v>
      </c>
      <c r="B1505" t="s">
        <v>5281</v>
      </c>
      <c r="C1505" t="s">
        <v>582</v>
      </c>
      <c r="D1505" t="s">
        <v>98</v>
      </c>
      <c r="E1505">
        <v>179.99</v>
      </c>
      <c r="F1505">
        <v>0</v>
      </c>
      <c r="H1505" t="s">
        <v>72</v>
      </c>
      <c r="I1505">
        <v>0</v>
      </c>
      <c r="J1505">
        <v>0</v>
      </c>
      <c r="K1505">
        <v>0</v>
      </c>
    </row>
    <row r="1506" spans="1:11" x14ac:dyDescent="0.2">
      <c r="A1506" t="s">
        <v>5272</v>
      </c>
      <c r="B1506" t="s">
        <v>5273</v>
      </c>
      <c r="C1506" t="s">
        <v>582</v>
      </c>
      <c r="D1506" t="s">
        <v>98</v>
      </c>
      <c r="E1506">
        <v>189.99</v>
      </c>
      <c r="F1506">
        <v>0</v>
      </c>
      <c r="H1506" t="s">
        <v>72</v>
      </c>
      <c r="I1506">
        <v>0</v>
      </c>
      <c r="J1506">
        <v>0</v>
      </c>
      <c r="K1506">
        <v>0</v>
      </c>
    </row>
    <row r="1507" spans="1:11" x14ac:dyDescent="0.2">
      <c r="A1507" t="s">
        <v>116</v>
      </c>
      <c r="B1507" t="s">
        <v>117</v>
      </c>
      <c r="C1507" t="s">
        <v>95</v>
      </c>
      <c r="D1507" t="s">
        <v>98</v>
      </c>
      <c r="E1507">
        <v>129.99</v>
      </c>
      <c r="F1507">
        <v>0</v>
      </c>
      <c r="H1507" t="s">
        <v>72</v>
      </c>
      <c r="I1507">
        <v>0</v>
      </c>
      <c r="J1507">
        <v>0</v>
      </c>
      <c r="K1507">
        <v>0</v>
      </c>
    </row>
    <row r="1508" spans="1:11" x14ac:dyDescent="0.2">
      <c r="A1508" t="s">
        <v>112</v>
      </c>
      <c r="B1508" t="s">
        <v>113</v>
      </c>
      <c r="C1508" t="s">
        <v>95</v>
      </c>
      <c r="D1508" t="s">
        <v>98</v>
      </c>
      <c r="E1508">
        <v>99.99</v>
      </c>
      <c r="F1508">
        <v>0</v>
      </c>
      <c r="H1508" t="s">
        <v>72</v>
      </c>
      <c r="I1508">
        <v>0</v>
      </c>
      <c r="J1508">
        <v>0</v>
      </c>
      <c r="K1508">
        <v>1</v>
      </c>
    </row>
    <row r="1509" spans="1:11" x14ac:dyDescent="0.2">
      <c r="A1509" t="s">
        <v>5110</v>
      </c>
      <c r="B1509" t="s">
        <v>5111</v>
      </c>
      <c r="C1509" t="s">
        <v>3929</v>
      </c>
      <c r="D1509" t="s">
        <v>98</v>
      </c>
      <c r="E1509">
        <v>59.99</v>
      </c>
      <c r="F1509">
        <v>0</v>
      </c>
      <c r="H1509" t="s">
        <v>72</v>
      </c>
      <c r="I1509">
        <v>0</v>
      </c>
      <c r="J1509">
        <v>0</v>
      </c>
      <c r="K1509">
        <v>0</v>
      </c>
    </row>
    <row r="1510" spans="1:11" x14ac:dyDescent="0.2">
      <c r="A1510" t="s">
        <v>5501</v>
      </c>
      <c r="B1510" t="s">
        <v>5502</v>
      </c>
      <c r="C1510" t="s">
        <v>5039</v>
      </c>
      <c r="D1510" t="s">
        <v>98</v>
      </c>
      <c r="E1510">
        <v>79.989999999999995</v>
      </c>
      <c r="F1510">
        <v>0</v>
      </c>
      <c r="H1510" t="s">
        <v>72</v>
      </c>
      <c r="I1510">
        <v>0</v>
      </c>
      <c r="J1510">
        <v>0</v>
      </c>
      <c r="K1510">
        <v>0</v>
      </c>
    </row>
    <row r="1511" spans="1:11" x14ac:dyDescent="0.2">
      <c r="A1511" t="s">
        <v>370</v>
      </c>
      <c r="B1511" t="s">
        <v>371</v>
      </c>
      <c r="C1511" t="s">
        <v>307</v>
      </c>
      <c r="D1511" t="s">
        <v>98</v>
      </c>
      <c r="E1511">
        <v>1199.99</v>
      </c>
      <c r="F1511">
        <v>0</v>
      </c>
      <c r="H1511" t="s">
        <v>72</v>
      </c>
      <c r="I1511">
        <v>0</v>
      </c>
      <c r="J1511">
        <v>0</v>
      </c>
      <c r="K1511">
        <v>0</v>
      </c>
    </row>
    <row r="1512" spans="1:11" x14ac:dyDescent="0.2">
      <c r="A1512" t="s">
        <v>5355</v>
      </c>
      <c r="B1512" t="s">
        <v>5356</v>
      </c>
      <c r="C1512" t="s">
        <v>874</v>
      </c>
      <c r="D1512" t="s">
        <v>98</v>
      </c>
      <c r="E1512">
        <v>19.989999999999998</v>
      </c>
      <c r="F1512">
        <v>0</v>
      </c>
      <c r="H1512" t="s">
        <v>72</v>
      </c>
      <c r="I1512">
        <v>0</v>
      </c>
      <c r="J1512">
        <v>0</v>
      </c>
      <c r="K1512">
        <v>0</v>
      </c>
    </row>
    <row r="1513" spans="1:11" x14ac:dyDescent="0.2">
      <c r="A1513" t="s">
        <v>5345</v>
      </c>
      <c r="B1513" t="s">
        <v>5346</v>
      </c>
      <c r="C1513" t="s">
        <v>3929</v>
      </c>
      <c r="D1513" t="s">
        <v>98</v>
      </c>
      <c r="E1513">
        <v>49.99</v>
      </c>
      <c r="F1513">
        <v>0</v>
      </c>
      <c r="H1513" t="s">
        <v>72</v>
      </c>
      <c r="I1513">
        <v>0</v>
      </c>
      <c r="J1513">
        <v>0</v>
      </c>
      <c r="K1513">
        <v>0</v>
      </c>
    </row>
    <row r="1514" spans="1:11" x14ac:dyDescent="0.2">
      <c r="A1514" t="s">
        <v>5378</v>
      </c>
      <c r="B1514" t="s">
        <v>5379</v>
      </c>
      <c r="C1514" t="s">
        <v>874</v>
      </c>
      <c r="D1514" t="s">
        <v>98</v>
      </c>
      <c r="E1514">
        <v>69.989999999999995</v>
      </c>
      <c r="F1514">
        <v>0</v>
      </c>
      <c r="H1514" t="s">
        <v>72</v>
      </c>
      <c r="I1514">
        <v>0</v>
      </c>
      <c r="J1514">
        <v>0</v>
      </c>
      <c r="K1514">
        <v>0</v>
      </c>
    </row>
    <row r="1515" spans="1:11" x14ac:dyDescent="0.2">
      <c r="A1515" t="s">
        <v>5369</v>
      </c>
      <c r="B1515" t="s">
        <v>5370</v>
      </c>
      <c r="C1515" t="s">
        <v>3929</v>
      </c>
      <c r="D1515" t="s">
        <v>98</v>
      </c>
      <c r="E1515">
        <v>69.989999999999995</v>
      </c>
      <c r="F1515">
        <v>0</v>
      </c>
      <c r="H1515" t="s">
        <v>72</v>
      </c>
      <c r="I1515">
        <v>0</v>
      </c>
      <c r="J1515">
        <v>0</v>
      </c>
      <c r="K1515">
        <v>0</v>
      </c>
    </row>
    <row r="1516" spans="1:11" x14ac:dyDescent="0.2">
      <c r="A1516" t="s">
        <v>5365</v>
      </c>
      <c r="B1516" t="s">
        <v>5366</v>
      </c>
      <c r="C1516" t="s">
        <v>874</v>
      </c>
      <c r="D1516" t="s">
        <v>98</v>
      </c>
      <c r="E1516">
        <v>79.989999999999995</v>
      </c>
      <c r="F1516">
        <v>0</v>
      </c>
      <c r="H1516" t="s">
        <v>72</v>
      </c>
      <c r="I1516">
        <v>0</v>
      </c>
      <c r="J1516">
        <v>0</v>
      </c>
      <c r="K1516">
        <v>0</v>
      </c>
    </row>
    <row r="1517" spans="1:11" x14ac:dyDescent="0.2">
      <c r="A1517" t="s">
        <v>5495</v>
      </c>
      <c r="B1517" t="s">
        <v>5496</v>
      </c>
      <c r="C1517" t="s">
        <v>5039</v>
      </c>
      <c r="D1517" t="s">
        <v>98</v>
      </c>
      <c r="E1517">
        <v>69.989999999999995</v>
      </c>
      <c r="F1517">
        <v>0</v>
      </c>
      <c r="H1517" t="s">
        <v>72</v>
      </c>
      <c r="I1517">
        <v>0</v>
      </c>
      <c r="J1517">
        <v>0</v>
      </c>
      <c r="K1517">
        <v>0</v>
      </c>
    </row>
    <row r="1518" spans="1:11" x14ac:dyDescent="0.2">
      <c r="A1518" t="s">
        <v>5423</v>
      </c>
      <c r="B1518" t="s">
        <v>5424</v>
      </c>
      <c r="C1518" t="s">
        <v>5388</v>
      </c>
      <c r="D1518" t="s">
        <v>98</v>
      </c>
      <c r="E1518">
        <v>3999.99</v>
      </c>
      <c r="F1518">
        <v>0</v>
      </c>
      <c r="H1518" t="s">
        <v>72</v>
      </c>
      <c r="I1518">
        <v>0</v>
      </c>
      <c r="J1518">
        <v>0</v>
      </c>
      <c r="K1518">
        <v>0</v>
      </c>
    </row>
    <row r="1519" spans="1:11" x14ac:dyDescent="0.2">
      <c r="A1519" t="s">
        <v>5288</v>
      </c>
      <c r="B1519" t="s">
        <v>5289</v>
      </c>
      <c r="C1519" t="s">
        <v>874</v>
      </c>
      <c r="D1519" t="s">
        <v>98</v>
      </c>
      <c r="E1519">
        <v>39.99</v>
      </c>
      <c r="F1519">
        <v>0</v>
      </c>
      <c r="H1519" t="s">
        <v>72</v>
      </c>
      <c r="I1519">
        <v>0</v>
      </c>
      <c r="J1519">
        <v>0</v>
      </c>
      <c r="K1519">
        <v>0</v>
      </c>
    </row>
    <row r="1520" spans="1:11" x14ac:dyDescent="0.2">
      <c r="A1520" t="s">
        <v>5292</v>
      </c>
      <c r="B1520" t="s">
        <v>5293</v>
      </c>
      <c r="C1520" t="s">
        <v>582</v>
      </c>
      <c r="D1520" t="s">
        <v>98</v>
      </c>
      <c r="E1520">
        <v>69.989999999999995</v>
      </c>
      <c r="F1520">
        <v>0</v>
      </c>
      <c r="H1520" t="s">
        <v>72</v>
      </c>
      <c r="I1520">
        <v>0</v>
      </c>
      <c r="J1520">
        <v>0</v>
      </c>
      <c r="K1520">
        <v>0</v>
      </c>
    </row>
    <row r="1521" spans="1:11" x14ac:dyDescent="0.2">
      <c r="A1521" t="s">
        <v>5169</v>
      </c>
      <c r="B1521" t="s">
        <v>5170</v>
      </c>
      <c r="C1521" t="s">
        <v>904</v>
      </c>
      <c r="D1521" t="s">
        <v>98</v>
      </c>
      <c r="E1521">
        <v>59.99</v>
      </c>
      <c r="F1521">
        <v>0</v>
      </c>
      <c r="H1521" t="s">
        <v>72</v>
      </c>
      <c r="I1521">
        <v>0</v>
      </c>
      <c r="J1521">
        <v>0</v>
      </c>
      <c r="K1521">
        <v>0</v>
      </c>
    </row>
    <row r="1522" spans="1:11" x14ac:dyDescent="0.2">
      <c r="A1522" t="s">
        <v>4099</v>
      </c>
      <c r="B1522" t="s">
        <v>4100</v>
      </c>
      <c r="C1522" t="s">
        <v>3929</v>
      </c>
      <c r="D1522" t="s">
        <v>105</v>
      </c>
      <c r="E1522">
        <v>249.99</v>
      </c>
      <c r="F1522">
        <v>0</v>
      </c>
      <c r="G1522">
        <v>9</v>
      </c>
      <c r="H1522" t="s">
        <v>72</v>
      </c>
      <c r="I1522">
        <v>0</v>
      </c>
      <c r="J1522">
        <v>0</v>
      </c>
      <c r="K1522">
        <v>0</v>
      </c>
    </row>
    <row r="1523" spans="1:11" x14ac:dyDescent="0.2">
      <c r="A1523" t="s">
        <v>5570</v>
      </c>
      <c r="B1523" t="s">
        <v>5571</v>
      </c>
      <c r="C1523" t="s">
        <v>904</v>
      </c>
      <c r="D1523" t="s">
        <v>98</v>
      </c>
      <c r="E1523">
        <v>29.99</v>
      </c>
      <c r="F1523">
        <v>0</v>
      </c>
      <c r="H1523" t="s">
        <v>72</v>
      </c>
      <c r="I1523">
        <v>0</v>
      </c>
      <c r="J1523">
        <v>0</v>
      </c>
      <c r="K1523">
        <v>0</v>
      </c>
    </row>
    <row r="1524" spans="1:11" x14ac:dyDescent="0.2">
      <c r="A1524" t="s">
        <v>5566</v>
      </c>
      <c r="B1524" t="s">
        <v>5567</v>
      </c>
      <c r="C1524" t="s">
        <v>904</v>
      </c>
      <c r="D1524" t="s">
        <v>98</v>
      </c>
      <c r="E1524">
        <v>9.99</v>
      </c>
      <c r="F1524">
        <v>0</v>
      </c>
      <c r="H1524" t="s">
        <v>72</v>
      </c>
      <c r="I1524">
        <v>0</v>
      </c>
      <c r="J1524">
        <v>0</v>
      </c>
      <c r="K1524">
        <v>0</v>
      </c>
    </row>
    <row r="1525" spans="1:11" x14ac:dyDescent="0.2">
      <c r="A1525" t="s">
        <v>5666</v>
      </c>
      <c r="B1525" t="s">
        <v>5667</v>
      </c>
      <c r="C1525" t="s">
        <v>95</v>
      </c>
      <c r="D1525" t="s">
        <v>98</v>
      </c>
      <c r="E1525">
        <v>89.99</v>
      </c>
      <c r="F1525">
        <v>0</v>
      </c>
      <c r="H1525" t="s">
        <v>72</v>
      </c>
      <c r="I1525">
        <v>0</v>
      </c>
      <c r="J1525">
        <v>0</v>
      </c>
      <c r="K1525">
        <v>0</v>
      </c>
    </row>
    <row r="1526" spans="1:11" x14ac:dyDescent="0.2">
      <c r="A1526" t="s">
        <v>5668</v>
      </c>
      <c r="B1526" t="s">
        <v>5669</v>
      </c>
      <c r="C1526" t="s">
        <v>95</v>
      </c>
      <c r="D1526" t="s">
        <v>98</v>
      </c>
      <c r="E1526">
        <v>39.99</v>
      </c>
      <c r="F1526">
        <v>0</v>
      </c>
      <c r="H1526" t="s">
        <v>72</v>
      </c>
      <c r="I1526">
        <v>0</v>
      </c>
      <c r="J1526">
        <v>0</v>
      </c>
      <c r="K1526">
        <v>0</v>
      </c>
    </row>
    <row r="1527" spans="1:11" x14ac:dyDescent="0.2">
      <c r="A1527" t="s">
        <v>5122</v>
      </c>
      <c r="B1527" t="s">
        <v>5123</v>
      </c>
      <c r="C1527" t="s">
        <v>3929</v>
      </c>
      <c r="D1527" t="s">
        <v>138</v>
      </c>
      <c r="E1527">
        <v>169.99</v>
      </c>
      <c r="F1527">
        <v>0</v>
      </c>
      <c r="H1527" t="s">
        <v>72</v>
      </c>
      <c r="I1527">
        <v>0</v>
      </c>
      <c r="J1527">
        <v>0</v>
      </c>
      <c r="K1527">
        <v>0</v>
      </c>
    </row>
    <row r="1528" spans="1:11" x14ac:dyDescent="0.2">
      <c r="A1528" t="s">
        <v>5580</v>
      </c>
      <c r="B1528" t="s">
        <v>5581</v>
      </c>
      <c r="C1528" t="s">
        <v>904</v>
      </c>
      <c r="D1528" t="s">
        <v>98</v>
      </c>
      <c r="E1528">
        <v>9.99</v>
      </c>
      <c r="F1528">
        <v>0</v>
      </c>
      <c r="H1528" t="s">
        <v>72</v>
      </c>
      <c r="I1528">
        <v>0</v>
      </c>
      <c r="J1528">
        <v>0</v>
      </c>
      <c r="K1528">
        <v>0</v>
      </c>
    </row>
    <row r="1529" spans="1:11" x14ac:dyDescent="0.2">
      <c r="A1529" t="s">
        <v>5586</v>
      </c>
      <c r="B1529" t="s">
        <v>5587</v>
      </c>
      <c r="C1529" t="s">
        <v>904</v>
      </c>
      <c r="D1529" t="s">
        <v>98</v>
      </c>
      <c r="E1529">
        <v>119.99</v>
      </c>
      <c r="F1529">
        <v>0</v>
      </c>
      <c r="H1529" t="s">
        <v>72</v>
      </c>
      <c r="I1529">
        <v>0</v>
      </c>
      <c r="J1529">
        <v>0</v>
      </c>
      <c r="K1529">
        <v>0</v>
      </c>
    </row>
    <row r="1530" spans="1:11" x14ac:dyDescent="0.2">
      <c r="A1530" t="s">
        <v>5576</v>
      </c>
      <c r="B1530" t="s">
        <v>5577</v>
      </c>
      <c r="C1530" t="s">
        <v>904</v>
      </c>
      <c r="D1530" t="s">
        <v>98</v>
      </c>
      <c r="E1530">
        <v>9.99</v>
      </c>
      <c r="F1530">
        <v>0</v>
      </c>
      <c r="H1530" t="s">
        <v>72</v>
      </c>
      <c r="I1530">
        <v>0</v>
      </c>
      <c r="J1530">
        <v>0</v>
      </c>
      <c r="K1530">
        <v>0</v>
      </c>
    </row>
    <row r="1531" spans="1:11" x14ac:dyDescent="0.2">
      <c r="A1531" t="s">
        <v>5542</v>
      </c>
      <c r="B1531" t="s">
        <v>5543</v>
      </c>
      <c r="C1531" t="s">
        <v>3929</v>
      </c>
      <c r="D1531" t="s">
        <v>98</v>
      </c>
      <c r="E1531">
        <v>159.99</v>
      </c>
      <c r="F1531">
        <v>0</v>
      </c>
      <c r="H1531" t="s">
        <v>72</v>
      </c>
      <c r="I1531">
        <v>0</v>
      </c>
      <c r="J1531">
        <v>0</v>
      </c>
      <c r="K1531">
        <v>0</v>
      </c>
    </row>
    <row r="1532" spans="1:11" x14ac:dyDescent="0.2">
      <c r="A1532" t="s">
        <v>5540</v>
      </c>
      <c r="B1532" t="s">
        <v>5541</v>
      </c>
      <c r="C1532" t="s">
        <v>904</v>
      </c>
      <c r="D1532" t="s">
        <v>98</v>
      </c>
      <c r="E1532">
        <v>9.99</v>
      </c>
      <c r="F1532">
        <v>0</v>
      </c>
      <c r="H1532" t="s">
        <v>72</v>
      </c>
      <c r="I1532">
        <v>0</v>
      </c>
      <c r="J1532">
        <v>0</v>
      </c>
      <c r="K1532">
        <v>0</v>
      </c>
    </row>
    <row r="1533" spans="1:11" x14ac:dyDescent="0.2">
      <c r="A1533" t="s">
        <v>5522</v>
      </c>
      <c r="B1533" t="s">
        <v>5523</v>
      </c>
      <c r="C1533" t="s">
        <v>5039</v>
      </c>
      <c r="D1533" t="s">
        <v>98</v>
      </c>
      <c r="E1533">
        <v>99.99</v>
      </c>
      <c r="F1533">
        <v>0</v>
      </c>
      <c r="H1533" t="s">
        <v>72</v>
      </c>
      <c r="I1533">
        <v>0</v>
      </c>
      <c r="J1533">
        <v>0</v>
      </c>
      <c r="K1533">
        <v>0</v>
      </c>
    </row>
    <row r="1534" spans="1:11" x14ac:dyDescent="0.2">
      <c r="A1534" t="s">
        <v>106</v>
      </c>
      <c r="B1534" t="s">
        <v>107</v>
      </c>
      <c r="C1534" t="s">
        <v>95</v>
      </c>
      <c r="D1534" t="s">
        <v>98</v>
      </c>
      <c r="E1534">
        <v>29.99</v>
      </c>
      <c r="F1534">
        <v>0</v>
      </c>
      <c r="H1534" t="s">
        <v>72</v>
      </c>
      <c r="I1534">
        <v>0</v>
      </c>
      <c r="J1534">
        <v>0</v>
      </c>
      <c r="K1534">
        <v>0</v>
      </c>
    </row>
    <row r="1535" spans="1:11" x14ac:dyDescent="0.2">
      <c r="A1535" t="s">
        <v>4105</v>
      </c>
      <c r="B1535" t="s">
        <v>4106</v>
      </c>
      <c r="C1535" t="s">
        <v>3929</v>
      </c>
      <c r="D1535" t="s">
        <v>138</v>
      </c>
      <c r="E1535">
        <v>129.99</v>
      </c>
      <c r="F1535">
        <v>0</v>
      </c>
      <c r="G1535">
        <v>11</v>
      </c>
      <c r="H1535" t="s">
        <v>72</v>
      </c>
      <c r="I1535">
        <v>0</v>
      </c>
      <c r="J1535">
        <v>0</v>
      </c>
      <c r="K1535">
        <v>0</v>
      </c>
    </row>
    <row r="1536" spans="1:11" x14ac:dyDescent="0.2">
      <c r="A1536" t="s">
        <v>5598</v>
      </c>
      <c r="B1536" t="s">
        <v>5599</v>
      </c>
      <c r="C1536" t="s">
        <v>904</v>
      </c>
      <c r="D1536" t="s">
        <v>98</v>
      </c>
      <c r="E1536">
        <v>119.99</v>
      </c>
      <c r="F1536">
        <v>0</v>
      </c>
      <c r="H1536" t="s">
        <v>72</v>
      </c>
      <c r="I1536">
        <v>0</v>
      </c>
      <c r="J1536">
        <v>0</v>
      </c>
      <c r="K1536">
        <v>0</v>
      </c>
    </row>
    <row r="1537" spans="1:11" x14ac:dyDescent="0.2">
      <c r="A1537" t="s">
        <v>5558</v>
      </c>
      <c r="B1537" t="s">
        <v>5559</v>
      </c>
      <c r="C1537" t="s">
        <v>904</v>
      </c>
      <c r="D1537" t="s">
        <v>98</v>
      </c>
      <c r="E1537">
        <v>29.99</v>
      </c>
      <c r="F1537">
        <v>0</v>
      </c>
      <c r="H1537" t="s">
        <v>72</v>
      </c>
      <c r="I1537">
        <v>0</v>
      </c>
      <c r="J1537">
        <v>0</v>
      </c>
      <c r="K1537">
        <v>0</v>
      </c>
    </row>
    <row r="1538" spans="1:11" x14ac:dyDescent="0.2">
      <c r="A1538" t="s">
        <v>5048</v>
      </c>
      <c r="B1538" t="s">
        <v>5049</v>
      </c>
      <c r="C1538" t="s">
        <v>5039</v>
      </c>
      <c r="D1538" t="s">
        <v>98</v>
      </c>
      <c r="E1538">
        <v>429.99</v>
      </c>
      <c r="F1538">
        <v>0</v>
      </c>
      <c r="H1538" t="s">
        <v>72</v>
      </c>
      <c r="I1538">
        <v>0</v>
      </c>
      <c r="J1538">
        <v>0</v>
      </c>
      <c r="K1538">
        <v>0</v>
      </c>
    </row>
    <row r="1539" spans="1:11" x14ac:dyDescent="0.2">
      <c r="A1539" t="s">
        <v>5670</v>
      </c>
      <c r="B1539" t="s">
        <v>5671</v>
      </c>
      <c r="C1539" t="s">
        <v>95</v>
      </c>
      <c r="D1539" t="s">
        <v>98</v>
      </c>
      <c r="E1539">
        <v>99.99</v>
      </c>
      <c r="F1539">
        <v>0</v>
      </c>
      <c r="H1539" t="s">
        <v>72</v>
      </c>
      <c r="I1539">
        <v>0</v>
      </c>
      <c r="J1539">
        <v>0</v>
      </c>
      <c r="K1539">
        <v>0</v>
      </c>
    </row>
    <row r="1540" spans="1:11" x14ac:dyDescent="0.2">
      <c r="A1540" t="s">
        <v>5554</v>
      </c>
      <c r="B1540" t="s">
        <v>5555</v>
      </c>
      <c r="C1540" t="s">
        <v>904</v>
      </c>
      <c r="D1540" t="s">
        <v>98</v>
      </c>
      <c r="E1540">
        <v>29.99</v>
      </c>
      <c r="F1540">
        <v>0</v>
      </c>
      <c r="H1540" t="s">
        <v>72</v>
      </c>
      <c r="I1540">
        <v>0</v>
      </c>
      <c r="J1540">
        <v>0</v>
      </c>
      <c r="K1540">
        <v>0</v>
      </c>
    </row>
    <row r="1541" spans="1:11" x14ac:dyDescent="0.2">
      <c r="A1541" t="s">
        <v>5612</v>
      </c>
      <c r="B1541" t="s">
        <v>5613</v>
      </c>
      <c r="C1541" t="s">
        <v>904</v>
      </c>
      <c r="D1541" t="s">
        <v>98</v>
      </c>
      <c r="E1541">
        <v>119.99</v>
      </c>
      <c r="F1541">
        <v>0</v>
      </c>
      <c r="H1541" t="s">
        <v>72</v>
      </c>
      <c r="I1541">
        <v>0</v>
      </c>
      <c r="J1541">
        <v>0</v>
      </c>
      <c r="K1541">
        <v>0</v>
      </c>
    </row>
    <row r="1542" spans="1:11" x14ac:dyDescent="0.2">
      <c r="A1542" t="s">
        <v>5606</v>
      </c>
      <c r="B1542" t="s">
        <v>5607</v>
      </c>
      <c r="C1542" t="s">
        <v>3929</v>
      </c>
      <c r="D1542" t="s">
        <v>138</v>
      </c>
      <c r="E1542">
        <v>169.99</v>
      </c>
      <c r="F1542">
        <v>0</v>
      </c>
      <c r="G1542">
        <v>2</v>
      </c>
      <c r="H1542" t="s">
        <v>72</v>
      </c>
      <c r="I1542">
        <v>0</v>
      </c>
      <c r="J1542">
        <v>0</v>
      </c>
      <c r="K1542">
        <v>0</v>
      </c>
    </row>
    <row r="1543" spans="1:11" x14ac:dyDescent="0.2">
      <c r="A1543" t="s">
        <v>5100</v>
      </c>
      <c r="B1543" t="s">
        <v>5101</v>
      </c>
      <c r="C1543" t="s">
        <v>3929</v>
      </c>
      <c r="D1543" t="s">
        <v>98</v>
      </c>
      <c r="E1543">
        <v>189.99</v>
      </c>
      <c r="F1543">
        <v>0</v>
      </c>
      <c r="H1543" t="s">
        <v>72</v>
      </c>
      <c r="I1543">
        <v>0</v>
      </c>
      <c r="J1543">
        <v>0</v>
      </c>
      <c r="K1543">
        <v>0</v>
      </c>
    </row>
    <row r="1544" spans="1:11" x14ac:dyDescent="0.2">
      <c r="A1544" t="s">
        <v>5600</v>
      </c>
      <c r="B1544" t="s">
        <v>5601</v>
      </c>
      <c r="C1544" t="s">
        <v>904</v>
      </c>
      <c r="D1544" t="s">
        <v>98</v>
      </c>
      <c r="E1544">
        <v>119.99</v>
      </c>
      <c r="F1544">
        <v>0</v>
      </c>
      <c r="H1544" t="s">
        <v>72</v>
      </c>
      <c r="I1544">
        <v>0</v>
      </c>
      <c r="J1544">
        <v>0</v>
      </c>
      <c r="K1544">
        <v>0</v>
      </c>
    </row>
    <row r="1545" spans="1:11" x14ac:dyDescent="0.2">
      <c r="A1545" t="s">
        <v>5518</v>
      </c>
      <c r="B1545" t="s">
        <v>5519</v>
      </c>
      <c r="C1545" t="s">
        <v>5039</v>
      </c>
      <c r="D1545" t="s">
        <v>98</v>
      </c>
      <c r="E1545">
        <v>149.99</v>
      </c>
      <c r="F1545">
        <v>0</v>
      </c>
      <c r="H1545" t="s">
        <v>72</v>
      </c>
      <c r="I1545">
        <v>0</v>
      </c>
      <c r="J1545">
        <v>0</v>
      </c>
      <c r="K1545">
        <v>0</v>
      </c>
    </row>
    <row r="1546" spans="1:11" x14ac:dyDescent="0.2">
      <c r="A1546" t="s">
        <v>4111</v>
      </c>
      <c r="B1546" t="s">
        <v>4112</v>
      </c>
      <c r="C1546" t="s">
        <v>3929</v>
      </c>
      <c r="D1546" t="s">
        <v>105</v>
      </c>
      <c r="E1546">
        <v>89.99</v>
      </c>
      <c r="F1546">
        <v>0</v>
      </c>
      <c r="G1546">
        <v>49</v>
      </c>
      <c r="H1546" t="s">
        <v>72</v>
      </c>
      <c r="I1546">
        <v>0</v>
      </c>
      <c r="J1546">
        <v>0</v>
      </c>
      <c r="K1546">
        <v>0</v>
      </c>
    </row>
    <row r="1547" spans="1:11" x14ac:dyDescent="0.2">
      <c r="A1547" t="s">
        <v>5459</v>
      </c>
      <c r="B1547" t="s">
        <v>5460</v>
      </c>
      <c r="C1547" t="s">
        <v>5039</v>
      </c>
      <c r="D1547" t="s">
        <v>98</v>
      </c>
      <c r="E1547">
        <v>899.99</v>
      </c>
      <c r="F1547">
        <v>0</v>
      </c>
      <c r="H1547" t="s">
        <v>72</v>
      </c>
      <c r="I1547">
        <v>0</v>
      </c>
      <c r="J1547">
        <v>0</v>
      </c>
      <c r="K1547">
        <v>0</v>
      </c>
    </row>
    <row r="1548" spans="1:11" x14ac:dyDescent="0.2">
      <c r="A1548" t="s">
        <v>5215</v>
      </c>
      <c r="B1548" t="s">
        <v>5216</v>
      </c>
      <c r="C1548" t="s">
        <v>3929</v>
      </c>
      <c r="D1548" t="s">
        <v>98</v>
      </c>
      <c r="E1548">
        <v>119.99</v>
      </c>
      <c r="F1548">
        <v>0</v>
      </c>
      <c r="H1548" t="s">
        <v>72</v>
      </c>
      <c r="I1548">
        <v>0</v>
      </c>
      <c r="J1548">
        <v>0</v>
      </c>
      <c r="K1548">
        <v>0</v>
      </c>
    </row>
    <row r="1549" spans="1:11" x14ac:dyDescent="0.2">
      <c r="A1549" t="s">
        <v>5158</v>
      </c>
      <c r="B1549" t="s">
        <v>5159</v>
      </c>
      <c r="C1549" t="s">
        <v>904</v>
      </c>
      <c r="D1549" t="s">
        <v>98</v>
      </c>
      <c r="E1549">
        <v>59.99</v>
      </c>
      <c r="F1549">
        <v>0</v>
      </c>
      <c r="H1549" t="s">
        <v>72</v>
      </c>
      <c r="I1549">
        <v>0</v>
      </c>
      <c r="J1549">
        <v>0</v>
      </c>
      <c r="K1549">
        <v>0</v>
      </c>
    </row>
    <row r="1550" spans="1:11" x14ac:dyDescent="0.2">
      <c r="A1550" t="s">
        <v>5530</v>
      </c>
      <c r="B1550" t="s">
        <v>5531</v>
      </c>
      <c r="C1550" t="s">
        <v>5039</v>
      </c>
      <c r="D1550" t="s">
        <v>98</v>
      </c>
      <c r="E1550">
        <v>99.99</v>
      </c>
      <c r="F1550">
        <v>0</v>
      </c>
      <c r="H1550" t="s">
        <v>72</v>
      </c>
      <c r="I1550">
        <v>0</v>
      </c>
      <c r="J1550">
        <v>0</v>
      </c>
      <c r="K1550">
        <v>0</v>
      </c>
    </row>
    <row r="1551" spans="1:11" x14ac:dyDescent="0.2">
      <c r="A1551" t="s">
        <v>5453</v>
      </c>
      <c r="B1551" t="s">
        <v>5454</v>
      </c>
      <c r="C1551" t="s">
        <v>5039</v>
      </c>
      <c r="D1551" t="s">
        <v>98</v>
      </c>
      <c r="E1551">
        <v>1199.99</v>
      </c>
      <c r="F1551">
        <v>0</v>
      </c>
      <c r="H1551" t="s">
        <v>72</v>
      </c>
      <c r="I1551">
        <v>0</v>
      </c>
      <c r="J1551">
        <v>0</v>
      </c>
      <c r="K1551">
        <v>0</v>
      </c>
    </row>
    <row r="1552" spans="1:11" x14ac:dyDescent="0.2">
      <c r="A1552" t="s">
        <v>5672</v>
      </c>
      <c r="B1552" t="s">
        <v>5673</v>
      </c>
      <c r="C1552" t="s">
        <v>95</v>
      </c>
      <c r="D1552" t="s">
        <v>98</v>
      </c>
      <c r="E1552">
        <v>39.99</v>
      </c>
      <c r="F1552">
        <v>0</v>
      </c>
      <c r="H1552" t="s">
        <v>72</v>
      </c>
      <c r="I1552">
        <v>0</v>
      </c>
      <c r="J1552">
        <v>0</v>
      </c>
      <c r="K1552">
        <v>0</v>
      </c>
    </row>
    <row r="1553" spans="1:11" x14ac:dyDescent="0.2">
      <c r="A1553" t="s">
        <v>5674</v>
      </c>
      <c r="B1553" t="s">
        <v>5675</v>
      </c>
      <c r="C1553" t="s">
        <v>3929</v>
      </c>
      <c r="D1553" t="s">
        <v>98</v>
      </c>
      <c r="E1553">
        <v>49.99</v>
      </c>
      <c r="F1553">
        <v>0</v>
      </c>
      <c r="H1553" t="s">
        <v>72</v>
      </c>
      <c r="I1553">
        <v>0</v>
      </c>
      <c r="J1553">
        <v>0</v>
      </c>
      <c r="K1553">
        <v>0</v>
      </c>
    </row>
    <row r="1554" spans="1:11" x14ac:dyDescent="0.2">
      <c r="A1554" t="s">
        <v>5229</v>
      </c>
      <c r="B1554" t="s">
        <v>5230</v>
      </c>
      <c r="C1554" t="s">
        <v>904</v>
      </c>
      <c r="D1554" t="s">
        <v>98</v>
      </c>
      <c r="E1554">
        <v>79.989999999999995</v>
      </c>
      <c r="F1554">
        <v>0</v>
      </c>
      <c r="H1554" t="s">
        <v>72</v>
      </c>
      <c r="I1554">
        <v>0</v>
      </c>
      <c r="J1554">
        <v>0</v>
      </c>
      <c r="K1554">
        <v>0</v>
      </c>
    </row>
    <row r="1555" spans="1:11" x14ac:dyDescent="0.2">
      <c r="A1555" t="s">
        <v>4109</v>
      </c>
      <c r="B1555" t="s">
        <v>4110</v>
      </c>
      <c r="C1555" t="s">
        <v>3929</v>
      </c>
      <c r="D1555" t="s">
        <v>138</v>
      </c>
      <c r="E1555">
        <v>64.989999999999995</v>
      </c>
      <c r="F1555">
        <v>0</v>
      </c>
      <c r="H1555" t="s">
        <v>72</v>
      </c>
      <c r="I1555">
        <v>0</v>
      </c>
      <c r="J1555">
        <v>0</v>
      </c>
      <c r="K1555">
        <v>0</v>
      </c>
    </row>
    <row r="1556" spans="1:11" x14ac:dyDescent="0.2">
      <c r="A1556" t="s">
        <v>5433</v>
      </c>
      <c r="B1556" t="s">
        <v>5434</v>
      </c>
      <c r="C1556" t="s">
        <v>904</v>
      </c>
      <c r="D1556" t="s">
        <v>98</v>
      </c>
      <c r="E1556">
        <v>39.99</v>
      </c>
      <c r="F1556">
        <v>0</v>
      </c>
      <c r="H1556" t="s">
        <v>72</v>
      </c>
      <c r="I1556">
        <v>0</v>
      </c>
      <c r="J1556">
        <v>0</v>
      </c>
      <c r="K1556">
        <v>0</v>
      </c>
    </row>
    <row r="1557" spans="1:11" x14ac:dyDescent="0.2">
      <c r="A1557" t="s">
        <v>293</v>
      </c>
      <c r="B1557" t="s">
        <v>294</v>
      </c>
      <c r="C1557" t="s">
        <v>288</v>
      </c>
      <c r="D1557" t="s">
        <v>138</v>
      </c>
      <c r="E1557">
        <v>199.99</v>
      </c>
      <c r="F1557">
        <v>0</v>
      </c>
      <c r="G1557">
        <v>93</v>
      </c>
      <c r="H1557" t="s">
        <v>72</v>
      </c>
      <c r="I1557">
        <v>0</v>
      </c>
      <c r="J1557">
        <v>0</v>
      </c>
      <c r="K1557">
        <v>5</v>
      </c>
    </row>
    <row r="1558" spans="1:11" x14ac:dyDescent="0.2">
      <c r="A1558" t="s">
        <v>5255</v>
      </c>
      <c r="B1558" t="s">
        <v>5256</v>
      </c>
      <c r="C1558" t="s">
        <v>904</v>
      </c>
      <c r="D1558" t="s">
        <v>98</v>
      </c>
      <c r="E1558">
        <v>49.99</v>
      </c>
      <c r="F1558">
        <v>0</v>
      </c>
      <c r="H1558" t="s">
        <v>72</v>
      </c>
      <c r="I1558">
        <v>0</v>
      </c>
      <c r="J1558">
        <v>0</v>
      </c>
      <c r="K1558">
        <v>0</v>
      </c>
    </row>
    <row r="1559" spans="1:11" x14ac:dyDescent="0.2">
      <c r="A1559" t="s">
        <v>5217</v>
      </c>
      <c r="B1559" t="s">
        <v>5218</v>
      </c>
      <c r="C1559" t="s">
        <v>904</v>
      </c>
      <c r="D1559" t="s">
        <v>98</v>
      </c>
      <c r="E1559">
        <v>29.99</v>
      </c>
      <c r="F1559">
        <v>0</v>
      </c>
      <c r="H1559" t="s">
        <v>72</v>
      </c>
      <c r="I1559">
        <v>0</v>
      </c>
      <c r="J1559">
        <v>0</v>
      </c>
      <c r="K1559">
        <v>0</v>
      </c>
    </row>
    <row r="1560" spans="1:11" x14ac:dyDescent="0.2">
      <c r="A1560" t="s">
        <v>5130</v>
      </c>
      <c r="B1560" t="s">
        <v>5131</v>
      </c>
      <c r="C1560" t="s">
        <v>3929</v>
      </c>
      <c r="D1560" t="s">
        <v>138</v>
      </c>
      <c r="E1560">
        <v>139.99</v>
      </c>
      <c r="F1560">
        <v>0</v>
      </c>
      <c r="H1560" t="s">
        <v>72</v>
      </c>
      <c r="I1560">
        <v>0</v>
      </c>
      <c r="J1560">
        <v>0</v>
      </c>
      <c r="K1560">
        <v>0</v>
      </c>
    </row>
    <row r="1561" spans="1:11" x14ac:dyDescent="0.2">
      <c r="A1561" t="s">
        <v>5046</v>
      </c>
      <c r="B1561" t="s">
        <v>5047</v>
      </c>
      <c r="C1561" t="s">
        <v>5039</v>
      </c>
      <c r="D1561" t="s">
        <v>98</v>
      </c>
      <c r="E1561">
        <v>149.99</v>
      </c>
      <c r="F1561">
        <v>0</v>
      </c>
      <c r="H1561" t="s">
        <v>72</v>
      </c>
      <c r="I1561">
        <v>0</v>
      </c>
      <c r="J1561">
        <v>0</v>
      </c>
      <c r="K1561">
        <v>0</v>
      </c>
    </row>
    <row r="1562" spans="1:11" x14ac:dyDescent="0.2">
      <c r="A1562" t="s">
        <v>5590</v>
      </c>
      <c r="B1562" t="s">
        <v>5591</v>
      </c>
      <c r="C1562" t="s">
        <v>904</v>
      </c>
      <c r="D1562" t="s">
        <v>98</v>
      </c>
      <c r="E1562">
        <v>99.99</v>
      </c>
      <c r="F1562">
        <v>0</v>
      </c>
      <c r="H1562" t="s">
        <v>72</v>
      </c>
      <c r="I1562">
        <v>0</v>
      </c>
      <c r="J1562">
        <v>0</v>
      </c>
      <c r="K1562">
        <v>0</v>
      </c>
    </row>
    <row r="1563" spans="1:11" x14ac:dyDescent="0.2">
      <c r="A1563" t="s">
        <v>5128</v>
      </c>
      <c r="B1563" t="s">
        <v>5129</v>
      </c>
      <c r="C1563" t="s">
        <v>3929</v>
      </c>
      <c r="D1563" t="s">
        <v>138</v>
      </c>
      <c r="E1563">
        <v>129.99</v>
      </c>
      <c r="F1563">
        <v>0</v>
      </c>
      <c r="H1563" t="s">
        <v>72</v>
      </c>
      <c r="I1563">
        <v>0</v>
      </c>
      <c r="J1563">
        <v>0</v>
      </c>
      <c r="K1563">
        <v>0</v>
      </c>
    </row>
    <row r="1564" spans="1:11" x14ac:dyDescent="0.2">
      <c r="A1564" t="s">
        <v>5209</v>
      </c>
      <c r="B1564" t="s">
        <v>5210</v>
      </c>
      <c r="C1564" t="s">
        <v>904</v>
      </c>
      <c r="D1564" t="s">
        <v>98</v>
      </c>
      <c r="E1564">
        <v>49.99</v>
      </c>
      <c r="F1564">
        <v>0</v>
      </c>
      <c r="H1564" t="s">
        <v>72</v>
      </c>
      <c r="I1564">
        <v>0</v>
      </c>
      <c r="J1564">
        <v>0</v>
      </c>
      <c r="K1564">
        <v>0</v>
      </c>
    </row>
    <row r="1565" spans="1:11" x14ac:dyDescent="0.2">
      <c r="A1565" t="s">
        <v>5124</v>
      </c>
      <c r="B1565" t="s">
        <v>5125</v>
      </c>
      <c r="C1565" t="s">
        <v>3929</v>
      </c>
      <c r="D1565" t="s">
        <v>105</v>
      </c>
      <c r="E1565">
        <v>319.99</v>
      </c>
      <c r="F1565">
        <v>0</v>
      </c>
      <c r="G1565">
        <v>8</v>
      </c>
      <c r="H1565" t="s">
        <v>72</v>
      </c>
      <c r="I1565">
        <v>0</v>
      </c>
      <c r="J1565">
        <v>0</v>
      </c>
      <c r="K1565">
        <v>0</v>
      </c>
    </row>
    <row r="1566" spans="1:11" x14ac:dyDescent="0.2">
      <c r="A1566" t="s">
        <v>5596</v>
      </c>
      <c r="B1566" t="s">
        <v>5597</v>
      </c>
      <c r="C1566" t="s">
        <v>904</v>
      </c>
      <c r="D1566" t="s">
        <v>98</v>
      </c>
      <c r="E1566">
        <v>69.989999999999995</v>
      </c>
      <c r="F1566">
        <v>0</v>
      </c>
      <c r="H1566" t="s">
        <v>72</v>
      </c>
      <c r="I1566">
        <v>0</v>
      </c>
      <c r="J1566">
        <v>0</v>
      </c>
      <c r="K1566">
        <v>0</v>
      </c>
    </row>
    <row r="1567" spans="1:11" x14ac:dyDescent="0.2">
      <c r="A1567" t="s">
        <v>5201</v>
      </c>
      <c r="B1567" t="s">
        <v>5202</v>
      </c>
      <c r="C1567" t="s">
        <v>904</v>
      </c>
      <c r="D1567" t="s">
        <v>98</v>
      </c>
      <c r="E1567">
        <v>29.99</v>
      </c>
      <c r="F1567">
        <v>0</v>
      </c>
      <c r="H1567" t="s">
        <v>72</v>
      </c>
      <c r="I1567">
        <v>0</v>
      </c>
      <c r="J1567">
        <v>0</v>
      </c>
      <c r="K1567">
        <v>0</v>
      </c>
    </row>
    <row r="1568" spans="1:11" x14ac:dyDescent="0.2">
      <c r="A1568" t="s">
        <v>4107</v>
      </c>
      <c r="B1568" t="s">
        <v>4108</v>
      </c>
      <c r="C1568" t="s">
        <v>3929</v>
      </c>
      <c r="D1568" t="s">
        <v>138</v>
      </c>
      <c r="E1568">
        <v>119.99</v>
      </c>
      <c r="F1568">
        <v>0</v>
      </c>
      <c r="H1568" t="s">
        <v>72</v>
      </c>
      <c r="I1568">
        <v>0</v>
      </c>
      <c r="J1568">
        <v>0</v>
      </c>
      <c r="K1568">
        <v>0</v>
      </c>
    </row>
    <row r="1569" spans="1:11" x14ac:dyDescent="0.2">
      <c r="A1569" t="s">
        <v>5219</v>
      </c>
      <c r="B1569" t="s">
        <v>5220</v>
      </c>
      <c r="C1569" t="s">
        <v>904</v>
      </c>
      <c r="D1569" t="s">
        <v>98</v>
      </c>
      <c r="E1569">
        <v>29.99</v>
      </c>
      <c r="F1569">
        <v>0</v>
      </c>
      <c r="H1569" t="s">
        <v>72</v>
      </c>
      <c r="I1569">
        <v>0</v>
      </c>
      <c r="J1569">
        <v>0</v>
      </c>
      <c r="K1569">
        <v>0</v>
      </c>
    </row>
    <row r="1570" spans="1:11" x14ac:dyDescent="0.2">
      <c r="A1570" t="s">
        <v>289</v>
      </c>
      <c r="B1570" t="s">
        <v>290</v>
      </c>
      <c r="C1570" t="s">
        <v>288</v>
      </c>
      <c r="D1570" t="s">
        <v>98</v>
      </c>
      <c r="E1570">
        <v>0</v>
      </c>
      <c r="F1570">
        <v>0</v>
      </c>
      <c r="H1570" t="s">
        <v>72</v>
      </c>
      <c r="I1570">
        <v>0</v>
      </c>
      <c r="J1570">
        <v>0</v>
      </c>
      <c r="K1570">
        <v>0</v>
      </c>
    </row>
    <row r="1571" spans="1:11" x14ac:dyDescent="0.2">
      <c r="A1571" t="s">
        <v>5245</v>
      </c>
      <c r="B1571" t="s">
        <v>5246</v>
      </c>
      <c r="C1571" t="s">
        <v>904</v>
      </c>
      <c r="D1571" t="s">
        <v>98</v>
      </c>
      <c r="E1571">
        <v>69.989999999999995</v>
      </c>
      <c r="F1571">
        <v>0</v>
      </c>
      <c r="H1571" t="s">
        <v>72</v>
      </c>
      <c r="I1571">
        <v>0</v>
      </c>
      <c r="J1571">
        <v>0</v>
      </c>
      <c r="K1571">
        <v>0</v>
      </c>
    </row>
    <row r="1572" spans="1:11" x14ac:dyDescent="0.2">
      <c r="A1572" t="s">
        <v>118</v>
      </c>
      <c r="B1572" t="s">
        <v>119</v>
      </c>
      <c r="C1572" t="s">
        <v>95</v>
      </c>
      <c r="D1572" t="s">
        <v>98</v>
      </c>
      <c r="E1572">
        <v>149.99</v>
      </c>
      <c r="F1572">
        <v>0</v>
      </c>
      <c r="H1572" t="s">
        <v>72</v>
      </c>
      <c r="I1572">
        <v>0</v>
      </c>
      <c r="J1572">
        <v>0</v>
      </c>
      <c r="K1572">
        <v>2</v>
      </c>
    </row>
    <row r="1573" spans="1:11" x14ac:dyDescent="0.2">
      <c r="A1573" t="s">
        <v>124</v>
      </c>
      <c r="B1573" t="s">
        <v>125</v>
      </c>
      <c r="C1573" t="s">
        <v>95</v>
      </c>
      <c r="D1573" t="s">
        <v>105</v>
      </c>
      <c r="E1573">
        <v>59.99</v>
      </c>
      <c r="F1573">
        <v>0</v>
      </c>
      <c r="G1573">
        <v>44</v>
      </c>
      <c r="H1573" t="s">
        <v>72</v>
      </c>
      <c r="I1573">
        <v>0</v>
      </c>
      <c r="J1573">
        <v>0</v>
      </c>
      <c r="K1573">
        <v>0</v>
      </c>
    </row>
    <row r="1574" spans="1:11" x14ac:dyDescent="0.2">
      <c r="A1574" t="s">
        <v>5477</v>
      </c>
      <c r="B1574" t="s">
        <v>5478</v>
      </c>
      <c r="C1574" t="s">
        <v>5039</v>
      </c>
      <c r="D1574" t="s">
        <v>98</v>
      </c>
      <c r="E1574">
        <v>99.99</v>
      </c>
      <c r="F1574">
        <v>0</v>
      </c>
      <c r="H1574" t="s">
        <v>72</v>
      </c>
      <c r="I1574">
        <v>0</v>
      </c>
      <c r="J1574">
        <v>0</v>
      </c>
      <c r="K1574">
        <v>0</v>
      </c>
    </row>
    <row r="1575" spans="1:11" x14ac:dyDescent="0.2">
      <c r="A1575" t="s">
        <v>4312</v>
      </c>
      <c r="B1575" t="s">
        <v>4313</v>
      </c>
      <c r="C1575" t="s">
        <v>4283</v>
      </c>
      <c r="D1575" t="s">
        <v>98</v>
      </c>
      <c r="E1575">
        <v>329.99</v>
      </c>
      <c r="F1575">
        <v>0</v>
      </c>
      <c r="H1575" t="s">
        <v>72</v>
      </c>
      <c r="I1575">
        <v>0</v>
      </c>
      <c r="J1575">
        <v>0</v>
      </c>
      <c r="K1575">
        <v>0</v>
      </c>
    </row>
    <row r="1576" spans="1:11" x14ac:dyDescent="0.2">
      <c r="A1576" t="s">
        <v>5676</v>
      </c>
      <c r="B1576" t="s">
        <v>5677</v>
      </c>
      <c r="C1576" t="s">
        <v>95</v>
      </c>
      <c r="D1576" t="s">
        <v>98</v>
      </c>
      <c r="E1576">
        <v>59.99</v>
      </c>
      <c r="F1576">
        <v>0</v>
      </c>
      <c r="H1576" t="s">
        <v>72</v>
      </c>
      <c r="I1576">
        <v>0</v>
      </c>
      <c r="J1576">
        <v>0</v>
      </c>
      <c r="K1576">
        <v>0</v>
      </c>
    </row>
    <row r="1577" spans="1:11" x14ac:dyDescent="0.2">
      <c r="A1577" t="s">
        <v>4306</v>
      </c>
      <c r="B1577" t="s">
        <v>4307</v>
      </c>
      <c r="C1577" t="s">
        <v>4283</v>
      </c>
      <c r="D1577" t="s">
        <v>98</v>
      </c>
      <c r="E1577">
        <v>329.99</v>
      </c>
      <c r="F1577">
        <v>0</v>
      </c>
      <c r="H1577" t="s">
        <v>72</v>
      </c>
      <c r="I1577">
        <v>0</v>
      </c>
      <c r="J1577">
        <v>0</v>
      </c>
      <c r="K1577">
        <v>0</v>
      </c>
    </row>
    <row r="1578" spans="1:11" x14ac:dyDescent="0.2">
      <c r="A1578" t="s">
        <v>4294</v>
      </c>
      <c r="B1578" t="s">
        <v>4295</v>
      </c>
      <c r="C1578" t="s">
        <v>4283</v>
      </c>
      <c r="D1578" t="s">
        <v>105</v>
      </c>
      <c r="E1578">
        <v>5699.99</v>
      </c>
      <c r="F1578">
        <v>0</v>
      </c>
      <c r="G1578">
        <v>6</v>
      </c>
      <c r="H1578" t="s">
        <v>72</v>
      </c>
      <c r="I1578">
        <v>0</v>
      </c>
      <c r="J1578">
        <v>0</v>
      </c>
      <c r="K1578">
        <v>0</v>
      </c>
    </row>
    <row r="1579" spans="1:11" x14ac:dyDescent="0.2">
      <c r="A1579" t="s">
        <v>5524</v>
      </c>
      <c r="B1579" t="s">
        <v>5525</v>
      </c>
      <c r="C1579" t="s">
        <v>2174</v>
      </c>
      <c r="D1579" t="s">
        <v>98</v>
      </c>
      <c r="E1579">
        <v>99.99</v>
      </c>
      <c r="F1579">
        <v>0</v>
      </c>
      <c r="H1579" t="s">
        <v>72</v>
      </c>
      <c r="I1579">
        <v>0</v>
      </c>
      <c r="J1579">
        <v>0</v>
      </c>
      <c r="K1579">
        <v>0</v>
      </c>
    </row>
    <row r="1580" spans="1:11" x14ac:dyDescent="0.2">
      <c r="A1580" t="s">
        <v>5397</v>
      </c>
      <c r="B1580" t="s">
        <v>5398</v>
      </c>
      <c r="C1580" t="s">
        <v>5039</v>
      </c>
      <c r="D1580" t="s">
        <v>98</v>
      </c>
      <c r="E1580">
        <v>99.99</v>
      </c>
      <c r="F1580">
        <v>0</v>
      </c>
      <c r="H1580" t="s">
        <v>72</v>
      </c>
      <c r="I1580">
        <v>0</v>
      </c>
      <c r="J1580">
        <v>0</v>
      </c>
      <c r="K1580">
        <v>0</v>
      </c>
    </row>
    <row r="1581" spans="1:11" x14ac:dyDescent="0.2">
      <c r="A1581" t="s">
        <v>5417</v>
      </c>
      <c r="B1581" t="s">
        <v>5418</v>
      </c>
      <c r="C1581" t="s">
        <v>5039</v>
      </c>
      <c r="D1581" t="s">
        <v>98</v>
      </c>
      <c r="E1581">
        <v>149.99</v>
      </c>
      <c r="F1581">
        <v>0</v>
      </c>
      <c r="H1581" t="s">
        <v>72</v>
      </c>
      <c r="I1581">
        <v>0</v>
      </c>
      <c r="J1581">
        <v>0</v>
      </c>
      <c r="K1581">
        <v>0</v>
      </c>
    </row>
    <row r="1582" spans="1:11" x14ac:dyDescent="0.2">
      <c r="A1582" t="s">
        <v>4292</v>
      </c>
      <c r="B1582" t="s">
        <v>4293</v>
      </c>
      <c r="C1582" t="s">
        <v>4283</v>
      </c>
      <c r="D1582" t="s">
        <v>105</v>
      </c>
      <c r="E1582">
        <v>379.99</v>
      </c>
      <c r="F1582">
        <v>0</v>
      </c>
      <c r="G1582">
        <v>3</v>
      </c>
      <c r="H1582" t="s">
        <v>72</v>
      </c>
      <c r="I1582">
        <v>0</v>
      </c>
      <c r="J1582">
        <v>0</v>
      </c>
      <c r="K1582">
        <v>0</v>
      </c>
    </row>
    <row r="1583" spans="1:11" x14ac:dyDescent="0.2">
      <c r="A1583" t="s">
        <v>5520</v>
      </c>
      <c r="B1583" t="s">
        <v>5521</v>
      </c>
      <c r="C1583" t="s">
        <v>3929</v>
      </c>
      <c r="D1583" t="s">
        <v>138</v>
      </c>
      <c r="E1583">
        <v>89.99</v>
      </c>
      <c r="F1583">
        <v>0</v>
      </c>
      <c r="H1583" t="s">
        <v>72</v>
      </c>
      <c r="I1583">
        <v>0</v>
      </c>
      <c r="J1583">
        <v>0</v>
      </c>
      <c r="K1583">
        <v>2</v>
      </c>
    </row>
    <row r="1584" spans="1:11" x14ac:dyDescent="0.2">
      <c r="A1584" t="s">
        <v>5302</v>
      </c>
      <c r="B1584" t="s">
        <v>5303</v>
      </c>
      <c r="C1584" t="s">
        <v>5304</v>
      </c>
      <c r="D1584" t="s">
        <v>98</v>
      </c>
      <c r="E1584">
        <v>1199.99</v>
      </c>
      <c r="F1584">
        <v>0</v>
      </c>
      <c r="H1584" t="s">
        <v>72</v>
      </c>
      <c r="I1584">
        <v>0</v>
      </c>
      <c r="J1584">
        <v>0</v>
      </c>
      <c r="K1584">
        <v>0</v>
      </c>
    </row>
    <row r="1585" spans="1:11" x14ac:dyDescent="0.2">
      <c r="A1585" t="s">
        <v>5479</v>
      </c>
      <c r="B1585" t="s">
        <v>5480</v>
      </c>
      <c r="C1585" t="s">
        <v>5039</v>
      </c>
      <c r="D1585" t="s">
        <v>98</v>
      </c>
      <c r="E1585">
        <v>149.99</v>
      </c>
      <c r="F1585">
        <v>0</v>
      </c>
      <c r="H1585" t="s">
        <v>72</v>
      </c>
      <c r="I1585">
        <v>0</v>
      </c>
      <c r="J1585">
        <v>0</v>
      </c>
      <c r="K1585">
        <v>0</v>
      </c>
    </row>
    <row r="1586" spans="1:11" x14ac:dyDescent="0.2">
      <c r="A1586" t="s">
        <v>4279</v>
      </c>
      <c r="B1586" t="s">
        <v>5678</v>
      </c>
      <c r="C1586" t="s">
        <v>4230</v>
      </c>
      <c r="D1586" t="s">
        <v>105</v>
      </c>
      <c r="E1586">
        <v>69.95</v>
      </c>
      <c r="F1586">
        <v>0</v>
      </c>
      <c r="H1586" t="s">
        <v>72</v>
      </c>
      <c r="I1586">
        <v>0</v>
      </c>
      <c r="J1586">
        <v>0</v>
      </c>
      <c r="K1586">
        <v>7</v>
      </c>
    </row>
    <row r="1587" spans="1:11" x14ac:dyDescent="0.2">
      <c r="A1587" t="s">
        <v>336</v>
      </c>
      <c r="B1587" t="s">
        <v>337</v>
      </c>
      <c r="C1587" t="s">
        <v>307</v>
      </c>
      <c r="D1587" t="s">
        <v>98</v>
      </c>
      <c r="E1587">
        <v>2899.99</v>
      </c>
      <c r="F1587">
        <v>0</v>
      </c>
      <c r="H1587" t="s">
        <v>72</v>
      </c>
      <c r="I1587">
        <v>0</v>
      </c>
      <c r="J1587">
        <v>0</v>
      </c>
      <c r="K1587">
        <v>0</v>
      </c>
    </row>
    <row r="1588" spans="1:11" x14ac:dyDescent="0.2">
      <c r="A1588" t="s">
        <v>354</v>
      </c>
      <c r="B1588" t="s">
        <v>355</v>
      </c>
      <c r="C1588" t="s">
        <v>307</v>
      </c>
      <c r="D1588" t="s">
        <v>98</v>
      </c>
      <c r="E1588">
        <v>1999.99</v>
      </c>
      <c r="F1588">
        <v>0</v>
      </c>
      <c r="H1588" t="s">
        <v>72</v>
      </c>
      <c r="I1588">
        <v>0</v>
      </c>
      <c r="J1588">
        <v>0</v>
      </c>
      <c r="K1588">
        <v>0</v>
      </c>
    </row>
    <row r="1589" spans="1:11" x14ac:dyDescent="0.2">
      <c r="A1589" t="s">
        <v>5284</v>
      </c>
      <c r="B1589" t="s">
        <v>5285</v>
      </c>
      <c r="C1589" t="s">
        <v>4283</v>
      </c>
      <c r="D1589" t="s">
        <v>105</v>
      </c>
      <c r="E1589">
        <v>329.99</v>
      </c>
      <c r="F1589">
        <v>0</v>
      </c>
      <c r="G1589">
        <v>1</v>
      </c>
      <c r="H1589" t="s">
        <v>72</v>
      </c>
      <c r="I1589">
        <v>0</v>
      </c>
      <c r="J1589">
        <v>0</v>
      </c>
      <c r="K1589">
        <v>0</v>
      </c>
    </row>
    <row r="1590" spans="1:11" x14ac:dyDescent="0.2">
      <c r="A1590" t="s">
        <v>5391</v>
      </c>
      <c r="B1590" t="s">
        <v>5392</v>
      </c>
      <c r="C1590" t="s">
        <v>5039</v>
      </c>
      <c r="D1590" t="s">
        <v>98</v>
      </c>
      <c r="E1590">
        <v>149.99</v>
      </c>
      <c r="F1590">
        <v>0</v>
      </c>
      <c r="H1590" t="s">
        <v>72</v>
      </c>
      <c r="I1590">
        <v>0</v>
      </c>
      <c r="J1590">
        <v>0</v>
      </c>
      <c r="K1590">
        <v>0</v>
      </c>
    </row>
    <row r="1591" spans="1:11" x14ac:dyDescent="0.2">
      <c r="A1591" t="s">
        <v>2195</v>
      </c>
      <c r="B1591" t="s">
        <v>2196</v>
      </c>
      <c r="C1591" t="s">
        <v>2174</v>
      </c>
      <c r="D1591" t="s">
        <v>98</v>
      </c>
      <c r="E1591">
        <v>99.99</v>
      </c>
      <c r="F1591">
        <v>0</v>
      </c>
      <c r="H1591" t="s">
        <v>72</v>
      </c>
      <c r="I1591">
        <v>0</v>
      </c>
      <c r="J1591">
        <v>0</v>
      </c>
      <c r="K1591">
        <v>1</v>
      </c>
    </row>
    <row r="1592" spans="1:11" x14ac:dyDescent="0.2">
      <c r="A1592" t="s">
        <v>130</v>
      </c>
      <c r="B1592" t="s">
        <v>131</v>
      </c>
      <c r="C1592" t="s">
        <v>95</v>
      </c>
      <c r="D1592" t="s">
        <v>98</v>
      </c>
      <c r="E1592">
        <v>24.99</v>
      </c>
      <c r="F1592">
        <v>0</v>
      </c>
      <c r="H1592" t="s">
        <v>72</v>
      </c>
      <c r="I1592">
        <v>0</v>
      </c>
      <c r="J1592">
        <v>0</v>
      </c>
      <c r="K1592">
        <v>0</v>
      </c>
    </row>
    <row r="1593" spans="1:11" x14ac:dyDescent="0.2">
      <c r="A1593" t="s">
        <v>4318</v>
      </c>
      <c r="B1593" t="s">
        <v>4319</v>
      </c>
      <c r="C1593" t="s">
        <v>4283</v>
      </c>
      <c r="D1593" t="s">
        <v>105</v>
      </c>
      <c r="E1593">
        <v>2899.99</v>
      </c>
      <c r="F1593">
        <v>0</v>
      </c>
      <c r="G1593">
        <v>3</v>
      </c>
      <c r="H1593" t="s">
        <v>72</v>
      </c>
      <c r="I1593">
        <v>0</v>
      </c>
      <c r="J1593">
        <v>0</v>
      </c>
      <c r="K1593">
        <v>0</v>
      </c>
    </row>
    <row r="1594" spans="1:11" x14ac:dyDescent="0.2">
      <c r="A1594" t="s">
        <v>5042</v>
      </c>
      <c r="B1594" t="s">
        <v>5043</v>
      </c>
      <c r="C1594" t="s">
        <v>5039</v>
      </c>
      <c r="D1594" t="s">
        <v>98</v>
      </c>
      <c r="E1594">
        <v>149.99</v>
      </c>
      <c r="F1594">
        <v>0</v>
      </c>
      <c r="H1594" t="s">
        <v>72</v>
      </c>
      <c r="I1594">
        <v>0</v>
      </c>
      <c r="J1594">
        <v>0</v>
      </c>
      <c r="K1594">
        <v>0</v>
      </c>
    </row>
    <row r="1595" spans="1:11" x14ac:dyDescent="0.2">
      <c r="A1595" t="s">
        <v>108</v>
      </c>
      <c r="B1595" t="s">
        <v>109</v>
      </c>
      <c r="C1595" t="s">
        <v>95</v>
      </c>
      <c r="D1595" t="s">
        <v>98</v>
      </c>
      <c r="E1595">
        <v>39.99</v>
      </c>
      <c r="F1595">
        <v>0</v>
      </c>
      <c r="H1595" t="s">
        <v>72</v>
      </c>
      <c r="I1595">
        <v>0</v>
      </c>
      <c r="J1595">
        <v>0</v>
      </c>
      <c r="K1595">
        <v>0</v>
      </c>
    </row>
    <row r="1596" spans="1:11" x14ac:dyDescent="0.2">
      <c r="A1596" t="s">
        <v>343</v>
      </c>
      <c r="B1596" t="s">
        <v>342</v>
      </c>
      <c r="C1596" t="s">
        <v>307</v>
      </c>
      <c r="D1596" t="s">
        <v>98</v>
      </c>
      <c r="E1596">
        <v>3999.99</v>
      </c>
      <c r="F1596">
        <v>0</v>
      </c>
      <c r="H1596" t="s">
        <v>72</v>
      </c>
      <c r="I1596">
        <v>0</v>
      </c>
      <c r="J1596">
        <v>0</v>
      </c>
      <c r="K1596">
        <v>0</v>
      </c>
    </row>
    <row r="1597" spans="1:11" x14ac:dyDescent="0.2">
      <c r="A1597" t="s">
        <v>2211</v>
      </c>
      <c r="B1597" t="s">
        <v>2212</v>
      </c>
      <c r="C1597" t="s">
        <v>2174</v>
      </c>
      <c r="D1597" t="s">
        <v>98</v>
      </c>
      <c r="E1597">
        <v>99.99</v>
      </c>
      <c r="F1597">
        <v>0</v>
      </c>
      <c r="H1597" t="s">
        <v>72</v>
      </c>
      <c r="I1597">
        <v>0</v>
      </c>
      <c r="J1597">
        <v>0</v>
      </c>
      <c r="K1597">
        <v>0</v>
      </c>
    </row>
    <row r="1598" spans="1:11" x14ac:dyDescent="0.2">
      <c r="A1598" t="s">
        <v>4316</v>
      </c>
      <c r="B1598" t="s">
        <v>4317</v>
      </c>
      <c r="C1598" t="s">
        <v>4283</v>
      </c>
      <c r="D1598" t="s">
        <v>105</v>
      </c>
      <c r="E1598">
        <v>249.99</v>
      </c>
      <c r="F1598">
        <v>0</v>
      </c>
      <c r="G1598">
        <v>9</v>
      </c>
      <c r="H1598" t="s">
        <v>72</v>
      </c>
      <c r="I1598">
        <v>0</v>
      </c>
      <c r="J1598">
        <v>0</v>
      </c>
      <c r="K1598">
        <v>0</v>
      </c>
    </row>
    <row r="1599" spans="1:11" x14ac:dyDescent="0.2">
      <c r="A1599" t="s">
        <v>2213</v>
      </c>
      <c r="B1599" t="s">
        <v>2214</v>
      </c>
      <c r="C1599" t="s">
        <v>2174</v>
      </c>
      <c r="D1599" t="s">
        <v>98</v>
      </c>
      <c r="E1599">
        <v>99.99</v>
      </c>
      <c r="F1599">
        <v>0</v>
      </c>
      <c r="H1599" t="s">
        <v>72</v>
      </c>
      <c r="I1599">
        <v>0</v>
      </c>
      <c r="J1599">
        <v>0</v>
      </c>
      <c r="K1599">
        <v>3</v>
      </c>
    </row>
    <row r="1600" spans="1:11" x14ac:dyDescent="0.2">
      <c r="A1600" t="s">
        <v>4091</v>
      </c>
      <c r="B1600" t="s">
        <v>4092</v>
      </c>
      <c r="C1600" t="s">
        <v>3929</v>
      </c>
      <c r="D1600" t="s">
        <v>105</v>
      </c>
      <c r="E1600">
        <v>159.99</v>
      </c>
      <c r="F1600">
        <v>0</v>
      </c>
      <c r="G1600">
        <v>25</v>
      </c>
      <c r="H1600" t="s">
        <v>72</v>
      </c>
      <c r="I1600">
        <v>0</v>
      </c>
      <c r="J1600">
        <v>0</v>
      </c>
      <c r="K1600">
        <v>0</v>
      </c>
    </row>
    <row r="1601" spans="1:11" x14ac:dyDescent="0.2">
      <c r="A1601" t="s">
        <v>5044</v>
      </c>
      <c r="B1601" t="s">
        <v>5045</v>
      </c>
      <c r="C1601" t="s">
        <v>5039</v>
      </c>
      <c r="D1601" t="s">
        <v>98</v>
      </c>
      <c r="E1601">
        <v>149.99</v>
      </c>
      <c r="F1601">
        <v>0</v>
      </c>
      <c r="H1601" t="s">
        <v>72</v>
      </c>
      <c r="I1601">
        <v>0</v>
      </c>
      <c r="J1601">
        <v>0</v>
      </c>
      <c r="K1601">
        <v>0</v>
      </c>
    </row>
    <row r="1602" spans="1:11" x14ac:dyDescent="0.2">
      <c r="A1602" t="s">
        <v>5276</v>
      </c>
      <c r="B1602" t="s">
        <v>5277</v>
      </c>
      <c r="C1602" t="s">
        <v>4283</v>
      </c>
      <c r="D1602" t="s">
        <v>105</v>
      </c>
      <c r="E1602">
        <v>329.99</v>
      </c>
      <c r="F1602">
        <v>0</v>
      </c>
      <c r="G1602">
        <v>1</v>
      </c>
      <c r="H1602" t="s">
        <v>72</v>
      </c>
      <c r="I1602">
        <v>0</v>
      </c>
      <c r="J1602">
        <v>0</v>
      </c>
      <c r="K1602">
        <v>0</v>
      </c>
    </row>
    <row r="1603" spans="1:11" x14ac:dyDescent="0.2">
      <c r="A1603" t="s">
        <v>2189</v>
      </c>
      <c r="B1603" t="s">
        <v>2190</v>
      </c>
      <c r="C1603" t="s">
        <v>2174</v>
      </c>
      <c r="D1603" t="s">
        <v>98</v>
      </c>
      <c r="E1603">
        <v>99.99</v>
      </c>
      <c r="F1603">
        <v>0</v>
      </c>
      <c r="H1603" t="s">
        <v>72</v>
      </c>
      <c r="I1603">
        <v>0</v>
      </c>
      <c r="J1603">
        <v>0</v>
      </c>
      <c r="K1603">
        <v>0</v>
      </c>
    </row>
    <row r="1604" spans="1:11" x14ac:dyDescent="0.2">
      <c r="A1604" t="s">
        <v>126</v>
      </c>
      <c r="B1604" t="s">
        <v>127</v>
      </c>
      <c r="C1604" t="s">
        <v>95</v>
      </c>
      <c r="D1604" t="s">
        <v>98</v>
      </c>
      <c r="E1604">
        <v>59.99</v>
      </c>
      <c r="F1604">
        <v>0</v>
      </c>
      <c r="H1604" t="s">
        <v>72</v>
      </c>
      <c r="I1604">
        <v>0</v>
      </c>
      <c r="J1604">
        <v>0</v>
      </c>
      <c r="K1604">
        <v>0</v>
      </c>
    </row>
    <row r="1605" spans="1:11" x14ac:dyDescent="0.2">
      <c r="A1605" t="s">
        <v>5282</v>
      </c>
      <c r="B1605" t="s">
        <v>5283</v>
      </c>
      <c r="C1605" t="s">
        <v>4283</v>
      </c>
      <c r="D1605" t="s">
        <v>105</v>
      </c>
      <c r="E1605">
        <v>329.99</v>
      </c>
      <c r="F1605">
        <v>0</v>
      </c>
      <c r="G1605">
        <v>1</v>
      </c>
      <c r="H1605" t="s">
        <v>72</v>
      </c>
      <c r="I1605">
        <v>0</v>
      </c>
      <c r="J1605">
        <v>0</v>
      </c>
      <c r="K1605">
        <v>0</v>
      </c>
    </row>
    <row r="1606" spans="1:11" x14ac:dyDescent="0.2">
      <c r="A1606" t="s">
        <v>5461</v>
      </c>
      <c r="B1606" t="s">
        <v>5462</v>
      </c>
      <c r="C1606" t="s">
        <v>3929</v>
      </c>
      <c r="D1606" t="s">
        <v>98</v>
      </c>
      <c r="E1606">
        <v>89.99</v>
      </c>
      <c r="F1606">
        <v>0</v>
      </c>
      <c r="H1606" t="s">
        <v>72</v>
      </c>
      <c r="I1606">
        <v>0</v>
      </c>
      <c r="J1606">
        <v>0</v>
      </c>
      <c r="K1606">
        <v>0</v>
      </c>
    </row>
    <row r="1607" spans="1:11" x14ac:dyDescent="0.2">
      <c r="A1607" t="s">
        <v>374</v>
      </c>
      <c r="B1607" t="s">
        <v>375</v>
      </c>
      <c r="C1607" t="s">
        <v>307</v>
      </c>
      <c r="D1607" t="s">
        <v>98</v>
      </c>
      <c r="E1607">
        <v>1899.99</v>
      </c>
      <c r="F1607">
        <v>0</v>
      </c>
      <c r="H1607" t="s">
        <v>72</v>
      </c>
      <c r="I1607">
        <v>0</v>
      </c>
      <c r="J1607">
        <v>0</v>
      </c>
      <c r="K1607">
        <v>0</v>
      </c>
    </row>
    <row r="1608" spans="1:11" x14ac:dyDescent="0.2">
      <c r="A1608" t="s">
        <v>4281</v>
      </c>
      <c r="B1608" t="s">
        <v>4282</v>
      </c>
      <c r="C1608" t="s">
        <v>4230</v>
      </c>
      <c r="D1608" t="s">
        <v>105</v>
      </c>
      <c r="E1608">
        <v>69.95</v>
      </c>
      <c r="F1608">
        <v>0</v>
      </c>
      <c r="H1608" t="s">
        <v>72</v>
      </c>
      <c r="I1608">
        <v>0.16666666666666666</v>
      </c>
      <c r="J1608">
        <v>24</v>
      </c>
      <c r="K1608">
        <v>4</v>
      </c>
    </row>
    <row r="1609" spans="1:11" x14ac:dyDescent="0.2">
      <c r="A1609" t="s">
        <v>338</v>
      </c>
      <c r="B1609" t="s">
        <v>339</v>
      </c>
      <c r="C1609" t="s">
        <v>307</v>
      </c>
      <c r="D1609" t="s">
        <v>98</v>
      </c>
      <c r="E1609">
        <v>2899.99</v>
      </c>
      <c r="F1609">
        <v>0</v>
      </c>
      <c r="H1609" t="s">
        <v>72</v>
      </c>
      <c r="I1609">
        <v>0</v>
      </c>
      <c r="J1609">
        <v>0</v>
      </c>
      <c r="K1609">
        <v>0</v>
      </c>
    </row>
    <row r="1610" spans="1:11" x14ac:dyDescent="0.2">
      <c r="A1610" t="s">
        <v>5401</v>
      </c>
      <c r="B1610" t="s">
        <v>5402</v>
      </c>
      <c r="C1610" t="s">
        <v>5039</v>
      </c>
      <c r="D1610" t="s">
        <v>98</v>
      </c>
      <c r="E1610">
        <v>99.99</v>
      </c>
      <c r="F1610">
        <v>0</v>
      </c>
      <c r="H1610" t="s">
        <v>72</v>
      </c>
      <c r="I1610">
        <v>0</v>
      </c>
      <c r="J1610">
        <v>0</v>
      </c>
      <c r="K1610">
        <v>0</v>
      </c>
    </row>
    <row r="1611" spans="1:11" x14ac:dyDescent="0.2">
      <c r="A1611" t="s">
        <v>403</v>
      </c>
      <c r="B1611" t="s">
        <v>402</v>
      </c>
      <c r="C1611" t="s">
        <v>307</v>
      </c>
      <c r="D1611" t="s">
        <v>98</v>
      </c>
      <c r="E1611">
        <v>1699.99</v>
      </c>
      <c r="F1611">
        <v>0</v>
      </c>
      <c r="H1611" t="s">
        <v>72</v>
      </c>
      <c r="I1611">
        <v>0</v>
      </c>
      <c r="J1611">
        <v>0</v>
      </c>
      <c r="K1611">
        <v>0</v>
      </c>
    </row>
    <row r="1612" spans="1:11" x14ac:dyDescent="0.2">
      <c r="A1612" t="s">
        <v>418</v>
      </c>
      <c r="B1612" t="s">
        <v>419</v>
      </c>
      <c r="C1612" t="s">
        <v>307</v>
      </c>
      <c r="D1612" t="s">
        <v>98</v>
      </c>
      <c r="E1612">
        <v>449</v>
      </c>
      <c r="F1612">
        <v>0</v>
      </c>
      <c r="H1612" t="s">
        <v>72</v>
      </c>
      <c r="I1612">
        <v>0</v>
      </c>
      <c r="J1612">
        <v>0</v>
      </c>
      <c r="K1612">
        <v>0</v>
      </c>
    </row>
    <row r="1613" spans="1:11" x14ac:dyDescent="0.2">
      <c r="A1613" t="s">
        <v>5507</v>
      </c>
      <c r="B1613" t="s">
        <v>5508</v>
      </c>
      <c r="C1613" t="s">
        <v>5509</v>
      </c>
      <c r="D1613" t="s">
        <v>98</v>
      </c>
      <c r="E1613">
        <v>19.989999999999998</v>
      </c>
      <c r="F1613">
        <v>0</v>
      </c>
      <c r="H1613" t="s">
        <v>72</v>
      </c>
      <c r="I1613">
        <v>0</v>
      </c>
      <c r="J1613">
        <v>0</v>
      </c>
      <c r="K1613">
        <v>0</v>
      </c>
    </row>
    <row r="1614" spans="1:11" x14ac:dyDescent="0.2">
      <c r="A1614" t="s">
        <v>4247</v>
      </c>
      <c r="B1614" t="s">
        <v>4248</v>
      </c>
      <c r="C1614" t="s">
        <v>4230</v>
      </c>
      <c r="D1614" t="s">
        <v>105</v>
      </c>
      <c r="E1614">
        <v>29.95</v>
      </c>
      <c r="F1614">
        <v>-29.95</v>
      </c>
      <c r="H1614" t="s">
        <v>72</v>
      </c>
      <c r="I1614">
        <v>0</v>
      </c>
      <c r="J1614">
        <v>0</v>
      </c>
      <c r="K1614">
        <v>3</v>
      </c>
    </row>
    <row r="1615" spans="1:11" x14ac:dyDescent="0.2">
      <c r="A1615" t="s">
        <v>120</v>
      </c>
      <c r="B1615" t="s">
        <v>121</v>
      </c>
      <c r="C1615" t="s">
        <v>95</v>
      </c>
      <c r="D1615" t="s">
        <v>98</v>
      </c>
      <c r="E1615">
        <v>25.99</v>
      </c>
      <c r="F1615">
        <v>0</v>
      </c>
      <c r="H1615" t="s">
        <v>72</v>
      </c>
      <c r="I1615">
        <v>0</v>
      </c>
      <c r="J1615">
        <v>0</v>
      </c>
      <c r="K1615">
        <v>2</v>
      </c>
    </row>
    <row r="1616" spans="1:11" x14ac:dyDescent="0.2">
      <c r="A1616" t="s">
        <v>4245</v>
      </c>
      <c r="B1616" t="s">
        <v>4246</v>
      </c>
      <c r="C1616" t="s">
        <v>4230</v>
      </c>
      <c r="D1616" t="s">
        <v>105</v>
      </c>
      <c r="E1616">
        <v>29.95</v>
      </c>
      <c r="F1616">
        <v>0</v>
      </c>
      <c r="H1616" t="s">
        <v>72</v>
      </c>
      <c r="I1616">
        <v>0.16666666666666666</v>
      </c>
      <c r="J1616">
        <v>36</v>
      </c>
      <c r="K1616">
        <v>6</v>
      </c>
    </row>
    <row r="1617" spans="1:11" x14ac:dyDescent="0.2">
      <c r="A1617" t="s">
        <v>420</v>
      </c>
      <c r="B1617" t="s">
        <v>421</v>
      </c>
      <c r="C1617" t="s">
        <v>307</v>
      </c>
      <c r="D1617" t="s">
        <v>98</v>
      </c>
      <c r="E1617">
        <v>449</v>
      </c>
      <c r="F1617">
        <v>0</v>
      </c>
      <c r="H1617" t="s">
        <v>72</v>
      </c>
      <c r="I1617">
        <v>0</v>
      </c>
      <c r="J1617">
        <v>0</v>
      </c>
      <c r="K1617">
        <v>0</v>
      </c>
    </row>
    <row r="1618" spans="1:11" x14ac:dyDescent="0.2">
      <c r="A1618" t="s">
        <v>4095</v>
      </c>
      <c r="B1618" t="s">
        <v>4096</v>
      </c>
      <c r="C1618" t="s">
        <v>3929</v>
      </c>
      <c r="D1618" t="s">
        <v>98</v>
      </c>
      <c r="E1618">
        <v>99.99</v>
      </c>
      <c r="F1618">
        <v>0</v>
      </c>
      <c r="H1618" t="s">
        <v>72</v>
      </c>
      <c r="I1618">
        <v>0</v>
      </c>
      <c r="J1618">
        <v>0</v>
      </c>
      <c r="K1618">
        <v>0</v>
      </c>
    </row>
    <row r="1619" spans="1:11" x14ac:dyDescent="0.2">
      <c r="A1619" t="s">
        <v>4241</v>
      </c>
      <c r="B1619" t="s">
        <v>5679</v>
      </c>
      <c r="C1619" t="s">
        <v>4230</v>
      </c>
      <c r="D1619" t="s">
        <v>105</v>
      </c>
      <c r="E1619">
        <v>29.95</v>
      </c>
      <c r="F1619">
        <v>29.95</v>
      </c>
      <c r="H1619" t="s">
        <v>72</v>
      </c>
      <c r="I1619">
        <v>0.5</v>
      </c>
      <c r="J1619">
        <v>2</v>
      </c>
      <c r="K1619">
        <v>1</v>
      </c>
    </row>
    <row r="1620" spans="1:11" x14ac:dyDescent="0.2">
      <c r="A1620" t="s">
        <v>5403</v>
      </c>
      <c r="B1620" t="s">
        <v>5404</v>
      </c>
      <c r="C1620" t="s">
        <v>5388</v>
      </c>
      <c r="D1620" t="s">
        <v>98</v>
      </c>
      <c r="E1620">
        <v>5599.99</v>
      </c>
      <c r="F1620">
        <v>0</v>
      </c>
      <c r="H1620" t="s">
        <v>72</v>
      </c>
      <c r="I1620">
        <v>0</v>
      </c>
      <c r="J1620">
        <v>0</v>
      </c>
      <c r="K1620">
        <v>0</v>
      </c>
    </row>
    <row r="1621" spans="1:11" x14ac:dyDescent="0.2">
      <c r="A1621" t="s">
        <v>406</v>
      </c>
      <c r="B1621" t="s">
        <v>407</v>
      </c>
      <c r="C1621" t="s">
        <v>307</v>
      </c>
      <c r="D1621" t="s">
        <v>98</v>
      </c>
      <c r="E1621">
        <v>1699.99</v>
      </c>
      <c r="F1621">
        <v>0</v>
      </c>
      <c r="H1621" t="s">
        <v>72</v>
      </c>
      <c r="I1621">
        <v>0</v>
      </c>
      <c r="J1621">
        <v>0</v>
      </c>
      <c r="K1621">
        <v>0</v>
      </c>
    </row>
    <row r="1622" spans="1:11" x14ac:dyDescent="0.2">
      <c r="A1622" t="s">
        <v>5485</v>
      </c>
      <c r="B1622" t="s">
        <v>5486</v>
      </c>
      <c r="C1622" t="s">
        <v>5039</v>
      </c>
      <c r="D1622" t="s">
        <v>98</v>
      </c>
      <c r="E1622">
        <v>99.99</v>
      </c>
      <c r="F1622">
        <v>0</v>
      </c>
      <c r="H1622" t="s">
        <v>72</v>
      </c>
      <c r="I1622">
        <v>0</v>
      </c>
      <c r="J1622">
        <v>0</v>
      </c>
      <c r="K1622">
        <v>0</v>
      </c>
    </row>
    <row r="1623" spans="1:11" x14ac:dyDescent="0.2">
      <c r="A1623" t="s">
        <v>5296</v>
      </c>
      <c r="B1623" t="s">
        <v>5297</v>
      </c>
      <c r="C1623" t="s">
        <v>582</v>
      </c>
      <c r="D1623" t="s">
        <v>98</v>
      </c>
      <c r="E1623">
        <v>24.99</v>
      </c>
      <c r="F1623">
        <v>0</v>
      </c>
      <c r="H1623" t="s">
        <v>72</v>
      </c>
      <c r="I1623">
        <v>0</v>
      </c>
      <c r="J1623">
        <v>0</v>
      </c>
      <c r="K1623">
        <v>0</v>
      </c>
    </row>
    <row r="1624" spans="1:11" x14ac:dyDescent="0.2">
      <c r="A1624" t="s">
        <v>372</v>
      </c>
      <c r="B1624" t="s">
        <v>373</v>
      </c>
      <c r="C1624" t="s">
        <v>307</v>
      </c>
      <c r="D1624" t="s">
        <v>98</v>
      </c>
      <c r="E1624">
        <v>699.99</v>
      </c>
      <c r="F1624">
        <v>0</v>
      </c>
      <c r="H1624" t="s">
        <v>72</v>
      </c>
      <c r="I1624">
        <v>0</v>
      </c>
      <c r="J1624">
        <v>0</v>
      </c>
      <c r="K1624">
        <v>1</v>
      </c>
    </row>
    <row r="1625" spans="1:11" x14ac:dyDescent="0.2">
      <c r="A1625" t="s">
        <v>5300</v>
      </c>
      <c r="B1625" t="s">
        <v>5301</v>
      </c>
      <c r="C1625" t="s">
        <v>582</v>
      </c>
      <c r="D1625" t="s">
        <v>98</v>
      </c>
      <c r="E1625">
        <v>19.989999999999998</v>
      </c>
      <c r="F1625">
        <v>0</v>
      </c>
      <c r="H1625" t="s">
        <v>72</v>
      </c>
      <c r="I1625">
        <v>0</v>
      </c>
      <c r="J1625">
        <v>0</v>
      </c>
      <c r="K1625">
        <v>0</v>
      </c>
    </row>
    <row r="1626" spans="1:11" x14ac:dyDescent="0.2">
      <c r="A1626" t="s">
        <v>5435</v>
      </c>
      <c r="B1626" t="s">
        <v>5436</v>
      </c>
      <c r="C1626" t="s">
        <v>5039</v>
      </c>
      <c r="D1626" t="s">
        <v>98</v>
      </c>
      <c r="E1626">
        <v>149.99</v>
      </c>
      <c r="F1626">
        <v>0</v>
      </c>
      <c r="H1626" t="s">
        <v>72</v>
      </c>
      <c r="I1626">
        <v>0</v>
      </c>
      <c r="J1626">
        <v>0</v>
      </c>
      <c r="K1626">
        <v>0</v>
      </c>
    </row>
    <row r="1627" spans="1:11" x14ac:dyDescent="0.2">
      <c r="A1627" t="s">
        <v>5298</v>
      </c>
      <c r="B1627" t="s">
        <v>5299</v>
      </c>
      <c r="C1627" t="s">
        <v>582</v>
      </c>
      <c r="D1627" t="s">
        <v>98</v>
      </c>
      <c r="E1627">
        <v>39.99</v>
      </c>
      <c r="F1627">
        <v>0</v>
      </c>
      <c r="H1627" t="s">
        <v>72</v>
      </c>
      <c r="I1627">
        <v>0</v>
      </c>
      <c r="J1627">
        <v>0</v>
      </c>
      <c r="K1627">
        <v>0</v>
      </c>
    </row>
    <row r="1628" spans="1:11" x14ac:dyDescent="0.2">
      <c r="A1628" t="s">
        <v>977</v>
      </c>
      <c r="B1628" t="s">
        <v>978</v>
      </c>
      <c r="C1628" t="s">
        <v>976</v>
      </c>
      <c r="D1628" t="s">
        <v>98</v>
      </c>
      <c r="E1628">
        <v>3499.99</v>
      </c>
      <c r="F1628">
        <v>0</v>
      </c>
      <c r="H1628" t="s">
        <v>72</v>
      </c>
      <c r="I1628">
        <v>0</v>
      </c>
      <c r="J1628">
        <v>0</v>
      </c>
      <c r="K1628">
        <v>0</v>
      </c>
    </row>
    <row r="1629" spans="1:11" x14ac:dyDescent="0.2">
      <c r="A1629" t="s">
        <v>4251</v>
      </c>
      <c r="B1629" t="s">
        <v>4252</v>
      </c>
      <c r="C1629" t="s">
        <v>4230</v>
      </c>
      <c r="D1629" t="s">
        <v>105</v>
      </c>
      <c r="E1629">
        <v>29.95</v>
      </c>
      <c r="F1629">
        <v>29.95</v>
      </c>
      <c r="H1629" t="s">
        <v>72</v>
      </c>
      <c r="I1629">
        <v>0.33333333333333331</v>
      </c>
      <c r="J1629">
        <v>24</v>
      </c>
      <c r="K1629">
        <v>8</v>
      </c>
    </row>
    <row r="1630" spans="1:11" x14ac:dyDescent="0.2">
      <c r="A1630" t="s">
        <v>368</v>
      </c>
      <c r="B1630" t="s">
        <v>369</v>
      </c>
      <c r="C1630" t="s">
        <v>307</v>
      </c>
      <c r="D1630" t="s">
        <v>98</v>
      </c>
      <c r="E1630">
        <v>1199.99</v>
      </c>
      <c r="F1630">
        <v>0</v>
      </c>
      <c r="H1630" t="s">
        <v>72</v>
      </c>
      <c r="I1630">
        <v>0</v>
      </c>
      <c r="J1630">
        <v>0</v>
      </c>
      <c r="K1630">
        <v>0</v>
      </c>
    </row>
    <row r="1631" spans="1:11" x14ac:dyDescent="0.2">
      <c r="A1631" t="s">
        <v>2177</v>
      </c>
      <c r="B1631" t="s">
        <v>2178</v>
      </c>
      <c r="C1631" t="s">
        <v>2174</v>
      </c>
      <c r="D1631" t="s">
        <v>98</v>
      </c>
      <c r="E1631">
        <v>69.989999999999995</v>
      </c>
      <c r="F1631">
        <v>0</v>
      </c>
      <c r="H1631" t="s">
        <v>72</v>
      </c>
      <c r="I1631">
        <v>0</v>
      </c>
      <c r="J1631">
        <v>0</v>
      </c>
      <c r="K1631">
        <v>1</v>
      </c>
    </row>
    <row r="1632" spans="1:11" x14ac:dyDescent="0.2">
      <c r="A1632" t="s">
        <v>5411</v>
      </c>
      <c r="B1632" t="s">
        <v>5412</v>
      </c>
      <c r="C1632" t="s">
        <v>5039</v>
      </c>
      <c r="D1632" t="s">
        <v>98</v>
      </c>
      <c r="E1632">
        <v>99.99</v>
      </c>
      <c r="F1632">
        <v>0</v>
      </c>
      <c r="H1632" t="s">
        <v>72</v>
      </c>
      <c r="I1632">
        <v>0</v>
      </c>
      <c r="J1632">
        <v>0</v>
      </c>
      <c r="K1632">
        <v>0</v>
      </c>
    </row>
    <row r="1633" spans="1:11" x14ac:dyDescent="0.2">
      <c r="A1633" t="s">
        <v>340</v>
      </c>
      <c r="B1633" t="s">
        <v>341</v>
      </c>
      <c r="C1633" t="s">
        <v>307</v>
      </c>
      <c r="D1633" t="s">
        <v>98</v>
      </c>
      <c r="E1633">
        <v>3299.99</v>
      </c>
      <c r="F1633">
        <v>0</v>
      </c>
      <c r="H1633" t="s">
        <v>72</v>
      </c>
      <c r="I1633">
        <v>0</v>
      </c>
      <c r="J1633">
        <v>0</v>
      </c>
      <c r="K1633">
        <v>0</v>
      </c>
    </row>
    <row r="1634" spans="1:11" x14ac:dyDescent="0.2">
      <c r="A1634" t="s">
        <v>344</v>
      </c>
      <c r="B1634" t="s">
        <v>345</v>
      </c>
      <c r="C1634" t="s">
        <v>307</v>
      </c>
      <c r="D1634" t="s">
        <v>98</v>
      </c>
      <c r="E1634">
        <v>3699.99</v>
      </c>
      <c r="F1634">
        <v>0</v>
      </c>
      <c r="H1634" t="s">
        <v>72</v>
      </c>
      <c r="I1634">
        <v>0</v>
      </c>
      <c r="J1634">
        <v>0</v>
      </c>
      <c r="K1634">
        <v>0</v>
      </c>
    </row>
    <row r="1635" spans="1:11" x14ac:dyDescent="0.2">
      <c r="A1635" t="s">
        <v>5516</v>
      </c>
      <c r="B1635" t="s">
        <v>5517</v>
      </c>
      <c r="C1635" t="s">
        <v>3929</v>
      </c>
      <c r="D1635" t="s">
        <v>98</v>
      </c>
      <c r="E1635">
        <v>19.989999999999998</v>
      </c>
      <c r="F1635">
        <v>0</v>
      </c>
      <c r="H1635" t="s">
        <v>72</v>
      </c>
      <c r="I1635">
        <v>0</v>
      </c>
      <c r="J1635">
        <v>0</v>
      </c>
      <c r="K1635">
        <v>0</v>
      </c>
    </row>
    <row r="1636" spans="1:11" x14ac:dyDescent="0.2">
      <c r="A1636" t="s">
        <v>4269</v>
      </c>
      <c r="B1636" t="s">
        <v>4270</v>
      </c>
      <c r="C1636" t="s">
        <v>4230</v>
      </c>
      <c r="D1636" t="s">
        <v>105</v>
      </c>
      <c r="E1636">
        <v>29.95</v>
      </c>
      <c r="F1636">
        <v>29.95</v>
      </c>
      <c r="G1636">
        <v>2</v>
      </c>
      <c r="H1636" t="s">
        <v>72</v>
      </c>
      <c r="I1636">
        <v>0.66666666666666663</v>
      </c>
      <c r="J1636">
        <v>4</v>
      </c>
      <c r="K1636">
        <v>3</v>
      </c>
    </row>
    <row r="1637" spans="1:11" x14ac:dyDescent="0.2">
      <c r="A1637" t="s">
        <v>377</v>
      </c>
      <c r="B1637" t="s">
        <v>376</v>
      </c>
      <c r="C1637" t="s">
        <v>307</v>
      </c>
      <c r="D1637" t="s">
        <v>98</v>
      </c>
      <c r="E1637">
        <v>2299.9899999999998</v>
      </c>
      <c r="F1637">
        <v>0</v>
      </c>
      <c r="H1637" t="s">
        <v>72</v>
      </c>
      <c r="I1637">
        <v>0</v>
      </c>
      <c r="J1637">
        <v>0</v>
      </c>
      <c r="K1637">
        <v>0</v>
      </c>
    </row>
    <row r="1638" spans="1:11" x14ac:dyDescent="0.2">
      <c r="A1638" t="s">
        <v>5050</v>
      </c>
      <c r="B1638" t="s">
        <v>5051</v>
      </c>
      <c r="C1638" t="s">
        <v>5039</v>
      </c>
      <c r="D1638" t="s">
        <v>98</v>
      </c>
      <c r="E1638">
        <v>899.99</v>
      </c>
      <c r="F1638">
        <v>0</v>
      </c>
      <c r="H1638" t="s">
        <v>72</v>
      </c>
      <c r="I1638">
        <v>0</v>
      </c>
      <c r="J1638">
        <v>0</v>
      </c>
      <c r="K1638">
        <v>0</v>
      </c>
    </row>
    <row r="1639" spans="1:11" x14ac:dyDescent="0.2">
      <c r="A1639" t="s">
        <v>4255</v>
      </c>
      <c r="B1639" t="s">
        <v>4256</v>
      </c>
      <c r="C1639" t="s">
        <v>4230</v>
      </c>
      <c r="D1639" t="s">
        <v>105</v>
      </c>
      <c r="E1639">
        <v>29.95</v>
      </c>
      <c r="F1639">
        <v>0</v>
      </c>
      <c r="H1639" t="s">
        <v>72</v>
      </c>
      <c r="I1639">
        <v>0.33333333333333331</v>
      </c>
      <c r="J1639">
        <v>12</v>
      </c>
      <c r="K1639">
        <v>4</v>
      </c>
    </row>
    <row r="1640" spans="1:11" x14ac:dyDescent="0.2">
      <c r="A1640" t="s">
        <v>4265</v>
      </c>
      <c r="B1640" t="s">
        <v>4266</v>
      </c>
      <c r="C1640" t="s">
        <v>4230</v>
      </c>
      <c r="D1640" t="s">
        <v>105</v>
      </c>
      <c r="E1640">
        <v>29.95</v>
      </c>
      <c r="F1640">
        <v>29.95</v>
      </c>
      <c r="G1640">
        <v>2</v>
      </c>
      <c r="H1640" t="s">
        <v>72</v>
      </c>
      <c r="I1640">
        <v>0.83333333333333337</v>
      </c>
      <c r="J1640">
        <v>1</v>
      </c>
      <c r="K1640">
        <v>1</v>
      </c>
    </row>
    <row r="1641" spans="1:11" x14ac:dyDescent="0.2">
      <c r="A1641" t="s">
        <v>424</v>
      </c>
      <c r="B1641" t="s">
        <v>425</v>
      </c>
      <c r="C1641" t="s">
        <v>307</v>
      </c>
      <c r="D1641" t="s">
        <v>98</v>
      </c>
      <c r="E1641">
        <v>449</v>
      </c>
      <c r="F1641">
        <v>0</v>
      </c>
      <c r="H1641" t="s">
        <v>72</v>
      </c>
      <c r="I1641">
        <v>0</v>
      </c>
      <c r="J1641">
        <v>0</v>
      </c>
      <c r="K1641">
        <v>0</v>
      </c>
    </row>
    <row r="1642" spans="1:11" x14ac:dyDescent="0.2">
      <c r="A1642" t="s">
        <v>5405</v>
      </c>
      <c r="B1642" t="s">
        <v>5406</v>
      </c>
      <c r="C1642" t="s">
        <v>5039</v>
      </c>
      <c r="D1642" t="s">
        <v>98</v>
      </c>
      <c r="E1642">
        <v>149.99</v>
      </c>
      <c r="F1642">
        <v>0</v>
      </c>
      <c r="H1642" t="s">
        <v>72</v>
      </c>
      <c r="I1642">
        <v>0</v>
      </c>
      <c r="J1642">
        <v>0</v>
      </c>
      <c r="K1642">
        <v>0</v>
      </c>
    </row>
    <row r="1643" spans="1:11" x14ac:dyDescent="0.2">
      <c r="A1643" t="s">
        <v>4261</v>
      </c>
      <c r="B1643" t="s">
        <v>4262</v>
      </c>
      <c r="C1643" t="s">
        <v>4230</v>
      </c>
      <c r="D1643" t="s">
        <v>105</v>
      </c>
      <c r="E1643">
        <v>29.95</v>
      </c>
      <c r="F1643">
        <v>29.95</v>
      </c>
      <c r="H1643" t="s">
        <v>72</v>
      </c>
      <c r="I1643">
        <v>0.83333333333333337</v>
      </c>
      <c r="J1643">
        <v>0</v>
      </c>
      <c r="K1643">
        <v>0</v>
      </c>
    </row>
    <row r="1644" spans="1:11" x14ac:dyDescent="0.2">
      <c r="A1644" t="s">
        <v>2175</v>
      </c>
      <c r="B1644" t="s">
        <v>2176</v>
      </c>
      <c r="C1644" t="s">
        <v>2174</v>
      </c>
      <c r="D1644" t="s">
        <v>98</v>
      </c>
      <c r="E1644">
        <v>69.989999999999995</v>
      </c>
      <c r="F1644">
        <v>0</v>
      </c>
      <c r="H1644" t="s">
        <v>72</v>
      </c>
      <c r="I1644">
        <v>0</v>
      </c>
      <c r="J1644">
        <v>0</v>
      </c>
      <c r="K1644">
        <v>0</v>
      </c>
    </row>
    <row r="1645" spans="1:11" x14ac:dyDescent="0.2">
      <c r="A1645" t="s">
        <v>4917</v>
      </c>
      <c r="B1645" t="s">
        <v>4918</v>
      </c>
      <c r="C1645" t="s">
        <v>4905</v>
      </c>
      <c r="D1645" t="s">
        <v>105</v>
      </c>
      <c r="E1645">
        <v>119.99</v>
      </c>
      <c r="F1645">
        <v>0</v>
      </c>
      <c r="G1645">
        <v>53</v>
      </c>
      <c r="H1645" t="s">
        <v>5085</v>
      </c>
      <c r="I1645">
        <v>0</v>
      </c>
      <c r="J1645">
        <v>0</v>
      </c>
      <c r="K1645">
        <v>4</v>
      </c>
    </row>
    <row r="1646" spans="1:11" x14ac:dyDescent="0.2">
      <c r="A1646" t="s">
        <v>4606</v>
      </c>
      <c r="B1646" t="s">
        <v>4607</v>
      </c>
      <c r="C1646" t="s">
        <v>4597</v>
      </c>
      <c r="D1646" t="s">
        <v>98</v>
      </c>
      <c r="E1646">
        <v>99.99</v>
      </c>
      <c r="F1646">
        <v>0</v>
      </c>
      <c r="H1646" t="s">
        <v>5085</v>
      </c>
      <c r="I1646">
        <v>0</v>
      </c>
      <c r="J1646">
        <v>0</v>
      </c>
      <c r="K1646">
        <v>0</v>
      </c>
    </row>
    <row r="1647" spans="1:11" x14ac:dyDescent="0.2">
      <c r="A1647" t="s">
        <v>5485</v>
      </c>
      <c r="B1647" t="s">
        <v>5486</v>
      </c>
      <c r="C1647" t="s">
        <v>5039</v>
      </c>
      <c r="D1647" t="s">
        <v>98</v>
      </c>
      <c r="E1647">
        <v>99.99</v>
      </c>
      <c r="F1647">
        <v>0</v>
      </c>
      <c r="H1647" t="s">
        <v>5085</v>
      </c>
      <c r="I1647">
        <v>0</v>
      </c>
      <c r="J1647">
        <v>0</v>
      </c>
      <c r="K1647">
        <v>0</v>
      </c>
    </row>
    <row r="1648" spans="1:11" x14ac:dyDescent="0.2">
      <c r="A1648" t="s">
        <v>4608</v>
      </c>
      <c r="B1648" t="s">
        <v>4609</v>
      </c>
      <c r="C1648" t="s">
        <v>4597</v>
      </c>
      <c r="D1648" t="s">
        <v>98</v>
      </c>
      <c r="E1648">
        <v>139.99</v>
      </c>
      <c r="F1648">
        <v>0</v>
      </c>
      <c r="H1648" t="s">
        <v>5085</v>
      </c>
      <c r="I1648">
        <v>0</v>
      </c>
      <c r="J1648">
        <v>0</v>
      </c>
      <c r="K1648">
        <v>0</v>
      </c>
    </row>
    <row r="1649" spans="1:11" x14ac:dyDescent="0.2">
      <c r="A1649" t="s">
        <v>4916</v>
      </c>
      <c r="B1649" t="s">
        <v>4915</v>
      </c>
      <c r="C1649" t="s">
        <v>4905</v>
      </c>
      <c r="D1649" t="s">
        <v>105</v>
      </c>
      <c r="E1649">
        <v>119.99</v>
      </c>
      <c r="F1649">
        <v>0</v>
      </c>
      <c r="G1649">
        <v>5</v>
      </c>
      <c r="H1649" t="s">
        <v>5085</v>
      </c>
      <c r="I1649">
        <v>0</v>
      </c>
      <c r="J1649">
        <v>0</v>
      </c>
      <c r="K1649">
        <v>3</v>
      </c>
    </row>
    <row r="1650" spans="1:11" x14ac:dyDescent="0.2">
      <c r="A1650" t="s">
        <v>5054</v>
      </c>
      <c r="B1650" t="s">
        <v>5055</v>
      </c>
      <c r="C1650" t="s">
        <v>5039</v>
      </c>
      <c r="D1650" t="s">
        <v>98</v>
      </c>
      <c r="E1650">
        <v>99.99</v>
      </c>
      <c r="F1650">
        <v>0</v>
      </c>
      <c r="H1650" t="s">
        <v>5085</v>
      </c>
      <c r="I1650">
        <v>0</v>
      </c>
      <c r="J1650">
        <v>0</v>
      </c>
      <c r="K1650">
        <v>0</v>
      </c>
    </row>
    <row r="1651" spans="1:11" x14ac:dyDescent="0.2">
      <c r="A1651" t="s">
        <v>5479</v>
      </c>
      <c r="B1651" t="s">
        <v>5480</v>
      </c>
      <c r="C1651" t="s">
        <v>5039</v>
      </c>
      <c r="D1651" t="s">
        <v>98</v>
      </c>
      <c r="E1651">
        <v>149.99</v>
      </c>
      <c r="F1651">
        <v>0</v>
      </c>
      <c r="H1651" t="s">
        <v>5085</v>
      </c>
      <c r="I1651">
        <v>0</v>
      </c>
      <c r="J1651">
        <v>0</v>
      </c>
      <c r="K1651">
        <v>0</v>
      </c>
    </row>
    <row r="1652" spans="1:11" x14ac:dyDescent="0.2">
      <c r="A1652" t="s">
        <v>3930</v>
      </c>
      <c r="B1652" t="s">
        <v>3931</v>
      </c>
      <c r="C1652" t="s">
        <v>3929</v>
      </c>
      <c r="D1652" t="s">
        <v>105</v>
      </c>
      <c r="E1652">
        <v>139.99</v>
      </c>
      <c r="F1652">
        <v>0</v>
      </c>
      <c r="G1652">
        <v>42</v>
      </c>
      <c r="H1652" t="s">
        <v>5085</v>
      </c>
      <c r="I1652">
        <v>0</v>
      </c>
      <c r="J1652">
        <v>0</v>
      </c>
      <c r="K1652">
        <v>4</v>
      </c>
    </row>
    <row r="1653" spans="1:11" x14ac:dyDescent="0.2">
      <c r="A1653" t="s">
        <v>5471</v>
      </c>
      <c r="B1653" t="s">
        <v>5472</v>
      </c>
      <c r="C1653" t="s">
        <v>5039</v>
      </c>
      <c r="D1653" t="s">
        <v>98</v>
      </c>
      <c r="E1653">
        <v>149.99</v>
      </c>
      <c r="F1653">
        <v>0</v>
      </c>
      <c r="H1653" t="s">
        <v>5085</v>
      </c>
      <c r="I1653">
        <v>0</v>
      </c>
      <c r="J1653">
        <v>0</v>
      </c>
      <c r="K1653">
        <v>0</v>
      </c>
    </row>
    <row r="1654" spans="1:11" x14ac:dyDescent="0.2">
      <c r="A1654" t="s">
        <v>4604</v>
      </c>
      <c r="B1654" t="s">
        <v>4605</v>
      </c>
      <c r="C1654" t="s">
        <v>4597</v>
      </c>
      <c r="D1654" t="s">
        <v>98</v>
      </c>
      <c r="E1654">
        <v>174.99</v>
      </c>
      <c r="F1654">
        <v>0</v>
      </c>
      <c r="H1654" t="s">
        <v>5085</v>
      </c>
      <c r="I1654">
        <v>0</v>
      </c>
      <c r="J1654">
        <v>0</v>
      </c>
      <c r="K1654">
        <v>0</v>
      </c>
    </row>
    <row r="1655" spans="1:11" x14ac:dyDescent="0.2">
      <c r="A1655" t="s">
        <v>3912</v>
      </c>
      <c r="B1655" t="s">
        <v>3913</v>
      </c>
      <c r="C1655" t="s">
        <v>3876</v>
      </c>
      <c r="D1655" t="s">
        <v>105</v>
      </c>
      <c r="E1655">
        <v>69.989999999999995</v>
      </c>
      <c r="F1655">
        <v>69.989999999999995</v>
      </c>
      <c r="G1655">
        <v>126</v>
      </c>
      <c r="H1655" t="s">
        <v>5085</v>
      </c>
      <c r="I1655">
        <v>0</v>
      </c>
      <c r="J1655">
        <v>0</v>
      </c>
      <c r="K1655">
        <v>3</v>
      </c>
    </row>
    <row r="1656" spans="1:11" x14ac:dyDescent="0.2">
      <c r="A1656" t="s">
        <v>5489</v>
      </c>
      <c r="B1656" t="s">
        <v>5490</v>
      </c>
      <c r="C1656" t="s">
        <v>5039</v>
      </c>
      <c r="D1656" t="s">
        <v>98</v>
      </c>
      <c r="E1656">
        <v>149.99</v>
      </c>
      <c r="F1656">
        <v>0</v>
      </c>
      <c r="H1656" t="s">
        <v>5085</v>
      </c>
      <c r="I1656">
        <v>0</v>
      </c>
      <c r="J1656">
        <v>0</v>
      </c>
      <c r="K1656">
        <v>0</v>
      </c>
    </row>
    <row r="1657" spans="1:11" x14ac:dyDescent="0.2">
      <c r="A1657" t="s">
        <v>4923</v>
      </c>
      <c r="B1657" t="s">
        <v>4924</v>
      </c>
      <c r="C1657" t="s">
        <v>4905</v>
      </c>
      <c r="D1657" t="s">
        <v>105</v>
      </c>
      <c r="E1657">
        <v>379.99</v>
      </c>
      <c r="F1657">
        <v>0</v>
      </c>
      <c r="H1657" t="s">
        <v>5085</v>
      </c>
      <c r="I1657">
        <v>0</v>
      </c>
      <c r="J1657">
        <v>0</v>
      </c>
      <c r="K1657">
        <v>1</v>
      </c>
    </row>
    <row r="1658" spans="1:11" x14ac:dyDescent="0.2">
      <c r="A1658" t="s">
        <v>5680</v>
      </c>
      <c r="B1658" t="s">
        <v>5681</v>
      </c>
      <c r="C1658" t="s">
        <v>5039</v>
      </c>
      <c r="D1658" t="s">
        <v>98</v>
      </c>
      <c r="E1658">
        <v>1199.99</v>
      </c>
      <c r="F1658">
        <v>0</v>
      </c>
      <c r="H1658" t="s">
        <v>5085</v>
      </c>
      <c r="I1658">
        <v>0</v>
      </c>
      <c r="J1658">
        <v>0</v>
      </c>
      <c r="K1658">
        <v>0</v>
      </c>
    </row>
    <row r="1659" spans="1:11" x14ac:dyDescent="0.2">
      <c r="A1659" t="s">
        <v>5052</v>
      </c>
      <c r="B1659" t="s">
        <v>5053</v>
      </c>
      <c r="C1659" t="s">
        <v>5039</v>
      </c>
      <c r="D1659" t="s">
        <v>98</v>
      </c>
      <c r="E1659">
        <v>1299.99</v>
      </c>
      <c r="F1659">
        <v>0</v>
      </c>
      <c r="H1659" t="s">
        <v>5085</v>
      </c>
      <c r="I1659">
        <v>0</v>
      </c>
      <c r="J1659">
        <v>0</v>
      </c>
      <c r="K1659">
        <v>0</v>
      </c>
    </row>
    <row r="1660" spans="1:11" x14ac:dyDescent="0.2">
      <c r="A1660" t="s">
        <v>3932</v>
      </c>
      <c r="B1660" t="s">
        <v>3933</v>
      </c>
      <c r="C1660" t="s">
        <v>3929</v>
      </c>
      <c r="D1660" t="s">
        <v>105</v>
      </c>
      <c r="E1660">
        <v>129.99</v>
      </c>
      <c r="F1660">
        <v>0</v>
      </c>
      <c r="G1660">
        <v>51</v>
      </c>
      <c r="H1660" t="s">
        <v>5085</v>
      </c>
      <c r="I1660">
        <v>0</v>
      </c>
      <c r="J1660">
        <v>0</v>
      </c>
      <c r="K1660">
        <v>6</v>
      </c>
    </row>
    <row r="1661" spans="1:11" x14ac:dyDescent="0.2">
      <c r="A1661" t="s">
        <v>3899</v>
      </c>
      <c r="B1661" t="s">
        <v>3900</v>
      </c>
      <c r="C1661" t="s">
        <v>3876</v>
      </c>
      <c r="D1661" t="s">
        <v>105</v>
      </c>
      <c r="E1661">
        <v>69.989999999999995</v>
      </c>
      <c r="F1661">
        <v>0</v>
      </c>
      <c r="G1661">
        <v>168</v>
      </c>
      <c r="H1661" t="s">
        <v>5085</v>
      </c>
      <c r="I1661">
        <v>0</v>
      </c>
      <c r="J1661">
        <v>0</v>
      </c>
      <c r="K1661">
        <v>1</v>
      </c>
    </row>
    <row r="1662" spans="1:11" x14ac:dyDescent="0.2">
      <c r="A1662" t="s">
        <v>5510</v>
      </c>
      <c r="B1662" t="s">
        <v>5511</v>
      </c>
      <c r="C1662" t="s">
        <v>5039</v>
      </c>
      <c r="D1662" t="s">
        <v>98</v>
      </c>
      <c r="E1662">
        <v>69.989999999999995</v>
      </c>
      <c r="F1662">
        <v>0</v>
      </c>
      <c r="H1662" t="s">
        <v>5085</v>
      </c>
      <c r="I1662">
        <v>0</v>
      </c>
      <c r="J1662">
        <v>0</v>
      </c>
      <c r="K1662">
        <v>0</v>
      </c>
    </row>
    <row r="1663" spans="1:11" x14ac:dyDescent="0.2">
      <c r="A1663" t="s">
        <v>5017</v>
      </c>
      <c r="B1663" t="s">
        <v>5018</v>
      </c>
      <c r="C1663" t="s">
        <v>5010</v>
      </c>
      <c r="D1663" t="s">
        <v>98</v>
      </c>
      <c r="E1663">
        <v>22.99</v>
      </c>
      <c r="F1663">
        <v>0</v>
      </c>
      <c r="H1663" t="s">
        <v>5085</v>
      </c>
      <c r="I1663">
        <v>0</v>
      </c>
      <c r="J1663">
        <v>0</v>
      </c>
      <c r="K1663">
        <v>0</v>
      </c>
    </row>
    <row r="1664" spans="1:11" x14ac:dyDescent="0.2">
      <c r="A1664" t="s">
        <v>5019</v>
      </c>
      <c r="B1664" t="s">
        <v>5020</v>
      </c>
      <c r="C1664" t="s">
        <v>5010</v>
      </c>
      <c r="D1664" t="s">
        <v>98</v>
      </c>
      <c r="E1664">
        <v>22.99</v>
      </c>
      <c r="F1664">
        <v>0</v>
      </c>
      <c r="H1664" t="s">
        <v>5085</v>
      </c>
      <c r="I1664">
        <v>0</v>
      </c>
      <c r="J1664">
        <v>0</v>
      </c>
      <c r="K1664">
        <v>0</v>
      </c>
    </row>
    <row r="1665" spans="1:11" x14ac:dyDescent="0.2">
      <c r="A1665" t="s">
        <v>5435</v>
      </c>
      <c r="B1665" t="s">
        <v>5436</v>
      </c>
      <c r="C1665" t="s">
        <v>5039</v>
      </c>
      <c r="D1665" t="s">
        <v>98</v>
      </c>
      <c r="E1665">
        <v>149.99</v>
      </c>
      <c r="F1665">
        <v>0</v>
      </c>
      <c r="H1665" t="s">
        <v>5085</v>
      </c>
      <c r="I1665">
        <v>0</v>
      </c>
      <c r="J1665">
        <v>0</v>
      </c>
      <c r="K1665">
        <v>0</v>
      </c>
    </row>
    <row r="1666" spans="1:11" x14ac:dyDescent="0.2">
      <c r="A1666" t="s">
        <v>3891</v>
      </c>
      <c r="B1666" t="s">
        <v>3892</v>
      </c>
      <c r="C1666" t="s">
        <v>3876</v>
      </c>
      <c r="D1666" t="s">
        <v>98</v>
      </c>
      <c r="E1666">
        <v>59.99</v>
      </c>
      <c r="F1666">
        <v>0</v>
      </c>
      <c r="H1666" t="s">
        <v>5085</v>
      </c>
      <c r="I1666">
        <v>0</v>
      </c>
      <c r="J1666">
        <v>0</v>
      </c>
      <c r="K1666">
        <v>0</v>
      </c>
    </row>
    <row r="1667" spans="1:11" x14ac:dyDescent="0.2">
      <c r="A1667" t="s">
        <v>5021</v>
      </c>
      <c r="B1667" t="s">
        <v>5022</v>
      </c>
      <c r="C1667" t="s">
        <v>5010</v>
      </c>
      <c r="D1667" t="s">
        <v>98</v>
      </c>
      <c r="E1667">
        <v>3499.99</v>
      </c>
      <c r="F1667">
        <v>0</v>
      </c>
      <c r="H1667" t="s">
        <v>5085</v>
      </c>
      <c r="I1667">
        <v>0</v>
      </c>
      <c r="J1667">
        <v>0</v>
      </c>
      <c r="K1667">
        <v>0</v>
      </c>
    </row>
    <row r="1668" spans="1:11" x14ac:dyDescent="0.2">
      <c r="A1668" t="s">
        <v>5025</v>
      </c>
      <c r="B1668" t="s">
        <v>5026</v>
      </c>
      <c r="C1668" t="s">
        <v>5010</v>
      </c>
      <c r="D1668" t="s">
        <v>98</v>
      </c>
      <c r="E1668">
        <v>4499.99</v>
      </c>
      <c r="F1668">
        <v>0</v>
      </c>
      <c r="H1668" t="s">
        <v>5085</v>
      </c>
      <c r="I1668">
        <v>0</v>
      </c>
      <c r="J1668">
        <v>0</v>
      </c>
      <c r="K1668">
        <v>0</v>
      </c>
    </row>
    <row r="1669" spans="1:11" x14ac:dyDescent="0.2">
      <c r="A1669" t="s">
        <v>5431</v>
      </c>
      <c r="B1669" t="s">
        <v>5432</v>
      </c>
      <c r="C1669" t="s">
        <v>3582</v>
      </c>
      <c r="D1669" t="s">
        <v>98</v>
      </c>
      <c r="E1669">
        <v>39.99</v>
      </c>
      <c r="F1669">
        <v>0</v>
      </c>
      <c r="H1669" t="s">
        <v>5085</v>
      </c>
      <c r="I1669">
        <v>0</v>
      </c>
      <c r="J1669">
        <v>0</v>
      </c>
      <c r="K1669">
        <v>0</v>
      </c>
    </row>
    <row r="1670" spans="1:11" x14ac:dyDescent="0.2">
      <c r="A1670" t="s">
        <v>5027</v>
      </c>
      <c r="B1670" t="s">
        <v>5028</v>
      </c>
      <c r="C1670" t="s">
        <v>5010</v>
      </c>
      <c r="D1670" t="s">
        <v>98</v>
      </c>
      <c r="E1670">
        <v>649.99</v>
      </c>
      <c r="F1670">
        <v>0</v>
      </c>
      <c r="H1670" t="s">
        <v>5085</v>
      </c>
      <c r="I1670">
        <v>0</v>
      </c>
      <c r="J1670">
        <v>0</v>
      </c>
      <c r="K1670">
        <v>0</v>
      </c>
    </row>
    <row r="1671" spans="1:11" x14ac:dyDescent="0.2">
      <c r="A1671" t="s">
        <v>5029</v>
      </c>
      <c r="B1671" t="s">
        <v>5030</v>
      </c>
      <c r="C1671" t="s">
        <v>5010</v>
      </c>
      <c r="D1671" t="s">
        <v>98</v>
      </c>
      <c r="E1671">
        <v>799.99</v>
      </c>
      <c r="F1671">
        <v>0</v>
      </c>
      <c r="H1671" t="s">
        <v>5085</v>
      </c>
      <c r="I1671">
        <v>0</v>
      </c>
      <c r="J1671">
        <v>0</v>
      </c>
      <c r="K1671">
        <v>0</v>
      </c>
    </row>
    <row r="1672" spans="1:11" x14ac:dyDescent="0.2">
      <c r="A1672" t="s">
        <v>5405</v>
      </c>
      <c r="B1672" t="s">
        <v>5406</v>
      </c>
      <c r="C1672" t="s">
        <v>5039</v>
      </c>
      <c r="D1672" t="s">
        <v>98</v>
      </c>
      <c r="E1672">
        <v>149.99</v>
      </c>
      <c r="F1672">
        <v>0</v>
      </c>
      <c r="H1672" t="s">
        <v>5085</v>
      </c>
      <c r="I1672">
        <v>0</v>
      </c>
      <c r="J1672">
        <v>0</v>
      </c>
      <c r="K1672">
        <v>0</v>
      </c>
    </row>
    <row r="1673" spans="1:11" x14ac:dyDescent="0.2">
      <c r="A1673" t="s">
        <v>5413</v>
      </c>
      <c r="B1673" t="s">
        <v>5414</v>
      </c>
      <c r="C1673" t="s">
        <v>3582</v>
      </c>
      <c r="D1673" t="s">
        <v>98</v>
      </c>
      <c r="E1673">
        <v>69.989999999999995</v>
      </c>
      <c r="F1673">
        <v>0</v>
      </c>
      <c r="H1673" t="s">
        <v>5085</v>
      </c>
      <c r="I1673">
        <v>0</v>
      </c>
      <c r="J1673">
        <v>0</v>
      </c>
      <c r="K1673">
        <v>0</v>
      </c>
    </row>
    <row r="1674" spans="1:11" x14ac:dyDescent="0.2">
      <c r="A1674" t="s">
        <v>5031</v>
      </c>
      <c r="B1674" t="s">
        <v>5032</v>
      </c>
      <c r="C1674" t="s">
        <v>5010</v>
      </c>
      <c r="D1674" t="s">
        <v>98</v>
      </c>
      <c r="E1674">
        <v>449.99</v>
      </c>
      <c r="F1674">
        <v>0</v>
      </c>
      <c r="H1674" t="s">
        <v>5085</v>
      </c>
      <c r="I1674">
        <v>0</v>
      </c>
      <c r="J1674">
        <v>0</v>
      </c>
      <c r="K1674">
        <v>30</v>
      </c>
    </row>
    <row r="1675" spans="1:11" x14ac:dyDescent="0.2">
      <c r="A1675" t="s">
        <v>3893</v>
      </c>
      <c r="B1675" t="s">
        <v>3894</v>
      </c>
      <c r="C1675" t="s">
        <v>3876</v>
      </c>
      <c r="D1675" t="s">
        <v>98</v>
      </c>
      <c r="E1675">
        <v>59.99</v>
      </c>
      <c r="F1675">
        <v>0</v>
      </c>
      <c r="H1675" t="s">
        <v>5085</v>
      </c>
      <c r="I1675">
        <v>0</v>
      </c>
      <c r="J1675">
        <v>0</v>
      </c>
      <c r="K1675">
        <v>0</v>
      </c>
    </row>
    <row r="1676" spans="1:11" x14ac:dyDescent="0.2">
      <c r="A1676" t="s">
        <v>5033</v>
      </c>
      <c r="B1676" t="s">
        <v>5034</v>
      </c>
      <c r="C1676" t="s">
        <v>5010</v>
      </c>
      <c r="D1676" t="s">
        <v>98</v>
      </c>
      <c r="E1676">
        <v>199.99</v>
      </c>
      <c r="F1676">
        <v>0</v>
      </c>
      <c r="H1676" t="s">
        <v>5085</v>
      </c>
      <c r="I1676">
        <v>0</v>
      </c>
      <c r="J1676">
        <v>0</v>
      </c>
      <c r="K1676">
        <v>0</v>
      </c>
    </row>
    <row r="1677" spans="1:11" x14ac:dyDescent="0.2">
      <c r="A1677" t="s">
        <v>3589</v>
      </c>
      <c r="B1677" t="s">
        <v>3590</v>
      </c>
      <c r="C1677" t="s">
        <v>3582</v>
      </c>
      <c r="D1677" t="s">
        <v>98</v>
      </c>
      <c r="E1677">
        <v>179.99</v>
      </c>
      <c r="F1677">
        <v>0</v>
      </c>
      <c r="H1677" t="s">
        <v>5085</v>
      </c>
      <c r="I1677">
        <v>0</v>
      </c>
      <c r="J1677">
        <v>0</v>
      </c>
      <c r="K1677">
        <v>0</v>
      </c>
    </row>
    <row r="1678" spans="1:11" x14ac:dyDescent="0.2">
      <c r="A1678" t="s">
        <v>5417</v>
      </c>
      <c r="B1678" t="s">
        <v>5418</v>
      </c>
      <c r="C1678" t="s">
        <v>5039</v>
      </c>
      <c r="D1678" t="s">
        <v>98</v>
      </c>
      <c r="E1678">
        <v>149.99</v>
      </c>
      <c r="F1678">
        <v>0</v>
      </c>
      <c r="H1678" t="s">
        <v>5085</v>
      </c>
      <c r="I1678">
        <v>0</v>
      </c>
      <c r="J1678">
        <v>0</v>
      </c>
      <c r="K1678">
        <v>0</v>
      </c>
    </row>
    <row r="1679" spans="1:11" x14ac:dyDescent="0.2">
      <c r="A1679" t="s">
        <v>5382</v>
      </c>
      <c r="B1679" t="s">
        <v>5383</v>
      </c>
      <c r="C1679" t="s">
        <v>3582</v>
      </c>
      <c r="D1679" t="s">
        <v>98</v>
      </c>
      <c r="E1679">
        <v>99.99</v>
      </c>
      <c r="F1679">
        <v>0</v>
      </c>
      <c r="H1679" t="s">
        <v>5085</v>
      </c>
      <c r="I1679">
        <v>0</v>
      </c>
      <c r="J1679">
        <v>0</v>
      </c>
      <c r="K1679">
        <v>0</v>
      </c>
    </row>
    <row r="1680" spans="1:11" x14ac:dyDescent="0.2">
      <c r="A1680" t="s">
        <v>3936</v>
      </c>
      <c r="B1680" t="s">
        <v>3937</v>
      </c>
      <c r="C1680" t="s">
        <v>3929</v>
      </c>
      <c r="D1680" t="s">
        <v>105</v>
      </c>
      <c r="E1680">
        <v>179.99</v>
      </c>
      <c r="F1680">
        <v>0</v>
      </c>
      <c r="G1680">
        <v>64</v>
      </c>
      <c r="H1680" t="s">
        <v>5085</v>
      </c>
      <c r="I1680">
        <v>0</v>
      </c>
      <c r="J1680">
        <v>0</v>
      </c>
      <c r="K1680">
        <v>1</v>
      </c>
    </row>
    <row r="1681" spans="1:11" x14ac:dyDescent="0.2">
      <c r="A1681" t="s">
        <v>5397</v>
      </c>
      <c r="B1681" t="s">
        <v>5398</v>
      </c>
      <c r="C1681" t="s">
        <v>5039</v>
      </c>
      <c r="D1681" t="s">
        <v>98</v>
      </c>
      <c r="E1681">
        <v>99.99</v>
      </c>
      <c r="F1681">
        <v>0</v>
      </c>
      <c r="H1681" t="s">
        <v>5085</v>
      </c>
      <c r="I1681">
        <v>0</v>
      </c>
      <c r="J1681">
        <v>0</v>
      </c>
      <c r="K1681">
        <v>0</v>
      </c>
    </row>
    <row r="1682" spans="1:11" x14ac:dyDescent="0.2">
      <c r="A1682" t="s">
        <v>5441</v>
      </c>
      <c r="B1682" t="s">
        <v>5442</v>
      </c>
      <c r="C1682" t="s">
        <v>3582</v>
      </c>
      <c r="D1682" t="s">
        <v>98</v>
      </c>
      <c r="E1682">
        <v>99.99</v>
      </c>
      <c r="F1682">
        <v>0</v>
      </c>
      <c r="H1682" t="s">
        <v>5085</v>
      </c>
      <c r="I1682">
        <v>0</v>
      </c>
      <c r="J1682">
        <v>0</v>
      </c>
      <c r="K1682">
        <v>0</v>
      </c>
    </row>
    <row r="1683" spans="1:11" x14ac:dyDescent="0.2">
      <c r="A1683" t="s">
        <v>5044</v>
      </c>
      <c r="B1683" t="s">
        <v>5045</v>
      </c>
      <c r="C1683" t="s">
        <v>5039</v>
      </c>
      <c r="D1683" t="s">
        <v>98</v>
      </c>
      <c r="E1683">
        <v>149.99</v>
      </c>
      <c r="F1683">
        <v>0</v>
      </c>
      <c r="H1683" t="s">
        <v>5085</v>
      </c>
      <c r="I1683">
        <v>0</v>
      </c>
      <c r="J1683">
        <v>0</v>
      </c>
      <c r="K1683">
        <v>0</v>
      </c>
    </row>
    <row r="1684" spans="1:11" x14ac:dyDescent="0.2">
      <c r="A1684" t="s">
        <v>5421</v>
      </c>
      <c r="B1684" t="s">
        <v>5422</v>
      </c>
      <c r="C1684" t="s">
        <v>5039</v>
      </c>
      <c r="D1684" t="s">
        <v>98</v>
      </c>
      <c r="E1684">
        <v>54.99</v>
      </c>
      <c r="F1684">
        <v>0</v>
      </c>
      <c r="H1684" t="s">
        <v>5085</v>
      </c>
      <c r="I1684">
        <v>0</v>
      </c>
      <c r="J1684">
        <v>0</v>
      </c>
      <c r="K1684">
        <v>0</v>
      </c>
    </row>
    <row r="1685" spans="1:11" x14ac:dyDescent="0.2">
      <c r="A1685" t="s">
        <v>5419</v>
      </c>
      <c r="B1685" t="s">
        <v>5420</v>
      </c>
      <c r="C1685" t="s">
        <v>3582</v>
      </c>
      <c r="D1685" t="s">
        <v>98</v>
      </c>
      <c r="E1685">
        <v>99.99</v>
      </c>
      <c r="F1685">
        <v>0</v>
      </c>
      <c r="H1685" t="s">
        <v>5085</v>
      </c>
      <c r="I1685">
        <v>0</v>
      </c>
      <c r="J1685">
        <v>0</v>
      </c>
      <c r="K1685">
        <v>0</v>
      </c>
    </row>
    <row r="1686" spans="1:11" x14ac:dyDescent="0.2">
      <c r="A1686" t="s">
        <v>5384</v>
      </c>
      <c r="B1686" t="s">
        <v>5385</v>
      </c>
      <c r="C1686" t="s">
        <v>3582</v>
      </c>
      <c r="D1686" t="s">
        <v>98</v>
      </c>
      <c r="E1686">
        <v>99.99</v>
      </c>
      <c r="F1686">
        <v>0</v>
      </c>
      <c r="H1686" t="s">
        <v>5085</v>
      </c>
      <c r="I1686">
        <v>0</v>
      </c>
      <c r="J1686">
        <v>0</v>
      </c>
      <c r="K1686">
        <v>0</v>
      </c>
    </row>
    <row r="1687" spans="1:11" x14ac:dyDescent="0.2">
      <c r="A1687" t="s">
        <v>5042</v>
      </c>
      <c r="B1687" t="s">
        <v>5043</v>
      </c>
      <c r="C1687" t="s">
        <v>5039</v>
      </c>
      <c r="D1687" t="s">
        <v>98</v>
      </c>
      <c r="E1687">
        <v>149.99</v>
      </c>
      <c r="F1687">
        <v>0</v>
      </c>
      <c r="H1687" t="s">
        <v>5085</v>
      </c>
      <c r="I1687">
        <v>0</v>
      </c>
      <c r="J1687">
        <v>0</v>
      </c>
      <c r="K1687">
        <v>0</v>
      </c>
    </row>
    <row r="1688" spans="1:11" x14ac:dyDescent="0.2">
      <c r="A1688" t="s">
        <v>5411</v>
      </c>
      <c r="B1688" t="s">
        <v>5412</v>
      </c>
      <c r="C1688" t="s">
        <v>5039</v>
      </c>
      <c r="D1688" t="s">
        <v>98</v>
      </c>
      <c r="E1688">
        <v>99.99</v>
      </c>
      <c r="F1688">
        <v>0</v>
      </c>
      <c r="H1688" t="s">
        <v>5085</v>
      </c>
      <c r="I1688">
        <v>0</v>
      </c>
      <c r="J1688">
        <v>0</v>
      </c>
      <c r="K1688">
        <v>0</v>
      </c>
    </row>
    <row r="1689" spans="1:11" x14ac:dyDescent="0.2">
      <c r="A1689" t="s">
        <v>5015</v>
      </c>
      <c r="B1689" t="s">
        <v>5016</v>
      </c>
      <c r="C1689" t="s">
        <v>5010</v>
      </c>
      <c r="D1689" t="s">
        <v>98</v>
      </c>
      <c r="E1689">
        <v>22.99</v>
      </c>
      <c r="F1689">
        <v>0</v>
      </c>
      <c r="H1689" t="s">
        <v>5085</v>
      </c>
      <c r="I1689">
        <v>0</v>
      </c>
      <c r="J1689">
        <v>0</v>
      </c>
      <c r="K1689">
        <v>0</v>
      </c>
    </row>
    <row r="1690" spans="1:11" x14ac:dyDescent="0.2">
      <c r="A1690" t="s">
        <v>5505</v>
      </c>
      <c r="B1690" t="s">
        <v>5506</v>
      </c>
      <c r="C1690" t="s">
        <v>3582</v>
      </c>
      <c r="D1690" t="s">
        <v>98</v>
      </c>
      <c r="E1690">
        <v>799.99</v>
      </c>
      <c r="F1690">
        <v>0</v>
      </c>
      <c r="H1690" t="s">
        <v>5085</v>
      </c>
      <c r="I1690">
        <v>0</v>
      </c>
      <c r="J1690">
        <v>0</v>
      </c>
      <c r="K1690">
        <v>0</v>
      </c>
    </row>
    <row r="1691" spans="1:11" x14ac:dyDescent="0.2">
      <c r="A1691" t="s">
        <v>5050</v>
      </c>
      <c r="B1691" t="s">
        <v>5051</v>
      </c>
      <c r="C1691" t="s">
        <v>5039</v>
      </c>
      <c r="D1691" t="s">
        <v>98</v>
      </c>
      <c r="E1691">
        <v>899.99</v>
      </c>
      <c r="F1691">
        <v>0</v>
      </c>
      <c r="H1691" t="s">
        <v>5085</v>
      </c>
      <c r="I1691">
        <v>0</v>
      </c>
      <c r="J1691">
        <v>0</v>
      </c>
      <c r="K1691">
        <v>0</v>
      </c>
    </row>
    <row r="1692" spans="1:11" x14ac:dyDescent="0.2">
      <c r="A1692" t="s">
        <v>5048</v>
      </c>
      <c r="B1692" t="s">
        <v>5049</v>
      </c>
      <c r="C1692" t="s">
        <v>5039</v>
      </c>
      <c r="D1692" t="s">
        <v>98</v>
      </c>
      <c r="E1692">
        <v>429.99</v>
      </c>
      <c r="F1692">
        <v>0</v>
      </c>
      <c r="H1692" t="s">
        <v>5085</v>
      </c>
      <c r="I1692">
        <v>0</v>
      </c>
      <c r="J1692">
        <v>0</v>
      </c>
      <c r="K1692">
        <v>0</v>
      </c>
    </row>
    <row r="1693" spans="1:11" x14ac:dyDescent="0.2">
      <c r="A1693" t="s">
        <v>4934</v>
      </c>
      <c r="B1693" t="s">
        <v>4933</v>
      </c>
      <c r="C1693" t="s">
        <v>4905</v>
      </c>
      <c r="D1693" t="s">
        <v>105</v>
      </c>
      <c r="E1693">
        <v>219.99</v>
      </c>
      <c r="F1693">
        <v>0</v>
      </c>
      <c r="G1693">
        <v>6</v>
      </c>
      <c r="H1693" t="s">
        <v>5085</v>
      </c>
      <c r="I1693">
        <v>0</v>
      </c>
      <c r="J1693">
        <v>0</v>
      </c>
      <c r="K1693">
        <v>4</v>
      </c>
    </row>
    <row r="1694" spans="1:11" x14ac:dyDescent="0.2">
      <c r="A1694" t="s">
        <v>5518</v>
      </c>
      <c r="B1694" t="s">
        <v>5519</v>
      </c>
      <c r="C1694" t="s">
        <v>5039</v>
      </c>
      <c r="D1694" t="s">
        <v>98</v>
      </c>
      <c r="E1694">
        <v>149.99</v>
      </c>
      <c r="F1694">
        <v>0</v>
      </c>
      <c r="H1694" t="s">
        <v>5085</v>
      </c>
      <c r="I1694">
        <v>0</v>
      </c>
      <c r="J1694">
        <v>0</v>
      </c>
      <c r="K1694">
        <v>0</v>
      </c>
    </row>
    <row r="1695" spans="1:11" x14ac:dyDescent="0.2">
      <c r="A1695" t="s">
        <v>4937</v>
      </c>
      <c r="B1695" t="s">
        <v>4936</v>
      </c>
      <c r="C1695" t="s">
        <v>4905</v>
      </c>
      <c r="D1695" t="s">
        <v>105</v>
      </c>
      <c r="E1695">
        <v>199.99</v>
      </c>
      <c r="F1695">
        <v>0</v>
      </c>
      <c r="G1695">
        <v>148</v>
      </c>
      <c r="H1695" t="s">
        <v>5085</v>
      </c>
      <c r="I1695">
        <v>0</v>
      </c>
      <c r="J1695">
        <v>0</v>
      </c>
      <c r="K1695">
        <v>9</v>
      </c>
    </row>
    <row r="1696" spans="1:11" x14ac:dyDescent="0.2">
      <c r="A1696" t="s">
        <v>4937</v>
      </c>
      <c r="B1696" t="s">
        <v>4936</v>
      </c>
      <c r="C1696" t="s">
        <v>4905</v>
      </c>
      <c r="D1696" t="s">
        <v>105</v>
      </c>
      <c r="E1696">
        <v>199.99</v>
      </c>
      <c r="F1696">
        <v>0</v>
      </c>
      <c r="G1696">
        <v>148</v>
      </c>
      <c r="H1696" t="s">
        <v>5085</v>
      </c>
      <c r="I1696">
        <v>0</v>
      </c>
      <c r="J1696">
        <v>0</v>
      </c>
      <c r="K1696">
        <v>9</v>
      </c>
    </row>
    <row r="1697" spans="1:11" x14ac:dyDescent="0.2">
      <c r="A1697" t="s">
        <v>4938</v>
      </c>
      <c r="B1697" t="s">
        <v>4939</v>
      </c>
      <c r="C1697" t="s">
        <v>4905</v>
      </c>
      <c r="D1697" t="s">
        <v>105</v>
      </c>
      <c r="E1697">
        <v>489.99</v>
      </c>
      <c r="F1697">
        <v>0</v>
      </c>
      <c r="G1697">
        <v>2</v>
      </c>
      <c r="H1697" t="s">
        <v>5085</v>
      </c>
      <c r="I1697">
        <v>0</v>
      </c>
      <c r="J1697">
        <v>0</v>
      </c>
      <c r="K1697">
        <v>3</v>
      </c>
    </row>
    <row r="1698" spans="1:11" x14ac:dyDescent="0.2">
      <c r="A1698" t="s">
        <v>5522</v>
      </c>
      <c r="B1698" t="s">
        <v>5523</v>
      </c>
      <c r="C1698" t="s">
        <v>5039</v>
      </c>
      <c r="D1698" t="s">
        <v>98</v>
      </c>
      <c r="E1698">
        <v>99.99</v>
      </c>
      <c r="F1698">
        <v>0</v>
      </c>
      <c r="H1698" t="s">
        <v>5085</v>
      </c>
      <c r="I1698">
        <v>0</v>
      </c>
      <c r="J1698">
        <v>0</v>
      </c>
      <c r="K1698">
        <v>7</v>
      </c>
    </row>
    <row r="1699" spans="1:11" x14ac:dyDescent="0.2">
      <c r="A1699" t="s">
        <v>4966</v>
      </c>
      <c r="B1699" t="s">
        <v>4967</v>
      </c>
      <c r="C1699" t="s">
        <v>4905</v>
      </c>
      <c r="D1699" t="s">
        <v>138</v>
      </c>
      <c r="E1699">
        <v>549.99</v>
      </c>
      <c r="F1699">
        <v>0</v>
      </c>
      <c r="H1699" t="s">
        <v>5085</v>
      </c>
      <c r="I1699">
        <v>0</v>
      </c>
      <c r="J1699">
        <v>0</v>
      </c>
      <c r="K1699">
        <v>0</v>
      </c>
    </row>
    <row r="1700" spans="1:11" x14ac:dyDescent="0.2">
      <c r="A1700" t="s">
        <v>5501</v>
      </c>
      <c r="B1700" t="s">
        <v>5502</v>
      </c>
      <c r="C1700" t="s">
        <v>5039</v>
      </c>
      <c r="D1700" t="s">
        <v>98</v>
      </c>
      <c r="E1700">
        <v>79.989999999999995</v>
      </c>
      <c r="F1700">
        <v>0</v>
      </c>
      <c r="H1700" t="s">
        <v>5085</v>
      </c>
      <c r="I1700">
        <v>0</v>
      </c>
      <c r="J1700">
        <v>0</v>
      </c>
      <c r="K1700">
        <v>0</v>
      </c>
    </row>
    <row r="1701" spans="1:11" x14ac:dyDescent="0.2">
      <c r="A1701" t="s">
        <v>5046</v>
      </c>
      <c r="B1701" t="s">
        <v>5047</v>
      </c>
      <c r="C1701" t="s">
        <v>5039</v>
      </c>
      <c r="D1701" t="s">
        <v>98</v>
      </c>
      <c r="E1701">
        <v>149.99</v>
      </c>
      <c r="F1701">
        <v>0</v>
      </c>
      <c r="H1701" t="s">
        <v>5085</v>
      </c>
      <c r="I1701">
        <v>0</v>
      </c>
      <c r="J1701">
        <v>0</v>
      </c>
      <c r="K1701">
        <v>0</v>
      </c>
    </row>
    <row r="1702" spans="1:11" x14ac:dyDescent="0.2">
      <c r="A1702" t="s">
        <v>4974</v>
      </c>
      <c r="B1702" t="s">
        <v>4973</v>
      </c>
      <c r="C1702" t="s">
        <v>4905</v>
      </c>
      <c r="D1702" t="s">
        <v>138</v>
      </c>
      <c r="E1702">
        <v>549.99</v>
      </c>
      <c r="F1702">
        <v>0</v>
      </c>
      <c r="H1702" t="s">
        <v>5085</v>
      </c>
      <c r="I1702">
        <v>0</v>
      </c>
      <c r="J1702">
        <v>0</v>
      </c>
      <c r="K1702">
        <v>0</v>
      </c>
    </row>
    <row r="1703" spans="1:11" x14ac:dyDescent="0.2">
      <c r="A1703" t="s">
        <v>4980</v>
      </c>
      <c r="B1703" t="s">
        <v>4979</v>
      </c>
      <c r="C1703" t="s">
        <v>4905</v>
      </c>
      <c r="D1703" t="s">
        <v>138</v>
      </c>
      <c r="E1703">
        <v>729.99</v>
      </c>
      <c r="F1703">
        <v>0</v>
      </c>
      <c r="H1703" t="s">
        <v>5085</v>
      </c>
      <c r="I1703">
        <v>0</v>
      </c>
      <c r="J1703">
        <v>0</v>
      </c>
      <c r="K1703">
        <v>0</v>
      </c>
    </row>
    <row r="1704" spans="1:11" x14ac:dyDescent="0.2">
      <c r="A1704" t="s">
        <v>3901</v>
      </c>
      <c r="B1704" t="s">
        <v>5070</v>
      </c>
      <c r="C1704" t="s">
        <v>3876</v>
      </c>
      <c r="D1704" t="s">
        <v>105</v>
      </c>
      <c r="E1704">
        <v>69.989999999999995</v>
      </c>
      <c r="F1704">
        <v>69.989999999999995</v>
      </c>
      <c r="G1704">
        <v>92</v>
      </c>
      <c r="H1704" t="s">
        <v>5085</v>
      </c>
      <c r="I1704">
        <v>0</v>
      </c>
      <c r="J1704">
        <v>0</v>
      </c>
      <c r="K1704">
        <v>7</v>
      </c>
    </row>
    <row r="1705" spans="1:11" x14ac:dyDescent="0.2">
      <c r="A1705" t="s">
        <v>5530</v>
      </c>
      <c r="B1705" t="s">
        <v>5531</v>
      </c>
      <c r="C1705" t="s">
        <v>5039</v>
      </c>
      <c r="D1705" t="s">
        <v>98</v>
      </c>
      <c r="E1705">
        <v>99.99</v>
      </c>
      <c r="F1705">
        <v>0</v>
      </c>
      <c r="H1705" t="s">
        <v>5085</v>
      </c>
      <c r="I1705">
        <v>0</v>
      </c>
      <c r="J1705">
        <v>0</v>
      </c>
      <c r="K1705">
        <v>0</v>
      </c>
    </row>
    <row r="1706" spans="1:11" x14ac:dyDescent="0.2">
      <c r="A1706" t="s">
        <v>5534</v>
      </c>
      <c r="B1706" t="s">
        <v>5535</v>
      </c>
      <c r="C1706" t="s">
        <v>5039</v>
      </c>
      <c r="D1706" t="s">
        <v>98</v>
      </c>
      <c r="E1706">
        <v>49.99</v>
      </c>
      <c r="F1706">
        <v>0</v>
      </c>
      <c r="H1706" t="s">
        <v>5085</v>
      </c>
      <c r="I1706">
        <v>0</v>
      </c>
      <c r="J1706">
        <v>0</v>
      </c>
      <c r="K1706">
        <v>0</v>
      </c>
    </row>
    <row r="1707" spans="1:11" x14ac:dyDescent="0.2">
      <c r="A1707" t="s">
        <v>5005</v>
      </c>
      <c r="B1707" t="s">
        <v>5006</v>
      </c>
      <c r="C1707" t="s">
        <v>4905</v>
      </c>
      <c r="D1707" t="s">
        <v>105</v>
      </c>
      <c r="E1707">
        <v>199</v>
      </c>
      <c r="F1707">
        <v>0</v>
      </c>
      <c r="H1707" t="s">
        <v>5085</v>
      </c>
      <c r="I1707">
        <v>0</v>
      </c>
      <c r="J1707">
        <v>0</v>
      </c>
      <c r="K1707">
        <v>2</v>
      </c>
    </row>
    <row r="1708" spans="1:11" x14ac:dyDescent="0.2">
      <c r="A1708" t="s">
        <v>5499</v>
      </c>
      <c r="B1708" t="s">
        <v>5500</v>
      </c>
      <c r="C1708" t="s">
        <v>5039</v>
      </c>
      <c r="D1708" t="s">
        <v>98</v>
      </c>
      <c r="E1708">
        <v>39.99</v>
      </c>
      <c r="F1708">
        <v>0</v>
      </c>
      <c r="H1708" t="s">
        <v>5085</v>
      </c>
      <c r="I1708">
        <v>0</v>
      </c>
      <c r="J1708">
        <v>0</v>
      </c>
      <c r="K1708">
        <v>0</v>
      </c>
    </row>
    <row r="1709" spans="1:11" x14ac:dyDescent="0.2">
      <c r="A1709" t="s">
        <v>3897</v>
      </c>
      <c r="B1709" t="s">
        <v>3898</v>
      </c>
      <c r="C1709" t="s">
        <v>3876</v>
      </c>
      <c r="D1709" t="s">
        <v>98</v>
      </c>
      <c r="E1709">
        <v>59.99</v>
      </c>
      <c r="F1709">
        <v>0</v>
      </c>
      <c r="H1709" t="s">
        <v>5085</v>
      </c>
      <c r="I1709">
        <v>0</v>
      </c>
      <c r="J1709">
        <v>0</v>
      </c>
      <c r="K1709">
        <v>0</v>
      </c>
    </row>
    <row r="1710" spans="1:11" x14ac:dyDescent="0.2">
      <c r="A1710" t="s">
        <v>5495</v>
      </c>
      <c r="B1710" t="s">
        <v>5496</v>
      </c>
      <c r="C1710" t="s">
        <v>5039</v>
      </c>
      <c r="D1710" t="s">
        <v>98</v>
      </c>
      <c r="E1710">
        <v>69.989999999999995</v>
      </c>
      <c r="F1710">
        <v>0</v>
      </c>
      <c r="H1710" t="s">
        <v>5085</v>
      </c>
      <c r="I1710">
        <v>0</v>
      </c>
      <c r="J1710">
        <v>0</v>
      </c>
      <c r="K1710">
        <v>0</v>
      </c>
    </row>
    <row r="1711" spans="1:11" x14ac:dyDescent="0.2">
      <c r="A1711" t="s">
        <v>3895</v>
      </c>
      <c r="B1711" t="s">
        <v>3896</v>
      </c>
      <c r="C1711" t="s">
        <v>3876</v>
      </c>
      <c r="D1711" t="s">
        <v>98</v>
      </c>
      <c r="E1711">
        <v>59.99</v>
      </c>
      <c r="F1711">
        <v>0</v>
      </c>
      <c r="H1711" t="s">
        <v>5085</v>
      </c>
      <c r="I1711">
        <v>0</v>
      </c>
      <c r="J1711">
        <v>0</v>
      </c>
      <c r="K1711">
        <v>0</v>
      </c>
    </row>
    <row r="1712" spans="1:11" x14ac:dyDescent="0.2">
      <c r="A1712" t="s">
        <v>4971</v>
      </c>
      <c r="B1712" t="s">
        <v>4970</v>
      </c>
      <c r="C1712" t="s">
        <v>4905</v>
      </c>
      <c r="D1712" t="s">
        <v>138</v>
      </c>
      <c r="E1712">
        <v>549.99</v>
      </c>
      <c r="F1712">
        <v>0</v>
      </c>
      <c r="H1712" t="s">
        <v>5085</v>
      </c>
      <c r="I1712">
        <v>0</v>
      </c>
      <c r="J1712">
        <v>0</v>
      </c>
      <c r="K1712">
        <v>0</v>
      </c>
    </row>
    <row r="1713" spans="1:11" x14ac:dyDescent="0.2">
      <c r="A1713" t="s">
        <v>5391</v>
      </c>
      <c r="B1713" t="s">
        <v>5392</v>
      </c>
      <c r="C1713" t="s">
        <v>5039</v>
      </c>
      <c r="D1713" t="s">
        <v>98</v>
      </c>
      <c r="E1713">
        <v>149.99</v>
      </c>
      <c r="F1713">
        <v>0</v>
      </c>
      <c r="H1713" t="s">
        <v>5085</v>
      </c>
      <c r="I1713">
        <v>0</v>
      </c>
      <c r="J1713">
        <v>0</v>
      </c>
      <c r="K1713">
        <v>0</v>
      </c>
    </row>
    <row r="1714" spans="1:11" x14ac:dyDescent="0.2">
      <c r="A1714" t="s">
        <v>4087</v>
      </c>
      <c r="B1714" t="s">
        <v>4088</v>
      </c>
      <c r="C1714" t="s">
        <v>3929</v>
      </c>
      <c r="D1714" t="s">
        <v>105</v>
      </c>
      <c r="E1714">
        <v>99.99</v>
      </c>
      <c r="F1714">
        <v>0</v>
      </c>
      <c r="G1714">
        <v>9</v>
      </c>
      <c r="H1714" t="s">
        <v>5085</v>
      </c>
      <c r="I1714">
        <v>0</v>
      </c>
      <c r="J1714">
        <v>0</v>
      </c>
      <c r="K1714">
        <v>1</v>
      </c>
    </row>
    <row r="1715" spans="1:11" x14ac:dyDescent="0.2">
      <c r="A1715" t="s">
        <v>4598</v>
      </c>
      <c r="B1715" t="s">
        <v>4599</v>
      </c>
      <c r="C1715" t="s">
        <v>4597</v>
      </c>
      <c r="D1715" t="s">
        <v>138</v>
      </c>
      <c r="E1715">
        <v>99999</v>
      </c>
      <c r="F1715">
        <v>0</v>
      </c>
      <c r="H1715" t="s">
        <v>5085</v>
      </c>
      <c r="I1715">
        <v>0</v>
      </c>
      <c r="J1715">
        <v>0</v>
      </c>
      <c r="K1715">
        <v>0</v>
      </c>
    </row>
    <row r="1716" spans="1:11" x14ac:dyDescent="0.2">
      <c r="A1716" t="s">
        <v>4036</v>
      </c>
      <c r="B1716" t="s">
        <v>4037</v>
      </c>
      <c r="C1716" t="s">
        <v>3929</v>
      </c>
      <c r="D1716" t="s">
        <v>105</v>
      </c>
      <c r="E1716">
        <v>129.99</v>
      </c>
      <c r="F1716">
        <v>0</v>
      </c>
      <c r="G1716">
        <v>39</v>
      </c>
      <c r="H1716" t="s">
        <v>5085</v>
      </c>
      <c r="I1716">
        <v>0</v>
      </c>
      <c r="J1716">
        <v>0</v>
      </c>
      <c r="K1716">
        <v>0</v>
      </c>
    </row>
    <row r="1717" spans="1:11" x14ac:dyDescent="0.2">
      <c r="A1717" t="s">
        <v>4277</v>
      </c>
      <c r="B1717" t="s">
        <v>4278</v>
      </c>
      <c r="C1717" t="s">
        <v>4230</v>
      </c>
      <c r="D1717" t="s">
        <v>105</v>
      </c>
      <c r="E1717">
        <v>249</v>
      </c>
      <c r="F1717">
        <v>0</v>
      </c>
      <c r="G1717">
        <v>196</v>
      </c>
      <c r="H1717" t="s">
        <v>5085</v>
      </c>
      <c r="I1717">
        <v>0</v>
      </c>
      <c r="J1717">
        <v>0</v>
      </c>
      <c r="K1717">
        <v>11</v>
      </c>
    </row>
    <row r="1718" spans="1:11" x14ac:dyDescent="0.2">
      <c r="A1718" t="s">
        <v>4038</v>
      </c>
      <c r="B1718" t="s">
        <v>4039</v>
      </c>
      <c r="C1718" t="s">
        <v>3929</v>
      </c>
      <c r="D1718" t="s">
        <v>98</v>
      </c>
      <c r="E1718">
        <v>219.99</v>
      </c>
      <c r="F1718">
        <v>0</v>
      </c>
      <c r="H1718" t="s">
        <v>5085</v>
      </c>
      <c r="I1718">
        <v>0</v>
      </c>
      <c r="J1718">
        <v>0</v>
      </c>
      <c r="K1718">
        <v>0</v>
      </c>
    </row>
    <row r="1719" spans="1:11" x14ac:dyDescent="0.2">
      <c r="A1719" t="s">
        <v>4275</v>
      </c>
      <c r="B1719" t="s">
        <v>4276</v>
      </c>
      <c r="C1719" t="s">
        <v>4230</v>
      </c>
      <c r="D1719" t="s">
        <v>105</v>
      </c>
      <c r="E1719">
        <v>249</v>
      </c>
      <c r="F1719">
        <v>249</v>
      </c>
      <c r="G1719">
        <v>135</v>
      </c>
      <c r="H1719" t="s">
        <v>5085</v>
      </c>
      <c r="I1719">
        <v>0</v>
      </c>
      <c r="J1719">
        <v>0</v>
      </c>
      <c r="K1719">
        <v>8</v>
      </c>
    </row>
    <row r="1720" spans="1:11" x14ac:dyDescent="0.2">
      <c r="A1720" t="s">
        <v>5108</v>
      </c>
      <c r="B1720" t="s">
        <v>5109</v>
      </c>
      <c r="C1720" t="s">
        <v>3929</v>
      </c>
      <c r="D1720" t="s">
        <v>98</v>
      </c>
      <c r="E1720">
        <v>89.99</v>
      </c>
      <c r="F1720">
        <v>0</v>
      </c>
      <c r="H1720" t="s">
        <v>5085</v>
      </c>
      <c r="I1720">
        <v>0</v>
      </c>
      <c r="J1720">
        <v>0</v>
      </c>
      <c r="K1720">
        <v>0</v>
      </c>
    </row>
    <row r="1721" spans="1:11" x14ac:dyDescent="0.2">
      <c r="A1721" t="s">
        <v>5106</v>
      </c>
      <c r="B1721" t="s">
        <v>5107</v>
      </c>
      <c r="C1721" t="s">
        <v>3929</v>
      </c>
      <c r="D1721" t="s">
        <v>138</v>
      </c>
      <c r="E1721">
        <v>89.99</v>
      </c>
      <c r="F1721">
        <v>0</v>
      </c>
      <c r="G1721">
        <v>12</v>
      </c>
      <c r="H1721" t="s">
        <v>5085</v>
      </c>
      <c r="I1721">
        <v>0</v>
      </c>
      <c r="J1721">
        <v>0</v>
      </c>
      <c r="K1721">
        <v>1</v>
      </c>
    </row>
    <row r="1722" spans="1:11" x14ac:dyDescent="0.2">
      <c r="A1722" t="s">
        <v>4040</v>
      </c>
      <c r="B1722" t="s">
        <v>4041</v>
      </c>
      <c r="C1722" t="s">
        <v>3929</v>
      </c>
      <c r="D1722" t="s">
        <v>105</v>
      </c>
      <c r="E1722">
        <v>89.99</v>
      </c>
      <c r="F1722">
        <v>0</v>
      </c>
      <c r="G1722">
        <v>28</v>
      </c>
      <c r="H1722" t="s">
        <v>5085</v>
      </c>
      <c r="I1722">
        <v>0</v>
      </c>
      <c r="J1722">
        <v>0</v>
      </c>
      <c r="K1722">
        <v>2</v>
      </c>
    </row>
    <row r="1723" spans="1:11" x14ac:dyDescent="0.2">
      <c r="A1723" t="s">
        <v>5294</v>
      </c>
      <c r="B1723" t="s">
        <v>5295</v>
      </c>
      <c r="C1723" t="s">
        <v>3929</v>
      </c>
      <c r="D1723" t="s">
        <v>98</v>
      </c>
      <c r="E1723">
        <v>89.99</v>
      </c>
      <c r="F1723">
        <v>0</v>
      </c>
      <c r="H1723" t="s">
        <v>5085</v>
      </c>
      <c r="I1723">
        <v>0</v>
      </c>
      <c r="J1723">
        <v>0</v>
      </c>
      <c r="K1723">
        <v>1</v>
      </c>
    </row>
    <row r="1724" spans="1:11" x14ac:dyDescent="0.2">
      <c r="A1724" t="s">
        <v>4292</v>
      </c>
      <c r="B1724" t="s">
        <v>4293</v>
      </c>
      <c r="C1724" t="s">
        <v>4283</v>
      </c>
      <c r="D1724" t="s">
        <v>105</v>
      </c>
      <c r="E1724">
        <v>379.99</v>
      </c>
      <c r="F1724">
        <v>0</v>
      </c>
      <c r="G1724">
        <v>3</v>
      </c>
      <c r="H1724" t="s">
        <v>5085</v>
      </c>
      <c r="I1724">
        <v>0</v>
      </c>
      <c r="J1724">
        <v>0</v>
      </c>
      <c r="K1724">
        <v>0</v>
      </c>
    </row>
    <row r="1725" spans="1:11" x14ac:dyDescent="0.2">
      <c r="A1725" t="s">
        <v>4239</v>
      </c>
      <c r="B1725" t="s">
        <v>4240</v>
      </c>
      <c r="C1725" t="s">
        <v>4230</v>
      </c>
      <c r="D1725" t="s">
        <v>105</v>
      </c>
      <c r="E1725">
        <v>379</v>
      </c>
      <c r="F1725">
        <v>379</v>
      </c>
      <c r="G1725">
        <v>132</v>
      </c>
      <c r="H1725" t="s">
        <v>5085</v>
      </c>
      <c r="I1725">
        <v>0</v>
      </c>
      <c r="J1725">
        <v>0</v>
      </c>
      <c r="K1725">
        <v>3</v>
      </c>
    </row>
    <row r="1726" spans="1:11" x14ac:dyDescent="0.2">
      <c r="A1726" t="s">
        <v>4237</v>
      </c>
      <c r="B1726" t="s">
        <v>4238</v>
      </c>
      <c r="C1726" t="s">
        <v>4230</v>
      </c>
      <c r="D1726" t="s">
        <v>105</v>
      </c>
      <c r="E1726">
        <v>379</v>
      </c>
      <c r="F1726">
        <v>0</v>
      </c>
      <c r="G1726">
        <v>187</v>
      </c>
      <c r="H1726" t="s">
        <v>5085</v>
      </c>
      <c r="I1726">
        <v>0</v>
      </c>
      <c r="J1726">
        <v>0</v>
      </c>
      <c r="K1726">
        <v>3</v>
      </c>
    </row>
    <row r="1727" spans="1:11" x14ac:dyDescent="0.2">
      <c r="A1727" t="s">
        <v>5290</v>
      </c>
      <c r="B1727" t="s">
        <v>5291</v>
      </c>
      <c r="C1727" t="s">
        <v>3929</v>
      </c>
      <c r="D1727" t="s">
        <v>98</v>
      </c>
      <c r="E1727">
        <v>89.99</v>
      </c>
      <c r="F1727">
        <v>0</v>
      </c>
      <c r="H1727" t="s">
        <v>5085</v>
      </c>
      <c r="I1727">
        <v>0</v>
      </c>
      <c r="J1727">
        <v>0</v>
      </c>
      <c r="K1727">
        <v>0</v>
      </c>
    </row>
    <row r="1728" spans="1:11" x14ac:dyDescent="0.2">
      <c r="A1728" t="s">
        <v>4161</v>
      </c>
      <c r="B1728" t="s">
        <v>4162</v>
      </c>
      <c r="C1728" t="s">
        <v>3929</v>
      </c>
      <c r="D1728" t="s">
        <v>105</v>
      </c>
      <c r="E1728">
        <v>139.99</v>
      </c>
      <c r="F1728">
        <v>0</v>
      </c>
      <c r="H1728" t="s">
        <v>5085</v>
      </c>
      <c r="I1728">
        <v>0</v>
      </c>
      <c r="J1728">
        <v>0</v>
      </c>
      <c r="K1728">
        <v>0</v>
      </c>
    </row>
    <row r="1729" spans="1:11" x14ac:dyDescent="0.2">
      <c r="A1729" t="s">
        <v>4131</v>
      </c>
      <c r="B1729" t="s">
        <v>4132</v>
      </c>
      <c r="C1729" t="s">
        <v>3929</v>
      </c>
      <c r="D1729" t="s">
        <v>138</v>
      </c>
      <c r="E1729">
        <v>59.99</v>
      </c>
      <c r="F1729">
        <v>0</v>
      </c>
      <c r="G1729">
        <v>12</v>
      </c>
      <c r="H1729" t="s">
        <v>5085</v>
      </c>
      <c r="I1729">
        <v>0</v>
      </c>
      <c r="J1729">
        <v>0</v>
      </c>
      <c r="K1729">
        <v>7</v>
      </c>
    </row>
    <row r="1730" spans="1:11" x14ac:dyDescent="0.2">
      <c r="A1730" t="s">
        <v>5104</v>
      </c>
      <c r="B1730" t="s">
        <v>5105</v>
      </c>
      <c r="C1730" t="s">
        <v>3929</v>
      </c>
      <c r="D1730" t="s">
        <v>105</v>
      </c>
      <c r="E1730">
        <v>69.989999999999995</v>
      </c>
      <c r="F1730">
        <v>0</v>
      </c>
      <c r="G1730">
        <v>3</v>
      </c>
      <c r="H1730" t="s">
        <v>5085</v>
      </c>
      <c r="I1730">
        <v>0</v>
      </c>
      <c r="J1730">
        <v>0</v>
      </c>
      <c r="K1730">
        <v>0</v>
      </c>
    </row>
    <row r="1731" spans="1:11" x14ac:dyDescent="0.2">
      <c r="A1731" t="s">
        <v>4127</v>
      </c>
      <c r="B1731" t="s">
        <v>4128</v>
      </c>
      <c r="C1731" t="s">
        <v>3929</v>
      </c>
      <c r="D1731" t="s">
        <v>138</v>
      </c>
      <c r="E1731">
        <v>259.99</v>
      </c>
      <c r="F1731">
        <v>0</v>
      </c>
      <c r="G1731">
        <v>23</v>
      </c>
      <c r="H1731" t="s">
        <v>5085</v>
      </c>
      <c r="I1731">
        <v>0</v>
      </c>
      <c r="J1731">
        <v>0</v>
      </c>
      <c r="K1731">
        <v>1</v>
      </c>
    </row>
    <row r="1732" spans="1:11" x14ac:dyDescent="0.2">
      <c r="A1732" t="s">
        <v>5110</v>
      </c>
      <c r="B1732" t="s">
        <v>5111</v>
      </c>
      <c r="C1732" t="s">
        <v>3929</v>
      </c>
      <c r="D1732" t="s">
        <v>98</v>
      </c>
      <c r="E1732">
        <v>59.99</v>
      </c>
      <c r="F1732">
        <v>0</v>
      </c>
      <c r="H1732" t="s">
        <v>5085</v>
      </c>
      <c r="I1732">
        <v>0</v>
      </c>
      <c r="J1732">
        <v>0</v>
      </c>
      <c r="K1732">
        <v>0</v>
      </c>
    </row>
    <row r="1733" spans="1:11" x14ac:dyDescent="0.2">
      <c r="A1733" t="s">
        <v>4044</v>
      </c>
      <c r="B1733" t="s">
        <v>4045</v>
      </c>
      <c r="C1733" t="s">
        <v>3929</v>
      </c>
      <c r="D1733" t="s">
        <v>105</v>
      </c>
      <c r="E1733">
        <v>129.99</v>
      </c>
      <c r="F1733">
        <v>259.98</v>
      </c>
      <c r="H1733" t="s">
        <v>5085</v>
      </c>
      <c r="I1733">
        <v>0</v>
      </c>
      <c r="J1733">
        <v>0</v>
      </c>
      <c r="K1733">
        <v>10</v>
      </c>
    </row>
    <row r="1734" spans="1:11" x14ac:dyDescent="0.2">
      <c r="A1734" t="s">
        <v>5081</v>
      </c>
      <c r="B1734" t="s">
        <v>5082</v>
      </c>
      <c r="C1734" t="s">
        <v>3929</v>
      </c>
      <c r="D1734" t="s">
        <v>138</v>
      </c>
      <c r="E1734">
        <v>59.99</v>
      </c>
      <c r="F1734">
        <v>0</v>
      </c>
      <c r="H1734" t="s">
        <v>5085</v>
      </c>
      <c r="I1734">
        <v>0</v>
      </c>
      <c r="J1734">
        <v>0</v>
      </c>
      <c r="K1734">
        <v>0</v>
      </c>
    </row>
    <row r="1735" spans="1:11" x14ac:dyDescent="0.2">
      <c r="A1735" t="s">
        <v>4294</v>
      </c>
      <c r="B1735" t="s">
        <v>4295</v>
      </c>
      <c r="C1735" t="s">
        <v>4283</v>
      </c>
      <c r="D1735" t="s">
        <v>105</v>
      </c>
      <c r="E1735">
        <v>5699.99</v>
      </c>
      <c r="F1735">
        <v>0</v>
      </c>
      <c r="G1735">
        <v>6</v>
      </c>
      <c r="H1735" t="s">
        <v>5085</v>
      </c>
      <c r="I1735">
        <v>0</v>
      </c>
      <c r="J1735">
        <v>0</v>
      </c>
      <c r="K1735">
        <v>0</v>
      </c>
    </row>
    <row r="1736" spans="1:11" x14ac:dyDescent="0.2">
      <c r="A1736" t="s">
        <v>5259</v>
      </c>
      <c r="B1736" t="s">
        <v>5260</v>
      </c>
      <c r="C1736" t="s">
        <v>4283</v>
      </c>
      <c r="D1736" t="s">
        <v>98</v>
      </c>
      <c r="E1736">
        <v>399.99</v>
      </c>
      <c r="F1736">
        <v>0</v>
      </c>
      <c r="H1736" t="s">
        <v>5085</v>
      </c>
      <c r="I1736">
        <v>0</v>
      </c>
      <c r="J1736">
        <v>0</v>
      </c>
      <c r="K1736">
        <v>0</v>
      </c>
    </row>
    <row r="1737" spans="1:11" x14ac:dyDescent="0.2">
      <c r="A1737" t="s">
        <v>4340</v>
      </c>
      <c r="B1737" t="s">
        <v>4341</v>
      </c>
      <c r="C1737" t="s">
        <v>4283</v>
      </c>
      <c r="D1737" t="s">
        <v>105</v>
      </c>
      <c r="E1737">
        <v>549.99</v>
      </c>
      <c r="F1737">
        <v>0</v>
      </c>
      <c r="G1737">
        <v>11</v>
      </c>
      <c r="H1737" t="s">
        <v>5085</v>
      </c>
      <c r="I1737">
        <v>0</v>
      </c>
      <c r="J1737">
        <v>0</v>
      </c>
      <c r="K1737">
        <v>1</v>
      </c>
    </row>
    <row r="1738" spans="1:11" x14ac:dyDescent="0.2">
      <c r="A1738" t="s">
        <v>4336</v>
      </c>
      <c r="B1738" t="s">
        <v>4337</v>
      </c>
      <c r="C1738" t="s">
        <v>4283</v>
      </c>
      <c r="D1738" t="s">
        <v>105</v>
      </c>
      <c r="E1738">
        <v>3299.99</v>
      </c>
      <c r="F1738">
        <v>0</v>
      </c>
      <c r="G1738">
        <v>2</v>
      </c>
      <c r="H1738" t="s">
        <v>5085</v>
      </c>
      <c r="I1738">
        <v>0</v>
      </c>
      <c r="J1738">
        <v>0</v>
      </c>
      <c r="K1738">
        <v>0</v>
      </c>
    </row>
    <row r="1739" spans="1:11" x14ac:dyDescent="0.2">
      <c r="A1739" t="s">
        <v>4004</v>
      </c>
      <c r="B1739" t="s">
        <v>4005</v>
      </c>
      <c r="C1739" t="s">
        <v>3929</v>
      </c>
      <c r="D1739" t="s">
        <v>105</v>
      </c>
      <c r="E1739">
        <v>64.989999999999995</v>
      </c>
      <c r="F1739">
        <v>64.989999999999995</v>
      </c>
      <c r="G1739">
        <v>5</v>
      </c>
      <c r="H1739" t="s">
        <v>5085</v>
      </c>
      <c r="I1739">
        <v>0</v>
      </c>
      <c r="J1739">
        <v>0</v>
      </c>
      <c r="K1739">
        <v>0</v>
      </c>
    </row>
    <row r="1740" spans="1:11" x14ac:dyDescent="0.2">
      <c r="A1740" t="s">
        <v>4006</v>
      </c>
      <c r="B1740" t="s">
        <v>4007</v>
      </c>
      <c r="C1740" t="s">
        <v>3929</v>
      </c>
      <c r="D1740" t="s">
        <v>105</v>
      </c>
      <c r="E1740">
        <v>64.989999999999995</v>
      </c>
      <c r="F1740">
        <v>0</v>
      </c>
      <c r="H1740" t="s">
        <v>5085</v>
      </c>
      <c r="I1740">
        <v>0</v>
      </c>
      <c r="J1740">
        <v>0</v>
      </c>
      <c r="K1740">
        <v>0</v>
      </c>
    </row>
    <row r="1741" spans="1:11" x14ac:dyDescent="0.2">
      <c r="A1741" t="s">
        <v>4322</v>
      </c>
      <c r="B1741" t="s">
        <v>4323</v>
      </c>
      <c r="C1741" t="s">
        <v>4283</v>
      </c>
      <c r="D1741" t="s">
        <v>105</v>
      </c>
      <c r="E1741">
        <v>299.99</v>
      </c>
      <c r="F1741">
        <v>0</v>
      </c>
      <c r="G1741">
        <v>5</v>
      </c>
      <c r="H1741" t="s">
        <v>5085</v>
      </c>
      <c r="I1741">
        <v>0</v>
      </c>
      <c r="J1741">
        <v>0</v>
      </c>
      <c r="K1741">
        <v>1</v>
      </c>
    </row>
    <row r="1742" spans="1:11" x14ac:dyDescent="0.2">
      <c r="A1742" t="s">
        <v>5682</v>
      </c>
      <c r="B1742" t="s">
        <v>5683</v>
      </c>
      <c r="C1742" t="s">
        <v>4283</v>
      </c>
      <c r="D1742" t="s">
        <v>98</v>
      </c>
      <c r="E1742">
        <v>109.99</v>
      </c>
      <c r="F1742">
        <v>0</v>
      </c>
      <c r="H1742" t="s">
        <v>5085</v>
      </c>
      <c r="I1742">
        <v>0</v>
      </c>
      <c r="J1742">
        <v>0</v>
      </c>
      <c r="K1742">
        <v>0</v>
      </c>
    </row>
    <row r="1743" spans="1:11" x14ac:dyDescent="0.2">
      <c r="A1743" t="s">
        <v>5684</v>
      </c>
      <c r="B1743" t="s">
        <v>5685</v>
      </c>
      <c r="C1743" t="s">
        <v>4283</v>
      </c>
      <c r="D1743" t="s">
        <v>98</v>
      </c>
      <c r="E1743">
        <v>129.99</v>
      </c>
      <c r="F1743">
        <v>0</v>
      </c>
      <c r="H1743" t="s">
        <v>5085</v>
      </c>
      <c r="I1743">
        <v>0</v>
      </c>
      <c r="J1743">
        <v>0</v>
      </c>
      <c r="K1743">
        <v>0</v>
      </c>
    </row>
    <row r="1744" spans="1:11" x14ac:dyDescent="0.2">
      <c r="A1744" t="s">
        <v>5126</v>
      </c>
      <c r="B1744" t="s">
        <v>5127</v>
      </c>
      <c r="C1744" t="s">
        <v>3929</v>
      </c>
      <c r="D1744" t="s">
        <v>105</v>
      </c>
      <c r="E1744">
        <v>129.99</v>
      </c>
      <c r="F1744">
        <v>0</v>
      </c>
      <c r="G1744">
        <v>24</v>
      </c>
      <c r="H1744" t="s">
        <v>5085</v>
      </c>
      <c r="I1744">
        <v>0</v>
      </c>
      <c r="J1744">
        <v>0</v>
      </c>
      <c r="K1744">
        <v>0</v>
      </c>
    </row>
    <row r="1745" spans="1:11" x14ac:dyDescent="0.2">
      <c r="A1745" t="s">
        <v>4318</v>
      </c>
      <c r="B1745" t="s">
        <v>4319</v>
      </c>
      <c r="C1745" t="s">
        <v>4283</v>
      </c>
      <c r="D1745" t="s">
        <v>105</v>
      </c>
      <c r="E1745">
        <v>2899.99</v>
      </c>
      <c r="F1745">
        <v>0</v>
      </c>
      <c r="G1745">
        <v>3</v>
      </c>
      <c r="H1745" t="s">
        <v>5085</v>
      </c>
      <c r="I1745">
        <v>0</v>
      </c>
      <c r="J1745">
        <v>0</v>
      </c>
      <c r="K1745">
        <v>0</v>
      </c>
    </row>
    <row r="1746" spans="1:11" x14ac:dyDescent="0.2">
      <c r="A1746" t="s">
        <v>5686</v>
      </c>
      <c r="B1746" t="s">
        <v>5687</v>
      </c>
      <c r="C1746" t="s">
        <v>4283</v>
      </c>
      <c r="D1746" t="s">
        <v>98</v>
      </c>
      <c r="E1746">
        <v>429.99</v>
      </c>
      <c r="F1746">
        <v>0</v>
      </c>
      <c r="H1746" t="s">
        <v>5085</v>
      </c>
      <c r="I1746">
        <v>0</v>
      </c>
      <c r="J1746">
        <v>0</v>
      </c>
      <c r="K1746">
        <v>0</v>
      </c>
    </row>
    <row r="1747" spans="1:11" x14ac:dyDescent="0.2">
      <c r="A1747" t="s">
        <v>5270</v>
      </c>
      <c r="B1747" t="s">
        <v>5271</v>
      </c>
      <c r="C1747" t="s">
        <v>3929</v>
      </c>
      <c r="D1747" t="s">
        <v>98</v>
      </c>
      <c r="E1747">
        <v>219.99</v>
      </c>
      <c r="F1747">
        <v>0</v>
      </c>
      <c r="H1747" t="s">
        <v>5085</v>
      </c>
      <c r="I1747">
        <v>0</v>
      </c>
      <c r="J1747">
        <v>0</v>
      </c>
      <c r="K1747">
        <v>0</v>
      </c>
    </row>
    <row r="1748" spans="1:11" x14ac:dyDescent="0.2">
      <c r="A1748" t="s">
        <v>4316</v>
      </c>
      <c r="B1748" t="s">
        <v>4317</v>
      </c>
      <c r="C1748" t="s">
        <v>4283</v>
      </c>
      <c r="D1748" t="s">
        <v>105</v>
      </c>
      <c r="E1748">
        <v>249.99</v>
      </c>
      <c r="F1748">
        <v>0</v>
      </c>
      <c r="G1748">
        <v>9</v>
      </c>
      <c r="H1748" t="s">
        <v>5085</v>
      </c>
      <c r="I1748">
        <v>0</v>
      </c>
      <c r="J1748">
        <v>0</v>
      </c>
      <c r="K1748">
        <v>0</v>
      </c>
    </row>
    <row r="1749" spans="1:11" x14ac:dyDescent="0.2">
      <c r="A1749" t="s">
        <v>5278</v>
      </c>
      <c r="B1749" t="s">
        <v>5279</v>
      </c>
      <c r="C1749" t="s">
        <v>3929</v>
      </c>
      <c r="D1749" t="s">
        <v>98</v>
      </c>
      <c r="E1749">
        <v>29.99</v>
      </c>
      <c r="F1749">
        <v>0</v>
      </c>
      <c r="H1749" t="s">
        <v>5085</v>
      </c>
      <c r="I1749">
        <v>0</v>
      </c>
      <c r="J1749">
        <v>0</v>
      </c>
      <c r="K1749">
        <v>0</v>
      </c>
    </row>
    <row r="1750" spans="1:11" x14ac:dyDescent="0.2">
      <c r="A1750" t="s">
        <v>5276</v>
      </c>
      <c r="B1750" t="s">
        <v>5277</v>
      </c>
      <c r="C1750" t="s">
        <v>4283</v>
      </c>
      <c r="D1750" t="s">
        <v>105</v>
      </c>
      <c r="E1750">
        <v>329.99</v>
      </c>
      <c r="F1750">
        <v>0</v>
      </c>
      <c r="G1750">
        <v>1</v>
      </c>
      <c r="H1750" t="s">
        <v>5085</v>
      </c>
      <c r="I1750">
        <v>0</v>
      </c>
      <c r="J1750">
        <v>0</v>
      </c>
      <c r="K1750">
        <v>0</v>
      </c>
    </row>
    <row r="1751" spans="1:11" x14ac:dyDescent="0.2">
      <c r="A1751" t="s">
        <v>5282</v>
      </c>
      <c r="B1751" t="s">
        <v>5283</v>
      </c>
      <c r="C1751" t="s">
        <v>4283</v>
      </c>
      <c r="D1751" t="s">
        <v>105</v>
      </c>
      <c r="E1751">
        <v>329.99</v>
      </c>
      <c r="F1751">
        <v>0</v>
      </c>
      <c r="G1751">
        <v>1</v>
      </c>
      <c r="H1751" t="s">
        <v>5085</v>
      </c>
      <c r="I1751">
        <v>0</v>
      </c>
      <c r="J1751">
        <v>0</v>
      </c>
      <c r="K1751">
        <v>0</v>
      </c>
    </row>
    <row r="1752" spans="1:11" x14ac:dyDescent="0.2">
      <c r="A1752" t="s">
        <v>4010</v>
      </c>
      <c r="B1752" t="s">
        <v>4011</v>
      </c>
      <c r="C1752" t="s">
        <v>3929</v>
      </c>
      <c r="D1752" t="s">
        <v>105</v>
      </c>
      <c r="E1752">
        <v>89.99</v>
      </c>
      <c r="F1752">
        <v>0</v>
      </c>
      <c r="G1752">
        <v>10</v>
      </c>
      <c r="H1752" t="s">
        <v>5085</v>
      </c>
      <c r="I1752">
        <v>0</v>
      </c>
      <c r="J1752">
        <v>0</v>
      </c>
      <c r="K1752">
        <v>8</v>
      </c>
    </row>
    <row r="1753" spans="1:11" x14ac:dyDescent="0.2">
      <c r="A1753" t="s">
        <v>5284</v>
      </c>
      <c r="B1753" t="s">
        <v>5285</v>
      </c>
      <c r="C1753" t="s">
        <v>4283</v>
      </c>
      <c r="D1753" t="s">
        <v>105</v>
      </c>
      <c r="E1753">
        <v>329.99</v>
      </c>
      <c r="F1753">
        <v>0</v>
      </c>
      <c r="G1753">
        <v>1</v>
      </c>
      <c r="H1753" t="s">
        <v>5085</v>
      </c>
      <c r="I1753">
        <v>0</v>
      </c>
      <c r="J1753">
        <v>0</v>
      </c>
      <c r="K1753">
        <v>0</v>
      </c>
    </row>
    <row r="1754" spans="1:11" x14ac:dyDescent="0.2">
      <c r="A1754" t="s">
        <v>5688</v>
      </c>
      <c r="B1754" t="s">
        <v>5689</v>
      </c>
      <c r="C1754" t="s">
        <v>4283</v>
      </c>
      <c r="D1754" t="s">
        <v>98</v>
      </c>
      <c r="E1754">
        <v>399.99</v>
      </c>
      <c r="F1754">
        <v>0</v>
      </c>
      <c r="H1754" t="s">
        <v>5085</v>
      </c>
      <c r="I1754">
        <v>0</v>
      </c>
      <c r="J1754">
        <v>0</v>
      </c>
      <c r="K1754">
        <v>0</v>
      </c>
    </row>
    <row r="1755" spans="1:11" x14ac:dyDescent="0.2">
      <c r="A1755" t="s">
        <v>5261</v>
      </c>
      <c r="B1755" t="s">
        <v>5262</v>
      </c>
      <c r="C1755" t="s">
        <v>3929</v>
      </c>
      <c r="D1755" t="s">
        <v>105</v>
      </c>
      <c r="E1755">
        <v>89.99</v>
      </c>
      <c r="F1755">
        <v>0</v>
      </c>
      <c r="G1755">
        <v>43</v>
      </c>
      <c r="H1755" t="s">
        <v>5085</v>
      </c>
      <c r="I1755">
        <v>0</v>
      </c>
      <c r="J1755">
        <v>0</v>
      </c>
      <c r="K1755">
        <v>4</v>
      </c>
    </row>
    <row r="1756" spans="1:11" x14ac:dyDescent="0.2">
      <c r="A1756" t="s">
        <v>5096</v>
      </c>
      <c r="B1756" t="s">
        <v>5097</v>
      </c>
      <c r="C1756" t="s">
        <v>3929</v>
      </c>
      <c r="D1756" t="s">
        <v>105</v>
      </c>
      <c r="E1756">
        <v>89.99</v>
      </c>
      <c r="F1756">
        <v>0</v>
      </c>
      <c r="G1756">
        <v>11</v>
      </c>
      <c r="H1756" t="s">
        <v>5085</v>
      </c>
      <c r="I1756">
        <v>0</v>
      </c>
      <c r="J1756">
        <v>0</v>
      </c>
      <c r="K1756">
        <v>3</v>
      </c>
    </row>
    <row r="1757" spans="1:11" x14ac:dyDescent="0.2">
      <c r="A1757" t="s">
        <v>4053</v>
      </c>
      <c r="B1757" t="s">
        <v>4054</v>
      </c>
      <c r="C1757" t="s">
        <v>3929</v>
      </c>
      <c r="D1757" t="s">
        <v>105</v>
      </c>
      <c r="E1757">
        <v>149.99</v>
      </c>
      <c r="F1757">
        <v>0</v>
      </c>
      <c r="G1757">
        <v>24</v>
      </c>
      <c r="H1757" t="s">
        <v>5085</v>
      </c>
      <c r="I1757">
        <v>0</v>
      </c>
      <c r="J1757">
        <v>0</v>
      </c>
      <c r="K1757">
        <v>1</v>
      </c>
    </row>
    <row r="1758" spans="1:11" x14ac:dyDescent="0.2">
      <c r="A1758" t="s">
        <v>4342</v>
      </c>
      <c r="B1758" t="s">
        <v>4343</v>
      </c>
      <c r="C1758" t="s">
        <v>4283</v>
      </c>
      <c r="D1758" t="s">
        <v>105</v>
      </c>
      <c r="E1758">
        <v>139.99</v>
      </c>
      <c r="F1758">
        <v>0</v>
      </c>
      <c r="G1758">
        <v>1</v>
      </c>
      <c r="H1758" t="s">
        <v>5085</v>
      </c>
      <c r="I1758">
        <v>0</v>
      </c>
      <c r="J1758">
        <v>0</v>
      </c>
      <c r="K1758">
        <v>0</v>
      </c>
    </row>
    <row r="1759" spans="1:11" x14ac:dyDescent="0.2">
      <c r="A1759" t="s">
        <v>5369</v>
      </c>
      <c r="B1759" t="s">
        <v>5370</v>
      </c>
      <c r="C1759" t="s">
        <v>3929</v>
      </c>
      <c r="D1759" t="s">
        <v>98</v>
      </c>
      <c r="E1759">
        <v>69.989999999999995</v>
      </c>
      <c r="F1759">
        <v>0</v>
      </c>
      <c r="H1759" t="s">
        <v>5085</v>
      </c>
      <c r="I1759">
        <v>0</v>
      </c>
      <c r="J1759">
        <v>0</v>
      </c>
      <c r="K1759">
        <v>0</v>
      </c>
    </row>
    <row r="1760" spans="1:11" x14ac:dyDescent="0.2">
      <c r="A1760" t="s">
        <v>4125</v>
      </c>
      <c r="B1760" t="s">
        <v>4126</v>
      </c>
      <c r="C1760" t="s">
        <v>3929</v>
      </c>
      <c r="D1760" t="s">
        <v>105</v>
      </c>
      <c r="E1760">
        <v>99.99</v>
      </c>
      <c r="F1760">
        <v>0</v>
      </c>
      <c r="G1760">
        <v>36</v>
      </c>
      <c r="H1760" t="s">
        <v>5085</v>
      </c>
      <c r="I1760">
        <v>0</v>
      </c>
      <c r="J1760">
        <v>0</v>
      </c>
      <c r="K1760">
        <v>0</v>
      </c>
    </row>
    <row r="1761" spans="1:11" x14ac:dyDescent="0.2">
      <c r="A1761" t="s">
        <v>5584</v>
      </c>
      <c r="B1761" t="s">
        <v>5585</v>
      </c>
      <c r="C1761" t="s">
        <v>3929</v>
      </c>
      <c r="D1761" t="s">
        <v>98</v>
      </c>
      <c r="E1761">
        <v>199.99</v>
      </c>
      <c r="F1761">
        <v>0</v>
      </c>
      <c r="H1761" t="s">
        <v>5085</v>
      </c>
      <c r="I1761">
        <v>0</v>
      </c>
      <c r="J1761">
        <v>0</v>
      </c>
      <c r="K1761">
        <v>0</v>
      </c>
    </row>
    <row r="1762" spans="1:11" x14ac:dyDescent="0.2">
      <c r="A1762" t="s">
        <v>4079</v>
      </c>
      <c r="B1762" t="s">
        <v>4080</v>
      </c>
      <c r="C1762" t="s">
        <v>3929</v>
      </c>
      <c r="D1762" t="s">
        <v>98</v>
      </c>
      <c r="E1762">
        <v>199.99</v>
      </c>
      <c r="F1762">
        <v>0</v>
      </c>
      <c r="H1762" t="s">
        <v>5085</v>
      </c>
      <c r="I1762">
        <v>0</v>
      </c>
      <c r="J1762">
        <v>0</v>
      </c>
      <c r="K1762">
        <v>0</v>
      </c>
    </row>
    <row r="1763" spans="1:11" x14ac:dyDescent="0.2">
      <c r="A1763" t="s">
        <v>4103</v>
      </c>
      <c r="B1763" t="s">
        <v>4104</v>
      </c>
      <c r="C1763" t="s">
        <v>3929</v>
      </c>
      <c r="D1763" t="s">
        <v>105</v>
      </c>
      <c r="E1763">
        <v>99.99</v>
      </c>
      <c r="F1763">
        <v>0</v>
      </c>
      <c r="G1763">
        <v>25</v>
      </c>
      <c r="H1763" t="s">
        <v>5085</v>
      </c>
      <c r="I1763">
        <v>0</v>
      </c>
      <c r="J1763">
        <v>0</v>
      </c>
      <c r="K1763">
        <v>2</v>
      </c>
    </row>
    <row r="1764" spans="1:11" x14ac:dyDescent="0.2">
      <c r="A1764" t="s">
        <v>5124</v>
      </c>
      <c r="B1764" t="s">
        <v>5125</v>
      </c>
      <c r="C1764" t="s">
        <v>3929</v>
      </c>
      <c r="D1764" t="s">
        <v>105</v>
      </c>
      <c r="E1764">
        <v>319.99</v>
      </c>
      <c r="F1764">
        <v>0</v>
      </c>
      <c r="G1764">
        <v>8</v>
      </c>
      <c r="H1764" t="s">
        <v>5085</v>
      </c>
      <c r="I1764">
        <v>0</v>
      </c>
      <c r="J1764">
        <v>0</v>
      </c>
      <c r="K1764">
        <v>1</v>
      </c>
    </row>
    <row r="1765" spans="1:11" x14ac:dyDescent="0.2">
      <c r="A1765" t="s">
        <v>5437</v>
      </c>
      <c r="B1765" t="s">
        <v>5438</v>
      </c>
      <c r="C1765" t="s">
        <v>3929</v>
      </c>
      <c r="D1765" t="s">
        <v>98</v>
      </c>
      <c r="E1765">
        <v>74.989999999999995</v>
      </c>
      <c r="F1765">
        <v>0</v>
      </c>
      <c r="H1765" t="s">
        <v>5085</v>
      </c>
      <c r="I1765">
        <v>0</v>
      </c>
      <c r="J1765">
        <v>0</v>
      </c>
      <c r="K1765">
        <v>0</v>
      </c>
    </row>
    <row r="1766" spans="1:11" x14ac:dyDescent="0.2">
      <c r="A1766" t="s">
        <v>4101</v>
      </c>
      <c r="B1766" t="s">
        <v>4102</v>
      </c>
      <c r="C1766" t="s">
        <v>3929</v>
      </c>
      <c r="D1766" t="s">
        <v>105</v>
      </c>
      <c r="E1766">
        <v>199.99</v>
      </c>
      <c r="F1766">
        <v>0</v>
      </c>
      <c r="G1766">
        <v>20</v>
      </c>
      <c r="H1766" t="s">
        <v>5085</v>
      </c>
      <c r="I1766">
        <v>0</v>
      </c>
      <c r="J1766">
        <v>0</v>
      </c>
      <c r="K1766">
        <v>1</v>
      </c>
    </row>
    <row r="1767" spans="1:11" x14ac:dyDescent="0.2">
      <c r="A1767" t="s">
        <v>4099</v>
      </c>
      <c r="B1767" t="s">
        <v>4100</v>
      </c>
      <c r="C1767" t="s">
        <v>3929</v>
      </c>
      <c r="D1767" t="s">
        <v>105</v>
      </c>
      <c r="E1767">
        <v>249.99</v>
      </c>
      <c r="F1767">
        <v>0</v>
      </c>
      <c r="G1767">
        <v>9</v>
      </c>
      <c r="H1767" t="s">
        <v>5085</v>
      </c>
      <c r="I1767">
        <v>0</v>
      </c>
      <c r="J1767">
        <v>0</v>
      </c>
      <c r="K1767">
        <v>3</v>
      </c>
    </row>
    <row r="1768" spans="1:11" x14ac:dyDescent="0.2">
      <c r="A1768" t="s">
        <v>4083</v>
      </c>
      <c r="B1768" t="s">
        <v>4084</v>
      </c>
      <c r="C1768" t="s">
        <v>3929</v>
      </c>
      <c r="D1768" t="s">
        <v>105</v>
      </c>
      <c r="E1768">
        <v>74.989999999999995</v>
      </c>
      <c r="F1768">
        <v>0</v>
      </c>
      <c r="G1768">
        <v>91</v>
      </c>
      <c r="H1768" t="s">
        <v>5085</v>
      </c>
      <c r="I1768">
        <v>0</v>
      </c>
      <c r="J1768">
        <v>0</v>
      </c>
      <c r="K1768">
        <v>0</v>
      </c>
    </row>
    <row r="1769" spans="1:11" x14ac:dyDescent="0.2">
      <c r="A1769" t="s">
        <v>5116</v>
      </c>
      <c r="B1769" t="s">
        <v>5117</v>
      </c>
      <c r="C1769" t="s">
        <v>3929</v>
      </c>
      <c r="D1769" t="s">
        <v>138</v>
      </c>
      <c r="E1769">
        <v>209.99</v>
      </c>
      <c r="F1769">
        <v>0</v>
      </c>
      <c r="H1769" t="s">
        <v>5085</v>
      </c>
      <c r="I1769">
        <v>0</v>
      </c>
      <c r="J1769">
        <v>0</v>
      </c>
      <c r="K1769">
        <v>1</v>
      </c>
    </row>
    <row r="1770" spans="1:11" x14ac:dyDescent="0.2">
      <c r="A1770" t="s">
        <v>5100</v>
      </c>
      <c r="B1770" t="s">
        <v>5101</v>
      </c>
      <c r="C1770" t="s">
        <v>3929</v>
      </c>
      <c r="D1770" t="s">
        <v>98</v>
      </c>
      <c r="E1770">
        <v>189.99</v>
      </c>
      <c r="F1770">
        <v>0</v>
      </c>
      <c r="H1770" t="s">
        <v>5085</v>
      </c>
      <c r="I1770">
        <v>0</v>
      </c>
      <c r="J1770">
        <v>0</v>
      </c>
      <c r="K1770">
        <v>0</v>
      </c>
    </row>
    <row r="1771" spans="1:11" x14ac:dyDescent="0.2">
      <c r="A1771" t="s">
        <v>5409</v>
      </c>
      <c r="B1771" t="s">
        <v>5410</v>
      </c>
      <c r="C1771" t="s">
        <v>3929</v>
      </c>
      <c r="D1771" t="s">
        <v>105</v>
      </c>
      <c r="E1771">
        <v>249.99</v>
      </c>
      <c r="F1771">
        <v>0</v>
      </c>
      <c r="G1771">
        <v>11</v>
      </c>
      <c r="H1771" t="s">
        <v>5085</v>
      </c>
      <c r="I1771">
        <v>0</v>
      </c>
      <c r="J1771">
        <v>0</v>
      </c>
      <c r="K1771">
        <v>2</v>
      </c>
    </row>
    <row r="1772" spans="1:11" x14ac:dyDescent="0.2">
      <c r="A1772" t="s">
        <v>5114</v>
      </c>
      <c r="B1772" t="s">
        <v>5115</v>
      </c>
      <c r="C1772" t="s">
        <v>3929</v>
      </c>
      <c r="D1772" t="s">
        <v>98</v>
      </c>
      <c r="E1772">
        <v>129.99</v>
      </c>
      <c r="F1772">
        <v>0</v>
      </c>
      <c r="H1772" t="s">
        <v>5085</v>
      </c>
      <c r="I1772">
        <v>0</v>
      </c>
      <c r="J1772">
        <v>0</v>
      </c>
      <c r="K1772">
        <v>0</v>
      </c>
    </row>
    <row r="1773" spans="1:11" x14ac:dyDescent="0.2">
      <c r="A1773" t="s">
        <v>5118</v>
      </c>
      <c r="B1773" t="s">
        <v>5119</v>
      </c>
      <c r="C1773" t="s">
        <v>3929</v>
      </c>
      <c r="D1773" t="s">
        <v>98</v>
      </c>
      <c r="E1773">
        <v>109.99</v>
      </c>
      <c r="F1773">
        <v>0</v>
      </c>
      <c r="H1773" t="s">
        <v>5085</v>
      </c>
      <c r="I1773">
        <v>0</v>
      </c>
      <c r="J1773">
        <v>0</v>
      </c>
      <c r="K1773">
        <v>0</v>
      </c>
    </row>
    <row r="1774" spans="1:11" x14ac:dyDescent="0.2">
      <c r="A1774" t="s">
        <v>4095</v>
      </c>
      <c r="B1774" t="s">
        <v>4096</v>
      </c>
      <c r="C1774" t="s">
        <v>3929</v>
      </c>
      <c r="D1774" t="s">
        <v>98</v>
      </c>
      <c r="E1774">
        <v>99.99</v>
      </c>
      <c r="F1774">
        <v>0</v>
      </c>
      <c r="H1774" t="s">
        <v>5085</v>
      </c>
      <c r="I1774">
        <v>0</v>
      </c>
      <c r="J1774">
        <v>0</v>
      </c>
      <c r="K1774">
        <v>0</v>
      </c>
    </row>
    <row r="1775" spans="1:11" x14ac:dyDescent="0.2">
      <c r="A1775" t="s">
        <v>4085</v>
      </c>
      <c r="B1775" t="s">
        <v>4086</v>
      </c>
      <c r="C1775" t="s">
        <v>3929</v>
      </c>
      <c r="D1775" t="s">
        <v>98</v>
      </c>
      <c r="E1775">
        <v>119.99</v>
      </c>
      <c r="F1775">
        <v>0</v>
      </c>
      <c r="H1775" t="s">
        <v>5085</v>
      </c>
      <c r="I1775">
        <v>0</v>
      </c>
      <c r="J1775">
        <v>0</v>
      </c>
      <c r="K1775">
        <v>0</v>
      </c>
    </row>
    <row r="1776" spans="1:11" x14ac:dyDescent="0.2">
      <c r="A1776" t="s">
        <v>5516</v>
      </c>
      <c r="B1776" t="s">
        <v>5517</v>
      </c>
      <c r="C1776" t="s">
        <v>3929</v>
      </c>
      <c r="D1776" t="s">
        <v>98</v>
      </c>
      <c r="E1776">
        <v>19.989999999999998</v>
      </c>
      <c r="F1776">
        <v>0</v>
      </c>
      <c r="H1776" t="s">
        <v>5085</v>
      </c>
      <c r="I1776">
        <v>0</v>
      </c>
      <c r="J1776">
        <v>0</v>
      </c>
      <c r="K1776">
        <v>0</v>
      </c>
    </row>
    <row r="1777" spans="1:11" x14ac:dyDescent="0.2">
      <c r="A1777" t="s">
        <v>5463</v>
      </c>
      <c r="B1777" t="s">
        <v>5464</v>
      </c>
      <c r="C1777" t="s">
        <v>3929</v>
      </c>
      <c r="D1777" t="s">
        <v>98</v>
      </c>
      <c r="E1777">
        <v>199.99</v>
      </c>
      <c r="F1777">
        <v>0</v>
      </c>
      <c r="H1777" t="s">
        <v>5085</v>
      </c>
      <c r="I1777">
        <v>0</v>
      </c>
      <c r="J1777">
        <v>0</v>
      </c>
      <c r="K1777">
        <v>0</v>
      </c>
    </row>
    <row r="1778" spans="1:11" x14ac:dyDescent="0.2">
      <c r="A1778" t="s">
        <v>5520</v>
      </c>
      <c r="B1778" t="s">
        <v>5521</v>
      </c>
      <c r="C1778" t="s">
        <v>3929</v>
      </c>
      <c r="D1778" t="s">
        <v>138</v>
      </c>
      <c r="E1778">
        <v>89.99</v>
      </c>
      <c r="F1778">
        <v>0</v>
      </c>
      <c r="H1778" t="s">
        <v>5085</v>
      </c>
      <c r="I1778">
        <v>0</v>
      </c>
      <c r="J1778">
        <v>0</v>
      </c>
      <c r="K1778">
        <v>0</v>
      </c>
    </row>
    <row r="1779" spans="1:11" x14ac:dyDescent="0.2">
      <c r="A1779" t="s">
        <v>5491</v>
      </c>
      <c r="B1779" t="s">
        <v>5492</v>
      </c>
      <c r="C1779" t="s">
        <v>3929</v>
      </c>
      <c r="D1779" t="s">
        <v>98</v>
      </c>
      <c r="E1779">
        <v>219.99</v>
      </c>
      <c r="F1779">
        <v>0</v>
      </c>
      <c r="H1779" t="s">
        <v>5085</v>
      </c>
      <c r="I1779">
        <v>0</v>
      </c>
      <c r="J1779">
        <v>0</v>
      </c>
      <c r="K1779">
        <v>0</v>
      </c>
    </row>
    <row r="1780" spans="1:11" x14ac:dyDescent="0.2">
      <c r="A1780" t="s">
        <v>4097</v>
      </c>
      <c r="B1780" t="s">
        <v>4098</v>
      </c>
      <c r="C1780" t="s">
        <v>3929</v>
      </c>
      <c r="D1780" t="s">
        <v>105</v>
      </c>
      <c r="E1780">
        <v>199.99</v>
      </c>
      <c r="F1780">
        <v>0</v>
      </c>
      <c r="H1780" t="s">
        <v>5085</v>
      </c>
      <c r="I1780">
        <v>0</v>
      </c>
      <c r="J1780">
        <v>0</v>
      </c>
      <c r="K1780">
        <v>0</v>
      </c>
    </row>
    <row r="1781" spans="1:11" x14ac:dyDescent="0.2">
      <c r="A1781" t="s">
        <v>4077</v>
      </c>
      <c r="B1781" t="s">
        <v>4078</v>
      </c>
      <c r="C1781" t="s">
        <v>3929</v>
      </c>
      <c r="D1781" t="s">
        <v>105</v>
      </c>
      <c r="E1781">
        <v>74.989999999999995</v>
      </c>
      <c r="F1781">
        <v>0</v>
      </c>
      <c r="G1781">
        <v>40</v>
      </c>
      <c r="H1781" t="s">
        <v>5085</v>
      </c>
      <c r="I1781">
        <v>0</v>
      </c>
      <c r="J1781">
        <v>0</v>
      </c>
      <c r="K1781">
        <v>0</v>
      </c>
    </row>
    <row r="1782" spans="1:11" x14ac:dyDescent="0.2">
      <c r="A1782" t="s">
        <v>5606</v>
      </c>
      <c r="B1782" t="s">
        <v>5607</v>
      </c>
      <c r="C1782" t="s">
        <v>3929</v>
      </c>
      <c r="D1782" t="s">
        <v>138</v>
      </c>
      <c r="E1782">
        <v>169.99</v>
      </c>
      <c r="F1782">
        <v>0</v>
      </c>
      <c r="G1782">
        <v>2</v>
      </c>
      <c r="H1782" t="s">
        <v>5085</v>
      </c>
      <c r="I1782">
        <v>0</v>
      </c>
      <c r="J1782">
        <v>0</v>
      </c>
      <c r="K1782">
        <v>3</v>
      </c>
    </row>
    <row r="1783" spans="1:11" x14ac:dyDescent="0.2">
      <c r="A1783" t="s">
        <v>5075</v>
      </c>
      <c r="B1783" t="s">
        <v>5076</v>
      </c>
      <c r="C1783" t="s">
        <v>3929</v>
      </c>
      <c r="D1783" t="s">
        <v>98</v>
      </c>
      <c r="E1783">
        <v>74.989999999999995</v>
      </c>
      <c r="F1783">
        <v>0</v>
      </c>
      <c r="H1783" t="s">
        <v>5085</v>
      </c>
      <c r="I1783">
        <v>0</v>
      </c>
      <c r="J1783">
        <v>0</v>
      </c>
      <c r="K1783">
        <v>0</v>
      </c>
    </row>
    <row r="1784" spans="1:11" x14ac:dyDescent="0.2">
      <c r="A1784" t="s">
        <v>4121</v>
      </c>
      <c r="B1784" t="s">
        <v>4122</v>
      </c>
      <c r="C1784" t="s">
        <v>3929</v>
      </c>
      <c r="D1784" t="s">
        <v>105</v>
      </c>
      <c r="E1784">
        <v>44.99</v>
      </c>
      <c r="F1784">
        <v>44.99</v>
      </c>
      <c r="G1784">
        <v>27</v>
      </c>
      <c r="H1784" t="s">
        <v>5085</v>
      </c>
      <c r="I1784">
        <v>0</v>
      </c>
      <c r="J1784">
        <v>0</v>
      </c>
      <c r="K1784">
        <v>1</v>
      </c>
    </row>
    <row r="1785" spans="1:11" x14ac:dyDescent="0.2">
      <c r="A1785" t="s">
        <v>4065</v>
      </c>
      <c r="B1785" t="s">
        <v>4066</v>
      </c>
      <c r="C1785" t="s">
        <v>3929</v>
      </c>
      <c r="D1785" t="s">
        <v>105</v>
      </c>
      <c r="E1785">
        <v>259.99</v>
      </c>
      <c r="F1785">
        <v>0</v>
      </c>
      <c r="G1785">
        <v>29</v>
      </c>
      <c r="H1785" t="s">
        <v>5085</v>
      </c>
      <c r="I1785">
        <v>0</v>
      </c>
      <c r="J1785">
        <v>0</v>
      </c>
      <c r="K1785">
        <v>1</v>
      </c>
    </row>
    <row r="1786" spans="1:11" x14ac:dyDescent="0.2">
      <c r="A1786" t="s">
        <v>4119</v>
      </c>
      <c r="B1786" t="s">
        <v>4120</v>
      </c>
      <c r="C1786" t="s">
        <v>3929</v>
      </c>
      <c r="D1786" t="s">
        <v>105</v>
      </c>
      <c r="E1786">
        <v>34.99</v>
      </c>
      <c r="F1786">
        <v>34.99</v>
      </c>
      <c r="G1786">
        <v>57</v>
      </c>
      <c r="H1786" t="s">
        <v>5085</v>
      </c>
      <c r="I1786">
        <v>0</v>
      </c>
      <c r="J1786">
        <v>0</v>
      </c>
      <c r="K1786">
        <v>1</v>
      </c>
    </row>
    <row r="1787" spans="1:11" x14ac:dyDescent="0.2">
      <c r="A1787" t="s">
        <v>4067</v>
      </c>
      <c r="B1787" t="s">
        <v>4068</v>
      </c>
      <c r="C1787" t="s">
        <v>3929</v>
      </c>
      <c r="D1787" t="s">
        <v>105</v>
      </c>
      <c r="E1787">
        <v>89.99</v>
      </c>
      <c r="F1787">
        <v>0</v>
      </c>
      <c r="G1787">
        <v>20</v>
      </c>
      <c r="H1787" t="s">
        <v>5085</v>
      </c>
      <c r="I1787">
        <v>0</v>
      </c>
      <c r="J1787">
        <v>0</v>
      </c>
      <c r="K1787">
        <v>0</v>
      </c>
    </row>
    <row r="1788" spans="1:11" x14ac:dyDescent="0.2">
      <c r="A1788" t="s">
        <v>4113</v>
      </c>
      <c r="B1788" t="s">
        <v>4114</v>
      </c>
      <c r="C1788" t="s">
        <v>3929</v>
      </c>
      <c r="D1788" t="s">
        <v>105</v>
      </c>
      <c r="E1788">
        <v>54.99</v>
      </c>
      <c r="F1788">
        <v>0</v>
      </c>
      <c r="G1788">
        <v>18</v>
      </c>
      <c r="H1788" t="s">
        <v>5085</v>
      </c>
      <c r="I1788">
        <v>0</v>
      </c>
      <c r="J1788">
        <v>0</v>
      </c>
      <c r="K1788">
        <v>6</v>
      </c>
    </row>
    <row r="1789" spans="1:11" x14ac:dyDescent="0.2">
      <c r="A1789" t="s">
        <v>4111</v>
      </c>
      <c r="B1789" t="s">
        <v>4112</v>
      </c>
      <c r="C1789" t="s">
        <v>3929</v>
      </c>
      <c r="D1789" t="s">
        <v>105</v>
      </c>
      <c r="E1789">
        <v>89.99</v>
      </c>
      <c r="F1789">
        <v>0</v>
      </c>
      <c r="G1789">
        <v>49</v>
      </c>
      <c r="H1789" t="s">
        <v>5085</v>
      </c>
      <c r="I1789">
        <v>0</v>
      </c>
      <c r="J1789">
        <v>0</v>
      </c>
      <c r="K1789">
        <v>5</v>
      </c>
    </row>
    <row r="1790" spans="1:11" x14ac:dyDescent="0.2">
      <c r="A1790" t="s">
        <v>4073</v>
      </c>
      <c r="B1790" t="s">
        <v>4074</v>
      </c>
      <c r="C1790" t="s">
        <v>3929</v>
      </c>
      <c r="D1790" t="s">
        <v>105</v>
      </c>
      <c r="E1790">
        <v>69.989999999999995</v>
      </c>
      <c r="F1790">
        <v>0</v>
      </c>
      <c r="G1790">
        <v>52</v>
      </c>
      <c r="H1790" t="s">
        <v>5085</v>
      </c>
      <c r="I1790">
        <v>0</v>
      </c>
      <c r="J1790">
        <v>0</v>
      </c>
      <c r="K1790">
        <v>0</v>
      </c>
    </row>
    <row r="1791" spans="1:11" x14ac:dyDescent="0.2">
      <c r="A1791" t="s">
        <v>4109</v>
      </c>
      <c r="B1791" t="s">
        <v>4110</v>
      </c>
      <c r="C1791" t="s">
        <v>3929</v>
      </c>
      <c r="D1791" t="s">
        <v>138</v>
      </c>
      <c r="E1791">
        <v>64.989999999999995</v>
      </c>
      <c r="F1791">
        <v>0</v>
      </c>
      <c r="H1791" t="s">
        <v>5085</v>
      </c>
      <c r="I1791">
        <v>0</v>
      </c>
      <c r="J1791">
        <v>0</v>
      </c>
      <c r="K1791">
        <v>6</v>
      </c>
    </row>
    <row r="1792" spans="1:11" x14ac:dyDescent="0.2">
      <c r="A1792" t="s">
        <v>4075</v>
      </c>
      <c r="B1792" t="s">
        <v>4076</v>
      </c>
      <c r="C1792" t="s">
        <v>3929</v>
      </c>
      <c r="D1792" t="s">
        <v>105</v>
      </c>
      <c r="E1792">
        <v>64.989999999999995</v>
      </c>
      <c r="F1792">
        <v>0</v>
      </c>
      <c r="G1792">
        <v>11</v>
      </c>
      <c r="H1792" t="s">
        <v>5085</v>
      </c>
      <c r="I1792">
        <v>0</v>
      </c>
      <c r="J1792">
        <v>0</v>
      </c>
      <c r="K1792">
        <v>0</v>
      </c>
    </row>
    <row r="1793" spans="1:11" x14ac:dyDescent="0.2">
      <c r="A1793" t="s">
        <v>5130</v>
      </c>
      <c r="B1793" t="s">
        <v>5131</v>
      </c>
      <c r="C1793" t="s">
        <v>3929</v>
      </c>
      <c r="D1793" t="s">
        <v>138</v>
      </c>
      <c r="E1793">
        <v>139.99</v>
      </c>
      <c r="F1793">
        <v>0</v>
      </c>
      <c r="H1793" t="s">
        <v>5085</v>
      </c>
      <c r="I1793">
        <v>0</v>
      </c>
      <c r="J1793">
        <v>0</v>
      </c>
      <c r="K1793">
        <v>0</v>
      </c>
    </row>
    <row r="1794" spans="1:11" x14ac:dyDescent="0.2">
      <c r="A1794" t="s">
        <v>4107</v>
      </c>
      <c r="B1794" t="s">
        <v>4108</v>
      </c>
      <c r="C1794" t="s">
        <v>3929</v>
      </c>
      <c r="D1794" t="s">
        <v>138</v>
      </c>
      <c r="E1794">
        <v>119.99</v>
      </c>
      <c r="F1794">
        <v>0</v>
      </c>
      <c r="H1794" t="s">
        <v>5085</v>
      </c>
      <c r="I1794">
        <v>0</v>
      </c>
      <c r="J1794">
        <v>0</v>
      </c>
      <c r="K1794">
        <v>0</v>
      </c>
    </row>
    <row r="1795" spans="1:11" x14ac:dyDescent="0.2">
      <c r="A1795" t="s">
        <v>5215</v>
      </c>
      <c r="B1795" t="s">
        <v>5216</v>
      </c>
      <c r="C1795" t="s">
        <v>3929</v>
      </c>
      <c r="D1795" t="s">
        <v>98</v>
      </c>
      <c r="E1795">
        <v>119.99</v>
      </c>
      <c r="F1795">
        <v>0</v>
      </c>
      <c r="H1795" t="s">
        <v>5085</v>
      </c>
      <c r="I1795">
        <v>0</v>
      </c>
      <c r="J1795">
        <v>0</v>
      </c>
      <c r="K1795">
        <v>0</v>
      </c>
    </row>
    <row r="1796" spans="1:11" x14ac:dyDescent="0.2">
      <c r="A1796" t="s">
        <v>5092</v>
      </c>
      <c r="B1796" t="s">
        <v>5093</v>
      </c>
      <c r="C1796" t="s">
        <v>3929</v>
      </c>
      <c r="D1796" t="s">
        <v>98</v>
      </c>
      <c r="E1796">
        <v>249.99</v>
      </c>
      <c r="F1796">
        <v>0</v>
      </c>
      <c r="H1796" t="s">
        <v>5085</v>
      </c>
      <c r="I1796">
        <v>0</v>
      </c>
      <c r="J1796">
        <v>0</v>
      </c>
      <c r="K1796">
        <v>0</v>
      </c>
    </row>
    <row r="1797" spans="1:11" x14ac:dyDescent="0.2">
      <c r="A1797" t="s">
        <v>5122</v>
      </c>
      <c r="B1797" t="s">
        <v>5123</v>
      </c>
      <c r="C1797" t="s">
        <v>3929</v>
      </c>
      <c r="D1797" t="s">
        <v>138</v>
      </c>
      <c r="E1797">
        <v>169.99</v>
      </c>
      <c r="F1797">
        <v>0</v>
      </c>
      <c r="H1797" t="s">
        <v>5085</v>
      </c>
      <c r="I1797">
        <v>0</v>
      </c>
      <c r="J1797">
        <v>0</v>
      </c>
      <c r="K1797">
        <v>0</v>
      </c>
    </row>
    <row r="1798" spans="1:11" x14ac:dyDescent="0.2">
      <c r="A1798" t="s">
        <v>5552</v>
      </c>
      <c r="B1798" t="s">
        <v>5553</v>
      </c>
      <c r="C1798" t="s">
        <v>3929</v>
      </c>
      <c r="D1798" t="s">
        <v>98</v>
      </c>
      <c r="E1798">
        <v>44.99</v>
      </c>
      <c r="F1798">
        <v>0</v>
      </c>
      <c r="H1798" t="s">
        <v>5085</v>
      </c>
      <c r="I1798">
        <v>0</v>
      </c>
      <c r="J1798">
        <v>0</v>
      </c>
      <c r="K1798">
        <v>0</v>
      </c>
    </row>
    <row r="1799" spans="1:11" x14ac:dyDescent="0.2">
      <c r="A1799" t="s">
        <v>5542</v>
      </c>
      <c r="B1799" t="s">
        <v>5543</v>
      </c>
      <c r="C1799" t="s">
        <v>3929</v>
      </c>
      <c r="D1799" t="s">
        <v>98</v>
      </c>
      <c r="E1799">
        <v>159.99</v>
      </c>
      <c r="F1799">
        <v>0</v>
      </c>
      <c r="H1799" t="s">
        <v>5085</v>
      </c>
      <c r="I1799">
        <v>0</v>
      </c>
      <c r="J1799">
        <v>0</v>
      </c>
      <c r="K1799">
        <v>0</v>
      </c>
    </row>
    <row r="1800" spans="1:11" x14ac:dyDescent="0.2">
      <c r="A1800" t="s">
        <v>5083</v>
      </c>
      <c r="B1800" t="s">
        <v>5084</v>
      </c>
      <c r="C1800" t="s">
        <v>3929</v>
      </c>
      <c r="D1800" t="s">
        <v>138</v>
      </c>
      <c r="E1800">
        <v>64.989999999999995</v>
      </c>
      <c r="F1800">
        <v>0</v>
      </c>
      <c r="H1800" t="s">
        <v>5085</v>
      </c>
      <c r="I1800">
        <v>0</v>
      </c>
      <c r="J1800">
        <v>0</v>
      </c>
      <c r="K1800">
        <v>1</v>
      </c>
    </row>
    <row r="1801" spans="1:11" x14ac:dyDescent="0.2">
      <c r="A1801" t="s">
        <v>4105</v>
      </c>
      <c r="B1801" t="s">
        <v>4106</v>
      </c>
      <c r="C1801" t="s">
        <v>3929</v>
      </c>
      <c r="D1801" t="s">
        <v>138</v>
      </c>
      <c r="E1801">
        <v>129.99</v>
      </c>
      <c r="F1801">
        <v>0</v>
      </c>
      <c r="G1801">
        <v>11</v>
      </c>
      <c r="H1801" t="s">
        <v>5085</v>
      </c>
      <c r="I1801">
        <v>0</v>
      </c>
      <c r="J1801">
        <v>0</v>
      </c>
      <c r="K1801">
        <v>0</v>
      </c>
    </row>
    <row r="1802" spans="1:11" x14ac:dyDescent="0.2">
      <c r="A1802" t="s">
        <v>4055</v>
      </c>
      <c r="B1802" t="s">
        <v>4056</v>
      </c>
      <c r="C1802" t="s">
        <v>3929</v>
      </c>
      <c r="D1802" t="s">
        <v>105</v>
      </c>
      <c r="E1802">
        <v>159.99</v>
      </c>
      <c r="F1802">
        <v>0</v>
      </c>
      <c r="H1802" t="s">
        <v>5085</v>
      </c>
      <c r="I1802">
        <v>0</v>
      </c>
      <c r="J1802">
        <v>0</v>
      </c>
      <c r="K1802">
        <v>0</v>
      </c>
    </row>
    <row r="1803" spans="1:11" x14ac:dyDescent="0.2">
      <c r="A1803" t="s">
        <v>5098</v>
      </c>
      <c r="B1803" t="s">
        <v>5099</v>
      </c>
      <c r="C1803" t="s">
        <v>3929</v>
      </c>
      <c r="D1803" t="s">
        <v>138</v>
      </c>
      <c r="E1803">
        <v>39.99</v>
      </c>
      <c r="F1803">
        <v>0</v>
      </c>
      <c r="H1803" t="s">
        <v>5085</v>
      </c>
      <c r="I1803">
        <v>0</v>
      </c>
      <c r="J1803">
        <v>0</v>
      </c>
      <c r="K1803">
        <v>1</v>
      </c>
    </row>
    <row r="1804" spans="1:11" x14ac:dyDescent="0.2">
      <c r="A1804" t="s">
        <v>4438</v>
      </c>
      <c r="B1804" t="s">
        <v>4439</v>
      </c>
      <c r="C1804" t="s">
        <v>4437</v>
      </c>
      <c r="D1804" t="s">
        <v>98</v>
      </c>
      <c r="E1804">
        <v>98.99</v>
      </c>
      <c r="F1804">
        <v>0</v>
      </c>
      <c r="H1804" t="s">
        <v>5085</v>
      </c>
      <c r="I1804">
        <v>0</v>
      </c>
      <c r="J1804">
        <v>0</v>
      </c>
      <c r="K1804">
        <v>0</v>
      </c>
    </row>
    <row r="1805" spans="1:11" x14ac:dyDescent="0.2">
      <c r="A1805" t="s">
        <v>5090</v>
      </c>
      <c r="B1805" t="s">
        <v>5091</v>
      </c>
      <c r="C1805" t="s">
        <v>3929</v>
      </c>
      <c r="D1805" t="s">
        <v>138</v>
      </c>
      <c r="E1805">
        <v>39.99</v>
      </c>
      <c r="F1805">
        <v>0</v>
      </c>
      <c r="H1805" t="s">
        <v>5085</v>
      </c>
      <c r="I1805">
        <v>0</v>
      </c>
      <c r="J1805">
        <v>0</v>
      </c>
      <c r="K1805">
        <v>0</v>
      </c>
    </row>
    <row r="1806" spans="1:11" x14ac:dyDescent="0.2">
      <c r="A1806" t="s">
        <v>4569</v>
      </c>
      <c r="B1806" t="s">
        <v>4570</v>
      </c>
      <c r="C1806" t="s">
        <v>4518</v>
      </c>
      <c r="D1806" t="s">
        <v>138</v>
      </c>
      <c r="E1806">
        <v>79.989999999999995</v>
      </c>
      <c r="F1806">
        <v>0</v>
      </c>
      <c r="G1806">
        <v>46</v>
      </c>
      <c r="H1806" t="s">
        <v>5085</v>
      </c>
      <c r="I1806">
        <v>0</v>
      </c>
      <c r="J1806">
        <v>0</v>
      </c>
      <c r="K1806">
        <v>0</v>
      </c>
    </row>
    <row r="1807" spans="1:11" x14ac:dyDescent="0.2">
      <c r="A1807" t="s">
        <v>5120</v>
      </c>
      <c r="B1807" t="s">
        <v>5121</v>
      </c>
      <c r="C1807" t="s">
        <v>3929</v>
      </c>
      <c r="D1807" t="s">
        <v>105</v>
      </c>
      <c r="E1807">
        <v>89.99</v>
      </c>
      <c r="F1807">
        <v>0</v>
      </c>
      <c r="G1807">
        <v>15</v>
      </c>
      <c r="H1807" t="s">
        <v>5085</v>
      </c>
      <c r="I1807">
        <v>0</v>
      </c>
      <c r="J1807">
        <v>0</v>
      </c>
      <c r="K1807">
        <v>12</v>
      </c>
    </row>
    <row r="1808" spans="1:11" x14ac:dyDescent="0.2">
      <c r="A1808" t="s">
        <v>4567</v>
      </c>
      <c r="B1808" t="s">
        <v>4568</v>
      </c>
      <c r="C1808" t="s">
        <v>4518</v>
      </c>
      <c r="D1808" t="s">
        <v>105</v>
      </c>
      <c r="E1808">
        <v>89.99</v>
      </c>
      <c r="F1808">
        <v>0</v>
      </c>
      <c r="G1808">
        <v>16</v>
      </c>
      <c r="H1808" t="s">
        <v>5085</v>
      </c>
      <c r="I1808">
        <v>0</v>
      </c>
      <c r="J1808">
        <v>0</v>
      </c>
      <c r="K1808">
        <v>5</v>
      </c>
    </row>
    <row r="1809" spans="1:11" x14ac:dyDescent="0.2">
      <c r="A1809" t="s">
        <v>5073</v>
      </c>
      <c r="B1809" t="s">
        <v>5074</v>
      </c>
      <c r="C1809" t="s">
        <v>3929</v>
      </c>
      <c r="D1809" t="s">
        <v>105</v>
      </c>
      <c r="E1809">
        <v>99.99</v>
      </c>
      <c r="F1809">
        <v>0</v>
      </c>
      <c r="H1809" t="s">
        <v>5085</v>
      </c>
      <c r="I1809">
        <v>0</v>
      </c>
      <c r="J1809">
        <v>0</v>
      </c>
      <c r="K1809">
        <v>3</v>
      </c>
    </row>
    <row r="1810" spans="1:11" x14ac:dyDescent="0.2">
      <c r="A1810" t="s">
        <v>4565</v>
      </c>
      <c r="B1810" t="s">
        <v>4566</v>
      </c>
      <c r="C1810" t="s">
        <v>4518</v>
      </c>
      <c r="D1810" t="s">
        <v>138</v>
      </c>
      <c r="E1810">
        <v>159.99</v>
      </c>
      <c r="F1810">
        <v>0</v>
      </c>
      <c r="G1810">
        <v>14</v>
      </c>
      <c r="H1810" t="s">
        <v>5085</v>
      </c>
      <c r="I1810">
        <v>0</v>
      </c>
      <c r="J1810">
        <v>0</v>
      </c>
      <c r="K1810">
        <v>0</v>
      </c>
    </row>
    <row r="1811" spans="1:11" x14ac:dyDescent="0.2">
      <c r="A1811" t="s">
        <v>4555</v>
      </c>
      <c r="B1811" t="s">
        <v>4556</v>
      </c>
      <c r="C1811" t="s">
        <v>4518</v>
      </c>
      <c r="D1811" t="s">
        <v>105</v>
      </c>
      <c r="E1811">
        <v>99.99</v>
      </c>
      <c r="F1811">
        <v>0</v>
      </c>
      <c r="G1811">
        <v>24</v>
      </c>
      <c r="H1811" t="s">
        <v>5085</v>
      </c>
      <c r="I1811">
        <v>0</v>
      </c>
      <c r="J1811">
        <v>0</v>
      </c>
      <c r="K1811">
        <v>4</v>
      </c>
    </row>
    <row r="1812" spans="1:11" x14ac:dyDescent="0.2">
      <c r="A1812" t="s">
        <v>5102</v>
      </c>
      <c r="B1812" t="s">
        <v>5103</v>
      </c>
      <c r="C1812" t="s">
        <v>3929</v>
      </c>
      <c r="D1812" t="s">
        <v>98</v>
      </c>
      <c r="E1812">
        <v>99.99</v>
      </c>
      <c r="F1812">
        <v>0</v>
      </c>
      <c r="H1812" t="s">
        <v>5085</v>
      </c>
      <c r="I1812">
        <v>0</v>
      </c>
      <c r="J1812">
        <v>0</v>
      </c>
      <c r="K1812">
        <v>0</v>
      </c>
    </row>
    <row r="1813" spans="1:11" x14ac:dyDescent="0.2">
      <c r="A1813" t="s">
        <v>4553</v>
      </c>
      <c r="B1813" t="s">
        <v>4554</v>
      </c>
      <c r="C1813" t="s">
        <v>4518</v>
      </c>
      <c r="D1813" t="s">
        <v>105</v>
      </c>
      <c r="E1813">
        <v>99.99</v>
      </c>
      <c r="F1813">
        <v>0</v>
      </c>
      <c r="G1813">
        <v>68</v>
      </c>
      <c r="H1813" t="s">
        <v>5085</v>
      </c>
      <c r="I1813">
        <v>0</v>
      </c>
      <c r="J1813">
        <v>0</v>
      </c>
      <c r="K1813">
        <v>2</v>
      </c>
    </row>
    <row r="1814" spans="1:11" x14ac:dyDescent="0.2">
      <c r="A1814" t="s">
        <v>5213</v>
      </c>
      <c r="B1814" t="s">
        <v>5214</v>
      </c>
      <c r="C1814" t="s">
        <v>3929</v>
      </c>
      <c r="D1814" t="s">
        <v>98</v>
      </c>
      <c r="E1814">
        <v>89.99</v>
      </c>
      <c r="F1814">
        <v>0</v>
      </c>
      <c r="H1814" t="s">
        <v>5085</v>
      </c>
      <c r="I1814">
        <v>0</v>
      </c>
      <c r="J1814">
        <v>0</v>
      </c>
      <c r="K1814">
        <v>0</v>
      </c>
    </row>
    <row r="1815" spans="1:11" x14ac:dyDescent="0.2">
      <c r="A1815" t="s">
        <v>5568</v>
      </c>
      <c r="B1815" t="s">
        <v>5569</v>
      </c>
      <c r="C1815" t="s">
        <v>4518</v>
      </c>
      <c r="D1815" t="s">
        <v>138</v>
      </c>
      <c r="E1815">
        <v>169.99</v>
      </c>
      <c r="F1815">
        <v>0</v>
      </c>
      <c r="H1815" t="s">
        <v>5085</v>
      </c>
      <c r="I1815">
        <v>0</v>
      </c>
      <c r="J1815">
        <v>0</v>
      </c>
      <c r="K1815">
        <v>0</v>
      </c>
    </row>
    <row r="1816" spans="1:11" x14ac:dyDescent="0.2">
      <c r="A1816" t="s">
        <v>4551</v>
      </c>
      <c r="B1816" t="s">
        <v>4552</v>
      </c>
      <c r="C1816" t="s">
        <v>4518</v>
      </c>
      <c r="D1816" t="s">
        <v>105</v>
      </c>
      <c r="E1816">
        <v>149.99</v>
      </c>
      <c r="F1816">
        <v>0</v>
      </c>
      <c r="G1816">
        <v>2</v>
      </c>
      <c r="H1816" t="s">
        <v>5085</v>
      </c>
      <c r="I1816">
        <v>0</v>
      </c>
      <c r="J1816">
        <v>0</v>
      </c>
      <c r="K1816">
        <v>4</v>
      </c>
    </row>
    <row r="1817" spans="1:11" x14ac:dyDescent="0.2">
      <c r="A1817" t="s">
        <v>4549</v>
      </c>
      <c r="B1817" t="s">
        <v>4550</v>
      </c>
      <c r="C1817" t="s">
        <v>4518</v>
      </c>
      <c r="D1817" t="s">
        <v>105</v>
      </c>
      <c r="E1817">
        <v>149.99</v>
      </c>
      <c r="F1817">
        <v>0</v>
      </c>
      <c r="G1817">
        <v>14</v>
      </c>
      <c r="H1817" t="s">
        <v>5085</v>
      </c>
      <c r="I1817">
        <v>0</v>
      </c>
      <c r="J1817">
        <v>0</v>
      </c>
      <c r="K1817">
        <v>6</v>
      </c>
    </row>
    <row r="1818" spans="1:11" x14ac:dyDescent="0.2">
      <c r="A1818" t="s">
        <v>5690</v>
      </c>
      <c r="B1818" t="s">
        <v>5691</v>
      </c>
      <c r="C1818" t="s">
        <v>4518</v>
      </c>
      <c r="D1818" t="s">
        <v>138</v>
      </c>
      <c r="E1818">
        <v>239.99</v>
      </c>
      <c r="F1818">
        <v>0</v>
      </c>
      <c r="H1818" t="s">
        <v>5085</v>
      </c>
      <c r="I1818">
        <v>0</v>
      </c>
      <c r="J1818">
        <v>0</v>
      </c>
      <c r="K1818">
        <v>4</v>
      </c>
    </row>
    <row r="1819" spans="1:11" x14ac:dyDescent="0.2">
      <c r="A1819" t="s">
        <v>3968</v>
      </c>
      <c r="B1819" t="s">
        <v>3969</v>
      </c>
      <c r="C1819" t="s">
        <v>3929</v>
      </c>
      <c r="D1819" t="s">
        <v>138</v>
      </c>
      <c r="E1819">
        <v>184.99</v>
      </c>
      <c r="F1819">
        <v>0</v>
      </c>
      <c r="G1819">
        <v>30</v>
      </c>
      <c r="H1819" t="s">
        <v>5085</v>
      </c>
      <c r="I1819">
        <v>0</v>
      </c>
      <c r="J1819">
        <v>0</v>
      </c>
      <c r="K1819">
        <v>0</v>
      </c>
    </row>
    <row r="1820" spans="1:11" x14ac:dyDescent="0.2">
      <c r="A1820" t="s">
        <v>3970</v>
      </c>
      <c r="B1820" t="s">
        <v>3971</v>
      </c>
      <c r="C1820" t="s">
        <v>3929</v>
      </c>
      <c r="D1820" t="s">
        <v>98</v>
      </c>
      <c r="E1820">
        <v>139.99</v>
      </c>
      <c r="F1820">
        <v>0</v>
      </c>
      <c r="H1820" t="s">
        <v>5085</v>
      </c>
      <c r="I1820">
        <v>0</v>
      </c>
      <c r="J1820">
        <v>0</v>
      </c>
      <c r="K1820">
        <v>0</v>
      </c>
    </row>
    <row r="1821" spans="1:11" x14ac:dyDescent="0.2">
      <c r="A1821" t="s">
        <v>5211</v>
      </c>
      <c r="B1821" t="s">
        <v>5212</v>
      </c>
      <c r="C1821" t="s">
        <v>4518</v>
      </c>
      <c r="D1821" t="s">
        <v>98</v>
      </c>
      <c r="E1821">
        <v>89.99</v>
      </c>
      <c r="F1821">
        <v>0</v>
      </c>
      <c r="H1821" t="s">
        <v>5085</v>
      </c>
      <c r="I1821">
        <v>0</v>
      </c>
      <c r="J1821">
        <v>0</v>
      </c>
      <c r="K1821">
        <v>0</v>
      </c>
    </row>
    <row r="1822" spans="1:11" x14ac:dyDescent="0.2">
      <c r="A1822" t="s">
        <v>3972</v>
      </c>
      <c r="B1822" t="s">
        <v>3973</v>
      </c>
      <c r="C1822" t="s">
        <v>3929</v>
      </c>
      <c r="D1822" t="s">
        <v>98</v>
      </c>
      <c r="E1822">
        <v>129.99</v>
      </c>
      <c r="F1822">
        <v>0</v>
      </c>
      <c r="H1822" t="s">
        <v>5085</v>
      </c>
      <c r="I1822">
        <v>0</v>
      </c>
      <c r="J1822">
        <v>0</v>
      </c>
      <c r="K1822">
        <v>0</v>
      </c>
    </row>
    <row r="1823" spans="1:11" x14ac:dyDescent="0.2">
      <c r="A1823" t="s">
        <v>5239</v>
      </c>
      <c r="B1823" t="s">
        <v>5240</v>
      </c>
      <c r="C1823" t="s">
        <v>4518</v>
      </c>
      <c r="D1823" t="s">
        <v>98</v>
      </c>
      <c r="E1823">
        <v>89.99</v>
      </c>
      <c r="F1823">
        <v>0</v>
      </c>
      <c r="H1823" t="s">
        <v>5085</v>
      </c>
      <c r="I1823">
        <v>0</v>
      </c>
      <c r="J1823">
        <v>0</v>
      </c>
      <c r="K1823">
        <v>0</v>
      </c>
    </row>
    <row r="1824" spans="1:11" x14ac:dyDescent="0.2">
      <c r="A1824" t="s">
        <v>5243</v>
      </c>
      <c r="B1824" t="s">
        <v>5244</v>
      </c>
      <c r="C1824" t="s">
        <v>4518</v>
      </c>
      <c r="D1824" t="s">
        <v>98</v>
      </c>
      <c r="E1824">
        <v>89.99</v>
      </c>
      <c r="F1824">
        <v>0</v>
      </c>
      <c r="H1824" t="s">
        <v>5085</v>
      </c>
      <c r="I1824">
        <v>0</v>
      </c>
      <c r="J1824">
        <v>0</v>
      </c>
      <c r="K1824">
        <v>0</v>
      </c>
    </row>
    <row r="1825" spans="1:11" x14ac:dyDescent="0.2">
      <c r="A1825" t="s">
        <v>5249</v>
      </c>
      <c r="B1825" t="s">
        <v>5250</v>
      </c>
      <c r="C1825" t="s">
        <v>3929</v>
      </c>
      <c r="D1825" t="s">
        <v>98</v>
      </c>
      <c r="E1825">
        <v>184.99</v>
      </c>
      <c r="F1825">
        <v>0</v>
      </c>
      <c r="H1825" t="s">
        <v>5085</v>
      </c>
      <c r="I1825">
        <v>0</v>
      </c>
      <c r="J1825">
        <v>0</v>
      </c>
      <c r="K1825">
        <v>0</v>
      </c>
    </row>
    <row r="1826" spans="1:11" x14ac:dyDescent="0.2">
      <c r="A1826" t="s">
        <v>3964</v>
      </c>
      <c r="B1826" t="s">
        <v>3965</v>
      </c>
      <c r="C1826" t="s">
        <v>3929</v>
      </c>
      <c r="D1826" t="s">
        <v>138</v>
      </c>
      <c r="E1826">
        <v>64.989999999999995</v>
      </c>
      <c r="F1826">
        <v>0</v>
      </c>
      <c r="H1826" t="s">
        <v>5085</v>
      </c>
      <c r="I1826">
        <v>0</v>
      </c>
      <c r="J1826">
        <v>0</v>
      </c>
      <c r="K1826">
        <v>1</v>
      </c>
    </row>
    <row r="1827" spans="1:11" x14ac:dyDescent="0.2">
      <c r="A1827" t="s">
        <v>3962</v>
      </c>
      <c r="B1827" t="s">
        <v>3963</v>
      </c>
      <c r="C1827" t="s">
        <v>3929</v>
      </c>
      <c r="D1827" t="s">
        <v>105</v>
      </c>
      <c r="E1827">
        <v>64.989999999999995</v>
      </c>
      <c r="F1827">
        <v>0</v>
      </c>
      <c r="G1827">
        <v>2</v>
      </c>
      <c r="H1827" t="s">
        <v>5085</v>
      </c>
      <c r="I1827">
        <v>0</v>
      </c>
      <c r="J1827">
        <v>0</v>
      </c>
      <c r="K1827">
        <v>3</v>
      </c>
    </row>
    <row r="1828" spans="1:11" x14ac:dyDescent="0.2">
      <c r="A1828" t="s">
        <v>5564</v>
      </c>
      <c r="B1828" t="s">
        <v>5565</v>
      </c>
      <c r="C1828" t="s">
        <v>4518</v>
      </c>
      <c r="D1828" t="s">
        <v>138</v>
      </c>
      <c r="E1828">
        <v>119.99</v>
      </c>
      <c r="F1828">
        <v>0</v>
      </c>
      <c r="H1828" t="s">
        <v>5085</v>
      </c>
      <c r="I1828">
        <v>0</v>
      </c>
      <c r="J1828">
        <v>0</v>
      </c>
      <c r="K1828">
        <v>0</v>
      </c>
    </row>
    <row r="1829" spans="1:11" x14ac:dyDescent="0.2">
      <c r="A1829" t="s">
        <v>3960</v>
      </c>
      <c r="B1829" t="s">
        <v>3961</v>
      </c>
      <c r="C1829" t="s">
        <v>3929</v>
      </c>
      <c r="D1829" t="s">
        <v>105</v>
      </c>
      <c r="E1829">
        <v>64.989999999999995</v>
      </c>
      <c r="F1829">
        <v>0</v>
      </c>
      <c r="G1829">
        <v>20</v>
      </c>
      <c r="H1829" t="s">
        <v>5085</v>
      </c>
      <c r="I1829">
        <v>0</v>
      </c>
      <c r="J1829">
        <v>0</v>
      </c>
      <c r="K1829">
        <v>2</v>
      </c>
    </row>
    <row r="1830" spans="1:11" x14ac:dyDescent="0.2">
      <c r="A1830" t="s">
        <v>4595</v>
      </c>
      <c r="B1830" t="s">
        <v>4596</v>
      </c>
      <c r="C1830" t="s">
        <v>4518</v>
      </c>
      <c r="D1830" t="s">
        <v>98</v>
      </c>
      <c r="E1830">
        <v>179.99</v>
      </c>
      <c r="F1830">
        <v>0</v>
      </c>
      <c r="H1830" t="s">
        <v>5085</v>
      </c>
      <c r="I1830">
        <v>0</v>
      </c>
      <c r="J1830">
        <v>0</v>
      </c>
      <c r="K1830">
        <v>0</v>
      </c>
    </row>
    <row r="1831" spans="1:11" x14ac:dyDescent="0.2">
      <c r="A1831" t="s">
        <v>3940</v>
      </c>
      <c r="B1831" t="s">
        <v>3941</v>
      </c>
      <c r="C1831" t="s">
        <v>3929</v>
      </c>
      <c r="D1831" t="s">
        <v>105</v>
      </c>
      <c r="E1831">
        <v>209.99</v>
      </c>
      <c r="F1831">
        <v>0</v>
      </c>
      <c r="G1831">
        <v>7</v>
      </c>
      <c r="H1831" t="s">
        <v>5085</v>
      </c>
      <c r="I1831">
        <v>0</v>
      </c>
      <c r="J1831">
        <v>0</v>
      </c>
      <c r="K1831">
        <v>2</v>
      </c>
    </row>
    <row r="1832" spans="1:11" x14ac:dyDescent="0.2">
      <c r="A1832" t="s">
        <v>4593</v>
      </c>
      <c r="B1832" t="s">
        <v>4594</v>
      </c>
      <c r="C1832" t="s">
        <v>4518</v>
      </c>
      <c r="D1832" t="s">
        <v>138</v>
      </c>
      <c r="E1832">
        <v>179.99</v>
      </c>
      <c r="F1832">
        <v>0</v>
      </c>
      <c r="G1832">
        <v>79</v>
      </c>
      <c r="H1832" t="s">
        <v>5085</v>
      </c>
      <c r="I1832">
        <v>0</v>
      </c>
      <c r="J1832">
        <v>0</v>
      </c>
      <c r="K1832">
        <v>0</v>
      </c>
    </row>
    <row r="1833" spans="1:11" x14ac:dyDescent="0.2">
      <c r="A1833" t="s">
        <v>4591</v>
      </c>
      <c r="B1833" t="s">
        <v>4592</v>
      </c>
      <c r="C1833" t="s">
        <v>4518</v>
      </c>
      <c r="D1833" t="s">
        <v>138</v>
      </c>
      <c r="E1833">
        <v>99.99</v>
      </c>
      <c r="F1833">
        <v>0</v>
      </c>
      <c r="G1833">
        <v>77</v>
      </c>
      <c r="H1833" t="s">
        <v>5085</v>
      </c>
      <c r="I1833">
        <v>0</v>
      </c>
      <c r="J1833">
        <v>0</v>
      </c>
      <c r="K1833">
        <v>2</v>
      </c>
    </row>
    <row r="1834" spans="1:11" x14ac:dyDescent="0.2">
      <c r="A1834" t="s">
        <v>3942</v>
      </c>
      <c r="B1834" t="s">
        <v>3943</v>
      </c>
      <c r="C1834" t="s">
        <v>3929</v>
      </c>
      <c r="D1834" t="s">
        <v>105</v>
      </c>
      <c r="E1834">
        <v>149.99</v>
      </c>
      <c r="F1834">
        <v>0</v>
      </c>
      <c r="H1834" t="s">
        <v>5085</v>
      </c>
      <c r="I1834">
        <v>0</v>
      </c>
      <c r="J1834">
        <v>0</v>
      </c>
      <c r="K1834">
        <v>4</v>
      </c>
    </row>
    <row r="1835" spans="1:11" x14ac:dyDescent="0.2">
      <c r="A1835" t="s">
        <v>5560</v>
      </c>
      <c r="B1835" t="s">
        <v>5561</v>
      </c>
      <c r="C1835" t="s">
        <v>4518</v>
      </c>
      <c r="D1835" t="s">
        <v>98</v>
      </c>
      <c r="E1835">
        <v>119.99</v>
      </c>
      <c r="F1835">
        <v>0</v>
      </c>
      <c r="H1835" t="s">
        <v>5085</v>
      </c>
      <c r="I1835">
        <v>0</v>
      </c>
      <c r="J1835">
        <v>0</v>
      </c>
      <c r="K1835">
        <v>0</v>
      </c>
    </row>
    <row r="1836" spans="1:11" x14ac:dyDescent="0.2">
      <c r="A1836" t="s">
        <v>3944</v>
      </c>
      <c r="B1836" t="s">
        <v>3945</v>
      </c>
      <c r="C1836" t="s">
        <v>3929</v>
      </c>
      <c r="D1836" t="s">
        <v>105</v>
      </c>
      <c r="E1836">
        <v>179.99</v>
      </c>
      <c r="F1836">
        <v>0</v>
      </c>
      <c r="G1836">
        <v>9</v>
      </c>
      <c r="H1836" t="s">
        <v>5085</v>
      </c>
      <c r="I1836">
        <v>0</v>
      </c>
      <c r="J1836">
        <v>0</v>
      </c>
      <c r="K1836">
        <v>2</v>
      </c>
    </row>
    <row r="1837" spans="1:11" x14ac:dyDescent="0.2">
      <c r="A1837" t="s">
        <v>4589</v>
      </c>
      <c r="B1837" t="s">
        <v>4590</v>
      </c>
      <c r="C1837" t="s">
        <v>4518</v>
      </c>
      <c r="D1837" t="s">
        <v>98</v>
      </c>
      <c r="E1837">
        <v>119.99</v>
      </c>
      <c r="F1837">
        <v>0</v>
      </c>
      <c r="H1837" t="s">
        <v>5085</v>
      </c>
      <c r="I1837">
        <v>0</v>
      </c>
      <c r="J1837">
        <v>0</v>
      </c>
      <c r="K1837">
        <v>0</v>
      </c>
    </row>
    <row r="1838" spans="1:11" x14ac:dyDescent="0.2">
      <c r="A1838" t="s">
        <v>3946</v>
      </c>
      <c r="B1838" t="s">
        <v>3947</v>
      </c>
      <c r="C1838" t="s">
        <v>3929</v>
      </c>
      <c r="D1838" t="s">
        <v>105</v>
      </c>
      <c r="E1838">
        <v>269.99</v>
      </c>
      <c r="F1838">
        <v>0</v>
      </c>
      <c r="G1838">
        <v>23</v>
      </c>
      <c r="H1838" t="s">
        <v>5085</v>
      </c>
      <c r="I1838">
        <v>0</v>
      </c>
      <c r="J1838">
        <v>0</v>
      </c>
      <c r="K1838">
        <v>4</v>
      </c>
    </row>
    <row r="1839" spans="1:11" x14ac:dyDescent="0.2">
      <c r="A1839" t="s">
        <v>3948</v>
      </c>
      <c r="B1839" t="s">
        <v>3949</v>
      </c>
      <c r="C1839" t="s">
        <v>3929</v>
      </c>
      <c r="D1839" t="s">
        <v>105</v>
      </c>
      <c r="E1839">
        <v>279.99</v>
      </c>
      <c r="F1839">
        <v>0</v>
      </c>
      <c r="G1839">
        <v>9</v>
      </c>
      <c r="H1839" t="s">
        <v>5085</v>
      </c>
      <c r="I1839">
        <v>0</v>
      </c>
      <c r="J1839">
        <v>0</v>
      </c>
      <c r="K1839">
        <v>1</v>
      </c>
    </row>
    <row r="1840" spans="1:11" x14ac:dyDescent="0.2">
      <c r="A1840" t="s">
        <v>5538</v>
      </c>
      <c r="B1840" t="s">
        <v>5539</v>
      </c>
      <c r="C1840" t="s">
        <v>4518</v>
      </c>
      <c r="D1840" t="s">
        <v>98</v>
      </c>
      <c r="E1840">
        <v>99.99</v>
      </c>
      <c r="F1840">
        <v>0</v>
      </c>
      <c r="H1840" t="s">
        <v>5085</v>
      </c>
      <c r="I1840">
        <v>0</v>
      </c>
      <c r="J1840">
        <v>0</v>
      </c>
      <c r="K1840">
        <v>0</v>
      </c>
    </row>
    <row r="1841" spans="1:11" x14ac:dyDescent="0.2">
      <c r="A1841" t="s">
        <v>3950</v>
      </c>
      <c r="B1841" t="s">
        <v>3951</v>
      </c>
      <c r="C1841" t="s">
        <v>3929</v>
      </c>
      <c r="D1841" t="s">
        <v>105</v>
      </c>
      <c r="E1841">
        <v>119.99</v>
      </c>
      <c r="F1841">
        <v>0</v>
      </c>
      <c r="G1841">
        <v>24</v>
      </c>
      <c r="H1841" t="s">
        <v>5085</v>
      </c>
      <c r="I1841">
        <v>0</v>
      </c>
      <c r="J1841">
        <v>0</v>
      </c>
      <c r="K1841">
        <v>2</v>
      </c>
    </row>
    <row r="1842" spans="1:11" x14ac:dyDescent="0.2">
      <c r="A1842" t="s">
        <v>4583</v>
      </c>
      <c r="B1842" t="s">
        <v>4584</v>
      </c>
      <c r="C1842" t="s">
        <v>4518</v>
      </c>
      <c r="D1842" t="s">
        <v>138</v>
      </c>
      <c r="E1842">
        <v>249.99</v>
      </c>
      <c r="F1842">
        <v>0</v>
      </c>
      <c r="G1842">
        <v>8</v>
      </c>
      <c r="H1842" t="s">
        <v>5085</v>
      </c>
      <c r="I1842">
        <v>0</v>
      </c>
      <c r="J1842">
        <v>0</v>
      </c>
      <c r="K1842">
        <v>0</v>
      </c>
    </row>
    <row r="1843" spans="1:11" x14ac:dyDescent="0.2">
      <c r="A1843" t="s">
        <v>5548</v>
      </c>
      <c r="B1843" t="s">
        <v>5549</v>
      </c>
      <c r="C1843" t="s">
        <v>4518</v>
      </c>
      <c r="D1843" t="s">
        <v>98</v>
      </c>
      <c r="E1843">
        <v>249.99</v>
      </c>
      <c r="F1843">
        <v>0</v>
      </c>
      <c r="H1843" t="s">
        <v>5085</v>
      </c>
      <c r="I1843">
        <v>0</v>
      </c>
      <c r="J1843">
        <v>0</v>
      </c>
      <c r="K1843">
        <v>0</v>
      </c>
    </row>
    <row r="1844" spans="1:11" x14ac:dyDescent="0.2">
      <c r="A1844" t="s">
        <v>3954</v>
      </c>
      <c r="B1844" t="s">
        <v>3955</v>
      </c>
      <c r="C1844" t="s">
        <v>3929</v>
      </c>
      <c r="D1844" t="s">
        <v>105</v>
      </c>
      <c r="E1844">
        <v>64.989999999999995</v>
      </c>
      <c r="F1844">
        <v>0</v>
      </c>
      <c r="G1844">
        <v>38</v>
      </c>
      <c r="H1844" t="s">
        <v>5085</v>
      </c>
      <c r="I1844">
        <v>0</v>
      </c>
      <c r="J1844">
        <v>0</v>
      </c>
      <c r="K1844">
        <v>0</v>
      </c>
    </row>
    <row r="1845" spans="1:11" x14ac:dyDescent="0.2">
      <c r="A1845" t="s">
        <v>5692</v>
      </c>
      <c r="B1845" t="s">
        <v>5693</v>
      </c>
      <c r="C1845" t="s">
        <v>4518</v>
      </c>
      <c r="D1845" t="s">
        <v>98</v>
      </c>
      <c r="E1845">
        <v>79.989999999999995</v>
      </c>
      <c r="F1845">
        <v>0</v>
      </c>
      <c r="H1845" t="s">
        <v>5085</v>
      </c>
      <c r="I1845">
        <v>0</v>
      </c>
      <c r="J1845">
        <v>0</v>
      </c>
      <c r="K1845">
        <v>0</v>
      </c>
    </row>
    <row r="1846" spans="1:11" x14ac:dyDescent="0.2">
      <c r="A1846" t="s">
        <v>4581</v>
      </c>
      <c r="B1846" t="s">
        <v>4582</v>
      </c>
      <c r="C1846" t="s">
        <v>4518</v>
      </c>
      <c r="D1846" t="s">
        <v>105</v>
      </c>
      <c r="E1846">
        <v>249.99</v>
      </c>
      <c r="F1846">
        <v>0</v>
      </c>
      <c r="H1846" t="s">
        <v>5085</v>
      </c>
      <c r="I1846">
        <v>0</v>
      </c>
      <c r="J1846">
        <v>0</v>
      </c>
      <c r="K1846">
        <v>1</v>
      </c>
    </row>
    <row r="1847" spans="1:11" x14ac:dyDescent="0.2">
      <c r="A1847" t="s">
        <v>3958</v>
      </c>
      <c r="B1847" t="s">
        <v>3959</v>
      </c>
      <c r="C1847" t="s">
        <v>3929</v>
      </c>
      <c r="D1847" t="s">
        <v>105</v>
      </c>
      <c r="E1847">
        <v>149.99</v>
      </c>
      <c r="F1847">
        <v>0</v>
      </c>
      <c r="G1847">
        <v>21</v>
      </c>
      <c r="H1847" t="s">
        <v>5085</v>
      </c>
      <c r="I1847">
        <v>0</v>
      </c>
      <c r="J1847">
        <v>0</v>
      </c>
      <c r="K1847">
        <v>0</v>
      </c>
    </row>
    <row r="1848" spans="1:11" x14ac:dyDescent="0.2">
      <c r="A1848" t="s">
        <v>4579</v>
      </c>
      <c r="B1848" t="s">
        <v>4580</v>
      </c>
      <c r="C1848" t="s">
        <v>4518</v>
      </c>
      <c r="D1848" t="s">
        <v>105</v>
      </c>
      <c r="E1848">
        <v>139.99</v>
      </c>
      <c r="F1848">
        <v>0</v>
      </c>
      <c r="G1848">
        <v>21</v>
      </c>
      <c r="H1848" t="s">
        <v>5085</v>
      </c>
      <c r="I1848">
        <v>0</v>
      </c>
      <c r="J1848">
        <v>0</v>
      </c>
      <c r="K1848">
        <v>3</v>
      </c>
    </row>
    <row r="1849" spans="1:11" x14ac:dyDescent="0.2">
      <c r="A1849" t="s">
        <v>5582</v>
      </c>
      <c r="B1849" t="s">
        <v>5583</v>
      </c>
      <c r="C1849" t="s">
        <v>3929</v>
      </c>
      <c r="D1849" t="s">
        <v>98</v>
      </c>
      <c r="E1849">
        <v>64.989999999999995</v>
      </c>
      <c r="F1849">
        <v>0</v>
      </c>
      <c r="H1849" t="s">
        <v>5085</v>
      </c>
      <c r="I1849">
        <v>0</v>
      </c>
      <c r="J1849">
        <v>0</v>
      </c>
      <c r="K1849">
        <v>0</v>
      </c>
    </row>
    <row r="1850" spans="1:11" x14ac:dyDescent="0.2">
      <c r="A1850" t="s">
        <v>4575</v>
      </c>
      <c r="B1850" t="s">
        <v>4576</v>
      </c>
      <c r="C1850" t="s">
        <v>4518</v>
      </c>
      <c r="D1850" t="s">
        <v>105</v>
      </c>
      <c r="E1850">
        <v>149.99</v>
      </c>
      <c r="F1850">
        <v>0</v>
      </c>
      <c r="H1850" t="s">
        <v>5085</v>
      </c>
      <c r="I1850">
        <v>0</v>
      </c>
      <c r="J1850">
        <v>0</v>
      </c>
      <c r="K1850">
        <v>3</v>
      </c>
    </row>
    <row r="1851" spans="1:11" x14ac:dyDescent="0.2">
      <c r="A1851" t="s">
        <v>5247</v>
      </c>
      <c r="B1851" t="s">
        <v>5248</v>
      </c>
      <c r="C1851" t="s">
        <v>4518</v>
      </c>
      <c r="D1851" t="s">
        <v>98</v>
      </c>
      <c r="E1851">
        <v>89.99</v>
      </c>
      <c r="F1851">
        <v>0</v>
      </c>
      <c r="H1851" t="s">
        <v>5085</v>
      </c>
      <c r="I1851">
        <v>0</v>
      </c>
      <c r="J1851">
        <v>0</v>
      </c>
      <c r="K1851">
        <v>0</v>
      </c>
    </row>
    <row r="1852" spans="1:11" x14ac:dyDescent="0.2">
      <c r="A1852" t="s">
        <v>3974</v>
      </c>
      <c r="B1852" t="s">
        <v>3975</v>
      </c>
      <c r="C1852" t="s">
        <v>3929</v>
      </c>
      <c r="D1852" t="s">
        <v>105</v>
      </c>
      <c r="E1852">
        <v>199.99</v>
      </c>
      <c r="F1852">
        <v>0</v>
      </c>
      <c r="G1852">
        <v>8</v>
      </c>
      <c r="H1852" t="s">
        <v>5085</v>
      </c>
      <c r="I1852">
        <v>0</v>
      </c>
      <c r="J1852">
        <v>0</v>
      </c>
      <c r="K1852">
        <v>1</v>
      </c>
    </row>
    <row r="1853" spans="1:11" x14ac:dyDescent="0.2">
      <c r="A1853" t="s">
        <v>3976</v>
      </c>
      <c r="B1853" t="s">
        <v>3977</v>
      </c>
      <c r="C1853" t="s">
        <v>3929</v>
      </c>
      <c r="D1853" t="s">
        <v>138</v>
      </c>
      <c r="E1853">
        <v>99.99</v>
      </c>
      <c r="F1853">
        <v>0</v>
      </c>
      <c r="G1853">
        <v>37</v>
      </c>
      <c r="H1853" t="s">
        <v>5085</v>
      </c>
      <c r="I1853">
        <v>0</v>
      </c>
      <c r="J1853">
        <v>0</v>
      </c>
      <c r="K1853">
        <v>1</v>
      </c>
    </row>
    <row r="1854" spans="1:11" x14ac:dyDescent="0.2">
      <c r="A1854" t="s">
        <v>3978</v>
      </c>
      <c r="B1854" t="s">
        <v>3979</v>
      </c>
      <c r="C1854" t="s">
        <v>3929</v>
      </c>
      <c r="D1854" t="s">
        <v>105</v>
      </c>
      <c r="E1854">
        <v>24.99</v>
      </c>
      <c r="F1854">
        <v>0</v>
      </c>
      <c r="G1854">
        <v>41</v>
      </c>
      <c r="H1854" t="s">
        <v>5085</v>
      </c>
      <c r="I1854">
        <v>0</v>
      </c>
      <c r="J1854">
        <v>0</v>
      </c>
      <c r="K1854">
        <v>5</v>
      </c>
    </row>
    <row r="1855" spans="1:11" x14ac:dyDescent="0.2">
      <c r="A1855" t="s">
        <v>4473</v>
      </c>
      <c r="B1855" t="s">
        <v>4474</v>
      </c>
      <c r="C1855" t="s">
        <v>4437</v>
      </c>
      <c r="D1855" t="s">
        <v>98</v>
      </c>
      <c r="E1855">
        <v>99.99</v>
      </c>
      <c r="F1855">
        <v>0</v>
      </c>
      <c r="H1855" t="s">
        <v>5085</v>
      </c>
      <c r="I1855">
        <v>0</v>
      </c>
      <c r="J1855">
        <v>0</v>
      </c>
      <c r="K1855">
        <v>0</v>
      </c>
    </row>
    <row r="1856" spans="1:11" x14ac:dyDescent="0.2">
      <c r="A1856" t="s">
        <v>5087</v>
      </c>
      <c r="B1856" t="s">
        <v>5088</v>
      </c>
      <c r="C1856" t="s">
        <v>3929</v>
      </c>
      <c r="D1856" t="s">
        <v>138</v>
      </c>
      <c r="E1856">
        <v>79.989999999999995</v>
      </c>
      <c r="F1856">
        <v>0</v>
      </c>
      <c r="G1856">
        <v>7</v>
      </c>
      <c r="H1856" t="s">
        <v>5085</v>
      </c>
      <c r="I1856">
        <v>0</v>
      </c>
      <c r="J1856">
        <v>0</v>
      </c>
      <c r="K1856">
        <v>0</v>
      </c>
    </row>
    <row r="1857" spans="1:11" x14ac:dyDescent="0.2">
      <c r="A1857" t="s">
        <v>4469</v>
      </c>
      <c r="B1857" t="s">
        <v>4470</v>
      </c>
      <c r="C1857" t="s">
        <v>4437</v>
      </c>
      <c r="D1857" t="s">
        <v>98</v>
      </c>
      <c r="E1857">
        <v>39.99</v>
      </c>
      <c r="F1857">
        <v>0</v>
      </c>
      <c r="H1857" t="s">
        <v>5085</v>
      </c>
      <c r="I1857">
        <v>0</v>
      </c>
      <c r="J1857">
        <v>0</v>
      </c>
      <c r="K1857">
        <v>0</v>
      </c>
    </row>
    <row r="1858" spans="1:11" x14ac:dyDescent="0.2">
      <c r="A1858" t="s">
        <v>5329</v>
      </c>
      <c r="B1858" t="s">
        <v>5330</v>
      </c>
      <c r="C1858" t="s">
        <v>3929</v>
      </c>
      <c r="D1858" t="s">
        <v>138</v>
      </c>
      <c r="E1858">
        <v>79.989999999999995</v>
      </c>
      <c r="F1858">
        <v>0</v>
      </c>
      <c r="G1858">
        <v>22</v>
      </c>
      <c r="H1858" t="s">
        <v>5085</v>
      </c>
      <c r="I1858">
        <v>0</v>
      </c>
      <c r="J1858">
        <v>0</v>
      </c>
      <c r="K1858">
        <v>1</v>
      </c>
    </row>
    <row r="1859" spans="1:11" x14ac:dyDescent="0.2">
      <c r="A1859" t="s">
        <v>4467</v>
      </c>
      <c r="B1859" t="s">
        <v>4468</v>
      </c>
      <c r="C1859" t="s">
        <v>4437</v>
      </c>
      <c r="D1859" t="s">
        <v>98</v>
      </c>
      <c r="E1859">
        <v>80.989999999999995</v>
      </c>
      <c r="F1859">
        <v>0</v>
      </c>
      <c r="H1859" t="s">
        <v>5085</v>
      </c>
      <c r="I1859">
        <v>0</v>
      </c>
      <c r="J1859">
        <v>0</v>
      </c>
      <c r="K1859">
        <v>0</v>
      </c>
    </row>
    <row r="1860" spans="1:11" x14ac:dyDescent="0.2">
      <c r="A1860" t="s">
        <v>4465</v>
      </c>
      <c r="B1860" t="s">
        <v>4466</v>
      </c>
      <c r="C1860" t="s">
        <v>4437</v>
      </c>
      <c r="D1860" t="s">
        <v>98</v>
      </c>
      <c r="E1860">
        <v>49.99</v>
      </c>
      <c r="F1860">
        <v>0</v>
      </c>
      <c r="H1860" t="s">
        <v>5085</v>
      </c>
      <c r="I1860">
        <v>0</v>
      </c>
      <c r="J1860">
        <v>0</v>
      </c>
      <c r="K1860">
        <v>0</v>
      </c>
    </row>
    <row r="1861" spans="1:11" x14ac:dyDescent="0.2">
      <c r="A1861" t="s">
        <v>5333</v>
      </c>
      <c r="B1861" t="s">
        <v>5334</v>
      </c>
      <c r="C1861" t="s">
        <v>3929</v>
      </c>
      <c r="D1861" t="s">
        <v>138</v>
      </c>
      <c r="E1861">
        <v>69.989999999999995</v>
      </c>
      <c r="F1861">
        <v>0</v>
      </c>
      <c r="H1861" t="s">
        <v>5085</v>
      </c>
      <c r="I1861">
        <v>0</v>
      </c>
      <c r="J1861">
        <v>0</v>
      </c>
      <c r="K1861">
        <v>0</v>
      </c>
    </row>
    <row r="1862" spans="1:11" x14ac:dyDescent="0.2">
      <c r="A1862" t="s">
        <v>4463</v>
      </c>
      <c r="B1862" t="s">
        <v>4464</v>
      </c>
      <c r="C1862" t="s">
        <v>4437</v>
      </c>
      <c r="D1862" t="s">
        <v>98</v>
      </c>
      <c r="E1862">
        <v>83.99</v>
      </c>
      <c r="F1862">
        <v>0</v>
      </c>
      <c r="H1862" t="s">
        <v>5085</v>
      </c>
      <c r="I1862">
        <v>0</v>
      </c>
      <c r="J1862">
        <v>0</v>
      </c>
      <c r="K1862">
        <v>0</v>
      </c>
    </row>
    <row r="1863" spans="1:11" x14ac:dyDescent="0.2">
      <c r="A1863" t="s">
        <v>5341</v>
      </c>
      <c r="B1863" t="s">
        <v>5342</v>
      </c>
      <c r="C1863" t="s">
        <v>3929</v>
      </c>
      <c r="D1863" t="s">
        <v>98</v>
      </c>
      <c r="E1863">
        <v>69.989999999999995</v>
      </c>
      <c r="F1863">
        <v>0</v>
      </c>
      <c r="H1863" t="s">
        <v>5085</v>
      </c>
      <c r="I1863">
        <v>0</v>
      </c>
      <c r="J1863">
        <v>0</v>
      </c>
      <c r="K1863">
        <v>0</v>
      </c>
    </row>
    <row r="1864" spans="1:11" x14ac:dyDescent="0.2">
      <c r="A1864" t="s">
        <v>4459</v>
      </c>
      <c r="B1864" t="s">
        <v>4460</v>
      </c>
      <c r="C1864" t="s">
        <v>4437</v>
      </c>
      <c r="D1864" t="s">
        <v>98</v>
      </c>
      <c r="E1864">
        <v>99.99</v>
      </c>
      <c r="F1864">
        <v>0</v>
      </c>
      <c r="H1864" t="s">
        <v>5085</v>
      </c>
      <c r="I1864">
        <v>0</v>
      </c>
      <c r="J1864">
        <v>0</v>
      </c>
      <c r="K1864">
        <v>0</v>
      </c>
    </row>
    <row r="1865" spans="1:11" x14ac:dyDescent="0.2">
      <c r="A1865" t="s">
        <v>5325</v>
      </c>
      <c r="B1865" t="s">
        <v>5326</v>
      </c>
      <c r="C1865" t="s">
        <v>3929</v>
      </c>
      <c r="D1865" t="s">
        <v>98</v>
      </c>
      <c r="E1865">
        <v>69.989999999999995</v>
      </c>
      <c r="F1865">
        <v>0</v>
      </c>
      <c r="H1865" t="s">
        <v>5085</v>
      </c>
      <c r="I1865">
        <v>0</v>
      </c>
      <c r="J1865">
        <v>0</v>
      </c>
      <c r="K1865">
        <v>0</v>
      </c>
    </row>
    <row r="1866" spans="1:11" x14ac:dyDescent="0.2">
      <c r="A1866" t="s">
        <v>4457</v>
      </c>
      <c r="B1866" t="s">
        <v>4458</v>
      </c>
      <c r="C1866" t="s">
        <v>4437</v>
      </c>
      <c r="D1866" t="s">
        <v>98</v>
      </c>
      <c r="E1866">
        <v>249.99</v>
      </c>
      <c r="F1866">
        <v>0</v>
      </c>
      <c r="H1866" t="s">
        <v>5085</v>
      </c>
      <c r="I1866">
        <v>0</v>
      </c>
      <c r="J1866">
        <v>0</v>
      </c>
      <c r="K1866">
        <v>0</v>
      </c>
    </row>
    <row r="1867" spans="1:11" x14ac:dyDescent="0.2">
      <c r="A1867" t="s">
        <v>4455</v>
      </c>
      <c r="B1867" t="s">
        <v>4456</v>
      </c>
      <c r="C1867" t="s">
        <v>4437</v>
      </c>
      <c r="D1867" t="s">
        <v>98</v>
      </c>
      <c r="E1867">
        <v>199.99</v>
      </c>
      <c r="F1867">
        <v>0</v>
      </c>
      <c r="H1867" t="s">
        <v>5085</v>
      </c>
      <c r="I1867">
        <v>0</v>
      </c>
      <c r="J1867">
        <v>0</v>
      </c>
      <c r="K1867">
        <v>0</v>
      </c>
    </row>
    <row r="1868" spans="1:11" x14ac:dyDescent="0.2">
      <c r="A1868" t="s">
        <v>5317</v>
      </c>
      <c r="B1868" t="s">
        <v>5318</v>
      </c>
      <c r="C1868" t="s">
        <v>3929</v>
      </c>
      <c r="D1868" t="s">
        <v>98</v>
      </c>
      <c r="E1868">
        <v>69.989999999999995</v>
      </c>
      <c r="F1868">
        <v>0</v>
      </c>
      <c r="H1868" t="s">
        <v>5085</v>
      </c>
      <c r="I1868">
        <v>0</v>
      </c>
      <c r="J1868">
        <v>0</v>
      </c>
      <c r="K1868">
        <v>0</v>
      </c>
    </row>
    <row r="1869" spans="1:11" x14ac:dyDescent="0.2">
      <c r="A1869" t="s">
        <v>5321</v>
      </c>
      <c r="B1869" t="s">
        <v>5322</v>
      </c>
      <c r="C1869" t="s">
        <v>3929</v>
      </c>
      <c r="D1869" t="s">
        <v>98</v>
      </c>
      <c r="E1869">
        <v>69.989999999999995</v>
      </c>
      <c r="F1869">
        <v>0</v>
      </c>
      <c r="H1869" t="s">
        <v>5085</v>
      </c>
      <c r="I1869">
        <v>0</v>
      </c>
      <c r="J1869">
        <v>0</v>
      </c>
      <c r="K1869">
        <v>0</v>
      </c>
    </row>
    <row r="1870" spans="1:11" x14ac:dyDescent="0.2">
      <c r="A1870" t="s">
        <v>4449</v>
      </c>
      <c r="B1870" t="s">
        <v>4450</v>
      </c>
      <c r="C1870" t="s">
        <v>4437</v>
      </c>
      <c r="D1870" t="s">
        <v>98</v>
      </c>
      <c r="E1870">
        <v>179.99</v>
      </c>
      <c r="F1870">
        <v>0</v>
      </c>
      <c r="H1870" t="s">
        <v>5085</v>
      </c>
      <c r="I1870">
        <v>0</v>
      </c>
      <c r="J1870">
        <v>0</v>
      </c>
      <c r="K1870">
        <v>0</v>
      </c>
    </row>
    <row r="1871" spans="1:11" x14ac:dyDescent="0.2">
      <c r="A1871" t="s">
        <v>4447</v>
      </c>
      <c r="B1871" t="s">
        <v>4448</v>
      </c>
      <c r="C1871" t="s">
        <v>4437</v>
      </c>
      <c r="D1871" t="s">
        <v>98</v>
      </c>
      <c r="E1871">
        <v>72.989999999999995</v>
      </c>
      <c r="F1871">
        <v>0</v>
      </c>
      <c r="H1871" t="s">
        <v>5085</v>
      </c>
      <c r="I1871">
        <v>0</v>
      </c>
      <c r="J1871">
        <v>0</v>
      </c>
      <c r="K1871">
        <v>0</v>
      </c>
    </row>
    <row r="1872" spans="1:11" x14ac:dyDescent="0.2">
      <c r="A1872" t="s">
        <v>5343</v>
      </c>
      <c r="B1872" t="s">
        <v>5344</v>
      </c>
      <c r="C1872" t="s">
        <v>3929</v>
      </c>
      <c r="D1872" t="s">
        <v>98</v>
      </c>
      <c r="E1872">
        <v>69.989999999999995</v>
      </c>
      <c r="F1872">
        <v>0</v>
      </c>
      <c r="H1872" t="s">
        <v>5085</v>
      </c>
      <c r="I1872">
        <v>0</v>
      </c>
      <c r="J1872">
        <v>0</v>
      </c>
      <c r="K1872">
        <v>0</v>
      </c>
    </row>
    <row r="1873" spans="1:11" x14ac:dyDescent="0.2">
      <c r="A1873" t="s">
        <v>4445</v>
      </c>
      <c r="B1873" t="s">
        <v>4446</v>
      </c>
      <c r="C1873" t="s">
        <v>4437</v>
      </c>
      <c r="D1873" t="s">
        <v>98</v>
      </c>
      <c r="E1873">
        <v>139.99</v>
      </c>
      <c r="F1873">
        <v>0</v>
      </c>
      <c r="H1873" t="s">
        <v>5085</v>
      </c>
      <c r="I1873">
        <v>0</v>
      </c>
      <c r="J1873">
        <v>0</v>
      </c>
      <c r="K1873">
        <v>0</v>
      </c>
    </row>
    <row r="1874" spans="1:11" x14ac:dyDescent="0.2">
      <c r="A1874" t="s">
        <v>5112</v>
      </c>
      <c r="B1874" t="s">
        <v>5113</v>
      </c>
      <c r="C1874" t="s">
        <v>3929</v>
      </c>
      <c r="D1874" t="s">
        <v>138</v>
      </c>
      <c r="E1874">
        <v>39.99</v>
      </c>
      <c r="F1874">
        <v>0</v>
      </c>
      <c r="G1874">
        <v>46</v>
      </c>
      <c r="H1874" t="s">
        <v>5085</v>
      </c>
      <c r="I1874">
        <v>0</v>
      </c>
      <c r="J1874">
        <v>0</v>
      </c>
      <c r="K1874">
        <v>9</v>
      </c>
    </row>
    <row r="1875" spans="1:11" x14ac:dyDescent="0.2">
      <c r="A1875" t="s">
        <v>4443</v>
      </c>
      <c r="B1875" t="s">
        <v>4444</v>
      </c>
      <c r="C1875" t="s">
        <v>4437</v>
      </c>
      <c r="D1875" t="s">
        <v>98</v>
      </c>
      <c r="E1875">
        <v>79.989999999999995</v>
      </c>
      <c r="F1875">
        <v>0</v>
      </c>
      <c r="H1875" t="s">
        <v>5085</v>
      </c>
      <c r="I1875">
        <v>0</v>
      </c>
      <c r="J1875">
        <v>0</v>
      </c>
      <c r="K1875">
        <v>0</v>
      </c>
    </row>
    <row r="1876" spans="1:11" x14ac:dyDescent="0.2">
      <c r="A1876" t="s">
        <v>5181</v>
      </c>
      <c r="B1876" t="s">
        <v>5182</v>
      </c>
      <c r="C1876" t="s">
        <v>3929</v>
      </c>
      <c r="D1876" t="s">
        <v>138</v>
      </c>
      <c r="E1876">
        <v>79.989999999999995</v>
      </c>
      <c r="F1876">
        <v>0</v>
      </c>
      <c r="H1876" t="s">
        <v>5085</v>
      </c>
      <c r="I1876">
        <v>0</v>
      </c>
      <c r="J1876">
        <v>0</v>
      </c>
      <c r="K1876">
        <v>0</v>
      </c>
    </row>
    <row r="1877" spans="1:11" x14ac:dyDescent="0.2">
      <c r="A1877" t="s">
        <v>4600</v>
      </c>
      <c r="B1877" t="s">
        <v>4601</v>
      </c>
      <c r="C1877" t="s">
        <v>4597</v>
      </c>
      <c r="D1877" t="s">
        <v>98</v>
      </c>
      <c r="E1877">
        <v>129.99</v>
      </c>
      <c r="F1877">
        <v>0</v>
      </c>
      <c r="H1877" t="s">
        <v>5085</v>
      </c>
      <c r="I1877">
        <v>0</v>
      </c>
      <c r="J1877">
        <v>0</v>
      </c>
      <c r="K1877">
        <v>0</v>
      </c>
    </row>
    <row r="1878" spans="1:11" x14ac:dyDescent="0.2">
      <c r="A1878" t="s">
        <v>4477</v>
      </c>
      <c r="B1878" t="s">
        <v>4478</v>
      </c>
      <c r="C1878" t="s">
        <v>4437</v>
      </c>
      <c r="D1878" t="s">
        <v>98</v>
      </c>
      <c r="E1878">
        <v>119.99</v>
      </c>
      <c r="F1878">
        <v>0</v>
      </c>
      <c r="H1878" t="s">
        <v>5085</v>
      </c>
      <c r="I1878">
        <v>0</v>
      </c>
      <c r="J1878">
        <v>0</v>
      </c>
      <c r="K1878">
        <v>0</v>
      </c>
    </row>
    <row r="1879" spans="1:11" x14ac:dyDescent="0.2">
      <c r="A1879" t="s">
        <v>3998</v>
      </c>
      <c r="B1879" t="s">
        <v>3999</v>
      </c>
      <c r="C1879" t="s">
        <v>3929</v>
      </c>
      <c r="D1879" t="s">
        <v>105</v>
      </c>
      <c r="E1879">
        <v>79.989999999999995</v>
      </c>
      <c r="F1879">
        <v>0</v>
      </c>
      <c r="H1879" t="s">
        <v>5085</v>
      </c>
      <c r="I1879">
        <v>0</v>
      </c>
      <c r="J1879">
        <v>0</v>
      </c>
      <c r="K1879">
        <v>3</v>
      </c>
    </row>
    <row r="1880" spans="1:11" x14ac:dyDescent="0.2">
      <c r="A1880" t="s">
        <v>5231</v>
      </c>
      <c r="B1880" t="s">
        <v>5232</v>
      </c>
      <c r="C1880" t="s">
        <v>4518</v>
      </c>
      <c r="D1880" t="s">
        <v>98</v>
      </c>
      <c r="E1880">
        <v>99.99</v>
      </c>
      <c r="F1880">
        <v>0</v>
      </c>
      <c r="H1880" t="s">
        <v>5085</v>
      </c>
      <c r="I1880">
        <v>0</v>
      </c>
      <c r="J1880">
        <v>0</v>
      </c>
      <c r="K1880">
        <v>0</v>
      </c>
    </row>
    <row r="1881" spans="1:11" x14ac:dyDescent="0.2">
      <c r="A1881" t="s">
        <v>3982</v>
      </c>
      <c r="B1881" t="s">
        <v>3983</v>
      </c>
      <c r="C1881" t="s">
        <v>3929</v>
      </c>
      <c r="D1881" t="s">
        <v>98</v>
      </c>
      <c r="E1881">
        <v>109.99</v>
      </c>
      <c r="F1881">
        <v>0</v>
      </c>
      <c r="H1881" t="s">
        <v>5085</v>
      </c>
      <c r="I1881">
        <v>0</v>
      </c>
      <c r="J1881">
        <v>0</v>
      </c>
      <c r="K1881">
        <v>0</v>
      </c>
    </row>
    <row r="1882" spans="1:11" x14ac:dyDescent="0.2">
      <c r="A1882" t="s">
        <v>5156</v>
      </c>
      <c r="B1882" t="s">
        <v>5157</v>
      </c>
      <c r="C1882" t="s">
        <v>4518</v>
      </c>
      <c r="D1882" t="s">
        <v>98</v>
      </c>
      <c r="E1882">
        <v>129.99</v>
      </c>
      <c r="F1882">
        <v>0</v>
      </c>
      <c r="H1882" t="s">
        <v>5085</v>
      </c>
      <c r="I1882">
        <v>0</v>
      </c>
      <c r="J1882">
        <v>0</v>
      </c>
      <c r="K1882">
        <v>0</v>
      </c>
    </row>
    <row r="1883" spans="1:11" x14ac:dyDescent="0.2">
      <c r="A1883" t="s">
        <v>5160</v>
      </c>
      <c r="B1883" t="s">
        <v>5161</v>
      </c>
      <c r="C1883" t="s">
        <v>3929</v>
      </c>
      <c r="D1883" t="s">
        <v>98</v>
      </c>
      <c r="E1883">
        <v>109.99</v>
      </c>
      <c r="F1883">
        <v>0</v>
      </c>
      <c r="H1883" t="s">
        <v>5085</v>
      </c>
      <c r="I1883">
        <v>0</v>
      </c>
      <c r="J1883">
        <v>0</v>
      </c>
      <c r="K1883">
        <v>0</v>
      </c>
    </row>
    <row r="1884" spans="1:11" x14ac:dyDescent="0.2">
      <c r="A1884" t="s">
        <v>5694</v>
      </c>
      <c r="B1884" t="s">
        <v>5695</v>
      </c>
      <c r="C1884" t="s">
        <v>4518</v>
      </c>
      <c r="D1884" t="s">
        <v>98</v>
      </c>
      <c r="E1884">
        <v>189.99</v>
      </c>
      <c r="F1884">
        <v>0</v>
      </c>
      <c r="H1884" t="s">
        <v>5085</v>
      </c>
      <c r="I1884">
        <v>0</v>
      </c>
      <c r="J1884">
        <v>0</v>
      </c>
      <c r="K1884">
        <v>0</v>
      </c>
    </row>
    <row r="1885" spans="1:11" x14ac:dyDescent="0.2">
      <c r="A1885" t="s">
        <v>3984</v>
      </c>
      <c r="B1885" t="s">
        <v>3985</v>
      </c>
      <c r="C1885" t="s">
        <v>3929</v>
      </c>
      <c r="D1885" t="s">
        <v>98</v>
      </c>
      <c r="E1885">
        <v>84.99</v>
      </c>
      <c r="F1885">
        <v>0</v>
      </c>
      <c r="H1885" t="s">
        <v>5085</v>
      </c>
      <c r="I1885">
        <v>0</v>
      </c>
      <c r="J1885">
        <v>0</v>
      </c>
      <c r="K1885">
        <v>0</v>
      </c>
    </row>
    <row r="1886" spans="1:11" x14ac:dyDescent="0.2">
      <c r="A1886" t="s">
        <v>5162</v>
      </c>
      <c r="B1886" t="s">
        <v>5163</v>
      </c>
      <c r="C1886" t="s">
        <v>4518</v>
      </c>
      <c r="D1886" t="s">
        <v>98</v>
      </c>
      <c r="E1886">
        <v>99.99</v>
      </c>
      <c r="F1886">
        <v>0</v>
      </c>
      <c r="H1886" t="s">
        <v>5085</v>
      </c>
      <c r="I1886">
        <v>0</v>
      </c>
      <c r="J1886">
        <v>0</v>
      </c>
      <c r="K1886">
        <v>0</v>
      </c>
    </row>
    <row r="1887" spans="1:11" x14ac:dyDescent="0.2">
      <c r="A1887" t="s">
        <v>3986</v>
      </c>
      <c r="B1887" t="s">
        <v>3987</v>
      </c>
      <c r="C1887" t="s">
        <v>3929</v>
      </c>
      <c r="D1887" t="s">
        <v>98</v>
      </c>
      <c r="E1887">
        <v>84.99</v>
      </c>
      <c r="F1887">
        <v>0</v>
      </c>
      <c r="H1887" t="s">
        <v>5085</v>
      </c>
      <c r="I1887">
        <v>0</v>
      </c>
      <c r="J1887">
        <v>0</v>
      </c>
      <c r="K1887">
        <v>0</v>
      </c>
    </row>
    <row r="1888" spans="1:11" x14ac:dyDescent="0.2">
      <c r="A1888" t="s">
        <v>5154</v>
      </c>
      <c r="B1888" t="s">
        <v>5155</v>
      </c>
      <c r="C1888" t="s">
        <v>4518</v>
      </c>
      <c r="D1888" t="s">
        <v>98</v>
      </c>
      <c r="E1888">
        <v>49.99</v>
      </c>
      <c r="F1888">
        <v>0</v>
      </c>
      <c r="H1888" t="s">
        <v>5085</v>
      </c>
      <c r="I1888">
        <v>0</v>
      </c>
      <c r="J1888">
        <v>0</v>
      </c>
      <c r="K1888">
        <v>0</v>
      </c>
    </row>
    <row r="1889" spans="1:11" x14ac:dyDescent="0.2">
      <c r="A1889" t="s">
        <v>3988</v>
      </c>
      <c r="B1889" t="s">
        <v>3989</v>
      </c>
      <c r="C1889" t="s">
        <v>3929</v>
      </c>
      <c r="D1889" t="s">
        <v>105</v>
      </c>
      <c r="E1889">
        <v>59.99</v>
      </c>
      <c r="F1889">
        <v>0</v>
      </c>
      <c r="G1889">
        <v>2</v>
      </c>
      <c r="H1889" t="s">
        <v>5085</v>
      </c>
      <c r="I1889">
        <v>0</v>
      </c>
      <c r="J1889">
        <v>0</v>
      </c>
      <c r="K1889">
        <v>7</v>
      </c>
    </row>
    <row r="1890" spans="1:11" x14ac:dyDescent="0.2">
      <c r="A1890" t="s">
        <v>5132</v>
      </c>
      <c r="B1890" t="s">
        <v>5133</v>
      </c>
      <c r="C1890" t="s">
        <v>4518</v>
      </c>
      <c r="D1890" t="s">
        <v>98</v>
      </c>
      <c r="E1890">
        <v>49.99</v>
      </c>
      <c r="F1890">
        <v>0</v>
      </c>
      <c r="H1890" t="s">
        <v>5085</v>
      </c>
      <c r="I1890">
        <v>0</v>
      </c>
      <c r="J1890">
        <v>0</v>
      </c>
      <c r="K1890">
        <v>0</v>
      </c>
    </row>
    <row r="1891" spans="1:11" x14ac:dyDescent="0.2">
      <c r="A1891" t="s">
        <v>5138</v>
      </c>
      <c r="B1891" t="s">
        <v>5139</v>
      </c>
      <c r="C1891" t="s">
        <v>3929</v>
      </c>
      <c r="D1891" t="s">
        <v>98</v>
      </c>
      <c r="E1891">
        <v>129.99</v>
      </c>
      <c r="F1891">
        <v>0</v>
      </c>
      <c r="H1891" t="s">
        <v>5085</v>
      </c>
      <c r="I1891">
        <v>0</v>
      </c>
      <c r="J1891">
        <v>0</v>
      </c>
      <c r="K1891">
        <v>0</v>
      </c>
    </row>
    <row r="1892" spans="1:11" x14ac:dyDescent="0.2">
      <c r="A1892" t="s">
        <v>5142</v>
      </c>
      <c r="B1892" t="s">
        <v>5143</v>
      </c>
      <c r="C1892" t="s">
        <v>4518</v>
      </c>
      <c r="D1892" t="s">
        <v>98</v>
      </c>
      <c r="E1892">
        <v>109.99</v>
      </c>
      <c r="F1892">
        <v>0</v>
      </c>
      <c r="H1892" t="s">
        <v>5085</v>
      </c>
      <c r="I1892">
        <v>0</v>
      </c>
      <c r="J1892">
        <v>0</v>
      </c>
      <c r="K1892">
        <v>0</v>
      </c>
    </row>
    <row r="1893" spans="1:11" x14ac:dyDescent="0.2">
      <c r="A1893" t="s">
        <v>3990</v>
      </c>
      <c r="B1893" t="s">
        <v>3991</v>
      </c>
      <c r="C1893" t="s">
        <v>3929</v>
      </c>
      <c r="D1893" t="s">
        <v>105</v>
      </c>
      <c r="E1893">
        <v>129.99</v>
      </c>
      <c r="F1893">
        <v>0</v>
      </c>
      <c r="G1893">
        <v>51</v>
      </c>
      <c r="H1893" t="s">
        <v>5085</v>
      </c>
      <c r="I1893">
        <v>0</v>
      </c>
      <c r="J1893">
        <v>0</v>
      </c>
      <c r="K1893">
        <v>9</v>
      </c>
    </row>
    <row r="1894" spans="1:11" x14ac:dyDescent="0.2">
      <c r="A1894" t="s">
        <v>4535</v>
      </c>
      <c r="B1894" t="s">
        <v>4536</v>
      </c>
      <c r="C1894" t="s">
        <v>4518</v>
      </c>
      <c r="D1894" t="s">
        <v>105</v>
      </c>
      <c r="E1894">
        <v>69.989999999999995</v>
      </c>
      <c r="F1894">
        <v>0</v>
      </c>
      <c r="G1894">
        <v>1651</v>
      </c>
      <c r="H1894" t="s">
        <v>5085</v>
      </c>
      <c r="I1894">
        <v>0</v>
      </c>
      <c r="J1894">
        <v>0</v>
      </c>
      <c r="K1894">
        <v>20</v>
      </c>
    </row>
    <row r="1895" spans="1:11" x14ac:dyDescent="0.2">
      <c r="A1895" t="s">
        <v>4519</v>
      </c>
      <c r="B1895" t="s">
        <v>4520</v>
      </c>
      <c r="C1895" t="s">
        <v>4518</v>
      </c>
      <c r="D1895" t="s">
        <v>105</v>
      </c>
      <c r="E1895">
        <v>89.99</v>
      </c>
      <c r="F1895">
        <v>179.98</v>
      </c>
      <c r="G1895">
        <v>253</v>
      </c>
      <c r="H1895" t="s">
        <v>5085</v>
      </c>
      <c r="I1895">
        <v>0</v>
      </c>
      <c r="J1895">
        <v>0</v>
      </c>
      <c r="K1895">
        <v>3</v>
      </c>
    </row>
    <row r="1896" spans="1:11" x14ac:dyDescent="0.2">
      <c r="A1896" t="s">
        <v>3992</v>
      </c>
      <c r="B1896" t="s">
        <v>3993</v>
      </c>
      <c r="C1896" t="s">
        <v>3929</v>
      </c>
      <c r="D1896" t="s">
        <v>105</v>
      </c>
      <c r="E1896">
        <v>84.99</v>
      </c>
      <c r="F1896">
        <v>0</v>
      </c>
      <c r="G1896">
        <v>10</v>
      </c>
      <c r="H1896" t="s">
        <v>5085</v>
      </c>
      <c r="I1896">
        <v>0</v>
      </c>
      <c r="J1896">
        <v>0</v>
      </c>
      <c r="K1896">
        <v>2</v>
      </c>
    </row>
    <row r="1897" spans="1:11" x14ac:dyDescent="0.2">
      <c r="A1897" t="s">
        <v>3994</v>
      </c>
      <c r="B1897" t="s">
        <v>5195</v>
      </c>
      <c r="C1897" t="s">
        <v>3929</v>
      </c>
      <c r="D1897" t="s">
        <v>105</v>
      </c>
      <c r="E1897">
        <v>79.989999999999995</v>
      </c>
      <c r="F1897">
        <v>0</v>
      </c>
      <c r="H1897" t="s">
        <v>5085</v>
      </c>
      <c r="I1897">
        <v>0</v>
      </c>
      <c r="J1897">
        <v>0</v>
      </c>
      <c r="K1897">
        <v>0</v>
      </c>
    </row>
    <row r="1898" spans="1:11" x14ac:dyDescent="0.2">
      <c r="A1898" t="s">
        <v>434</v>
      </c>
      <c r="B1898" t="s">
        <v>435</v>
      </c>
      <c r="C1898" t="s">
        <v>307</v>
      </c>
      <c r="D1898" t="s">
        <v>98</v>
      </c>
      <c r="E1898">
        <v>89.99</v>
      </c>
      <c r="F1898">
        <v>0</v>
      </c>
      <c r="H1898" t="s">
        <v>5085</v>
      </c>
      <c r="I1898">
        <v>0</v>
      </c>
      <c r="J1898">
        <v>0</v>
      </c>
      <c r="K1898">
        <v>0</v>
      </c>
    </row>
    <row r="1899" spans="1:11" x14ac:dyDescent="0.2">
      <c r="A1899" t="s">
        <v>4479</v>
      </c>
      <c r="B1899" t="s">
        <v>4480</v>
      </c>
      <c r="C1899" t="s">
        <v>4437</v>
      </c>
      <c r="D1899" t="s">
        <v>98</v>
      </c>
      <c r="E1899">
        <v>69.989999999999995</v>
      </c>
      <c r="F1899">
        <v>0</v>
      </c>
      <c r="H1899" t="s">
        <v>5085</v>
      </c>
      <c r="I1899">
        <v>0</v>
      </c>
      <c r="J1899">
        <v>0</v>
      </c>
      <c r="K1899">
        <v>0</v>
      </c>
    </row>
    <row r="1900" spans="1:11" x14ac:dyDescent="0.2">
      <c r="A1900" t="s">
        <v>108</v>
      </c>
      <c r="B1900" t="s">
        <v>109</v>
      </c>
      <c r="C1900" t="s">
        <v>95</v>
      </c>
      <c r="D1900" t="s">
        <v>98</v>
      </c>
      <c r="E1900">
        <v>39.99</v>
      </c>
      <c r="F1900">
        <v>0</v>
      </c>
      <c r="H1900" t="s">
        <v>5085</v>
      </c>
      <c r="I1900">
        <v>0</v>
      </c>
      <c r="J1900">
        <v>0</v>
      </c>
      <c r="K1900">
        <v>0</v>
      </c>
    </row>
    <row r="1901" spans="1:11" x14ac:dyDescent="0.2">
      <c r="A1901" t="s">
        <v>754</v>
      </c>
      <c r="B1901" t="s">
        <v>755</v>
      </c>
      <c r="C1901" t="s">
        <v>582</v>
      </c>
      <c r="D1901" t="s">
        <v>98</v>
      </c>
      <c r="E1901">
        <v>44.99</v>
      </c>
      <c r="F1901">
        <v>0</v>
      </c>
      <c r="H1901" t="s">
        <v>5085</v>
      </c>
      <c r="I1901">
        <v>0</v>
      </c>
      <c r="J1901">
        <v>0</v>
      </c>
      <c r="K1901">
        <v>0</v>
      </c>
    </row>
    <row r="1902" spans="1:11" x14ac:dyDescent="0.2">
      <c r="A1902" t="s">
        <v>5359</v>
      </c>
      <c r="B1902" t="s">
        <v>5360</v>
      </c>
      <c r="C1902" t="s">
        <v>2415</v>
      </c>
      <c r="D1902" t="s">
        <v>98</v>
      </c>
      <c r="E1902">
        <v>499.99</v>
      </c>
      <c r="F1902">
        <v>0</v>
      </c>
      <c r="H1902" t="s">
        <v>5085</v>
      </c>
      <c r="I1902">
        <v>0</v>
      </c>
      <c r="J1902">
        <v>0</v>
      </c>
      <c r="K1902">
        <v>0</v>
      </c>
    </row>
    <row r="1903" spans="1:11" x14ac:dyDescent="0.2">
      <c r="A1903" t="s">
        <v>632</v>
      </c>
      <c r="B1903" t="s">
        <v>633</v>
      </c>
      <c r="C1903" t="s">
        <v>582</v>
      </c>
      <c r="D1903" t="s">
        <v>138</v>
      </c>
      <c r="E1903">
        <v>159.99</v>
      </c>
      <c r="F1903">
        <v>0</v>
      </c>
      <c r="H1903" t="s">
        <v>5085</v>
      </c>
      <c r="I1903">
        <v>0</v>
      </c>
      <c r="J1903">
        <v>0</v>
      </c>
      <c r="K1903">
        <v>0</v>
      </c>
    </row>
    <row r="1904" spans="1:11" x14ac:dyDescent="0.2">
      <c r="A1904" t="s">
        <v>2420</v>
      </c>
      <c r="B1904" t="s">
        <v>2421</v>
      </c>
      <c r="C1904" t="s">
        <v>2415</v>
      </c>
      <c r="D1904" t="s">
        <v>98</v>
      </c>
      <c r="E1904">
        <v>189.99</v>
      </c>
      <c r="F1904">
        <v>0</v>
      </c>
      <c r="H1904" t="s">
        <v>5085</v>
      </c>
      <c r="I1904">
        <v>0</v>
      </c>
      <c r="J1904">
        <v>0</v>
      </c>
      <c r="K1904">
        <v>0</v>
      </c>
    </row>
    <row r="1905" spans="1:11" x14ac:dyDescent="0.2">
      <c r="A1905" t="s">
        <v>366</v>
      </c>
      <c r="B1905" t="s">
        <v>367</v>
      </c>
      <c r="C1905" t="s">
        <v>307</v>
      </c>
      <c r="D1905" t="s">
        <v>98</v>
      </c>
      <c r="E1905">
        <v>799.99</v>
      </c>
      <c r="F1905">
        <v>0</v>
      </c>
      <c r="H1905" t="s">
        <v>5085</v>
      </c>
      <c r="I1905">
        <v>0</v>
      </c>
      <c r="J1905">
        <v>0</v>
      </c>
      <c r="K1905">
        <v>0</v>
      </c>
    </row>
    <row r="1906" spans="1:11" x14ac:dyDescent="0.2">
      <c r="A1906" t="s">
        <v>3392</v>
      </c>
      <c r="B1906" t="s">
        <v>3393</v>
      </c>
      <c r="C1906" t="s">
        <v>3349</v>
      </c>
      <c r="D1906" t="s">
        <v>105</v>
      </c>
      <c r="E1906">
        <v>139.99</v>
      </c>
      <c r="F1906">
        <v>0</v>
      </c>
      <c r="G1906">
        <v>33</v>
      </c>
      <c r="H1906" t="s">
        <v>5085</v>
      </c>
      <c r="I1906">
        <v>0</v>
      </c>
      <c r="J1906">
        <v>0</v>
      </c>
      <c r="K1906">
        <v>0</v>
      </c>
    </row>
    <row r="1907" spans="1:11" x14ac:dyDescent="0.2">
      <c r="A1907" t="s">
        <v>3170</v>
      </c>
      <c r="B1907" t="s">
        <v>3171</v>
      </c>
      <c r="C1907" t="s">
        <v>3133</v>
      </c>
      <c r="D1907" t="s">
        <v>98</v>
      </c>
      <c r="E1907">
        <v>179.99</v>
      </c>
      <c r="F1907">
        <v>0</v>
      </c>
      <c r="H1907" t="s">
        <v>5085</v>
      </c>
      <c r="I1907">
        <v>0</v>
      </c>
      <c r="J1907">
        <v>0</v>
      </c>
      <c r="K1907">
        <v>0</v>
      </c>
    </row>
    <row r="1908" spans="1:11" x14ac:dyDescent="0.2">
      <c r="A1908" t="s">
        <v>5371</v>
      </c>
      <c r="B1908" t="s">
        <v>5372</v>
      </c>
      <c r="C1908" t="s">
        <v>2415</v>
      </c>
      <c r="D1908" t="s">
        <v>98</v>
      </c>
      <c r="E1908">
        <v>119.99</v>
      </c>
      <c r="F1908">
        <v>0</v>
      </c>
      <c r="H1908" t="s">
        <v>5085</v>
      </c>
      <c r="I1908">
        <v>0</v>
      </c>
      <c r="J1908">
        <v>0</v>
      </c>
      <c r="K1908">
        <v>0</v>
      </c>
    </row>
    <row r="1909" spans="1:11" x14ac:dyDescent="0.2">
      <c r="A1909" t="s">
        <v>352</v>
      </c>
      <c r="B1909" t="s">
        <v>353</v>
      </c>
      <c r="C1909" t="s">
        <v>307</v>
      </c>
      <c r="D1909" t="s">
        <v>98</v>
      </c>
      <c r="E1909">
        <v>1899.99</v>
      </c>
      <c r="F1909">
        <v>0</v>
      </c>
      <c r="H1909" t="s">
        <v>5085</v>
      </c>
      <c r="I1909">
        <v>0</v>
      </c>
      <c r="J1909">
        <v>0</v>
      </c>
      <c r="K1909">
        <v>0</v>
      </c>
    </row>
    <row r="1910" spans="1:11" x14ac:dyDescent="0.2">
      <c r="A1910" t="s">
        <v>3394</v>
      </c>
      <c r="B1910" t="s">
        <v>3395</v>
      </c>
      <c r="C1910" t="s">
        <v>3349</v>
      </c>
      <c r="D1910" t="s">
        <v>105</v>
      </c>
      <c r="E1910">
        <v>399.99</v>
      </c>
      <c r="F1910">
        <v>0</v>
      </c>
      <c r="G1910">
        <v>34</v>
      </c>
      <c r="H1910" t="s">
        <v>5085</v>
      </c>
      <c r="I1910">
        <v>0</v>
      </c>
      <c r="J1910">
        <v>0</v>
      </c>
      <c r="K1910">
        <v>0</v>
      </c>
    </row>
    <row r="1911" spans="1:11" x14ac:dyDescent="0.2">
      <c r="A1911" t="s">
        <v>319</v>
      </c>
      <c r="B1911" t="s">
        <v>320</v>
      </c>
      <c r="C1911" t="s">
        <v>307</v>
      </c>
      <c r="D1911" t="s">
        <v>98</v>
      </c>
      <c r="E1911">
        <v>649.99</v>
      </c>
      <c r="F1911">
        <v>0</v>
      </c>
      <c r="H1911" t="s">
        <v>5085</v>
      </c>
      <c r="I1911">
        <v>0</v>
      </c>
      <c r="J1911">
        <v>0</v>
      </c>
      <c r="K1911">
        <v>0</v>
      </c>
    </row>
    <row r="1912" spans="1:11" x14ac:dyDescent="0.2">
      <c r="A1912" t="s">
        <v>364</v>
      </c>
      <c r="B1912" t="s">
        <v>365</v>
      </c>
      <c r="C1912" t="s">
        <v>307</v>
      </c>
      <c r="D1912" t="s">
        <v>98</v>
      </c>
      <c r="E1912">
        <v>1199.99</v>
      </c>
      <c r="F1912">
        <v>0</v>
      </c>
      <c r="H1912" t="s">
        <v>5085</v>
      </c>
      <c r="I1912">
        <v>0</v>
      </c>
      <c r="J1912">
        <v>0</v>
      </c>
      <c r="K1912">
        <v>0</v>
      </c>
    </row>
    <row r="1913" spans="1:11" x14ac:dyDescent="0.2">
      <c r="A1913" t="s">
        <v>3400</v>
      </c>
      <c r="B1913" t="s">
        <v>3401</v>
      </c>
      <c r="C1913" t="s">
        <v>3349</v>
      </c>
      <c r="D1913" t="s">
        <v>105</v>
      </c>
      <c r="E1913">
        <v>64.989999999999995</v>
      </c>
      <c r="F1913">
        <v>0</v>
      </c>
      <c r="H1913" t="s">
        <v>5085</v>
      </c>
      <c r="I1913">
        <v>0</v>
      </c>
      <c r="J1913">
        <v>0</v>
      </c>
      <c r="K1913">
        <v>0</v>
      </c>
    </row>
    <row r="1914" spans="1:11" x14ac:dyDescent="0.2">
      <c r="A1914" t="s">
        <v>3402</v>
      </c>
      <c r="B1914" t="s">
        <v>3403</v>
      </c>
      <c r="C1914" t="s">
        <v>3349</v>
      </c>
      <c r="D1914" t="s">
        <v>105</v>
      </c>
      <c r="E1914">
        <v>109.99</v>
      </c>
      <c r="F1914">
        <v>0</v>
      </c>
      <c r="G1914">
        <v>7</v>
      </c>
      <c r="H1914" t="s">
        <v>5085</v>
      </c>
      <c r="I1914">
        <v>0</v>
      </c>
      <c r="J1914">
        <v>0</v>
      </c>
      <c r="K1914">
        <v>4</v>
      </c>
    </row>
    <row r="1915" spans="1:11" x14ac:dyDescent="0.2">
      <c r="A1915" t="s">
        <v>5363</v>
      </c>
      <c r="B1915" t="s">
        <v>5364</v>
      </c>
      <c r="C1915" t="s">
        <v>2415</v>
      </c>
      <c r="D1915" t="s">
        <v>98</v>
      </c>
      <c r="E1915">
        <v>149.99</v>
      </c>
      <c r="F1915">
        <v>0</v>
      </c>
      <c r="H1915" t="s">
        <v>5085</v>
      </c>
      <c r="I1915">
        <v>0</v>
      </c>
      <c r="J1915">
        <v>0</v>
      </c>
      <c r="K1915">
        <v>0</v>
      </c>
    </row>
    <row r="1916" spans="1:11" x14ac:dyDescent="0.2">
      <c r="A1916" t="s">
        <v>3168</v>
      </c>
      <c r="B1916" t="s">
        <v>3169</v>
      </c>
      <c r="C1916" t="s">
        <v>3133</v>
      </c>
      <c r="D1916" t="s">
        <v>98</v>
      </c>
      <c r="E1916">
        <v>74.989999999999995</v>
      </c>
      <c r="F1916">
        <v>0</v>
      </c>
      <c r="H1916" t="s">
        <v>5085</v>
      </c>
      <c r="I1916">
        <v>0</v>
      </c>
      <c r="J1916">
        <v>0</v>
      </c>
      <c r="K1916">
        <v>0</v>
      </c>
    </row>
    <row r="1917" spans="1:11" x14ac:dyDescent="0.2">
      <c r="A1917" t="s">
        <v>638</v>
      </c>
      <c r="B1917" t="s">
        <v>639</v>
      </c>
      <c r="C1917" t="s">
        <v>582</v>
      </c>
      <c r="D1917" t="s">
        <v>98</v>
      </c>
      <c r="E1917">
        <v>199.99</v>
      </c>
      <c r="F1917">
        <v>0</v>
      </c>
      <c r="H1917" t="s">
        <v>5085</v>
      </c>
      <c r="I1917">
        <v>0</v>
      </c>
      <c r="J1917">
        <v>0</v>
      </c>
      <c r="K1917">
        <v>2</v>
      </c>
    </row>
    <row r="1918" spans="1:11" x14ac:dyDescent="0.2">
      <c r="A1918" t="s">
        <v>605</v>
      </c>
      <c r="B1918" t="s">
        <v>606</v>
      </c>
      <c r="C1918" t="s">
        <v>582</v>
      </c>
      <c r="D1918" t="s">
        <v>105</v>
      </c>
      <c r="E1918">
        <v>199.99</v>
      </c>
      <c r="F1918">
        <v>0</v>
      </c>
      <c r="G1918">
        <v>16</v>
      </c>
      <c r="H1918" t="s">
        <v>5085</v>
      </c>
      <c r="I1918">
        <v>0</v>
      </c>
      <c r="J1918">
        <v>0</v>
      </c>
      <c r="K1918">
        <v>1</v>
      </c>
    </row>
    <row r="1919" spans="1:11" x14ac:dyDescent="0.2">
      <c r="A1919" t="s">
        <v>2418</v>
      </c>
      <c r="B1919" t="s">
        <v>2419</v>
      </c>
      <c r="C1919" t="s">
        <v>2415</v>
      </c>
      <c r="D1919" t="s">
        <v>98</v>
      </c>
      <c r="E1919">
        <v>349.99</v>
      </c>
      <c r="F1919">
        <v>0</v>
      </c>
      <c r="H1919" t="s">
        <v>5085</v>
      </c>
      <c r="I1919">
        <v>0</v>
      </c>
      <c r="J1919">
        <v>0</v>
      </c>
      <c r="K1919">
        <v>0</v>
      </c>
    </row>
    <row r="1920" spans="1:11" x14ac:dyDescent="0.2">
      <c r="A1920" t="s">
        <v>352</v>
      </c>
      <c r="B1920" t="s">
        <v>353</v>
      </c>
      <c r="C1920" t="s">
        <v>307</v>
      </c>
      <c r="D1920" t="s">
        <v>98</v>
      </c>
      <c r="E1920">
        <v>1899.99</v>
      </c>
      <c r="F1920">
        <v>0</v>
      </c>
      <c r="H1920" t="s">
        <v>5085</v>
      </c>
      <c r="I1920">
        <v>0</v>
      </c>
      <c r="J1920">
        <v>0</v>
      </c>
      <c r="K1920">
        <v>0</v>
      </c>
    </row>
    <row r="1921" spans="1:11" x14ac:dyDescent="0.2">
      <c r="A1921" t="s">
        <v>694</v>
      </c>
      <c r="B1921" t="s">
        <v>695</v>
      </c>
      <c r="C1921" t="s">
        <v>582</v>
      </c>
      <c r="D1921" t="s">
        <v>105</v>
      </c>
      <c r="E1921">
        <v>44.99</v>
      </c>
      <c r="F1921">
        <v>0</v>
      </c>
      <c r="G1921">
        <v>258</v>
      </c>
      <c r="H1921" t="s">
        <v>5085</v>
      </c>
      <c r="I1921">
        <v>0</v>
      </c>
      <c r="J1921">
        <v>0</v>
      </c>
      <c r="K1921">
        <v>2</v>
      </c>
    </row>
    <row r="1922" spans="1:11" x14ac:dyDescent="0.2">
      <c r="A1922" t="s">
        <v>3358</v>
      </c>
      <c r="B1922" t="s">
        <v>3359</v>
      </c>
      <c r="C1922" t="s">
        <v>3349</v>
      </c>
      <c r="D1922" t="s">
        <v>105</v>
      </c>
      <c r="E1922">
        <v>339.99</v>
      </c>
      <c r="F1922">
        <v>0</v>
      </c>
      <c r="G1922">
        <v>51</v>
      </c>
      <c r="H1922" t="s">
        <v>5085</v>
      </c>
      <c r="I1922">
        <v>0</v>
      </c>
      <c r="J1922">
        <v>0</v>
      </c>
      <c r="K1922">
        <v>1</v>
      </c>
    </row>
    <row r="1923" spans="1:11" x14ac:dyDescent="0.2">
      <c r="A1923" t="s">
        <v>3178</v>
      </c>
      <c r="B1923" t="s">
        <v>3179</v>
      </c>
      <c r="C1923" t="s">
        <v>3133</v>
      </c>
      <c r="D1923" t="s">
        <v>98</v>
      </c>
      <c r="E1923">
        <v>229.99</v>
      </c>
      <c r="F1923">
        <v>0</v>
      </c>
      <c r="H1923" t="s">
        <v>5085</v>
      </c>
      <c r="I1923">
        <v>0</v>
      </c>
      <c r="J1923">
        <v>0</v>
      </c>
      <c r="K1923">
        <v>0</v>
      </c>
    </row>
    <row r="1924" spans="1:11" x14ac:dyDescent="0.2">
      <c r="A1924" t="s">
        <v>3360</v>
      </c>
      <c r="B1924" t="s">
        <v>3361</v>
      </c>
      <c r="C1924" t="s">
        <v>3349</v>
      </c>
      <c r="D1924" t="s">
        <v>105</v>
      </c>
      <c r="E1924">
        <v>479.99</v>
      </c>
      <c r="F1924">
        <v>479.99</v>
      </c>
      <c r="H1924" t="s">
        <v>5085</v>
      </c>
      <c r="I1924">
        <v>0</v>
      </c>
      <c r="J1924">
        <v>0</v>
      </c>
      <c r="K1924">
        <v>1</v>
      </c>
    </row>
    <row r="1925" spans="1:11" x14ac:dyDescent="0.2">
      <c r="A1925" t="s">
        <v>722</v>
      </c>
      <c r="B1925" t="s">
        <v>723</v>
      </c>
      <c r="C1925" t="s">
        <v>582</v>
      </c>
      <c r="D1925" t="s">
        <v>105</v>
      </c>
      <c r="E1925">
        <v>59.99</v>
      </c>
      <c r="F1925">
        <v>0</v>
      </c>
      <c r="G1925">
        <v>38</v>
      </c>
      <c r="H1925" t="s">
        <v>5085</v>
      </c>
      <c r="I1925">
        <v>0</v>
      </c>
      <c r="J1925">
        <v>0</v>
      </c>
      <c r="K1925">
        <v>2</v>
      </c>
    </row>
    <row r="1926" spans="1:11" x14ac:dyDescent="0.2">
      <c r="A1926" t="s">
        <v>3362</v>
      </c>
      <c r="B1926" t="s">
        <v>3363</v>
      </c>
      <c r="C1926" t="s">
        <v>3349</v>
      </c>
      <c r="D1926" t="s">
        <v>105</v>
      </c>
      <c r="E1926">
        <v>89.99</v>
      </c>
      <c r="F1926">
        <v>0</v>
      </c>
      <c r="G1926">
        <v>6</v>
      </c>
      <c r="H1926" t="s">
        <v>5085</v>
      </c>
      <c r="I1926">
        <v>0</v>
      </c>
      <c r="J1926">
        <v>0</v>
      </c>
      <c r="K1926">
        <v>3</v>
      </c>
    </row>
    <row r="1927" spans="1:11" x14ac:dyDescent="0.2">
      <c r="A1927" t="s">
        <v>3372</v>
      </c>
      <c r="B1927" t="s">
        <v>3373</v>
      </c>
      <c r="C1927" t="s">
        <v>3349</v>
      </c>
      <c r="D1927" t="s">
        <v>105</v>
      </c>
      <c r="E1927">
        <v>99.99</v>
      </c>
      <c r="F1927">
        <v>0</v>
      </c>
      <c r="H1927" t="s">
        <v>5085</v>
      </c>
      <c r="I1927">
        <v>0</v>
      </c>
      <c r="J1927">
        <v>0</v>
      </c>
      <c r="K1927">
        <v>1</v>
      </c>
    </row>
    <row r="1928" spans="1:11" x14ac:dyDescent="0.2">
      <c r="A1928" t="s">
        <v>3176</v>
      </c>
      <c r="B1928" t="s">
        <v>3177</v>
      </c>
      <c r="C1928" t="s">
        <v>3133</v>
      </c>
      <c r="D1928" t="s">
        <v>98</v>
      </c>
      <c r="E1928">
        <v>99.99</v>
      </c>
      <c r="F1928">
        <v>0</v>
      </c>
      <c r="H1928" t="s">
        <v>5085</v>
      </c>
      <c r="I1928">
        <v>0</v>
      </c>
      <c r="J1928">
        <v>0</v>
      </c>
      <c r="K1928">
        <v>0</v>
      </c>
    </row>
    <row r="1929" spans="1:11" x14ac:dyDescent="0.2">
      <c r="A1929" t="s">
        <v>318</v>
      </c>
      <c r="B1929" t="s">
        <v>317</v>
      </c>
      <c r="C1929" t="s">
        <v>307</v>
      </c>
      <c r="D1929" t="s">
        <v>98</v>
      </c>
      <c r="E1929">
        <v>499.99</v>
      </c>
      <c r="F1929">
        <v>0</v>
      </c>
      <c r="H1929" t="s">
        <v>5085</v>
      </c>
      <c r="I1929">
        <v>0</v>
      </c>
      <c r="J1929">
        <v>0</v>
      </c>
      <c r="K1929">
        <v>0</v>
      </c>
    </row>
    <row r="1930" spans="1:11" x14ac:dyDescent="0.2">
      <c r="A1930" t="s">
        <v>730</v>
      </c>
      <c r="B1930" t="s">
        <v>731</v>
      </c>
      <c r="C1930" t="s">
        <v>582</v>
      </c>
      <c r="D1930" t="s">
        <v>105</v>
      </c>
      <c r="E1930">
        <v>59.99</v>
      </c>
      <c r="F1930">
        <v>59.99</v>
      </c>
      <c r="G1930">
        <v>103</v>
      </c>
      <c r="H1930" t="s">
        <v>5085</v>
      </c>
      <c r="I1930">
        <v>0</v>
      </c>
      <c r="J1930">
        <v>0</v>
      </c>
      <c r="K1930">
        <v>2</v>
      </c>
    </row>
    <row r="1931" spans="1:11" x14ac:dyDescent="0.2">
      <c r="A1931" t="s">
        <v>3366</v>
      </c>
      <c r="B1931" t="s">
        <v>3367</v>
      </c>
      <c r="C1931" t="s">
        <v>3349</v>
      </c>
      <c r="D1931" t="s">
        <v>105</v>
      </c>
      <c r="E1931">
        <v>99.99</v>
      </c>
      <c r="F1931">
        <v>0</v>
      </c>
      <c r="H1931" t="s">
        <v>5085</v>
      </c>
      <c r="I1931">
        <v>0</v>
      </c>
      <c r="J1931">
        <v>0</v>
      </c>
      <c r="K1931">
        <v>0</v>
      </c>
    </row>
    <row r="1932" spans="1:11" x14ac:dyDescent="0.2">
      <c r="A1932" t="s">
        <v>3368</v>
      </c>
      <c r="B1932" t="s">
        <v>3369</v>
      </c>
      <c r="C1932" t="s">
        <v>3349</v>
      </c>
      <c r="D1932" t="s">
        <v>105</v>
      </c>
      <c r="E1932">
        <v>99.99</v>
      </c>
      <c r="F1932">
        <v>99.99</v>
      </c>
      <c r="H1932" t="s">
        <v>5085</v>
      </c>
      <c r="I1932">
        <v>0</v>
      </c>
      <c r="J1932">
        <v>0</v>
      </c>
      <c r="K1932">
        <v>2</v>
      </c>
    </row>
    <row r="1933" spans="1:11" x14ac:dyDescent="0.2">
      <c r="A1933" t="s">
        <v>5353</v>
      </c>
      <c r="B1933" t="s">
        <v>5354</v>
      </c>
      <c r="C1933" t="s">
        <v>2415</v>
      </c>
      <c r="D1933" t="s">
        <v>98</v>
      </c>
      <c r="E1933">
        <v>159.99</v>
      </c>
      <c r="F1933">
        <v>0</v>
      </c>
      <c r="H1933" t="s">
        <v>5085</v>
      </c>
      <c r="I1933">
        <v>0</v>
      </c>
      <c r="J1933">
        <v>0</v>
      </c>
      <c r="K1933">
        <v>0</v>
      </c>
    </row>
    <row r="1934" spans="1:11" x14ac:dyDescent="0.2">
      <c r="A1934" t="s">
        <v>5610</v>
      </c>
      <c r="B1934" t="s">
        <v>5611</v>
      </c>
      <c r="C1934" t="s">
        <v>582</v>
      </c>
      <c r="D1934" t="s">
        <v>98</v>
      </c>
      <c r="E1934">
        <v>59.99</v>
      </c>
      <c r="F1934">
        <v>0</v>
      </c>
      <c r="H1934" t="s">
        <v>5085</v>
      </c>
      <c r="I1934">
        <v>0</v>
      </c>
      <c r="J1934">
        <v>0</v>
      </c>
      <c r="K1934">
        <v>0</v>
      </c>
    </row>
    <row r="1935" spans="1:11" x14ac:dyDescent="0.2">
      <c r="A1935" t="s">
        <v>3364</v>
      </c>
      <c r="B1935" t="s">
        <v>3365</v>
      </c>
      <c r="C1935" t="s">
        <v>3349</v>
      </c>
      <c r="D1935" t="s">
        <v>105</v>
      </c>
      <c r="E1935">
        <v>59.99</v>
      </c>
      <c r="F1935">
        <v>0</v>
      </c>
      <c r="H1935" t="s">
        <v>5085</v>
      </c>
      <c r="I1935">
        <v>0</v>
      </c>
      <c r="J1935">
        <v>0</v>
      </c>
      <c r="K1935">
        <v>3</v>
      </c>
    </row>
    <row r="1936" spans="1:11" x14ac:dyDescent="0.2">
      <c r="A1936" t="s">
        <v>3406</v>
      </c>
      <c r="B1936" t="s">
        <v>3407</v>
      </c>
      <c r="C1936" t="s">
        <v>3349</v>
      </c>
      <c r="D1936" t="s">
        <v>138</v>
      </c>
      <c r="E1936">
        <v>34.99</v>
      </c>
      <c r="F1936">
        <v>0</v>
      </c>
      <c r="H1936" t="s">
        <v>5085</v>
      </c>
      <c r="I1936">
        <v>0</v>
      </c>
      <c r="J1936">
        <v>0</v>
      </c>
      <c r="K1936">
        <v>0</v>
      </c>
    </row>
    <row r="1937" spans="1:11" x14ac:dyDescent="0.2">
      <c r="A1937" t="s">
        <v>5361</v>
      </c>
      <c r="B1937" t="s">
        <v>5362</v>
      </c>
      <c r="C1937" t="s">
        <v>2174</v>
      </c>
      <c r="D1937" t="s">
        <v>138</v>
      </c>
      <c r="E1937">
        <v>89.99</v>
      </c>
      <c r="F1937">
        <v>0</v>
      </c>
      <c r="H1937" t="s">
        <v>5085</v>
      </c>
      <c r="I1937">
        <v>0</v>
      </c>
      <c r="J1937">
        <v>0</v>
      </c>
      <c r="K1937">
        <v>0</v>
      </c>
    </row>
    <row r="1938" spans="1:11" x14ac:dyDescent="0.2">
      <c r="A1938" t="s">
        <v>3410</v>
      </c>
      <c r="B1938" t="s">
        <v>3411</v>
      </c>
      <c r="C1938" t="s">
        <v>3349</v>
      </c>
      <c r="D1938" t="s">
        <v>138</v>
      </c>
      <c r="E1938">
        <v>99.99</v>
      </c>
      <c r="F1938">
        <v>0</v>
      </c>
      <c r="H1938" t="s">
        <v>5085</v>
      </c>
      <c r="I1938">
        <v>0</v>
      </c>
      <c r="J1938">
        <v>0</v>
      </c>
      <c r="K1938">
        <v>0</v>
      </c>
    </row>
    <row r="1939" spans="1:11" x14ac:dyDescent="0.2">
      <c r="A1939" t="s">
        <v>3428</v>
      </c>
      <c r="B1939" t="s">
        <v>3429</v>
      </c>
      <c r="C1939" t="s">
        <v>3349</v>
      </c>
      <c r="D1939" t="s">
        <v>138</v>
      </c>
      <c r="E1939">
        <v>49.99</v>
      </c>
      <c r="F1939">
        <v>0</v>
      </c>
      <c r="H1939" t="s">
        <v>5085</v>
      </c>
      <c r="I1939">
        <v>0</v>
      </c>
      <c r="J1939">
        <v>0</v>
      </c>
      <c r="K1939">
        <v>0</v>
      </c>
    </row>
    <row r="1940" spans="1:11" x14ac:dyDescent="0.2">
      <c r="A1940" t="s">
        <v>295</v>
      </c>
      <c r="B1940" t="s">
        <v>296</v>
      </c>
      <c r="C1940" t="s">
        <v>288</v>
      </c>
      <c r="D1940" t="s">
        <v>98</v>
      </c>
      <c r="E1940">
        <v>199.99</v>
      </c>
      <c r="F1940">
        <v>0</v>
      </c>
      <c r="H1940" t="s">
        <v>5085</v>
      </c>
      <c r="I1940">
        <v>0</v>
      </c>
      <c r="J1940">
        <v>0</v>
      </c>
      <c r="K1940">
        <v>0</v>
      </c>
    </row>
    <row r="1941" spans="1:11" x14ac:dyDescent="0.2">
      <c r="A1941" t="s">
        <v>3160</v>
      </c>
      <c r="B1941" t="s">
        <v>3161</v>
      </c>
      <c r="C1941" t="s">
        <v>3133</v>
      </c>
      <c r="D1941" t="s">
        <v>98</v>
      </c>
      <c r="E1941">
        <v>217.99</v>
      </c>
      <c r="F1941">
        <v>0</v>
      </c>
      <c r="H1941" t="s">
        <v>5085</v>
      </c>
      <c r="I1941">
        <v>0</v>
      </c>
      <c r="J1941">
        <v>0</v>
      </c>
      <c r="K1941">
        <v>0</v>
      </c>
    </row>
    <row r="1942" spans="1:11" x14ac:dyDescent="0.2">
      <c r="A1942" t="s">
        <v>696</v>
      </c>
      <c r="B1942" t="s">
        <v>5089</v>
      </c>
      <c r="C1942" t="s">
        <v>582</v>
      </c>
      <c r="D1942" t="s">
        <v>105</v>
      </c>
      <c r="E1942">
        <v>44.99</v>
      </c>
      <c r="F1942">
        <v>0</v>
      </c>
      <c r="G1942">
        <v>19</v>
      </c>
      <c r="H1942" t="s">
        <v>5085</v>
      </c>
      <c r="I1942">
        <v>0</v>
      </c>
      <c r="J1942">
        <v>0</v>
      </c>
      <c r="K1942">
        <v>2</v>
      </c>
    </row>
    <row r="1943" spans="1:11" x14ac:dyDescent="0.2">
      <c r="A1943" t="s">
        <v>2183</v>
      </c>
      <c r="B1943" t="s">
        <v>2184</v>
      </c>
      <c r="C1943" t="s">
        <v>2174</v>
      </c>
      <c r="D1943" t="s">
        <v>98</v>
      </c>
      <c r="E1943">
        <v>69.989999999999995</v>
      </c>
      <c r="F1943">
        <v>0</v>
      </c>
      <c r="H1943" t="s">
        <v>5085</v>
      </c>
      <c r="I1943">
        <v>0</v>
      </c>
      <c r="J1943">
        <v>0</v>
      </c>
      <c r="K1943">
        <v>0</v>
      </c>
    </row>
    <row r="1944" spans="1:11" x14ac:dyDescent="0.2">
      <c r="A1944" t="s">
        <v>646</v>
      </c>
      <c r="B1944" t="s">
        <v>5071</v>
      </c>
      <c r="C1944" t="s">
        <v>582</v>
      </c>
      <c r="D1944" t="s">
        <v>105</v>
      </c>
      <c r="E1944">
        <v>69.989999999999995</v>
      </c>
      <c r="F1944">
        <v>0</v>
      </c>
      <c r="G1944">
        <v>110</v>
      </c>
      <c r="H1944" t="s">
        <v>5085</v>
      </c>
      <c r="I1944">
        <v>0</v>
      </c>
      <c r="J1944">
        <v>0</v>
      </c>
      <c r="K1944">
        <v>2</v>
      </c>
    </row>
    <row r="1945" spans="1:11" x14ac:dyDescent="0.2">
      <c r="A1945" t="s">
        <v>3430</v>
      </c>
      <c r="B1945" t="s">
        <v>3431</v>
      </c>
      <c r="C1945" t="s">
        <v>3349</v>
      </c>
      <c r="D1945" t="s">
        <v>138</v>
      </c>
      <c r="E1945">
        <v>49.99</v>
      </c>
      <c r="F1945">
        <v>0</v>
      </c>
      <c r="G1945">
        <v>37</v>
      </c>
      <c r="H1945" t="s">
        <v>5085</v>
      </c>
      <c r="I1945">
        <v>0</v>
      </c>
      <c r="J1945">
        <v>0</v>
      </c>
      <c r="K1945">
        <v>7</v>
      </c>
    </row>
    <row r="1946" spans="1:11" x14ac:dyDescent="0.2">
      <c r="A1946" t="s">
        <v>2205</v>
      </c>
      <c r="B1946" t="s">
        <v>2206</v>
      </c>
      <c r="C1946" t="s">
        <v>2174</v>
      </c>
      <c r="D1946" t="s">
        <v>98</v>
      </c>
      <c r="E1946">
        <v>79.989999999999995</v>
      </c>
      <c r="F1946">
        <v>0</v>
      </c>
      <c r="H1946" t="s">
        <v>5085</v>
      </c>
      <c r="I1946">
        <v>0</v>
      </c>
      <c r="J1946">
        <v>0</v>
      </c>
      <c r="K1946">
        <v>0</v>
      </c>
    </row>
    <row r="1947" spans="1:11" x14ac:dyDescent="0.2">
      <c r="A1947" t="s">
        <v>2181</v>
      </c>
      <c r="B1947" t="s">
        <v>2182</v>
      </c>
      <c r="C1947" t="s">
        <v>2174</v>
      </c>
      <c r="D1947" t="s">
        <v>98</v>
      </c>
      <c r="E1947">
        <v>44.99</v>
      </c>
      <c r="F1947">
        <v>0</v>
      </c>
      <c r="H1947" t="s">
        <v>5085</v>
      </c>
      <c r="I1947">
        <v>0</v>
      </c>
      <c r="J1947">
        <v>0</v>
      </c>
      <c r="K1947">
        <v>0</v>
      </c>
    </row>
    <row r="1948" spans="1:11" x14ac:dyDescent="0.2">
      <c r="A1948" t="s">
        <v>3432</v>
      </c>
      <c r="B1948" t="s">
        <v>3433</v>
      </c>
      <c r="C1948" t="s">
        <v>3349</v>
      </c>
      <c r="D1948" t="s">
        <v>138</v>
      </c>
      <c r="E1948">
        <v>119.99</v>
      </c>
      <c r="F1948">
        <v>0</v>
      </c>
      <c r="H1948" t="s">
        <v>5085</v>
      </c>
      <c r="I1948">
        <v>0</v>
      </c>
      <c r="J1948">
        <v>0</v>
      </c>
      <c r="K1948">
        <v>0</v>
      </c>
    </row>
    <row r="1949" spans="1:11" x14ac:dyDescent="0.2">
      <c r="A1949" t="s">
        <v>644</v>
      </c>
      <c r="B1949" t="s">
        <v>645</v>
      </c>
      <c r="C1949" t="s">
        <v>582</v>
      </c>
      <c r="D1949" t="s">
        <v>98</v>
      </c>
      <c r="E1949">
        <v>79.989999999999995</v>
      </c>
      <c r="F1949">
        <v>0</v>
      </c>
      <c r="H1949" t="s">
        <v>5085</v>
      </c>
      <c r="I1949">
        <v>0</v>
      </c>
      <c r="J1949">
        <v>0</v>
      </c>
      <c r="K1949">
        <v>0</v>
      </c>
    </row>
    <row r="1950" spans="1:11" x14ac:dyDescent="0.2">
      <c r="A1950" t="s">
        <v>329</v>
      </c>
      <c r="B1950" t="s">
        <v>328</v>
      </c>
      <c r="C1950" t="s">
        <v>307</v>
      </c>
      <c r="D1950" t="s">
        <v>105</v>
      </c>
      <c r="E1950">
        <v>1799.99</v>
      </c>
      <c r="F1950">
        <v>0</v>
      </c>
      <c r="G1950">
        <v>1</v>
      </c>
      <c r="H1950" t="s">
        <v>5085</v>
      </c>
      <c r="I1950">
        <v>0</v>
      </c>
      <c r="J1950">
        <v>0</v>
      </c>
      <c r="K1950">
        <v>0</v>
      </c>
    </row>
    <row r="1951" spans="1:11" x14ac:dyDescent="0.2">
      <c r="A1951" t="s">
        <v>5335</v>
      </c>
      <c r="B1951" t="s">
        <v>5336</v>
      </c>
      <c r="C1951" t="s">
        <v>2174</v>
      </c>
      <c r="D1951" t="s">
        <v>98</v>
      </c>
      <c r="E1951">
        <v>89.99</v>
      </c>
      <c r="F1951">
        <v>0</v>
      </c>
      <c r="H1951" t="s">
        <v>5085</v>
      </c>
      <c r="I1951">
        <v>0</v>
      </c>
      <c r="J1951">
        <v>0</v>
      </c>
      <c r="K1951">
        <v>0</v>
      </c>
    </row>
    <row r="1952" spans="1:11" x14ac:dyDescent="0.2">
      <c r="A1952" t="s">
        <v>3438</v>
      </c>
      <c r="B1952" t="s">
        <v>3439</v>
      </c>
      <c r="C1952" t="s">
        <v>3349</v>
      </c>
      <c r="D1952" t="s">
        <v>98</v>
      </c>
      <c r="E1952">
        <v>129.99</v>
      </c>
      <c r="F1952">
        <v>0</v>
      </c>
      <c r="H1952" t="s">
        <v>5085</v>
      </c>
      <c r="I1952">
        <v>0</v>
      </c>
      <c r="J1952">
        <v>0</v>
      </c>
      <c r="K1952">
        <v>0</v>
      </c>
    </row>
    <row r="1953" spans="1:11" x14ac:dyDescent="0.2">
      <c r="A1953" t="s">
        <v>714</v>
      </c>
      <c r="B1953" t="s">
        <v>715</v>
      </c>
      <c r="C1953" t="s">
        <v>582</v>
      </c>
      <c r="D1953" t="s">
        <v>98</v>
      </c>
      <c r="E1953">
        <v>49.99</v>
      </c>
      <c r="F1953">
        <v>0</v>
      </c>
      <c r="H1953" t="s">
        <v>5085</v>
      </c>
      <c r="I1953">
        <v>0</v>
      </c>
      <c r="J1953">
        <v>0</v>
      </c>
      <c r="K1953">
        <v>0</v>
      </c>
    </row>
    <row r="1954" spans="1:11" x14ac:dyDescent="0.2">
      <c r="A1954" t="s">
        <v>3444</v>
      </c>
      <c r="B1954" t="s">
        <v>3445</v>
      </c>
      <c r="C1954" t="s">
        <v>3349</v>
      </c>
      <c r="D1954" t="s">
        <v>105</v>
      </c>
      <c r="E1954">
        <v>119.99</v>
      </c>
      <c r="F1954">
        <v>0</v>
      </c>
      <c r="G1954">
        <v>15</v>
      </c>
      <c r="H1954" t="s">
        <v>5085</v>
      </c>
      <c r="I1954">
        <v>0</v>
      </c>
      <c r="J1954">
        <v>0</v>
      </c>
      <c r="K1954">
        <v>4</v>
      </c>
    </row>
    <row r="1955" spans="1:11" x14ac:dyDescent="0.2">
      <c r="A1955" t="s">
        <v>422</v>
      </c>
      <c r="B1955" t="s">
        <v>423</v>
      </c>
      <c r="C1955" t="s">
        <v>307</v>
      </c>
      <c r="D1955" t="s">
        <v>98</v>
      </c>
      <c r="E1955">
        <v>449</v>
      </c>
      <c r="F1955">
        <v>0</v>
      </c>
      <c r="H1955" t="s">
        <v>5085</v>
      </c>
      <c r="I1955">
        <v>0</v>
      </c>
      <c r="J1955">
        <v>0</v>
      </c>
      <c r="K1955">
        <v>0</v>
      </c>
    </row>
    <row r="1956" spans="1:11" x14ac:dyDescent="0.2">
      <c r="A1956" t="s">
        <v>325</v>
      </c>
      <c r="B1956" t="s">
        <v>326</v>
      </c>
      <c r="C1956" t="s">
        <v>307</v>
      </c>
      <c r="D1956" t="s">
        <v>98</v>
      </c>
      <c r="E1956">
        <v>849.99</v>
      </c>
      <c r="F1956">
        <v>0</v>
      </c>
      <c r="H1956" t="s">
        <v>5085</v>
      </c>
      <c r="I1956">
        <v>0</v>
      </c>
      <c r="J1956">
        <v>0</v>
      </c>
      <c r="K1956">
        <v>0</v>
      </c>
    </row>
    <row r="1957" spans="1:11" x14ac:dyDescent="0.2">
      <c r="A1957" t="s">
        <v>3426</v>
      </c>
      <c r="B1957" t="s">
        <v>3427</v>
      </c>
      <c r="C1957" t="s">
        <v>3349</v>
      </c>
      <c r="D1957" t="s">
        <v>98</v>
      </c>
      <c r="E1957">
        <v>129.99</v>
      </c>
      <c r="F1957">
        <v>0</v>
      </c>
      <c r="H1957" t="s">
        <v>5085</v>
      </c>
      <c r="I1957">
        <v>0</v>
      </c>
      <c r="J1957">
        <v>0</v>
      </c>
      <c r="K1957">
        <v>0</v>
      </c>
    </row>
    <row r="1958" spans="1:11" x14ac:dyDescent="0.2">
      <c r="A1958" t="s">
        <v>404</v>
      </c>
      <c r="B1958" t="s">
        <v>405</v>
      </c>
      <c r="C1958" t="s">
        <v>307</v>
      </c>
      <c r="D1958" t="s">
        <v>98</v>
      </c>
      <c r="E1958">
        <v>1699.99</v>
      </c>
      <c r="F1958">
        <v>0</v>
      </c>
      <c r="H1958" t="s">
        <v>5085</v>
      </c>
      <c r="I1958">
        <v>0</v>
      </c>
      <c r="J1958">
        <v>0</v>
      </c>
      <c r="K1958">
        <v>0</v>
      </c>
    </row>
    <row r="1959" spans="1:11" x14ac:dyDescent="0.2">
      <c r="A1959" t="s">
        <v>603</v>
      </c>
      <c r="B1959" t="s">
        <v>604</v>
      </c>
      <c r="C1959" t="s">
        <v>582</v>
      </c>
      <c r="D1959" t="s">
        <v>138</v>
      </c>
      <c r="E1959">
        <v>269.99</v>
      </c>
      <c r="F1959">
        <v>0</v>
      </c>
      <c r="G1959">
        <v>2</v>
      </c>
      <c r="H1959" t="s">
        <v>5085</v>
      </c>
      <c r="I1959">
        <v>0</v>
      </c>
      <c r="J1959">
        <v>0</v>
      </c>
      <c r="K1959">
        <v>1</v>
      </c>
    </row>
    <row r="1960" spans="1:11" x14ac:dyDescent="0.2">
      <c r="A1960" t="s">
        <v>2179</v>
      </c>
      <c r="B1960" t="s">
        <v>2180</v>
      </c>
      <c r="C1960" t="s">
        <v>2174</v>
      </c>
      <c r="D1960" t="s">
        <v>98</v>
      </c>
      <c r="E1960">
        <v>34.99</v>
      </c>
      <c r="F1960">
        <v>0</v>
      </c>
      <c r="H1960" t="s">
        <v>5085</v>
      </c>
      <c r="I1960">
        <v>0</v>
      </c>
      <c r="J1960">
        <v>0</v>
      </c>
      <c r="K1960">
        <v>0</v>
      </c>
    </row>
    <row r="1961" spans="1:11" x14ac:dyDescent="0.2">
      <c r="A1961" t="s">
        <v>3412</v>
      </c>
      <c r="B1961" t="s">
        <v>3413</v>
      </c>
      <c r="C1961" t="s">
        <v>3349</v>
      </c>
      <c r="D1961" t="s">
        <v>105</v>
      </c>
      <c r="E1961">
        <v>149.99</v>
      </c>
      <c r="F1961">
        <v>0</v>
      </c>
      <c r="H1961" t="s">
        <v>5085</v>
      </c>
      <c r="I1961">
        <v>0</v>
      </c>
      <c r="J1961">
        <v>0</v>
      </c>
      <c r="K1961">
        <v>3</v>
      </c>
    </row>
    <row r="1962" spans="1:11" x14ac:dyDescent="0.2">
      <c r="A1962" t="s">
        <v>370</v>
      </c>
      <c r="B1962" t="s">
        <v>371</v>
      </c>
      <c r="C1962" t="s">
        <v>307</v>
      </c>
      <c r="D1962" t="s">
        <v>98</v>
      </c>
      <c r="E1962">
        <v>1199.99</v>
      </c>
      <c r="F1962">
        <v>0</v>
      </c>
      <c r="H1962" t="s">
        <v>5085</v>
      </c>
      <c r="I1962">
        <v>0</v>
      </c>
      <c r="J1962">
        <v>0</v>
      </c>
      <c r="K1962">
        <v>0</v>
      </c>
    </row>
    <row r="1963" spans="1:11" x14ac:dyDescent="0.2">
      <c r="A1963" t="s">
        <v>3166</v>
      </c>
      <c r="B1963" t="s">
        <v>3167</v>
      </c>
      <c r="C1963" t="s">
        <v>3133</v>
      </c>
      <c r="D1963" t="s">
        <v>98</v>
      </c>
      <c r="E1963">
        <v>239.99</v>
      </c>
      <c r="F1963">
        <v>0</v>
      </c>
      <c r="H1963" t="s">
        <v>5085</v>
      </c>
      <c r="I1963">
        <v>0</v>
      </c>
      <c r="J1963">
        <v>0</v>
      </c>
      <c r="K1963">
        <v>0</v>
      </c>
    </row>
    <row r="1964" spans="1:11" x14ac:dyDescent="0.2">
      <c r="A1964" t="s">
        <v>3414</v>
      </c>
      <c r="B1964" t="s">
        <v>3415</v>
      </c>
      <c r="C1964" t="s">
        <v>3349</v>
      </c>
      <c r="D1964" t="s">
        <v>138</v>
      </c>
      <c r="E1964">
        <v>89.99</v>
      </c>
      <c r="F1964">
        <v>0</v>
      </c>
      <c r="H1964" t="s">
        <v>5085</v>
      </c>
      <c r="I1964">
        <v>0</v>
      </c>
      <c r="J1964">
        <v>0</v>
      </c>
      <c r="K1964">
        <v>0</v>
      </c>
    </row>
    <row r="1965" spans="1:11" x14ac:dyDescent="0.2">
      <c r="A1965" t="s">
        <v>688</v>
      </c>
      <c r="B1965" t="s">
        <v>689</v>
      </c>
      <c r="C1965" t="s">
        <v>582</v>
      </c>
      <c r="D1965" t="s">
        <v>105</v>
      </c>
      <c r="E1965">
        <v>44.99</v>
      </c>
      <c r="F1965">
        <v>0</v>
      </c>
      <c r="G1965">
        <v>68</v>
      </c>
      <c r="H1965" t="s">
        <v>5085</v>
      </c>
      <c r="I1965">
        <v>0</v>
      </c>
      <c r="J1965">
        <v>0</v>
      </c>
      <c r="K1965">
        <v>3</v>
      </c>
    </row>
    <row r="1966" spans="1:11" x14ac:dyDescent="0.2">
      <c r="A1966" t="s">
        <v>321</v>
      </c>
      <c r="B1966" t="s">
        <v>322</v>
      </c>
      <c r="C1966" t="s">
        <v>307</v>
      </c>
      <c r="D1966" t="s">
        <v>98</v>
      </c>
      <c r="E1966">
        <v>849.99</v>
      </c>
      <c r="F1966">
        <v>0</v>
      </c>
      <c r="H1966" t="s">
        <v>5085</v>
      </c>
      <c r="I1966">
        <v>0</v>
      </c>
      <c r="J1966">
        <v>0</v>
      </c>
      <c r="K1966">
        <v>0</v>
      </c>
    </row>
    <row r="1967" spans="1:11" x14ac:dyDescent="0.2">
      <c r="A1967" t="s">
        <v>2207</v>
      </c>
      <c r="B1967" t="s">
        <v>2208</v>
      </c>
      <c r="C1967" t="s">
        <v>2174</v>
      </c>
      <c r="D1967" t="s">
        <v>98</v>
      </c>
      <c r="E1967">
        <v>79.989999999999995</v>
      </c>
      <c r="F1967">
        <v>0</v>
      </c>
      <c r="H1967" t="s">
        <v>5085</v>
      </c>
      <c r="I1967">
        <v>0</v>
      </c>
      <c r="J1967">
        <v>0</v>
      </c>
      <c r="K1967">
        <v>0</v>
      </c>
    </row>
    <row r="1968" spans="1:11" x14ac:dyDescent="0.2">
      <c r="A1968" t="s">
        <v>3416</v>
      </c>
      <c r="B1968" t="s">
        <v>3417</v>
      </c>
      <c r="C1968" t="s">
        <v>3349</v>
      </c>
      <c r="D1968" t="s">
        <v>138</v>
      </c>
      <c r="E1968">
        <v>49.99</v>
      </c>
      <c r="F1968">
        <v>0</v>
      </c>
      <c r="H1968" t="s">
        <v>5085</v>
      </c>
      <c r="I1968">
        <v>0</v>
      </c>
      <c r="J1968">
        <v>0</v>
      </c>
      <c r="K1968">
        <v>0</v>
      </c>
    </row>
    <row r="1969" spans="1:11" x14ac:dyDescent="0.2">
      <c r="A1969" t="s">
        <v>684</v>
      </c>
      <c r="B1969" t="s">
        <v>685</v>
      </c>
      <c r="C1969" t="s">
        <v>582</v>
      </c>
      <c r="D1969" t="s">
        <v>105</v>
      </c>
      <c r="E1969">
        <v>59.99</v>
      </c>
      <c r="F1969">
        <v>0</v>
      </c>
      <c r="G1969">
        <v>55</v>
      </c>
      <c r="H1969" t="s">
        <v>5085</v>
      </c>
      <c r="I1969">
        <v>0</v>
      </c>
      <c r="J1969">
        <v>0</v>
      </c>
      <c r="K1969">
        <v>1</v>
      </c>
    </row>
    <row r="1970" spans="1:11" x14ac:dyDescent="0.2">
      <c r="A1970" t="s">
        <v>3418</v>
      </c>
      <c r="B1970" t="s">
        <v>3419</v>
      </c>
      <c r="C1970" t="s">
        <v>3349</v>
      </c>
      <c r="D1970" t="s">
        <v>138</v>
      </c>
      <c r="E1970">
        <v>49.99</v>
      </c>
      <c r="F1970">
        <v>0</v>
      </c>
      <c r="H1970" t="s">
        <v>5085</v>
      </c>
      <c r="I1970">
        <v>0</v>
      </c>
      <c r="J1970">
        <v>0</v>
      </c>
      <c r="K1970">
        <v>0</v>
      </c>
    </row>
    <row r="1971" spans="1:11" x14ac:dyDescent="0.2">
      <c r="A1971" t="s">
        <v>432</v>
      </c>
      <c r="B1971" t="s">
        <v>433</v>
      </c>
      <c r="C1971" t="s">
        <v>307</v>
      </c>
      <c r="D1971" t="s">
        <v>105</v>
      </c>
      <c r="E1971">
        <v>159.99</v>
      </c>
      <c r="F1971">
        <v>0</v>
      </c>
      <c r="G1971">
        <v>6</v>
      </c>
      <c r="H1971" t="s">
        <v>5085</v>
      </c>
      <c r="I1971">
        <v>0</v>
      </c>
      <c r="J1971">
        <v>0</v>
      </c>
      <c r="K1971">
        <v>0</v>
      </c>
    </row>
    <row r="1972" spans="1:11" x14ac:dyDescent="0.2">
      <c r="A1972" t="s">
        <v>2199</v>
      </c>
      <c r="B1972" t="s">
        <v>2200</v>
      </c>
      <c r="C1972" t="s">
        <v>2174</v>
      </c>
      <c r="D1972" t="s">
        <v>98</v>
      </c>
      <c r="E1972">
        <v>59.99</v>
      </c>
      <c r="F1972">
        <v>0</v>
      </c>
      <c r="H1972" t="s">
        <v>5085</v>
      </c>
      <c r="I1972">
        <v>0</v>
      </c>
      <c r="J1972">
        <v>0</v>
      </c>
      <c r="K1972">
        <v>0</v>
      </c>
    </row>
    <row r="1973" spans="1:11" x14ac:dyDescent="0.2">
      <c r="A1973" t="s">
        <v>3420</v>
      </c>
      <c r="B1973" t="s">
        <v>3421</v>
      </c>
      <c r="C1973" t="s">
        <v>3349</v>
      </c>
      <c r="D1973" t="s">
        <v>138</v>
      </c>
      <c r="E1973">
        <v>119.99</v>
      </c>
      <c r="F1973">
        <v>0</v>
      </c>
      <c r="H1973" t="s">
        <v>5085</v>
      </c>
      <c r="I1973">
        <v>0</v>
      </c>
      <c r="J1973">
        <v>0</v>
      </c>
      <c r="K1973">
        <v>2</v>
      </c>
    </row>
    <row r="1974" spans="1:11" x14ac:dyDescent="0.2">
      <c r="A1974" t="s">
        <v>718</v>
      </c>
      <c r="B1974" t="s">
        <v>719</v>
      </c>
      <c r="C1974" t="s">
        <v>582</v>
      </c>
      <c r="D1974" t="s">
        <v>105</v>
      </c>
      <c r="E1974">
        <v>49.99</v>
      </c>
      <c r="F1974">
        <v>0</v>
      </c>
      <c r="G1974">
        <v>68</v>
      </c>
      <c r="H1974" t="s">
        <v>5085</v>
      </c>
      <c r="I1974">
        <v>0</v>
      </c>
      <c r="J1974">
        <v>0</v>
      </c>
      <c r="K1974">
        <v>3</v>
      </c>
    </row>
    <row r="1975" spans="1:11" x14ac:dyDescent="0.2">
      <c r="A1975" t="s">
        <v>2201</v>
      </c>
      <c r="B1975" t="s">
        <v>2202</v>
      </c>
      <c r="C1975" t="s">
        <v>2174</v>
      </c>
      <c r="D1975" t="s">
        <v>98</v>
      </c>
      <c r="E1975">
        <v>69.989999999999995</v>
      </c>
      <c r="F1975">
        <v>0</v>
      </c>
      <c r="H1975" t="s">
        <v>5085</v>
      </c>
      <c r="I1975">
        <v>0</v>
      </c>
      <c r="J1975">
        <v>0</v>
      </c>
      <c r="K1975">
        <v>0</v>
      </c>
    </row>
    <row r="1976" spans="1:11" x14ac:dyDescent="0.2">
      <c r="A1976" t="s">
        <v>372</v>
      </c>
      <c r="B1976" t="s">
        <v>373</v>
      </c>
      <c r="C1976" t="s">
        <v>307</v>
      </c>
      <c r="D1976" t="s">
        <v>98</v>
      </c>
      <c r="E1976">
        <v>699.99</v>
      </c>
      <c r="F1976">
        <v>0</v>
      </c>
      <c r="H1976" t="s">
        <v>5085</v>
      </c>
      <c r="I1976">
        <v>0</v>
      </c>
      <c r="J1976">
        <v>0</v>
      </c>
      <c r="K1976">
        <v>0</v>
      </c>
    </row>
    <row r="1977" spans="1:11" x14ac:dyDescent="0.2">
      <c r="A1977" t="s">
        <v>3180</v>
      </c>
      <c r="B1977" t="s">
        <v>3181</v>
      </c>
      <c r="C1977" t="s">
        <v>3133</v>
      </c>
      <c r="D1977" t="s">
        <v>98</v>
      </c>
      <c r="E1977">
        <v>131.99</v>
      </c>
      <c r="F1977">
        <v>0</v>
      </c>
      <c r="H1977" t="s">
        <v>5085</v>
      </c>
      <c r="I1977">
        <v>0</v>
      </c>
      <c r="J1977">
        <v>0</v>
      </c>
      <c r="K1977">
        <v>0</v>
      </c>
    </row>
    <row r="1978" spans="1:11" x14ac:dyDescent="0.2">
      <c r="A1978" t="s">
        <v>5608</v>
      </c>
      <c r="B1978" t="s">
        <v>5609</v>
      </c>
      <c r="C1978" t="s">
        <v>582</v>
      </c>
      <c r="D1978" t="s">
        <v>98</v>
      </c>
      <c r="E1978">
        <v>59.99</v>
      </c>
      <c r="F1978">
        <v>0</v>
      </c>
      <c r="H1978" t="s">
        <v>5085</v>
      </c>
      <c r="I1978">
        <v>0</v>
      </c>
      <c r="J1978">
        <v>0</v>
      </c>
      <c r="K1978">
        <v>0</v>
      </c>
    </row>
    <row r="1979" spans="1:11" x14ac:dyDescent="0.2">
      <c r="A1979" t="s">
        <v>312</v>
      </c>
      <c r="B1979" t="s">
        <v>313</v>
      </c>
      <c r="C1979" t="s">
        <v>307</v>
      </c>
      <c r="D1979" t="s">
        <v>98</v>
      </c>
      <c r="E1979">
        <v>549.99</v>
      </c>
      <c r="F1979">
        <v>0</v>
      </c>
      <c r="H1979" t="s">
        <v>5085</v>
      </c>
      <c r="I1979">
        <v>0</v>
      </c>
      <c r="J1979">
        <v>0</v>
      </c>
      <c r="K1979">
        <v>0</v>
      </c>
    </row>
    <row r="1980" spans="1:11" x14ac:dyDescent="0.2">
      <c r="A1980" t="s">
        <v>3298</v>
      </c>
      <c r="B1980" t="s">
        <v>3299</v>
      </c>
      <c r="C1980" t="s">
        <v>3291</v>
      </c>
      <c r="D1980" t="s">
        <v>98</v>
      </c>
      <c r="E1980">
        <v>69.989999999999995</v>
      </c>
      <c r="F1980">
        <v>0</v>
      </c>
      <c r="H1980" t="s">
        <v>5085</v>
      </c>
      <c r="I1980">
        <v>0</v>
      </c>
      <c r="J1980">
        <v>0</v>
      </c>
      <c r="K1980">
        <v>0</v>
      </c>
    </row>
    <row r="1981" spans="1:11" x14ac:dyDescent="0.2">
      <c r="A1981" t="s">
        <v>3307</v>
      </c>
      <c r="B1981" t="s">
        <v>3308</v>
      </c>
      <c r="C1981" t="s">
        <v>3291</v>
      </c>
      <c r="D1981" t="s">
        <v>98</v>
      </c>
      <c r="E1981">
        <v>69.989999999999995</v>
      </c>
      <c r="F1981">
        <v>0</v>
      </c>
      <c r="H1981" t="s">
        <v>5085</v>
      </c>
      <c r="I1981">
        <v>0</v>
      </c>
      <c r="J1981">
        <v>0</v>
      </c>
      <c r="K1981">
        <v>0</v>
      </c>
    </row>
    <row r="1982" spans="1:11" x14ac:dyDescent="0.2">
      <c r="A1982" t="s">
        <v>3313</v>
      </c>
      <c r="B1982" t="s">
        <v>3314</v>
      </c>
      <c r="C1982" t="s">
        <v>3291</v>
      </c>
      <c r="D1982" t="s">
        <v>98</v>
      </c>
      <c r="E1982">
        <v>69.989999999999995</v>
      </c>
      <c r="F1982">
        <v>0</v>
      </c>
      <c r="H1982" t="s">
        <v>5085</v>
      </c>
      <c r="I1982">
        <v>0</v>
      </c>
      <c r="J1982">
        <v>0</v>
      </c>
      <c r="K1982">
        <v>0</v>
      </c>
    </row>
    <row r="1983" spans="1:11" x14ac:dyDescent="0.2">
      <c r="A1983" t="s">
        <v>343</v>
      </c>
      <c r="B1983" t="s">
        <v>342</v>
      </c>
      <c r="C1983" t="s">
        <v>307</v>
      </c>
      <c r="D1983" t="s">
        <v>98</v>
      </c>
      <c r="E1983">
        <v>3999.99</v>
      </c>
      <c r="F1983">
        <v>0</v>
      </c>
      <c r="H1983" t="s">
        <v>5085</v>
      </c>
      <c r="I1983">
        <v>0</v>
      </c>
      <c r="J1983">
        <v>0</v>
      </c>
      <c r="K1983">
        <v>0</v>
      </c>
    </row>
    <row r="1984" spans="1:11" x14ac:dyDescent="0.2">
      <c r="A1984" t="s">
        <v>5546</v>
      </c>
      <c r="B1984" t="s">
        <v>5547</v>
      </c>
      <c r="C1984" t="s">
        <v>582</v>
      </c>
      <c r="D1984" t="s">
        <v>98</v>
      </c>
      <c r="E1984">
        <v>89.99</v>
      </c>
      <c r="F1984">
        <v>0</v>
      </c>
      <c r="H1984" t="s">
        <v>5085</v>
      </c>
      <c r="I1984">
        <v>0</v>
      </c>
      <c r="J1984">
        <v>0</v>
      </c>
      <c r="K1984">
        <v>0</v>
      </c>
    </row>
    <row r="1985" spans="1:11" x14ac:dyDescent="0.2">
      <c r="A1985" t="s">
        <v>708</v>
      </c>
      <c r="B1985" t="s">
        <v>709</v>
      </c>
      <c r="C1985" t="s">
        <v>582</v>
      </c>
      <c r="D1985" t="s">
        <v>105</v>
      </c>
      <c r="E1985">
        <v>19.989999999999998</v>
      </c>
      <c r="F1985">
        <v>0</v>
      </c>
      <c r="G1985">
        <v>160</v>
      </c>
      <c r="H1985" t="s">
        <v>5085</v>
      </c>
      <c r="I1985">
        <v>0</v>
      </c>
      <c r="J1985">
        <v>0</v>
      </c>
      <c r="K1985">
        <v>0</v>
      </c>
    </row>
    <row r="1986" spans="1:11" x14ac:dyDescent="0.2">
      <c r="A1986" t="s">
        <v>706</v>
      </c>
      <c r="B1986" t="s">
        <v>707</v>
      </c>
      <c r="C1986" t="s">
        <v>582</v>
      </c>
      <c r="D1986" t="s">
        <v>105</v>
      </c>
      <c r="E1986">
        <v>19.989999999999998</v>
      </c>
      <c r="F1986">
        <v>0</v>
      </c>
      <c r="H1986" t="s">
        <v>5085</v>
      </c>
      <c r="I1986">
        <v>0</v>
      </c>
      <c r="J1986">
        <v>0</v>
      </c>
      <c r="K1986">
        <v>0</v>
      </c>
    </row>
    <row r="1987" spans="1:11" x14ac:dyDescent="0.2">
      <c r="A1987" t="s">
        <v>5094</v>
      </c>
      <c r="B1987" t="s">
        <v>5095</v>
      </c>
      <c r="C1987" t="s">
        <v>582</v>
      </c>
      <c r="D1987" t="s">
        <v>98</v>
      </c>
      <c r="E1987">
        <v>69.989999999999995</v>
      </c>
      <c r="F1987">
        <v>0</v>
      </c>
      <c r="H1987" t="s">
        <v>5085</v>
      </c>
      <c r="I1987">
        <v>0</v>
      </c>
      <c r="J1987">
        <v>0</v>
      </c>
      <c r="K1987">
        <v>0</v>
      </c>
    </row>
    <row r="1988" spans="1:11" x14ac:dyDescent="0.2">
      <c r="A1988" t="s">
        <v>3321</v>
      </c>
      <c r="B1988" t="s">
        <v>3322</v>
      </c>
      <c r="C1988" t="s">
        <v>3291</v>
      </c>
      <c r="D1988" t="s">
        <v>98</v>
      </c>
      <c r="E1988">
        <v>74.989999999999995</v>
      </c>
      <c r="F1988">
        <v>0</v>
      </c>
      <c r="H1988" t="s">
        <v>5085</v>
      </c>
      <c r="I1988">
        <v>0</v>
      </c>
      <c r="J1988">
        <v>0</v>
      </c>
      <c r="K1988">
        <v>0</v>
      </c>
    </row>
    <row r="1989" spans="1:11" x14ac:dyDescent="0.2">
      <c r="A1989" t="s">
        <v>736</v>
      </c>
      <c r="B1989" t="s">
        <v>737</v>
      </c>
      <c r="C1989" t="s">
        <v>582</v>
      </c>
      <c r="D1989" t="s">
        <v>105</v>
      </c>
      <c r="E1989">
        <v>29.99</v>
      </c>
      <c r="F1989">
        <v>0</v>
      </c>
      <c r="G1989">
        <v>80</v>
      </c>
      <c r="H1989" t="s">
        <v>5085</v>
      </c>
      <c r="I1989">
        <v>0</v>
      </c>
      <c r="J1989">
        <v>0</v>
      </c>
      <c r="K1989">
        <v>1</v>
      </c>
    </row>
    <row r="1990" spans="1:11" x14ac:dyDescent="0.2">
      <c r="A1990" t="s">
        <v>5604</v>
      </c>
      <c r="B1990" t="s">
        <v>5605</v>
      </c>
      <c r="C1990" t="s">
        <v>582</v>
      </c>
      <c r="D1990" t="s">
        <v>98</v>
      </c>
      <c r="E1990">
        <v>39.99</v>
      </c>
      <c r="F1990">
        <v>0</v>
      </c>
      <c r="H1990" t="s">
        <v>5085</v>
      </c>
      <c r="I1990">
        <v>0</v>
      </c>
      <c r="J1990">
        <v>0</v>
      </c>
      <c r="K1990">
        <v>0</v>
      </c>
    </row>
    <row r="1991" spans="1:11" x14ac:dyDescent="0.2">
      <c r="A1991" t="s">
        <v>3323</v>
      </c>
      <c r="B1991" t="s">
        <v>3324</v>
      </c>
      <c r="C1991" t="s">
        <v>3291</v>
      </c>
      <c r="D1991" t="s">
        <v>98</v>
      </c>
      <c r="E1991">
        <v>74.989999999999995</v>
      </c>
      <c r="F1991">
        <v>0</v>
      </c>
      <c r="H1991" t="s">
        <v>5085</v>
      </c>
      <c r="I1991">
        <v>0</v>
      </c>
      <c r="J1991">
        <v>0</v>
      </c>
      <c r="K1991">
        <v>0</v>
      </c>
    </row>
    <row r="1992" spans="1:11" x14ac:dyDescent="0.2">
      <c r="A1992" t="s">
        <v>613</v>
      </c>
      <c r="B1992" t="s">
        <v>614</v>
      </c>
      <c r="C1992" t="s">
        <v>582</v>
      </c>
      <c r="D1992" t="s">
        <v>105</v>
      </c>
      <c r="E1992">
        <v>119.99</v>
      </c>
      <c r="F1992">
        <v>0</v>
      </c>
      <c r="G1992">
        <v>51</v>
      </c>
      <c r="H1992" t="s">
        <v>5085</v>
      </c>
      <c r="I1992">
        <v>0</v>
      </c>
      <c r="J1992">
        <v>0</v>
      </c>
      <c r="K1992">
        <v>6</v>
      </c>
    </row>
    <row r="1993" spans="1:11" x14ac:dyDescent="0.2">
      <c r="A1993" t="s">
        <v>354</v>
      </c>
      <c r="B1993" t="s">
        <v>355</v>
      </c>
      <c r="C1993" t="s">
        <v>307</v>
      </c>
      <c r="D1993" t="s">
        <v>98</v>
      </c>
      <c r="E1993">
        <v>1999.99</v>
      </c>
      <c r="F1993">
        <v>0</v>
      </c>
      <c r="H1993" t="s">
        <v>5085</v>
      </c>
      <c r="I1993">
        <v>0</v>
      </c>
      <c r="J1993">
        <v>0</v>
      </c>
      <c r="K1993">
        <v>0</v>
      </c>
    </row>
    <row r="1994" spans="1:11" x14ac:dyDescent="0.2">
      <c r="A1994" t="s">
        <v>914</v>
      </c>
      <c r="B1994" t="s">
        <v>915</v>
      </c>
      <c r="C1994" t="s">
        <v>911</v>
      </c>
      <c r="D1994" t="s">
        <v>105</v>
      </c>
      <c r="E1994">
        <v>59.99</v>
      </c>
      <c r="F1994">
        <v>0</v>
      </c>
      <c r="G1994">
        <v>256</v>
      </c>
      <c r="H1994" t="s">
        <v>5085</v>
      </c>
      <c r="I1994">
        <v>0</v>
      </c>
      <c r="J1994">
        <v>0</v>
      </c>
      <c r="K1994">
        <v>0</v>
      </c>
    </row>
    <row r="1995" spans="1:11" x14ac:dyDescent="0.2">
      <c r="A1995" t="s">
        <v>390</v>
      </c>
      <c r="B1995" t="s">
        <v>391</v>
      </c>
      <c r="C1995" t="s">
        <v>307</v>
      </c>
      <c r="D1995" t="s">
        <v>98</v>
      </c>
      <c r="E1995">
        <v>289.99</v>
      </c>
      <c r="F1995">
        <v>0</v>
      </c>
      <c r="H1995" t="s">
        <v>5085</v>
      </c>
      <c r="I1995">
        <v>0</v>
      </c>
      <c r="J1995">
        <v>0</v>
      </c>
      <c r="K1995">
        <v>0</v>
      </c>
    </row>
    <row r="1996" spans="1:11" x14ac:dyDescent="0.2">
      <c r="A1996" t="s">
        <v>823</v>
      </c>
      <c r="B1996" t="s">
        <v>824</v>
      </c>
      <c r="C1996" t="s">
        <v>582</v>
      </c>
      <c r="D1996" t="s">
        <v>98</v>
      </c>
      <c r="E1996">
        <v>79.989999999999995</v>
      </c>
      <c r="F1996">
        <v>0</v>
      </c>
      <c r="G1996">
        <v>36</v>
      </c>
      <c r="H1996" t="s">
        <v>5085</v>
      </c>
      <c r="I1996">
        <v>0</v>
      </c>
      <c r="J1996">
        <v>0</v>
      </c>
      <c r="K1996">
        <v>0</v>
      </c>
    </row>
    <row r="1997" spans="1:11" x14ac:dyDescent="0.2">
      <c r="A1997" t="s">
        <v>809</v>
      </c>
      <c r="B1997" t="s">
        <v>810</v>
      </c>
      <c r="C1997" t="s">
        <v>582</v>
      </c>
      <c r="D1997" t="s">
        <v>98</v>
      </c>
      <c r="E1997">
        <v>69.989999999999995</v>
      </c>
      <c r="F1997">
        <v>0</v>
      </c>
      <c r="H1997" t="s">
        <v>5085</v>
      </c>
      <c r="I1997">
        <v>0</v>
      </c>
      <c r="J1997">
        <v>0</v>
      </c>
      <c r="K1997">
        <v>0</v>
      </c>
    </row>
    <row r="1998" spans="1:11" x14ac:dyDescent="0.2">
      <c r="A1998" t="s">
        <v>386</v>
      </c>
      <c r="B1998" t="s">
        <v>387</v>
      </c>
      <c r="C1998" t="s">
        <v>307</v>
      </c>
      <c r="D1998" t="s">
        <v>98</v>
      </c>
      <c r="E1998">
        <v>39.99</v>
      </c>
      <c r="F1998">
        <v>0</v>
      </c>
      <c r="H1998" t="s">
        <v>5085</v>
      </c>
      <c r="I1998">
        <v>0</v>
      </c>
      <c r="J1998">
        <v>0</v>
      </c>
      <c r="K1998">
        <v>0</v>
      </c>
    </row>
    <row r="1999" spans="1:11" x14ac:dyDescent="0.2">
      <c r="A1999" t="s">
        <v>426</v>
      </c>
      <c r="B1999" t="s">
        <v>427</v>
      </c>
      <c r="C1999" t="s">
        <v>307</v>
      </c>
      <c r="D1999" t="s">
        <v>98</v>
      </c>
      <c r="E1999">
        <v>469.99</v>
      </c>
      <c r="F1999">
        <v>0</v>
      </c>
      <c r="H1999" t="s">
        <v>5085</v>
      </c>
      <c r="I1999">
        <v>0</v>
      </c>
      <c r="J1999">
        <v>0</v>
      </c>
      <c r="K1999">
        <v>0</v>
      </c>
    </row>
    <row r="2000" spans="1:11" x14ac:dyDescent="0.2">
      <c r="A2000" t="s">
        <v>5315</v>
      </c>
      <c r="B2000" t="s">
        <v>5316</v>
      </c>
      <c r="C2000" t="s">
        <v>3188</v>
      </c>
      <c r="D2000" t="s">
        <v>98</v>
      </c>
      <c r="E2000">
        <v>19.989999999999998</v>
      </c>
      <c r="F2000">
        <v>0</v>
      </c>
      <c r="H2000" t="s">
        <v>5085</v>
      </c>
      <c r="I2000">
        <v>0</v>
      </c>
      <c r="J2000">
        <v>0</v>
      </c>
      <c r="K2000">
        <v>0</v>
      </c>
    </row>
    <row r="2001" spans="1:11" x14ac:dyDescent="0.2">
      <c r="A2001" t="s">
        <v>428</v>
      </c>
      <c r="B2001" t="s">
        <v>429</v>
      </c>
      <c r="C2001" t="s">
        <v>307</v>
      </c>
      <c r="D2001" t="s">
        <v>98</v>
      </c>
      <c r="E2001">
        <v>469.99</v>
      </c>
      <c r="F2001">
        <v>0</v>
      </c>
      <c r="H2001" t="s">
        <v>5085</v>
      </c>
      <c r="I2001">
        <v>0</v>
      </c>
      <c r="J2001">
        <v>0</v>
      </c>
      <c r="K2001">
        <v>0</v>
      </c>
    </row>
    <row r="2002" spans="1:11" x14ac:dyDescent="0.2">
      <c r="A2002" t="s">
        <v>792</v>
      </c>
      <c r="B2002" t="s">
        <v>793</v>
      </c>
      <c r="C2002" t="s">
        <v>582</v>
      </c>
      <c r="D2002" t="s">
        <v>105</v>
      </c>
      <c r="E2002">
        <v>69.989999999999995</v>
      </c>
      <c r="F2002">
        <v>0</v>
      </c>
      <c r="G2002">
        <v>61</v>
      </c>
      <c r="H2002" t="s">
        <v>5085</v>
      </c>
      <c r="I2002">
        <v>0</v>
      </c>
      <c r="J2002">
        <v>0</v>
      </c>
      <c r="K2002">
        <v>2</v>
      </c>
    </row>
    <row r="2003" spans="1:11" x14ac:dyDescent="0.2">
      <c r="A2003" t="s">
        <v>416</v>
      </c>
      <c r="B2003" t="s">
        <v>417</v>
      </c>
      <c r="C2003" t="s">
        <v>307</v>
      </c>
      <c r="D2003" t="s">
        <v>105</v>
      </c>
      <c r="E2003">
        <v>49.99</v>
      </c>
      <c r="F2003">
        <v>0</v>
      </c>
      <c r="G2003">
        <v>2</v>
      </c>
      <c r="H2003" t="s">
        <v>5085</v>
      </c>
      <c r="I2003">
        <v>0</v>
      </c>
      <c r="J2003">
        <v>0</v>
      </c>
      <c r="K2003">
        <v>0</v>
      </c>
    </row>
    <row r="2004" spans="1:11" x14ac:dyDescent="0.2">
      <c r="A2004" t="s">
        <v>5556</v>
      </c>
      <c r="B2004" t="s">
        <v>5557</v>
      </c>
      <c r="C2004" t="s">
        <v>582</v>
      </c>
      <c r="D2004" t="s">
        <v>98</v>
      </c>
      <c r="E2004">
        <v>59.99</v>
      </c>
      <c r="F2004">
        <v>0</v>
      </c>
      <c r="H2004" t="s">
        <v>5085</v>
      </c>
      <c r="I2004">
        <v>0</v>
      </c>
      <c r="J2004">
        <v>0</v>
      </c>
      <c r="K2004">
        <v>0</v>
      </c>
    </row>
    <row r="2005" spans="1:11" x14ac:dyDescent="0.2">
      <c r="A2005" t="s">
        <v>738</v>
      </c>
      <c r="B2005" t="s">
        <v>739</v>
      </c>
      <c r="C2005" t="s">
        <v>582</v>
      </c>
      <c r="D2005" t="s">
        <v>138</v>
      </c>
      <c r="E2005">
        <v>59.99</v>
      </c>
      <c r="F2005">
        <v>0</v>
      </c>
      <c r="H2005" t="s">
        <v>5085</v>
      </c>
      <c r="I2005">
        <v>0</v>
      </c>
      <c r="J2005">
        <v>0</v>
      </c>
      <c r="K2005">
        <v>0</v>
      </c>
    </row>
    <row r="2006" spans="1:11" x14ac:dyDescent="0.2">
      <c r="A2006" t="s">
        <v>430</v>
      </c>
      <c r="B2006" t="s">
        <v>431</v>
      </c>
      <c r="C2006" t="s">
        <v>307</v>
      </c>
      <c r="D2006" t="s">
        <v>98</v>
      </c>
      <c r="E2006">
        <v>469.99</v>
      </c>
      <c r="F2006">
        <v>0</v>
      </c>
      <c r="H2006" t="s">
        <v>5085</v>
      </c>
      <c r="I2006">
        <v>0</v>
      </c>
      <c r="J2006">
        <v>0</v>
      </c>
      <c r="K2006">
        <v>0</v>
      </c>
    </row>
    <row r="2007" spans="1:11" x14ac:dyDescent="0.2">
      <c r="A2007" t="s">
        <v>388</v>
      </c>
      <c r="B2007" t="s">
        <v>389</v>
      </c>
      <c r="C2007" t="s">
        <v>307</v>
      </c>
      <c r="D2007" t="s">
        <v>98</v>
      </c>
      <c r="E2007">
        <v>229</v>
      </c>
      <c r="F2007">
        <v>0</v>
      </c>
      <c r="H2007" t="s">
        <v>5085</v>
      </c>
      <c r="I2007">
        <v>0</v>
      </c>
      <c r="J2007">
        <v>0</v>
      </c>
      <c r="K2007">
        <v>0</v>
      </c>
    </row>
    <row r="2008" spans="1:11" x14ac:dyDescent="0.2">
      <c r="A2008" t="s">
        <v>740</v>
      </c>
      <c r="B2008" t="s">
        <v>741</v>
      </c>
      <c r="C2008" t="s">
        <v>582</v>
      </c>
      <c r="D2008" t="s">
        <v>138</v>
      </c>
      <c r="E2008">
        <v>64.989999999999995</v>
      </c>
      <c r="F2008">
        <v>0</v>
      </c>
      <c r="H2008" t="s">
        <v>5085</v>
      </c>
      <c r="I2008">
        <v>0</v>
      </c>
      <c r="J2008">
        <v>0</v>
      </c>
      <c r="K2008">
        <v>1</v>
      </c>
    </row>
    <row r="2009" spans="1:11" x14ac:dyDescent="0.2">
      <c r="A2009" t="s">
        <v>410</v>
      </c>
      <c r="B2009" t="s">
        <v>411</v>
      </c>
      <c r="C2009" t="s">
        <v>307</v>
      </c>
      <c r="D2009" t="s">
        <v>98</v>
      </c>
      <c r="E2009">
        <v>199.99</v>
      </c>
      <c r="F2009">
        <v>0</v>
      </c>
      <c r="H2009" t="s">
        <v>5085</v>
      </c>
      <c r="I2009">
        <v>0</v>
      </c>
      <c r="J2009">
        <v>0</v>
      </c>
      <c r="K2009">
        <v>0</v>
      </c>
    </row>
    <row r="2010" spans="1:11" x14ac:dyDescent="0.2">
      <c r="A2010" t="s">
        <v>360</v>
      </c>
      <c r="B2010" t="s">
        <v>361</v>
      </c>
      <c r="C2010" t="s">
        <v>307</v>
      </c>
      <c r="D2010" t="s">
        <v>98</v>
      </c>
      <c r="E2010">
        <v>899.99</v>
      </c>
      <c r="F2010">
        <v>0</v>
      </c>
      <c r="H2010" t="s">
        <v>5085</v>
      </c>
      <c r="I2010">
        <v>0</v>
      </c>
      <c r="J2010">
        <v>0</v>
      </c>
      <c r="K2010">
        <v>0</v>
      </c>
    </row>
    <row r="2011" spans="1:11" x14ac:dyDescent="0.2">
      <c r="A2011" t="s">
        <v>5562</v>
      </c>
      <c r="B2011" t="s">
        <v>5563</v>
      </c>
      <c r="C2011" t="s">
        <v>582</v>
      </c>
      <c r="D2011" t="s">
        <v>98</v>
      </c>
      <c r="E2011">
        <v>99.99</v>
      </c>
      <c r="F2011">
        <v>0</v>
      </c>
      <c r="H2011" t="s">
        <v>5085</v>
      </c>
      <c r="I2011">
        <v>0</v>
      </c>
      <c r="J2011">
        <v>0</v>
      </c>
      <c r="K2011">
        <v>0</v>
      </c>
    </row>
    <row r="2012" spans="1:11" x14ac:dyDescent="0.2">
      <c r="A2012" t="s">
        <v>805</v>
      </c>
      <c r="B2012" t="s">
        <v>806</v>
      </c>
      <c r="C2012" t="s">
        <v>582</v>
      </c>
      <c r="D2012" t="s">
        <v>138</v>
      </c>
      <c r="E2012">
        <v>59.99</v>
      </c>
      <c r="F2012">
        <v>0</v>
      </c>
      <c r="H2012" t="s">
        <v>5085</v>
      </c>
      <c r="I2012">
        <v>0</v>
      </c>
      <c r="J2012">
        <v>0</v>
      </c>
      <c r="K2012">
        <v>0</v>
      </c>
    </row>
    <row r="2013" spans="1:11" x14ac:dyDescent="0.2">
      <c r="A2013" t="s">
        <v>807</v>
      </c>
      <c r="B2013" t="s">
        <v>808</v>
      </c>
      <c r="C2013" t="s">
        <v>582</v>
      </c>
      <c r="D2013" t="s">
        <v>98</v>
      </c>
      <c r="E2013">
        <v>59.99</v>
      </c>
      <c r="F2013">
        <v>0</v>
      </c>
      <c r="H2013" t="s">
        <v>5085</v>
      </c>
      <c r="I2013">
        <v>0</v>
      </c>
      <c r="J2013">
        <v>0</v>
      </c>
      <c r="K2013">
        <v>0</v>
      </c>
    </row>
    <row r="2014" spans="1:11" x14ac:dyDescent="0.2">
      <c r="A2014" t="s">
        <v>346</v>
      </c>
      <c r="B2014" t="s">
        <v>347</v>
      </c>
      <c r="C2014" t="s">
        <v>307</v>
      </c>
      <c r="D2014" t="s">
        <v>98</v>
      </c>
      <c r="E2014">
        <v>419.99</v>
      </c>
      <c r="F2014">
        <v>0</v>
      </c>
      <c r="H2014" t="s">
        <v>5085</v>
      </c>
      <c r="I2014">
        <v>0</v>
      </c>
      <c r="J2014">
        <v>0</v>
      </c>
      <c r="K2014">
        <v>0</v>
      </c>
    </row>
    <row r="2015" spans="1:11" x14ac:dyDescent="0.2">
      <c r="A2015" t="s">
        <v>396</v>
      </c>
      <c r="B2015" t="s">
        <v>397</v>
      </c>
      <c r="C2015" t="s">
        <v>307</v>
      </c>
      <c r="D2015" t="s">
        <v>98</v>
      </c>
      <c r="E2015">
        <v>1799.99</v>
      </c>
      <c r="F2015">
        <v>0</v>
      </c>
      <c r="H2015" t="s">
        <v>5085</v>
      </c>
      <c r="I2015">
        <v>0</v>
      </c>
      <c r="J2015">
        <v>0</v>
      </c>
      <c r="K2015">
        <v>0</v>
      </c>
    </row>
    <row r="2016" spans="1:11" x14ac:dyDescent="0.2">
      <c r="A2016" t="s">
        <v>3325</v>
      </c>
      <c r="B2016" t="s">
        <v>3326</v>
      </c>
      <c r="C2016" t="s">
        <v>3291</v>
      </c>
      <c r="D2016" t="s">
        <v>98</v>
      </c>
      <c r="E2016">
        <v>74.989999999999995</v>
      </c>
      <c r="F2016">
        <v>0</v>
      </c>
      <c r="H2016" t="s">
        <v>5085</v>
      </c>
      <c r="I2016">
        <v>0</v>
      </c>
      <c r="J2016">
        <v>0</v>
      </c>
      <c r="K2016">
        <v>0</v>
      </c>
    </row>
    <row r="2017" spans="1:11" x14ac:dyDescent="0.2">
      <c r="A2017" t="s">
        <v>3327</v>
      </c>
      <c r="B2017" t="s">
        <v>3328</v>
      </c>
      <c r="C2017" t="s">
        <v>3291</v>
      </c>
      <c r="D2017" t="s">
        <v>98</v>
      </c>
      <c r="E2017">
        <v>74.989999999999995</v>
      </c>
      <c r="F2017">
        <v>0</v>
      </c>
      <c r="H2017" t="s">
        <v>5085</v>
      </c>
      <c r="I2017">
        <v>0</v>
      </c>
      <c r="J2017">
        <v>0</v>
      </c>
      <c r="K2017">
        <v>0</v>
      </c>
    </row>
    <row r="2018" spans="1:11" x14ac:dyDescent="0.2">
      <c r="A2018" t="s">
        <v>716</v>
      </c>
      <c r="B2018" t="s">
        <v>717</v>
      </c>
      <c r="C2018" t="s">
        <v>582</v>
      </c>
      <c r="D2018" t="s">
        <v>105</v>
      </c>
      <c r="E2018">
        <v>49.99</v>
      </c>
      <c r="F2018">
        <v>0</v>
      </c>
      <c r="G2018">
        <v>116</v>
      </c>
      <c r="H2018" t="s">
        <v>5085</v>
      </c>
      <c r="I2018">
        <v>0</v>
      </c>
      <c r="J2018">
        <v>0</v>
      </c>
      <c r="K2018">
        <v>6</v>
      </c>
    </row>
    <row r="2019" spans="1:11" x14ac:dyDescent="0.2">
      <c r="A2019" t="s">
        <v>660</v>
      </c>
      <c r="B2019" t="s">
        <v>661</v>
      </c>
      <c r="C2019" t="s">
        <v>582</v>
      </c>
      <c r="D2019" t="s">
        <v>105</v>
      </c>
      <c r="E2019">
        <v>79.989999999999995</v>
      </c>
      <c r="F2019">
        <v>0</v>
      </c>
      <c r="H2019" t="s">
        <v>5085</v>
      </c>
      <c r="I2019">
        <v>0</v>
      </c>
      <c r="J2019">
        <v>0</v>
      </c>
      <c r="K2019">
        <v>0</v>
      </c>
    </row>
    <row r="2020" spans="1:11" x14ac:dyDescent="0.2">
      <c r="A2020" t="s">
        <v>617</v>
      </c>
      <c r="B2020" t="s">
        <v>618</v>
      </c>
      <c r="C2020" t="s">
        <v>582</v>
      </c>
      <c r="D2020" t="s">
        <v>105</v>
      </c>
      <c r="E2020">
        <v>79.989999999999995</v>
      </c>
      <c r="F2020">
        <v>0</v>
      </c>
      <c r="G2020">
        <v>17</v>
      </c>
      <c r="H2020" t="s">
        <v>5085</v>
      </c>
      <c r="I2020">
        <v>0</v>
      </c>
      <c r="J2020">
        <v>0</v>
      </c>
      <c r="K2020">
        <v>1</v>
      </c>
    </row>
    <row r="2021" spans="1:11" x14ac:dyDescent="0.2">
      <c r="A2021" t="s">
        <v>3339</v>
      </c>
      <c r="B2021" t="s">
        <v>3340</v>
      </c>
      <c r="C2021" t="s">
        <v>3291</v>
      </c>
      <c r="D2021" t="s">
        <v>98</v>
      </c>
      <c r="E2021">
        <v>69.989999999999995</v>
      </c>
      <c r="F2021">
        <v>0</v>
      </c>
      <c r="H2021" t="s">
        <v>5085</v>
      </c>
      <c r="I2021">
        <v>0</v>
      </c>
      <c r="J2021">
        <v>0</v>
      </c>
      <c r="K2021">
        <v>0</v>
      </c>
    </row>
    <row r="2022" spans="1:11" x14ac:dyDescent="0.2">
      <c r="A2022" t="s">
        <v>5696</v>
      </c>
      <c r="B2022" t="s">
        <v>5697</v>
      </c>
      <c r="C2022" t="s">
        <v>3183</v>
      </c>
      <c r="D2022" t="s">
        <v>98</v>
      </c>
      <c r="E2022">
        <v>99.99</v>
      </c>
      <c r="F2022">
        <v>0</v>
      </c>
      <c r="H2022" t="s">
        <v>5085</v>
      </c>
      <c r="I2022">
        <v>0</v>
      </c>
      <c r="J2022">
        <v>0</v>
      </c>
      <c r="K2022">
        <v>0</v>
      </c>
    </row>
    <row r="2023" spans="1:11" x14ac:dyDescent="0.2">
      <c r="A2023" t="s">
        <v>615</v>
      </c>
      <c r="B2023" t="s">
        <v>616</v>
      </c>
      <c r="C2023" t="s">
        <v>582</v>
      </c>
      <c r="D2023" t="s">
        <v>105</v>
      </c>
      <c r="E2023">
        <v>79.989999999999995</v>
      </c>
      <c r="F2023">
        <v>0</v>
      </c>
      <c r="G2023">
        <v>22</v>
      </c>
      <c r="H2023" t="s">
        <v>5085</v>
      </c>
      <c r="I2023">
        <v>0</v>
      </c>
      <c r="J2023">
        <v>0</v>
      </c>
      <c r="K2023">
        <v>3</v>
      </c>
    </row>
    <row r="2024" spans="1:11" x14ac:dyDescent="0.2">
      <c r="A2024" t="s">
        <v>368</v>
      </c>
      <c r="B2024" t="s">
        <v>369</v>
      </c>
      <c r="C2024" t="s">
        <v>307</v>
      </c>
      <c r="D2024" t="s">
        <v>98</v>
      </c>
      <c r="E2024">
        <v>1199.99</v>
      </c>
      <c r="F2024">
        <v>0</v>
      </c>
      <c r="H2024" t="s">
        <v>5085</v>
      </c>
      <c r="I2024">
        <v>0</v>
      </c>
      <c r="J2024">
        <v>0</v>
      </c>
      <c r="K2024">
        <v>0</v>
      </c>
    </row>
    <row r="2025" spans="1:11" x14ac:dyDescent="0.2">
      <c r="A2025" t="s">
        <v>662</v>
      </c>
      <c r="B2025" t="s">
        <v>663</v>
      </c>
      <c r="C2025" t="s">
        <v>582</v>
      </c>
      <c r="D2025" t="s">
        <v>105</v>
      </c>
      <c r="E2025">
        <v>79.989999999999995</v>
      </c>
      <c r="F2025">
        <v>0</v>
      </c>
      <c r="H2025" t="s">
        <v>5085</v>
      </c>
      <c r="I2025">
        <v>0</v>
      </c>
      <c r="J2025">
        <v>0</v>
      </c>
      <c r="K2025">
        <v>0</v>
      </c>
    </row>
    <row r="2026" spans="1:11" x14ac:dyDescent="0.2">
      <c r="A2026" t="s">
        <v>611</v>
      </c>
      <c r="B2026" t="s">
        <v>612</v>
      </c>
      <c r="C2026" t="s">
        <v>582</v>
      </c>
      <c r="D2026" t="s">
        <v>105</v>
      </c>
      <c r="E2026">
        <v>89.99</v>
      </c>
      <c r="F2026">
        <v>0</v>
      </c>
      <c r="G2026">
        <v>63</v>
      </c>
      <c r="H2026" t="s">
        <v>5085</v>
      </c>
      <c r="I2026">
        <v>0</v>
      </c>
      <c r="J2026">
        <v>0</v>
      </c>
      <c r="K2026">
        <v>0</v>
      </c>
    </row>
    <row r="2027" spans="1:11" x14ac:dyDescent="0.2">
      <c r="A2027" t="s">
        <v>704</v>
      </c>
      <c r="B2027" t="s">
        <v>705</v>
      </c>
      <c r="C2027" t="s">
        <v>582</v>
      </c>
      <c r="D2027" t="s">
        <v>105</v>
      </c>
      <c r="E2027">
        <v>39.99</v>
      </c>
      <c r="F2027">
        <v>0</v>
      </c>
      <c r="G2027">
        <v>116</v>
      </c>
      <c r="H2027" t="s">
        <v>5085</v>
      </c>
      <c r="I2027">
        <v>0</v>
      </c>
      <c r="J2027">
        <v>0</v>
      </c>
      <c r="K2027">
        <v>4</v>
      </c>
    </row>
    <row r="2028" spans="1:11" x14ac:dyDescent="0.2">
      <c r="A2028" t="s">
        <v>686</v>
      </c>
      <c r="B2028" t="s">
        <v>687</v>
      </c>
      <c r="C2028" t="s">
        <v>582</v>
      </c>
      <c r="D2028" t="s">
        <v>105</v>
      </c>
      <c r="E2028">
        <v>59.99</v>
      </c>
      <c r="F2028">
        <v>59.99</v>
      </c>
      <c r="G2028">
        <v>41</v>
      </c>
      <c r="H2028" t="s">
        <v>5085</v>
      </c>
      <c r="I2028">
        <v>0</v>
      </c>
      <c r="J2028">
        <v>0</v>
      </c>
      <c r="K2028">
        <v>0</v>
      </c>
    </row>
    <row r="2029" spans="1:11" x14ac:dyDescent="0.2">
      <c r="A2029" t="s">
        <v>384</v>
      </c>
      <c r="B2029" t="s">
        <v>385</v>
      </c>
      <c r="C2029" t="s">
        <v>307</v>
      </c>
      <c r="D2029" t="s">
        <v>98</v>
      </c>
      <c r="E2029">
        <v>339</v>
      </c>
      <c r="F2029">
        <v>0</v>
      </c>
      <c r="H2029" t="s">
        <v>5085</v>
      </c>
      <c r="I2029">
        <v>0</v>
      </c>
      <c r="J2029">
        <v>0</v>
      </c>
      <c r="K2029">
        <v>0</v>
      </c>
    </row>
    <row r="2030" spans="1:11" x14ac:dyDescent="0.2">
      <c r="A2030" t="s">
        <v>3343</v>
      </c>
      <c r="B2030" t="s">
        <v>3344</v>
      </c>
      <c r="C2030" t="s">
        <v>3291</v>
      </c>
      <c r="D2030" t="s">
        <v>98</v>
      </c>
      <c r="E2030">
        <v>69.989999999999995</v>
      </c>
      <c r="F2030">
        <v>0</v>
      </c>
      <c r="H2030" t="s">
        <v>5085</v>
      </c>
      <c r="I2030">
        <v>0</v>
      </c>
      <c r="J2030">
        <v>0</v>
      </c>
      <c r="K2030">
        <v>0</v>
      </c>
    </row>
    <row r="2031" spans="1:11" x14ac:dyDescent="0.2">
      <c r="A2031" t="s">
        <v>3337</v>
      </c>
      <c r="B2031" t="s">
        <v>3338</v>
      </c>
      <c r="C2031" t="s">
        <v>3291</v>
      </c>
      <c r="D2031" t="s">
        <v>98</v>
      </c>
      <c r="E2031">
        <v>69.989999999999995</v>
      </c>
      <c r="F2031">
        <v>0</v>
      </c>
      <c r="H2031" t="s">
        <v>5085</v>
      </c>
      <c r="I2031">
        <v>0</v>
      </c>
      <c r="J2031">
        <v>0</v>
      </c>
      <c r="K2031">
        <v>0</v>
      </c>
    </row>
    <row r="2032" spans="1:11" x14ac:dyDescent="0.2">
      <c r="A2032" t="s">
        <v>310</v>
      </c>
      <c r="B2032" t="s">
        <v>311</v>
      </c>
      <c r="C2032" t="s">
        <v>307</v>
      </c>
      <c r="D2032" t="s">
        <v>98</v>
      </c>
      <c r="E2032">
        <v>449.99</v>
      </c>
      <c r="F2032">
        <v>0</v>
      </c>
      <c r="H2032" t="s">
        <v>5085</v>
      </c>
      <c r="I2032">
        <v>0</v>
      </c>
      <c r="J2032">
        <v>0</v>
      </c>
      <c r="K2032">
        <v>0</v>
      </c>
    </row>
    <row r="2033" spans="1:11" x14ac:dyDescent="0.2">
      <c r="A2033" t="s">
        <v>664</v>
      </c>
      <c r="B2033" t="s">
        <v>665</v>
      </c>
      <c r="C2033" t="s">
        <v>582</v>
      </c>
      <c r="D2033" t="s">
        <v>105</v>
      </c>
      <c r="E2033">
        <v>109.99</v>
      </c>
      <c r="F2033">
        <v>0</v>
      </c>
      <c r="G2033">
        <v>8</v>
      </c>
      <c r="H2033" t="s">
        <v>5085</v>
      </c>
      <c r="I2033">
        <v>0</v>
      </c>
      <c r="J2033">
        <v>0</v>
      </c>
      <c r="K2033">
        <v>0</v>
      </c>
    </row>
    <row r="2034" spans="1:11" x14ac:dyDescent="0.2">
      <c r="A2034" t="s">
        <v>702</v>
      </c>
      <c r="B2034" t="s">
        <v>703</v>
      </c>
      <c r="C2034" t="s">
        <v>582</v>
      </c>
      <c r="D2034" t="s">
        <v>105</v>
      </c>
      <c r="E2034">
        <v>179.99</v>
      </c>
      <c r="F2034">
        <v>0</v>
      </c>
      <c r="G2034">
        <v>26</v>
      </c>
      <c r="H2034" t="s">
        <v>5085</v>
      </c>
      <c r="I2034">
        <v>0</v>
      </c>
      <c r="J2034">
        <v>0</v>
      </c>
      <c r="K2034">
        <v>2</v>
      </c>
    </row>
    <row r="2035" spans="1:11" x14ac:dyDescent="0.2">
      <c r="A2035" t="s">
        <v>800</v>
      </c>
      <c r="B2035" t="s">
        <v>801</v>
      </c>
      <c r="C2035" t="s">
        <v>582</v>
      </c>
      <c r="D2035" t="s">
        <v>105</v>
      </c>
      <c r="E2035">
        <v>19.989999999999998</v>
      </c>
      <c r="F2035">
        <v>0</v>
      </c>
      <c r="G2035">
        <v>1092</v>
      </c>
      <c r="H2035" t="s">
        <v>5085</v>
      </c>
      <c r="I2035">
        <v>0</v>
      </c>
      <c r="J2035">
        <v>0</v>
      </c>
      <c r="K2035">
        <v>0</v>
      </c>
    </row>
    <row r="2036" spans="1:11" x14ac:dyDescent="0.2">
      <c r="A2036" t="s">
        <v>3329</v>
      </c>
      <c r="B2036" t="s">
        <v>3330</v>
      </c>
      <c r="C2036" t="s">
        <v>3291</v>
      </c>
      <c r="D2036" t="s">
        <v>98</v>
      </c>
      <c r="E2036">
        <v>74.989999999999995</v>
      </c>
      <c r="F2036">
        <v>0</v>
      </c>
      <c r="H2036" t="s">
        <v>5085</v>
      </c>
      <c r="I2036">
        <v>0</v>
      </c>
      <c r="J2036">
        <v>0</v>
      </c>
      <c r="K2036">
        <v>0</v>
      </c>
    </row>
    <row r="2037" spans="1:11" x14ac:dyDescent="0.2">
      <c r="A2037" t="s">
        <v>336</v>
      </c>
      <c r="B2037" t="s">
        <v>337</v>
      </c>
      <c r="C2037" t="s">
        <v>307</v>
      </c>
      <c r="D2037" t="s">
        <v>98</v>
      </c>
      <c r="E2037">
        <v>2899.99</v>
      </c>
      <c r="F2037">
        <v>0</v>
      </c>
      <c r="H2037" t="s">
        <v>5085</v>
      </c>
      <c r="I2037">
        <v>0</v>
      </c>
      <c r="J2037">
        <v>0</v>
      </c>
      <c r="K2037">
        <v>0</v>
      </c>
    </row>
    <row r="2038" spans="1:11" x14ac:dyDescent="0.2">
      <c r="A2038" t="s">
        <v>780</v>
      </c>
      <c r="B2038" t="s">
        <v>781</v>
      </c>
      <c r="C2038" t="s">
        <v>582</v>
      </c>
      <c r="D2038" t="s">
        <v>105</v>
      </c>
      <c r="E2038">
        <v>19.989999999999998</v>
      </c>
      <c r="F2038">
        <v>0</v>
      </c>
      <c r="G2038">
        <v>884</v>
      </c>
      <c r="H2038" t="s">
        <v>5085</v>
      </c>
      <c r="I2038">
        <v>0</v>
      </c>
      <c r="J2038">
        <v>0</v>
      </c>
      <c r="K2038">
        <v>0</v>
      </c>
    </row>
    <row r="2039" spans="1:11" x14ac:dyDescent="0.2">
      <c r="A2039" t="s">
        <v>3331</v>
      </c>
      <c r="B2039" t="s">
        <v>3332</v>
      </c>
      <c r="C2039" t="s">
        <v>3291</v>
      </c>
      <c r="D2039" t="s">
        <v>98</v>
      </c>
      <c r="E2039">
        <v>74.989999999999995</v>
      </c>
      <c r="F2039">
        <v>0</v>
      </c>
      <c r="H2039" t="s">
        <v>5085</v>
      </c>
      <c r="I2039">
        <v>0</v>
      </c>
      <c r="J2039">
        <v>0</v>
      </c>
      <c r="K2039">
        <v>0</v>
      </c>
    </row>
    <row r="2040" spans="1:11" x14ac:dyDescent="0.2">
      <c r="A2040" t="s">
        <v>648</v>
      </c>
      <c r="B2040" t="s">
        <v>5066</v>
      </c>
      <c r="C2040" t="s">
        <v>582</v>
      </c>
      <c r="D2040" t="s">
        <v>105</v>
      </c>
      <c r="E2040">
        <v>69.989999999999995</v>
      </c>
      <c r="F2040">
        <v>0</v>
      </c>
      <c r="H2040" t="s">
        <v>5085</v>
      </c>
      <c r="I2040">
        <v>0</v>
      </c>
      <c r="J2040">
        <v>0</v>
      </c>
      <c r="K2040">
        <v>2</v>
      </c>
    </row>
    <row r="2041" spans="1:11" x14ac:dyDescent="0.2">
      <c r="A2041" t="s">
        <v>774</v>
      </c>
      <c r="B2041" t="s">
        <v>775</v>
      </c>
      <c r="C2041" t="s">
        <v>582</v>
      </c>
      <c r="D2041" t="s">
        <v>105</v>
      </c>
      <c r="E2041">
        <v>99.99</v>
      </c>
      <c r="F2041">
        <v>99.99</v>
      </c>
      <c r="G2041">
        <v>1</v>
      </c>
      <c r="H2041" t="s">
        <v>5085</v>
      </c>
      <c r="I2041">
        <v>0</v>
      </c>
      <c r="J2041">
        <v>0</v>
      </c>
      <c r="K2041">
        <v>0</v>
      </c>
    </row>
    <row r="2042" spans="1:11" x14ac:dyDescent="0.2">
      <c r="A2042" t="s">
        <v>772</v>
      </c>
      <c r="B2042" t="s">
        <v>773</v>
      </c>
      <c r="C2042" t="s">
        <v>582</v>
      </c>
      <c r="D2042" t="s">
        <v>105</v>
      </c>
      <c r="E2042">
        <v>159.99</v>
      </c>
      <c r="F2042">
        <v>0</v>
      </c>
      <c r="G2042">
        <v>6</v>
      </c>
      <c r="H2042" t="s">
        <v>5085</v>
      </c>
      <c r="I2042">
        <v>0</v>
      </c>
      <c r="J2042">
        <v>0</v>
      </c>
      <c r="K2042">
        <v>1</v>
      </c>
    </row>
    <row r="2043" spans="1:11" x14ac:dyDescent="0.2">
      <c r="A2043" t="s">
        <v>3333</v>
      </c>
      <c r="B2043" t="s">
        <v>3334</v>
      </c>
      <c r="C2043" t="s">
        <v>3291</v>
      </c>
      <c r="D2043" t="s">
        <v>98</v>
      </c>
      <c r="E2043">
        <v>74.989999999999995</v>
      </c>
      <c r="F2043">
        <v>0</v>
      </c>
      <c r="H2043" t="s">
        <v>5085</v>
      </c>
      <c r="I2043">
        <v>0</v>
      </c>
      <c r="J2043">
        <v>0</v>
      </c>
      <c r="K2043">
        <v>0</v>
      </c>
    </row>
    <row r="2044" spans="1:11" x14ac:dyDescent="0.2">
      <c r="A2044" t="s">
        <v>770</v>
      </c>
      <c r="B2044" t="s">
        <v>771</v>
      </c>
      <c r="C2044" t="s">
        <v>582</v>
      </c>
      <c r="D2044" t="s">
        <v>105</v>
      </c>
      <c r="E2044">
        <v>169.99</v>
      </c>
      <c r="F2044">
        <v>0</v>
      </c>
      <c r="G2044">
        <v>9</v>
      </c>
      <c r="H2044" t="s">
        <v>5085</v>
      </c>
      <c r="I2044">
        <v>0</v>
      </c>
      <c r="J2044">
        <v>0</v>
      </c>
      <c r="K2044">
        <v>1</v>
      </c>
    </row>
    <row r="2045" spans="1:11" x14ac:dyDescent="0.2">
      <c r="A2045" t="s">
        <v>5698</v>
      </c>
      <c r="B2045" t="s">
        <v>5699</v>
      </c>
      <c r="C2045" t="s">
        <v>3183</v>
      </c>
      <c r="D2045" t="s">
        <v>98</v>
      </c>
      <c r="E2045">
        <v>69.989999999999995</v>
      </c>
      <c r="F2045">
        <v>0</v>
      </c>
      <c r="H2045" t="s">
        <v>5085</v>
      </c>
      <c r="I2045">
        <v>0</v>
      </c>
      <c r="J2045">
        <v>0</v>
      </c>
      <c r="K2045">
        <v>1</v>
      </c>
    </row>
    <row r="2046" spans="1:11" x14ac:dyDescent="0.2">
      <c r="A2046" t="s">
        <v>768</v>
      </c>
      <c r="B2046" t="s">
        <v>769</v>
      </c>
      <c r="C2046" t="s">
        <v>582</v>
      </c>
      <c r="D2046" t="s">
        <v>105</v>
      </c>
      <c r="E2046">
        <v>119.99</v>
      </c>
      <c r="F2046">
        <v>0</v>
      </c>
      <c r="G2046">
        <v>3</v>
      </c>
      <c r="H2046" t="s">
        <v>5085</v>
      </c>
      <c r="I2046">
        <v>0</v>
      </c>
      <c r="J2046">
        <v>0</v>
      </c>
      <c r="K2046">
        <v>4</v>
      </c>
    </row>
    <row r="2047" spans="1:11" x14ac:dyDescent="0.2">
      <c r="A2047" t="s">
        <v>5602</v>
      </c>
      <c r="B2047" t="s">
        <v>5603</v>
      </c>
      <c r="C2047" t="s">
        <v>582</v>
      </c>
      <c r="D2047" t="s">
        <v>98</v>
      </c>
      <c r="E2047">
        <v>79.989999999999995</v>
      </c>
      <c r="F2047">
        <v>0</v>
      </c>
      <c r="H2047" t="s">
        <v>5085</v>
      </c>
      <c r="I2047">
        <v>0</v>
      </c>
      <c r="J2047">
        <v>0</v>
      </c>
      <c r="K2047">
        <v>0</v>
      </c>
    </row>
    <row r="2048" spans="1:11" x14ac:dyDescent="0.2">
      <c r="A2048" t="s">
        <v>3335</v>
      </c>
      <c r="B2048" t="s">
        <v>3336</v>
      </c>
      <c r="C2048" t="s">
        <v>3291</v>
      </c>
      <c r="D2048" t="s">
        <v>98</v>
      </c>
      <c r="E2048">
        <v>69.989999999999995</v>
      </c>
      <c r="F2048">
        <v>0</v>
      </c>
      <c r="H2048" t="s">
        <v>5085</v>
      </c>
      <c r="I2048">
        <v>0</v>
      </c>
      <c r="J2048">
        <v>0</v>
      </c>
      <c r="K2048">
        <v>0</v>
      </c>
    </row>
    <row r="2049" spans="1:11" x14ac:dyDescent="0.2">
      <c r="A2049" t="s">
        <v>374</v>
      </c>
      <c r="B2049" t="s">
        <v>375</v>
      </c>
      <c r="C2049" t="s">
        <v>307</v>
      </c>
      <c r="D2049" t="s">
        <v>98</v>
      </c>
      <c r="E2049">
        <v>1899.99</v>
      </c>
      <c r="F2049">
        <v>0</v>
      </c>
      <c r="H2049" t="s">
        <v>5085</v>
      </c>
      <c r="I2049">
        <v>0</v>
      </c>
      <c r="J2049">
        <v>0</v>
      </c>
      <c r="K2049">
        <v>0</v>
      </c>
    </row>
    <row r="2050" spans="1:11" x14ac:dyDescent="0.2">
      <c r="A2050" t="s">
        <v>666</v>
      </c>
      <c r="B2050" t="s">
        <v>667</v>
      </c>
      <c r="C2050" t="s">
        <v>582</v>
      </c>
      <c r="D2050" t="s">
        <v>105</v>
      </c>
      <c r="E2050">
        <v>109.99</v>
      </c>
      <c r="F2050">
        <v>0</v>
      </c>
      <c r="G2050">
        <v>2</v>
      </c>
      <c r="H2050" t="s">
        <v>5085</v>
      </c>
      <c r="I2050">
        <v>0</v>
      </c>
      <c r="J2050">
        <v>0</v>
      </c>
      <c r="K2050">
        <v>1</v>
      </c>
    </row>
    <row r="2051" spans="1:11" x14ac:dyDescent="0.2">
      <c r="A2051" t="s">
        <v>726</v>
      </c>
      <c r="B2051" t="s">
        <v>727</v>
      </c>
      <c r="C2051" t="s">
        <v>582</v>
      </c>
      <c r="D2051" t="s">
        <v>105</v>
      </c>
      <c r="E2051">
        <v>149.99</v>
      </c>
      <c r="F2051">
        <v>0</v>
      </c>
      <c r="G2051">
        <v>50</v>
      </c>
      <c r="H2051" t="s">
        <v>5085</v>
      </c>
      <c r="I2051">
        <v>0</v>
      </c>
      <c r="J2051">
        <v>0</v>
      </c>
      <c r="K2051">
        <v>2</v>
      </c>
    </row>
    <row r="2052" spans="1:11" x14ac:dyDescent="0.2">
      <c r="A2052" t="s">
        <v>2103</v>
      </c>
      <c r="B2052" t="s">
        <v>2104</v>
      </c>
      <c r="C2052" t="s">
        <v>2094</v>
      </c>
      <c r="D2052" t="s">
        <v>98</v>
      </c>
      <c r="E2052">
        <v>139.99</v>
      </c>
      <c r="F2052">
        <v>0</v>
      </c>
      <c r="H2052" t="s">
        <v>5085</v>
      </c>
      <c r="I2052">
        <v>0</v>
      </c>
      <c r="J2052">
        <v>0</v>
      </c>
      <c r="K2052">
        <v>0</v>
      </c>
    </row>
    <row r="2053" spans="1:11" x14ac:dyDescent="0.2">
      <c r="A2053" t="s">
        <v>299</v>
      </c>
      <c r="B2053" t="s">
        <v>300</v>
      </c>
      <c r="C2053" t="s">
        <v>288</v>
      </c>
      <c r="D2053" t="s">
        <v>98</v>
      </c>
      <c r="E2053">
        <v>199.99</v>
      </c>
      <c r="F2053">
        <v>0</v>
      </c>
      <c r="H2053" t="s">
        <v>5085</v>
      </c>
      <c r="I2053">
        <v>0</v>
      </c>
      <c r="J2053">
        <v>0</v>
      </c>
      <c r="K2053">
        <v>0</v>
      </c>
    </row>
    <row r="2054" spans="1:11" x14ac:dyDescent="0.2">
      <c r="A2054" t="s">
        <v>5150</v>
      </c>
      <c r="B2054" t="s">
        <v>5151</v>
      </c>
      <c r="C2054" t="s">
        <v>904</v>
      </c>
      <c r="D2054" t="s">
        <v>98</v>
      </c>
      <c r="E2054">
        <v>49.99</v>
      </c>
      <c r="F2054">
        <v>0</v>
      </c>
      <c r="H2054" t="s">
        <v>5085</v>
      </c>
      <c r="I2054">
        <v>0</v>
      </c>
      <c r="J2054">
        <v>0</v>
      </c>
      <c r="K2054">
        <v>0</v>
      </c>
    </row>
    <row r="2055" spans="1:11" x14ac:dyDescent="0.2">
      <c r="A2055" t="s">
        <v>197</v>
      </c>
      <c r="B2055" t="s">
        <v>198</v>
      </c>
      <c r="C2055" t="s">
        <v>186</v>
      </c>
      <c r="D2055" t="s">
        <v>98</v>
      </c>
      <c r="E2055">
        <v>44.99</v>
      </c>
      <c r="F2055">
        <v>0</v>
      </c>
      <c r="H2055" t="s">
        <v>5085</v>
      </c>
      <c r="I2055">
        <v>0</v>
      </c>
      <c r="J2055">
        <v>0</v>
      </c>
      <c r="K2055">
        <v>0</v>
      </c>
    </row>
    <row r="2056" spans="1:11" x14ac:dyDescent="0.2">
      <c r="A2056" t="s">
        <v>3486</v>
      </c>
      <c r="B2056" t="s">
        <v>3487</v>
      </c>
      <c r="C2056" t="s">
        <v>3349</v>
      </c>
      <c r="D2056" t="s">
        <v>105</v>
      </c>
      <c r="E2056">
        <v>199.99</v>
      </c>
      <c r="F2056">
        <v>0</v>
      </c>
      <c r="G2056">
        <v>31</v>
      </c>
      <c r="H2056" t="s">
        <v>5085</v>
      </c>
      <c r="I2056">
        <v>0</v>
      </c>
      <c r="J2056">
        <v>0</v>
      </c>
      <c r="K2056">
        <v>1</v>
      </c>
    </row>
    <row r="2057" spans="1:11" x14ac:dyDescent="0.2">
      <c r="A2057" t="s">
        <v>3134</v>
      </c>
      <c r="B2057" t="s">
        <v>3135</v>
      </c>
      <c r="C2057" t="s">
        <v>3133</v>
      </c>
      <c r="D2057" t="s">
        <v>98</v>
      </c>
      <c r="E2057">
        <v>53.99</v>
      </c>
      <c r="F2057">
        <v>0</v>
      </c>
      <c r="H2057" t="s">
        <v>5085</v>
      </c>
      <c r="I2057">
        <v>0</v>
      </c>
      <c r="J2057">
        <v>0</v>
      </c>
      <c r="K2057">
        <v>0</v>
      </c>
    </row>
    <row r="2058" spans="1:11" x14ac:dyDescent="0.2">
      <c r="A2058" t="s">
        <v>195</v>
      </c>
      <c r="B2058" t="s">
        <v>196</v>
      </c>
      <c r="C2058" t="s">
        <v>186</v>
      </c>
      <c r="D2058" t="s">
        <v>98</v>
      </c>
      <c r="E2058">
        <v>44.99</v>
      </c>
      <c r="F2058">
        <v>0</v>
      </c>
      <c r="H2058" t="s">
        <v>5085</v>
      </c>
      <c r="I2058">
        <v>0</v>
      </c>
      <c r="J2058">
        <v>0</v>
      </c>
      <c r="K2058">
        <v>0</v>
      </c>
    </row>
    <row r="2059" spans="1:11" x14ac:dyDescent="0.2">
      <c r="A2059" t="s">
        <v>350</v>
      </c>
      <c r="B2059" t="s">
        <v>351</v>
      </c>
      <c r="C2059" t="s">
        <v>307</v>
      </c>
      <c r="D2059" t="s">
        <v>98</v>
      </c>
      <c r="E2059">
        <v>399.99</v>
      </c>
      <c r="F2059">
        <v>0</v>
      </c>
      <c r="H2059" t="s">
        <v>5085</v>
      </c>
      <c r="I2059">
        <v>0</v>
      </c>
      <c r="J2059">
        <v>0</v>
      </c>
      <c r="K2059">
        <v>0</v>
      </c>
    </row>
    <row r="2060" spans="1:11" x14ac:dyDescent="0.2">
      <c r="A2060" t="s">
        <v>3484</v>
      </c>
      <c r="B2060" t="s">
        <v>3485</v>
      </c>
      <c r="C2060" t="s">
        <v>3349</v>
      </c>
      <c r="D2060" t="s">
        <v>98</v>
      </c>
      <c r="E2060">
        <v>529.99</v>
      </c>
      <c r="F2060">
        <v>0</v>
      </c>
      <c r="H2060" t="s">
        <v>5085</v>
      </c>
      <c r="I2060">
        <v>0</v>
      </c>
      <c r="J2060">
        <v>0</v>
      </c>
      <c r="K2060">
        <v>0</v>
      </c>
    </row>
    <row r="2061" spans="1:11" x14ac:dyDescent="0.2">
      <c r="A2061" t="s">
        <v>3488</v>
      </c>
      <c r="B2061" t="s">
        <v>3489</v>
      </c>
      <c r="C2061" t="s">
        <v>3349</v>
      </c>
      <c r="D2061" t="s">
        <v>105</v>
      </c>
      <c r="E2061">
        <v>369.99</v>
      </c>
      <c r="F2061">
        <v>0</v>
      </c>
      <c r="H2061" t="s">
        <v>5085</v>
      </c>
      <c r="I2061">
        <v>0</v>
      </c>
      <c r="J2061">
        <v>0</v>
      </c>
      <c r="K2061">
        <v>0</v>
      </c>
    </row>
    <row r="2062" spans="1:11" x14ac:dyDescent="0.2">
      <c r="A2062" t="s">
        <v>5241</v>
      </c>
      <c r="B2062" t="s">
        <v>5242</v>
      </c>
      <c r="C2062" t="s">
        <v>582</v>
      </c>
      <c r="D2062" t="s">
        <v>98</v>
      </c>
      <c r="E2062">
        <v>79.989999999999995</v>
      </c>
      <c r="F2062">
        <v>0</v>
      </c>
      <c r="H2062" t="s">
        <v>5085</v>
      </c>
      <c r="I2062">
        <v>0</v>
      </c>
      <c r="J2062">
        <v>0</v>
      </c>
      <c r="K2062">
        <v>0</v>
      </c>
    </row>
    <row r="2063" spans="1:11" x14ac:dyDescent="0.2">
      <c r="A2063" t="s">
        <v>378</v>
      </c>
      <c r="B2063" t="s">
        <v>379</v>
      </c>
      <c r="C2063" t="s">
        <v>307</v>
      </c>
      <c r="D2063" t="s">
        <v>98</v>
      </c>
      <c r="E2063">
        <v>4999.99</v>
      </c>
      <c r="F2063">
        <v>0</v>
      </c>
      <c r="H2063" t="s">
        <v>5085</v>
      </c>
      <c r="I2063">
        <v>0</v>
      </c>
      <c r="J2063">
        <v>0</v>
      </c>
      <c r="K2063">
        <v>0</v>
      </c>
    </row>
    <row r="2064" spans="1:11" x14ac:dyDescent="0.2">
      <c r="A2064" t="s">
        <v>3495</v>
      </c>
      <c r="B2064" t="s">
        <v>3496</v>
      </c>
      <c r="C2064" t="s">
        <v>3494</v>
      </c>
      <c r="D2064" t="s">
        <v>138</v>
      </c>
      <c r="E2064">
        <v>169.99</v>
      </c>
      <c r="F2064">
        <v>0</v>
      </c>
      <c r="H2064" t="s">
        <v>5085</v>
      </c>
      <c r="I2064">
        <v>0</v>
      </c>
      <c r="J2064">
        <v>0</v>
      </c>
      <c r="K2064">
        <v>0</v>
      </c>
    </row>
    <row r="2065" spans="1:11" x14ac:dyDescent="0.2">
      <c r="A2065" t="s">
        <v>122</v>
      </c>
      <c r="B2065" t="s">
        <v>123</v>
      </c>
      <c r="C2065" t="s">
        <v>95</v>
      </c>
      <c r="D2065" t="s">
        <v>105</v>
      </c>
      <c r="E2065">
        <v>169.99</v>
      </c>
      <c r="F2065">
        <v>0</v>
      </c>
      <c r="G2065">
        <v>107</v>
      </c>
      <c r="H2065" t="s">
        <v>5085</v>
      </c>
      <c r="I2065">
        <v>0</v>
      </c>
      <c r="J2065">
        <v>0</v>
      </c>
      <c r="K2065">
        <v>2</v>
      </c>
    </row>
    <row r="2066" spans="1:11" x14ac:dyDescent="0.2">
      <c r="A2066" t="s">
        <v>5140</v>
      </c>
      <c r="B2066" t="s">
        <v>5141</v>
      </c>
      <c r="C2066" t="s">
        <v>904</v>
      </c>
      <c r="D2066" t="s">
        <v>98</v>
      </c>
      <c r="E2066">
        <v>29.99</v>
      </c>
      <c r="F2066">
        <v>0</v>
      </c>
      <c r="H2066" t="s">
        <v>5085</v>
      </c>
      <c r="I2066">
        <v>0</v>
      </c>
      <c r="J2066">
        <v>0</v>
      </c>
      <c r="K2066">
        <v>0</v>
      </c>
    </row>
    <row r="2067" spans="1:11" x14ac:dyDescent="0.2">
      <c r="A2067" t="s">
        <v>3497</v>
      </c>
      <c r="B2067" t="s">
        <v>3498</v>
      </c>
      <c r="C2067" t="s">
        <v>3494</v>
      </c>
      <c r="D2067" t="s">
        <v>138</v>
      </c>
      <c r="E2067">
        <v>49.99</v>
      </c>
      <c r="F2067">
        <v>0</v>
      </c>
      <c r="H2067" t="s">
        <v>5085</v>
      </c>
      <c r="I2067">
        <v>0</v>
      </c>
      <c r="J2067">
        <v>0</v>
      </c>
      <c r="K2067">
        <v>0</v>
      </c>
    </row>
    <row r="2068" spans="1:11" x14ac:dyDescent="0.2">
      <c r="A2068" t="s">
        <v>203</v>
      </c>
      <c r="B2068" t="s">
        <v>204</v>
      </c>
      <c r="C2068" t="s">
        <v>186</v>
      </c>
      <c r="D2068" t="s">
        <v>98</v>
      </c>
      <c r="E2068">
        <v>59.99</v>
      </c>
      <c r="F2068">
        <v>0</v>
      </c>
      <c r="H2068" t="s">
        <v>5085</v>
      </c>
      <c r="I2068">
        <v>0</v>
      </c>
      <c r="J2068">
        <v>0</v>
      </c>
      <c r="K2068">
        <v>0</v>
      </c>
    </row>
    <row r="2069" spans="1:11" x14ac:dyDescent="0.2">
      <c r="A2069" t="s">
        <v>139</v>
      </c>
      <c r="B2069" t="s">
        <v>140</v>
      </c>
      <c r="C2069" t="s">
        <v>95</v>
      </c>
      <c r="D2069" t="s">
        <v>138</v>
      </c>
      <c r="E2069">
        <v>79.989999999999995</v>
      </c>
      <c r="F2069">
        <v>79.989999999999995</v>
      </c>
      <c r="G2069">
        <v>40</v>
      </c>
      <c r="H2069" t="s">
        <v>5085</v>
      </c>
      <c r="I2069">
        <v>0</v>
      </c>
      <c r="J2069">
        <v>0</v>
      </c>
      <c r="K2069">
        <v>2</v>
      </c>
    </row>
    <row r="2070" spans="1:11" x14ac:dyDescent="0.2">
      <c r="A2070" t="s">
        <v>3482</v>
      </c>
      <c r="B2070" t="s">
        <v>3483</v>
      </c>
      <c r="C2070" t="s">
        <v>3349</v>
      </c>
      <c r="D2070" t="s">
        <v>105</v>
      </c>
      <c r="E2070">
        <v>249.99</v>
      </c>
      <c r="F2070">
        <v>0</v>
      </c>
      <c r="H2070" t="s">
        <v>5085</v>
      </c>
      <c r="I2070">
        <v>0</v>
      </c>
      <c r="J2070">
        <v>0</v>
      </c>
      <c r="K2070">
        <v>0</v>
      </c>
    </row>
    <row r="2071" spans="1:11" x14ac:dyDescent="0.2">
      <c r="A2071" t="s">
        <v>380</v>
      </c>
      <c r="B2071" t="s">
        <v>381</v>
      </c>
      <c r="C2071" t="s">
        <v>307</v>
      </c>
      <c r="D2071" t="s">
        <v>98</v>
      </c>
      <c r="E2071">
        <v>6999.99</v>
      </c>
      <c r="F2071">
        <v>0</v>
      </c>
      <c r="H2071" t="s">
        <v>5085</v>
      </c>
      <c r="I2071">
        <v>0</v>
      </c>
      <c r="J2071">
        <v>0</v>
      </c>
      <c r="K2071">
        <v>0</v>
      </c>
    </row>
    <row r="2072" spans="1:11" x14ac:dyDescent="0.2">
      <c r="A2072" t="s">
        <v>3140</v>
      </c>
      <c r="B2072" t="s">
        <v>3141</v>
      </c>
      <c r="C2072" t="s">
        <v>3133</v>
      </c>
      <c r="D2072" t="s">
        <v>98</v>
      </c>
      <c r="E2072">
        <v>24.99</v>
      </c>
      <c r="F2072">
        <v>0</v>
      </c>
      <c r="H2072" t="s">
        <v>5085</v>
      </c>
      <c r="I2072">
        <v>0</v>
      </c>
      <c r="J2072">
        <v>0</v>
      </c>
      <c r="K2072">
        <v>0</v>
      </c>
    </row>
    <row r="2073" spans="1:11" x14ac:dyDescent="0.2">
      <c r="A2073" t="s">
        <v>764</v>
      </c>
      <c r="B2073" t="s">
        <v>765</v>
      </c>
      <c r="C2073" t="s">
        <v>582</v>
      </c>
      <c r="D2073" t="s">
        <v>105</v>
      </c>
      <c r="E2073">
        <v>59.99</v>
      </c>
      <c r="F2073">
        <v>0</v>
      </c>
      <c r="H2073" t="s">
        <v>5085</v>
      </c>
      <c r="I2073">
        <v>0</v>
      </c>
      <c r="J2073">
        <v>0</v>
      </c>
      <c r="K2073">
        <v>0</v>
      </c>
    </row>
    <row r="2074" spans="1:11" x14ac:dyDescent="0.2">
      <c r="A2074" t="s">
        <v>918</v>
      </c>
      <c r="B2074" t="s">
        <v>919</v>
      </c>
      <c r="C2074" t="s">
        <v>911</v>
      </c>
      <c r="D2074" t="s">
        <v>105</v>
      </c>
      <c r="E2074">
        <v>59.99</v>
      </c>
      <c r="F2074">
        <v>0</v>
      </c>
      <c r="G2074">
        <v>143</v>
      </c>
      <c r="H2074" t="s">
        <v>5085</v>
      </c>
      <c r="I2074">
        <v>0</v>
      </c>
      <c r="J2074">
        <v>0</v>
      </c>
      <c r="K2074">
        <v>0</v>
      </c>
    </row>
    <row r="2075" spans="1:11" x14ac:dyDescent="0.2">
      <c r="A2075" t="s">
        <v>3474</v>
      </c>
      <c r="B2075" t="s">
        <v>3475</v>
      </c>
      <c r="C2075" t="s">
        <v>3349</v>
      </c>
      <c r="D2075" t="s">
        <v>105</v>
      </c>
      <c r="E2075">
        <v>119.99</v>
      </c>
      <c r="F2075">
        <v>0</v>
      </c>
      <c r="G2075">
        <v>13</v>
      </c>
      <c r="H2075" t="s">
        <v>5085</v>
      </c>
      <c r="I2075">
        <v>0</v>
      </c>
      <c r="J2075">
        <v>0</v>
      </c>
      <c r="K2075">
        <v>0</v>
      </c>
    </row>
    <row r="2076" spans="1:11" x14ac:dyDescent="0.2">
      <c r="A2076" t="s">
        <v>191</v>
      </c>
      <c r="B2076" t="s">
        <v>192</v>
      </c>
      <c r="C2076" t="s">
        <v>186</v>
      </c>
      <c r="D2076" t="s">
        <v>98</v>
      </c>
      <c r="E2076">
        <v>39.99</v>
      </c>
      <c r="F2076">
        <v>0</v>
      </c>
      <c r="H2076" t="s">
        <v>5085</v>
      </c>
      <c r="I2076">
        <v>0</v>
      </c>
      <c r="J2076">
        <v>0</v>
      </c>
      <c r="K2076">
        <v>0</v>
      </c>
    </row>
    <row r="2077" spans="1:11" x14ac:dyDescent="0.2">
      <c r="A2077" t="s">
        <v>199</v>
      </c>
      <c r="B2077" t="s">
        <v>200</v>
      </c>
      <c r="C2077" t="s">
        <v>186</v>
      </c>
      <c r="D2077" t="s">
        <v>98</v>
      </c>
      <c r="E2077">
        <v>119.99</v>
      </c>
      <c r="F2077">
        <v>0</v>
      </c>
      <c r="H2077" t="s">
        <v>5085</v>
      </c>
      <c r="I2077">
        <v>0</v>
      </c>
      <c r="J2077">
        <v>0</v>
      </c>
      <c r="K2077">
        <v>0</v>
      </c>
    </row>
    <row r="2078" spans="1:11" x14ac:dyDescent="0.2">
      <c r="A2078" t="s">
        <v>207</v>
      </c>
      <c r="B2078" t="s">
        <v>208</v>
      </c>
      <c r="C2078" t="s">
        <v>186</v>
      </c>
      <c r="D2078" t="s">
        <v>138</v>
      </c>
      <c r="E2078">
        <v>79.989999999999995</v>
      </c>
      <c r="F2078">
        <v>0</v>
      </c>
      <c r="G2078">
        <v>1</v>
      </c>
      <c r="H2078" t="s">
        <v>5085</v>
      </c>
      <c r="I2078">
        <v>0</v>
      </c>
      <c r="J2078">
        <v>0</v>
      </c>
      <c r="K2078">
        <v>0</v>
      </c>
    </row>
    <row r="2079" spans="1:11" x14ac:dyDescent="0.2">
      <c r="A2079" t="s">
        <v>348</v>
      </c>
      <c r="B2079" t="s">
        <v>349</v>
      </c>
      <c r="C2079" t="s">
        <v>307</v>
      </c>
      <c r="D2079" t="s">
        <v>98</v>
      </c>
      <c r="E2079">
        <v>299.99</v>
      </c>
      <c r="F2079">
        <v>0</v>
      </c>
      <c r="H2079" t="s">
        <v>5085</v>
      </c>
      <c r="I2079">
        <v>0</v>
      </c>
      <c r="J2079">
        <v>0</v>
      </c>
      <c r="K2079">
        <v>0</v>
      </c>
    </row>
    <row r="2080" spans="1:11" x14ac:dyDescent="0.2">
      <c r="A2080" t="s">
        <v>3478</v>
      </c>
      <c r="B2080" t="s">
        <v>3479</v>
      </c>
      <c r="C2080" t="s">
        <v>3349</v>
      </c>
      <c r="D2080" t="s">
        <v>105</v>
      </c>
      <c r="E2080">
        <v>189.99</v>
      </c>
      <c r="F2080">
        <v>0</v>
      </c>
      <c r="G2080">
        <v>83</v>
      </c>
      <c r="H2080" t="s">
        <v>5085</v>
      </c>
      <c r="I2080">
        <v>0</v>
      </c>
      <c r="J2080">
        <v>0</v>
      </c>
      <c r="K2080">
        <v>0</v>
      </c>
    </row>
    <row r="2081" spans="1:11" x14ac:dyDescent="0.2">
      <c r="A2081" t="s">
        <v>5189</v>
      </c>
      <c r="B2081" t="s">
        <v>5190</v>
      </c>
      <c r="C2081" t="s">
        <v>904</v>
      </c>
      <c r="D2081" t="s">
        <v>98</v>
      </c>
      <c r="E2081">
        <v>59.99</v>
      </c>
      <c r="F2081">
        <v>0</v>
      </c>
      <c r="H2081" t="s">
        <v>5085</v>
      </c>
      <c r="I2081">
        <v>0</v>
      </c>
      <c r="J2081">
        <v>0</v>
      </c>
      <c r="K2081">
        <v>0</v>
      </c>
    </row>
    <row r="2082" spans="1:11" x14ac:dyDescent="0.2">
      <c r="A2082" t="s">
        <v>3480</v>
      </c>
      <c r="B2082" t="s">
        <v>3481</v>
      </c>
      <c r="C2082" t="s">
        <v>3349</v>
      </c>
      <c r="D2082" t="s">
        <v>138</v>
      </c>
      <c r="E2082">
        <v>189.99</v>
      </c>
      <c r="F2082">
        <v>0</v>
      </c>
      <c r="G2082">
        <v>58</v>
      </c>
      <c r="H2082" t="s">
        <v>5085</v>
      </c>
      <c r="I2082">
        <v>0</v>
      </c>
      <c r="J2082">
        <v>0</v>
      </c>
      <c r="K2082">
        <v>0</v>
      </c>
    </row>
    <row r="2083" spans="1:11" x14ac:dyDescent="0.2">
      <c r="A2083" t="s">
        <v>382</v>
      </c>
      <c r="B2083" t="s">
        <v>383</v>
      </c>
      <c r="C2083" t="s">
        <v>307</v>
      </c>
      <c r="D2083" t="s">
        <v>98</v>
      </c>
      <c r="E2083">
        <v>9999.99</v>
      </c>
      <c r="F2083">
        <v>0</v>
      </c>
      <c r="H2083" t="s">
        <v>5085</v>
      </c>
      <c r="I2083">
        <v>0</v>
      </c>
      <c r="J2083">
        <v>0</v>
      </c>
      <c r="K2083">
        <v>0</v>
      </c>
    </row>
    <row r="2084" spans="1:11" x14ac:dyDescent="0.2">
      <c r="A2084" t="s">
        <v>766</v>
      </c>
      <c r="B2084" t="s">
        <v>767</v>
      </c>
      <c r="C2084" t="s">
        <v>582</v>
      </c>
      <c r="D2084" t="s">
        <v>105</v>
      </c>
      <c r="E2084">
        <v>59.99</v>
      </c>
      <c r="F2084">
        <v>0</v>
      </c>
      <c r="H2084" t="s">
        <v>5085</v>
      </c>
      <c r="I2084">
        <v>0</v>
      </c>
      <c r="J2084">
        <v>0</v>
      </c>
      <c r="K2084">
        <v>0</v>
      </c>
    </row>
    <row r="2085" spans="1:11" x14ac:dyDescent="0.2">
      <c r="A2085" t="s">
        <v>5179</v>
      </c>
      <c r="B2085" t="s">
        <v>5180</v>
      </c>
      <c r="C2085" t="s">
        <v>904</v>
      </c>
      <c r="D2085" t="s">
        <v>98</v>
      </c>
      <c r="E2085">
        <v>49.99</v>
      </c>
      <c r="F2085">
        <v>0</v>
      </c>
      <c r="H2085" t="s">
        <v>5085</v>
      </c>
      <c r="I2085">
        <v>0</v>
      </c>
      <c r="J2085">
        <v>0</v>
      </c>
      <c r="K2085">
        <v>0</v>
      </c>
    </row>
    <row r="2086" spans="1:11" x14ac:dyDescent="0.2">
      <c r="A2086" t="s">
        <v>400</v>
      </c>
      <c r="B2086" t="s">
        <v>401</v>
      </c>
      <c r="C2086" t="s">
        <v>307</v>
      </c>
      <c r="D2086" t="s">
        <v>98</v>
      </c>
      <c r="E2086">
        <v>79.989999999999995</v>
      </c>
      <c r="F2086">
        <v>0</v>
      </c>
      <c r="H2086" t="s">
        <v>5085</v>
      </c>
      <c r="I2086">
        <v>0</v>
      </c>
      <c r="J2086">
        <v>0</v>
      </c>
      <c r="K2086">
        <v>1</v>
      </c>
    </row>
    <row r="2087" spans="1:11" x14ac:dyDescent="0.2">
      <c r="A2087" t="s">
        <v>209</v>
      </c>
      <c r="B2087" t="s">
        <v>210</v>
      </c>
      <c r="C2087" t="s">
        <v>186</v>
      </c>
      <c r="D2087" t="s">
        <v>98</v>
      </c>
      <c r="E2087">
        <v>69.989999999999995</v>
      </c>
      <c r="F2087">
        <v>0</v>
      </c>
      <c r="H2087" t="s">
        <v>5085</v>
      </c>
      <c r="I2087">
        <v>0</v>
      </c>
      <c r="J2087">
        <v>0</v>
      </c>
      <c r="K2087">
        <v>0</v>
      </c>
    </row>
    <row r="2088" spans="1:11" x14ac:dyDescent="0.2">
      <c r="A2088" t="s">
        <v>5134</v>
      </c>
      <c r="B2088" t="s">
        <v>5135</v>
      </c>
      <c r="C2088" t="s">
        <v>904</v>
      </c>
      <c r="D2088" t="s">
        <v>98</v>
      </c>
      <c r="E2088">
        <v>49.99</v>
      </c>
      <c r="F2088">
        <v>0</v>
      </c>
      <c r="H2088" t="s">
        <v>5085</v>
      </c>
      <c r="I2088">
        <v>0</v>
      </c>
      <c r="J2088">
        <v>0</v>
      </c>
      <c r="K2088">
        <v>0</v>
      </c>
    </row>
    <row r="2089" spans="1:11" x14ac:dyDescent="0.2">
      <c r="A2089" t="s">
        <v>3513</v>
      </c>
      <c r="B2089" t="s">
        <v>3514</v>
      </c>
      <c r="C2089" t="s">
        <v>3494</v>
      </c>
      <c r="D2089" t="s">
        <v>138</v>
      </c>
      <c r="E2089">
        <v>479.99</v>
      </c>
      <c r="F2089">
        <v>0</v>
      </c>
      <c r="H2089" t="s">
        <v>5085</v>
      </c>
      <c r="I2089">
        <v>0</v>
      </c>
      <c r="J2089">
        <v>0</v>
      </c>
      <c r="K2089">
        <v>0</v>
      </c>
    </row>
    <row r="2090" spans="1:11" x14ac:dyDescent="0.2">
      <c r="A2090" t="s">
        <v>356</v>
      </c>
      <c r="B2090" t="s">
        <v>357</v>
      </c>
      <c r="C2090" t="s">
        <v>307</v>
      </c>
      <c r="D2090" t="s">
        <v>98</v>
      </c>
      <c r="E2090">
        <v>9999.99</v>
      </c>
      <c r="F2090">
        <v>0</v>
      </c>
      <c r="H2090" t="s">
        <v>5085</v>
      </c>
      <c r="I2090">
        <v>0</v>
      </c>
      <c r="J2090">
        <v>0</v>
      </c>
      <c r="K2090">
        <v>0</v>
      </c>
    </row>
    <row r="2091" spans="1:11" x14ac:dyDescent="0.2">
      <c r="A2091" t="s">
        <v>778</v>
      </c>
      <c r="B2091" t="s">
        <v>779</v>
      </c>
      <c r="C2091" t="s">
        <v>582</v>
      </c>
      <c r="D2091" t="s">
        <v>105</v>
      </c>
      <c r="E2091">
        <v>59.99</v>
      </c>
      <c r="F2091">
        <v>0</v>
      </c>
      <c r="G2091">
        <v>26</v>
      </c>
      <c r="H2091" t="s">
        <v>5085</v>
      </c>
      <c r="I2091">
        <v>0</v>
      </c>
      <c r="J2091">
        <v>0</v>
      </c>
      <c r="K2091">
        <v>6</v>
      </c>
    </row>
    <row r="2092" spans="1:11" x14ac:dyDescent="0.2">
      <c r="A2092" t="s">
        <v>700</v>
      </c>
      <c r="B2092" t="s">
        <v>701</v>
      </c>
      <c r="C2092" t="s">
        <v>582</v>
      </c>
      <c r="D2092" t="s">
        <v>105</v>
      </c>
      <c r="E2092">
        <v>59.99</v>
      </c>
      <c r="F2092">
        <v>0</v>
      </c>
      <c r="G2092">
        <v>61</v>
      </c>
      <c r="H2092" t="s">
        <v>5085</v>
      </c>
      <c r="I2092">
        <v>0</v>
      </c>
      <c r="J2092">
        <v>0</v>
      </c>
      <c r="K2092">
        <v>2</v>
      </c>
    </row>
    <row r="2093" spans="1:11" x14ac:dyDescent="0.2">
      <c r="A2093" t="s">
        <v>3515</v>
      </c>
      <c r="B2093" t="s">
        <v>3516</v>
      </c>
      <c r="C2093" t="s">
        <v>3494</v>
      </c>
      <c r="D2093" t="s">
        <v>138</v>
      </c>
      <c r="E2093">
        <v>189.99</v>
      </c>
      <c r="F2093">
        <v>0</v>
      </c>
      <c r="H2093" t="s">
        <v>5085</v>
      </c>
      <c r="I2093">
        <v>0</v>
      </c>
      <c r="J2093">
        <v>0</v>
      </c>
      <c r="K2093">
        <v>0</v>
      </c>
    </row>
    <row r="2094" spans="1:11" x14ac:dyDescent="0.2">
      <c r="A2094" t="s">
        <v>358</v>
      </c>
      <c r="B2094" t="s">
        <v>359</v>
      </c>
      <c r="C2094" t="s">
        <v>307</v>
      </c>
      <c r="D2094" t="s">
        <v>98</v>
      </c>
      <c r="E2094">
        <v>5699.99</v>
      </c>
      <c r="F2094">
        <v>0</v>
      </c>
      <c r="H2094" t="s">
        <v>5085</v>
      </c>
      <c r="I2094">
        <v>0</v>
      </c>
      <c r="J2094">
        <v>0</v>
      </c>
      <c r="K2094">
        <v>0</v>
      </c>
    </row>
    <row r="2095" spans="1:11" x14ac:dyDescent="0.2">
      <c r="A2095" t="s">
        <v>698</v>
      </c>
      <c r="B2095" t="s">
        <v>699</v>
      </c>
      <c r="C2095" t="s">
        <v>582</v>
      </c>
      <c r="D2095" t="s">
        <v>105</v>
      </c>
      <c r="E2095">
        <v>59.99</v>
      </c>
      <c r="F2095">
        <v>0</v>
      </c>
      <c r="G2095">
        <v>34</v>
      </c>
      <c r="H2095" t="s">
        <v>5085</v>
      </c>
      <c r="I2095">
        <v>0</v>
      </c>
      <c r="J2095">
        <v>0</v>
      </c>
      <c r="K2095">
        <v>0</v>
      </c>
    </row>
    <row r="2096" spans="1:11" x14ac:dyDescent="0.2">
      <c r="A2096" t="s">
        <v>3573</v>
      </c>
      <c r="B2096" t="s">
        <v>3574</v>
      </c>
      <c r="C2096" t="s">
        <v>3572</v>
      </c>
      <c r="D2096" t="s">
        <v>98</v>
      </c>
      <c r="E2096">
        <v>529.99</v>
      </c>
      <c r="F2096">
        <v>0</v>
      </c>
      <c r="H2096" t="s">
        <v>5085</v>
      </c>
      <c r="I2096">
        <v>0</v>
      </c>
      <c r="J2096">
        <v>0</v>
      </c>
      <c r="K2096">
        <v>0</v>
      </c>
    </row>
    <row r="2097" spans="1:11" x14ac:dyDescent="0.2">
      <c r="A2097" t="s">
        <v>314</v>
      </c>
      <c r="B2097" t="s">
        <v>315</v>
      </c>
      <c r="C2097" t="s">
        <v>307</v>
      </c>
      <c r="D2097" t="s">
        <v>98</v>
      </c>
      <c r="E2097">
        <v>1299.99</v>
      </c>
      <c r="F2097">
        <v>0</v>
      </c>
      <c r="H2097" t="s">
        <v>5085</v>
      </c>
      <c r="I2097">
        <v>0</v>
      </c>
      <c r="J2097">
        <v>0</v>
      </c>
      <c r="K2097">
        <v>0</v>
      </c>
    </row>
    <row r="2098" spans="1:11" x14ac:dyDescent="0.2">
      <c r="A2098" t="s">
        <v>748</v>
      </c>
      <c r="B2098" t="s">
        <v>749</v>
      </c>
      <c r="C2098" t="s">
        <v>582</v>
      </c>
      <c r="D2098" t="s">
        <v>105</v>
      </c>
      <c r="E2098">
        <v>19.989999999999998</v>
      </c>
      <c r="F2098">
        <v>0</v>
      </c>
      <c r="G2098">
        <v>290</v>
      </c>
      <c r="H2098" t="s">
        <v>5085</v>
      </c>
      <c r="I2098">
        <v>0</v>
      </c>
      <c r="J2098">
        <v>0</v>
      </c>
      <c r="K2098">
        <v>0</v>
      </c>
    </row>
    <row r="2099" spans="1:11" x14ac:dyDescent="0.2">
      <c r="A2099" t="s">
        <v>720</v>
      </c>
      <c r="B2099" t="s">
        <v>721</v>
      </c>
      <c r="C2099" t="s">
        <v>582</v>
      </c>
      <c r="D2099" t="s">
        <v>105</v>
      </c>
      <c r="E2099">
        <v>69.989999999999995</v>
      </c>
      <c r="F2099">
        <v>0</v>
      </c>
      <c r="G2099">
        <v>26</v>
      </c>
      <c r="H2099" t="s">
        <v>5085</v>
      </c>
      <c r="I2099">
        <v>0</v>
      </c>
      <c r="J2099">
        <v>0</v>
      </c>
      <c r="K2099">
        <v>1</v>
      </c>
    </row>
    <row r="2100" spans="1:11" x14ac:dyDescent="0.2">
      <c r="A2100" t="s">
        <v>103</v>
      </c>
      <c r="B2100" t="s">
        <v>104</v>
      </c>
      <c r="C2100" t="s">
        <v>95</v>
      </c>
      <c r="D2100" t="s">
        <v>105</v>
      </c>
      <c r="E2100">
        <v>29.99</v>
      </c>
      <c r="F2100">
        <v>89.97</v>
      </c>
      <c r="G2100">
        <v>18</v>
      </c>
      <c r="H2100" t="s">
        <v>5085</v>
      </c>
      <c r="I2100">
        <v>0</v>
      </c>
      <c r="J2100">
        <v>0</v>
      </c>
      <c r="K2100">
        <v>0</v>
      </c>
    </row>
    <row r="2101" spans="1:11" x14ac:dyDescent="0.2">
      <c r="A2101" t="s">
        <v>110</v>
      </c>
      <c r="B2101" t="s">
        <v>111</v>
      </c>
      <c r="C2101" t="s">
        <v>95</v>
      </c>
      <c r="D2101" t="s">
        <v>105</v>
      </c>
      <c r="E2101">
        <v>39.99</v>
      </c>
      <c r="F2101">
        <v>39.99</v>
      </c>
      <c r="G2101">
        <v>142</v>
      </c>
      <c r="H2101" t="s">
        <v>5085</v>
      </c>
      <c r="I2101">
        <v>0</v>
      </c>
      <c r="J2101">
        <v>0</v>
      </c>
      <c r="K2101">
        <v>1</v>
      </c>
    </row>
    <row r="2102" spans="1:11" x14ac:dyDescent="0.2">
      <c r="A2102" t="s">
        <v>136</v>
      </c>
      <c r="B2102" t="s">
        <v>137</v>
      </c>
      <c r="C2102" t="s">
        <v>95</v>
      </c>
      <c r="D2102" t="s">
        <v>138</v>
      </c>
      <c r="E2102">
        <v>79.989999999999995</v>
      </c>
      <c r="F2102">
        <v>0</v>
      </c>
      <c r="G2102">
        <v>30</v>
      </c>
      <c r="H2102" t="s">
        <v>5085</v>
      </c>
      <c r="I2102">
        <v>0</v>
      </c>
      <c r="J2102">
        <v>0</v>
      </c>
      <c r="K2102">
        <v>2</v>
      </c>
    </row>
    <row r="2103" spans="1:11" x14ac:dyDescent="0.2">
      <c r="A2103" t="s">
        <v>323</v>
      </c>
      <c r="B2103" t="s">
        <v>324</v>
      </c>
      <c r="C2103" t="s">
        <v>307</v>
      </c>
      <c r="D2103" t="s">
        <v>98</v>
      </c>
      <c r="E2103">
        <v>1499.99</v>
      </c>
      <c r="F2103">
        <v>0</v>
      </c>
      <c r="H2103" t="s">
        <v>5085</v>
      </c>
      <c r="I2103">
        <v>0</v>
      </c>
      <c r="J2103">
        <v>0</v>
      </c>
      <c r="K2103">
        <v>0</v>
      </c>
    </row>
    <row r="2104" spans="1:11" x14ac:dyDescent="0.2">
      <c r="A2104" t="s">
        <v>3511</v>
      </c>
      <c r="B2104" t="s">
        <v>3512</v>
      </c>
      <c r="C2104" t="s">
        <v>3494</v>
      </c>
      <c r="D2104" t="s">
        <v>138</v>
      </c>
      <c r="E2104">
        <v>499.99</v>
      </c>
      <c r="F2104">
        <v>0</v>
      </c>
      <c r="H2104" t="s">
        <v>5085</v>
      </c>
      <c r="I2104">
        <v>0</v>
      </c>
      <c r="J2104">
        <v>0</v>
      </c>
      <c r="K2104">
        <v>0</v>
      </c>
    </row>
    <row r="2105" spans="1:11" x14ac:dyDescent="0.2">
      <c r="A2105" t="s">
        <v>3501</v>
      </c>
      <c r="B2105" t="s">
        <v>3502</v>
      </c>
      <c r="C2105" t="s">
        <v>3494</v>
      </c>
      <c r="D2105" t="s">
        <v>138</v>
      </c>
      <c r="E2105">
        <v>129.99</v>
      </c>
      <c r="F2105">
        <v>0</v>
      </c>
      <c r="H2105" t="s">
        <v>5085</v>
      </c>
      <c r="I2105">
        <v>0</v>
      </c>
      <c r="J2105">
        <v>0</v>
      </c>
      <c r="K2105">
        <v>0</v>
      </c>
    </row>
    <row r="2106" spans="1:11" x14ac:dyDescent="0.2">
      <c r="A2106" t="s">
        <v>776</v>
      </c>
      <c r="B2106" t="s">
        <v>777</v>
      </c>
      <c r="C2106" t="s">
        <v>582</v>
      </c>
      <c r="D2106" t="s">
        <v>105</v>
      </c>
      <c r="E2106">
        <v>69.989999999999995</v>
      </c>
      <c r="F2106">
        <v>69.989999999999995</v>
      </c>
      <c r="G2106">
        <v>64</v>
      </c>
      <c r="H2106" t="s">
        <v>5085</v>
      </c>
      <c r="I2106">
        <v>0</v>
      </c>
      <c r="J2106">
        <v>0</v>
      </c>
      <c r="K2106">
        <v>0</v>
      </c>
    </row>
    <row r="2107" spans="1:11" x14ac:dyDescent="0.2">
      <c r="A2107" t="s">
        <v>5152</v>
      </c>
      <c r="B2107" t="s">
        <v>5153</v>
      </c>
      <c r="C2107" t="s">
        <v>904</v>
      </c>
      <c r="D2107" t="s">
        <v>98</v>
      </c>
      <c r="E2107">
        <v>79.989999999999995</v>
      </c>
      <c r="F2107">
        <v>0</v>
      </c>
      <c r="H2107" t="s">
        <v>5085</v>
      </c>
      <c r="I2107">
        <v>0</v>
      </c>
      <c r="J2107">
        <v>0</v>
      </c>
      <c r="K2107">
        <v>0</v>
      </c>
    </row>
    <row r="2108" spans="1:11" x14ac:dyDescent="0.2">
      <c r="A2108" t="s">
        <v>132</v>
      </c>
      <c r="B2108" t="s">
        <v>133</v>
      </c>
      <c r="C2108" t="s">
        <v>95</v>
      </c>
      <c r="D2108" t="s">
        <v>138</v>
      </c>
      <c r="E2108">
        <v>79.989999999999995</v>
      </c>
      <c r="F2108">
        <v>0</v>
      </c>
      <c r="G2108">
        <v>11</v>
      </c>
      <c r="H2108" t="s">
        <v>5085</v>
      </c>
      <c r="I2108">
        <v>0</v>
      </c>
      <c r="J2108">
        <v>0</v>
      </c>
      <c r="K2108">
        <v>0</v>
      </c>
    </row>
    <row r="2109" spans="1:11" x14ac:dyDescent="0.2">
      <c r="A2109" t="s">
        <v>5173</v>
      </c>
      <c r="B2109" t="s">
        <v>5174</v>
      </c>
      <c r="C2109" t="s">
        <v>904</v>
      </c>
      <c r="D2109" t="s">
        <v>98</v>
      </c>
      <c r="E2109">
        <v>169.99</v>
      </c>
      <c r="F2109">
        <v>0</v>
      </c>
      <c r="H2109" t="s">
        <v>5085</v>
      </c>
      <c r="I2109">
        <v>0</v>
      </c>
      <c r="J2109">
        <v>0</v>
      </c>
      <c r="K2109">
        <v>0</v>
      </c>
    </row>
    <row r="2110" spans="1:11" x14ac:dyDescent="0.2">
      <c r="A2110" t="s">
        <v>124</v>
      </c>
      <c r="B2110" t="s">
        <v>125</v>
      </c>
      <c r="C2110" t="s">
        <v>95</v>
      </c>
      <c r="D2110" t="s">
        <v>105</v>
      </c>
      <c r="E2110">
        <v>59.99</v>
      </c>
      <c r="F2110">
        <v>0</v>
      </c>
      <c r="G2110">
        <v>44</v>
      </c>
      <c r="H2110" t="s">
        <v>5085</v>
      </c>
      <c r="I2110">
        <v>0</v>
      </c>
      <c r="J2110">
        <v>0</v>
      </c>
      <c r="K2110">
        <v>2</v>
      </c>
    </row>
    <row r="2111" spans="1:11" x14ac:dyDescent="0.2">
      <c r="A2111" t="s">
        <v>3505</v>
      </c>
      <c r="B2111" t="s">
        <v>3506</v>
      </c>
      <c r="C2111" t="s">
        <v>3494</v>
      </c>
      <c r="D2111" t="s">
        <v>138</v>
      </c>
      <c r="E2111">
        <v>299.99</v>
      </c>
      <c r="F2111">
        <v>0</v>
      </c>
      <c r="H2111" t="s">
        <v>5085</v>
      </c>
      <c r="I2111">
        <v>0</v>
      </c>
      <c r="J2111">
        <v>0</v>
      </c>
      <c r="K2111">
        <v>0</v>
      </c>
    </row>
    <row r="2112" spans="1:11" x14ac:dyDescent="0.2">
      <c r="A2112" t="s">
        <v>5165</v>
      </c>
      <c r="B2112" t="s">
        <v>5166</v>
      </c>
      <c r="C2112" t="s">
        <v>904</v>
      </c>
      <c r="D2112" t="s">
        <v>98</v>
      </c>
      <c r="E2112">
        <v>99.99</v>
      </c>
      <c r="F2112">
        <v>0</v>
      </c>
      <c r="H2112" t="s">
        <v>5085</v>
      </c>
      <c r="I2112">
        <v>0</v>
      </c>
      <c r="J2112">
        <v>0</v>
      </c>
      <c r="K2112">
        <v>0</v>
      </c>
    </row>
    <row r="2113" spans="1:11" x14ac:dyDescent="0.2">
      <c r="A2113" t="s">
        <v>112</v>
      </c>
      <c r="B2113" t="s">
        <v>113</v>
      </c>
      <c r="C2113" t="s">
        <v>95</v>
      </c>
      <c r="D2113" t="s">
        <v>98</v>
      </c>
      <c r="E2113">
        <v>99.99</v>
      </c>
      <c r="F2113">
        <v>0</v>
      </c>
      <c r="H2113" t="s">
        <v>5085</v>
      </c>
      <c r="I2113">
        <v>0</v>
      </c>
      <c r="J2113">
        <v>0</v>
      </c>
      <c r="K2113">
        <v>0</v>
      </c>
    </row>
    <row r="2114" spans="1:11" x14ac:dyDescent="0.2">
      <c r="A2114" t="s">
        <v>5257</v>
      </c>
      <c r="B2114" t="s">
        <v>5258</v>
      </c>
      <c r="C2114" t="s">
        <v>582</v>
      </c>
      <c r="D2114" t="s">
        <v>98</v>
      </c>
      <c r="E2114">
        <v>69.989999999999995</v>
      </c>
      <c r="F2114">
        <v>0</v>
      </c>
      <c r="H2114" t="s">
        <v>5085</v>
      </c>
      <c r="I2114">
        <v>0</v>
      </c>
      <c r="J2114">
        <v>0</v>
      </c>
      <c r="K2114">
        <v>0</v>
      </c>
    </row>
    <row r="2115" spans="1:11" x14ac:dyDescent="0.2">
      <c r="A2115" t="s">
        <v>5164</v>
      </c>
      <c r="B2115" t="s">
        <v>875</v>
      </c>
      <c r="C2115" t="s">
        <v>874</v>
      </c>
      <c r="D2115" t="s">
        <v>98</v>
      </c>
      <c r="E2115">
        <v>79.989999999999995</v>
      </c>
      <c r="F2115">
        <v>0</v>
      </c>
      <c r="H2115" t="s">
        <v>5085</v>
      </c>
      <c r="I2115">
        <v>0</v>
      </c>
      <c r="J2115">
        <v>0</v>
      </c>
      <c r="K2115">
        <v>0</v>
      </c>
    </row>
    <row r="2116" spans="1:11" x14ac:dyDescent="0.2">
      <c r="A2116" t="s">
        <v>3509</v>
      </c>
      <c r="B2116" t="s">
        <v>3510</v>
      </c>
      <c r="C2116" t="s">
        <v>3494</v>
      </c>
      <c r="D2116" t="s">
        <v>138</v>
      </c>
      <c r="E2116">
        <v>149.99</v>
      </c>
      <c r="F2116">
        <v>0</v>
      </c>
      <c r="G2116">
        <v>1</v>
      </c>
      <c r="H2116" t="s">
        <v>5085</v>
      </c>
      <c r="I2116">
        <v>0</v>
      </c>
      <c r="J2116">
        <v>0</v>
      </c>
      <c r="K2116">
        <v>0</v>
      </c>
    </row>
    <row r="2117" spans="1:11" x14ac:dyDescent="0.2">
      <c r="A2117" t="s">
        <v>788</v>
      </c>
      <c r="B2117" t="s">
        <v>789</v>
      </c>
      <c r="C2117" t="s">
        <v>582</v>
      </c>
      <c r="D2117" t="s">
        <v>105</v>
      </c>
      <c r="E2117">
        <v>39.99</v>
      </c>
      <c r="F2117">
        <v>39.99</v>
      </c>
      <c r="G2117">
        <v>117</v>
      </c>
      <c r="H2117" t="s">
        <v>5085</v>
      </c>
      <c r="I2117">
        <v>0</v>
      </c>
      <c r="J2117">
        <v>0</v>
      </c>
      <c r="K2117">
        <v>0</v>
      </c>
    </row>
    <row r="2118" spans="1:11" x14ac:dyDescent="0.2">
      <c r="A2118" t="s">
        <v>3507</v>
      </c>
      <c r="B2118" t="s">
        <v>3508</v>
      </c>
      <c r="C2118" t="s">
        <v>3494</v>
      </c>
      <c r="D2118" t="s">
        <v>138</v>
      </c>
      <c r="E2118">
        <v>359.99</v>
      </c>
      <c r="F2118">
        <v>0</v>
      </c>
      <c r="H2118" t="s">
        <v>5085</v>
      </c>
      <c r="I2118">
        <v>0</v>
      </c>
      <c r="J2118">
        <v>0</v>
      </c>
      <c r="K2118">
        <v>0</v>
      </c>
    </row>
    <row r="2119" spans="1:11" x14ac:dyDescent="0.2">
      <c r="A2119" t="s">
        <v>3472</v>
      </c>
      <c r="B2119" t="s">
        <v>3473</v>
      </c>
      <c r="C2119" t="s">
        <v>3349</v>
      </c>
      <c r="D2119" t="s">
        <v>105</v>
      </c>
      <c r="E2119">
        <v>19.989999999999998</v>
      </c>
      <c r="F2119">
        <v>19.989999999999998</v>
      </c>
      <c r="G2119">
        <v>22</v>
      </c>
      <c r="H2119" t="s">
        <v>5085</v>
      </c>
      <c r="I2119">
        <v>0</v>
      </c>
      <c r="J2119">
        <v>0</v>
      </c>
      <c r="K2119">
        <v>1</v>
      </c>
    </row>
    <row r="2120" spans="1:11" x14ac:dyDescent="0.2">
      <c r="A2120" t="s">
        <v>5146</v>
      </c>
      <c r="B2120" t="s">
        <v>5147</v>
      </c>
      <c r="C2120" t="s">
        <v>904</v>
      </c>
      <c r="D2120" t="s">
        <v>98</v>
      </c>
      <c r="E2120">
        <v>179.99</v>
      </c>
      <c r="F2120">
        <v>0</v>
      </c>
      <c r="H2120" t="s">
        <v>5085</v>
      </c>
      <c r="I2120">
        <v>0</v>
      </c>
      <c r="J2120">
        <v>0</v>
      </c>
      <c r="K2120">
        <v>0</v>
      </c>
    </row>
    <row r="2121" spans="1:11" x14ac:dyDescent="0.2">
      <c r="A2121" t="s">
        <v>920</v>
      </c>
      <c r="B2121" t="s">
        <v>921</v>
      </c>
      <c r="C2121" t="s">
        <v>911</v>
      </c>
      <c r="D2121" t="s">
        <v>105</v>
      </c>
      <c r="E2121">
        <v>89.99</v>
      </c>
      <c r="F2121">
        <v>0</v>
      </c>
      <c r="G2121">
        <v>107</v>
      </c>
      <c r="H2121" t="s">
        <v>5085</v>
      </c>
      <c r="I2121">
        <v>0</v>
      </c>
      <c r="J2121">
        <v>0</v>
      </c>
      <c r="K2121">
        <v>18</v>
      </c>
    </row>
    <row r="2122" spans="1:11" x14ac:dyDescent="0.2">
      <c r="A2122" t="s">
        <v>912</v>
      </c>
      <c r="B2122" t="s">
        <v>913</v>
      </c>
      <c r="C2122" t="s">
        <v>911</v>
      </c>
      <c r="D2122" t="s">
        <v>98</v>
      </c>
      <c r="E2122">
        <v>59.99</v>
      </c>
      <c r="F2122">
        <v>0</v>
      </c>
      <c r="H2122" t="s">
        <v>5085</v>
      </c>
      <c r="I2122">
        <v>0</v>
      </c>
      <c r="J2122">
        <v>0</v>
      </c>
      <c r="K2122">
        <v>0</v>
      </c>
    </row>
    <row r="2123" spans="1:11" x14ac:dyDescent="0.2">
      <c r="A2123" t="s">
        <v>289</v>
      </c>
      <c r="B2123" t="s">
        <v>290</v>
      </c>
      <c r="C2123" t="s">
        <v>288</v>
      </c>
      <c r="D2123" t="s">
        <v>98</v>
      </c>
      <c r="E2123">
        <v>0</v>
      </c>
      <c r="F2123">
        <v>0</v>
      </c>
      <c r="H2123" t="s">
        <v>5085</v>
      </c>
      <c r="I2123">
        <v>0</v>
      </c>
      <c r="J2123">
        <v>0</v>
      </c>
      <c r="K2123">
        <v>0</v>
      </c>
    </row>
    <row r="2124" spans="1:11" x14ac:dyDescent="0.2">
      <c r="A2124" t="s">
        <v>3466</v>
      </c>
      <c r="B2124" t="s">
        <v>3467</v>
      </c>
      <c r="C2124" t="s">
        <v>3349</v>
      </c>
      <c r="D2124" t="s">
        <v>105</v>
      </c>
      <c r="E2124">
        <v>369.99</v>
      </c>
      <c r="F2124">
        <v>0</v>
      </c>
      <c r="H2124" t="s">
        <v>5085</v>
      </c>
      <c r="I2124">
        <v>0</v>
      </c>
      <c r="J2124">
        <v>0</v>
      </c>
      <c r="K2124">
        <v>8</v>
      </c>
    </row>
    <row r="2125" spans="1:11" x14ac:dyDescent="0.2">
      <c r="A2125" t="s">
        <v>3146</v>
      </c>
      <c r="B2125" t="s">
        <v>3147</v>
      </c>
      <c r="C2125" t="s">
        <v>3133</v>
      </c>
      <c r="D2125" t="s">
        <v>98</v>
      </c>
      <c r="E2125">
        <v>644.99</v>
      </c>
      <c r="F2125">
        <v>0</v>
      </c>
      <c r="H2125" t="s">
        <v>5085</v>
      </c>
      <c r="I2125">
        <v>0</v>
      </c>
      <c r="J2125">
        <v>0</v>
      </c>
      <c r="K2125">
        <v>0</v>
      </c>
    </row>
    <row r="2126" spans="1:11" x14ac:dyDescent="0.2">
      <c r="A2126" t="s">
        <v>414</v>
      </c>
      <c r="B2126" t="s">
        <v>415</v>
      </c>
      <c r="C2126" t="s">
        <v>307</v>
      </c>
      <c r="D2126" t="s">
        <v>98</v>
      </c>
      <c r="E2126">
        <v>1899.99</v>
      </c>
      <c r="F2126">
        <v>0</v>
      </c>
      <c r="H2126" t="s">
        <v>5085</v>
      </c>
      <c r="I2126">
        <v>0</v>
      </c>
      <c r="J2126">
        <v>0</v>
      </c>
      <c r="K2126">
        <v>0</v>
      </c>
    </row>
    <row r="2127" spans="1:11" x14ac:dyDescent="0.2">
      <c r="A2127" t="s">
        <v>3448</v>
      </c>
      <c r="B2127" t="s">
        <v>3449</v>
      </c>
      <c r="C2127" t="s">
        <v>3349</v>
      </c>
      <c r="D2127" t="s">
        <v>105</v>
      </c>
      <c r="E2127">
        <v>379.99</v>
      </c>
      <c r="F2127">
        <v>0</v>
      </c>
      <c r="H2127" t="s">
        <v>5085</v>
      </c>
      <c r="I2127">
        <v>0</v>
      </c>
      <c r="J2127">
        <v>0</v>
      </c>
      <c r="K2127">
        <v>1</v>
      </c>
    </row>
    <row r="2128" spans="1:11" x14ac:dyDescent="0.2">
      <c r="A2128" t="s">
        <v>3148</v>
      </c>
      <c r="B2128" t="s">
        <v>3149</v>
      </c>
      <c r="C2128" t="s">
        <v>3133</v>
      </c>
      <c r="D2128" t="s">
        <v>98</v>
      </c>
      <c r="E2128">
        <v>999.99</v>
      </c>
      <c r="F2128">
        <v>0</v>
      </c>
      <c r="H2128" t="s">
        <v>5085</v>
      </c>
      <c r="I2128">
        <v>0</v>
      </c>
      <c r="J2128">
        <v>0</v>
      </c>
      <c r="K2128">
        <v>0</v>
      </c>
    </row>
    <row r="2129" spans="1:11" x14ac:dyDescent="0.2">
      <c r="A2129" t="s">
        <v>394</v>
      </c>
      <c r="B2129" t="s">
        <v>395</v>
      </c>
      <c r="C2129" t="s">
        <v>307</v>
      </c>
      <c r="D2129" t="s">
        <v>98</v>
      </c>
      <c r="E2129">
        <v>999.99</v>
      </c>
      <c r="F2129">
        <v>0</v>
      </c>
      <c r="H2129" t="s">
        <v>5085</v>
      </c>
      <c r="I2129">
        <v>0</v>
      </c>
      <c r="J2129">
        <v>0</v>
      </c>
      <c r="K2129">
        <v>0</v>
      </c>
    </row>
    <row r="2130" spans="1:11" x14ac:dyDescent="0.2">
      <c r="A2130" t="s">
        <v>3464</v>
      </c>
      <c r="B2130" t="s">
        <v>3465</v>
      </c>
      <c r="C2130" t="s">
        <v>3349</v>
      </c>
      <c r="D2130" t="s">
        <v>105</v>
      </c>
      <c r="E2130">
        <v>229.99</v>
      </c>
      <c r="F2130">
        <v>0</v>
      </c>
      <c r="H2130" t="s">
        <v>5085</v>
      </c>
      <c r="I2130">
        <v>0</v>
      </c>
      <c r="J2130">
        <v>0</v>
      </c>
      <c r="K2130">
        <v>8</v>
      </c>
    </row>
    <row r="2131" spans="1:11" x14ac:dyDescent="0.2">
      <c r="A2131" t="s">
        <v>2099</v>
      </c>
      <c r="B2131" t="s">
        <v>2100</v>
      </c>
      <c r="C2131" t="s">
        <v>2094</v>
      </c>
      <c r="D2131" t="s">
        <v>98</v>
      </c>
      <c r="E2131">
        <v>99.99</v>
      </c>
      <c r="F2131">
        <v>0</v>
      </c>
      <c r="H2131" t="s">
        <v>5085</v>
      </c>
      <c r="I2131">
        <v>0</v>
      </c>
      <c r="J2131">
        <v>0</v>
      </c>
      <c r="K2131">
        <v>0</v>
      </c>
    </row>
    <row r="2132" spans="1:11" x14ac:dyDescent="0.2">
      <c r="A2132" t="s">
        <v>762</v>
      </c>
      <c r="B2132" t="s">
        <v>763</v>
      </c>
      <c r="C2132" t="s">
        <v>582</v>
      </c>
      <c r="D2132" t="s">
        <v>98</v>
      </c>
      <c r="E2132">
        <v>59.99</v>
      </c>
      <c r="F2132">
        <v>0</v>
      </c>
      <c r="H2132" t="s">
        <v>5085</v>
      </c>
      <c r="I2132">
        <v>0</v>
      </c>
      <c r="J2132">
        <v>0</v>
      </c>
      <c r="K2132">
        <v>0</v>
      </c>
    </row>
    <row r="2133" spans="1:11" x14ac:dyDescent="0.2">
      <c r="A2133" t="s">
        <v>3150</v>
      </c>
      <c r="B2133" t="s">
        <v>3151</v>
      </c>
      <c r="C2133" t="s">
        <v>3133</v>
      </c>
      <c r="D2133" t="s">
        <v>98</v>
      </c>
      <c r="E2133">
        <v>59.99</v>
      </c>
      <c r="F2133">
        <v>0</v>
      </c>
      <c r="H2133" t="s">
        <v>5085</v>
      </c>
      <c r="I2133">
        <v>0</v>
      </c>
      <c r="J2133">
        <v>0</v>
      </c>
      <c r="K2133">
        <v>0</v>
      </c>
    </row>
    <row r="2134" spans="1:11" x14ac:dyDescent="0.2">
      <c r="A2134" t="s">
        <v>3452</v>
      </c>
      <c r="B2134" t="s">
        <v>3453</v>
      </c>
      <c r="C2134" t="s">
        <v>3349</v>
      </c>
      <c r="D2134" t="s">
        <v>138</v>
      </c>
      <c r="E2134">
        <v>229.99</v>
      </c>
      <c r="F2134">
        <v>0</v>
      </c>
      <c r="H2134" t="s">
        <v>5085</v>
      </c>
      <c r="I2134">
        <v>0</v>
      </c>
      <c r="J2134">
        <v>0</v>
      </c>
      <c r="K2134">
        <v>0</v>
      </c>
    </row>
    <row r="2135" spans="1:11" x14ac:dyDescent="0.2">
      <c r="A2135" t="s">
        <v>760</v>
      </c>
      <c r="B2135" t="s">
        <v>761</v>
      </c>
      <c r="C2135" t="s">
        <v>582</v>
      </c>
      <c r="D2135" t="s">
        <v>105</v>
      </c>
      <c r="E2135">
        <v>59.99</v>
      </c>
      <c r="F2135">
        <v>0</v>
      </c>
      <c r="H2135" t="s">
        <v>5085</v>
      </c>
      <c r="I2135">
        <v>0</v>
      </c>
      <c r="J2135">
        <v>0</v>
      </c>
      <c r="K2135">
        <v>0</v>
      </c>
    </row>
    <row r="2136" spans="1:11" x14ac:dyDescent="0.2">
      <c r="A2136" t="s">
        <v>293</v>
      </c>
      <c r="B2136" t="s">
        <v>294</v>
      </c>
      <c r="C2136" t="s">
        <v>288</v>
      </c>
      <c r="D2136" t="s">
        <v>138</v>
      </c>
      <c r="E2136">
        <v>199.99</v>
      </c>
      <c r="F2136">
        <v>0</v>
      </c>
      <c r="G2136">
        <v>93</v>
      </c>
      <c r="H2136" t="s">
        <v>5085</v>
      </c>
      <c r="I2136">
        <v>0</v>
      </c>
      <c r="J2136">
        <v>0</v>
      </c>
      <c r="K2136">
        <v>0</v>
      </c>
    </row>
    <row r="2137" spans="1:11" x14ac:dyDescent="0.2">
      <c r="A2137" t="s">
        <v>2095</v>
      </c>
      <c r="B2137" t="s">
        <v>2096</v>
      </c>
      <c r="C2137" t="s">
        <v>2094</v>
      </c>
      <c r="D2137" t="s">
        <v>98</v>
      </c>
      <c r="E2137">
        <v>119.99</v>
      </c>
      <c r="F2137">
        <v>0</v>
      </c>
      <c r="H2137" t="s">
        <v>5085</v>
      </c>
      <c r="I2137">
        <v>0</v>
      </c>
      <c r="J2137">
        <v>0</v>
      </c>
      <c r="K2137">
        <v>0</v>
      </c>
    </row>
    <row r="2138" spans="1:11" x14ac:dyDescent="0.2">
      <c r="A2138" t="s">
        <v>330</v>
      </c>
      <c r="B2138" t="s">
        <v>331</v>
      </c>
      <c r="C2138" t="s">
        <v>307</v>
      </c>
      <c r="D2138" t="s">
        <v>98</v>
      </c>
      <c r="E2138">
        <v>2099.9899999999998</v>
      </c>
      <c r="F2138">
        <v>0</v>
      </c>
      <c r="H2138" t="s">
        <v>5085</v>
      </c>
      <c r="I2138">
        <v>0</v>
      </c>
      <c r="J2138">
        <v>0</v>
      </c>
      <c r="K2138">
        <v>1</v>
      </c>
    </row>
    <row r="2139" spans="1:11" x14ac:dyDescent="0.2">
      <c r="A2139" t="s">
        <v>956</v>
      </c>
      <c r="B2139" t="s">
        <v>957</v>
      </c>
      <c r="C2139" t="s">
        <v>911</v>
      </c>
      <c r="D2139" t="s">
        <v>105</v>
      </c>
      <c r="E2139">
        <v>89.99</v>
      </c>
      <c r="F2139">
        <v>0</v>
      </c>
      <c r="G2139">
        <v>205</v>
      </c>
      <c r="H2139" t="s">
        <v>5085</v>
      </c>
      <c r="I2139">
        <v>0</v>
      </c>
      <c r="J2139">
        <v>0</v>
      </c>
      <c r="K2139">
        <v>0</v>
      </c>
    </row>
    <row r="2140" spans="1:11" x14ac:dyDescent="0.2">
      <c r="A2140" t="s">
        <v>3460</v>
      </c>
      <c r="B2140" t="s">
        <v>3461</v>
      </c>
      <c r="C2140" t="s">
        <v>3349</v>
      </c>
      <c r="D2140" t="s">
        <v>105</v>
      </c>
      <c r="E2140">
        <v>24.99</v>
      </c>
      <c r="F2140">
        <v>0</v>
      </c>
      <c r="G2140">
        <v>80</v>
      </c>
      <c r="H2140" t="s">
        <v>5085</v>
      </c>
      <c r="I2140">
        <v>0</v>
      </c>
      <c r="J2140">
        <v>0</v>
      </c>
      <c r="K2140">
        <v>5</v>
      </c>
    </row>
    <row r="2141" spans="1:11" x14ac:dyDescent="0.2">
      <c r="A2141" t="s">
        <v>3152</v>
      </c>
      <c r="B2141" t="s">
        <v>3153</v>
      </c>
      <c r="C2141" t="s">
        <v>3133</v>
      </c>
      <c r="D2141" t="s">
        <v>98</v>
      </c>
      <c r="E2141">
        <v>79.989999999999995</v>
      </c>
      <c r="F2141">
        <v>0</v>
      </c>
      <c r="H2141" t="s">
        <v>5085</v>
      </c>
      <c r="I2141">
        <v>0</v>
      </c>
      <c r="J2141">
        <v>0</v>
      </c>
      <c r="K2141">
        <v>0</v>
      </c>
    </row>
    <row r="2142" spans="1:11" x14ac:dyDescent="0.2">
      <c r="A2142" t="s">
        <v>2101</v>
      </c>
      <c r="B2142" t="s">
        <v>2102</v>
      </c>
      <c r="C2142" t="s">
        <v>2094</v>
      </c>
      <c r="D2142" t="s">
        <v>138</v>
      </c>
      <c r="E2142">
        <v>219.99</v>
      </c>
      <c r="F2142">
        <v>0</v>
      </c>
      <c r="G2142">
        <v>30</v>
      </c>
      <c r="H2142" t="s">
        <v>5085</v>
      </c>
      <c r="I2142">
        <v>0</v>
      </c>
      <c r="J2142">
        <v>0</v>
      </c>
      <c r="K2142">
        <v>2</v>
      </c>
    </row>
    <row r="2143" spans="1:11" x14ac:dyDescent="0.2">
      <c r="A2143" t="s">
        <v>3450</v>
      </c>
      <c r="B2143" t="s">
        <v>3451</v>
      </c>
      <c r="C2143" t="s">
        <v>3349</v>
      </c>
      <c r="D2143" t="s">
        <v>138</v>
      </c>
      <c r="E2143">
        <v>119.99</v>
      </c>
      <c r="F2143">
        <v>0</v>
      </c>
      <c r="G2143">
        <v>6</v>
      </c>
      <c r="H2143" t="s">
        <v>5085</v>
      </c>
      <c r="I2143">
        <v>0</v>
      </c>
      <c r="J2143">
        <v>0</v>
      </c>
      <c r="K2143">
        <v>4</v>
      </c>
    </row>
    <row r="2144" spans="1:11" x14ac:dyDescent="0.2">
      <c r="A2144" t="s">
        <v>412</v>
      </c>
      <c r="B2144" t="s">
        <v>413</v>
      </c>
      <c r="C2144" t="s">
        <v>307</v>
      </c>
      <c r="D2144" t="s">
        <v>98</v>
      </c>
      <c r="E2144">
        <v>1599.99</v>
      </c>
      <c r="F2144">
        <v>0</v>
      </c>
      <c r="H2144" t="s">
        <v>5085</v>
      </c>
      <c r="I2144">
        <v>0</v>
      </c>
      <c r="J2144">
        <v>0</v>
      </c>
      <c r="K2144">
        <v>0</v>
      </c>
    </row>
    <row r="2145" spans="1:11" x14ac:dyDescent="0.2">
      <c r="A2145" t="s">
        <v>392</v>
      </c>
      <c r="B2145" t="s">
        <v>393</v>
      </c>
      <c r="C2145" t="s">
        <v>307</v>
      </c>
      <c r="D2145" t="s">
        <v>98</v>
      </c>
      <c r="E2145">
        <v>179.99</v>
      </c>
      <c r="F2145">
        <v>0</v>
      </c>
      <c r="H2145" t="s">
        <v>5085</v>
      </c>
      <c r="I2145">
        <v>0</v>
      </c>
      <c r="J2145">
        <v>0</v>
      </c>
      <c r="K2145">
        <v>0</v>
      </c>
    </row>
    <row r="2146" spans="1:11" x14ac:dyDescent="0.2">
      <c r="A2146" t="s">
        <v>3446</v>
      </c>
      <c r="B2146" t="s">
        <v>3447</v>
      </c>
      <c r="C2146" t="s">
        <v>3349</v>
      </c>
      <c r="D2146" t="s">
        <v>98</v>
      </c>
      <c r="E2146">
        <v>559.99</v>
      </c>
      <c r="F2146">
        <v>0</v>
      </c>
      <c r="H2146" t="s">
        <v>5085</v>
      </c>
      <c r="I2146">
        <v>0</v>
      </c>
      <c r="J2146">
        <v>0</v>
      </c>
      <c r="K2146">
        <v>0</v>
      </c>
    </row>
    <row r="2147" spans="1:11" x14ac:dyDescent="0.2">
      <c r="A2147" t="s">
        <v>189</v>
      </c>
      <c r="B2147" t="s">
        <v>190</v>
      </c>
      <c r="C2147" t="s">
        <v>186</v>
      </c>
      <c r="D2147" t="s">
        <v>98</v>
      </c>
      <c r="E2147">
        <v>249.99</v>
      </c>
      <c r="F2147">
        <v>0</v>
      </c>
      <c r="H2147" t="s">
        <v>5085</v>
      </c>
      <c r="I2147">
        <v>0</v>
      </c>
      <c r="J2147">
        <v>0</v>
      </c>
      <c r="K2147">
        <v>0</v>
      </c>
    </row>
    <row r="2148" spans="1:11" x14ac:dyDescent="0.2">
      <c r="A2148" t="s">
        <v>297</v>
      </c>
      <c r="B2148" t="s">
        <v>298</v>
      </c>
      <c r="C2148" t="s">
        <v>288</v>
      </c>
      <c r="D2148" t="s">
        <v>98</v>
      </c>
      <c r="E2148">
        <v>199.99</v>
      </c>
      <c r="F2148">
        <v>0</v>
      </c>
      <c r="H2148" t="s">
        <v>5085</v>
      </c>
      <c r="I2148">
        <v>0</v>
      </c>
      <c r="J2148">
        <v>0</v>
      </c>
      <c r="K2148">
        <v>0</v>
      </c>
    </row>
    <row r="2149" spans="1:11" x14ac:dyDescent="0.2">
      <c r="A2149" t="s">
        <v>3468</v>
      </c>
      <c r="B2149" t="s">
        <v>3469</v>
      </c>
      <c r="C2149" t="s">
        <v>3349</v>
      </c>
      <c r="D2149" t="s">
        <v>98</v>
      </c>
      <c r="E2149">
        <v>529.99</v>
      </c>
      <c r="F2149">
        <v>0</v>
      </c>
      <c r="H2149" t="s">
        <v>5085</v>
      </c>
      <c r="I2149">
        <v>0</v>
      </c>
      <c r="J2149">
        <v>0</v>
      </c>
      <c r="K2149">
        <v>0</v>
      </c>
    </row>
    <row r="2150" spans="1:11" x14ac:dyDescent="0.2">
      <c r="A2150" t="s">
        <v>3142</v>
      </c>
      <c r="B2150" t="s">
        <v>3143</v>
      </c>
      <c r="C2150" t="s">
        <v>3133</v>
      </c>
      <c r="D2150" t="s">
        <v>98</v>
      </c>
      <c r="E2150">
        <v>59.99</v>
      </c>
      <c r="F2150">
        <v>0</v>
      </c>
      <c r="H2150" t="s">
        <v>5085</v>
      </c>
      <c r="I2150">
        <v>0</v>
      </c>
      <c r="J2150">
        <v>0</v>
      </c>
      <c r="K2150">
        <v>11</v>
      </c>
    </row>
    <row r="2151" spans="1:11" x14ac:dyDescent="0.2">
      <c r="A2151" t="s">
        <v>187</v>
      </c>
      <c r="B2151" t="s">
        <v>188</v>
      </c>
      <c r="C2151" t="s">
        <v>186</v>
      </c>
      <c r="D2151" t="s">
        <v>98</v>
      </c>
      <c r="E2151">
        <v>139.99</v>
      </c>
      <c r="F2151">
        <v>0</v>
      </c>
      <c r="H2151" t="s">
        <v>5085</v>
      </c>
      <c r="I2151">
        <v>0</v>
      </c>
      <c r="J2151">
        <v>0</v>
      </c>
      <c r="K2151">
        <v>0</v>
      </c>
    </row>
    <row r="2152" spans="1:11" x14ac:dyDescent="0.2">
      <c r="A2152" t="s">
        <v>958</v>
      </c>
      <c r="B2152" t="s">
        <v>959</v>
      </c>
      <c r="C2152" t="s">
        <v>911</v>
      </c>
      <c r="D2152" t="s">
        <v>105</v>
      </c>
      <c r="E2152">
        <v>169.99</v>
      </c>
      <c r="F2152">
        <v>0</v>
      </c>
      <c r="G2152">
        <v>49</v>
      </c>
      <c r="H2152" t="s">
        <v>5085</v>
      </c>
      <c r="I2152">
        <v>0</v>
      </c>
      <c r="J2152">
        <v>0</v>
      </c>
      <c r="K2152">
        <v>5</v>
      </c>
    </row>
    <row r="2153" spans="1:11" x14ac:dyDescent="0.2">
      <c r="A2153" t="s">
        <v>408</v>
      </c>
      <c r="B2153" t="s">
        <v>409</v>
      </c>
      <c r="C2153" t="s">
        <v>307</v>
      </c>
      <c r="D2153" t="s">
        <v>98</v>
      </c>
      <c r="E2153">
        <v>1999</v>
      </c>
      <c r="F2153">
        <v>0</v>
      </c>
      <c r="H2153" t="s">
        <v>5085</v>
      </c>
      <c r="I2153">
        <v>0</v>
      </c>
      <c r="J2153">
        <v>0</v>
      </c>
      <c r="K2153">
        <v>0</v>
      </c>
    </row>
    <row r="2154" spans="1:11" x14ac:dyDescent="0.2">
      <c r="A2154" t="s">
        <v>3144</v>
      </c>
      <c r="B2154" t="s">
        <v>3145</v>
      </c>
      <c r="C2154" t="s">
        <v>3133</v>
      </c>
      <c r="D2154" t="s">
        <v>98</v>
      </c>
      <c r="E2154">
        <v>69.989999999999995</v>
      </c>
      <c r="F2154">
        <v>0</v>
      </c>
      <c r="H2154" t="s">
        <v>5085</v>
      </c>
      <c r="I2154">
        <v>0</v>
      </c>
      <c r="J2154">
        <v>0</v>
      </c>
      <c r="K2154">
        <v>25</v>
      </c>
    </row>
    <row r="2155" spans="1:11" x14ac:dyDescent="0.2">
      <c r="A2155" t="s">
        <v>2097</v>
      </c>
      <c r="B2155" t="s">
        <v>2098</v>
      </c>
      <c r="C2155" t="s">
        <v>2094</v>
      </c>
      <c r="D2155" t="s">
        <v>98</v>
      </c>
      <c r="E2155">
        <v>159.99</v>
      </c>
      <c r="F2155">
        <v>0</v>
      </c>
      <c r="H2155" t="s">
        <v>5085</v>
      </c>
      <c r="I2155">
        <v>0</v>
      </c>
      <c r="J2155">
        <v>0</v>
      </c>
      <c r="K2155">
        <v>0</v>
      </c>
    </row>
    <row r="2156" spans="1:11" x14ac:dyDescent="0.2">
      <c r="A2156" t="s">
        <v>4125</v>
      </c>
      <c r="B2156" t="s">
        <v>4126</v>
      </c>
      <c r="C2156" t="s">
        <v>3929</v>
      </c>
      <c r="D2156" t="s">
        <v>105</v>
      </c>
      <c r="E2156">
        <v>99.99</v>
      </c>
      <c r="F2156">
        <v>0</v>
      </c>
      <c r="G2156">
        <v>36</v>
      </c>
      <c r="H2156" t="s">
        <v>5065</v>
      </c>
      <c r="I2156">
        <v>0</v>
      </c>
      <c r="J2156">
        <v>0</v>
      </c>
      <c r="K2156">
        <v>0</v>
      </c>
    </row>
    <row r="2157" spans="1:11" x14ac:dyDescent="0.2">
      <c r="A2157" t="s">
        <v>4974</v>
      </c>
      <c r="B2157" t="s">
        <v>4973</v>
      </c>
      <c r="C2157" t="s">
        <v>4905</v>
      </c>
      <c r="D2157" t="s">
        <v>138</v>
      </c>
      <c r="E2157">
        <v>549.99</v>
      </c>
      <c r="F2157">
        <v>0</v>
      </c>
      <c r="H2157" t="s">
        <v>5065</v>
      </c>
      <c r="I2157">
        <v>-0.16666666666666666</v>
      </c>
      <c r="J2157">
        <v>-30</v>
      </c>
      <c r="K2157">
        <v>5</v>
      </c>
    </row>
    <row r="2158" spans="1:11" x14ac:dyDescent="0.2">
      <c r="A2158" t="s">
        <v>2416</v>
      </c>
      <c r="B2158" t="s">
        <v>2417</v>
      </c>
      <c r="C2158" t="s">
        <v>2415</v>
      </c>
      <c r="D2158" t="s">
        <v>98</v>
      </c>
      <c r="E2158">
        <v>49.99</v>
      </c>
      <c r="F2158">
        <v>0</v>
      </c>
      <c r="H2158" t="s">
        <v>5065</v>
      </c>
      <c r="I2158">
        <v>0</v>
      </c>
      <c r="J2158">
        <v>0</v>
      </c>
      <c r="K2158">
        <v>0</v>
      </c>
    </row>
    <row r="2159" spans="1:11" x14ac:dyDescent="0.2">
      <c r="A2159" t="s">
        <v>5365</v>
      </c>
      <c r="B2159" t="s">
        <v>5366</v>
      </c>
      <c r="C2159" t="s">
        <v>874</v>
      </c>
      <c r="D2159" t="s">
        <v>98</v>
      </c>
      <c r="E2159">
        <v>79.989999999999995</v>
      </c>
      <c r="F2159">
        <v>0</v>
      </c>
      <c r="H2159" t="s">
        <v>5065</v>
      </c>
      <c r="I2159">
        <v>0</v>
      </c>
      <c r="J2159">
        <v>0</v>
      </c>
      <c r="K2159">
        <v>0</v>
      </c>
    </row>
    <row r="2160" spans="1:11" x14ac:dyDescent="0.2">
      <c r="A2160" t="s">
        <v>4593</v>
      </c>
      <c r="B2160" t="s">
        <v>4594</v>
      </c>
      <c r="C2160" t="s">
        <v>4518</v>
      </c>
      <c r="D2160" t="s">
        <v>138</v>
      </c>
      <c r="E2160">
        <v>179.99</v>
      </c>
      <c r="F2160">
        <v>0</v>
      </c>
      <c r="G2160">
        <v>79</v>
      </c>
      <c r="H2160" t="s">
        <v>5065</v>
      </c>
      <c r="I2160">
        <v>0</v>
      </c>
      <c r="J2160">
        <v>0</v>
      </c>
      <c r="K2160">
        <v>0</v>
      </c>
    </row>
    <row r="2161" spans="1:11" x14ac:dyDescent="0.2">
      <c r="A2161" t="s">
        <v>5136</v>
      </c>
      <c r="B2161" t="s">
        <v>5137</v>
      </c>
      <c r="C2161" t="s">
        <v>874</v>
      </c>
      <c r="D2161" t="s">
        <v>98</v>
      </c>
      <c r="E2161">
        <v>59.99</v>
      </c>
      <c r="F2161">
        <v>0</v>
      </c>
      <c r="H2161" t="s">
        <v>5065</v>
      </c>
      <c r="I2161">
        <v>0</v>
      </c>
      <c r="J2161">
        <v>0</v>
      </c>
      <c r="K2161">
        <v>0</v>
      </c>
    </row>
    <row r="2162" spans="1:11" x14ac:dyDescent="0.2">
      <c r="A2162" t="s">
        <v>4111</v>
      </c>
      <c r="B2162" t="s">
        <v>4112</v>
      </c>
      <c r="C2162" t="s">
        <v>3929</v>
      </c>
      <c r="D2162" t="s">
        <v>105</v>
      </c>
      <c r="E2162">
        <v>89.99</v>
      </c>
      <c r="F2162">
        <v>0</v>
      </c>
      <c r="G2162">
        <v>49</v>
      </c>
      <c r="H2162" t="s">
        <v>5065</v>
      </c>
      <c r="I2162">
        <v>0</v>
      </c>
      <c r="J2162">
        <v>0</v>
      </c>
      <c r="K2162">
        <v>0</v>
      </c>
    </row>
    <row r="2163" spans="1:11" x14ac:dyDescent="0.2">
      <c r="A2163" t="s">
        <v>5604</v>
      </c>
      <c r="B2163" t="s">
        <v>5605</v>
      </c>
      <c r="C2163" t="s">
        <v>582</v>
      </c>
      <c r="D2163" t="s">
        <v>98</v>
      </c>
      <c r="E2163">
        <v>39.99</v>
      </c>
      <c r="F2163">
        <v>0</v>
      </c>
      <c r="H2163" t="s">
        <v>5065</v>
      </c>
      <c r="I2163">
        <v>0</v>
      </c>
      <c r="J2163">
        <v>0</v>
      </c>
      <c r="K2163">
        <v>0</v>
      </c>
    </row>
    <row r="2164" spans="1:11" x14ac:dyDescent="0.2">
      <c r="A2164" t="s">
        <v>4113</v>
      </c>
      <c r="B2164" t="s">
        <v>4114</v>
      </c>
      <c r="C2164" t="s">
        <v>3929</v>
      </c>
      <c r="D2164" t="s">
        <v>105</v>
      </c>
      <c r="E2164">
        <v>54.99</v>
      </c>
      <c r="F2164">
        <v>0</v>
      </c>
      <c r="G2164">
        <v>18</v>
      </c>
      <c r="H2164" t="s">
        <v>5065</v>
      </c>
      <c r="I2164">
        <v>0</v>
      </c>
      <c r="J2164">
        <v>0</v>
      </c>
      <c r="K2164">
        <v>0</v>
      </c>
    </row>
    <row r="2165" spans="1:11" x14ac:dyDescent="0.2">
      <c r="A2165" t="s">
        <v>5169</v>
      </c>
      <c r="B2165" t="s">
        <v>5170</v>
      </c>
      <c r="C2165" t="s">
        <v>904</v>
      </c>
      <c r="D2165" t="s">
        <v>98</v>
      </c>
      <c r="E2165">
        <v>59.99</v>
      </c>
      <c r="F2165">
        <v>0</v>
      </c>
      <c r="H2165" t="s">
        <v>5065</v>
      </c>
      <c r="I2165">
        <v>0</v>
      </c>
      <c r="J2165">
        <v>0</v>
      </c>
      <c r="K2165">
        <v>0</v>
      </c>
    </row>
    <row r="2166" spans="1:11" x14ac:dyDescent="0.2">
      <c r="A2166" t="s">
        <v>5596</v>
      </c>
      <c r="B2166" t="s">
        <v>5597</v>
      </c>
      <c r="C2166" t="s">
        <v>904</v>
      </c>
      <c r="D2166" t="s">
        <v>98</v>
      </c>
      <c r="E2166">
        <v>69.989999999999995</v>
      </c>
      <c r="F2166">
        <v>0</v>
      </c>
      <c r="H2166" t="s">
        <v>5065</v>
      </c>
      <c r="I2166">
        <v>0</v>
      </c>
      <c r="J2166">
        <v>0</v>
      </c>
      <c r="K2166">
        <v>0</v>
      </c>
    </row>
    <row r="2167" spans="1:11" x14ac:dyDescent="0.2">
      <c r="A2167" t="s">
        <v>5483</v>
      </c>
      <c r="B2167" t="s">
        <v>5484</v>
      </c>
      <c r="C2167" t="s">
        <v>2174</v>
      </c>
      <c r="D2167" t="s">
        <v>98</v>
      </c>
      <c r="E2167">
        <v>99.99</v>
      </c>
      <c r="F2167">
        <v>0</v>
      </c>
      <c r="H2167" t="s">
        <v>5065</v>
      </c>
      <c r="I2167">
        <v>0</v>
      </c>
      <c r="J2167">
        <v>0</v>
      </c>
      <c r="K2167">
        <v>0</v>
      </c>
    </row>
    <row r="2168" spans="1:11" x14ac:dyDescent="0.2">
      <c r="A2168" t="s">
        <v>4602</v>
      </c>
      <c r="B2168" t="s">
        <v>4603</v>
      </c>
      <c r="C2168" t="s">
        <v>4597</v>
      </c>
      <c r="D2168" t="s">
        <v>98</v>
      </c>
      <c r="E2168">
        <v>139.99</v>
      </c>
      <c r="F2168">
        <v>0</v>
      </c>
      <c r="H2168" t="s">
        <v>5065</v>
      </c>
      <c r="I2168">
        <v>0.16666666666666666</v>
      </c>
      <c r="J2168">
        <v>0</v>
      </c>
      <c r="K2168">
        <v>0</v>
      </c>
    </row>
    <row r="2169" spans="1:11" x14ac:dyDescent="0.2">
      <c r="A2169" t="s">
        <v>5124</v>
      </c>
      <c r="B2169" t="s">
        <v>5125</v>
      </c>
      <c r="C2169" t="s">
        <v>3929</v>
      </c>
      <c r="D2169" t="s">
        <v>105</v>
      </c>
      <c r="E2169">
        <v>319.99</v>
      </c>
      <c r="F2169">
        <v>0</v>
      </c>
      <c r="G2169">
        <v>8</v>
      </c>
      <c r="H2169" t="s">
        <v>5065</v>
      </c>
      <c r="I2169">
        <v>0</v>
      </c>
      <c r="J2169">
        <v>0</v>
      </c>
      <c r="K2169">
        <v>0</v>
      </c>
    </row>
    <row r="2170" spans="1:11" x14ac:dyDescent="0.2">
      <c r="A2170" t="s">
        <v>5463</v>
      </c>
      <c r="B2170" t="s">
        <v>5464</v>
      </c>
      <c r="C2170" t="s">
        <v>3929</v>
      </c>
      <c r="D2170" t="s">
        <v>98</v>
      </c>
      <c r="E2170">
        <v>199.99</v>
      </c>
      <c r="F2170">
        <v>0</v>
      </c>
      <c r="H2170" t="s">
        <v>5065</v>
      </c>
      <c r="I2170">
        <v>0</v>
      </c>
      <c r="J2170">
        <v>0</v>
      </c>
      <c r="K2170">
        <v>0</v>
      </c>
    </row>
    <row r="2171" spans="1:11" x14ac:dyDescent="0.2">
      <c r="A2171" t="s">
        <v>5415</v>
      </c>
      <c r="B2171" t="s">
        <v>5416</v>
      </c>
      <c r="C2171" t="s">
        <v>2415</v>
      </c>
      <c r="D2171" t="s">
        <v>98</v>
      </c>
      <c r="E2171">
        <v>159.99</v>
      </c>
      <c r="F2171">
        <v>0</v>
      </c>
      <c r="H2171" t="s">
        <v>5065</v>
      </c>
      <c r="I2171">
        <v>0</v>
      </c>
      <c r="J2171">
        <v>0</v>
      </c>
      <c r="K2171">
        <v>0</v>
      </c>
    </row>
    <row r="2172" spans="1:11" x14ac:dyDescent="0.2">
      <c r="A2172" t="s">
        <v>4971</v>
      </c>
      <c r="B2172" t="s">
        <v>4970</v>
      </c>
      <c r="C2172" t="s">
        <v>4905</v>
      </c>
      <c r="D2172" t="s">
        <v>138</v>
      </c>
      <c r="E2172">
        <v>549.99</v>
      </c>
      <c r="F2172">
        <v>0</v>
      </c>
      <c r="H2172" t="s">
        <v>5065</v>
      </c>
      <c r="I2172">
        <v>0</v>
      </c>
      <c r="J2172">
        <v>0</v>
      </c>
      <c r="K2172">
        <v>3</v>
      </c>
    </row>
    <row r="2173" spans="1:11" x14ac:dyDescent="0.2">
      <c r="A2173" t="s">
        <v>2187</v>
      </c>
      <c r="B2173" t="s">
        <v>2188</v>
      </c>
      <c r="C2173" t="s">
        <v>2174</v>
      </c>
      <c r="D2173" t="s">
        <v>98</v>
      </c>
      <c r="E2173">
        <v>99.99</v>
      </c>
      <c r="F2173">
        <v>0</v>
      </c>
      <c r="H2173" t="s">
        <v>5065</v>
      </c>
      <c r="I2173">
        <v>0</v>
      </c>
      <c r="J2173">
        <v>0</v>
      </c>
      <c r="K2173">
        <v>0</v>
      </c>
    </row>
    <row r="2174" spans="1:11" x14ac:dyDescent="0.2">
      <c r="A2174" t="s">
        <v>4083</v>
      </c>
      <c r="B2174" t="s">
        <v>4084</v>
      </c>
      <c r="C2174" t="s">
        <v>3929</v>
      </c>
      <c r="D2174" t="s">
        <v>105</v>
      </c>
      <c r="E2174">
        <v>74.989999999999995</v>
      </c>
      <c r="F2174">
        <v>0</v>
      </c>
      <c r="G2174">
        <v>91</v>
      </c>
      <c r="H2174" t="s">
        <v>5065</v>
      </c>
      <c r="I2174">
        <v>0</v>
      </c>
      <c r="J2174">
        <v>0</v>
      </c>
      <c r="K2174">
        <v>0</v>
      </c>
    </row>
    <row r="2175" spans="1:11" x14ac:dyDescent="0.2">
      <c r="A2175" t="s">
        <v>5158</v>
      </c>
      <c r="B2175" t="s">
        <v>5159</v>
      </c>
      <c r="C2175" t="s">
        <v>904</v>
      </c>
      <c r="D2175" t="s">
        <v>98</v>
      </c>
      <c r="E2175">
        <v>59.99</v>
      </c>
      <c r="F2175">
        <v>0</v>
      </c>
      <c r="H2175" t="s">
        <v>5065</v>
      </c>
      <c r="I2175">
        <v>0</v>
      </c>
      <c r="J2175">
        <v>0</v>
      </c>
      <c r="K2175">
        <v>0</v>
      </c>
    </row>
    <row r="2176" spans="1:11" x14ac:dyDescent="0.2">
      <c r="A2176" t="s">
        <v>5449</v>
      </c>
      <c r="B2176" t="s">
        <v>5450</v>
      </c>
      <c r="C2176" t="s">
        <v>904</v>
      </c>
      <c r="D2176" t="s">
        <v>98</v>
      </c>
      <c r="E2176">
        <v>199.99</v>
      </c>
      <c r="F2176">
        <v>0</v>
      </c>
      <c r="H2176" t="s">
        <v>5065</v>
      </c>
      <c r="I2176">
        <v>0</v>
      </c>
      <c r="J2176">
        <v>0</v>
      </c>
      <c r="K2176">
        <v>0</v>
      </c>
    </row>
    <row r="2177" spans="1:11" x14ac:dyDescent="0.2">
      <c r="A2177" t="s">
        <v>4989</v>
      </c>
      <c r="B2177" t="s">
        <v>4988</v>
      </c>
      <c r="C2177" t="s">
        <v>4905</v>
      </c>
      <c r="D2177" t="s">
        <v>105</v>
      </c>
      <c r="E2177">
        <v>479</v>
      </c>
      <c r="F2177">
        <v>0</v>
      </c>
      <c r="H2177" t="s">
        <v>5065</v>
      </c>
      <c r="I2177">
        <v>0</v>
      </c>
      <c r="J2177">
        <v>0</v>
      </c>
      <c r="K2177">
        <v>44</v>
      </c>
    </row>
    <row r="2178" spans="1:11" x14ac:dyDescent="0.2">
      <c r="A2178" t="s">
        <v>4980</v>
      </c>
      <c r="B2178" t="s">
        <v>4979</v>
      </c>
      <c r="C2178" t="s">
        <v>4905</v>
      </c>
      <c r="D2178" t="s">
        <v>138</v>
      </c>
      <c r="E2178">
        <v>729.99</v>
      </c>
      <c r="F2178">
        <v>0</v>
      </c>
      <c r="H2178" t="s">
        <v>5065</v>
      </c>
      <c r="I2178">
        <v>-0.16666666666666666</v>
      </c>
      <c r="J2178">
        <v>-24</v>
      </c>
      <c r="K2178">
        <v>4</v>
      </c>
    </row>
    <row r="2179" spans="1:11" x14ac:dyDescent="0.2">
      <c r="A2179" t="s">
        <v>5148</v>
      </c>
      <c r="B2179" t="s">
        <v>5149</v>
      </c>
      <c r="C2179" t="s">
        <v>874</v>
      </c>
      <c r="D2179" t="s">
        <v>98</v>
      </c>
      <c r="E2179">
        <v>39.99</v>
      </c>
      <c r="F2179">
        <v>0</v>
      </c>
      <c r="H2179" t="s">
        <v>5065</v>
      </c>
      <c r="I2179">
        <v>0</v>
      </c>
      <c r="J2179">
        <v>0</v>
      </c>
      <c r="K2179">
        <v>0</v>
      </c>
    </row>
    <row r="2180" spans="1:11" x14ac:dyDescent="0.2">
      <c r="A2180" t="s">
        <v>5562</v>
      </c>
      <c r="B2180" t="s">
        <v>5563</v>
      </c>
      <c r="C2180" t="s">
        <v>582</v>
      </c>
      <c r="D2180" t="s">
        <v>98</v>
      </c>
      <c r="E2180">
        <v>99.99</v>
      </c>
      <c r="F2180">
        <v>0</v>
      </c>
      <c r="H2180" t="s">
        <v>5065</v>
      </c>
      <c r="I2180">
        <v>0</v>
      </c>
      <c r="J2180">
        <v>0</v>
      </c>
      <c r="K2180">
        <v>0</v>
      </c>
    </row>
    <row r="2181" spans="1:11" x14ac:dyDescent="0.2">
      <c r="A2181" t="s">
        <v>5337</v>
      </c>
      <c r="B2181" t="s">
        <v>5338</v>
      </c>
      <c r="C2181" t="s">
        <v>874</v>
      </c>
      <c r="D2181" t="s">
        <v>98</v>
      </c>
      <c r="E2181">
        <v>119.99</v>
      </c>
      <c r="F2181">
        <v>0</v>
      </c>
      <c r="H2181" t="s">
        <v>5065</v>
      </c>
      <c r="I2181">
        <v>0</v>
      </c>
      <c r="J2181">
        <v>0</v>
      </c>
      <c r="K2181">
        <v>0</v>
      </c>
    </row>
    <row r="2182" spans="1:11" x14ac:dyDescent="0.2">
      <c r="A2182" t="s">
        <v>4099</v>
      </c>
      <c r="B2182" t="s">
        <v>4100</v>
      </c>
      <c r="C2182" t="s">
        <v>3929</v>
      </c>
      <c r="D2182" t="s">
        <v>105</v>
      </c>
      <c r="E2182">
        <v>249.99</v>
      </c>
      <c r="F2182">
        <v>0</v>
      </c>
      <c r="G2182">
        <v>9</v>
      </c>
      <c r="H2182" t="s">
        <v>5065</v>
      </c>
      <c r="I2182">
        <v>0</v>
      </c>
      <c r="J2182">
        <v>0</v>
      </c>
      <c r="K2182">
        <v>0</v>
      </c>
    </row>
    <row r="2183" spans="1:11" x14ac:dyDescent="0.2">
      <c r="A2183" t="s">
        <v>5313</v>
      </c>
      <c r="B2183" t="s">
        <v>5314</v>
      </c>
      <c r="C2183" t="s">
        <v>874</v>
      </c>
      <c r="D2183" t="s">
        <v>98</v>
      </c>
      <c r="E2183">
        <v>39.99</v>
      </c>
      <c r="F2183">
        <v>0</v>
      </c>
      <c r="H2183" t="s">
        <v>5065</v>
      </c>
      <c r="I2183">
        <v>0</v>
      </c>
      <c r="J2183">
        <v>0</v>
      </c>
      <c r="K2183">
        <v>0</v>
      </c>
    </row>
    <row r="2184" spans="1:11" x14ac:dyDescent="0.2">
      <c r="A2184" t="s">
        <v>4119</v>
      </c>
      <c r="B2184" t="s">
        <v>4120</v>
      </c>
      <c r="C2184" t="s">
        <v>3929</v>
      </c>
      <c r="D2184" t="s">
        <v>105</v>
      </c>
      <c r="E2184">
        <v>34.99</v>
      </c>
      <c r="F2184">
        <v>0</v>
      </c>
      <c r="G2184">
        <v>57</v>
      </c>
      <c r="H2184" t="s">
        <v>5065</v>
      </c>
      <c r="I2184">
        <v>0</v>
      </c>
      <c r="J2184">
        <v>0</v>
      </c>
      <c r="K2184">
        <v>0</v>
      </c>
    </row>
    <row r="2185" spans="1:11" x14ac:dyDescent="0.2">
      <c r="A2185" t="s">
        <v>4928</v>
      </c>
      <c r="B2185" t="s">
        <v>4927</v>
      </c>
      <c r="C2185" t="s">
        <v>4905</v>
      </c>
      <c r="D2185" t="s">
        <v>105</v>
      </c>
      <c r="E2185">
        <v>819.99</v>
      </c>
      <c r="F2185">
        <v>0</v>
      </c>
      <c r="H2185" t="s">
        <v>5065</v>
      </c>
      <c r="I2185">
        <v>0</v>
      </c>
      <c r="J2185">
        <v>0</v>
      </c>
      <c r="K2185">
        <v>0</v>
      </c>
    </row>
    <row r="2186" spans="1:11" x14ac:dyDescent="0.2">
      <c r="A2186" t="s">
        <v>5118</v>
      </c>
      <c r="B2186" t="s">
        <v>5119</v>
      </c>
      <c r="C2186" t="s">
        <v>3929</v>
      </c>
      <c r="D2186" t="s">
        <v>98</v>
      </c>
      <c r="E2186">
        <v>109.99</v>
      </c>
      <c r="F2186">
        <v>0</v>
      </c>
      <c r="H2186" t="s">
        <v>5065</v>
      </c>
      <c r="I2186">
        <v>0</v>
      </c>
      <c r="J2186">
        <v>0</v>
      </c>
      <c r="K2186">
        <v>0</v>
      </c>
    </row>
    <row r="2187" spans="1:11" x14ac:dyDescent="0.2">
      <c r="A2187" t="s">
        <v>5185</v>
      </c>
      <c r="B2187" t="s">
        <v>5186</v>
      </c>
      <c r="C2187" t="s">
        <v>874</v>
      </c>
      <c r="D2187" t="s">
        <v>98</v>
      </c>
      <c r="E2187">
        <v>59.99</v>
      </c>
      <c r="F2187">
        <v>0</v>
      </c>
      <c r="H2187" t="s">
        <v>5065</v>
      </c>
      <c r="I2187">
        <v>0</v>
      </c>
      <c r="J2187">
        <v>0</v>
      </c>
      <c r="K2187">
        <v>0</v>
      </c>
    </row>
    <row r="2188" spans="1:11" x14ac:dyDescent="0.2">
      <c r="A2188" t="s">
        <v>4595</v>
      </c>
      <c r="B2188" t="s">
        <v>4596</v>
      </c>
      <c r="C2188" t="s">
        <v>4518</v>
      </c>
      <c r="D2188" t="s">
        <v>98</v>
      </c>
      <c r="E2188">
        <v>179.99</v>
      </c>
      <c r="F2188">
        <v>0</v>
      </c>
      <c r="H2188" t="s">
        <v>5065</v>
      </c>
      <c r="I2188">
        <v>0</v>
      </c>
      <c r="J2188">
        <v>0</v>
      </c>
      <c r="K2188">
        <v>0</v>
      </c>
    </row>
    <row r="2189" spans="1:11" x14ac:dyDescent="0.2">
      <c r="A2189" t="s">
        <v>2209</v>
      </c>
      <c r="B2189" t="s">
        <v>2210</v>
      </c>
      <c r="C2189" t="s">
        <v>2174</v>
      </c>
      <c r="D2189" t="s">
        <v>98</v>
      </c>
      <c r="E2189">
        <v>99.99</v>
      </c>
      <c r="F2189">
        <v>0</v>
      </c>
      <c r="H2189" t="s">
        <v>5065</v>
      </c>
      <c r="I2189">
        <v>0</v>
      </c>
      <c r="J2189">
        <v>0</v>
      </c>
      <c r="K2189">
        <v>0</v>
      </c>
    </row>
    <row r="2190" spans="1:11" x14ac:dyDescent="0.2">
      <c r="A2190" t="s">
        <v>5183</v>
      </c>
      <c r="B2190" t="s">
        <v>5184</v>
      </c>
      <c r="C2190" t="s">
        <v>874</v>
      </c>
      <c r="D2190" t="s">
        <v>98</v>
      </c>
      <c r="E2190">
        <v>29.99</v>
      </c>
      <c r="F2190">
        <v>0</v>
      </c>
      <c r="H2190" t="s">
        <v>5065</v>
      </c>
      <c r="I2190">
        <v>0</v>
      </c>
      <c r="J2190">
        <v>0</v>
      </c>
      <c r="K2190">
        <v>0</v>
      </c>
    </row>
    <row r="2191" spans="1:11" x14ac:dyDescent="0.2">
      <c r="A2191" t="s">
        <v>5590</v>
      </c>
      <c r="B2191" t="s">
        <v>5591</v>
      </c>
      <c r="C2191" t="s">
        <v>904</v>
      </c>
      <c r="D2191" t="s">
        <v>98</v>
      </c>
      <c r="E2191">
        <v>99.99</v>
      </c>
      <c r="F2191">
        <v>0</v>
      </c>
      <c r="H2191" t="s">
        <v>5065</v>
      </c>
      <c r="I2191">
        <v>0</v>
      </c>
      <c r="J2191">
        <v>0</v>
      </c>
      <c r="K2191">
        <v>0</v>
      </c>
    </row>
    <row r="2192" spans="1:11" x14ac:dyDescent="0.2">
      <c r="A2192" t="s">
        <v>5514</v>
      </c>
      <c r="B2192" t="s">
        <v>5515</v>
      </c>
      <c r="C2192" t="s">
        <v>2415</v>
      </c>
      <c r="D2192" t="s">
        <v>98</v>
      </c>
      <c r="E2192">
        <v>69.989999999999995</v>
      </c>
      <c r="F2192">
        <v>0</v>
      </c>
      <c r="H2192" t="s">
        <v>5065</v>
      </c>
      <c r="I2192">
        <v>0</v>
      </c>
      <c r="J2192">
        <v>0</v>
      </c>
      <c r="K2192">
        <v>0</v>
      </c>
    </row>
    <row r="2193" spans="1:11" x14ac:dyDescent="0.2">
      <c r="A2193" t="s">
        <v>323</v>
      </c>
      <c r="B2193" t="s">
        <v>324</v>
      </c>
      <c r="C2193" t="s">
        <v>307</v>
      </c>
      <c r="D2193" t="s">
        <v>98</v>
      </c>
      <c r="E2193">
        <v>1499.99</v>
      </c>
      <c r="F2193">
        <v>0</v>
      </c>
      <c r="H2193" t="s">
        <v>5065</v>
      </c>
      <c r="I2193">
        <v>0</v>
      </c>
      <c r="J2193">
        <v>0</v>
      </c>
      <c r="K2193">
        <v>0</v>
      </c>
    </row>
    <row r="2194" spans="1:11" x14ac:dyDescent="0.2">
      <c r="A2194" t="s">
        <v>314</v>
      </c>
      <c r="B2194" t="s">
        <v>315</v>
      </c>
      <c r="C2194" t="s">
        <v>307</v>
      </c>
      <c r="D2194" t="s">
        <v>98</v>
      </c>
      <c r="E2194">
        <v>1299.99</v>
      </c>
      <c r="F2194">
        <v>0</v>
      </c>
      <c r="H2194" t="s">
        <v>5065</v>
      </c>
      <c r="I2194">
        <v>0</v>
      </c>
      <c r="J2194">
        <v>0</v>
      </c>
      <c r="K2194">
        <v>0</v>
      </c>
    </row>
    <row r="2195" spans="1:11" x14ac:dyDescent="0.2">
      <c r="A2195" t="s">
        <v>5094</v>
      </c>
      <c r="B2195" t="s">
        <v>5095</v>
      </c>
      <c r="C2195" t="s">
        <v>582</v>
      </c>
      <c r="D2195" t="s">
        <v>98</v>
      </c>
      <c r="E2195">
        <v>69.989999999999995</v>
      </c>
      <c r="F2195">
        <v>0</v>
      </c>
      <c r="H2195" t="s">
        <v>5065</v>
      </c>
      <c r="I2195">
        <v>0</v>
      </c>
      <c r="J2195">
        <v>0</v>
      </c>
      <c r="K2195">
        <v>0</v>
      </c>
    </row>
    <row r="2196" spans="1:11" x14ac:dyDescent="0.2">
      <c r="A2196" t="s">
        <v>5197</v>
      </c>
      <c r="B2196" t="s">
        <v>5198</v>
      </c>
      <c r="C2196" t="s">
        <v>874</v>
      </c>
      <c r="D2196" t="s">
        <v>98</v>
      </c>
      <c r="E2196">
        <v>29.99</v>
      </c>
      <c r="F2196">
        <v>0</v>
      </c>
      <c r="H2196" t="s">
        <v>5065</v>
      </c>
      <c r="I2196">
        <v>0</v>
      </c>
      <c r="J2196">
        <v>0</v>
      </c>
      <c r="K2196">
        <v>0</v>
      </c>
    </row>
    <row r="2197" spans="1:11" x14ac:dyDescent="0.2">
      <c r="A2197" t="s">
        <v>5323</v>
      </c>
      <c r="B2197" t="s">
        <v>5324</v>
      </c>
      <c r="C2197" t="s">
        <v>874</v>
      </c>
      <c r="D2197" t="s">
        <v>98</v>
      </c>
      <c r="E2197">
        <v>79.989999999999995</v>
      </c>
      <c r="F2197">
        <v>0</v>
      </c>
      <c r="H2197" t="s">
        <v>5065</v>
      </c>
      <c r="I2197">
        <v>0</v>
      </c>
      <c r="J2197">
        <v>0</v>
      </c>
      <c r="K2197">
        <v>0</v>
      </c>
    </row>
    <row r="2198" spans="1:11" x14ac:dyDescent="0.2">
      <c r="A2198" t="s">
        <v>5116</v>
      </c>
      <c r="B2198" t="s">
        <v>5117</v>
      </c>
      <c r="C2198" t="s">
        <v>3929</v>
      </c>
      <c r="D2198" t="s">
        <v>138</v>
      </c>
      <c r="E2198">
        <v>209.99</v>
      </c>
      <c r="F2198">
        <v>0</v>
      </c>
      <c r="H2198" t="s">
        <v>5065</v>
      </c>
      <c r="I2198">
        <v>0</v>
      </c>
      <c r="J2198">
        <v>0</v>
      </c>
      <c r="K2198">
        <v>0</v>
      </c>
    </row>
    <row r="2199" spans="1:11" x14ac:dyDescent="0.2">
      <c r="A2199" t="s">
        <v>4115</v>
      </c>
      <c r="B2199" t="s">
        <v>4116</v>
      </c>
      <c r="C2199" t="s">
        <v>3929</v>
      </c>
      <c r="D2199" t="s">
        <v>105</v>
      </c>
      <c r="E2199">
        <v>44.99</v>
      </c>
      <c r="F2199">
        <v>0</v>
      </c>
      <c r="G2199">
        <v>2</v>
      </c>
      <c r="H2199" t="s">
        <v>5065</v>
      </c>
      <c r="I2199">
        <v>0</v>
      </c>
      <c r="J2199">
        <v>0</v>
      </c>
      <c r="K2199">
        <v>0</v>
      </c>
    </row>
    <row r="2200" spans="1:11" x14ac:dyDescent="0.2">
      <c r="A2200" t="s">
        <v>5187</v>
      </c>
      <c r="B2200" t="s">
        <v>5188</v>
      </c>
      <c r="C2200" t="s">
        <v>874</v>
      </c>
      <c r="D2200" t="s">
        <v>98</v>
      </c>
      <c r="E2200">
        <v>19.989999999999998</v>
      </c>
      <c r="F2200">
        <v>0</v>
      </c>
      <c r="H2200" t="s">
        <v>5065</v>
      </c>
      <c r="I2200">
        <v>0</v>
      </c>
      <c r="J2200">
        <v>0</v>
      </c>
      <c r="K2200">
        <v>0</v>
      </c>
    </row>
    <row r="2201" spans="1:11" x14ac:dyDescent="0.2">
      <c r="A2201" t="s">
        <v>5433</v>
      </c>
      <c r="B2201" t="s">
        <v>5434</v>
      </c>
      <c r="C2201" t="s">
        <v>904</v>
      </c>
      <c r="D2201" t="s">
        <v>98</v>
      </c>
      <c r="E2201">
        <v>39.99</v>
      </c>
      <c r="F2201">
        <v>0</v>
      </c>
      <c r="H2201" t="s">
        <v>5065</v>
      </c>
      <c r="I2201">
        <v>0</v>
      </c>
      <c r="J2201">
        <v>0</v>
      </c>
      <c r="K2201">
        <v>0</v>
      </c>
    </row>
    <row r="2202" spans="1:11" x14ac:dyDescent="0.2">
      <c r="A2202" t="s">
        <v>4085</v>
      </c>
      <c r="B2202" t="s">
        <v>4086</v>
      </c>
      <c r="C2202" t="s">
        <v>3929</v>
      </c>
      <c r="D2202" t="s">
        <v>98</v>
      </c>
      <c r="E2202">
        <v>119.99</v>
      </c>
      <c r="F2202">
        <v>0</v>
      </c>
      <c r="H2202" t="s">
        <v>5065</v>
      </c>
      <c r="I2202">
        <v>0</v>
      </c>
      <c r="J2202">
        <v>0</v>
      </c>
      <c r="K2202">
        <v>0</v>
      </c>
    </row>
    <row r="2203" spans="1:11" x14ac:dyDescent="0.2">
      <c r="A2203" t="s">
        <v>4600</v>
      </c>
      <c r="B2203" t="s">
        <v>4601</v>
      </c>
      <c r="C2203" t="s">
        <v>4597</v>
      </c>
      <c r="D2203" t="s">
        <v>98</v>
      </c>
      <c r="E2203">
        <v>129.99</v>
      </c>
      <c r="F2203">
        <v>0</v>
      </c>
      <c r="H2203" t="s">
        <v>5065</v>
      </c>
      <c r="I2203">
        <v>0</v>
      </c>
      <c r="J2203">
        <v>0</v>
      </c>
      <c r="K2203">
        <v>0</v>
      </c>
    </row>
    <row r="2204" spans="1:11" x14ac:dyDescent="0.2">
      <c r="A2204" t="s">
        <v>2203</v>
      </c>
      <c r="B2204" t="s">
        <v>2204</v>
      </c>
      <c r="C2204" t="s">
        <v>2174</v>
      </c>
      <c r="D2204" t="s">
        <v>98</v>
      </c>
      <c r="E2204">
        <v>69.989999999999995</v>
      </c>
      <c r="F2204">
        <v>0</v>
      </c>
      <c r="H2204" t="s">
        <v>5065</v>
      </c>
      <c r="I2204">
        <v>0</v>
      </c>
      <c r="J2204">
        <v>0</v>
      </c>
      <c r="K2204">
        <v>0</v>
      </c>
    </row>
    <row r="2205" spans="1:11" x14ac:dyDescent="0.2">
      <c r="A2205" t="s">
        <v>4123</v>
      </c>
      <c r="B2205" t="s">
        <v>4124</v>
      </c>
      <c r="C2205" t="s">
        <v>3929</v>
      </c>
      <c r="D2205" t="s">
        <v>105</v>
      </c>
      <c r="E2205">
        <v>29.99</v>
      </c>
      <c r="F2205">
        <v>0</v>
      </c>
      <c r="G2205">
        <v>3</v>
      </c>
      <c r="H2205" t="s">
        <v>5065</v>
      </c>
      <c r="I2205">
        <v>0</v>
      </c>
      <c r="J2205">
        <v>0</v>
      </c>
      <c r="K2205">
        <v>0</v>
      </c>
    </row>
    <row r="2206" spans="1:11" x14ac:dyDescent="0.2">
      <c r="A2206" t="s">
        <v>4105</v>
      </c>
      <c r="B2206" t="s">
        <v>4106</v>
      </c>
      <c r="C2206" t="s">
        <v>3929</v>
      </c>
      <c r="D2206" t="s">
        <v>138</v>
      </c>
      <c r="E2206">
        <v>129.99</v>
      </c>
      <c r="F2206">
        <v>0</v>
      </c>
      <c r="G2206">
        <v>11</v>
      </c>
      <c r="H2206" t="s">
        <v>5065</v>
      </c>
      <c r="I2206">
        <v>0</v>
      </c>
      <c r="J2206">
        <v>0</v>
      </c>
      <c r="K2206">
        <v>0</v>
      </c>
    </row>
    <row r="2207" spans="1:11" x14ac:dyDescent="0.2">
      <c r="A2207" t="s">
        <v>4604</v>
      </c>
      <c r="B2207" t="s">
        <v>4605</v>
      </c>
      <c r="C2207" t="s">
        <v>4597</v>
      </c>
      <c r="D2207" t="s">
        <v>98</v>
      </c>
      <c r="E2207">
        <v>174.99</v>
      </c>
      <c r="F2207">
        <v>0</v>
      </c>
      <c r="H2207" t="s">
        <v>5065</v>
      </c>
      <c r="I2207">
        <v>0</v>
      </c>
      <c r="J2207">
        <v>0</v>
      </c>
      <c r="K2207">
        <v>0</v>
      </c>
    </row>
    <row r="2208" spans="1:11" x14ac:dyDescent="0.2">
      <c r="A2208" t="s">
        <v>5229</v>
      </c>
      <c r="B2208" t="s">
        <v>5230</v>
      </c>
      <c r="C2208" t="s">
        <v>904</v>
      </c>
      <c r="D2208" t="s">
        <v>98</v>
      </c>
      <c r="E2208">
        <v>79.989999999999995</v>
      </c>
      <c r="F2208">
        <v>0</v>
      </c>
      <c r="H2208" t="s">
        <v>5065</v>
      </c>
      <c r="I2208">
        <v>0</v>
      </c>
      <c r="J2208">
        <v>0</v>
      </c>
      <c r="K2208">
        <v>0</v>
      </c>
    </row>
    <row r="2209" spans="1:11" x14ac:dyDescent="0.2">
      <c r="A2209" t="s">
        <v>5429</v>
      </c>
      <c r="B2209" t="s">
        <v>5430</v>
      </c>
      <c r="C2209" t="s">
        <v>904</v>
      </c>
      <c r="D2209" t="s">
        <v>98</v>
      </c>
      <c r="E2209">
        <v>169.99</v>
      </c>
      <c r="F2209">
        <v>0</v>
      </c>
      <c r="H2209" t="s">
        <v>5065</v>
      </c>
      <c r="I2209">
        <v>0</v>
      </c>
      <c r="J2209">
        <v>0</v>
      </c>
      <c r="K2209">
        <v>0</v>
      </c>
    </row>
    <row r="2210" spans="1:11" x14ac:dyDescent="0.2">
      <c r="A2210" t="s">
        <v>4606</v>
      </c>
      <c r="B2210" t="s">
        <v>4607</v>
      </c>
      <c r="C2210" t="s">
        <v>4597</v>
      </c>
      <c r="D2210" t="s">
        <v>98</v>
      </c>
      <c r="E2210">
        <v>99.99</v>
      </c>
      <c r="F2210">
        <v>0</v>
      </c>
      <c r="H2210" t="s">
        <v>5065</v>
      </c>
      <c r="I2210">
        <v>0</v>
      </c>
      <c r="J2210">
        <v>0</v>
      </c>
      <c r="K2210">
        <v>0</v>
      </c>
    </row>
    <row r="2211" spans="1:11" x14ac:dyDescent="0.2">
      <c r="A2211" t="s">
        <v>5554</v>
      </c>
      <c r="B2211" t="s">
        <v>5555</v>
      </c>
      <c r="C2211" t="s">
        <v>904</v>
      </c>
      <c r="D2211" t="s">
        <v>98</v>
      </c>
      <c r="E2211">
        <v>29.99</v>
      </c>
      <c r="F2211">
        <v>0</v>
      </c>
      <c r="H2211" t="s">
        <v>5065</v>
      </c>
      <c r="I2211">
        <v>0</v>
      </c>
      <c r="J2211">
        <v>0</v>
      </c>
      <c r="K2211">
        <v>0</v>
      </c>
    </row>
    <row r="2212" spans="1:11" x14ac:dyDescent="0.2">
      <c r="A2212" t="s">
        <v>5520</v>
      </c>
      <c r="B2212" t="s">
        <v>5521</v>
      </c>
      <c r="C2212" t="s">
        <v>3929</v>
      </c>
      <c r="D2212" t="s">
        <v>138</v>
      </c>
      <c r="E2212">
        <v>89.99</v>
      </c>
      <c r="F2212">
        <v>0</v>
      </c>
      <c r="H2212" t="s">
        <v>5065</v>
      </c>
      <c r="I2212">
        <v>0</v>
      </c>
      <c r="J2212">
        <v>0</v>
      </c>
      <c r="K2212">
        <v>0</v>
      </c>
    </row>
    <row r="2213" spans="1:11" x14ac:dyDescent="0.2">
      <c r="A2213" t="s">
        <v>5219</v>
      </c>
      <c r="B2213" t="s">
        <v>5220</v>
      </c>
      <c r="C2213" t="s">
        <v>904</v>
      </c>
      <c r="D2213" t="s">
        <v>98</v>
      </c>
      <c r="E2213">
        <v>29.99</v>
      </c>
      <c r="F2213">
        <v>0</v>
      </c>
      <c r="H2213" t="s">
        <v>5065</v>
      </c>
      <c r="I2213">
        <v>0</v>
      </c>
      <c r="J2213">
        <v>0</v>
      </c>
      <c r="K2213">
        <v>0</v>
      </c>
    </row>
    <row r="2214" spans="1:11" x14ac:dyDescent="0.2">
      <c r="A2214" t="s">
        <v>5215</v>
      </c>
      <c r="B2214" t="s">
        <v>5216</v>
      </c>
      <c r="C2214" t="s">
        <v>3929</v>
      </c>
      <c r="D2214" t="s">
        <v>98</v>
      </c>
      <c r="E2214">
        <v>119.99</v>
      </c>
      <c r="F2214">
        <v>0</v>
      </c>
      <c r="H2214" t="s">
        <v>5065</v>
      </c>
      <c r="I2214">
        <v>0</v>
      </c>
      <c r="J2214">
        <v>0</v>
      </c>
      <c r="K2214">
        <v>0</v>
      </c>
    </row>
    <row r="2215" spans="1:11" x14ac:dyDescent="0.2">
      <c r="A2215" t="s">
        <v>5217</v>
      </c>
      <c r="B2215" t="s">
        <v>5218</v>
      </c>
      <c r="C2215" t="s">
        <v>904</v>
      </c>
      <c r="D2215" t="s">
        <v>98</v>
      </c>
      <c r="E2215">
        <v>29.99</v>
      </c>
      <c r="F2215">
        <v>0</v>
      </c>
      <c r="H2215" t="s">
        <v>5065</v>
      </c>
      <c r="I2215">
        <v>0</v>
      </c>
      <c r="J2215">
        <v>0</v>
      </c>
      <c r="K2215">
        <v>0</v>
      </c>
    </row>
    <row r="2216" spans="1:11" x14ac:dyDescent="0.2">
      <c r="A2216" t="s">
        <v>5610</v>
      </c>
      <c r="B2216" t="s">
        <v>5611</v>
      </c>
      <c r="C2216" t="s">
        <v>582</v>
      </c>
      <c r="D2216" t="s">
        <v>98</v>
      </c>
      <c r="E2216">
        <v>59.99</v>
      </c>
      <c r="F2216">
        <v>0</v>
      </c>
      <c r="H2216" t="s">
        <v>5065</v>
      </c>
      <c r="I2216">
        <v>0</v>
      </c>
      <c r="J2216">
        <v>0</v>
      </c>
      <c r="K2216">
        <v>0</v>
      </c>
    </row>
    <row r="2217" spans="1:11" x14ac:dyDescent="0.2">
      <c r="A2217" t="s">
        <v>2177</v>
      </c>
      <c r="B2217" t="s">
        <v>2178</v>
      </c>
      <c r="C2217" t="s">
        <v>2174</v>
      </c>
      <c r="D2217" t="s">
        <v>98</v>
      </c>
      <c r="E2217">
        <v>69.989999999999995</v>
      </c>
      <c r="F2217">
        <v>0</v>
      </c>
      <c r="H2217" t="s">
        <v>5065</v>
      </c>
      <c r="I2217">
        <v>0</v>
      </c>
      <c r="J2217">
        <v>0</v>
      </c>
      <c r="K2217">
        <v>0</v>
      </c>
    </row>
    <row r="2218" spans="1:11" x14ac:dyDescent="0.2">
      <c r="A2218" t="s">
        <v>5570</v>
      </c>
      <c r="B2218" t="s">
        <v>5571</v>
      </c>
      <c r="C2218" t="s">
        <v>904</v>
      </c>
      <c r="D2218" t="s">
        <v>98</v>
      </c>
      <c r="E2218">
        <v>29.99</v>
      </c>
      <c r="F2218">
        <v>0</v>
      </c>
      <c r="H2218" t="s">
        <v>5065</v>
      </c>
      <c r="I2218">
        <v>0</v>
      </c>
      <c r="J2218">
        <v>0</v>
      </c>
      <c r="K2218">
        <v>0</v>
      </c>
    </row>
    <row r="2219" spans="1:11" x14ac:dyDescent="0.2">
      <c r="A2219" t="s">
        <v>4608</v>
      </c>
      <c r="B2219" t="s">
        <v>4609</v>
      </c>
      <c r="C2219" t="s">
        <v>4597</v>
      </c>
      <c r="D2219" t="s">
        <v>98</v>
      </c>
      <c r="E2219">
        <v>139.99</v>
      </c>
      <c r="F2219">
        <v>0</v>
      </c>
      <c r="H2219" t="s">
        <v>5065</v>
      </c>
      <c r="I2219">
        <v>0</v>
      </c>
      <c r="J2219">
        <v>0</v>
      </c>
      <c r="K2219">
        <v>0</v>
      </c>
    </row>
    <row r="2220" spans="1:11" x14ac:dyDescent="0.2">
      <c r="A2220" t="s">
        <v>977</v>
      </c>
      <c r="B2220" t="s">
        <v>978</v>
      </c>
      <c r="C2220" t="s">
        <v>976</v>
      </c>
      <c r="D2220" t="s">
        <v>98</v>
      </c>
      <c r="E2220">
        <v>3499.99</v>
      </c>
      <c r="F2220">
        <v>0</v>
      </c>
      <c r="H2220" t="s">
        <v>5065</v>
      </c>
      <c r="I2220">
        <v>0</v>
      </c>
      <c r="J2220">
        <v>0</v>
      </c>
      <c r="K2220">
        <v>0</v>
      </c>
    </row>
    <row r="2221" spans="1:11" x14ac:dyDescent="0.2">
      <c r="A2221" t="s">
        <v>5566</v>
      </c>
      <c r="B2221" t="s">
        <v>5567</v>
      </c>
      <c r="C2221" t="s">
        <v>904</v>
      </c>
      <c r="D2221" t="s">
        <v>98</v>
      </c>
      <c r="E2221">
        <v>9.99</v>
      </c>
      <c r="F2221">
        <v>0</v>
      </c>
      <c r="H2221" t="s">
        <v>5065</v>
      </c>
      <c r="I2221">
        <v>0</v>
      </c>
      <c r="J2221">
        <v>0</v>
      </c>
      <c r="K2221">
        <v>0</v>
      </c>
    </row>
    <row r="2222" spans="1:11" x14ac:dyDescent="0.2">
      <c r="A2222" t="s">
        <v>5122</v>
      </c>
      <c r="B2222" t="s">
        <v>5123</v>
      </c>
      <c r="C2222" t="s">
        <v>3929</v>
      </c>
      <c r="D2222" t="s">
        <v>138</v>
      </c>
      <c r="E2222">
        <v>169.99</v>
      </c>
      <c r="F2222">
        <v>0</v>
      </c>
      <c r="H2222" t="s">
        <v>5065</v>
      </c>
      <c r="I2222">
        <v>0</v>
      </c>
      <c r="J2222">
        <v>0</v>
      </c>
      <c r="K2222">
        <v>0</v>
      </c>
    </row>
    <row r="2223" spans="1:11" x14ac:dyDescent="0.2">
      <c r="A2223" t="s">
        <v>5606</v>
      </c>
      <c r="B2223" t="s">
        <v>5607</v>
      </c>
      <c r="C2223" t="s">
        <v>3929</v>
      </c>
      <c r="D2223" t="s">
        <v>138</v>
      </c>
      <c r="E2223">
        <v>169.99</v>
      </c>
      <c r="F2223">
        <v>0</v>
      </c>
      <c r="G2223">
        <v>2</v>
      </c>
      <c r="H2223" t="s">
        <v>5065</v>
      </c>
      <c r="I2223">
        <v>0</v>
      </c>
      <c r="J2223">
        <v>0</v>
      </c>
      <c r="K2223">
        <v>0</v>
      </c>
    </row>
    <row r="2224" spans="1:11" x14ac:dyDescent="0.2">
      <c r="A2224" t="s">
        <v>404</v>
      </c>
      <c r="B2224" t="s">
        <v>405</v>
      </c>
      <c r="C2224" t="s">
        <v>307</v>
      </c>
      <c r="D2224" t="s">
        <v>98</v>
      </c>
      <c r="E2224">
        <v>1699.99</v>
      </c>
      <c r="F2224">
        <v>0</v>
      </c>
      <c r="H2224" t="s">
        <v>5065</v>
      </c>
      <c r="I2224">
        <v>0</v>
      </c>
      <c r="J2224">
        <v>0</v>
      </c>
      <c r="K2224">
        <v>0</v>
      </c>
    </row>
    <row r="2225" spans="1:11" x14ac:dyDescent="0.2">
      <c r="A2225" t="s">
        <v>5540</v>
      </c>
      <c r="B2225" t="s">
        <v>5541</v>
      </c>
      <c r="C2225" t="s">
        <v>904</v>
      </c>
      <c r="D2225" t="s">
        <v>98</v>
      </c>
      <c r="E2225">
        <v>9.99</v>
      </c>
      <c r="F2225">
        <v>0</v>
      </c>
      <c r="H2225" t="s">
        <v>5065</v>
      </c>
      <c r="I2225">
        <v>0</v>
      </c>
      <c r="J2225">
        <v>0</v>
      </c>
      <c r="K2225">
        <v>0</v>
      </c>
    </row>
    <row r="2226" spans="1:11" x14ac:dyDescent="0.2">
      <c r="A2226" t="s">
        <v>5403</v>
      </c>
      <c r="B2226" t="s">
        <v>5404</v>
      </c>
      <c r="C2226" t="s">
        <v>5388</v>
      </c>
      <c r="D2226" t="s">
        <v>98</v>
      </c>
      <c r="E2226">
        <v>5599.99</v>
      </c>
      <c r="F2226">
        <v>0</v>
      </c>
      <c r="H2226" t="s">
        <v>5065</v>
      </c>
      <c r="I2226">
        <v>0</v>
      </c>
      <c r="J2226">
        <v>0</v>
      </c>
      <c r="K2226">
        <v>0</v>
      </c>
    </row>
    <row r="2227" spans="1:11" x14ac:dyDescent="0.2">
      <c r="A2227" t="s">
        <v>5576</v>
      </c>
      <c r="B2227" t="s">
        <v>5577</v>
      </c>
      <c r="C2227" t="s">
        <v>904</v>
      </c>
      <c r="D2227" t="s">
        <v>98</v>
      </c>
      <c r="E2227">
        <v>9.99</v>
      </c>
      <c r="F2227">
        <v>0</v>
      </c>
      <c r="H2227" t="s">
        <v>5065</v>
      </c>
      <c r="I2227">
        <v>0</v>
      </c>
      <c r="J2227">
        <v>0</v>
      </c>
      <c r="K2227">
        <v>0</v>
      </c>
    </row>
    <row r="2228" spans="1:11" x14ac:dyDescent="0.2">
      <c r="A2228" t="s">
        <v>5542</v>
      </c>
      <c r="B2228" t="s">
        <v>5543</v>
      </c>
      <c r="C2228" t="s">
        <v>3929</v>
      </c>
      <c r="D2228" t="s">
        <v>98</v>
      </c>
      <c r="E2228">
        <v>159.99</v>
      </c>
      <c r="F2228">
        <v>0</v>
      </c>
      <c r="H2228" t="s">
        <v>5065</v>
      </c>
      <c r="I2228">
        <v>0</v>
      </c>
      <c r="J2228">
        <v>0</v>
      </c>
      <c r="K2228">
        <v>0</v>
      </c>
    </row>
    <row r="2229" spans="1:11" x14ac:dyDescent="0.2">
      <c r="A2229" t="s">
        <v>4913</v>
      </c>
      <c r="B2229" t="s">
        <v>4912</v>
      </c>
      <c r="C2229" t="s">
        <v>4905</v>
      </c>
      <c r="D2229" t="s">
        <v>138</v>
      </c>
      <c r="E2229">
        <v>199.99</v>
      </c>
      <c r="F2229">
        <v>0</v>
      </c>
      <c r="H2229" t="s">
        <v>5065</v>
      </c>
      <c r="I2229">
        <v>0</v>
      </c>
      <c r="J2229">
        <v>0</v>
      </c>
      <c r="K2229">
        <v>0</v>
      </c>
    </row>
    <row r="2230" spans="1:11" x14ac:dyDescent="0.2">
      <c r="A2230" t="s">
        <v>4908</v>
      </c>
      <c r="B2230" t="s">
        <v>4909</v>
      </c>
      <c r="C2230" t="s">
        <v>4905</v>
      </c>
      <c r="D2230" t="s">
        <v>138</v>
      </c>
      <c r="E2230">
        <v>199.99</v>
      </c>
      <c r="F2230">
        <v>0</v>
      </c>
      <c r="H2230" t="s">
        <v>5065</v>
      </c>
      <c r="I2230">
        <v>0</v>
      </c>
      <c r="J2230">
        <v>0</v>
      </c>
      <c r="K2230">
        <v>0</v>
      </c>
    </row>
    <row r="2231" spans="1:11" x14ac:dyDescent="0.2">
      <c r="A2231" t="s">
        <v>5600</v>
      </c>
      <c r="B2231" t="s">
        <v>5601</v>
      </c>
      <c r="C2231" t="s">
        <v>904</v>
      </c>
      <c r="D2231" t="s">
        <v>98</v>
      </c>
      <c r="E2231">
        <v>119.99</v>
      </c>
      <c r="F2231">
        <v>0</v>
      </c>
      <c r="H2231" t="s">
        <v>5065</v>
      </c>
      <c r="I2231">
        <v>0</v>
      </c>
      <c r="J2231">
        <v>0</v>
      </c>
      <c r="K2231">
        <v>0</v>
      </c>
    </row>
    <row r="2232" spans="1:11" x14ac:dyDescent="0.2">
      <c r="A2232" t="s">
        <v>4095</v>
      </c>
      <c r="B2232" t="s">
        <v>4096</v>
      </c>
      <c r="C2232" t="s">
        <v>3929</v>
      </c>
      <c r="D2232" t="s">
        <v>98</v>
      </c>
      <c r="E2232">
        <v>99.99</v>
      </c>
      <c r="F2232">
        <v>0</v>
      </c>
      <c r="H2232" t="s">
        <v>5065</v>
      </c>
      <c r="I2232">
        <v>0</v>
      </c>
      <c r="J2232">
        <v>0</v>
      </c>
      <c r="K2232">
        <v>0</v>
      </c>
    </row>
    <row r="2233" spans="1:11" x14ac:dyDescent="0.2">
      <c r="A2233" t="s">
        <v>5558</v>
      </c>
      <c r="B2233" t="s">
        <v>5559</v>
      </c>
      <c r="C2233" t="s">
        <v>904</v>
      </c>
      <c r="D2233" t="s">
        <v>98</v>
      </c>
      <c r="E2233">
        <v>29.99</v>
      </c>
      <c r="F2233">
        <v>0</v>
      </c>
      <c r="H2233" t="s">
        <v>5065</v>
      </c>
      <c r="I2233">
        <v>0</v>
      </c>
      <c r="J2233">
        <v>0</v>
      </c>
      <c r="K2233">
        <v>0</v>
      </c>
    </row>
    <row r="2234" spans="1:11" x14ac:dyDescent="0.2">
      <c r="A2234" t="s">
        <v>5580</v>
      </c>
      <c r="B2234" t="s">
        <v>5581</v>
      </c>
      <c r="C2234" t="s">
        <v>904</v>
      </c>
      <c r="D2234" t="s">
        <v>98</v>
      </c>
      <c r="E2234">
        <v>9.99</v>
      </c>
      <c r="F2234">
        <v>0</v>
      </c>
      <c r="H2234" t="s">
        <v>5065</v>
      </c>
      <c r="I2234">
        <v>0</v>
      </c>
      <c r="J2234">
        <v>0</v>
      </c>
      <c r="K2234">
        <v>0</v>
      </c>
    </row>
    <row r="2235" spans="1:11" x14ac:dyDescent="0.2">
      <c r="A2235" t="s">
        <v>5507</v>
      </c>
      <c r="B2235" t="s">
        <v>5508</v>
      </c>
      <c r="C2235" t="s">
        <v>5509</v>
      </c>
      <c r="D2235" t="s">
        <v>98</v>
      </c>
      <c r="E2235">
        <v>19.989999999999998</v>
      </c>
      <c r="F2235">
        <v>0</v>
      </c>
      <c r="H2235" t="s">
        <v>5065</v>
      </c>
      <c r="I2235">
        <v>0</v>
      </c>
      <c r="J2235">
        <v>0</v>
      </c>
      <c r="K2235">
        <v>0</v>
      </c>
    </row>
    <row r="2236" spans="1:11" x14ac:dyDescent="0.2">
      <c r="A2236" t="s">
        <v>5516</v>
      </c>
      <c r="B2236" t="s">
        <v>5517</v>
      </c>
      <c r="C2236" t="s">
        <v>3929</v>
      </c>
      <c r="D2236" t="s">
        <v>98</v>
      </c>
      <c r="E2236">
        <v>19.989999999999998</v>
      </c>
      <c r="F2236">
        <v>0</v>
      </c>
      <c r="H2236" t="s">
        <v>5065</v>
      </c>
      <c r="I2236">
        <v>0</v>
      </c>
      <c r="J2236">
        <v>0</v>
      </c>
      <c r="K2236">
        <v>0</v>
      </c>
    </row>
    <row r="2237" spans="1:11" x14ac:dyDescent="0.2">
      <c r="A2237" t="s">
        <v>2175</v>
      </c>
      <c r="B2237" t="s">
        <v>2176</v>
      </c>
      <c r="C2237" t="s">
        <v>2174</v>
      </c>
      <c r="D2237" t="s">
        <v>98</v>
      </c>
      <c r="E2237">
        <v>69.989999999999995</v>
      </c>
      <c r="F2237">
        <v>0</v>
      </c>
      <c r="H2237" t="s">
        <v>5065</v>
      </c>
      <c r="I2237">
        <v>0</v>
      </c>
      <c r="J2237">
        <v>0</v>
      </c>
      <c r="K2237">
        <v>0</v>
      </c>
    </row>
    <row r="2238" spans="1:11" x14ac:dyDescent="0.2">
      <c r="A2238" t="s">
        <v>4109</v>
      </c>
      <c r="B2238" t="s">
        <v>4110</v>
      </c>
      <c r="C2238" t="s">
        <v>3929</v>
      </c>
      <c r="D2238" t="s">
        <v>138</v>
      </c>
      <c r="E2238">
        <v>64.989999999999995</v>
      </c>
      <c r="F2238">
        <v>0</v>
      </c>
      <c r="H2238" t="s">
        <v>5065</v>
      </c>
      <c r="I2238">
        <v>0</v>
      </c>
      <c r="J2238">
        <v>0</v>
      </c>
      <c r="K2238">
        <v>0</v>
      </c>
    </row>
    <row r="2239" spans="1:11" x14ac:dyDescent="0.2">
      <c r="A2239" t="s">
        <v>5201</v>
      </c>
      <c r="B2239" t="s">
        <v>5202</v>
      </c>
      <c r="C2239" t="s">
        <v>904</v>
      </c>
      <c r="D2239" t="s">
        <v>98</v>
      </c>
      <c r="E2239">
        <v>29.99</v>
      </c>
      <c r="F2239">
        <v>0</v>
      </c>
      <c r="H2239" t="s">
        <v>5065</v>
      </c>
      <c r="I2239">
        <v>0</v>
      </c>
      <c r="J2239">
        <v>0</v>
      </c>
      <c r="K2239">
        <v>0</v>
      </c>
    </row>
    <row r="2240" spans="1:11" x14ac:dyDescent="0.2">
      <c r="A2240" t="s">
        <v>5524</v>
      </c>
      <c r="B2240" t="s">
        <v>5525</v>
      </c>
      <c r="C2240" t="s">
        <v>2174</v>
      </c>
      <c r="D2240" t="s">
        <v>98</v>
      </c>
      <c r="E2240">
        <v>99.99</v>
      </c>
      <c r="F2240">
        <v>0</v>
      </c>
      <c r="H2240" t="s">
        <v>5065</v>
      </c>
      <c r="I2240">
        <v>0</v>
      </c>
      <c r="J2240">
        <v>0</v>
      </c>
      <c r="K2240">
        <v>0</v>
      </c>
    </row>
    <row r="2241" spans="1:11" x14ac:dyDescent="0.2">
      <c r="A2241" t="s">
        <v>422</v>
      </c>
      <c r="B2241" t="s">
        <v>423</v>
      </c>
      <c r="C2241" t="s">
        <v>307</v>
      </c>
      <c r="D2241" t="s">
        <v>98</v>
      </c>
      <c r="E2241">
        <v>449</v>
      </c>
      <c r="F2241">
        <v>0</v>
      </c>
      <c r="H2241" t="s">
        <v>5065</v>
      </c>
      <c r="I2241">
        <v>0</v>
      </c>
      <c r="J2241">
        <v>0</v>
      </c>
      <c r="K2241">
        <v>0</v>
      </c>
    </row>
    <row r="2242" spans="1:11" x14ac:dyDescent="0.2">
      <c r="A2242" t="s">
        <v>5602</v>
      </c>
      <c r="B2242" t="s">
        <v>5603</v>
      </c>
      <c r="C2242" t="s">
        <v>582</v>
      </c>
      <c r="D2242" t="s">
        <v>98</v>
      </c>
      <c r="E2242">
        <v>79.989999999999995</v>
      </c>
      <c r="F2242">
        <v>0</v>
      </c>
      <c r="H2242" t="s">
        <v>5065</v>
      </c>
      <c r="I2242">
        <v>0</v>
      </c>
      <c r="J2242">
        <v>0</v>
      </c>
      <c r="K2242">
        <v>0</v>
      </c>
    </row>
    <row r="2243" spans="1:11" x14ac:dyDescent="0.2">
      <c r="A2243" t="s">
        <v>5130</v>
      </c>
      <c r="B2243" t="s">
        <v>5131</v>
      </c>
      <c r="C2243" t="s">
        <v>3929</v>
      </c>
      <c r="D2243" t="s">
        <v>138</v>
      </c>
      <c r="E2243">
        <v>139.99</v>
      </c>
      <c r="F2243">
        <v>0</v>
      </c>
      <c r="H2243" t="s">
        <v>5065</v>
      </c>
      <c r="I2243">
        <v>0.33333333333333331</v>
      </c>
      <c r="J2243">
        <v>0</v>
      </c>
      <c r="K2243">
        <v>0</v>
      </c>
    </row>
    <row r="2244" spans="1:11" x14ac:dyDescent="0.2">
      <c r="A2244" t="s">
        <v>5491</v>
      </c>
      <c r="B2244" t="s">
        <v>5492</v>
      </c>
      <c r="C2244" t="s">
        <v>3929</v>
      </c>
      <c r="D2244" t="s">
        <v>98</v>
      </c>
      <c r="E2244">
        <v>219.99</v>
      </c>
      <c r="F2244">
        <v>0</v>
      </c>
      <c r="H2244" t="s">
        <v>5065</v>
      </c>
      <c r="I2244">
        <v>0</v>
      </c>
      <c r="J2244">
        <v>0</v>
      </c>
      <c r="K2244">
        <v>0</v>
      </c>
    </row>
    <row r="2245" spans="1:11" x14ac:dyDescent="0.2">
      <c r="A2245" t="s">
        <v>5423</v>
      </c>
      <c r="B2245" t="s">
        <v>5424</v>
      </c>
      <c r="C2245" t="s">
        <v>5388</v>
      </c>
      <c r="D2245" t="s">
        <v>98</v>
      </c>
      <c r="E2245">
        <v>3999.99</v>
      </c>
      <c r="F2245">
        <v>0</v>
      </c>
      <c r="H2245" t="s">
        <v>5065</v>
      </c>
      <c r="I2245">
        <v>0</v>
      </c>
      <c r="J2245">
        <v>0</v>
      </c>
      <c r="K2245">
        <v>0</v>
      </c>
    </row>
    <row r="2246" spans="1:11" x14ac:dyDescent="0.2">
      <c r="A2246" t="s">
        <v>5255</v>
      </c>
      <c r="B2246" t="s">
        <v>5256</v>
      </c>
      <c r="C2246" t="s">
        <v>904</v>
      </c>
      <c r="D2246" t="s">
        <v>98</v>
      </c>
      <c r="E2246">
        <v>49.99</v>
      </c>
      <c r="F2246">
        <v>0</v>
      </c>
      <c r="H2246" t="s">
        <v>5065</v>
      </c>
      <c r="I2246">
        <v>0</v>
      </c>
      <c r="J2246">
        <v>0</v>
      </c>
      <c r="K2246">
        <v>0</v>
      </c>
    </row>
    <row r="2247" spans="1:11" x14ac:dyDescent="0.2">
      <c r="A2247" t="s">
        <v>2195</v>
      </c>
      <c r="B2247" t="s">
        <v>2196</v>
      </c>
      <c r="C2247" t="s">
        <v>2174</v>
      </c>
      <c r="D2247" t="s">
        <v>98</v>
      </c>
      <c r="E2247">
        <v>99.99</v>
      </c>
      <c r="F2247">
        <v>0</v>
      </c>
      <c r="H2247" t="s">
        <v>5065</v>
      </c>
      <c r="I2247">
        <v>0</v>
      </c>
      <c r="J2247">
        <v>0</v>
      </c>
      <c r="K2247">
        <v>0</v>
      </c>
    </row>
    <row r="2248" spans="1:11" x14ac:dyDescent="0.2">
      <c r="A2248" t="s">
        <v>2213</v>
      </c>
      <c r="B2248" t="s">
        <v>2214</v>
      </c>
      <c r="C2248" t="s">
        <v>2174</v>
      </c>
      <c r="D2248" t="s">
        <v>98</v>
      </c>
      <c r="E2248">
        <v>99.99</v>
      </c>
      <c r="F2248">
        <v>0</v>
      </c>
      <c r="H2248" t="s">
        <v>5065</v>
      </c>
      <c r="I2248">
        <v>0</v>
      </c>
      <c r="J2248">
        <v>0</v>
      </c>
      <c r="K2248">
        <v>0</v>
      </c>
    </row>
    <row r="2249" spans="1:11" x14ac:dyDescent="0.2">
      <c r="A2249" t="s">
        <v>4957</v>
      </c>
      <c r="B2249" t="s">
        <v>4958</v>
      </c>
      <c r="C2249" t="s">
        <v>4905</v>
      </c>
      <c r="D2249" t="s">
        <v>105</v>
      </c>
      <c r="E2249">
        <v>669</v>
      </c>
      <c r="F2249">
        <v>669</v>
      </c>
      <c r="G2249">
        <v>25</v>
      </c>
      <c r="H2249" t="s">
        <v>5065</v>
      </c>
      <c r="I2249">
        <v>0.16666666666666666</v>
      </c>
      <c r="J2249">
        <v>252</v>
      </c>
      <c r="K2249">
        <v>42</v>
      </c>
    </row>
    <row r="2250" spans="1:11" x14ac:dyDescent="0.2">
      <c r="A2250" t="s">
        <v>5586</v>
      </c>
      <c r="B2250" t="s">
        <v>5587</v>
      </c>
      <c r="C2250" t="s">
        <v>904</v>
      </c>
      <c r="D2250" t="s">
        <v>98</v>
      </c>
      <c r="E2250">
        <v>119.99</v>
      </c>
      <c r="F2250">
        <v>0</v>
      </c>
      <c r="H2250" t="s">
        <v>5065</v>
      </c>
      <c r="I2250">
        <v>0</v>
      </c>
      <c r="J2250">
        <v>0</v>
      </c>
      <c r="K2250">
        <v>0</v>
      </c>
    </row>
    <row r="2251" spans="1:11" x14ac:dyDescent="0.2">
      <c r="A2251" t="s">
        <v>5598</v>
      </c>
      <c r="B2251" t="s">
        <v>5599</v>
      </c>
      <c r="C2251" t="s">
        <v>904</v>
      </c>
      <c r="D2251" t="s">
        <v>98</v>
      </c>
      <c r="E2251">
        <v>119.99</v>
      </c>
      <c r="F2251">
        <v>0</v>
      </c>
      <c r="H2251" t="s">
        <v>5065</v>
      </c>
      <c r="I2251">
        <v>0</v>
      </c>
      <c r="J2251">
        <v>0</v>
      </c>
      <c r="K2251">
        <v>0</v>
      </c>
    </row>
    <row r="2252" spans="1:11" x14ac:dyDescent="0.2">
      <c r="A2252" t="s">
        <v>2189</v>
      </c>
      <c r="B2252" t="s">
        <v>2190</v>
      </c>
      <c r="C2252" t="s">
        <v>2174</v>
      </c>
      <c r="D2252" t="s">
        <v>98</v>
      </c>
      <c r="E2252">
        <v>99.99</v>
      </c>
      <c r="F2252">
        <v>0</v>
      </c>
      <c r="H2252" t="s">
        <v>5065</v>
      </c>
      <c r="I2252">
        <v>0</v>
      </c>
      <c r="J2252">
        <v>0</v>
      </c>
      <c r="K2252">
        <v>0</v>
      </c>
    </row>
    <row r="2253" spans="1:11" x14ac:dyDescent="0.2">
      <c r="A2253" t="s">
        <v>4091</v>
      </c>
      <c r="B2253" t="s">
        <v>4092</v>
      </c>
      <c r="C2253" t="s">
        <v>3929</v>
      </c>
      <c r="D2253" t="s">
        <v>105</v>
      </c>
      <c r="E2253">
        <v>159.99</v>
      </c>
      <c r="F2253">
        <v>0</v>
      </c>
      <c r="G2253">
        <v>25</v>
      </c>
      <c r="H2253" t="s">
        <v>5065</v>
      </c>
      <c r="I2253">
        <v>0</v>
      </c>
      <c r="J2253">
        <v>0</v>
      </c>
      <c r="K2253">
        <v>0</v>
      </c>
    </row>
    <row r="2254" spans="1:11" x14ac:dyDescent="0.2">
      <c r="A2254" t="s">
        <v>4097</v>
      </c>
      <c r="B2254" t="s">
        <v>4098</v>
      </c>
      <c r="C2254" t="s">
        <v>3929</v>
      </c>
      <c r="D2254" t="s">
        <v>105</v>
      </c>
      <c r="E2254">
        <v>199.99</v>
      </c>
      <c r="F2254">
        <v>0</v>
      </c>
      <c r="H2254" t="s">
        <v>5065</v>
      </c>
      <c r="I2254">
        <v>0</v>
      </c>
      <c r="J2254">
        <v>0</v>
      </c>
      <c r="K2254">
        <v>0</v>
      </c>
    </row>
    <row r="2255" spans="1:11" x14ac:dyDescent="0.2">
      <c r="A2255" t="s">
        <v>5608</v>
      </c>
      <c r="B2255" t="s">
        <v>5609</v>
      </c>
      <c r="C2255" t="s">
        <v>582</v>
      </c>
      <c r="D2255" t="s">
        <v>98</v>
      </c>
      <c r="E2255">
        <v>59.99</v>
      </c>
      <c r="F2255">
        <v>0</v>
      </c>
      <c r="H2255" t="s">
        <v>5065</v>
      </c>
      <c r="I2255">
        <v>0</v>
      </c>
      <c r="J2255">
        <v>0</v>
      </c>
      <c r="K2255">
        <v>0</v>
      </c>
    </row>
    <row r="2256" spans="1:11" x14ac:dyDescent="0.2">
      <c r="A2256" t="s">
        <v>5100</v>
      </c>
      <c r="B2256" t="s">
        <v>5101</v>
      </c>
      <c r="C2256" t="s">
        <v>3929</v>
      </c>
      <c r="D2256" t="s">
        <v>98</v>
      </c>
      <c r="E2256">
        <v>189.99</v>
      </c>
      <c r="F2256">
        <v>0</v>
      </c>
      <c r="H2256" t="s">
        <v>5065</v>
      </c>
      <c r="I2256">
        <v>0</v>
      </c>
      <c r="J2256">
        <v>0</v>
      </c>
      <c r="K2256">
        <v>0</v>
      </c>
    </row>
    <row r="2257" spans="1:11" x14ac:dyDescent="0.2">
      <c r="A2257" t="s">
        <v>4917</v>
      </c>
      <c r="B2257" t="s">
        <v>4918</v>
      </c>
      <c r="C2257" t="s">
        <v>4905</v>
      </c>
      <c r="D2257" t="s">
        <v>105</v>
      </c>
      <c r="E2257">
        <v>119.99</v>
      </c>
      <c r="F2257">
        <v>0</v>
      </c>
      <c r="G2257">
        <v>53</v>
      </c>
      <c r="H2257" t="s">
        <v>5065</v>
      </c>
      <c r="I2257">
        <v>0</v>
      </c>
      <c r="J2257">
        <v>0</v>
      </c>
      <c r="K2257">
        <v>0</v>
      </c>
    </row>
    <row r="2258" spans="1:11" x14ac:dyDescent="0.2">
      <c r="A2258" t="s">
        <v>5209</v>
      </c>
      <c r="B2258" t="s">
        <v>5210</v>
      </c>
      <c r="C2258" t="s">
        <v>904</v>
      </c>
      <c r="D2258" t="s">
        <v>98</v>
      </c>
      <c r="E2258">
        <v>49.99</v>
      </c>
      <c r="F2258">
        <v>0</v>
      </c>
      <c r="H2258" t="s">
        <v>5065</v>
      </c>
      <c r="I2258">
        <v>0</v>
      </c>
      <c r="J2258">
        <v>0</v>
      </c>
      <c r="K2258">
        <v>0</v>
      </c>
    </row>
    <row r="2259" spans="1:11" x14ac:dyDescent="0.2">
      <c r="A2259" t="s">
        <v>5386</v>
      </c>
      <c r="B2259" t="s">
        <v>5387</v>
      </c>
      <c r="C2259" t="s">
        <v>5388</v>
      </c>
      <c r="D2259" t="s">
        <v>98</v>
      </c>
      <c r="E2259">
        <v>689.99</v>
      </c>
      <c r="F2259">
        <v>0</v>
      </c>
      <c r="H2259" t="s">
        <v>5065</v>
      </c>
      <c r="I2259">
        <v>0</v>
      </c>
      <c r="J2259">
        <v>0</v>
      </c>
      <c r="K2259">
        <v>0</v>
      </c>
    </row>
    <row r="2260" spans="1:11" x14ac:dyDescent="0.2">
      <c r="A2260" t="s">
        <v>5128</v>
      </c>
      <c r="B2260" t="s">
        <v>5129</v>
      </c>
      <c r="C2260" t="s">
        <v>3929</v>
      </c>
      <c r="D2260" t="s">
        <v>138</v>
      </c>
      <c r="E2260">
        <v>129.99</v>
      </c>
      <c r="F2260">
        <v>0</v>
      </c>
      <c r="H2260" t="s">
        <v>5065</v>
      </c>
      <c r="I2260">
        <v>0</v>
      </c>
      <c r="J2260">
        <v>0</v>
      </c>
      <c r="K2260">
        <v>3</v>
      </c>
    </row>
    <row r="2261" spans="1:11" x14ac:dyDescent="0.2">
      <c r="A2261" t="s">
        <v>4107</v>
      </c>
      <c r="B2261" t="s">
        <v>4108</v>
      </c>
      <c r="C2261" t="s">
        <v>3929</v>
      </c>
      <c r="D2261" t="s">
        <v>138</v>
      </c>
      <c r="E2261">
        <v>119.99</v>
      </c>
      <c r="F2261">
        <v>359.96999999999997</v>
      </c>
      <c r="H2261" t="s">
        <v>5065</v>
      </c>
      <c r="I2261">
        <v>1.5</v>
      </c>
      <c r="J2261">
        <v>8</v>
      </c>
      <c r="K2261">
        <v>12</v>
      </c>
    </row>
    <row r="2262" spans="1:11" x14ac:dyDescent="0.2">
      <c r="A2262" t="s">
        <v>5245</v>
      </c>
      <c r="B2262" t="s">
        <v>5246</v>
      </c>
      <c r="C2262" t="s">
        <v>904</v>
      </c>
      <c r="D2262" t="s">
        <v>98</v>
      </c>
      <c r="E2262">
        <v>69.989999999999995</v>
      </c>
      <c r="F2262">
        <v>0</v>
      </c>
      <c r="H2262" t="s">
        <v>5065</v>
      </c>
      <c r="I2262">
        <v>0</v>
      </c>
      <c r="J2262">
        <v>0</v>
      </c>
      <c r="K2262">
        <v>0</v>
      </c>
    </row>
    <row r="2263" spans="1:11" x14ac:dyDescent="0.2">
      <c r="A2263" t="s">
        <v>2211</v>
      </c>
      <c r="B2263" t="s">
        <v>2212</v>
      </c>
      <c r="C2263" t="s">
        <v>2174</v>
      </c>
      <c r="D2263" t="s">
        <v>98</v>
      </c>
      <c r="E2263">
        <v>99.99</v>
      </c>
      <c r="F2263">
        <v>0</v>
      </c>
      <c r="H2263" t="s">
        <v>5065</v>
      </c>
      <c r="I2263">
        <v>0</v>
      </c>
      <c r="J2263">
        <v>0</v>
      </c>
      <c r="K2263">
        <v>0</v>
      </c>
    </row>
    <row r="2264" spans="1:11" x14ac:dyDescent="0.2">
      <c r="A2264" t="s">
        <v>5612</v>
      </c>
      <c r="B2264" t="s">
        <v>5613</v>
      </c>
      <c r="C2264" t="s">
        <v>904</v>
      </c>
      <c r="D2264" t="s">
        <v>98</v>
      </c>
      <c r="E2264">
        <v>119.99</v>
      </c>
      <c r="F2264">
        <v>0</v>
      </c>
      <c r="H2264" t="s">
        <v>5065</v>
      </c>
      <c r="I2264">
        <v>0</v>
      </c>
      <c r="J2264">
        <v>0</v>
      </c>
      <c r="K2264">
        <v>0</v>
      </c>
    </row>
    <row r="2265" spans="1:11" x14ac:dyDescent="0.2">
      <c r="A2265" t="s">
        <v>4938</v>
      </c>
      <c r="B2265" t="s">
        <v>4939</v>
      </c>
      <c r="C2265" t="s">
        <v>4905</v>
      </c>
      <c r="D2265" t="s">
        <v>105</v>
      </c>
      <c r="E2265">
        <v>489.99</v>
      </c>
      <c r="F2265">
        <v>0</v>
      </c>
      <c r="G2265">
        <v>2</v>
      </c>
      <c r="H2265" t="s">
        <v>5065</v>
      </c>
      <c r="I2265">
        <v>0</v>
      </c>
      <c r="J2265">
        <v>0</v>
      </c>
      <c r="K2265">
        <v>0</v>
      </c>
    </row>
    <row r="2266" spans="1:11" x14ac:dyDescent="0.2">
      <c r="A2266" t="s">
        <v>4922</v>
      </c>
      <c r="B2266" t="s">
        <v>4921</v>
      </c>
      <c r="C2266" t="s">
        <v>4905</v>
      </c>
      <c r="D2266" t="s">
        <v>138</v>
      </c>
      <c r="E2266">
        <v>269.99</v>
      </c>
      <c r="F2266">
        <v>0</v>
      </c>
      <c r="H2266" t="s">
        <v>5065</v>
      </c>
      <c r="I2266">
        <v>0</v>
      </c>
      <c r="J2266">
        <v>0</v>
      </c>
      <c r="K2266">
        <v>0</v>
      </c>
    </row>
    <row r="2267" spans="1:11" x14ac:dyDescent="0.2">
      <c r="A2267" t="s">
        <v>5461</v>
      </c>
      <c r="B2267" t="s">
        <v>5462</v>
      </c>
      <c r="C2267" t="s">
        <v>3929</v>
      </c>
      <c r="D2267" t="s">
        <v>98</v>
      </c>
      <c r="E2267">
        <v>89.99</v>
      </c>
      <c r="F2267">
        <v>0</v>
      </c>
      <c r="H2267" t="s">
        <v>5065</v>
      </c>
      <c r="I2267">
        <v>0</v>
      </c>
      <c r="J2267">
        <v>0</v>
      </c>
      <c r="K2267">
        <v>0</v>
      </c>
    </row>
    <row r="2268" spans="1:11" x14ac:dyDescent="0.2">
      <c r="A2268" t="s">
        <v>5556</v>
      </c>
      <c r="B2268" t="s">
        <v>5557</v>
      </c>
      <c r="C2268" t="s">
        <v>582</v>
      </c>
      <c r="D2268" t="s">
        <v>98</v>
      </c>
      <c r="E2268">
        <v>59.99</v>
      </c>
      <c r="F2268">
        <v>0</v>
      </c>
      <c r="H2268" t="s">
        <v>5065</v>
      </c>
      <c r="I2268">
        <v>0</v>
      </c>
      <c r="J2268">
        <v>0</v>
      </c>
      <c r="K2268">
        <v>0</v>
      </c>
    </row>
    <row r="2269" spans="1:11" x14ac:dyDescent="0.2">
      <c r="A2269" t="s">
        <v>5369</v>
      </c>
      <c r="B2269" t="s">
        <v>5370</v>
      </c>
      <c r="C2269" t="s">
        <v>3929</v>
      </c>
      <c r="D2269" t="s">
        <v>98</v>
      </c>
      <c r="E2269">
        <v>69.989999999999995</v>
      </c>
      <c r="F2269">
        <v>0</v>
      </c>
      <c r="H2269" t="s">
        <v>5065</v>
      </c>
      <c r="I2269">
        <v>0</v>
      </c>
      <c r="J2269">
        <v>0</v>
      </c>
      <c r="K2269">
        <v>0</v>
      </c>
    </row>
    <row r="2270" spans="1:11" x14ac:dyDescent="0.2">
      <c r="A2270" t="s">
        <v>2099</v>
      </c>
      <c r="B2270" t="s">
        <v>2100</v>
      </c>
      <c r="C2270" t="s">
        <v>2094</v>
      </c>
      <c r="D2270" t="s">
        <v>98</v>
      </c>
      <c r="E2270">
        <v>99.99</v>
      </c>
      <c r="F2270">
        <v>0</v>
      </c>
      <c r="H2270" t="s">
        <v>5065</v>
      </c>
      <c r="I2270">
        <v>0</v>
      </c>
      <c r="J2270">
        <v>0</v>
      </c>
      <c r="K2270">
        <v>0</v>
      </c>
    </row>
    <row r="2271" spans="1:11" x14ac:dyDescent="0.2">
      <c r="A2271" t="s">
        <v>4471</v>
      </c>
      <c r="B2271" t="s">
        <v>4472</v>
      </c>
      <c r="C2271" t="s">
        <v>4437</v>
      </c>
      <c r="D2271" t="s">
        <v>98</v>
      </c>
      <c r="E2271">
        <v>49.99</v>
      </c>
      <c r="F2271">
        <v>0</v>
      </c>
      <c r="H2271" t="s">
        <v>5065</v>
      </c>
      <c r="I2271">
        <v>0</v>
      </c>
      <c r="J2271">
        <v>0</v>
      </c>
      <c r="K2271">
        <v>0</v>
      </c>
    </row>
    <row r="2272" spans="1:11" x14ac:dyDescent="0.2">
      <c r="A2272" t="s">
        <v>920</v>
      </c>
      <c r="B2272" t="s">
        <v>921</v>
      </c>
      <c r="C2272" t="s">
        <v>911</v>
      </c>
      <c r="D2272" t="s">
        <v>105</v>
      </c>
      <c r="E2272">
        <v>89.99</v>
      </c>
      <c r="F2272">
        <v>0</v>
      </c>
      <c r="G2272">
        <v>107</v>
      </c>
      <c r="H2272" t="s">
        <v>5065</v>
      </c>
      <c r="I2272">
        <v>0</v>
      </c>
      <c r="J2272">
        <v>0</v>
      </c>
      <c r="K2272">
        <v>0</v>
      </c>
    </row>
    <row r="2273" spans="1:11" x14ac:dyDescent="0.2">
      <c r="A2273" t="s">
        <v>4473</v>
      </c>
      <c r="B2273" t="s">
        <v>4474</v>
      </c>
      <c r="C2273" t="s">
        <v>4437</v>
      </c>
      <c r="D2273" t="s">
        <v>98</v>
      </c>
      <c r="E2273">
        <v>99.99</v>
      </c>
      <c r="F2273">
        <v>0</v>
      </c>
      <c r="H2273" t="s">
        <v>5065</v>
      </c>
      <c r="I2273">
        <v>0</v>
      </c>
      <c r="J2273">
        <v>0</v>
      </c>
      <c r="K2273">
        <v>0</v>
      </c>
    </row>
    <row r="2274" spans="1:11" x14ac:dyDescent="0.2">
      <c r="A2274" t="s">
        <v>760</v>
      </c>
      <c r="B2274" t="s">
        <v>761</v>
      </c>
      <c r="C2274" t="s">
        <v>582</v>
      </c>
      <c r="D2274" t="s">
        <v>105</v>
      </c>
      <c r="E2274">
        <v>59.99</v>
      </c>
      <c r="F2274">
        <v>0</v>
      </c>
      <c r="H2274" t="s">
        <v>5065</v>
      </c>
      <c r="I2274">
        <v>0</v>
      </c>
      <c r="J2274">
        <v>0</v>
      </c>
      <c r="K2274">
        <v>0</v>
      </c>
    </row>
    <row r="2275" spans="1:11" x14ac:dyDescent="0.2">
      <c r="A2275" t="s">
        <v>912</v>
      </c>
      <c r="B2275" t="s">
        <v>913</v>
      </c>
      <c r="C2275" t="s">
        <v>911</v>
      </c>
      <c r="D2275" t="s">
        <v>98</v>
      </c>
      <c r="E2275">
        <v>59.99</v>
      </c>
      <c r="F2275">
        <v>119.98</v>
      </c>
      <c r="H2275" t="s">
        <v>5065</v>
      </c>
      <c r="I2275">
        <v>0.33333333333333331</v>
      </c>
      <c r="J2275">
        <v>99</v>
      </c>
      <c r="K2275">
        <v>33</v>
      </c>
    </row>
    <row r="2276" spans="1:11" x14ac:dyDescent="0.2">
      <c r="A2276" t="s">
        <v>4475</v>
      </c>
      <c r="B2276" t="s">
        <v>4476</v>
      </c>
      <c r="C2276" t="s">
        <v>4437</v>
      </c>
      <c r="D2276" t="s">
        <v>98</v>
      </c>
      <c r="E2276">
        <v>119.99</v>
      </c>
      <c r="F2276">
        <v>0</v>
      </c>
      <c r="H2276" t="s">
        <v>5065</v>
      </c>
      <c r="I2276">
        <v>0</v>
      </c>
      <c r="J2276">
        <v>0</v>
      </c>
      <c r="K2276">
        <v>0</v>
      </c>
    </row>
    <row r="2277" spans="1:11" x14ac:dyDescent="0.2">
      <c r="A2277" t="s">
        <v>958</v>
      </c>
      <c r="B2277" t="s">
        <v>959</v>
      </c>
      <c r="C2277" t="s">
        <v>911</v>
      </c>
      <c r="D2277" t="s">
        <v>105</v>
      </c>
      <c r="E2277">
        <v>169.99</v>
      </c>
      <c r="F2277">
        <v>0</v>
      </c>
      <c r="G2277">
        <v>49</v>
      </c>
      <c r="H2277" t="s">
        <v>5065</v>
      </c>
      <c r="I2277">
        <v>0</v>
      </c>
      <c r="J2277">
        <v>0</v>
      </c>
      <c r="K2277">
        <v>0</v>
      </c>
    </row>
    <row r="2278" spans="1:11" x14ac:dyDescent="0.2">
      <c r="A2278" t="s">
        <v>5205</v>
      </c>
      <c r="B2278" t="s">
        <v>5206</v>
      </c>
      <c r="C2278" t="s">
        <v>4518</v>
      </c>
      <c r="D2278" t="s">
        <v>98</v>
      </c>
      <c r="E2278">
        <v>89.99</v>
      </c>
      <c r="F2278">
        <v>0</v>
      </c>
      <c r="H2278" t="s">
        <v>5065</v>
      </c>
      <c r="I2278">
        <v>0</v>
      </c>
      <c r="J2278">
        <v>0</v>
      </c>
      <c r="K2278">
        <v>0</v>
      </c>
    </row>
    <row r="2279" spans="1:11" x14ac:dyDescent="0.2">
      <c r="A2279" t="s">
        <v>4477</v>
      </c>
      <c r="B2279" t="s">
        <v>4478</v>
      </c>
      <c r="C2279" t="s">
        <v>4437</v>
      </c>
      <c r="D2279" t="s">
        <v>98</v>
      </c>
      <c r="E2279">
        <v>119.99</v>
      </c>
      <c r="F2279">
        <v>0</v>
      </c>
      <c r="H2279" t="s">
        <v>5065</v>
      </c>
      <c r="I2279">
        <v>0</v>
      </c>
      <c r="J2279">
        <v>0</v>
      </c>
      <c r="K2279">
        <v>0</v>
      </c>
    </row>
    <row r="2280" spans="1:11" x14ac:dyDescent="0.2">
      <c r="A2280" t="s">
        <v>954</v>
      </c>
      <c r="B2280" t="s">
        <v>955</v>
      </c>
      <c r="C2280" t="s">
        <v>911</v>
      </c>
      <c r="D2280" t="s">
        <v>105</v>
      </c>
      <c r="E2280">
        <v>49.99</v>
      </c>
      <c r="F2280">
        <v>0</v>
      </c>
      <c r="G2280">
        <v>163</v>
      </c>
      <c r="H2280" t="s">
        <v>5065</v>
      </c>
      <c r="I2280">
        <v>0</v>
      </c>
      <c r="J2280">
        <v>0</v>
      </c>
      <c r="K2280">
        <v>0</v>
      </c>
    </row>
    <row r="2281" spans="1:11" x14ac:dyDescent="0.2">
      <c r="A2281" t="s">
        <v>762</v>
      </c>
      <c r="B2281" t="s">
        <v>763</v>
      </c>
      <c r="C2281" t="s">
        <v>582</v>
      </c>
      <c r="D2281" t="s">
        <v>98</v>
      </c>
      <c r="E2281">
        <v>59.99</v>
      </c>
      <c r="F2281">
        <v>0</v>
      </c>
      <c r="H2281" t="s">
        <v>5065</v>
      </c>
      <c r="I2281">
        <v>0</v>
      </c>
      <c r="J2281">
        <v>0</v>
      </c>
      <c r="K2281">
        <v>0</v>
      </c>
    </row>
    <row r="2282" spans="1:11" x14ac:dyDescent="0.2">
      <c r="A2282" t="s">
        <v>4479</v>
      </c>
      <c r="B2282" t="s">
        <v>4480</v>
      </c>
      <c r="C2282" t="s">
        <v>4437</v>
      </c>
      <c r="D2282" t="s">
        <v>98</v>
      </c>
      <c r="E2282">
        <v>69.989999999999995</v>
      </c>
      <c r="F2282">
        <v>0</v>
      </c>
      <c r="H2282" t="s">
        <v>5065</v>
      </c>
      <c r="I2282">
        <v>0</v>
      </c>
      <c r="J2282">
        <v>0</v>
      </c>
      <c r="K2282">
        <v>0</v>
      </c>
    </row>
    <row r="2283" spans="1:11" x14ac:dyDescent="0.2">
      <c r="A2283" t="s">
        <v>5207</v>
      </c>
      <c r="B2283" t="s">
        <v>5208</v>
      </c>
      <c r="C2283" t="s">
        <v>4518</v>
      </c>
      <c r="D2283" t="s">
        <v>98</v>
      </c>
      <c r="E2283">
        <v>89.99</v>
      </c>
      <c r="F2283">
        <v>0</v>
      </c>
      <c r="H2283" t="s">
        <v>5065</v>
      </c>
      <c r="I2283">
        <v>0</v>
      </c>
      <c r="J2283">
        <v>0</v>
      </c>
      <c r="K2283">
        <v>0</v>
      </c>
    </row>
    <row r="2284" spans="1:11" x14ac:dyDescent="0.2">
      <c r="A2284" t="s">
        <v>4481</v>
      </c>
      <c r="B2284" t="s">
        <v>4482</v>
      </c>
      <c r="C2284" t="s">
        <v>4437</v>
      </c>
      <c r="D2284" t="s">
        <v>98</v>
      </c>
      <c r="E2284">
        <v>119.99</v>
      </c>
      <c r="F2284">
        <v>0</v>
      </c>
      <c r="H2284" t="s">
        <v>5065</v>
      </c>
      <c r="I2284">
        <v>0</v>
      </c>
      <c r="J2284">
        <v>0</v>
      </c>
      <c r="K2284">
        <v>0</v>
      </c>
    </row>
    <row r="2285" spans="1:11" x14ac:dyDescent="0.2">
      <c r="A2285" t="s">
        <v>5189</v>
      </c>
      <c r="B2285" t="s">
        <v>5190</v>
      </c>
      <c r="C2285" t="s">
        <v>904</v>
      </c>
      <c r="D2285" t="s">
        <v>98</v>
      </c>
      <c r="E2285">
        <v>59.99</v>
      </c>
      <c r="F2285">
        <v>0</v>
      </c>
      <c r="H2285" t="s">
        <v>5065</v>
      </c>
      <c r="I2285">
        <v>0</v>
      </c>
      <c r="J2285">
        <v>0</v>
      </c>
      <c r="K2285">
        <v>0</v>
      </c>
    </row>
    <row r="2286" spans="1:11" x14ac:dyDescent="0.2">
      <c r="A2286" t="s">
        <v>5191</v>
      </c>
      <c r="B2286" t="s">
        <v>5192</v>
      </c>
      <c r="C2286" t="s">
        <v>4518</v>
      </c>
      <c r="D2286" t="s">
        <v>98</v>
      </c>
      <c r="E2286">
        <v>69.989999999999995</v>
      </c>
      <c r="F2286">
        <v>0</v>
      </c>
      <c r="H2286" t="s">
        <v>5065</v>
      </c>
      <c r="I2286">
        <v>0</v>
      </c>
      <c r="J2286">
        <v>0</v>
      </c>
      <c r="K2286">
        <v>0</v>
      </c>
    </row>
    <row r="2287" spans="1:11" x14ac:dyDescent="0.2">
      <c r="A2287" t="s">
        <v>764</v>
      </c>
      <c r="B2287" t="s">
        <v>765</v>
      </c>
      <c r="C2287" t="s">
        <v>582</v>
      </c>
      <c r="D2287" t="s">
        <v>105</v>
      </c>
      <c r="E2287">
        <v>59.99</v>
      </c>
      <c r="F2287">
        <v>0</v>
      </c>
      <c r="H2287" t="s">
        <v>5065</v>
      </c>
      <c r="I2287">
        <v>0</v>
      </c>
      <c r="J2287">
        <v>0</v>
      </c>
      <c r="K2287">
        <v>0</v>
      </c>
    </row>
    <row r="2288" spans="1:11" x14ac:dyDescent="0.2">
      <c r="A2288" t="s">
        <v>5203</v>
      </c>
      <c r="B2288" t="s">
        <v>5204</v>
      </c>
      <c r="C2288" t="s">
        <v>4518</v>
      </c>
      <c r="D2288" t="s">
        <v>98</v>
      </c>
      <c r="E2288">
        <v>109.99</v>
      </c>
      <c r="F2288">
        <v>0</v>
      </c>
      <c r="H2288" t="s">
        <v>5065</v>
      </c>
      <c r="I2288">
        <v>0</v>
      </c>
      <c r="J2288">
        <v>0</v>
      </c>
      <c r="K2288">
        <v>0</v>
      </c>
    </row>
    <row r="2289" spans="1:11" x14ac:dyDescent="0.2">
      <c r="A2289" t="s">
        <v>4469</v>
      </c>
      <c r="B2289" t="s">
        <v>4470</v>
      </c>
      <c r="C2289" t="s">
        <v>4437</v>
      </c>
      <c r="D2289" t="s">
        <v>98</v>
      </c>
      <c r="E2289">
        <v>39.99</v>
      </c>
      <c r="F2289">
        <v>0</v>
      </c>
      <c r="H2289" t="s">
        <v>5065</v>
      </c>
      <c r="I2289">
        <v>0</v>
      </c>
      <c r="J2289">
        <v>0</v>
      </c>
      <c r="K2289">
        <v>0</v>
      </c>
    </row>
    <row r="2290" spans="1:11" x14ac:dyDescent="0.2">
      <c r="A2290" t="s">
        <v>746</v>
      </c>
      <c r="B2290" t="s">
        <v>747</v>
      </c>
      <c r="C2290" t="s">
        <v>582</v>
      </c>
      <c r="D2290" t="s">
        <v>105</v>
      </c>
      <c r="E2290">
        <v>29.99</v>
      </c>
      <c r="F2290">
        <v>0</v>
      </c>
      <c r="G2290">
        <v>1252</v>
      </c>
      <c r="H2290" t="s">
        <v>5065</v>
      </c>
      <c r="I2290">
        <v>0</v>
      </c>
      <c r="J2290">
        <v>0</v>
      </c>
      <c r="K2290">
        <v>0</v>
      </c>
    </row>
    <row r="2291" spans="1:11" x14ac:dyDescent="0.2">
      <c r="A2291" t="s">
        <v>2101</v>
      </c>
      <c r="B2291" t="s">
        <v>2102</v>
      </c>
      <c r="C2291" t="s">
        <v>2094</v>
      </c>
      <c r="D2291" t="s">
        <v>138</v>
      </c>
      <c r="E2291">
        <v>219.99</v>
      </c>
      <c r="F2291">
        <v>0</v>
      </c>
      <c r="G2291">
        <v>30</v>
      </c>
      <c r="H2291" t="s">
        <v>5065</v>
      </c>
      <c r="I2291">
        <v>0</v>
      </c>
      <c r="J2291">
        <v>0</v>
      </c>
      <c r="K2291">
        <v>0</v>
      </c>
    </row>
    <row r="2292" spans="1:11" x14ac:dyDescent="0.2">
      <c r="A2292" t="s">
        <v>4453</v>
      </c>
      <c r="B2292" t="s">
        <v>4454</v>
      </c>
      <c r="C2292" t="s">
        <v>4437</v>
      </c>
      <c r="D2292" t="s">
        <v>98</v>
      </c>
      <c r="E2292">
        <v>299.99</v>
      </c>
      <c r="F2292">
        <v>0</v>
      </c>
      <c r="H2292" t="s">
        <v>5065</v>
      </c>
      <c r="I2292">
        <v>0</v>
      </c>
      <c r="J2292">
        <v>0</v>
      </c>
      <c r="K2292">
        <v>0</v>
      </c>
    </row>
    <row r="2293" spans="1:11" x14ac:dyDescent="0.2">
      <c r="A2293" t="s">
        <v>2205</v>
      </c>
      <c r="B2293" t="s">
        <v>2206</v>
      </c>
      <c r="C2293" t="s">
        <v>2174</v>
      </c>
      <c r="D2293" t="s">
        <v>98</v>
      </c>
      <c r="E2293">
        <v>79.989999999999995</v>
      </c>
      <c r="F2293">
        <v>0</v>
      </c>
      <c r="H2293" t="s">
        <v>5065</v>
      </c>
      <c r="I2293">
        <v>0</v>
      </c>
      <c r="J2293">
        <v>0</v>
      </c>
      <c r="K2293">
        <v>0</v>
      </c>
    </row>
    <row r="2294" spans="1:11" x14ac:dyDescent="0.2">
      <c r="A2294" t="s">
        <v>4555</v>
      </c>
      <c r="B2294" t="s">
        <v>4556</v>
      </c>
      <c r="C2294" t="s">
        <v>4518</v>
      </c>
      <c r="D2294" t="s">
        <v>105</v>
      </c>
      <c r="E2294">
        <v>99.99</v>
      </c>
      <c r="F2294">
        <v>0</v>
      </c>
      <c r="G2294">
        <v>24</v>
      </c>
      <c r="H2294" t="s">
        <v>5065</v>
      </c>
      <c r="I2294">
        <v>0</v>
      </c>
      <c r="J2294">
        <v>0</v>
      </c>
      <c r="K2294">
        <v>0</v>
      </c>
    </row>
    <row r="2295" spans="1:11" x14ac:dyDescent="0.2">
      <c r="A2295" t="s">
        <v>4455</v>
      </c>
      <c r="B2295" t="s">
        <v>4456</v>
      </c>
      <c r="C2295" t="s">
        <v>4437</v>
      </c>
      <c r="D2295" t="s">
        <v>98</v>
      </c>
      <c r="E2295">
        <v>199.99</v>
      </c>
      <c r="F2295">
        <v>0</v>
      </c>
      <c r="H2295" t="s">
        <v>5065</v>
      </c>
      <c r="I2295">
        <v>0</v>
      </c>
      <c r="J2295">
        <v>0</v>
      </c>
      <c r="K2295">
        <v>0</v>
      </c>
    </row>
    <row r="2296" spans="1:11" x14ac:dyDescent="0.2">
      <c r="A2296" t="s">
        <v>2183</v>
      </c>
      <c r="B2296" t="s">
        <v>2184</v>
      </c>
      <c r="C2296" t="s">
        <v>2174</v>
      </c>
      <c r="D2296" t="s">
        <v>98</v>
      </c>
      <c r="E2296">
        <v>69.989999999999995</v>
      </c>
      <c r="F2296">
        <v>0</v>
      </c>
      <c r="H2296" t="s">
        <v>5065</v>
      </c>
      <c r="I2296">
        <v>0</v>
      </c>
      <c r="J2296">
        <v>0</v>
      </c>
      <c r="K2296">
        <v>0</v>
      </c>
    </row>
    <row r="2297" spans="1:11" x14ac:dyDescent="0.2">
      <c r="A2297" t="s">
        <v>4457</v>
      </c>
      <c r="B2297" t="s">
        <v>4458</v>
      </c>
      <c r="C2297" t="s">
        <v>4437</v>
      </c>
      <c r="D2297" t="s">
        <v>98</v>
      </c>
      <c r="E2297">
        <v>249.99</v>
      </c>
      <c r="F2297">
        <v>0</v>
      </c>
      <c r="H2297" t="s">
        <v>5065</v>
      </c>
      <c r="I2297">
        <v>0</v>
      </c>
      <c r="J2297">
        <v>0</v>
      </c>
      <c r="K2297">
        <v>0</v>
      </c>
    </row>
    <row r="2298" spans="1:11" x14ac:dyDescent="0.2">
      <c r="A2298" t="s">
        <v>2181</v>
      </c>
      <c r="B2298" t="s">
        <v>2182</v>
      </c>
      <c r="C2298" t="s">
        <v>2174</v>
      </c>
      <c r="D2298" t="s">
        <v>98</v>
      </c>
      <c r="E2298">
        <v>44.99</v>
      </c>
      <c r="F2298">
        <v>0</v>
      </c>
      <c r="H2298" t="s">
        <v>5065</v>
      </c>
      <c r="I2298">
        <v>0</v>
      </c>
      <c r="J2298">
        <v>0</v>
      </c>
      <c r="K2298">
        <v>0</v>
      </c>
    </row>
    <row r="2299" spans="1:11" x14ac:dyDescent="0.2">
      <c r="A2299" t="s">
        <v>5179</v>
      </c>
      <c r="B2299" t="s">
        <v>5180</v>
      </c>
      <c r="C2299" t="s">
        <v>904</v>
      </c>
      <c r="D2299" t="s">
        <v>98</v>
      </c>
      <c r="E2299">
        <v>49.99</v>
      </c>
      <c r="F2299">
        <v>0</v>
      </c>
      <c r="H2299" t="s">
        <v>5065</v>
      </c>
      <c r="I2299">
        <v>0</v>
      </c>
      <c r="J2299">
        <v>0</v>
      </c>
      <c r="K2299">
        <v>0</v>
      </c>
    </row>
    <row r="2300" spans="1:11" x14ac:dyDescent="0.2">
      <c r="A2300" t="s">
        <v>4459</v>
      </c>
      <c r="B2300" t="s">
        <v>4460</v>
      </c>
      <c r="C2300" t="s">
        <v>4437</v>
      </c>
      <c r="D2300" t="s">
        <v>98</v>
      </c>
      <c r="E2300">
        <v>99.99</v>
      </c>
      <c r="F2300">
        <v>0</v>
      </c>
      <c r="H2300" t="s">
        <v>5065</v>
      </c>
      <c r="I2300">
        <v>0</v>
      </c>
      <c r="J2300">
        <v>0</v>
      </c>
      <c r="K2300">
        <v>0</v>
      </c>
    </row>
    <row r="2301" spans="1:11" x14ac:dyDescent="0.2">
      <c r="A2301" t="s">
        <v>5335</v>
      </c>
      <c r="B2301" t="s">
        <v>5336</v>
      </c>
      <c r="C2301" t="s">
        <v>2174</v>
      </c>
      <c r="D2301" t="s">
        <v>98</v>
      </c>
      <c r="E2301">
        <v>89.99</v>
      </c>
      <c r="F2301">
        <v>0</v>
      </c>
      <c r="H2301" t="s">
        <v>5065</v>
      </c>
      <c r="I2301">
        <v>0</v>
      </c>
      <c r="J2301">
        <v>0</v>
      </c>
      <c r="K2301">
        <v>0</v>
      </c>
    </row>
    <row r="2302" spans="1:11" x14ac:dyDescent="0.2">
      <c r="A2302" t="s">
        <v>4461</v>
      </c>
      <c r="B2302" t="s">
        <v>4462</v>
      </c>
      <c r="C2302" t="s">
        <v>4437</v>
      </c>
      <c r="D2302" t="s">
        <v>98</v>
      </c>
      <c r="E2302">
        <v>139.99</v>
      </c>
      <c r="F2302">
        <v>0</v>
      </c>
      <c r="H2302" t="s">
        <v>5065</v>
      </c>
      <c r="I2302">
        <v>0</v>
      </c>
      <c r="J2302">
        <v>0</v>
      </c>
      <c r="K2302">
        <v>0</v>
      </c>
    </row>
    <row r="2303" spans="1:11" x14ac:dyDescent="0.2">
      <c r="A2303" t="s">
        <v>2103</v>
      </c>
      <c r="B2303" t="s">
        <v>2104</v>
      </c>
      <c r="C2303" t="s">
        <v>2094</v>
      </c>
      <c r="D2303" t="s">
        <v>98</v>
      </c>
      <c r="E2303">
        <v>139.99</v>
      </c>
      <c r="F2303">
        <v>0</v>
      </c>
      <c r="H2303" t="s">
        <v>5065</v>
      </c>
      <c r="I2303">
        <v>0</v>
      </c>
      <c r="J2303">
        <v>0</v>
      </c>
      <c r="K2303">
        <v>0</v>
      </c>
    </row>
    <row r="2304" spans="1:11" x14ac:dyDescent="0.2">
      <c r="A2304" t="s">
        <v>4463</v>
      </c>
      <c r="B2304" t="s">
        <v>4464</v>
      </c>
      <c r="C2304" t="s">
        <v>4437</v>
      </c>
      <c r="D2304" t="s">
        <v>98</v>
      </c>
      <c r="E2304">
        <v>83.99</v>
      </c>
      <c r="F2304">
        <v>0</v>
      </c>
      <c r="H2304" t="s">
        <v>5065</v>
      </c>
      <c r="I2304">
        <v>0</v>
      </c>
      <c r="J2304">
        <v>0</v>
      </c>
      <c r="K2304">
        <v>0</v>
      </c>
    </row>
    <row r="2305" spans="1:11" x14ac:dyDescent="0.2">
      <c r="A2305" t="s">
        <v>2097</v>
      </c>
      <c r="B2305" t="s">
        <v>2098</v>
      </c>
      <c r="C2305" t="s">
        <v>2094</v>
      </c>
      <c r="D2305" t="s">
        <v>98</v>
      </c>
      <c r="E2305">
        <v>159.99</v>
      </c>
      <c r="F2305">
        <v>0</v>
      </c>
      <c r="H2305" t="s">
        <v>5065</v>
      </c>
      <c r="I2305">
        <v>0</v>
      </c>
      <c r="J2305">
        <v>0</v>
      </c>
      <c r="K2305">
        <v>0</v>
      </c>
    </row>
    <row r="2306" spans="1:11" x14ac:dyDescent="0.2">
      <c r="A2306" t="s">
        <v>4465</v>
      </c>
      <c r="B2306" t="s">
        <v>4466</v>
      </c>
      <c r="C2306" t="s">
        <v>4437</v>
      </c>
      <c r="D2306" t="s">
        <v>98</v>
      </c>
      <c r="E2306">
        <v>49.99</v>
      </c>
      <c r="F2306">
        <v>0</v>
      </c>
      <c r="H2306" t="s">
        <v>5065</v>
      </c>
      <c r="I2306">
        <v>0</v>
      </c>
      <c r="J2306">
        <v>0</v>
      </c>
      <c r="K2306">
        <v>0</v>
      </c>
    </row>
    <row r="2307" spans="1:11" x14ac:dyDescent="0.2">
      <c r="A2307" t="s">
        <v>2095</v>
      </c>
      <c r="B2307" t="s">
        <v>2096</v>
      </c>
      <c r="C2307" t="s">
        <v>2094</v>
      </c>
      <c r="D2307" t="s">
        <v>98</v>
      </c>
      <c r="E2307">
        <v>119.99</v>
      </c>
      <c r="F2307">
        <v>0</v>
      </c>
      <c r="H2307" t="s">
        <v>5065</v>
      </c>
      <c r="I2307">
        <v>0</v>
      </c>
      <c r="J2307">
        <v>0</v>
      </c>
      <c r="K2307">
        <v>0</v>
      </c>
    </row>
    <row r="2308" spans="1:11" x14ac:dyDescent="0.2">
      <c r="A2308" t="s">
        <v>601</v>
      </c>
      <c r="B2308" t="s">
        <v>602</v>
      </c>
      <c r="C2308" t="s">
        <v>582</v>
      </c>
      <c r="D2308" t="s">
        <v>105</v>
      </c>
      <c r="E2308">
        <v>29.99</v>
      </c>
      <c r="F2308">
        <v>0</v>
      </c>
      <c r="G2308">
        <v>320</v>
      </c>
      <c r="H2308" t="s">
        <v>5065</v>
      </c>
      <c r="I2308">
        <v>0</v>
      </c>
      <c r="J2308">
        <v>0</v>
      </c>
      <c r="K2308">
        <v>0</v>
      </c>
    </row>
    <row r="2309" spans="1:11" x14ac:dyDescent="0.2">
      <c r="A2309" t="s">
        <v>4467</v>
      </c>
      <c r="B2309" t="s">
        <v>4468</v>
      </c>
      <c r="C2309" t="s">
        <v>4437</v>
      </c>
      <c r="D2309" t="s">
        <v>98</v>
      </c>
      <c r="E2309">
        <v>80.989999999999995</v>
      </c>
      <c r="F2309">
        <v>0</v>
      </c>
      <c r="H2309" t="s">
        <v>5065</v>
      </c>
      <c r="I2309">
        <v>0</v>
      </c>
      <c r="J2309">
        <v>0</v>
      </c>
      <c r="K2309">
        <v>0</v>
      </c>
    </row>
    <row r="2310" spans="1:11" x14ac:dyDescent="0.2">
      <c r="A2310" t="s">
        <v>2201</v>
      </c>
      <c r="B2310" t="s">
        <v>2202</v>
      </c>
      <c r="C2310" t="s">
        <v>2174</v>
      </c>
      <c r="D2310" t="s">
        <v>98</v>
      </c>
      <c r="E2310">
        <v>69.989999999999995</v>
      </c>
      <c r="F2310">
        <v>0</v>
      </c>
      <c r="H2310" t="s">
        <v>5065</v>
      </c>
      <c r="I2310">
        <v>0</v>
      </c>
      <c r="J2310">
        <v>0</v>
      </c>
      <c r="K2310">
        <v>0</v>
      </c>
    </row>
    <row r="2311" spans="1:11" x14ac:dyDescent="0.2">
      <c r="A2311" t="s">
        <v>5150</v>
      </c>
      <c r="B2311" t="s">
        <v>5151</v>
      </c>
      <c r="C2311" t="s">
        <v>904</v>
      </c>
      <c r="D2311" t="s">
        <v>98</v>
      </c>
      <c r="E2311">
        <v>49.99</v>
      </c>
      <c r="F2311">
        <v>0</v>
      </c>
      <c r="H2311" t="s">
        <v>5065</v>
      </c>
      <c r="I2311">
        <v>0</v>
      </c>
      <c r="J2311">
        <v>0</v>
      </c>
      <c r="K2311">
        <v>0</v>
      </c>
    </row>
    <row r="2312" spans="1:11" x14ac:dyDescent="0.2">
      <c r="A2312" t="s">
        <v>5156</v>
      </c>
      <c r="B2312" t="s">
        <v>5157</v>
      </c>
      <c r="C2312" t="s">
        <v>4518</v>
      </c>
      <c r="D2312" t="s">
        <v>98</v>
      </c>
      <c r="E2312">
        <v>129.99</v>
      </c>
      <c r="F2312">
        <v>0</v>
      </c>
      <c r="H2312" t="s">
        <v>5065</v>
      </c>
      <c r="I2312">
        <v>0</v>
      </c>
      <c r="J2312">
        <v>0</v>
      </c>
      <c r="K2312">
        <v>0</v>
      </c>
    </row>
    <row r="2313" spans="1:11" x14ac:dyDescent="0.2">
      <c r="A2313" t="s">
        <v>5251</v>
      </c>
      <c r="B2313" t="s">
        <v>5252</v>
      </c>
      <c r="C2313" t="s">
        <v>4518</v>
      </c>
      <c r="D2313" t="s">
        <v>98</v>
      </c>
      <c r="E2313">
        <v>89.99</v>
      </c>
      <c r="F2313">
        <v>0</v>
      </c>
      <c r="H2313" t="s">
        <v>5065</v>
      </c>
      <c r="I2313">
        <v>0</v>
      </c>
      <c r="J2313">
        <v>0</v>
      </c>
      <c r="K2313">
        <v>0</v>
      </c>
    </row>
    <row r="2314" spans="1:11" x14ac:dyDescent="0.2">
      <c r="A2314" t="s">
        <v>5177</v>
      </c>
      <c r="B2314" t="s">
        <v>5178</v>
      </c>
      <c r="C2314" t="s">
        <v>4518</v>
      </c>
      <c r="D2314" t="s">
        <v>98</v>
      </c>
      <c r="E2314">
        <v>159.99</v>
      </c>
      <c r="F2314">
        <v>0</v>
      </c>
      <c r="H2314" t="s">
        <v>5065</v>
      </c>
      <c r="I2314">
        <v>0</v>
      </c>
      <c r="J2314">
        <v>0</v>
      </c>
      <c r="K2314">
        <v>0</v>
      </c>
    </row>
    <row r="2315" spans="1:11" x14ac:dyDescent="0.2">
      <c r="A2315" t="s">
        <v>5233</v>
      </c>
      <c r="B2315" t="s">
        <v>5234</v>
      </c>
      <c r="C2315" t="s">
        <v>4518</v>
      </c>
      <c r="D2315" t="s">
        <v>98</v>
      </c>
      <c r="E2315">
        <v>159.99</v>
      </c>
      <c r="F2315">
        <v>0</v>
      </c>
      <c r="H2315" t="s">
        <v>5065</v>
      </c>
      <c r="I2315">
        <v>0</v>
      </c>
      <c r="J2315">
        <v>0</v>
      </c>
      <c r="K2315">
        <v>0</v>
      </c>
    </row>
    <row r="2316" spans="1:11" x14ac:dyDescent="0.2">
      <c r="A2316" t="s">
        <v>5253</v>
      </c>
      <c r="B2316" t="s">
        <v>5254</v>
      </c>
      <c r="C2316" t="s">
        <v>4518</v>
      </c>
      <c r="D2316" t="s">
        <v>98</v>
      </c>
      <c r="E2316">
        <v>89.99</v>
      </c>
      <c r="F2316">
        <v>0</v>
      </c>
      <c r="H2316" t="s">
        <v>5065</v>
      </c>
      <c r="I2316">
        <v>0</v>
      </c>
      <c r="J2316">
        <v>0</v>
      </c>
      <c r="K2316">
        <v>0</v>
      </c>
    </row>
    <row r="2317" spans="1:11" x14ac:dyDescent="0.2">
      <c r="A2317" t="s">
        <v>5231</v>
      </c>
      <c r="B2317" t="s">
        <v>5232</v>
      </c>
      <c r="C2317" t="s">
        <v>4518</v>
      </c>
      <c r="D2317" t="s">
        <v>98</v>
      </c>
      <c r="E2317">
        <v>99.99</v>
      </c>
      <c r="F2317">
        <v>0</v>
      </c>
      <c r="H2317" t="s">
        <v>5065</v>
      </c>
      <c r="I2317">
        <v>0</v>
      </c>
      <c r="J2317">
        <v>0</v>
      </c>
      <c r="K2317">
        <v>0</v>
      </c>
    </row>
    <row r="2318" spans="1:11" x14ac:dyDescent="0.2">
      <c r="A2318" t="s">
        <v>5227</v>
      </c>
      <c r="B2318" t="s">
        <v>5228</v>
      </c>
      <c r="C2318" t="s">
        <v>4518</v>
      </c>
      <c r="D2318" t="s">
        <v>98</v>
      </c>
      <c r="E2318">
        <v>89.99</v>
      </c>
      <c r="F2318">
        <v>0</v>
      </c>
      <c r="H2318" t="s">
        <v>5065</v>
      </c>
      <c r="I2318">
        <v>0</v>
      </c>
      <c r="J2318">
        <v>0</v>
      </c>
      <c r="K2318">
        <v>0</v>
      </c>
    </row>
    <row r="2319" spans="1:11" x14ac:dyDescent="0.2">
      <c r="A2319" t="s">
        <v>5225</v>
      </c>
      <c r="B2319" t="s">
        <v>5226</v>
      </c>
      <c r="C2319" t="s">
        <v>4518</v>
      </c>
      <c r="D2319" t="s">
        <v>98</v>
      </c>
      <c r="E2319">
        <v>89.99</v>
      </c>
      <c r="F2319">
        <v>0</v>
      </c>
      <c r="H2319" t="s">
        <v>5065</v>
      </c>
      <c r="I2319">
        <v>0</v>
      </c>
      <c r="J2319">
        <v>0</v>
      </c>
      <c r="K2319">
        <v>0</v>
      </c>
    </row>
    <row r="2320" spans="1:11" x14ac:dyDescent="0.2">
      <c r="A2320" t="s">
        <v>5237</v>
      </c>
      <c r="B2320" t="s">
        <v>5238</v>
      </c>
      <c r="C2320" t="s">
        <v>4518</v>
      </c>
      <c r="D2320" t="s">
        <v>98</v>
      </c>
      <c r="E2320">
        <v>89.99</v>
      </c>
      <c r="F2320">
        <v>0</v>
      </c>
      <c r="H2320" t="s">
        <v>5065</v>
      </c>
      <c r="I2320">
        <v>0</v>
      </c>
      <c r="J2320">
        <v>0</v>
      </c>
      <c r="K2320">
        <v>0</v>
      </c>
    </row>
    <row r="2321" spans="1:11" x14ac:dyDescent="0.2">
      <c r="A2321" t="s">
        <v>5223</v>
      </c>
      <c r="B2321" t="s">
        <v>5224</v>
      </c>
      <c r="C2321" t="s">
        <v>4518</v>
      </c>
      <c r="D2321" t="s">
        <v>98</v>
      </c>
      <c r="E2321">
        <v>89.99</v>
      </c>
      <c r="F2321">
        <v>0</v>
      </c>
      <c r="H2321" t="s">
        <v>5065</v>
      </c>
      <c r="I2321">
        <v>0</v>
      </c>
      <c r="J2321">
        <v>0</v>
      </c>
      <c r="K2321">
        <v>0</v>
      </c>
    </row>
    <row r="2322" spans="1:11" x14ac:dyDescent="0.2">
      <c r="A2322" t="s">
        <v>748</v>
      </c>
      <c r="B2322" t="s">
        <v>749</v>
      </c>
      <c r="C2322" t="s">
        <v>582</v>
      </c>
      <c r="D2322" t="s">
        <v>105</v>
      </c>
      <c r="E2322">
        <v>19.989999999999998</v>
      </c>
      <c r="F2322">
        <v>0</v>
      </c>
      <c r="G2322">
        <v>290</v>
      </c>
      <c r="H2322" t="s">
        <v>5065</v>
      </c>
      <c r="I2322">
        <v>0</v>
      </c>
      <c r="J2322">
        <v>0</v>
      </c>
      <c r="K2322">
        <v>0</v>
      </c>
    </row>
    <row r="2323" spans="1:11" x14ac:dyDescent="0.2">
      <c r="A2323" t="s">
        <v>5221</v>
      </c>
      <c r="B2323" t="s">
        <v>5222</v>
      </c>
      <c r="C2323" t="s">
        <v>4518</v>
      </c>
      <c r="D2323" t="s">
        <v>98</v>
      </c>
      <c r="E2323">
        <v>89.99</v>
      </c>
      <c r="F2323">
        <v>0</v>
      </c>
      <c r="H2323" t="s">
        <v>5065</v>
      </c>
      <c r="I2323">
        <v>0</v>
      </c>
      <c r="J2323">
        <v>0</v>
      </c>
      <c r="K2323">
        <v>0</v>
      </c>
    </row>
    <row r="2324" spans="1:11" x14ac:dyDescent="0.2">
      <c r="A2324" t="s">
        <v>5235</v>
      </c>
      <c r="B2324" t="s">
        <v>5236</v>
      </c>
      <c r="C2324" t="s">
        <v>4518</v>
      </c>
      <c r="D2324" t="s">
        <v>98</v>
      </c>
      <c r="E2324">
        <v>89.99</v>
      </c>
      <c r="F2324">
        <v>0</v>
      </c>
      <c r="H2324" t="s">
        <v>5065</v>
      </c>
      <c r="I2324">
        <v>0</v>
      </c>
      <c r="J2324">
        <v>0</v>
      </c>
      <c r="K2324">
        <v>0</v>
      </c>
    </row>
    <row r="2325" spans="1:11" x14ac:dyDescent="0.2">
      <c r="A2325" t="s">
        <v>5257</v>
      </c>
      <c r="B2325" t="s">
        <v>5258</v>
      </c>
      <c r="C2325" t="s">
        <v>582</v>
      </c>
      <c r="D2325" t="s">
        <v>98</v>
      </c>
      <c r="E2325">
        <v>69.989999999999995</v>
      </c>
      <c r="F2325">
        <v>0</v>
      </c>
      <c r="H2325" t="s">
        <v>5065</v>
      </c>
      <c r="I2325">
        <v>0</v>
      </c>
      <c r="J2325">
        <v>0</v>
      </c>
      <c r="K2325">
        <v>3</v>
      </c>
    </row>
    <row r="2326" spans="1:11" x14ac:dyDescent="0.2">
      <c r="A2326" t="s">
        <v>5162</v>
      </c>
      <c r="B2326" t="s">
        <v>5163</v>
      </c>
      <c r="C2326" t="s">
        <v>4518</v>
      </c>
      <c r="D2326" t="s">
        <v>98</v>
      </c>
      <c r="E2326">
        <v>99.99</v>
      </c>
      <c r="F2326">
        <v>0</v>
      </c>
      <c r="H2326" t="s">
        <v>5065</v>
      </c>
      <c r="I2326">
        <v>0</v>
      </c>
      <c r="J2326">
        <v>0</v>
      </c>
      <c r="K2326">
        <v>0</v>
      </c>
    </row>
    <row r="2327" spans="1:11" x14ac:dyDescent="0.2">
      <c r="A2327" t="s">
        <v>766</v>
      </c>
      <c r="B2327" t="s">
        <v>767</v>
      </c>
      <c r="C2327" t="s">
        <v>582</v>
      </c>
      <c r="D2327" t="s">
        <v>105</v>
      </c>
      <c r="E2327">
        <v>59.99</v>
      </c>
      <c r="F2327">
        <v>0</v>
      </c>
      <c r="H2327" t="s">
        <v>5065</v>
      </c>
      <c r="I2327">
        <v>0</v>
      </c>
      <c r="J2327">
        <v>0</v>
      </c>
      <c r="K2327">
        <v>0</v>
      </c>
    </row>
    <row r="2328" spans="1:11" x14ac:dyDescent="0.2">
      <c r="A2328" t="s">
        <v>5146</v>
      </c>
      <c r="B2328" t="s">
        <v>5147</v>
      </c>
      <c r="C2328" t="s">
        <v>904</v>
      </c>
      <c r="D2328" t="s">
        <v>98</v>
      </c>
      <c r="E2328">
        <v>179.99</v>
      </c>
      <c r="F2328">
        <v>0</v>
      </c>
      <c r="H2328" t="s">
        <v>5065</v>
      </c>
      <c r="I2328">
        <v>0</v>
      </c>
      <c r="J2328">
        <v>0</v>
      </c>
      <c r="K2328">
        <v>0</v>
      </c>
    </row>
    <row r="2329" spans="1:11" x14ac:dyDescent="0.2">
      <c r="A2329" t="s">
        <v>5239</v>
      </c>
      <c r="B2329" t="s">
        <v>5240</v>
      </c>
      <c r="C2329" t="s">
        <v>4518</v>
      </c>
      <c r="D2329" t="s">
        <v>98</v>
      </c>
      <c r="E2329">
        <v>89.99</v>
      </c>
      <c r="F2329">
        <v>0</v>
      </c>
      <c r="H2329" t="s">
        <v>5065</v>
      </c>
      <c r="I2329">
        <v>0</v>
      </c>
      <c r="J2329">
        <v>0</v>
      </c>
      <c r="K2329">
        <v>0</v>
      </c>
    </row>
    <row r="2330" spans="1:11" x14ac:dyDescent="0.2">
      <c r="A2330" t="s">
        <v>5140</v>
      </c>
      <c r="B2330" t="s">
        <v>5141</v>
      </c>
      <c r="C2330" t="s">
        <v>904</v>
      </c>
      <c r="D2330" t="s">
        <v>98</v>
      </c>
      <c r="E2330">
        <v>29.99</v>
      </c>
      <c r="F2330">
        <v>0</v>
      </c>
      <c r="H2330" t="s">
        <v>5065</v>
      </c>
      <c r="I2330">
        <v>0</v>
      </c>
      <c r="J2330">
        <v>0</v>
      </c>
      <c r="K2330">
        <v>0</v>
      </c>
    </row>
    <row r="2331" spans="1:11" x14ac:dyDescent="0.2">
      <c r="A2331" t="s">
        <v>5142</v>
      </c>
      <c r="B2331" t="s">
        <v>5143</v>
      </c>
      <c r="C2331" t="s">
        <v>4518</v>
      </c>
      <c r="D2331" t="s">
        <v>98</v>
      </c>
      <c r="E2331">
        <v>109.99</v>
      </c>
      <c r="F2331">
        <v>0</v>
      </c>
      <c r="H2331" t="s">
        <v>5065</v>
      </c>
      <c r="I2331">
        <v>0</v>
      </c>
      <c r="J2331">
        <v>0</v>
      </c>
      <c r="K2331">
        <v>0</v>
      </c>
    </row>
    <row r="2332" spans="1:11" x14ac:dyDescent="0.2">
      <c r="A2332" t="s">
        <v>5134</v>
      </c>
      <c r="B2332" t="s">
        <v>5135</v>
      </c>
      <c r="C2332" t="s">
        <v>904</v>
      </c>
      <c r="D2332" t="s">
        <v>98</v>
      </c>
      <c r="E2332">
        <v>49.99</v>
      </c>
      <c r="F2332">
        <v>0</v>
      </c>
      <c r="H2332" t="s">
        <v>5065</v>
      </c>
      <c r="I2332">
        <v>0</v>
      </c>
      <c r="J2332">
        <v>0</v>
      </c>
      <c r="K2332">
        <v>0</v>
      </c>
    </row>
    <row r="2333" spans="1:11" x14ac:dyDescent="0.2">
      <c r="A2333" t="s">
        <v>5241</v>
      </c>
      <c r="B2333" t="s">
        <v>5242</v>
      </c>
      <c r="C2333" t="s">
        <v>582</v>
      </c>
      <c r="D2333" t="s">
        <v>98</v>
      </c>
      <c r="E2333">
        <v>79.989999999999995</v>
      </c>
      <c r="F2333">
        <v>0</v>
      </c>
      <c r="H2333" t="s">
        <v>5065</v>
      </c>
      <c r="I2333">
        <v>0</v>
      </c>
      <c r="J2333">
        <v>0</v>
      </c>
      <c r="K2333">
        <v>0</v>
      </c>
    </row>
    <row r="2334" spans="1:11" x14ac:dyDescent="0.2">
      <c r="A2334" t="s">
        <v>5211</v>
      </c>
      <c r="B2334" t="s">
        <v>5212</v>
      </c>
      <c r="C2334" t="s">
        <v>4518</v>
      </c>
      <c r="D2334" t="s">
        <v>98</v>
      </c>
      <c r="E2334">
        <v>89.99</v>
      </c>
      <c r="F2334">
        <v>0</v>
      </c>
      <c r="H2334" t="s">
        <v>5065</v>
      </c>
      <c r="I2334">
        <v>0</v>
      </c>
      <c r="J2334">
        <v>0</v>
      </c>
      <c r="K2334">
        <v>0</v>
      </c>
    </row>
    <row r="2335" spans="1:11" x14ac:dyDescent="0.2">
      <c r="A2335" t="s">
        <v>5152</v>
      </c>
      <c r="B2335" t="s">
        <v>5153</v>
      </c>
      <c r="C2335" t="s">
        <v>904</v>
      </c>
      <c r="D2335" t="s">
        <v>98</v>
      </c>
      <c r="E2335">
        <v>79.989999999999995</v>
      </c>
      <c r="F2335">
        <v>0</v>
      </c>
      <c r="H2335" t="s">
        <v>5065</v>
      </c>
      <c r="I2335">
        <v>0</v>
      </c>
      <c r="J2335">
        <v>0</v>
      </c>
      <c r="K2335">
        <v>0</v>
      </c>
    </row>
    <row r="2336" spans="1:11" x14ac:dyDescent="0.2">
      <c r="A2336" t="s">
        <v>5243</v>
      </c>
      <c r="B2336" t="s">
        <v>5244</v>
      </c>
      <c r="C2336" t="s">
        <v>4518</v>
      </c>
      <c r="D2336" t="s">
        <v>98</v>
      </c>
      <c r="E2336">
        <v>89.99</v>
      </c>
      <c r="F2336">
        <v>0</v>
      </c>
      <c r="H2336" t="s">
        <v>5065</v>
      </c>
      <c r="I2336">
        <v>0</v>
      </c>
      <c r="J2336">
        <v>0</v>
      </c>
      <c r="K2336">
        <v>0</v>
      </c>
    </row>
    <row r="2337" spans="1:11" x14ac:dyDescent="0.2">
      <c r="A2337" t="s">
        <v>5173</v>
      </c>
      <c r="B2337" t="s">
        <v>5174</v>
      </c>
      <c r="C2337" t="s">
        <v>904</v>
      </c>
      <c r="D2337" t="s">
        <v>98</v>
      </c>
      <c r="E2337">
        <v>169.99</v>
      </c>
      <c r="F2337">
        <v>0</v>
      </c>
      <c r="H2337" t="s">
        <v>5065</v>
      </c>
      <c r="I2337">
        <v>0</v>
      </c>
      <c r="J2337">
        <v>0</v>
      </c>
      <c r="K2337">
        <v>0</v>
      </c>
    </row>
    <row r="2338" spans="1:11" x14ac:dyDescent="0.2">
      <c r="A2338" t="s">
        <v>5154</v>
      </c>
      <c r="B2338" t="s">
        <v>5155</v>
      </c>
      <c r="C2338" t="s">
        <v>4518</v>
      </c>
      <c r="D2338" t="s">
        <v>98</v>
      </c>
      <c r="E2338">
        <v>49.99</v>
      </c>
      <c r="F2338">
        <v>0</v>
      </c>
      <c r="H2338" t="s">
        <v>5065</v>
      </c>
      <c r="I2338">
        <v>0</v>
      </c>
      <c r="J2338">
        <v>0</v>
      </c>
      <c r="K2338">
        <v>0</v>
      </c>
    </row>
    <row r="2339" spans="1:11" x14ac:dyDescent="0.2">
      <c r="A2339" t="s">
        <v>5171</v>
      </c>
      <c r="B2339" t="s">
        <v>5172</v>
      </c>
      <c r="C2339" t="s">
        <v>4518</v>
      </c>
      <c r="D2339" t="s">
        <v>98</v>
      </c>
      <c r="E2339">
        <v>59.99</v>
      </c>
      <c r="F2339">
        <v>0</v>
      </c>
      <c r="H2339" t="s">
        <v>5065</v>
      </c>
      <c r="I2339">
        <v>0</v>
      </c>
      <c r="J2339">
        <v>0</v>
      </c>
      <c r="K2339">
        <v>0</v>
      </c>
    </row>
    <row r="2340" spans="1:11" x14ac:dyDescent="0.2">
      <c r="A2340" t="s">
        <v>5165</v>
      </c>
      <c r="B2340" t="s">
        <v>5166</v>
      </c>
      <c r="C2340" t="s">
        <v>904</v>
      </c>
      <c r="D2340" t="s">
        <v>98</v>
      </c>
      <c r="E2340">
        <v>99.99</v>
      </c>
      <c r="F2340">
        <v>0</v>
      </c>
      <c r="H2340" t="s">
        <v>5065</v>
      </c>
      <c r="I2340">
        <v>0</v>
      </c>
      <c r="J2340">
        <v>0</v>
      </c>
      <c r="K2340">
        <v>0</v>
      </c>
    </row>
    <row r="2341" spans="1:11" x14ac:dyDescent="0.2">
      <c r="A2341" t="s">
        <v>5247</v>
      </c>
      <c r="B2341" t="s">
        <v>5248</v>
      </c>
      <c r="C2341" t="s">
        <v>4518</v>
      </c>
      <c r="D2341" t="s">
        <v>98</v>
      </c>
      <c r="E2341">
        <v>89.99</v>
      </c>
      <c r="F2341">
        <v>0</v>
      </c>
      <c r="H2341" t="s">
        <v>5065</v>
      </c>
      <c r="I2341">
        <v>0</v>
      </c>
      <c r="J2341">
        <v>0</v>
      </c>
      <c r="K2341">
        <v>0</v>
      </c>
    </row>
    <row r="2342" spans="1:11" x14ac:dyDescent="0.2">
      <c r="A2342" t="s">
        <v>5167</v>
      </c>
      <c r="B2342" t="s">
        <v>5168</v>
      </c>
      <c r="C2342" t="s">
        <v>4518</v>
      </c>
      <c r="D2342" t="s">
        <v>98</v>
      </c>
      <c r="E2342">
        <v>69.989999999999995</v>
      </c>
      <c r="F2342">
        <v>0</v>
      </c>
      <c r="H2342" t="s">
        <v>5065</v>
      </c>
      <c r="I2342">
        <v>0</v>
      </c>
      <c r="J2342">
        <v>0</v>
      </c>
      <c r="K2342">
        <v>0</v>
      </c>
    </row>
    <row r="2343" spans="1:11" x14ac:dyDescent="0.2">
      <c r="A2343" t="s">
        <v>5164</v>
      </c>
      <c r="B2343" t="s">
        <v>875</v>
      </c>
      <c r="C2343" t="s">
        <v>874</v>
      </c>
      <c r="D2343" t="s">
        <v>98</v>
      </c>
      <c r="E2343">
        <v>79.989999999999995</v>
      </c>
      <c r="F2343">
        <v>0</v>
      </c>
      <c r="H2343" t="s">
        <v>5065</v>
      </c>
      <c r="I2343">
        <v>0</v>
      </c>
      <c r="J2343">
        <v>0</v>
      </c>
      <c r="K2343">
        <v>0</v>
      </c>
    </row>
    <row r="2344" spans="1:11" x14ac:dyDescent="0.2">
      <c r="A2344" t="s">
        <v>5132</v>
      </c>
      <c r="B2344" t="s">
        <v>5133</v>
      </c>
      <c r="C2344" t="s">
        <v>4518</v>
      </c>
      <c r="D2344" t="s">
        <v>98</v>
      </c>
      <c r="E2344">
        <v>49.99</v>
      </c>
      <c r="F2344">
        <v>0</v>
      </c>
      <c r="H2344" t="s">
        <v>5065</v>
      </c>
      <c r="I2344">
        <v>0</v>
      </c>
      <c r="J2344">
        <v>0</v>
      </c>
      <c r="K2344">
        <v>0</v>
      </c>
    </row>
    <row r="2345" spans="1:11" x14ac:dyDescent="0.2">
      <c r="A2345" t="s">
        <v>4449</v>
      </c>
      <c r="B2345" t="s">
        <v>4450</v>
      </c>
      <c r="C2345" t="s">
        <v>4437</v>
      </c>
      <c r="D2345" t="s">
        <v>98</v>
      </c>
      <c r="E2345">
        <v>179.99</v>
      </c>
      <c r="F2345">
        <v>0</v>
      </c>
      <c r="H2345" t="s">
        <v>5065</v>
      </c>
      <c r="I2345">
        <v>0</v>
      </c>
      <c r="J2345">
        <v>0</v>
      </c>
      <c r="K2345">
        <v>0</v>
      </c>
    </row>
    <row r="2346" spans="1:11" x14ac:dyDescent="0.2">
      <c r="A2346" t="s">
        <v>2199</v>
      </c>
      <c r="B2346" t="s">
        <v>2200</v>
      </c>
      <c r="C2346" t="s">
        <v>2174</v>
      </c>
      <c r="D2346" t="s">
        <v>98</v>
      </c>
      <c r="E2346">
        <v>59.99</v>
      </c>
      <c r="F2346">
        <v>0</v>
      </c>
      <c r="H2346" t="s">
        <v>5065</v>
      </c>
      <c r="I2346">
        <v>0</v>
      </c>
      <c r="J2346">
        <v>0</v>
      </c>
      <c r="K2346">
        <v>0</v>
      </c>
    </row>
    <row r="2347" spans="1:11" x14ac:dyDescent="0.2">
      <c r="A2347" t="s">
        <v>4583</v>
      </c>
      <c r="B2347" t="s">
        <v>4584</v>
      </c>
      <c r="C2347" t="s">
        <v>4518</v>
      </c>
      <c r="D2347" t="s">
        <v>138</v>
      </c>
      <c r="E2347">
        <v>249.99</v>
      </c>
      <c r="F2347">
        <v>0</v>
      </c>
      <c r="G2347">
        <v>8</v>
      </c>
      <c r="H2347" t="s">
        <v>5065</v>
      </c>
      <c r="I2347">
        <v>0</v>
      </c>
      <c r="J2347">
        <v>0</v>
      </c>
      <c r="K2347">
        <v>0</v>
      </c>
    </row>
    <row r="2348" spans="1:11" x14ac:dyDescent="0.2">
      <c r="A2348" t="s">
        <v>377</v>
      </c>
      <c r="B2348" t="s">
        <v>376</v>
      </c>
      <c r="C2348" t="s">
        <v>307</v>
      </c>
      <c r="D2348" t="s">
        <v>98</v>
      </c>
      <c r="E2348">
        <v>2299.9899999999998</v>
      </c>
      <c r="F2348">
        <v>0</v>
      </c>
      <c r="H2348" t="s">
        <v>5065</v>
      </c>
      <c r="I2348">
        <v>0</v>
      </c>
      <c r="J2348">
        <v>0</v>
      </c>
      <c r="K2348">
        <v>0</v>
      </c>
    </row>
    <row r="2349" spans="1:11" x14ac:dyDescent="0.2">
      <c r="A2349" t="s">
        <v>344</v>
      </c>
      <c r="B2349" t="s">
        <v>345</v>
      </c>
      <c r="C2349" t="s">
        <v>307</v>
      </c>
      <c r="D2349" t="s">
        <v>98</v>
      </c>
      <c r="E2349">
        <v>3699.99</v>
      </c>
      <c r="F2349">
        <v>0</v>
      </c>
      <c r="H2349" t="s">
        <v>5065</v>
      </c>
      <c r="I2349">
        <v>0</v>
      </c>
      <c r="J2349">
        <v>0</v>
      </c>
      <c r="K2349">
        <v>0</v>
      </c>
    </row>
    <row r="2350" spans="1:11" x14ac:dyDescent="0.2">
      <c r="A2350" t="s">
        <v>823</v>
      </c>
      <c r="B2350" t="s">
        <v>824</v>
      </c>
      <c r="C2350" t="s">
        <v>582</v>
      </c>
      <c r="D2350" t="s">
        <v>98</v>
      </c>
      <c r="E2350">
        <v>79.989999999999995</v>
      </c>
      <c r="F2350">
        <v>0</v>
      </c>
      <c r="G2350">
        <v>36</v>
      </c>
      <c r="H2350" t="s">
        <v>5065</v>
      </c>
      <c r="I2350">
        <v>0</v>
      </c>
      <c r="J2350">
        <v>0</v>
      </c>
      <c r="K2350">
        <v>5</v>
      </c>
    </row>
    <row r="2351" spans="1:11" x14ac:dyDescent="0.2">
      <c r="A2351" t="s">
        <v>340</v>
      </c>
      <c r="B2351" t="s">
        <v>341</v>
      </c>
      <c r="C2351" t="s">
        <v>307</v>
      </c>
      <c r="D2351" t="s">
        <v>98</v>
      </c>
      <c r="E2351">
        <v>3299.99</v>
      </c>
      <c r="F2351">
        <v>0</v>
      </c>
      <c r="H2351" t="s">
        <v>5065</v>
      </c>
      <c r="I2351">
        <v>0</v>
      </c>
      <c r="J2351">
        <v>0</v>
      </c>
      <c r="K2351">
        <v>0</v>
      </c>
    </row>
    <row r="2352" spans="1:11" x14ac:dyDescent="0.2">
      <c r="A2352" t="s">
        <v>338</v>
      </c>
      <c r="B2352" t="s">
        <v>339</v>
      </c>
      <c r="C2352" t="s">
        <v>307</v>
      </c>
      <c r="D2352" t="s">
        <v>98</v>
      </c>
      <c r="E2352">
        <v>2899.99</v>
      </c>
      <c r="F2352">
        <v>0</v>
      </c>
      <c r="H2352" t="s">
        <v>5065</v>
      </c>
      <c r="I2352">
        <v>0</v>
      </c>
      <c r="J2352">
        <v>0</v>
      </c>
      <c r="K2352">
        <v>0</v>
      </c>
    </row>
    <row r="2353" spans="1:11" x14ac:dyDescent="0.2">
      <c r="A2353" t="s">
        <v>5548</v>
      </c>
      <c r="B2353" t="s">
        <v>5549</v>
      </c>
      <c r="C2353" t="s">
        <v>4518</v>
      </c>
      <c r="D2353" t="s">
        <v>98</v>
      </c>
      <c r="E2353">
        <v>249.99</v>
      </c>
      <c r="F2353">
        <v>0</v>
      </c>
      <c r="H2353" t="s">
        <v>5065</v>
      </c>
      <c r="I2353">
        <v>0</v>
      </c>
      <c r="J2353">
        <v>0</v>
      </c>
      <c r="K2353">
        <v>0</v>
      </c>
    </row>
    <row r="2354" spans="1:11" x14ac:dyDescent="0.2">
      <c r="A2354" t="s">
        <v>5302</v>
      </c>
      <c r="B2354" t="s">
        <v>5303</v>
      </c>
      <c r="C2354" t="s">
        <v>5304</v>
      </c>
      <c r="D2354" t="s">
        <v>98</v>
      </c>
      <c r="E2354">
        <v>1199.99</v>
      </c>
      <c r="F2354">
        <v>0</v>
      </c>
      <c r="H2354" t="s">
        <v>5065</v>
      </c>
      <c r="I2354">
        <v>0</v>
      </c>
      <c r="J2354">
        <v>0</v>
      </c>
      <c r="K2354">
        <v>0</v>
      </c>
    </row>
    <row r="2355" spans="1:11" x14ac:dyDescent="0.2">
      <c r="A2355" t="s">
        <v>5546</v>
      </c>
      <c r="B2355" t="s">
        <v>5547</v>
      </c>
      <c r="C2355" t="s">
        <v>582</v>
      </c>
      <c r="D2355" t="s">
        <v>98</v>
      </c>
      <c r="E2355">
        <v>89.99</v>
      </c>
      <c r="F2355">
        <v>0</v>
      </c>
      <c r="H2355" t="s">
        <v>5065</v>
      </c>
      <c r="I2355">
        <v>0</v>
      </c>
      <c r="J2355">
        <v>0</v>
      </c>
      <c r="K2355">
        <v>3</v>
      </c>
    </row>
    <row r="2356" spans="1:11" x14ac:dyDescent="0.2">
      <c r="A2356" t="s">
        <v>4292</v>
      </c>
      <c r="B2356" t="s">
        <v>4293</v>
      </c>
      <c r="C2356" t="s">
        <v>4283</v>
      </c>
      <c r="D2356" t="s">
        <v>105</v>
      </c>
      <c r="E2356">
        <v>379.99</v>
      </c>
      <c r="F2356">
        <v>0</v>
      </c>
      <c r="G2356">
        <v>3</v>
      </c>
      <c r="H2356" t="s">
        <v>5065</v>
      </c>
      <c r="I2356">
        <v>0</v>
      </c>
      <c r="J2356">
        <v>0</v>
      </c>
      <c r="K2356">
        <v>0</v>
      </c>
    </row>
    <row r="2357" spans="1:11" x14ac:dyDescent="0.2">
      <c r="A2357" t="s">
        <v>5572</v>
      </c>
      <c r="B2357" t="s">
        <v>5573</v>
      </c>
      <c r="C2357" t="s">
        <v>4518</v>
      </c>
      <c r="D2357" t="s">
        <v>98</v>
      </c>
      <c r="E2357">
        <v>79.989999999999995</v>
      </c>
      <c r="F2357">
        <v>0</v>
      </c>
      <c r="H2357" t="s">
        <v>5065</v>
      </c>
      <c r="I2357">
        <v>0</v>
      </c>
      <c r="J2357">
        <v>0</v>
      </c>
      <c r="K2357">
        <v>0</v>
      </c>
    </row>
    <row r="2358" spans="1:11" x14ac:dyDescent="0.2">
      <c r="A2358" t="s">
        <v>4294</v>
      </c>
      <c r="B2358" t="s">
        <v>4295</v>
      </c>
      <c r="C2358" t="s">
        <v>4283</v>
      </c>
      <c r="D2358" t="s">
        <v>105</v>
      </c>
      <c r="E2358">
        <v>5699.99</v>
      </c>
      <c r="F2358">
        <v>0</v>
      </c>
      <c r="G2358">
        <v>6</v>
      </c>
      <c r="H2358" t="s">
        <v>5065</v>
      </c>
      <c r="I2358">
        <v>0</v>
      </c>
      <c r="J2358">
        <v>0</v>
      </c>
      <c r="K2358">
        <v>0</v>
      </c>
    </row>
    <row r="2359" spans="1:11" x14ac:dyDescent="0.2">
      <c r="A2359" t="s">
        <v>4306</v>
      </c>
      <c r="B2359" t="s">
        <v>4307</v>
      </c>
      <c r="C2359" t="s">
        <v>4283</v>
      </c>
      <c r="D2359" t="s">
        <v>98</v>
      </c>
      <c r="E2359">
        <v>329.99</v>
      </c>
      <c r="F2359">
        <v>0</v>
      </c>
      <c r="H2359" t="s">
        <v>5065</v>
      </c>
      <c r="I2359">
        <v>0</v>
      </c>
      <c r="J2359">
        <v>0</v>
      </c>
      <c r="K2359">
        <v>0</v>
      </c>
    </row>
    <row r="2360" spans="1:11" x14ac:dyDescent="0.2">
      <c r="A2360" t="s">
        <v>424</v>
      </c>
      <c r="B2360" t="s">
        <v>425</v>
      </c>
      <c r="C2360" t="s">
        <v>307</v>
      </c>
      <c r="D2360" t="s">
        <v>98</v>
      </c>
      <c r="E2360">
        <v>449</v>
      </c>
      <c r="F2360">
        <v>0</v>
      </c>
      <c r="H2360" t="s">
        <v>5065</v>
      </c>
      <c r="I2360">
        <v>0</v>
      </c>
      <c r="J2360">
        <v>0</v>
      </c>
      <c r="K2360">
        <v>0</v>
      </c>
    </row>
    <row r="2361" spans="1:11" x14ac:dyDescent="0.2">
      <c r="A2361" t="s">
        <v>418</v>
      </c>
      <c r="B2361" t="s">
        <v>419</v>
      </c>
      <c r="C2361" t="s">
        <v>307</v>
      </c>
      <c r="D2361" t="s">
        <v>98</v>
      </c>
      <c r="E2361">
        <v>449</v>
      </c>
      <c r="F2361">
        <v>0</v>
      </c>
      <c r="H2361" t="s">
        <v>5065</v>
      </c>
      <c r="I2361">
        <v>0</v>
      </c>
      <c r="J2361">
        <v>0</v>
      </c>
      <c r="K2361">
        <v>0</v>
      </c>
    </row>
    <row r="2362" spans="1:11" x14ac:dyDescent="0.2">
      <c r="A2362" t="s">
        <v>420</v>
      </c>
      <c r="B2362" t="s">
        <v>421</v>
      </c>
      <c r="C2362" t="s">
        <v>307</v>
      </c>
      <c r="D2362" t="s">
        <v>98</v>
      </c>
      <c r="E2362">
        <v>449</v>
      </c>
      <c r="F2362">
        <v>0</v>
      </c>
      <c r="H2362" t="s">
        <v>5065</v>
      </c>
      <c r="I2362">
        <v>0</v>
      </c>
      <c r="J2362">
        <v>0</v>
      </c>
      <c r="K2362">
        <v>0</v>
      </c>
    </row>
    <row r="2363" spans="1:11" x14ac:dyDescent="0.2">
      <c r="A2363" t="s">
        <v>406</v>
      </c>
      <c r="B2363" t="s">
        <v>407</v>
      </c>
      <c r="C2363" t="s">
        <v>307</v>
      </c>
      <c r="D2363" t="s">
        <v>98</v>
      </c>
      <c r="E2363">
        <v>1699.99</v>
      </c>
      <c r="F2363">
        <v>0</v>
      </c>
      <c r="H2363" t="s">
        <v>5065</v>
      </c>
      <c r="I2363">
        <v>0</v>
      </c>
      <c r="J2363">
        <v>0</v>
      </c>
      <c r="K2363">
        <v>0</v>
      </c>
    </row>
    <row r="2364" spans="1:11" x14ac:dyDescent="0.2">
      <c r="A2364" t="s">
        <v>4591</v>
      </c>
      <c r="B2364" t="s">
        <v>4592</v>
      </c>
      <c r="C2364" t="s">
        <v>4518</v>
      </c>
      <c r="D2364" t="s">
        <v>138</v>
      </c>
      <c r="E2364">
        <v>99.99</v>
      </c>
      <c r="F2364">
        <v>0</v>
      </c>
      <c r="G2364">
        <v>77</v>
      </c>
      <c r="H2364" t="s">
        <v>5065</v>
      </c>
      <c r="I2364">
        <v>0</v>
      </c>
      <c r="J2364">
        <v>0</v>
      </c>
      <c r="K2364">
        <v>0</v>
      </c>
    </row>
    <row r="2365" spans="1:11" x14ac:dyDescent="0.2">
      <c r="A2365" t="s">
        <v>5355</v>
      </c>
      <c r="B2365" t="s">
        <v>5356</v>
      </c>
      <c r="C2365" t="s">
        <v>874</v>
      </c>
      <c r="D2365" t="s">
        <v>98</v>
      </c>
      <c r="E2365">
        <v>19.989999999999998</v>
      </c>
      <c r="F2365">
        <v>0</v>
      </c>
      <c r="H2365" t="s">
        <v>5065</v>
      </c>
      <c r="I2365">
        <v>0</v>
      </c>
      <c r="J2365">
        <v>0</v>
      </c>
      <c r="K2365">
        <v>0</v>
      </c>
    </row>
    <row r="2366" spans="1:11" x14ac:dyDescent="0.2">
      <c r="A2366" t="s">
        <v>5345</v>
      </c>
      <c r="B2366" t="s">
        <v>5346</v>
      </c>
      <c r="C2366" t="s">
        <v>3929</v>
      </c>
      <c r="D2366" t="s">
        <v>98</v>
      </c>
      <c r="E2366">
        <v>49.99</v>
      </c>
      <c r="F2366">
        <v>0</v>
      </c>
      <c r="H2366" t="s">
        <v>5065</v>
      </c>
      <c r="I2366">
        <v>0</v>
      </c>
      <c r="J2366">
        <v>0</v>
      </c>
      <c r="K2366">
        <v>0</v>
      </c>
    </row>
    <row r="2367" spans="1:11" x14ac:dyDescent="0.2">
      <c r="A2367" t="s">
        <v>5288</v>
      </c>
      <c r="B2367" t="s">
        <v>5289</v>
      </c>
      <c r="C2367" t="s">
        <v>874</v>
      </c>
      <c r="D2367" t="s">
        <v>98</v>
      </c>
      <c r="E2367">
        <v>39.99</v>
      </c>
      <c r="F2367">
        <v>0</v>
      </c>
      <c r="H2367" t="s">
        <v>5065</v>
      </c>
      <c r="I2367">
        <v>0</v>
      </c>
      <c r="J2367">
        <v>0</v>
      </c>
      <c r="K2367">
        <v>0</v>
      </c>
    </row>
    <row r="2368" spans="1:11" x14ac:dyDescent="0.2">
      <c r="A2368" t="s">
        <v>5110</v>
      </c>
      <c r="B2368" t="s">
        <v>5111</v>
      </c>
      <c r="C2368" t="s">
        <v>3929</v>
      </c>
      <c r="D2368" t="s">
        <v>98</v>
      </c>
      <c r="E2368">
        <v>59.99</v>
      </c>
      <c r="F2368">
        <v>0</v>
      </c>
      <c r="H2368" t="s">
        <v>5065</v>
      </c>
      <c r="I2368">
        <v>0</v>
      </c>
      <c r="J2368">
        <v>0</v>
      </c>
      <c r="K2368">
        <v>0</v>
      </c>
    </row>
    <row r="2369" spans="1:11" x14ac:dyDescent="0.2">
      <c r="A2369" t="s">
        <v>5560</v>
      </c>
      <c r="B2369" t="s">
        <v>5561</v>
      </c>
      <c r="C2369" t="s">
        <v>4518</v>
      </c>
      <c r="D2369" t="s">
        <v>98</v>
      </c>
      <c r="E2369">
        <v>119.99</v>
      </c>
      <c r="F2369">
        <v>0</v>
      </c>
      <c r="H2369" t="s">
        <v>5065</v>
      </c>
      <c r="I2369">
        <v>0</v>
      </c>
      <c r="J2369">
        <v>0</v>
      </c>
      <c r="K2369">
        <v>0</v>
      </c>
    </row>
    <row r="2370" spans="1:11" x14ac:dyDescent="0.2">
      <c r="A2370" t="s">
        <v>5700</v>
      </c>
      <c r="B2370" t="s">
        <v>5701</v>
      </c>
      <c r="C2370" t="s">
        <v>582</v>
      </c>
      <c r="D2370" t="s">
        <v>98</v>
      </c>
      <c r="E2370">
        <v>59.99</v>
      </c>
      <c r="F2370">
        <v>0</v>
      </c>
      <c r="H2370" t="s">
        <v>5065</v>
      </c>
      <c r="I2370">
        <v>0</v>
      </c>
      <c r="J2370">
        <v>0</v>
      </c>
      <c r="K2370">
        <v>0</v>
      </c>
    </row>
    <row r="2371" spans="1:11" x14ac:dyDescent="0.2">
      <c r="A2371" t="s">
        <v>4589</v>
      </c>
      <c r="B2371" t="s">
        <v>4590</v>
      </c>
      <c r="C2371" t="s">
        <v>4518</v>
      </c>
      <c r="D2371" t="s">
        <v>98</v>
      </c>
      <c r="E2371">
        <v>119.99</v>
      </c>
      <c r="F2371">
        <v>0</v>
      </c>
      <c r="H2371" t="s">
        <v>5065</v>
      </c>
      <c r="I2371">
        <v>0</v>
      </c>
      <c r="J2371">
        <v>0</v>
      </c>
      <c r="K2371">
        <v>0</v>
      </c>
    </row>
    <row r="2372" spans="1:11" x14ac:dyDescent="0.2">
      <c r="A2372" t="s">
        <v>5536</v>
      </c>
      <c r="B2372" t="s">
        <v>5537</v>
      </c>
      <c r="C2372" t="s">
        <v>4518</v>
      </c>
      <c r="D2372" t="s">
        <v>98</v>
      </c>
      <c r="E2372">
        <v>99.99</v>
      </c>
      <c r="F2372">
        <v>0</v>
      </c>
      <c r="H2372" t="s">
        <v>5065</v>
      </c>
      <c r="I2372">
        <v>0</v>
      </c>
      <c r="J2372">
        <v>0</v>
      </c>
      <c r="K2372">
        <v>0</v>
      </c>
    </row>
    <row r="2373" spans="1:11" x14ac:dyDescent="0.2">
      <c r="A2373" t="s">
        <v>5292</v>
      </c>
      <c r="B2373" t="s">
        <v>5293</v>
      </c>
      <c r="C2373" t="s">
        <v>582</v>
      </c>
      <c r="D2373" t="s">
        <v>98</v>
      </c>
      <c r="E2373">
        <v>69.989999999999995</v>
      </c>
      <c r="F2373">
        <v>0</v>
      </c>
      <c r="H2373" t="s">
        <v>5065</v>
      </c>
      <c r="I2373">
        <v>0</v>
      </c>
      <c r="J2373">
        <v>0</v>
      </c>
      <c r="K2373">
        <v>0</v>
      </c>
    </row>
    <row r="2374" spans="1:11" x14ac:dyDescent="0.2">
      <c r="A2374" t="s">
        <v>4161</v>
      </c>
      <c r="B2374" t="s">
        <v>4162</v>
      </c>
      <c r="C2374" t="s">
        <v>3929</v>
      </c>
      <c r="D2374" t="s">
        <v>105</v>
      </c>
      <c r="E2374">
        <v>139.99</v>
      </c>
      <c r="F2374">
        <v>0</v>
      </c>
      <c r="H2374" t="s">
        <v>5065</v>
      </c>
      <c r="I2374">
        <v>0</v>
      </c>
      <c r="J2374">
        <v>0</v>
      </c>
      <c r="K2374">
        <v>0</v>
      </c>
    </row>
    <row r="2375" spans="1:11" x14ac:dyDescent="0.2">
      <c r="A2375" t="s">
        <v>5298</v>
      </c>
      <c r="B2375" t="s">
        <v>5299</v>
      </c>
      <c r="C2375" t="s">
        <v>582</v>
      </c>
      <c r="D2375" t="s">
        <v>98</v>
      </c>
      <c r="E2375">
        <v>39.99</v>
      </c>
      <c r="F2375">
        <v>0</v>
      </c>
      <c r="H2375" t="s">
        <v>5065</v>
      </c>
      <c r="I2375">
        <v>0</v>
      </c>
      <c r="J2375">
        <v>0</v>
      </c>
      <c r="K2375">
        <v>0</v>
      </c>
    </row>
    <row r="2376" spans="1:11" x14ac:dyDescent="0.2">
      <c r="A2376" t="s">
        <v>5300</v>
      </c>
      <c r="B2376" t="s">
        <v>5301</v>
      </c>
      <c r="C2376" t="s">
        <v>582</v>
      </c>
      <c r="D2376" t="s">
        <v>98</v>
      </c>
      <c r="E2376">
        <v>19.989999999999998</v>
      </c>
      <c r="F2376">
        <v>0</v>
      </c>
      <c r="H2376" t="s">
        <v>5065</v>
      </c>
      <c r="I2376">
        <v>0</v>
      </c>
      <c r="J2376">
        <v>0</v>
      </c>
      <c r="K2376">
        <v>0</v>
      </c>
    </row>
    <row r="2377" spans="1:11" x14ac:dyDescent="0.2">
      <c r="A2377" t="s">
        <v>5538</v>
      </c>
      <c r="B2377" t="s">
        <v>5539</v>
      </c>
      <c r="C2377" t="s">
        <v>4518</v>
      </c>
      <c r="D2377" t="s">
        <v>98</v>
      </c>
      <c r="E2377">
        <v>99.99</v>
      </c>
      <c r="F2377">
        <v>0</v>
      </c>
      <c r="H2377" t="s">
        <v>5065</v>
      </c>
      <c r="I2377">
        <v>0</v>
      </c>
      <c r="J2377">
        <v>0</v>
      </c>
      <c r="K2377">
        <v>0</v>
      </c>
    </row>
    <row r="2378" spans="1:11" x14ac:dyDescent="0.2">
      <c r="A2378" t="s">
        <v>5296</v>
      </c>
      <c r="B2378" t="s">
        <v>5297</v>
      </c>
      <c r="C2378" t="s">
        <v>582</v>
      </c>
      <c r="D2378" t="s">
        <v>98</v>
      </c>
      <c r="E2378">
        <v>24.99</v>
      </c>
      <c r="F2378">
        <v>0</v>
      </c>
      <c r="H2378" t="s">
        <v>5065</v>
      </c>
      <c r="I2378">
        <v>0</v>
      </c>
      <c r="J2378">
        <v>0</v>
      </c>
      <c r="K2378">
        <v>0</v>
      </c>
    </row>
    <row r="2379" spans="1:11" x14ac:dyDescent="0.2">
      <c r="A2379" t="s">
        <v>5144</v>
      </c>
      <c r="B2379" t="s">
        <v>5145</v>
      </c>
      <c r="C2379" t="s">
        <v>3575</v>
      </c>
      <c r="D2379" t="s">
        <v>98</v>
      </c>
      <c r="E2379">
        <v>19.989999999999998</v>
      </c>
      <c r="F2379">
        <v>0</v>
      </c>
      <c r="H2379" t="s">
        <v>5065</v>
      </c>
      <c r="I2379">
        <v>0</v>
      </c>
      <c r="J2379">
        <v>0</v>
      </c>
      <c r="K2379">
        <v>0</v>
      </c>
    </row>
    <row r="2380" spans="1:11" x14ac:dyDescent="0.2">
      <c r="A2380" t="s">
        <v>4312</v>
      </c>
      <c r="B2380" t="s">
        <v>4313</v>
      </c>
      <c r="C2380" t="s">
        <v>4283</v>
      </c>
      <c r="D2380" t="s">
        <v>98</v>
      </c>
      <c r="E2380">
        <v>329.99</v>
      </c>
      <c r="F2380">
        <v>0</v>
      </c>
      <c r="H2380" t="s">
        <v>5065</v>
      </c>
      <c r="I2380">
        <v>0</v>
      </c>
      <c r="J2380">
        <v>0</v>
      </c>
      <c r="K2380">
        <v>0</v>
      </c>
    </row>
    <row r="2381" spans="1:11" x14ac:dyDescent="0.2">
      <c r="A2381" t="s">
        <v>5284</v>
      </c>
      <c r="B2381" t="s">
        <v>5285</v>
      </c>
      <c r="C2381" t="s">
        <v>4283</v>
      </c>
      <c r="D2381" t="s">
        <v>105</v>
      </c>
      <c r="E2381">
        <v>329.99</v>
      </c>
      <c r="F2381">
        <v>0</v>
      </c>
      <c r="G2381">
        <v>1</v>
      </c>
      <c r="H2381" t="s">
        <v>5065</v>
      </c>
      <c r="I2381">
        <v>0</v>
      </c>
      <c r="J2381">
        <v>0</v>
      </c>
      <c r="K2381">
        <v>0</v>
      </c>
    </row>
    <row r="2382" spans="1:11" x14ac:dyDescent="0.2">
      <c r="A2382" t="s">
        <v>5349</v>
      </c>
      <c r="B2382" t="s">
        <v>5350</v>
      </c>
      <c r="C2382" t="s">
        <v>4283</v>
      </c>
      <c r="D2382" t="s">
        <v>98</v>
      </c>
      <c r="E2382">
        <v>1799.99</v>
      </c>
      <c r="F2382">
        <v>0</v>
      </c>
      <c r="H2382" t="s">
        <v>5065</v>
      </c>
      <c r="I2382">
        <v>0</v>
      </c>
      <c r="J2382">
        <v>0</v>
      </c>
      <c r="K2382">
        <v>0</v>
      </c>
    </row>
    <row r="2383" spans="1:11" x14ac:dyDescent="0.2">
      <c r="A2383" t="s">
        <v>5359</v>
      </c>
      <c r="B2383" t="s">
        <v>5360</v>
      </c>
      <c r="C2383" t="s">
        <v>2415</v>
      </c>
      <c r="D2383" t="s">
        <v>98</v>
      </c>
      <c r="E2383">
        <v>499.99</v>
      </c>
      <c r="F2383">
        <v>0</v>
      </c>
      <c r="H2383" t="s">
        <v>5065</v>
      </c>
      <c r="I2383">
        <v>0</v>
      </c>
      <c r="J2383">
        <v>0</v>
      </c>
      <c r="K2383">
        <v>0</v>
      </c>
    </row>
    <row r="2384" spans="1:11" x14ac:dyDescent="0.2">
      <c r="A2384" t="s">
        <v>5642</v>
      </c>
      <c r="B2384" t="s">
        <v>5643</v>
      </c>
      <c r="C2384" t="s">
        <v>4283</v>
      </c>
      <c r="D2384" t="s">
        <v>98</v>
      </c>
      <c r="E2384">
        <v>219.99</v>
      </c>
      <c r="F2384">
        <v>0</v>
      </c>
      <c r="H2384" t="s">
        <v>5065</v>
      </c>
      <c r="I2384">
        <v>0</v>
      </c>
      <c r="J2384">
        <v>0</v>
      </c>
      <c r="K2384">
        <v>0</v>
      </c>
    </row>
    <row r="2385" spans="1:11" x14ac:dyDescent="0.2">
      <c r="A2385" t="s">
        <v>2420</v>
      </c>
      <c r="B2385" t="s">
        <v>2421</v>
      </c>
      <c r="C2385" t="s">
        <v>2415</v>
      </c>
      <c r="D2385" t="s">
        <v>98</v>
      </c>
      <c r="E2385">
        <v>189.99</v>
      </c>
      <c r="F2385">
        <v>0</v>
      </c>
      <c r="H2385" t="s">
        <v>5065</v>
      </c>
      <c r="I2385">
        <v>0</v>
      </c>
      <c r="J2385">
        <v>0</v>
      </c>
      <c r="K2385">
        <v>0</v>
      </c>
    </row>
    <row r="2386" spans="1:11" x14ac:dyDescent="0.2">
      <c r="A2386" t="s">
        <v>5375</v>
      </c>
      <c r="B2386" t="s">
        <v>4436</v>
      </c>
      <c r="C2386" t="s">
        <v>4435</v>
      </c>
      <c r="D2386" t="s">
        <v>98</v>
      </c>
      <c r="E2386">
        <v>189.99</v>
      </c>
      <c r="F2386">
        <v>0</v>
      </c>
      <c r="H2386" t="s">
        <v>5065</v>
      </c>
      <c r="I2386">
        <v>0</v>
      </c>
      <c r="J2386">
        <v>0</v>
      </c>
      <c r="K2386">
        <v>0</v>
      </c>
    </row>
    <row r="2387" spans="1:11" x14ac:dyDescent="0.2">
      <c r="A2387" t="s">
        <v>5371</v>
      </c>
      <c r="B2387" t="s">
        <v>5372</v>
      </c>
      <c r="C2387" t="s">
        <v>2415</v>
      </c>
      <c r="D2387" t="s">
        <v>98</v>
      </c>
      <c r="E2387">
        <v>119.99</v>
      </c>
      <c r="F2387">
        <v>0</v>
      </c>
      <c r="H2387" t="s">
        <v>5065</v>
      </c>
      <c r="I2387">
        <v>0</v>
      </c>
      <c r="J2387">
        <v>0</v>
      </c>
      <c r="K2387">
        <v>0</v>
      </c>
    </row>
    <row r="2388" spans="1:11" x14ac:dyDescent="0.2">
      <c r="A2388" t="s">
        <v>632</v>
      </c>
      <c r="B2388" t="s">
        <v>633</v>
      </c>
      <c r="C2388" t="s">
        <v>582</v>
      </c>
      <c r="D2388" t="s">
        <v>138</v>
      </c>
      <c r="E2388">
        <v>159.99</v>
      </c>
      <c r="F2388">
        <v>159.99</v>
      </c>
      <c r="H2388" t="s">
        <v>5065</v>
      </c>
      <c r="I2388">
        <v>0.66666666666666663</v>
      </c>
      <c r="J2388">
        <v>9</v>
      </c>
      <c r="K2388">
        <v>6</v>
      </c>
    </row>
    <row r="2389" spans="1:11" x14ac:dyDescent="0.2">
      <c r="A2389" t="s">
        <v>4438</v>
      </c>
      <c r="B2389" t="s">
        <v>4439</v>
      </c>
      <c r="C2389" t="s">
        <v>4437</v>
      </c>
      <c r="D2389" t="s">
        <v>98</v>
      </c>
      <c r="E2389">
        <v>98.99</v>
      </c>
      <c r="F2389">
        <v>0</v>
      </c>
      <c r="H2389" t="s">
        <v>5065</v>
      </c>
      <c r="I2389">
        <v>0</v>
      </c>
      <c r="J2389">
        <v>0</v>
      </c>
      <c r="K2389">
        <v>0</v>
      </c>
    </row>
    <row r="2390" spans="1:11" x14ac:dyDescent="0.2">
      <c r="A2390" t="s">
        <v>2418</v>
      </c>
      <c r="B2390" t="s">
        <v>2419</v>
      </c>
      <c r="C2390" t="s">
        <v>2415</v>
      </c>
      <c r="D2390" t="s">
        <v>98</v>
      </c>
      <c r="E2390">
        <v>349.99</v>
      </c>
      <c r="F2390">
        <v>0</v>
      </c>
      <c r="H2390" t="s">
        <v>5065</v>
      </c>
      <c r="I2390">
        <v>0</v>
      </c>
      <c r="J2390">
        <v>0</v>
      </c>
      <c r="K2390">
        <v>0</v>
      </c>
    </row>
    <row r="2391" spans="1:11" x14ac:dyDescent="0.2">
      <c r="A2391" t="s">
        <v>5363</v>
      </c>
      <c r="B2391" t="s">
        <v>5364</v>
      </c>
      <c r="C2391" t="s">
        <v>2415</v>
      </c>
      <c r="D2391" t="s">
        <v>98</v>
      </c>
      <c r="E2391">
        <v>149.99</v>
      </c>
      <c r="F2391">
        <v>0</v>
      </c>
      <c r="H2391" t="s">
        <v>5065</v>
      </c>
      <c r="I2391">
        <v>0</v>
      </c>
      <c r="J2391">
        <v>0</v>
      </c>
      <c r="K2391">
        <v>0</v>
      </c>
    </row>
    <row r="2392" spans="1:11" x14ac:dyDescent="0.2">
      <c r="A2392" t="s">
        <v>5361</v>
      </c>
      <c r="B2392" t="s">
        <v>5362</v>
      </c>
      <c r="C2392" t="s">
        <v>2174</v>
      </c>
      <c r="D2392" t="s">
        <v>138</v>
      </c>
      <c r="E2392">
        <v>89.99</v>
      </c>
      <c r="F2392">
        <v>0</v>
      </c>
      <c r="H2392" t="s">
        <v>5065</v>
      </c>
      <c r="I2392">
        <v>0</v>
      </c>
      <c r="J2392">
        <v>0</v>
      </c>
      <c r="K2392">
        <v>0</v>
      </c>
    </row>
    <row r="2393" spans="1:11" x14ac:dyDescent="0.2">
      <c r="A2393" t="s">
        <v>638</v>
      </c>
      <c r="B2393" t="s">
        <v>639</v>
      </c>
      <c r="C2393" t="s">
        <v>582</v>
      </c>
      <c r="D2393" t="s">
        <v>98</v>
      </c>
      <c r="E2393">
        <v>199.99</v>
      </c>
      <c r="F2393">
        <v>0</v>
      </c>
      <c r="H2393" t="s">
        <v>5065</v>
      </c>
      <c r="I2393">
        <v>0.16666666666666666</v>
      </c>
      <c r="J2393">
        <v>30</v>
      </c>
      <c r="K2393">
        <v>5</v>
      </c>
    </row>
    <row r="2394" spans="1:11" x14ac:dyDescent="0.2">
      <c r="A2394" t="s">
        <v>4443</v>
      </c>
      <c r="B2394" t="s">
        <v>4444</v>
      </c>
      <c r="C2394" t="s">
        <v>4437</v>
      </c>
      <c r="D2394" t="s">
        <v>98</v>
      </c>
      <c r="E2394">
        <v>79.989999999999995</v>
      </c>
      <c r="F2394">
        <v>0</v>
      </c>
      <c r="H2394" t="s">
        <v>5065</v>
      </c>
      <c r="I2394">
        <v>0</v>
      </c>
      <c r="J2394">
        <v>0</v>
      </c>
      <c r="K2394">
        <v>0</v>
      </c>
    </row>
    <row r="2395" spans="1:11" x14ac:dyDescent="0.2">
      <c r="A2395" t="s">
        <v>2179</v>
      </c>
      <c r="B2395" t="s">
        <v>2180</v>
      </c>
      <c r="C2395" t="s">
        <v>2174</v>
      </c>
      <c r="D2395" t="s">
        <v>98</v>
      </c>
      <c r="E2395">
        <v>34.99</v>
      </c>
      <c r="F2395">
        <v>0</v>
      </c>
      <c r="H2395" t="s">
        <v>5065</v>
      </c>
      <c r="I2395">
        <v>0</v>
      </c>
      <c r="J2395">
        <v>0</v>
      </c>
      <c r="K2395">
        <v>0</v>
      </c>
    </row>
    <row r="2396" spans="1:11" x14ac:dyDescent="0.2">
      <c r="A2396" t="s">
        <v>4445</v>
      </c>
      <c r="B2396" t="s">
        <v>4446</v>
      </c>
      <c r="C2396" t="s">
        <v>4437</v>
      </c>
      <c r="D2396" t="s">
        <v>98</v>
      </c>
      <c r="E2396">
        <v>139.99</v>
      </c>
      <c r="F2396">
        <v>0</v>
      </c>
      <c r="H2396" t="s">
        <v>5065</v>
      </c>
      <c r="I2396">
        <v>0</v>
      </c>
      <c r="J2396">
        <v>0</v>
      </c>
      <c r="K2396">
        <v>0</v>
      </c>
    </row>
    <row r="2397" spans="1:11" x14ac:dyDescent="0.2">
      <c r="A2397" t="s">
        <v>2207</v>
      </c>
      <c r="B2397" t="s">
        <v>2208</v>
      </c>
      <c r="C2397" t="s">
        <v>2174</v>
      </c>
      <c r="D2397" t="s">
        <v>98</v>
      </c>
      <c r="E2397">
        <v>79.989999999999995</v>
      </c>
      <c r="F2397">
        <v>0</v>
      </c>
      <c r="H2397" t="s">
        <v>5065</v>
      </c>
      <c r="I2397">
        <v>0</v>
      </c>
      <c r="J2397">
        <v>0</v>
      </c>
      <c r="K2397">
        <v>0</v>
      </c>
    </row>
    <row r="2398" spans="1:11" x14ac:dyDescent="0.2">
      <c r="A2398" t="s">
        <v>4565</v>
      </c>
      <c r="B2398" t="s">
        <v>4566</v>
      </c>
      <c r="C2398" t="s">
        <v>4518</v>
      </c>
      <c r="D2398" t="s">
        <v>138</v>
      </c>
      <c r="E2398">
        <v>159.99</v>
      </c>
      <c r="F2398">
        <v>0</v>
      </c>
      <c r="G2398">
        <v>14</v>
      </c>
      <c r="H2398" t="s">
        <v>5065</v>
      </c>
      <c r="I2398">
        <v>0</v>
      </c>
      <c r="J2398">
        <v>0</v>
      </c>
      <c r="K2398">
        <v>0</v>
      </c>
    </row>
    <row r="2399" spans="1:11" x14ac:dyDescent="0.2">
      <c r="A2399" t="s">
        <v>4447</v>
      </c>
      <c r="B2399" t="s">
        <v>4448</v>
      </c>
      <c r="C2399" t="s">
        <v>4437</v>
      </c>
      <c r="D2399" t="s">
        <v>98</v>
      </c>
      <c r="E2399">
        <v>72.989999999999995</v>
      </c>
      <c r="F2399">
        <v>0</v>
      </c>
      <c r="H2399" t="s">
        <v>5065</v>
      </c>
      <c r="I2399">
        <v>0</v>
      </c>
      <c r="J2399">
        <v>0</v>
      </c>
      <c r="K2399">
        <v>0</v>
      </c>
    </row>
    <row r="2400" spans="1:11" x14ac:dyDescent="0.2">
      <c r="A2400" t="s">
        <v>4440</v>
      </c>
      <c r="B2400" t="s">
        <v>4441</v>
      </c>
      <c r="C2400" t="s">
        <v>4437</v>
      </c>
      <c r="D2400" t="s">
        <v>98</v>
      </c>
      <c r="E2400">
        <v>99.99</v>
      </c>
      <c r="F2400">
        <v>0</v>
      </c>
      <c r="H2400" t="s">
        <v>5065</v>
      </c>
      <c r="I2400">
        <v>0</v>
      </c>
      <c r="J2400">
        <v>0</v>
      </c>
      <c r="K2400">
        <v>0</v>
      </c>
    </row>
    <row r="2401" spans="1:11" x14ac:dyDescent="0.2">
      <c r="A2401" t="s">
        <v>5378</v>
      </c>
      <c r="B2401" t="s">
        <v>5379</v>
      </c>
      <c r="C2401" t="s">
        <v>874</v>
      </c>
      <c r="D2401" t="s">
        <v>98</v>
      </c>
      <c r="E2401">
        <v>69.989999999999995</v>
      </c>
      <c r="F2401">
        <v>0</v>
      </c>
      <c r="H2401" t="s">
        <v>5065</v>
      </c>
      <c r="I2401">
        <v>0</v>
      </c>
      <c r="J2401">
        <v>0</v>
      </c>
      <c r="K2401">
        <v>0</v>
      </c>
    </row>
    <row r="2402" spans="1:11" x14ac:dyDescent="0.2">
      <c r="A2402" t="s">
        <v>4328</v>
      </c>
      <c r="B2402" t="s">
        <v>4329</v>
      </c>
      <c r="C2402" t="s">
        <v>4283</v>
      </c>
      <c r="D2402" t="s">
        <v>105</v>
      </c>
      <c r="E2402">
        <v>179.99</v>
      </c>
      <c r="F2402">
        <v>0</v>
      </c>
      <c r="H2402" t="s">
        <v>5065</v>
      </c>
      <c r="I2402">
        <v>0</v>
      </c>
      <c r="J2402">
        <v>0</v>
      </c>
      <c r="K2402">
        <v>0</v>
      </c>
    </row>
    <row r="2403" spans="1:11" x14ac:dyDescent="0.2">
      <c r="A2403" t="s">
        <v>5282</v>
      </c>
      <c r="B2403" t="s">
        <v>5283</v>
      </c>
      <c r="C2403" t="s">
        <v>4283</v>
      </c>
      <c r="D2403" t="s">
        <v>105</v>
      </c>
      <c r="E2403">
        <v>329.99</v>
      </c>
      <c r="F2403">
        <v>0</v>
      </c>
      <c r="G2403">
        <v>1</v>
      </c>
      <c r="H2403" t="s">
        <v>5065</v>
      </c>
      <c r="I2403">
        <v>0</v>
      </c>
      <c r="J2403">
        <v>0</v>
      </c>
      <c r="K2403">
        <v>0</v>
      </c>
    </row>
    <row r="2404" spans="1:11" x14ac:dyDescent="0.2">
      <c r="A2404" t="s">
        <v>5276</v>
      </c>
      <c r="B2404" t="s">
        <v>5277</v>
      </c>
      <c r="C2404" t="s">
        <v>4283</v>
      </c>
      <c r="D2404" t="s">
        <v>105</v>
      </c>
      <c r="E2404">
        <v>329.99</v>
      </c>
      <c r="F2404">
        <v>0</v>
      </c>
      <c r="G2404">
        <v>1</v>
      </c>
      <c r="H2404" t="s">
        <v>5065</v>
      </c>
      <c r="I2404">
        <v>0</v>
      </c>
      <c r="J2404">
        <v>0</v>
      </c>
      <c r="K2404">
        <v>0</v>
      </c>
    </row>
    <row r="2405" spans="1:11" x14ac:dyDescent="0.2">
      <c r="A2405" t="s">
        <v>4993</v>
      </c>
      <c r="B2405" t="s">
        <v>4994</v>
      </c>
      <c r="C2405" t="s">
        <v>4905</v>
      </c>
      <c r="D2405" t="s">
        <v>105</v>
      </c>
      <c r="E2405">
        <v>889</v>
      </c>
      <c r="F2405">
        <v>889</v>
      </c>
      <c r="G2405">
        <v>6</v>
      </c>
      <c r="H2405" t="s">
        <v>5065</v>
      </c>
      <c r="I2405">
        <v>0.33333333333333331</v>
      </c>
      <c r="J2405">
        <v>126</v>
      </c>
      <c r="K2405">
        <v>42</v>
      </c>
    </row>
    <row r="2406" spans="1:11" x14ac:dyDescent="0.2">
      <c r="A2406" t="s">
        <v>4316</v>
      </c>
      <c r="B2406" t="s">
        <v>4317</v>
      </c>
      <c r="C2406" t="s">
        <v>4283</v>
      </c>
      <c r="D2406" t="s">
        <v>105</v>
      </c>
      <c r="E2406">
        <v>249.99</v>
      </c>
      <c r="F2406">
        <v>0</v>
      </c>
      <c r="G2406">
        <v>9</v>
      </c>
      <c r="H2406" t="s">
        <v>5065</v>
      </c>
      <c r="I2406">
        <v>0</v>
      </c>
      <c r="J2406">
        <v>0</v>
      </c>
      <c r="K2406">
        <v>0</v>
      </c>
    </row>
    <row r="2407" spans="1:11" x14ac:dyDescent="0.2">
      <c r="A2407" t="s">
        <v>5578</v>
      </c>
      <c r="B2407" t="s">
        <v>5579</v>
      </c>
      <c r="C2407" t="s">
        <v>4518</v>
      </c>
      <c r="D2407" t="s">
        <v>98</v>
      </c>
      <c r="E2407">
        <v>139.99</v>
      </c>
      <c r="F2407">
        <v>0</v>
      </c>
      <c r="H2407" t="s">
        <v>5065</v>
      </c>
      <c r="I2407">
        <v>0</v>
      </c>
      <c r="J2407">
        <v>0</v>
      </c>
      <c r="K2407">
        <v>0</v>
      </c>
    </row>
    <row r="2408" spans="1:11" x14ac:dyDescent="0.2">
      <c r="A2408" t="s">
        <v>4318</v>
      </c>
      <c r="B2408" t="s">
        <v>4319</v>
      </c>
      <c r="C2408" t="s">
        <v>4283</v>
      </c>
      <c r="D2408" t="s">
        <v>105</v>
      </c>
      <c r="E2408">
        <v>2899.99</v>
      </c>
      <c r="F2408">
        <v>0</v>
      </c>
      <c r="G2408">
        <v>3</v>
      </c>
      <c r="H2408" t="s">
        <v>5065</v>
      </c>
      <c r="I2408">
        <v>0</v>
      </c>
      <c r="J2408">
        <v>0</v>
      </c>
      <c r="K2408">
        <v>0</v>
      </c>
    </row>
    <row r="2409" spans="1:11" x14ac:dyDescent="0.2">
      <c r="A2409" t="s">
        <v>4322</v>
      </c>
      <c r="B2409" t="s">
        <v>4323</v>
      </c>
      <c r="C2409" t="s">
        <v>4283</v>
      </c>
      <c r="D2409" t="s">
        <v>105</v>
      </c>
      <c r="E2409">
        <v>299.99</v>
      </c>
      <c r="F2409">
        <v>0</v>
      </c>
      <c r="G2409">
        <v>5</v>
      </c>
      <c r="H2409" t="s">
        <v>5065</v>
      </c>
      <c r="I2409">
        <v>0</v>
      </c>
      <c r="J2409">
        <v>0</v>
      </c>
      <c r="K2409">
        <v>0</v>
      </c>
    </row>
    <row r="2410" spans="1:11" x14ac:dyDescent="0.2">
      <c r="A2410" t="s">
        <v>5564</v>
      </c>
      <c r="B2410" t="s">
        <v>5565</v>
      </c>
      <c r="C2410" t="s">
        <v>4518</v>
      </c>
      <c r="D2410" t="s">
        <v>138</v>
      </c>
      <c r="E2410">
        <v>119.99</v>
      </c>
      <c r="F2410">
        <v>0</v>
      </c>
      <c r="H2410" t="s">
        <v>5065</v>
      </c>
      <c r="I2410">
        <v>0</v>
      </c>
      <c r="J2410">
        <v>0</v>
      </c>
      <c r="K2410">
        <v>0</v>
      </c>
    </row>
    <row r="2411" spans="1:11" x14ac:dyDescent="0.2">
      <c r="A2411" t="s">
        <v>5357</v>
      </c>
      <c r="B2411" t="s">
        <v>5358</v>
      </c>
      <c r="C2411" t="s">
        <v>4283</v>
      </c>
      <c r="D2411" t="s">
        <v>98</v>
      </c>
      <c r="E2411">
        <v>249.99</v>
      </c>
      <c r="F2411">
        <v>0</v>
      </c>
      <c r="H2411" t="s">
        <v>5065</v>
      </c>
      <c r="I2411">
        <v>0</v>
      </c>
      <c r="J2411">
        <v>0</v>
      </c>
      <c r="K2411">
        <v>0</v>
      </c>
    </row>
    <row r="2412" spans="1:11" x14ac:dyDescent="0.2">
      <c r="A2412" t="s">
        <v>4326</v>
      </c>
      <c r="B2412" t="s">
        <v>4327</v>
      </c>
      <c r="C2412" t="s">
        <v>4283</v>
      </c>
      <c r="D2412" t="s">
        <v>98</v>
      </c>
      <c r="E2412">
        <v>89.99</v>
      </c>
      <c r="F2412">
        <v>0</v>
      </c>
      <c r="H2412" t="s">
        <v>5065</v>
      </c>
      <c r="I2412">
        <v>0</v>
      </c>
      <c r="J2412">
        <v>0</v>
      </c>
      <c r="K2412">
        <v>0</v>
      </c>
    </row>
    <row r="2413" spans="1:11" x14ac:dyDescent="0.2">
      <c r="A2413" t="s">
        <v>5702</v>
      </c>
      <c r="B2413" t="s">
        <v>5703</v>
      </c>
      <c r="C2413" t="s">
        <v>4283</v>
      </c>
      <c r="D2413" t="s">
        <v>98</v>
      </c>
      <c r="E2413">
        <v>89.99</v>
      </c>
      <c r="F2413">
        <v>0</v>
      </c>
      <c r="H2413" t="s">
        <v>5065</v>
      </c>
      <c r="I2413">
        <v>0</v>
      </c>
      <c r="J2413">
        <v>0</v>
      </c>
      <c r="K2413">
        <v>0</v>
      </c>
    </row>
    <row r="2414" spans="1:11" x14ac:dyDescent="0.2">
      <c r="A2414" t="s">
        <v>5644</v>
      </c>
      <c r="B2414" t="s">
        <v>5645</v>
      </c>
      <c r="C2414" t="s">
        <v>4283</v>
      </c>
      <c r="D2414" t="s">
        <v>98</v>
      </c>
      <c r="E2414">
        <v>89.99</v>
      </c>
      <c r="F2414">
        <v>0</v>
      </c>
      <c r="H2414" t="s">
        <v>5065</v>
      </c>
      <c r="I2414">
        <v>0</v>
      </c>
      <c r="J2414">
        <v>0</v>
      </c>
      <c r="K2414">
        <v>0</v>
      </c>
    </row>
    <row r="2415" spans="1:11" x14ac:dyDescent="0.2">
      <c r="A2415" t="s">
        <v>5353</v>
      </c>
      <c r="B2415" t="s">
        <v>5354</v>
      </c>
      <c r="C2415" t="s">
        <v>2415</v>
      </c>
      <c r="D2415" t="s">
        <v>98</v>
      </c>
      <c r="E2415">
        <v>159.99</v>
      </c>
      <c r="F2415">
        <v>0</v>
      </c>
      <c r="H2415" t="s">
        <v>5065</v>
      </c>
      <c r="I2415">
        <v>0</v>
      </c>
      <c r="J2415">
        <v>0</v>
      </c>
      <c r="K2415">
        <v>0</v>
      </c>
    </row>
    <row r="2416" spans="1:11" x14ac:dyDescent="0.2">
      <c r="A2416" t="s">
        <v>5389</v>
      </c>
      <c r="B2416" t="s">
        <v>5390</v>
      </c>
      <c r="C2416" t="s">
        <v>2415</v>
      </c>
      <c r="D2416" t="s">
        <v>98</v>
      </c>
      <c r="E2416">
        <v>149.99</v>
      </c>
      <c r="F2416">
        <v>0</v>
      </c>
      <c r="H2416" t="s">
        <v>5065</v>
      </c>
      <c r="I2416">
        <v>0</v>
      </c>
      <c r="J2416">
        <v>0</v>
      </c>
      <c r="K2416">
        <v>0</v>
      </c>
    </row>
    <row r="2417" spans="1:11" x14ac:dyDescent="0.2">
      <c r="A2417" t="s">
        <v>3386</v>
      </c>
      <c r="B2417" t="s">
        <v>3387</v>
      </c>
      <c r="C2417" t="s">
        <v>3349</v>
      </c>
      <c r="D2417" t="s">
        <v>98</v>
      </c>
      <c r="E2417">
        <v>359.99</v>
      </c>
      <c r="F2417">
        <v>0</v>
      </c>
      <c r="H2417" t="s">
        <v>5065</v>
      </c>
      <c r="I2417">
        <v>0</v>
      </c>
      <c r="J2417">
        <v>0</v>
      </c>
      <c r="K2417">
        <v>0</v>
      </c>
    </row>
    <row r="2418" spans="1:11" x14ac:dyDescent="0.2">
      <c r="A2418" t="s">
        <v>116</v>
      </c>
      <c r="B2418" t="s">
        <v>117</v>
      </c>
      <c r="C2418" t="s">
        <v>95</v>
      </c>
      <c r="D2418" t="s">
        <v>98</v>
      </c>
      <c r="E2418">
        <v>129.99</v>
      </c>
      <c r="F2418">
        <v>0</v>
      </c>
      <c r="H2418" t="s">
        <v>5065</v>
      </c>
      <c r="I2418">
        <v>0</v>
      </c>
      <c r="J2418">
        <v>0</v>
      </c>
      <c r="K2418">
        <v>0</v>
      </c>
    </row>
    <row r="2419" spans="1:11" x14ac:dyDescent="0.2">
      <c r="A2419" t="s">
        <v>3376</v>
      </c>
      <c r="B2419" t="s">
        <v>3377</v>
      </c>
      <c r="C2419" t="s">
        <v>3349</v>
      </c>
      <c r="D2419" t="s">
        <v>98</v>
      </c>
      <c r="E2419">
        <v>119.99</v>
      </c>
      <c r="F2419">
        <v>0</v>
      </c>
      <c r="H2419" t="s">
        <v>5065</v>
      </c>
      <c r="I2419">
        <v>0.16666666666666666</v>
      </c>
      <c r="J2419">
        <v>6</v>
      </c>
      <c r="K2419">
        <v>1</v>
      </c>
    </row>
    <row r="2420" spans="1:11" x14ac:dyDescent="0.2">
      <c r="A2420" t="s">
        <v>5503</v>
      </c>
      <c r="B2420" t="s">
        <v>5504</v>
      </c>
      <c r="C2420" t="s">
        <v>5039</v>
      </c>
      <c r="D2420" t="s">
        <v>98</v>
      </c>
      <c r="E2420">
        <v>79.989999999999995</v>
      </c>
      <c r="F2420">
        <v>0</v>
      </c>
      <c r="H2420" t="s">
        <v>5065</v>
      </c>
      <c r="I2420">
        <v>0</v>
      </c>
      <c r="J2420">
        <v>0</v>
      </c>
      <c r="K2420">
        <v>0</v>
      </c>
    </row>
    <row r="2421" spans="1:11" x14ac:dyDescent="0.2">
      <c r="A2421" t="s">
        <v>5582</v>
      </c>
      <c r="B2421" t="s">
        <v>5583</v>
      </c>
      <c r="C2421" t="s">
        <v>3929</v>
      </c>
      <c r="D2421" t="s">
        <v>98</v>
      </c>
      <c r="E2421">
        <v>64.989999999999995</v>
      </c>
      <c r="F2421">
        <v>0</v>
      </c>
      <c r="H2421" t="s">
        <v>5065</v>
      </c>
      <c r="I2421">
        <v>0</v>
      </c>
      <c r="J2421">
        <v>0</v>
      </c>
      <c r="K2421">
        <v>0</v>
      </c>
    </row>
    <row r="2422" spans="1:11" x14ac:dyDescent="0.2">
      <c r="A2422" t="s">
        <v>3374</v>
      </c>
      <c r="B2422" t="s">
        <v>3375</v>
      </c>
      <c r="C2422" t="s">
        <v>3349</v>
      </c>
      <c r="D2422" t="s">
        <v>105</v>
      </c>
      <c r="E2422">
        <v>219.99</v>
      </c>
      <c r="F2422">
        <v>439.98</v>
      </c>
      <c r="G2422">
        <v>15</v>
      </c>
      <c r="H2422" t="s">
        <v>5065</v>
      </c>
      <c r="I2422">
        <v>0.83333333333333337</v>
      </c>
      <c r="J2422">
        <v>61</v>
      </c>
      <c r="K2422">
        <v>51</v>
      </c>
    </row>
    <row r="2423" spans="1:11" x14ac:dyDescent="0.2">
      <c r="A2423" t="s">
        <v>3372</v>
      </c>
      <c r="B2423" t="s">
        <v>3373</v>
      </c>
      <c r="C2423" t="s">
        <v>3349</v>
      </c>
      <c r="D2423" t="s">
        <v>105</v>
      </c>
      <c r="E2423">
        <v>99.99</v>
      </c>
      <c r="F2423">
        <v>0</v>
      </c>
      <c r="H2423" t="s">
        <v>5065</v>
      </c>
      <c r="I2423">
        <v>0</v>
      </c>
      <c r="J2423">
        <v>0</v>
      </c>
      <c r="K2423">
        <v>0</v>
      </c>
    </row>
    <row r="2424" spans="1:11" x14ac:dyDescent="0.2">
      <c r="A2424" t="s">
        <v>3960</v>
      </c>
      <c r="B2424" t="s">
        <v>3961</v>
      </c>
      <c r="C2424" t="s">
        <v>3929</v>
      </c>
      <c r="D2424" t="s">
        <v>105</v>
      </c>
      <c r="E2424">
        <v>64.989999999999995</v>
      </c>
      <c r="F2424">
        <v>0</v>
      </c>
      <c r="G2424">
        <v>20</v>
      </c>
      <c r="H2424" t="s">
        <v>5065</v>
      </c>
      <c r="I2424">
        <v>0</v>
      </c>
      <c r="J2424">
        <v>0</v>
      </c>
      <c r="K2424">
        <v>0</v>
      </c>
    </row>
    <row r="2425" spans="1:11" x14ac:dyDescent="0.2">
      <c r="A2425" t="s">
        <v>3392</v>
      </c>
      <c r="B2425" t="s">
        <v>3393</v>
      </c>
      <c r="C2425" t="s">
        <v>3349</v>
      </c>
      <c r="D2425" t="s">
        <v>105</v>
      </c>
      <c r="E2425">
        <v>139.99</v>
      </c>
      <c r="F2425">
        <v>0</v>
      </c>
      <c r="G2425">
        <v>33</v>
      </c>
      <c r="H2425" t="s">
        <v>5065</v>
      </c>
      <c r="I2425">
        <v>0</v>
      </c>
      <c r="J2425">
        <v>0</v>
      </c>
      <c r="K2425">
        <v>2</v>
      </c>
    </row>
    <row r="2426" spans="1:11" x14ac:dyDescent="0.2">
      <c r="A2426" t="s">
        <v>5624</v>
      </c>
      <c r="B2426" t="s">
        <v>5625</v>
      </c>
      <c r="C2426" t="s">
        <v>3929</v>
      </c>
      <c r="D2426" t="s">
        <v>98</v>
      </c>
      <c r="E2426">
        <v>99.99</v>
      </c>
      <c r="F2426">
        <v>0</v>
      </c>
      <c r="H2426" t="s">
        <v>5065</v>
      </c>
      <c r="I2426">
        <v>0</v>
      </c>
      <c r="J2426">
        <v>0</v>
      </c>
      <c r="K2426">
        <v>0</v>
      </c>
    </row>
    <row r="2427" spans="1:11" x14ac:dyDescent="0.2">
      <c r="A2427" t="s">
        <v>3364</v>
      </c>
      <c r="B2427" t="s">
        <v>3365</v>
      </c>
      <c r="C2427" t="s">
        <v>3349</v>
      </c>
      <c r="D2427" t="s">
        <v>105</v>
      </c>
      <c r="E2427">
        <v>59.99</v>
      </c>
      <c r="F2427">
        <v>0</v>
      </c>
      <c r="H2427" t="s">
        <v>5065</v>
      </c>
      <c r="I2427">
        <v>0</v>
      </c>
      <c r="J2427">
        <v>0</v>
      </c>
      <c r="K2427">
        <v>7</v>
      </c>
    </row>
    <row r="2428" spans="1:11" x14ac:dyDescent="0.2">
      <c r="A2428" t="s">
        <v>5120</v>
      </c>
      <c r="B2428" t="s">
        <v>5121</v>
      </c>
      <c r="C2428" t="s">
        <v>3929</v>
      </c>
      <c r="D2428" t="s">
        <v>105</v>
      </c>
      <c r="E2428">
        <v>89.99</v>
      </c>
      <c r="F2428">
        <v>0</v>
      </c>
      <c r="G2428">
        <v>15</v>
      </c>
      <c r="H2428" t="s">
        <v>5065</v>
      </c>
      <c r="I2428">
        <v>0</v>
      </c>
      <c r="J2428">
        <v>0</v>
      </c>
      <c r="K2428">
        <v>0</v>
      </c>
    </row>
    <row r="2429" spans="1:11" x14ac:dyDescent="0.2">
      <c r="A2429" t="s">
        <v>3362</v>
      </c>
      <c r="B2429" t="s">
        <v>3363</v>
      </c>
      <c r="C2429" t="s">
        <v>3349</v>
      </c>
      <c r="D2429" t="s">
        <v>105</v>
      </c>
      <c r="E2429">
        <v>89.99</v>
      </c>
      <c r="F2429">
        <v>0</v>
      </c>
      <c r="G2429">
        <v>6</v>
      </c>
      <c r="H2429" t="s">
        <v>5065</v>
      </c>
      <c r="I2429">
        <v>0</v>
      </c>
      <c r="J2429">
        <v>0</v>
      </c>
      <c r="K2429">
        <v>2</v>
      </c>
    </row>
    <row r="2430" spans="1:11" x14ac:dyDescent="0.2">
      <c r="A2430" t="s">
        <v>5510</v>
      </c>
      <c r="B2430" t="s">
        <v>5511</v>
      </c>
      <c r="C2430" t="s">
        <v>5039</v>
      </c>
      <c r="D2430" t="s">
        <v>98</v>
      </c>
      <c r="E2430">
        <v>69.989999999999995</v>
      </c>
      <c r="F2430">
        <v>0</v>
      </c>
      <c r="H2430" t="s">
        <v>5065</v>
      </c>
      <c r="I2430">
        <v>0</v>
      </c>
      <c r="J2430">
        <v>0</v>
      </c>
      <c r="K2430">
        <v>0</v>
      </c>
    </row>
    <row r="2431" spans="1:11" x14ac:dyDescent="0.2">
      <c r="A2431" t="s">
        <v>3360</v>
      </c>
      <c r="B2431" t="s">
        <v>3361</v>
      </c>
      <c r="C2431" t="s">
        <v>3349</v>
      </c>
      <c r="D2431" t="s">
        <v>105</v>
      </c>
      <c r="E2431">
        <v>479.99</v>
      </c>
      <c r="F2431">
        <v>0</v>
      </c>
      <c r="H2431" t="s">
        <v>5065</v>
      </c>
      <c r="I2431">
        <v>0.16666666666666666</v>
      </c>
      <c r="J2431">
        <v>78</v>
      </c>
      <c r="K2431">
        <v>13</v>
      </c>
    </row>
    <row r="2432" spans="1:11" x14ac:dyDescent="0.2">
      <c r="A2432" t="s">
        <v>5073</v>
      </c>
      <c r="B2432" t="s">
        <v>5074</v>
      </c>
      <c r="C2432" t="s">
        <v>3929</v>
      </c>
      <c r="D2432" t="s">
        <v>105</v>
      </c>
      <c r="E2432">
        <v>99.99</v>
      </c>
      <c r="F2432">
        <v>0</v>
      </c>
      <c r="H2432" t="s">
        <v>5065</v>
      </c>
      <c r="I2432">
        <v>0</v>
      </c>
      <c r="J2432">
        <v>0</v>
      </c>
      <c r="K2432">
        <v>0</v>
      </c>
    </row>
    <row r="2433" spans="1:11" x14ac:dyDescent="0.2">
      <c r="A2433" t="s">
        <v>5380</v>
      </c>
      <c r="B2433" t="s">
        <v>5381</v>
      </c>
      <c r="C2433" t="s">
        <v>3929</v>
      </c>
      <c r="D2433" t="s">
        <v>98</v>
      </c>
      <c r="E2433">
        <v>69.989999999999995</v>
      </c>
      <c r="F2433">
        <v>0</v>
      </c>
      <c r="H2433" t="s">
        <v>5065</v>
      </c>
      <c r="I2433">
        <v>0</v>
      </c>
      <c r="J2433">
        <v>0</v>
      </c>
      <c r="K2433">
        <v>0</v>
      </c>
    </row>
    <row r="2434" spans="1:11" x14ac:dyDescent="0.2">
      <c r="A2434" t="s">
        <v>118</v>
      </c>
      <c r="B2434" t="s">
        <v>119</v>
      </c>
      <c r="C2434" t="s">
        <v>95</v>
      </c>
      <c r="D2434" t="s">
        <v>98</v>
      </c>
      <c r="E2434">
        <v>149.99</v>
      </c>
      <c r="F2434">
        <v>0</v>
      </c>
      <c r="H2434" t="s">
        <v>5065</v>
      </c>
      <c r="I2434">
        <v>0</v>
      </c>
      <c r="J2434">
        <v>0</v>
      </c>
      <c r="K2434">
        <v>0</v>
      </c>
    </row>
    <row r="2435" spans="1:11" x14ac:dyDescent="0.2">
      <c r="A2435" t="s">
        <v>3368</v>
      </c>
      <c r="B2435" t="s">
        <v>3369</v>
      </c>
      <c r="C2435" t="s">
        <v>3349</v>
      </c>
      <c r="D2435" t="s">
        <v>105</v>
      </c>
      <c r="E2435">
        <v>99.99</v>
      </c>
      <c r="F2435">
        <v>0</v>
      </c>
      <c r="H2435" t="s">
        <v>5065</v>
      </c>
      <c r="I2435">
        <v>0</v>
      </c>
      <c r="J2435">
        <v>0</v>
      </c>
      <c r="K2435">
        <v>6</v>
      </c>
    </row>
    <row r="2436" spans="1:11" x14ac:dyDescent="0.2">
      <c r="A2436" t="s">
        <v>3954</v>
      </c>
      <c r="B2436" t="s">
        <v>3955</v>
      </c>
      <c r="C2436" t="s">
        <v>3929</v>
      </c>
      <c r="D2436" t="s">
        <v>105</v>
      </c>
      <c r="E2436">
        <v>64.989999999999995</v>
      </c>
      <c r="F2436">
        <v>0</v>
      </c>
      <c r="G2436">
        <v>38</v>
      </c>
      <c r="H2436" t="s">
        <v>5065</v>
      </c>
      <c r="I2436">
        <v>0</v>
      </c>
      <c r="J2436">
        <v>0</v>
      </c>
      <c r="K2436">
        <v>0</v>
      </c>
    </row>
    <row r="2437" spans="1:11" x14ac:dyDescent="0.2">
      <c r="A2437" t="s">
        <v>370</v>
      </c>
      <c r="B2437" t="s">
        <v>371</v>
      </c>
      <c r="C2437" t="s">
        <v>307</v>
      </c>
      <c r="D2437" t="s">
        <v>98</v>
      </c>
      <c r="E2437">
        <v>1199.99</v>
      </c>
      <c r="F2437">
        <v>0</v>
      </c>
      <c r="H2437" t="s">
        <v>5065</v>
      </c>
      <c r="I2437">
        <v>0</v>
      </c>
      <c r="J2437">
        <v>0</v>
      </c>
      <c r="K2437">
        <v>0</v>
      </c>
    </row>
    <row r="2438" spans="1:11" x14ac:dyDescent="0.2">
      <c r="A2438" t="s">
        <v>3394</v>
      </c>
      <c r="B2438" t="s">
        <v>3395</v>
      </c>
      <c r="C2438" t="s">
        <v>3349</v>
      </c>
      <c r="D2438" t="s">
        <v>105</v>
      </c>
      <c r="E2438">
        <v>399.99</v>
      </c>
      <c r="F2438">
        <v>0</v>
      </c>
      <c r="G2438">
        <v>34</v>
      </c>
      <c r="H2438" t="s">
        <v>5065</v>
      </c>
      <c r="I2438">
        <v>0</v>
      </c>
      <c r="J2438">
        <v>0</v>
      </c>
      <c r="K2438">
        <v>0</v>
      </c>
    </row>
    <row r="2439" spans="1:11" x14ac:dyDescent="0.2">
      <c r="A2439" t="s">
        <v>295</v>
      </c>
      <c r="B2439" t="s">
        <v>296</v>
      </c>
      <c r="C2439" t="s">
        <v>288</v>
      </c>
      <c r="D2439" t="s">
        <v>98</v>
      </c>
      <c r="E2439">
        <v>199.99</v>
      </c>
      <c r="F2439">
        <v>0</v>
      </c>
      <c r="H2439" t="s">
        <v>5065</v>
      </c>
      <c r="I2439">
        <v>0</v>
      </c>
      <c r="J2439">
        <v>0</v>
      </c>
      <c r="K2439">
        <v>2</v>
      </c>
    </row>
    <row r="2440" spans="1:11" x14ac:dyDescent="0.2">
      <c r="A2440" t="s">
        <v>3420</v>
      </c>
      <c r="B2440" t="s">
        <v>3421</v>
      </c>
      <c r="C2440" t="s">
        <v>3349</v>
      </c>
      <c r="D2440" t="s">
        <v>138</v>
      </c>
      <c r="E2440">
        <v>119.99</v>
      </c>
      <c r="F2440">
        <v>359.96999999999997</v>
      </c>
      <c r="H2440" t="s">
        <v>5065</v>
      </c>
      <c r="I2440">
        <v>1.3333333333333333</v>
      </c>
      <c r="J2440">
        <v>19</v>
      </c>
      <c r="K2440">
        <v>25</v>
      </c>
    </row>
    <row r="2441" spans="1:11" x14ac:dyDescent="0.2">
      <c r="A2441" t="s">
        <v>3932</v>
      </c>
      <c r="B2441" t="s">
        <v>3933</v>
      </c>
      <c r="C2441" t="s">
        <v>3929</v>
      </c>
      <c r="D2441" t="s">
        <v>105</v>
      </c>
      <c r="E2441">
        <v>129.99</v>
      </c>
      <c r="F2441">
        <v>0</v>
      </c>
      <c r="G2441">
        <v>51</v>
      </c>
      <c r="H2441" t="s">
        <v>5065</v>
      </c>
      <c r="I2441">
        <v>0</v>
      </c>
      <c r="J2441">
        <v>0</v>
      </c>
      <c r="K2441">
        <v>0</v>
      </c>
    </row>
    <row r="2442" spans="1:11" x14ac:dyDescent="0.2">
      <c r="A2442" t="s">
        <v>5499</v>
      </c>
      <c r="B2442" t="s">
        <v>5500</v>
      </c>
      <c r="C2442" t="s">
        <v>5039</v>
      </c>
      <c r="D2442" t="s">
        <v>98</v>
      </c>
      <c r="E2442">
        <v>39.99</v>
      </c>
      <c r="F2442">
        <v>0</v>
      </c>
      <c r="H2442" t="s">
        <v>5065</v>
      </c>
      <c r="I2442">
        <v>0</v>
      </c>
      <c r="J2442">
        <v>0</v>
      </c>
      <c r="K2442">
        <v>0</v>
      </c>
    </row>
    <row r="2443" spans="1:11" x14ac:dyDescent="0.2">
      <c r="A2443" t="s">
        <v>3418</v>
      </c>
      <c r="B2443" t="s">
        <v>3419</v>
      </c>
      <c r="C2443" t="s">
        <v>3349</v>
      </c>
      <c r="D2443" t="s">
        <v>138</v>
      </c>
      <c r="E2443">
        <v>49.99</v>
      </c>
      <c r="F2443">
        <v>0</v>
      </c>
      <c r="H2443" t="s">
        <v>5065</v>
      </c>
      <c r="I2443">
        <v>0.5</v>
      </c>
      <c r="J2443">
        <v>10</v>
      </c>
      <c r="K2443">
        <v>5</v>
      </c>
    </row>
    <row r="2444" spans="1:11" x14ac:dyDescent="0.2">
      <c r="A2444" t="s">
        <v>3934</v>
      </c>
      <c r="B2444" t="s">
        <v>3935</v>
      </c>
      <c r="C2444" t="s">
        <v>3929</v>
      </c>
      <c r="D2444" t="s">
        <v>105</v>
      </c>
      <c r="E2444">
        <v>159.99</v>
      </c>
      <c r="F2444">
        <v>0</v>
      </c>
      <c r="G2444">
        <v>62</v>
      </c>
      <c r="H2444" t="s">
        <v>5065</v>
      </c>
      <c r="I2444">
        <v>0</v>
      </c>
      <c r="J2444">
        <v>0</v>
      </c>
      <c r="K2444">
        <v>0</v>
      </c>
    </row>
    <row r="2445" spans="1:11" x14ac:dyDescent="0.2">
      <c r="A2445" t="s">
        <v>3416</v>
      </c>
      <c r="B2445" t="s">
        <v>3417</v>
      </c>
      <c r="C2445" t="s">
        <v>3349</v>
      </c>
      <c r="D2445" t="s">
        <v>138</v>
      </c>
      <c r="E2445">
        <v>49.99</v>
      </c>
      <c r="F2445">
        <v>0</v>
      </c>
      <c r="H2445" t="s">
        <v>5065</v>
      </c>
      <c r="I2445">
        <v>0</v>
      </c>
      <c r="J2445">
        <v>0</v>
      </c>
      <c r="K2445">
        <v>0</v>
      </c>
    </row>
    <row r="2446" spans="1:11" x14ac:dyDescent="0.2">
      <c r="A2446" t="s">
        <v>3938</v>
      </c>
      <c r="B2446" t="s">
        <v>3939</v>
      </c>
      <c r="C2446" t="s">
        <v>3929</v>
      </c>
      <c r="D2446" t="s">
        <v>105</v>
      </c>
      <c r="E2446">
        <v>259.99</v>
      </c>
      <c r="F2446">
        <v>0</v>
      </c>
      <c r="G2446">
        <v>13</v>
      </c>
      <c r="H2446" t="s">
        <v>5065</v>
      </c>
      <c r="I2446">
        <v>0.5</v>
      </c>
      <c r="J2446">
        <v>148</v>
      </c>
      <c r="K2446">
        <v>74</v>
      </c>
    </row>
    <row r="2447" spans="1:11" x14ac:dyDescent="0.2">
      <c r="A2447" t="s">
        <v>3414</v>
      </c>
      <c r="B2447" t="s">
        <v>3415</v>
      </c>
      <c r="C2447" t="s">
        <v>3349</v>
      </c>
      <c r="D2447" t="s">
        <v>138</v>
      </c>
      <c r="E2447">
        <v>89.99</v>
      </c>
      <c r="F2447">
        <v>0</v>
      </c>
      <c r="H2447" t="s">
        <v>5065</v>
      </c>
      <c r="I2447">
        <v>0</v>
      </c>
      <c r="J2447">
        <v>0</v>
      </c>
      <c r="K2447">
        <v>0</v>
      </c>
    </row>
    <row r="2448" spans="1:11" x14ac:dyDescent="0.2">
      <c r="A2448" t="s">
        <v>5495</v>
      </c>
      <c r="B2448" t="s">
        <v>5496</v>
      </c>
      <c r="C2448" t="s">
        <v>5039</v>
      </c>
      <c r="D2448" t="s">
        <v>98</v>
      </c>
      <c r="E2448">
        <v>69.989999999999995</v>
      </c>
      <c r="F2448">
        <v>0</v>
      </c>
      <c r="H2448" t="s">
        <v>5065</v>
      </c>
      <c r="I2448">
        <v>0</v>
      </c>
      <c r="J2448">
        <v>0</v>
      </c>
      <c r="K2448">
        <v>0</v>
      </c>
    </row>
    <row r="2449" spans="1:11" x14ac:dyDescent="0.2">
      <c r="A2449" t="s">
        <v>3940</v>
      </c>
      <c r="B2449" t="s">
        <v>3941</v>
      </c>
      <c r="C2449" t="s">
        <v>3929</v>
      </c>
      <c r="D2449" t="s">
        <v>105</v>
      </c>
      <c r="E2449">
        <v>209.99</v>
      </c>
      <c r="F2449">
        <v>0</v>
      </c>
      <c r="G2449">
        <v>7</v>
      </c>
      <c r="H2449" t="s">
        <v>5065</v>
      </c>
      <c r="I2449">
        <v>0</v>
      </c>
      <c r="J2449">
        <v>0</v>
      </c>
      <c r="K2449">
        <v>51</v>
      </c>
    </row>
    <row r="2450" spans="1:11" x14ac:dyDescent="0.2">
      <c r="A2450" t="s">
        <v>299</v>
      </c>
      <c r="B2450" t="s">
        <v>300</v>
      </c>
      <c r="C2450" t="s">
        <v>288</v>
      </c>
      <c r="D2450" t="s">
        <v>98</v>
      </c>
      <c r="E2450">
        <v>199.99</v>
      </c>
      <c r="F2450">
        <v>0</v>
      </c>
      <c r="H2450" t="s">
        <v>5065</v>
      </c>
      <c r="I2450">
        <v>0</v>
      </c>
      <c r="J2450">
        <v>0</v>
      </c>
      <c r="K2450">
        <v>0</v>
      </c>
    </row>
    <row r="2451" spans="1:11" x14ac:dyDescent="0.2">
      <c r="A2451" t="s">
        <v>3410</v>
      </c>
      <c r="B2451" t="s">
        <v>3411</v>
      </c>
      <c r="C2451" t="s">
        <v>3349</v>
      </c>
      <c r="D2451" t="s">
        <v>138</v>
      </c>
      <c r="E2451">
        <v>99.99</v>
      </c>
      <c r="F2451">
        <v>99.99</v>
      </c>
      <c r="H2451" t="s">
        <v>5065</v>
      </c>
      <c r="I2451">
        <v>1.3333333333333333</v>
      </c>
      <c r="J2451">
        <v>4</v>
      </c>
      <c r="K2451">
        <v>6</v>
      </c>
    </row>
    <row r="2452" spans="1:11" x14ac:dyDescent="0.2">
      <c r="A2452" t="s">
        <v>3942</v>
      </c>
      <c r="B2452" t="s">
        <v>3943</v>
      </c>
      <c r="C2452" t="s">
        <v>3929</v>
      </c>
      <c r="D2452" t="s">
        <v>105</v>
      </c>
      <c r="E2452">
        <v>149.99</v>
      </c>
      <c r="F2452">
        <v>0</v>
      </c>
      <c r="H2452" t="s">
        <v>5065</v>
      </c>
      <c r="I2452">
        <v>0</v>
      </c>
      <c r="J2452">
        <v>0</v>
      </c>
      <c r="K2452">
        <v>0</v>
      </c>
    </row>
    <row r="2453" spans="1:11" x14ac:dyDescent="0.2">
      <c r="A2453" t="s">
        <v>3408</v>
      </c>
      <c r="B2453" t="s">
        <v>3409</v>
      </c>
      <c r="C2453" t="s">
        <v>3349</v>
      </c>
      <c r="D2453" t="s">
        <v>138</v>
      </c>
      <c r="E2453">
        <v>59.99</v>
      </c>
      <c r="F2453">
        <v>0</v>
      </c>
      <c r="H2453" t="s">
        <v>5065</v>
      </c>
      <c r="I2453">
        <v>0</v>
      </c>
      <c r="J2453">
        <v>0</v>
      </c>
      <c r="K2453">
        <v>3</v>
      </c>
    </row>
    <row r="2454" spans="1:11" x14ac:dyDescent="0.2">
      <c r="A2454" t="s">
        <v>3406</v>
      </c>
      <c r="B2454" t="s">
        <v>3407</v>
      </c>
      <c r="C2454" t="s">
        <v>3349</v>
      </c>
      <c r="D2454" t="s">
        <v>138</v>
      </c>
      <c r="E2454">
        <v>34.99</v>
      </c>
      <c r="F2454">
        <v>0</v>
      </c>
      <c r="H2454" t="s">
        <v>5065</v>
      </c>
      <c r="I2454">
        <v>0</v>
      </c>
      <c r="J2454">
        <v>0</v>
      </c>
      <c r="K2454">
        <v>4</v>
      </c>
    </row>
    <row r="2455" spans="1:11" x14ac:dyDescent="0.2">
      <c r="A2455" t="s">
        <v>3946</v>
      </c>
      <c r="B2455" t="s">
        <v>3947</v>
      </c>
      <c r="C2455" t="s">
        <v>3929</v>
      </c>
      <c r="D2455" t="s">
        <v>105</v>
      </c>
      <c r="E2455">
        <v>269.99</v>
      </c>
      <c r="F2455">
        <v>0</v>
      </c>
      <c r="G2455">
        <v>23</v>
      </c>
      <c r="H2455" t="s">
        <v>5065</v>
      </c>
      <c r="I2455">
        <v>0.5</v>
      </c>
      <c r="J2455">
        <v>96</v>
      </c>
      <c r="K2455">
        <v>48</v>
      </c>
    </row>
    <row r="2456" spans="1:11" x14ac:dyDescent="0.2">
      <c r="A2456" t="s">
        <v>3404</v>
      </c>
      <c r="B2456" t="s">
        <v>3405</v>
      </c>
      <c r="C2456" t="s">
        <v>3349</v>
      </c>
      <c r="D2456" t="s">
        <v>105</v>
      </c>
      <c r="E2456">
        <v>199.99</v>
      </c>
      <c r="F2456">
        <v>0</v>
      </c>
      <c r="H2456" t="s">
        <v>5065</v>
      </c>
      <c r="I2456">
        <v>0</v>
      </c>
      <c r="J2456">
        <v>0</v>
      </c>
      <c r="K2456">
        <v>1</v>
      </c>
    </row>
    <row r="2457" spans="1:11" x14ac:dyDescent="0.2">
      <c r="A2457" t="s">
        <v>3950</v>
      </c>
      <c r="B2457" t="s">
        <v>3951</v>
      </c>
      <c r="C2457" t="s">
        <v>3929</v>
      </c>
      <c r="D2457" t="s">
        <v>105</v>
      </c>
      <c r="E2457">
        <v>119.99</v>
      </c>
      <c r="F2457">
        <v>0</v>
      </c>
      <c r="G2457">
        <v>24</v>
      </c>
      <c r="H2457" t="s">
        <v>5065</v>
      </c>
      <c r="I2457">
        <v>1.1666666666666667</v>
      </c>
      <c r="J2457">
        <v>27</v>
      </c>
      <c r="K2457">
        <v>32</v>
      </c>
    </row>
    <row r="2458" spans="1:11" x14ac:dyDescent="0.2">
      <c r="A2458" t="s">
        <v>5501</v>
      </c>
      <c r="B2458" t="s">
        <v>5502</v>
      </c>
      <c r="C2458" t="s">
        <v>5039</v>
      </c>
      <c r="D2458" t="s">
        <v>98</v>
      </c>
      <c r="E2458">
        <v>79.989999999999995</v>
      </c>
      <c r="F2458">
        <v>0</v>
      </c>
      <c r="H2458" t="s">
        <v>5065</v>
      </c>
      <c r="I2458">
        <v>0</v>
      </c>
      <c r="J2458">
        <v>0</v>
      </c>
      <c r="K2458">
        <v>0</v>
      </c>
    </row>
    <row r="2459" spans="1:11" x14ac:dyDescent="0.2">
      <c r="A2459" t="s">
        <v>5102</v>
      </c>
      <c r="B2459" t="s">
        <v>5103</v>
      </c>
      <c r="C2459" t="s">
        <v>3929</v>
      </c>
      <c r="D2459" t="s">
        <v>98</v>
      </c>
      <c r="E2459">
        <v>99.99</v>
      </c>
      <c r="F2459">
        <v>0</v>
      </c>
      <c r="H2459" t="s">
        <v>5065</v>
      </c>
      <c r="I2459">
        <v>0</v>
      </c>
      <c r="J2459">
        <v>0</v>
      </c>
      <c r="K2459">
        <v>0</v>
      </c>
    </row>
    <row r="2460" spans="1:11" x14ac:dyDescent="0.2">
      <c r="A2460" t="s">
        <v>3426</v>
      </c>
      <c r="B2460" t="s">
        <v>3427</v>
      </c>
      <c r="C2460" t="s">
        <v>3349</v>
      </c>
      <c r="D2460" t="s">
        <v>98</v>
      </c>
      <c r="E2460">
        <v>129.99</v>
      </c>
      <c r="F2460">
        <v>0</v>
      </c>
      <c r="H2460" t="s">
        <v>5065</v>
      </c>
      <c r="I2460">
        <v>0</v>
      </c>
      <c r="J2460">
        <v>0</v>
      </c>
      <c r="K2460">
        <v>0</v>
      </c>
    </row>
    <row r="2461" spans="1:11" x14ac:dyDescent="0.2">
      <c r="A2461" t="s">
        <v>5213</v>
      </c>
      <c r="B2461" t="s">
        <v>5214</v>
      </c>
      <c r="C2461" t="s">
        <v>3929</v>
      </c>
      <c r="D2461" t="s">
        <v>98</v>
      </c>
      <c r="E2461">
        <v>89.99</v>
      </c>
      <c r="F2461">
        <v>0</v>
      </c>
      <c r="H2461" t="s">
        <v>5065</v>
      </c>
      <c r="I2461">
        <v>0</v>
      </c>
      <c r="J2461">
        <v>0</v>
      </c>
      <c r="K2461">
        <v>0</v>
      </c>
    </row>
    <row r="2462" spans="1:11" x14ac:dyDescent="0.2">
      <c r="A2462" t="s">
        <v>3982</v>
      </c>
      <c r="B2462" t="s">
        <v>3983</v>
      </c>
      <c r="C2462" t="s">
        <v>3929</v>
      </c>
      <c r="D2462" t="s">
        <v>98</v>
      </c>
      <c r="E2462">
        <v>109.99</v>
      </c>
      <c r="F2462">
        <v>0</v>
      </c>
      <c r="H2462" t="s">
        <v>5065</v>
      </c>
      <c r="I2462">
        <v>0</v>
      </c>
      <c r="J2462">
        <v>0</v>
      </c>
      <c r="K2462">
        <v>2</v>
      </c>
    </row>
    <row r="2463" spans="1:11" x14ac:dyDescent="0.2">
      <c r="A2463" t="s">
        <v>3325</v>
      </c>
      <c r="B2463" t="s">
        <v>3326</v>
      </c>
      <c r="C2463" t="s">
        <v>3291</v>
      </c>
      <c r="D2463" t="s">
        <v>98</v>
      </c>
      <c r="E2463">
        <v>74.989999999999995</v>
      </c>
      <c r="F2463">
        <v>0</v>
      </c>
      <c r="H2463" t="s">
        <v>5065</v>
      </c>
      <c r="I2463">
        <v>0</v>
      </c>
      <c r="J2463">
        <v>0</v>
      </c>
      <c r="K2463">
        <v>0</v>
      </c>
    </row>
    <row r="2464" spans="1:11" x14ac:dyDescent="0.2">
      <c r="A2464" t="s">
        <v>336</v>
      </c>
      <c r="B2464" t="s">
        <v>337</v>
      </c>
      <c r="C2464" t="s">
        <v>307</v>
      </c>
      <c r="D2464" t="s">
        <v>98</v>
      </c>
      <c r="E2464">
        <v>2899.99</v>
      </c>
      <c r="F2464">
        <v>0</v>
      </c>
      <c r="H2464" t="s">
        <v>5065</v>
      </c>
      <c r="I2464">
        <v>0</v>
      </c>
      <c r="J2464">
        <v>0</v>
      </c>
      <c r="K2464">
        <v>0</v>
      </c>
    </row>
    <row r="2465" spans="1:11" x14ac:dyDescent="0.2">
      <c r="A2465" t="s">
        <v>5160</v>
      </c>
      <c r="B2465" t="s">
        <v>5161</v>
      </c>
      <c r="C2465" t="s">
        <v>3929</v>
      </c>
      <c r="D2465" t="s">
        <v>98</v>
      </c>
      <c r="E2465">
        <v>109.99</v>
      </c>
      <c r="F2465">
        <v>0</v>
      </c>
      <c r="H2465" t="s">
        <v>5065</v>
      </c>
      <c r="I2465">
        <v>0</v>
      </c>
      <c r="J2465">
        <v>0</v>
      </c>
      <c r="K2465">
        <v>0</v>
      </c>
    </row>
    <row r="2466" spans="1:11" x14ac:dyDescent="0.2">
      <c r="A2466" t="s">
        <v>3323</v>
      </c>
      <c r="B2466" t="s">
        <v>3324</v>
      </c>
      <c r="C2466" t="s">
        <v>3291</v>
      </c>
      <c r="D2466" t="s">
        <v>98</v>
      </c>
      <c r="E2466">
        <v>74.989999999999995</v>
      </c>
      <c r="F2466">
        <v>0</v>
      </c>
      <c r="H2466" t="s">
        <v>5065</v>
      </c>
      <c r="I2466">
        <v>0</v>
      </c>
      <c r="J2466">
        <v>0</v>
      </c>
      <c r="K2466">
        <v>0</v>
      </c>
    </row>
    <row r="2467" spans="1:11" x14ac:dyDescent="0.2">
      <c r="A2467" t="s">
        <v>5397</v>
      </c>
      <c r="B2467" t="s">
        <v>5398</v>
      </c>
      <c r="C2467" t="s">
        <v>5039</v>
      </c>
      <c r="D2467" t="s">
        <v>98</v>
      </c>
      <c r="E2467">
        <v>99.99</v>
      </c>
      <c r="F2467">
        <v>0</v>
      </c>
      <c r="H2467" t="s">
        <v>5065</v>
      </c>
      <c r="I2467">
        <v>0</v>
      </c>
      <c r="J2467">
        <v>0</v>
      </c>
      <c r="K2467">
        <v>0</v>
      </c>
    </row>
    <row r="2468" spans="1:11" x14ac:dyDescent="0.2">
      <c r="A2468" t="s">
        <v>3984</v>
      </c>
      <c r="B2468" t="s">
        <v>3985</v>
      </c>
      <c r="C2468" t="s">
        <v>3929</v>
      </c>
      <c r="D2468" t="s">
        <v>98</v>
      </c>
      <c r="E2468">
        <v>84.99</v>
      </c>
      <c r="F2468">
        <v>0</v>
      </c>
      <c r="H2468" t="s">
        <v>5065</v>
      </c>
      <c r="I2468">
        <v>0</v>
      </c>
      <c r="J2468">
        <v>0</v>
      </c>
      <c r="K2468">
        <v>0</v>
      </c>
    </row>
    <row r="2469" spans="1:11" x14ac:dyDescent="0.2">
      <c r="A2469" t="s">
        <v>3321</v>
      </c>
      <c r="B2469" t="s">
        <v>3322</v>
      </c>
      <c r="C2469" t="s">
        <v>3291</v>
      </c>
      <c r="D2469" t="s">
        <v>98</v>
      </c>
      <c r="E2469">
        <v>74.989999999999995</v>
      </c>
      <c r="F2469">
        <v>0</v>
      </c>
      <c r="H2469" t="s">
        <v>5065</v>
      </c>
      <c r="I2469">
        <v>0</v>
      </c>
      <c r="J2469">
        <v>0</v>
      </c>
      <c r="K2469">
        <v>0</v>
      </c>
    </row>
    <row r="2470" spans="1:11" x14ac:dyDescent="0.2">
      <c r="A2470" t="s">
        <v>354</v>
      </c>
      <c r="B2470" t="s">
        <v>355</v>
      </c>
      <c r="C2470" t="s">
        <v>307</v>
      </c>
      <c r="D2470" t="s">
        <v>98</v>
      </c>
      <c r="E2470">
        <v>1999.99</v>
      </c>
      <c r="F2470">
        <v>0</v>
      </c>
      <c r="H2470" t="s">
        <v>5065</v>
      </c>
      <c r="I2470">
        <v>0</v>
      </c>
      <c r="J2470">
        <v>0</v>
      </c>
      <c r="K2470">
        <v>0</v>
      </c>
    </row>
    <row r="2471" spans="1:11" x14ac:dyDescent="0.2">
      <c r="A2471" t="s">
        <v>3986</v>
      </c>
      <c r="B2471" t="s">
        <v>3987</v>
      </c>
      <c r="C2471" t="s">
        <v>3929</v>
      </c>
      <c r="D2471" t="s">
        <v>98</v>
      </c>
      <c r="E2471">
        <v>84.99</v>
      </c>
      <c r="F2471">
        <v>0</v>
      </c>
      <c r="H2471" t="s">
        <v>5065</v>
      </c>
      <c r="I2471">
        <v>0</v>
      </c>
      <c r="J2471">
        <v>0</v>
      </c>
      <c r="K2471">
        <v>0</v>
      </c>
    </row>
    <row r="2472" spans="1:11" x14ac:dyDescent="0.2">
      <c r="A2472" t="s">
        <v>5417</v>
      </c>
      <c r="B2472" t="s">
        <v>5418</v>
      </c>
      <c r="C2472" t="s">
        <v>5039</v>
      </c>
      <c r="D2472" t="s">
        <v>98</v>
      </c>
      <c r="E2472">
        <v>149.99</v>
      </c>
      <c r="F2472">
        <v>0</v>
      </c>
      <c r="H2472" t="s">
        <v>5065</v>
      </c>
      <c r="I2472">
        <v>0</v>
      </c>
      <c r="J2472">
        <v>0</v>
      </c>
      <c r="K2472">
        <v>0</v>
      </c>
    </row>
    <row r="2473" spans="1:11" x14ac:dyDescent="0.2">
      <c r="A2473" t="s">
        <v>3319</v>
      </c>
      <c r="B2473" t="s">
        <v>3320</v>
      </c>
      <c r="C2473" t="s">
        <v>3291</v>
      </c>
      <c r="D2473" t="s">
        <v>98</v>
      </c>
      <c r="E2473">
        <v>59.99</v>
      </c>
      <c r="F2473">
        <v>0</v>
      </c>
      <c r="H2473" t="s">
        <v>5065</v>
      </c>
      <c r="I2473">
        <v>0</v>
      </c>
      <c r="J2473">
        <v>0</v>
      </c>
      <c r="K2473">
        <v>0</v>
      </c>
    </row>
    <row r="2474" spans="1:11" x14ac:dyDescent="0.2">
      <c r="A2474" t="s">
        <v>3988</v>
      </c>
      <c r="B2474" t="s">
        <v>3989</v>
      </c>
      <c r="C2474" t="s">
        <v>3929</v>
      </c>
      <c r="D2474" t="s">
        <v>105</v>
      </c>
      <c r="E2474">
        <v>59.99</v>
      </c>
      <c r="F2474">
        <v>0</v>
      </c>
      <c r="G2474">
        <v>2</v>
      </c>
      <c r="H2474" t="s">
        <v>5065</v>
      </c>
      <c r="I2474">
        <v>0</v>
      </c>
      <c r="J2474">
        <v>0</v>
      </c>
      <c r="K2474">
        <v>0</v>
      </c>
    </row>
    <row r="2475" spans="1:11" x14ac:dyDescent="0.2">
      <c r="A2475" t="s">
        <v>5044</v>
      </c>
      <c r="B2475" t="s">
        <v>5045</v>
      </c>
      <c r="C2475" t="s">
        <v>5039</v>
      </c>
      <c r="D2475" t="s">
        <v>98</v>
      </c>
      <c r="E2475">
        <v>149.99</v>
      </c>
      <c r="F2475">
        <v>0</v>
      </c>
      <c r="H2475" t="s">
        <v>5065</v>
      </c>
      <c r="I2475">
        <v>0</v>
      </c>
      <c r="J2475">
        <v>0</v>
      </c>
      <c r="K2475">
        <v>0</v>
      </c>
    </row>
    <row r="2476" spans="1:11" x14ac:dyDescent="0.2">
      <c r="A2476" t="s">
        <v>126</v>
      </c>
      <c r="B2476" t="s">
        <v>127</v>
      </c>
      <c r="C2476" t="s">
        <v>95</v>
      </c>
      <c r="D2476" t="s">
        <v>98</v>
      </c>
      <c r="E2476">
        <v>59.99</v>
      </c>
      <c r="F2476">
        <v>0</v>
      </c>
      <c r="H2476" t="s">
        <v>5065</v>
      </c>
      <c r="I2476">
        <v>0</v>
      </c>
      <c r="J2476">
        <v>0</v>
      </c>
      <c r="K2476">
        <v>0</v>
      </c>
    </row>
    <row r="2477" spans="1:11" x14ac:dyDescent="0.2">
      <c r="A2477" t="s">
        <v>3315</v>
      </c>
      <c r="B2477" t="s">
        <v>3316</v>
      </c>
      <c r="C2477" t="s">
        <v>3291</v>
      </c>
      <c r="D2477" t="s">
        <v>98</v>
      </c>
      <c r="E2477">
        <v>59.99</v>
      </c>
      <c r="F2477">
        <v>0</v>
      </c>
      <c r="H2477" t="s">
        <v>5065</v>
      </c>
      <c r="I2477">
        <v>0</v>
      </c>
      <c r="J2477">
        <v>0</v>
      </c>
      <c r="K2477">
        <v>0</v>
      </c>
    </row>
    <row r="2478" spans="1:11" x14ac:dyDescent="0.2">
      <c r="A2478" t="s">
        <v>5138</v>
      </c>
      <c r="B2478" t="s">
        <v>5139</v>
      </c>
      <c r="C2478" t="s">
        <v>3929</v>
      </c>
      <c r="D2478" t="s">
        <v>98</v>
      </c>
      <c r="E2478">
        <v>129.99</v>
      </c>
      <c r="F2478">
        <v>0</v>
      </c>
      <c r="H2478" t="s">
        <v>5065</v>
      </c>
      <c r="I2478">
        <v>0</v>
      </c>
      <c r="J2478">
        <v>0</v>
      </c>
      <c r="K2478">
        <v>0</v>
      </c>
    </row>
    <row r="2479" spans="1:11" x14ac:dyDescent="0.2">
      <c r="A2479" t="s">
        <v>3990</v>
      </c>
      <c r="B2479" t="s">
        <v>3991</v>
      </c>
      <c r="C2479" t="s">
        <v>3929</v>
      </c>
      <c r="D2479" t="s">
        <v>105</v>
      </c>
      <c r="E2479">
        <v>129.99</v>
      </c>
      <c r="F2479">
        <v>0</v>
      </c>
      <c r="G2479">
        <v>51</v>
      </c>
      <c r="H2479" t="s">
        <v>5065</v>
      </c>
      <c r="I2479">
        <v>0</v>
      </c>
      <c r="J2479">
        <v>0</v>
      </c>
      <c r="K2479">
        <v>0</v>
      </c>
    </row>
    <row r="2480" spans="1:11" x14ac:dyDescent="0.2">
      <c r="A2480" t="s">
        <v>3296</v>
      </c>
      <c r="B2480" t="s">
        <v>3297</v>
      </c>
      <c r="C2480" t="s">
        <v>3291</v>
      </c>
      <c r="D2480" t="s">
        <v>98</v>
      </c>
      <c r="E2480">
        <v>59.99</v>
      </c>
      <c r="F2480">
        <v>0</v>
      </c>
      <c r="H2480" t="s">
        <v>5065</v>
      </c>
      <c r="I2480">
        <v>0</v>
      </c>
      <c r="J2480">
        <v>0</v>
      </c>
      <c r="K2480">
        <v>0</v>
      </c>
    </row>
    <row r="2481" spans="1:11" x14ac:dyDescent="0.2">
      <c r="A2481" t="s">
        <v>3294</v>
      </c>
      <c r="B2481" t="s">
        <v>3295</v>
      </c>
      <c r="C2481" t="s">
        <v>3291</v>
      </c>
      <c r="D2481" t="s">
        <v>98</v>
      </c>
      <c r="E2481">
        <v>59.99</v>
      </c>
      <c r="F2481">
        <v>0</v>
      </c>
      <c r="H2481" t="s">
        <v>5065</v>
      </c>
      <c r="I2481">
        <v>0</v>
      </c>
      <c r="J2481">
        <v>0</v>
      </c>
      <c r="K2481">
        <v>0</v>
      </c>
    </row>
    <row r="2482" spans="1:11" x14ac:dyDescent="0.2">
      <c r="A2482" t="s">
        <v>5042</v>
      </c>
      <c r="B2482" t="s">
        <v>5043</v>
      </c>
      <c r="C2482" t="s">
        <v>5039</v>
      </c>
      <c r="D2482" t="s">
        <v>98</v>
      </c>
      <c r="E2482">
        <v>149.99</v>
      </c>
      <c r="F2482">
        <v>0</v>
      </c>
      <c r="H2482" t="s">
        <v>5065</v>
      </c>
      <c r="I2482">
        <v>0</v>
      </c>
      <c r="J2482">
        <v>0</v>
      </c>
      <c r="K2482">
        <v>0</v>
      </c>
    </row>
    <row r="2483" spans="1:11" x14ac:dyDescent="0.2">
      <c r="A2483" t="s">
        <v>3292</v>
      </c>
      <c r="B2483" t="s">
        <v>3293</v>
      </c>
      <c r="C2483" t="s">
        <v>3291</v>
      </c>
      <c r="D2483" t="s">
        <v>98</v>
      </c>
      <c r="E2483">
        <v>59.99</v>
      </c>
      <c r="F2483">
        <v>0</v>
      </c>
      <c r="H2483" t="s">
        <v>5065</v>
      </c>
      <c r="I2483">
        <v>0</v>
      </c>
      <c r="J2483">
        <v>0</v>
      </c>
      <c r="K2483">
        <v>0</v>
      </c>
    </row>
    <row r="2484" spans="1:11" x14ac:dyDescent="0.2">
      <c r="A2484" t="s">
        <v>3317</v>
      </c>
      <c r="B2484" t="s">
        <v>3318</v>
      </c>
      <c r="C2484" t="s">
        <v>3291</v>
      </c>
      <c r="D2484" t="s">
        <v>98</v>
      </c>
      <c r="E2484">
        <v>59.99</v>
      </c>
      <c r="F2484">
        <v>0</v>
      </c>
      <c r="H2484" t="s">
        <v>5065</v>
      </c>
      <c r="I2484">
        <v>0</v>
      </c>
      <c r="J2484">
        <v>0</v>
      </c>
      <c r="K2484">
        <v>0</v>
      </c>
    </row>
    <row r="2485" spans="1:11" x14ac:dyDescent="0.2">
      <c r="A2485" t="s">
        <v>3327</v>
      </c>
      <c r="B2485" t="s">
        <v>3328</v>
      </c>
      <c r="C2485" t="s">
        <v>3291</v>
      </c>
      <c r="D2485" t="s">
        <v>98</v>
      </c>
      <c r="E2485">
        <v>74.989999999999995</v>
      </c>
      <c r="F2485">
        <v>0</v>
      </c>
      <c r="H2485" t="s">
        <v>5065</v>
      </c>
      <c r="I2485">
        <v>0</v>
      </c>
      <c r="J2485">
        <v>0</v>
      </c>
      <c r="K2485">
        <v>0</v>
      </c>
    </row>
    <row r="2486" spans="1:11" x14ac:dyDescent="0.2">
      <c r="A2486" t="s">
        <v>3329</v>
      </c>
      <c r="B2486" t="s">
        <v>3330</v>
      </c>
      <c r="C2486" t="s">
        <v>3291</v>
      </c>
      <c r="D2486" t="s">
        <v>98</v>
      </c>
      <c r="E2486">
        <v>74.989999999999995</v>
      </c>
      <c r="F2486">
        <v>0</v>
      </c>
      <c r="H2486" t="s">
        <v>5065</v>
      </c>
      <c r="I2486">
        <v>0</v>
      </c>
      <c r="J2486">
        <v>0</v>
      </c>
      <c r="K2486">
        <v>0</v>
      </c>
    </row>
    <row r="2487" spans="1:11" x14ac:dyDescent="0.2">
      <c r="A2487" t="s">
        <v>3347</v>
      </c>
      <c r="B2487" t="s">
        <v>3348</v>
      </c>
      <c r="C2487" t="s">
        <v>3291</v>
      </c>
      <c r="D2487" t="s">
        <v>98</v>
      </c>
      <c r="E2487">
        <v>59.99</v>
      </c>
      <c r="F2487">
        <v>0</v>
      </c>
      <c r="H2487" t="s">
        <v>5065</v>
      </c>
      <c r="I2487">
        <v>0</v>
      </c>
      <c r="J2487">
        <v>0</v>
      </c>
      <c r="K2487">
        <v>0</v>
      </c>
    </row>
    <row r="2488" spans="1:11" x14ac:dyDescent="0.2">
      <c r="A2488" t="s">
        <v>372</v>
      </c>
      <c r="B2488" t="s">
        <v>373</v>
      </c>
      <c r="C2488" t="s">
        <v>307</v>
      </c>
      <c r="D2488" t="s">
        <v>98</v>
      </c>
      <c r="E2488">
        <v>699.99</v>
      </c>
      <c r="F2488">
        <v>0</v>
      </c>
      <c r="H2488" t="s">
        <v>5065</v>
      </c>
      <c r="I2488">
        <v>0</v>
      </c>
      <c r="J2488">
        <v>0</v>
      </c>
      <c r="K2488">
        <v>0</v>
      </c>
    </row>
    <row r="2489" spans="1:11" x14ac:dyDescent="0.2">
      <c r="A2489" t="s">
        <v>3964</v>
      </c>
      <c r="B2489" t="s">
        <v>3965</v>
      </c>
      <c r="C2489" t="s">
        <v>3929</v>
      </c>
      <c r="D2489" t="s">
        <v>138</v>
      </c>
      <c r="E2489">
        <v>64.989999999999995</v>
      </c>
      <c r="F2489">
        <v>0</v>
      </c>
      <c r="H2489" t="s">
        <v>5065</v>
      </c>
      <c r="I2489">
        <v>0</v>
      </c>
      <c r="J2489">
        <v>0</v>
      </c>
      <c r="K2489">
        <v>0</v>
      </c>
    </row>
    <row r="2490" spans="1:11" x14ac:dyDescent="0.2">
      <c r="A2490" t="s">
        <v>3345</v>
      </c>
      <c r="B2490" t="s">
        <v>3346</v>
      </c>
      <c r="C2490" t="s">
        <v>3291</v>
      </c>
      <c r="D2490" t="s">
        <v>98</v>
      </c>
      <c r="E2490">
        <v>59.99</v>
      </c>
      <c r="F2490">
        <v>0</v>
      </c>
      <c r="H2490" t="s">
        <v>5065</v>
      </c>
      <c r="I2490">
        <v>0</v>
      </c>
      <c r="J2490">
        <v>0</v>
      </c>
      <c r="K2490">
        <v>0</v>
      </c>
    </row>
    <row r="2491" spans="1:11" x14ac:dyDescent="0.2">
      <c r="A2491" t="s">
        <v>3343</v>
      </c>
      <c r="B2491" t="s">
        <v>3344</v>
      </c>
      <c r="C2491" t="s">
        <v>3291</v>
      </c>
      <c r="D2491" t="s">
        <v>98</v>
      </c>
      <c r="E2491">
        <v>69.989999999999995</v>
      </c>
      <c r="F2491">
        <v>0</v>
      </c>
      <c r="H2491" t="s">
        <v>5065</v>
      </c>
      <c r="I2491">
        <v>0</v>
      </c>
      <c r="J2491">
        <v>0</v>
      </c>
      <c r="K2491">
        <v>0</v>
      </c>
    </row>
    <row r="2492" spans="1:11" x14ac:dyDescent="0.2">
      <c r="A2492" t="s">
        <v>5401</v>
      </c>
      <c r="B2492" t="s">
        <v>5402</v>
      </c>
      <c r="C2492" t="s">
        <v>5039</v>
      </c>
      <c r="D2492" t="s">
        <v>98</v>
      </c>
      <c r="E2492">
        <v>99.99</v>
      </c>
      <c r="F2492">
        <v>0</v>
      </c>
      <c r="H2492" t="s">
        <v>5065</v>
      </c>
      <c r="I2492">
        <v>0</v>
      </c>
      <c r="J2492">
        <v>0</v>
      </c>
      <c r="K2492">
        <v>0</v>
      </c>
    </row>
    <row r="2493" spans="1:11" x14ac:dyDescent="0.2">
      <c r="A2493" t="s">
        <v>120</v>
      </c>
      <c r="B2493" t="s">
        <v>121</v>
      </c>
      <c r="C2493" t="s">
        <v>95</v>
      </c>
      <c r="D2493" t="s">
        <v>98</v>
      </c>
      <c r="E2493">
        <v>25.99</v>
      </c>
      <c r="F2493">
        <v>0</v>
      </c>
      <c r="H2493" t="s">
        <v>5065</v>
      </c>
      <c r="I2493">
        <v>0</v>
      </c>
      <c r="J2493">
        <v>0</v>
      </c>
      <c r="K2493">
        <v>0</v>
      </c>
    </row>
    <row r="2494" spans="1:11" x14ac:dyDescent="0.2">
      <c r="A2494" t="s">
        <v>3341</v>
      </c>
      <c r="B2494" t="s">
        <v>3342</v>
      </c>
      <c r="C2494" t="s">
        <v>3291</v>
      </c>
      <c r="D2494" t="s">
        <v>98</v>
      </c>
      <c r="E2494">
        <v>59.99</v>
      </c>
      <c r="F2494">
        <v>0</v>
      </c>
      <c r="H2494" t="s">
        <v>5065</v>
      </c>
      <c r="I2494">
        <v>0</v>
      </c>
      <c r="J2494">
        <v>0</v>
      </c>
      <c r="K2494">
        <v>0</v>
      </c>
    </row>
    <row r="2495" spans="1:11" x14ac:dyDescent="0.2">
      <c r="A2495" t="s">
        <v>3970</v>
      </c>
      <c r="B2495" t="s">
        <v>3971</v>
      </c>
      <c r="C2495" t="s">
        <v>3929</v>
      </c>
      <c r="D2495" t="s">
        <v>98</v>
      </c>
      <c r="E2495">
        <v>139.99</v>
      </c>
      <c r="F2495">
        <v>0</v>
      </c>
      <c r="H2495" t="s">
        <v>5065</v>
      </c>
      <c r="I2495">
        <v>0</v>
      </c>
      <c r="J2495">
        <v>0</v>
      </c>
      <c r="K2495">
        <v>0</v>
      </c>
    </row>
    <row r="2496" spans="1:11" x14ac:dyDescent="0.2">
      <c r="A2496" t="s">
        <v>3339</v>
      </c>
      <c r="B2496" t="s">
        <v>3340</v>
      </c>
      <c r="C2496" t="s">
        <v>3291</v>
      </c>
      <c r="D2496" t="s">
        <v>98</v>
      </c>
      <c r="E2496">
        <v>69.989999999999995</v>
      </c>
      <c r="F2496">
        <v>0</v>
      </c>
      <c r="H2496" t="s">
        <v>5065</v>
      </c>
      <c r="I2496">
        <v>0</v>
      </c>
      <c r="J2496">
        <v>0</v>
      </c>
      <c r="K2496">
        <v>0</v>
      </c>
    </row>
    <row r="2497" spans="1:11" x14ac:dyDescent="0.2">
      <c r="A2497" t="s">
        <v>5405</v>
      </c>
      <c r="B2497" t="s">
        <v>5406</v>
      </c>
      <c r="C2497" t="s">
        <v>5039</v>
      </c>
      <c r="D2497" t="s">
        <v>98</v>
      </c>
      <c r="E2497">
        <v>149.99</v>
      </c>
      <c r="F2497">
        <v>0</v>
      </c>
      <c r="H2497" t="s">
        <v>5065</v>
      </c>
      <c r="I2497">
        <v>0</v>
      </c>
      <c r="J2497">
        <v>0</v>
      </c>
      <c r="K2497">
        <v>0</v>
      </c>
    </row>
    <row r="2498" spans="1:11" x14ac:dyDescent="0.2">
      <c r="A2498" t="s">
        <v>3972</v>
      </c>
      <c r="B2498" t="s">
        <v>3973</v>
      </c>
      <c r="C2498" t="s">
        <v>3929</v>
      </c>
      <c r="D2498" t="s">
        <v>98</v>
      </c>
      <c r="E2498">
        <v>129.99</v>
      </c>
      <c r="F2498">
        <v>0</v>
      </c>
      <c r="H2498" t="s">
        <v>5065</v>
      </c>
      <c r="I2498">
        <v>0</v>
      </c>
      <c r="J2498">
        <v>0</v>
      </c>
      <c r="K2498">
        <v>0</v>
      </c>
    </row>
    <row r="2499" spans="1:11" x14ac:dyDescent="0.2">
      <c r="A2499" t="s">
        <v>3337</v>
      </c>
      <c r="B2499" t="s">
        <v>3338</v>
      </c>
      <c r="C2499" t="s">
        <v>3291</v>
      </c>
      <c r="D2499" t="s">
        <v>98</v>
      </c>
      <c r="E2499">
        <v>69.989999999999995</v>
      </c>
      <c r="F2499">
        <v>0</v>
      </c>
      <c r="H2499" t="s">
        <v>5065</v>
      </c>
      <c r="I2499">
        <v>0</v>
      </c>
      <c r="J2499">
        <v>0</v>
      </c>
      <c r="K2499">
        <v>0</v>
      </c>
    </row>
    <row r="2500" spans="1:11" x14ac:dyDescent="0.2">
      <c r="A2500" t="s">
        <v>368</v>
      </c>
      <c r="B2500" t="s">
        <v>369</v>
      </c>
      <c r="C2500" t="s">
        <v>307</v>
      </c>
      <c r="D2500" t="s">
        <v>98</v>
      </c>
      <c r="E2500">
        <v>1199.99</v>
      </c>
      <c r="F2500">
        <v>0</v>
      </c>
      <c r="H2500" t="s">
        <v>5065</v>
      </c>
      <c r="I2500">
        <v>0</v>
      </c>
      <c r="J2500">
        <v>0</v>
      </c>
      <c r="K2500">
        <v>0</v>
      </c>
    </row>
    <row r="2501" spans="1:11" x14ac:dyDescent="0.2">
      <c r="A2501" t="s">
        <v>5249</v>
      </c>
      <c r="B2501" t="s">
        <v>5250</v>
      </c>
      <c r="C2501" t="s">
        <v>3929</v>
      </c>
      <c r="D2501" t="s">
        <v>98</v>
      </c>
      <c r="E2501">
        <v>184.99</v>
      </c>
      <c r="F2501">
        <v>0</v>
      </c>
      <c r="H2501" t="s">
        <v>5065</v>
      </c>
      <c r="I2501">
        <v>0</v>
      </c>
      <c r="J2501">
        <v>0</v>
      </c>
      <c r="K2501">
        <v>0</v>
      </c>
    </row>
    <row r="2502" spans="1:11" x14ac:dyDescent="0.2">
      <c r="A2502" t="s">
        <v>3335</v>
      </c>
      <c r="B2502" t="s">
        <v>3336</v>
      </c>
      <c r="C2502" t="s">
        <v>3291</v>
      </c>
      <c r="D2502" t="s">
        <v>98</v>
      </c>
      <c r="E2502">
        <v>69.989999999999995</v>
      </c>
      <c r="F2502">
        <v>0</v>
      </c>
      <c r="H2502" t="s">
        <v>5065</v>
      </c>
      <c r="I2502">
        <v>0</v>
      </c>
      <c r="J2502">
        <v>0</v>
      </c>
      <c r="K2502">
        <v>0</v>
      </c>
    </row>
    <row r="2503" spans="1:11" x14ac:dyDescent="0.2">
      <c r="A2503" t="s">
        <v>3974</v>
      </c>
      <c r="B2503" t="s">
        <v>3975</v>
      </c>
      <c r="C2503" t="s">
        <v>3929</v>
      </c>
      <c r="D2503" t="s">
        <v>105</v>
      </c>
      <c r="E2503">
        <v>199.99</v>
      </c>
      <c r="F2503">
        <v>0</v>
      </c>
      <c r="G2503">
        <v>8</v>
      </c>
      <c r="H2503" t="s">
        <v>5065</v>
      </c>
      <c r="I2503">
        <v>0</v>
      </c>
      <c r="J2503">
        <v>0</v>
      </c>
      <c r="K2503">
        <v>0</v>
      </c>
    </row>
    <row r="2504" spans="1:11" x14ac:dyDescent="0.2">
      <c r="A2504" t="s">
        <v>3333</v>
      </c>
      <c r="B2504" t="s">
        <v>3334</v>
      </c>
      <c r="C2504" t="s">
        <v>3291</v>
      </c>
      <c r="D2504" t="s">
        <v>98</v>
      </c>
      <c r="E2504">
        <v>74.989999999999995</v>
      </c>
      <c r="F2504">
        <v>0</v>
      </c>
      <c r="H2504" t="s">
        <v>5065</v>
      </c>
      <c r="I2504">
        <v>0</v>
      </c>
      <c r="J2504">
        <v>0</v>
      </c>
      <c r="K2504">
        <v>0</v>
      </c>
    </row>
    <row r="2505" spans="1:11" x14ac:dyDescent="0.2">
      <c r="A2505" t="s">
        <v>5411</v>
      </c>
      <c r="B2505" t="s">
        <v>5412</v>
      </c>
      <c r="C2505" t="s">
        <v>5039</v>
      </c>
      <c r="D2505" t="s">
        <v>98</v>
      </c>
      <c r="E2505">
        <v>99.99</v>
      </c>
      <c r="F2505">
        <v>0</v>
      </c>
      <c r="H2505" t="s">
        <v>5065</v>
      </c>
      <c r="I2505">
        <v>0</v>
      </c>
      <c r="J2505">
        <v>0</v>
      </c>
      <c r="K2505">
        <v>0</v>
      </c>
    </row>
    <row r="2506" spans="1:11" x14ac:dyDescent="0.2">
      <c r="A2506" t="s">
        <v>3331</v>
      </c>
      <c r="B2506" t="s">
        <v>3332</v>
      </c>
      <c r="C2506" t="s">
        <v>3291</v>
      </c>
      <c r="D2506" t="s">
        <v>98</v>
      </c>
      <c r="E2506">
        <v>74.989999999999995</v>
      </c>
      <c r="F2506">
        <v>0</v>
      </c>
      <c r="H2506" t="s">
        <v>5065</v>
      </c>
      <c r="I2506">
        <v>0</v>
      </c>
      <c r="J2506">
        <v>0</v>
      </c>
      <c r="K2506">
        <v>0</v>
      </c>
    </row>
    <row r="2507" spans="1:11" x14ac:dyDescent="0.2">
      <c r="A2507" t="s">
        <v>374</v>
      </c>
      <c r="B2507" t="s">
        <v>375</v>
      </c>
      <c r="C2507" t="s">
        <v>307</v>
      </c>
      <c r="D2507" t="s">
        <v>98</v>
      </c>
      <c r="E2507">
        <v>1899.99</v>
      </c>
      <c r="F2507">
        <v>0</v>
      </c>
      <c r="H2507" t="s">
        <v>5065</v>
      </c>
      <c r="I2507">
        <v>0</v>
      </c>
      <c r="J2507">
        <v>0</v>
      </c>
      <c r="K2507">
        <v>0</v>
      </c>
    </row>
    <row r="2508" spans="1:11" x14ac:dyDescent="0.2">
      <c r="A2508" t="s">
        <v>3978</v>
      </c>
      <c r="B2508" t="s">
        <v>3979</v>
      </c>
      <c r="C2508" t="s">
        <v>3929</v>
      </c>
      <c r="D2508" t="s">
        <v>105</v>
      </c>
      <c r="E2508">
        <v>24.99</v>
      </c>
      <c r="F2508">
        <v>0</v>
      </c>
      <c r="G2508">
        <v>41</v>
      </c>
      <c r="H2508" t="s">
        <v>5065</v>
      </c>
      <c r="I2508">
        <v>0</v>
      </c>
      <c r="J2508">
        <v>0</v>
      </c>
      <c r="K2508">
        <v>0</v>
      </c>
    </row>
    <row r="2509" spans="1:11" x14ac:dyDescent="0.2">
      <c r="A2509" t="s">
        <v>5435</v>
      </c>
      <c r="B2509" t="s">
        <v>5436</v>
      </c>
      <c r="C2509" t="s">
        <v>5039</v>
      </c>
      <c r="D2509" t="s">
        <v>98</v>
      </c>
      <c r="E2509">
        <v>149.99</v>
      </c>
      <c r="F2509">
        <v>0</v>
      </c>
      <c r="H2509" t="s">
        <v>5065</v>
      </c>
      <c r="I2509">
        <v>0</v>
      </c>
      <c r="J2509">
        <v>0</v>
      </c>
      <c r="K2509">
        <v>0</v>
      </c>
    </row>
    <row r="2510" spans="1:11" x14ac:dyDescent="0.2">
      <c r="A2510" t="s">
        <v>3927</v>
      </c>
      <c r="B2510" t="s">
        <v>3928</v>
      </c>
      <c r="C2510" t="s">
        <v>3926</v>
      </c>
      <c r="D2510" t="s">
        <v>98</v>
      </c>
      <c r="E2510">
        <v>99.99</v>
      </c>
      <c r="F2510">
        <v>0</v>
      </c>
      <c r="H2510" t="s">
        <v>5065</v>
      </c>
      <c r="I2510">
        <v>0</v>
      </c>
      <c r="J2510">
        <v>0</v>
      </c>
      <c r="K2510">
        <v>0</v>
      </c>
    </row>
    <row r="2511" spans="1:11" x14ac:dyDescent="0.2">
      <c r="A2511" t="s">
        <v>5704</v>
      </c>
      <c r="B2511" t="s">
        <v>5705</v>
      </c>
      <c r="C2511" t="s">
        <v>3926</v>
      </c>
      <c r="D2511" t="s">
        <v>98</v>
      </c>
      <c r="E2511">
        <v>99.99</v>
      </c>
      <c r="F2511">
        <v>0</v>
      </c>
      <c r="H2511" t="s">
        <v>5065</v>
      </c>
      <c r="I2511">
        <v>0</v>
      </c>
      <c r="J2511">
        <v>0</v>
      </c>
      <c r="K2511">
        <v>0</v>
      </c>
    </row>
    <row r="2512" spans="1:11" x14ac:dyDescent="0.2">
      <c r="A2512" t="s">
        <v>5706</v>
      </c>
      <c r="B2512" t="s">
        <v>5707</v>
      </c>
      <c r="C2512" t="s">
        <v>3926</v>
      </c>
      <c r="D2512" t="s">
        <v>98</v>
      </c>
      <c r="E2512">
        <v>99.99</v>
      </c>
      <c r="F2512">
        <v>0</v>
      </c>
      <c r="H2512" t="s">
        <v>5065</v>
      </c>
      <c r="I2512">
        <v>0</v>
      </c>
      <c r="J2512">
        <v>0</v>
      </c>
      <c r="K2512">
        <v>0</v>
      </c>
    </row>
    <row r="2513" spans="1:11" x14ac:dyDescent="0.2">
      <c r="A2513" t="s">
        <v>3583</v>
      </c>
      <c r="B2513" t="s">
        <v>3584</v>
      </c>
      <c r="C2513" t="s">
        <v>3582</v>
      </c>
      <c r="D2513" t="s">
        <v>98</v>
      </c>
      <c r="E2513">
        <v>199.99</v>
      </c>
      <c r="F2513">
        <v>0</v>
      </c>
      <c r="H2513" t="s">
        <v>5065</v>
      </c>
      <c r="I2513">
        <v>0</v>
      </c>
      <c r="J2513">
        <v>0</v>
      </c>
      <c r="K2513">
        <v>0</v>
      </c>
    </row>
    <row r="2514" spans="1:11" x14ac:dyDescent="0.2">
      <c r="A2514" t="s">
        <v>5054</v>
      </c>
      <c r="B2514" t="s">
        <v>5055</v>
      </c>
      <c r="C2514" t="s">
        <v>5039</v>
      </c>
      <c r="D2514" t="s">
        <v>98</v>
      </c>
      <c r="E2514">
        <v>99.99</v>
      </c>
      <c r="F2514">
        <v>0</v>
      </c>
      <c r="H2514" t="s">
        <v>5065</v>
      </c>
      <c r="I2514">
        <v>0</v>
      </c>
      <c r="J2514">
        <v>0</v>
      </c>
      <c r="K2514">
        <v>0</v>
      </c>
    </row>
    <row r="2515" spans="1:11" x14ac:dyDescent="0.2">
      <c r="A2515" t="s">
        <v>3585</v>
      </c>
      <c r="B2515" t="s">
        <v>3586</v>
      </c>
      <c r="C2515" t="s">
        <v>3582</v>
      </c>
      <c r="D2515" t="s">
        <v>98</v>
      </c>
      <c r="E2515">
        <v>149.99</v>
      </c>
      <c r="F2515">
        <v>0</v>
      </c>
      <c r="H2515" t="s">
        <v>5065</v>
      </c>
      <c r="I2515">
        <v>0</v>
      </c>
      <c r="J2515">
        <v>0</v>
      </c>
      <c r="K2515">
        <v>1</v>
      </c>
    </row>
    <row r="2516" spans="1:11" x14ac:dyDescent="0.2">
      <c r="A2516" t="s">
        <v>112</v>
      </c>
      <c r="B2516" t="s">
        <v>113</v>
      </c>
      <c r="C2516" t="s">
        <v>95</v>
      </c>
      <c r="D2516" t="s">
        <v>98</v>
      </c>
      <c r="E2516">
        <v>99.99</v>
      </c>
      <c r="F2516">
        <v>0</v>
      </c>
      <c r="H2516" t="s">
        <v>5065</v>
      </c>
      <c r="I2516">
        <v>0</v>
      </c>
      <c r="J2516">
        <v>0</v>
      </c>
      <c r="K2516">
        <v>0</v>
      </c>
    </row>
    <row r="2517" spans="1:11" x14ac:dyDescent="0.2">
      <c r="A2517" t="s">
        <v>3503</v>
      </c>
      <c r="B2517" t="s">
        <v>3504</v>
      </c>
      <c r="C2517" t="s">
        <v>3494</v>
      </c>
      <c r="D2517" t="s">
        <v>98</v>
      </c>
      <c r="E2517">
        <v>189.99</v>
      </c>
      <c r="F2517">
        <v>0</v>
      </c>
      <c r="H2517" t="s">
        <v>5065</v>
      </c>
      <c r="I2517">
        <v>0</v>
      </c>
      <c r="J2517">
        <v>0</v>
      </c>
      <c r="K2517">
        <v>0</v>
      </c>
    </row>
    <row r="2518" spans="1:11" x14ac:dyDescent="0.2">
      <c r="A2518" t="s">
        <v>5497</v>
      </c>
      <c r="B2518" t="s">
        <v>5498</v>
      </c>
      <c r="C2518" t="s">
        <v>3582</v>
      </c>
      <c r="D2518" t="s">
        <v>98</v>
      </c>
      <c r="E2518">
        <v>99.99</v>
      </c>
      <c r="F2518">
        <v>0</v>
      </c>
      <c r="H2518" t="s">
        <v>5065</v>
      </c>
      <c r="I2518">
        <v>0</v>
      </c>
      <c r="J2518">
        <v>0</v>
      </c>
      <c r="K2518">
        <v>0</v>
      </c>
    </row>
    <row r="2519" spans="1:11" x14ac:dyDescent="0.2">
      <c r="A2519" t="s">
        <v>3501</v>
      </c>
      <c r="B2519" t="s">
        <v>3502</v>
      </c>
      <c r="C2519" t="s">
        <v>3494</v>
      </c>
      <c r="D2519" t="s">
        <v>138</v>
      </c>
      <c r="E2519">
        <v>129.99</v>
      </c>
      <c r="F2519">
        <v>0</v>
      </c>
      <c r="H2519" t="s">
        <v>5065</v>
      </c>
      <c r="I2519">
        <v>0</v>
      </c>
      <c r="J2519">
        <v>0</v>
      </c>
      <c r="K2519">
        <v>0</v>
      </c>
    </row>
    <row r="2520" spans="1:11" x14ac:dyDescent="0.2">
      <c r="A2520" t="s">
        <v>5505</v>
      </c>
      <c r="B2520" t="s">
        <v>5506</v>
      </c>
      <c r="C2520" t="s">
        <v>3582</v>
      </c>
      <c r="D2520" t="s">
        <v>98</v>
      </c>
      <c r="E2520">
        <v>799.99</v>
      </c>
      <c r="F2520">
        <v>0</v>
      </c>
      <c r="H2520" t="s">
        <v>5065</v>
      </c>
      <c r="I2520">
        <v>0</v>
      </c>
      <c r="J2520">
        <v>0</v>
      </c>
      <c r="K2520">
        <v>0</v>
      </c>
    </row>
    <row r="2521" spans="1:11" x14ac:dyDescent="0.2">
      <c r="A2521" t="s">
        <v>5453</v>
      </c>
      <c r="B2521" t="s">
        <v>5454</v>
      </c>
      <c r="C2521" t="s">
        <v>5039</v>
      </c>
      <c r="D2521" t="s">
        <v>98</v>
      </c>
      <c r="E2521">
        <v>1199.99</v>
      </c>
      <c r="F2521">
        <v>0</v>
      </c>
      <c r="H2521" t="s">
        <v>5065</v>
      </c>
      <c r="I2521">
        <v>0</v>
      </c>
      <c r="J2521">
        <v>0</v>
      </c>
      <c r="K2521">
        <v>0</v>
      </c>
    </row>
    <row r="2522" spans="1:11" x14ac:dyDescent="0.2">
      <c r="A2522" t="s">
        <v>3497</v>
      </c>
      <c r="B2522" t="s">
        <v>3498</v>
      </c>
      <c r="C2522" t="s">
        <v>3494</v>
      </c>
      <c r="D2522" t="s">
        <v>138</v>
      </c>
      <c r="E2522">
        <v>49.99</v>
      </c>
      <c r="F2522">
        <v>0</v>
      </c>
      <c r="H2522" t="s">
        <v>5065</v>
      </c>
      <c r="I2522">
        <v>0</v>
      </c>
      <c r="J2522">
        <v>0</v>
      </c>
      <c r="K2522">
        <v>0</v>
      </c>
    </row>
    <row r="2523" spans="1:11" x14ac:dyDescent="0.2">
      <c r="A2523" t="s">
        <v>3505</v>
      </c>
      <c r="B2523" t="s">
        <v>3506</v>
      </c>
      <c r="C2523" t="s">
        <v>3494</v>
      </c>
      <c r="D2523" t="s">
        <v>138</v>
      </c>
      <c r="E2523">
        <v>299.99</v>
      </c>
      <c r="F2523">
        <v>0</v>
      </c>
      <c r="H2523" t="s">
        <v>5065</v>
      </c>
      <c r="I2523">
        <v>0</v>
      </c>
      <c r="J2523">
        <v>0</v>
      </c>
      <c r="K2523">
        <v>0</v>
      </c>
    </row>
    <row r="2524" spans="1:11" x14ac:dyDescent="0.2">
      <c r="A2524" t="s">
        <v>5512</v>
      </c>
      <c r="B2524" t="s">
        <v>5513</v>
      </c>
      <c r="C2524" t="s">
        <v>3582</v>
      </c>
      <c r="D2524" t="s">
        <v>98</v>
      </c>
      <c r="E2524">
        <v>199.99</v>
      </c>
      <c r="F2524">
        <v>0</v>
      </c>
      <c r="H2524" t="s">
        <v>5065</v>
      </c>
      <c r="I2524">
        <v>0</v>
      </c>
      <c r="J2524">
        <v>0</v>
      </c>
      <c r="K2524">
        <v>0</v>
      </c>
    </row>
    <row r="2525" spans="1:11" x14ac:dyDescent="0.2">
      <c r="A2525" t="s">
        <v>5399</v>
      </c>
      <c r="B2525" t="s">
        <v>5400</v>
      </c>
      <c r="C2525" t="s">
        <v>3582</v>
      </c>
      <c r="D2525" t="s">
        <v>98</v>
      </c>
      <c r="E2525">
        <v>3999.99</v>
      </c>
      <c r="F2525">
        <v>0</v>
      </c>
      <c r="H2525" t="s">
        <v>5065</v>
      </c>
      <c r="I2525">
        <v>0</v>
      </c>
      <c r="J2525">
        <v>0</v>
      </c>
      <c r="K2525">
        <v>0</v>
      </c>
    </row>
    <row r="2526" spans="1:11" x14ac:dyDescent="0.2">
      <c r="A2526" t="s">
        <v>3587</v>
      </c>
      <c r="B2526" t="s">
        <v>3588</v>
      </c>
      <c r="C2526" t="s">
        <v>3582</v>
      </c>
      <c r="D2526" t="s">
        <v>98</v>
      </c>
      <c r="E2526">
        <v>179.99</v>
      </c>
      <c r="F2526">
        <v>0</v>
      </c>
      <c r="H2526" t="s">
        <v>5065</v>
      </c>
      <c r="I2526">
        <v>0</v>
      </c>
      <c r="J2526">
        <v>0</v>
      </c>
      <c r="K2526">
        <v>0</v>
      </c>
    </row>
    <row r="2527" spans="1:11" x14ac:dyDescent="0.2">
      <c r="A2527" t="s">
        <v>3488</v>
      </c>
      <c r="B2527" t="s">
        <v>3489</v>
      </c>
      <c r="C2527" t="s">
        <v>3349</v>
      </c>
      <c r="D2527" t="s">
        <v>105</v>
      </c>
      <c r="E2527">
        <v>369.99</v>
      </c>
      <c r="F2527">
        <v>0</v>
      </c>
      <c r="H2527" t="s">
        <v>5065</v>
      </c>
      <c r="I2527">
        <v>0</v>
      </c>
      <c r="J2527">
        <v>0</v>
      </c>
      <c r="K2527">
        <v>2</v>
      </c>
    </row>
    <row r="2528" spans="1:11" x14ac:dyDescent="0.2">
      <c r="A2528" t="s">
        <v>5459</v>
      </c>
      <c r="B2528" t="s">
        <v>5460</v>
      </c>
      <c r="C2528" t="s">
        <v>5039</v>
      </c>
      <c r="D2528" t="s">
        <v>98</v>
      </c>
      <c r="E2528">
        <v>899.99</v>
      </c>
      <c r="F2528">
        <v>0</v>
      </c>
      <c r="H2528" t="s">
        <v>5065</v>
      </c>
      <c r="I2528">
        <v>0</v>
      </c>
      <c r="J2528">
        <v>0</v>
      </c>
      <c r="K2528">
        <v>0</v>
      </c>
    </row>
    <row r="2529" spans="1:11" x14ac:dyDescent="0.2">
      <c r="A2529" t="s">
        <v>5413</v>
      </c>
      <c r="B2529" t="s">
        <v>5414</v>
      </c>
      <c r="C2529" t="s">
        <v>3582</v>
      </c>
      <c r="D2529" t="s">
        <v>98</v>
      </c>
      <c r="E2529">
        <v>69.989999999999995</v>
      </c>
      <c r="F2529">
        <v>0</v>
      </c>
      <c r="H2529" t="s">
        <v>5065</v>
      </c>
      <c r="I2529">
        <v>0</v>
      </c>
      <c r="J2529">
        <v>0</v>
      </c>
      <c r="K2529">
        <v>0</v>
      </c>
    </row>
    <row r="2530" spans="1:11" x14ac:dyDescent="0.2">
      <c r="A2530" t="s">
        <v>3589</v>
      </c>
      <c r="B2530" t="s">
        <v>3590</v>
      </c>
      <c r="C2530" t="s">
        <v>3582</v>
      </c>
      <c r="D2530" t="s">
        <v>98</v>
      </c>
      <c r="E2530">
        <v>179.99</v>
      </c>
      <c r="F2530">
        <v>0</v>
      </c>
      <c r="H2530" t="s">
        <v>5065</v>
      </c>
      <c r="I2530">
        <v>0</v>
      </c>
      <c r="J2530">
        <v>0</v>
      </c>
      <c r="K2530">
        <v>0</v>
      </c>
    </row>
    <row r="2531" spans="1:11" x14ac:dyDescent="0.2">
      <c r="A2531" t="s">
        <v>3484</v>
      </c>
      <c r="B2531" t="s">
        <v>3485</v>
      </c>
      <c r="C2531" t="s">
        <v>3349</v>
      </c>
      <c r="D2531" t="s">
        <v>98</v>
      </c>
      <c r="E2531">
        <v>529.99</v>
      </c>
      <c r="F2531">
        <v>0</v>
      </c>
      <c r="H2531" t="s">
        <v>5065</v>
      </c>
      <c r="I2531">
        <v>0</v>
      </c>
      <c r="J2531">
        <v>0</v>
      </c>
      <c r="K2531">
        <v>0</v>
      </c>
    </row>
    <row r="2532" spans="1:11" x14ac:dyDescent="0.2">
      <c r="A2532" t="s">
        <v>5050</v>
      </c>
      <c r="B2532" t="s">
        <v>5051</v>
      </c>
      <c r="C2532" t="s">
        <v>5039</v>
      </c>
      <c r="D2532" t="s">
        <v>98</v>
      </c>
      <c r="E2532">
        <v>899.99</v>
      </c>
      <c r="F2532">
        <v>0</v>
      </c>
      <c r="H2532" t="s">
        <v>5065</v>
      </c>
      <c r="I2532">
        <v>0</v>
      </c>
      <c r="J2532">
        <v>0</v>
      </c>
      <c r="K2532">
        <v>0</v>
      </c>
    </row>
    <row r="2533" spans="1:11" x14ac:dyDescent="0.2">
      <c r="A2533" t="s">
        <v>5382</v>
      </c>
      <c r="B2533" t="s">
        <v>5383</v>
      </c>
      <c r="C2533" t="s">
        <v>3582</v>
      </c>
      <c r="D2533" t="s">
        <v>98</v>
      </c>
      <c r="E2533">
        <v>99.99</v>
      </c>
      <c r="F2533">
        <v>0</v>
      </c>
      <c r="H2533" t="s">
        <v>5065</v>
      </c>
      <c r="I2533">
        <v>0</v>
      </c>
      <c r="J2533">
        <v>0</v>
      </c>
      <c r="K2533">
        <v>0</v>
      </c>
    </row>
    <row r="2534" spans="1:11" x14ac:dyDescent="0.2">
      <c r="A2534" t="s">
        <v>3495</v>
      </c>
      <c r="B2534" t="s">
        <v>3496</v>
      </c>
      <c r="C2534" t="s">
        <v>3494</v>
      </c>
      <c r="D2534" t="s">
        <v>138</v>
      </c>
      <c r="E2534">
        <v>169.99</v>
      </c>
      <c r="F2534">
        <v>0</v>
      </c>
      <c r="H2534" t="s">
        <v>5065</v>
      </c>
      <c r="I2534">
        <v>0</v>
      </c>
      <c r="J2534">
        <v>0</v>
      </c>
      <c r="K2534">
        <v>0</v>
      </c>
    </row>
    <row r="2535" spans="1:11" x14ac:dyDescent="0.2">
      <c r="A2535" t="s">
        <v>5532</v>
      </c>
      <c r="B2535" t="s">
        <v>5533</v>
      </c>
      <c r="C2535" t="s">
        <v>3575</v>
      </c>
      <c r="D2535" t="s">
        <v>98</v>
      </c>
      <c r="E2535">
        <v>79.989999999999995</v>
      </c>
      <c r="F2535">
        <v>0</v>
      </c>
      <c r="H2535" t="s">
        <v>5065</v>
      </c>
      <c r="I2535">
        <v>0</v>
      </c>
      <c r="J2535">
        <v>0</v>
      </c>
      <c r="K2535">
        <v>0</v>
      </c>
    </row>
    <row r="2536" spans="1:11" x14ac:dyDescent="0.2">
      <c r="A2536" t="s">
        <v>3507</v>
      </c>
      <c r="B2536" t="s">
        <v>3508</v>
      </c>
      <c r="C2536" t="s">
        <v>3494</v>
      </c>
      <c r="D2536" t="s">
        <v>138</v>
      </c>
      <c r="E2536">
        <v>359.99</v>
      </c>
      <c r="F2536">
        <v>0</v>
      </c>
      <c r="H2536" t="s">
        <v>5065</v>
      </c>
      <c r="I2536">
        <v>0</v>
      </c>
      <c r="J2536">
        <v>0</v>
      </c>
      <c r="K2536">
        <v>0</v>
      </c>
    </row>
    <row r="2537" spans="1:11" x14ac:dyDescent="0.2">
      <c r="A2537" t="s">
        <v>124</v>
      </c>
      <c r="B2537" t="s">
        <v>125</v>
      </c>
      <c r="C2537" t="s">
        <v>95</v>
      </c>
      <c r="D2537" t="s">
        <v>105</v>
      </c>
      <c r="E2537">
        <v>59.99</v>
      </c>
      <c r="F2537">
        <v>0</v>
      </c>
      <c r="G2537">
        <v>44</v>
      </c>
      <c r="H2537" t="s">
        <v>5065</v>
      </c>
      <c r="I2537">
        <v>0</v>
      </c>
      <c r="J2537">
        <v>0</v>
      </c>
      <c r="K2537">
        <v>0</v>
      </c>
    </row>
    <row r="2538" spans="1:11" x14ac:dyDescent="0.2">
      <c r="A2538" t="s">
        <v>3578</v>
      </c>
      <c r="B2538" t="s">
        <v>3579</v>
      </c>
      <c r="C2538" t="s">
        <v>3575</v>
      </c>
      <c r="D2538" t="s">
        <v>138</v>
      </c>
      <c r="E2538">
        <v>19.989999999999998</v>
      </c>
      <c r="F2538">
        <v>0</v>
      </c>
      <c r="H2538" t="s">
        <v>5065</v>
      </c>
      <c r="I2538">
        <v>0</v>
      </c>
      <c r="J2538">
        <v>0</v>
      </c>
      <c r="K2538">
        <v>0</v>
      </c>
    </row>
    <row r="2539" spans="1:11" x14ac:dyDescent="0.2">
      <c r="A2539" t="s">
        <v>5475</v>
      </c>
      <c r="B2539" t="s">
        <v>5476</v>
      </c>
      <c r="C2539" t="s">
        <v>3575</v>
      </c>
      <c r="D2539" t="s">
        <v>98</v>
      </c>
      <c r="E2539">
        <v>29.99</v>
      </c>
      <c r="F2539">
        <v>0</v>
      </c>
      <c r="H2539" t="s">
        <v>5065</v>
      </c>
      <c r="I2539">
        <v>0</v>
      </c>
      <c r="J2539">
        <v>0</v>
      </c>
      <c r="K2539">
        <v>0</v>
      </c>
    </row>
    <row r="2540" spans="1:11" x14ac:dyDescent="0.2">
      <c r="A2540" t="s">
        <v>108</v>
      </c>
      <c r="B2540" t="s">
        <v>109</v>
      </c>
      <c r="C2540" t="s">
        <v>95</v>
      </c>
      <c r="D2540" t="s">
        <v>98</v>
      </c>
      <c r="E2540">
        <v>39.99</v>
      </c>
      <c r="F2540">
        <v>0</v>
      </c>
      <c r="H2540" t="s">
        <v>5065</v>
      </c>
      <c r="I2540">
        <v>0</v>
      </c>
      <c r="J2540">
        <v>0</v>
      </c>
      <c r="K2540">
        <v>0</v>
      </c>
    </row>
    <row r="2541" spans="1:11" x14ac:dyDescent="0.2">
      <c r="A2541" t="s">
        <v>5477</v>
      </c>
      <c r="B2541" t="s">
        <v>5478</v>
      </c>
      <c r="C2541" t="s">
        <v>5039</v>
      </c>
      <c r="D2541" t="s">
        <v>98</v>
      </c>
      <c r="E2541">
        <v>99.99</v>
      </c>
      <c r="F2541">
        <v>0</v>
      </c>
      <c r="H2541" t="s">
        <v>5065</v>
      </c>
      <c r="I2541">
        <v>0</v>
      </c>
      <c r="J2541">
        <v>0</v>
      </c>
      <c r="K2541">
        <v>0</v>
      </c>
    </row>
    <row r="2542" spans="1:11" x14ac:dyDescent="0.2">
      <c r="A2542" t="s">
        <v>5481</v>
      </c>
      <c r="B2542" t="s">
        <v>5482</v>
      </c>
      <c r="C2542" t="s">
        <v>3575</v>
      </c>
      <c r="D2542" t="s">
        <v>98</v>
      </c>
      <c r="E2542">
        <v>29.99</v>
      </c>
      <c r="F2542">
        <v>0</v>
      </c>
      <c r="H2542" t="s">
        <v>5065</v>
      </c>
      <c r="I2542">
        <v>0</v>
      </c>
      <c r="J2542">
        <v>0</v>
      </c>
      <c r="K2542">
        <v>0</v>
      </c>
    </row>
    <row r="2543" spans="1:11" x14ac:dyDescent="0.2">
      <c r="A2543" t="s">
        <v>5469</v>
      </c>
      <c r="B2543" t="s">
        <v>5470</v>
      </c>
      <c r="C2543" t="s">
        <v>3575</v>
      </c>
      <c r="D2543" t="s">
        <v>98</v>
      </c>
      <c r="E2543">
        <v>59.99</v>
      </c>
      <c r="F2543">
        <v>0</v>
      </c>
      <c r="H2543" t="s">
        <v>5065</v>
      </c>
      <c r="I2543">
        <v>0</v>
      </c>
      <c r="J2543">
        <v>0</v>
      </c>
      <c r="K2543">
        <v>0</v>
      </c>
    </row>
    <row r="2544" spans="1:11" x14ac:dyDescent="0.2">
      <c r="A2544" t="s">
        <v>5451</v>
      </c>
      <c r="B2544" t="s">
        <v>5452</v>
      </c>
      <c r="C2544" t="s">
        <v>3575</v>
      </c>
      <c r="D2544" t="s">
        <v>98</v>
      </c>
      <c r="E2544">
        <v>69.989999999999995</v>
      </c>
      <c r="F2544">
        <v>0</v>
      </c>
      <c r="H2544" t="s">
        <v>5065</v>
      </c>
      <c r="I2544">
        <v>0</v>
      </c>
      <c r="J2544">
        <v>0</v>
      </c>
      <c r="K2544">
        <v>0</v>
      </c>
    </row>
    <row r="2545" spans="1:11" x14ac:dyDescent="0.2">
      <c r="A2545" t="s">
        <v>5467</v>
      </c>
      <c r="B2545" t="s">
        <v>5468</v>
      </c>
      <c r="C2545" t="s">
        <v>3575</v>
      </c>
      <c r="D2545" t="s">
        <v>98</v>
      </c>
      <c r="E2545">
        <v>34.99</v>
      </c>
      <c r="F2545">
        <v>0</v>
      </c>
      <c r="H2545" t="s">
        <v>5065</v>
      </c>
      <c r="I2545">
        <v>0</v>
      </c>
      <c r="J2545">
        <v>0</v>
      </c>
      <c r="K2545">
        <v>0</v>
      </c>
    </row>
    <row r="2546" spans="1:11" x14ac:dyDescent="0.2">
      <c r="A2546" t="s">
        <v>5479</v>
      </c>
      <c r="B2546" t="s">
        <v>5480</v>
      </c>
      <c r="C2546" t="s">
        <v>5039</v>
      </c>
      <c r="D2546" t="s">
        <v>98</v>
      </c>
      <c r="E2546">
        <v>149.99</v>
      </c>
      <c r="F2546">
        <v>0</v>
      </c>
      <c r="H2546" t="s">
        <v>5065</v>
      </c>
      <c r="I2546">
        <v>0</v>
      </c>
      <c r="J2546">
        <v>0</v>
      </c>
      <c r="K2546">
        <v>0</v>
      </c>
    </row>
    <row r="2547" spans="1:11" x14ac:dyDescent="0.2">
      <c r="A2547" t="s">
        <v>103</v>
      </c>
      <c r="B2547" t="s">
        <v>104</v>
      </c>
      <c r="C2547" t="s">
        <v>95</v>
      </c>
      <c r="D2547" t="s">
        <v>105</v>
      </c>
      <c r="E2547">
        <v>29.99</v>
      </c>
      <c r="F2547">
        <v>0</v>
      </c>
      <c r="G2547">
        <v>18</v>
      </c>
      <c r="H2547" t="s">
        <v>5065</v>
      </c>
      <c r="I2547">
        <v>0</v>
      </c>
      <c r="J2547">
        <v>0</v>
      </c>
      <c r="K2547">
        <v>0</v>
      </c>
    </row>
    <row r="2548" spans="1:11" x14ac:dyDescent="0.2">
      <c r="A2548" t="s">
        <v>5455</v>
      </c>
      <c r="B2548" t="s">
        <v>5456</v>
      </c>
      <c r="C2548" t="s">
        <v>3575</v>
      </c>
      <c r="D2548" t="s">
        <v>98</v>
      </c>
      <c r="E2548">
        <v>49.99</v>
      </c>
      <c r="F2548">
        <v>0</v>
      </c>
      <c r="H2548" t="s">
        <v>5065</v>
      </c>
      <c r="I2548">
        <v>0</v>
      </c>
      <c r="J2548">
        <v>0</v>
      </c>
      <c r="K2548">
        <v>0</v>
      </c>
    </row>
    <row r="2549" spans="1:11" x14ac:dyDescent="0.2">
      <c r="A2549" t="s">
        <v>3515</v>
      </c>
      <c r="B2549" t="s">
        <v>3516</v>
      </c>
      <c r="C2549" t="s">
        <v>3494</v>
      </c>
      <c r="D2549" t="s">
        <v>138</v>
      </c>
      <c r="E2549">
        <v>189.99</v>
      </c>
      <c r="F2549">
        <v>0</v>
      </c>
      <c r="H2549" t="s">
        <v>5065</v>
      </c>
      <c r="I2549">
        <v>0</v>
      </c>
      <c r="J2549">
        <v>0</v>
      </c>
      <c r="K2549">
        <v>0</v>
      </c>
    </row>
    <row r="2550" spans="1:11" x14ac:dyDescent="0.2">
      <c r="A2550" t="s">
        <v>5457</v>
      </c>
      <c r="B2550" t="s">
        <v>5458</v>
      </c>
      <c r="C2550" t="s">
        <v>3575</v>
      </c>
      <c r="D2550" t="s">
        <v>98</v>
      </c>
      <c r="E2550">
        <v>49.99</v>
      </c>
      <c r="F2550">
        <v>0</v>
      </c>
      <c r="H2550" t="s">
        <v>5065</v>
      </c>
      <c r="I2550">
        <v>0</v>
      </c>
      <c r="J2550">
        <v>0</v>
      </c>
      <c r="K2550">
        <v>0</v>
      </c>
    </row>
    <row r="2551" spans="1:11" x14ac:dyDescent="0.2">
      <c r="A2551" t="s">
        <v>3513</v>
      </c>
      <c r="B2551" t="s">
        <v>3514</v>
      </c>
      <c r="C2551" t="s">
        <v>3494</v>
      </c>
      <c r="D2551" t="s">
        <v>138</v>
      </c>
      <c r="E2551">
        <v>479.99</v>
      </c>
      <c r="F2551">
        <v>0</v>
      </c>
      <c r="H2551" t="s">
        <v>5065</v>
      </c>
      <c r="I2551">
        <v>0</v>
      </c>
      <c r="J2551">
        <v>0</v>
      </c>
      <c r="K2551">
        <v>0</v>
      </c>
    </row>
    <row r="2552" spans="1:11" x14ac:dyDescent="0.2">
      <c r="A2552" t="s">
        <v>5465</v>
      </c>
      <c r="B2552" t="s">
        <v>5466</v>
      </c>
      <c r="C2552" t="s">
        <v>3575</v>
      </c>
      <c r="D2552" t="s">
        <v>98</v>
      </c>
      <c r="E2552">
        <v>39.99</v>
      </c>
      <c r="F2552">
        <v>0</v>
      </c>
      <c r="H2552" t="s">
        <v>5065</v>
      </c>
      <c r="I2552">
        <v>0</v>
      </c>
      <c r="J2552">
        <v>0</v>
      </c>
      <c r="K2552">
        <v>0</v>
      </c>
    </row>
    <row r="2553" spans="1:11" x14ac:dyDescent="0.2">
      <c r="A2553" t="s">
        <v>5485</v>
      </c>
      <c r="B2553" t="s">
        <v>5486</v>
      </c>
      <c r="C2553" t="s">
        <v>5039</v>
      </c>
      <c r="D2553" t="s">
        <v>98</v>
      </c>
      <c r="E2553">
        <v>99.99</v>
      </c>
      <c r="F2553">
        <v>0</v>
      </c>
      <c r="H2553" t="s">
        <v>5065</v>
      </c>
      <c r="I2553">
        <v>0</v>
      </c>
      <c r="J2553">
        <v>0</v>
      </c>
      <c r="K2553">
        <v>0</v>
      </c>
    </row>
    <row r="2554" spans="1:11" x14ac:dyDescent="0.2">
      <c r="A2554" t="s">
        <v>110</v>
      </c>
      <c r="B2554" t="s">
        <v>111</v>
      </c>
      <c r="C2554" t="s">
        <v>95</v>
      </c>
      <c r="D2554" t="s">
        <v>105</v>
      </c>
      <c r="E2554">
        <v>39.99</v>
      </c>
      <c r="F2554">
        <v>0</v>
      </c>
      <c r="G2554">
        <v>142</v>
      </c>
      <c r="H2554" t="s">
        <v>5065</v>
      </c>
      <c r="I2554">
        <v>0</v>
      </c>
      <c r="J2554">
        <v>0</v>
      </c>
      <c r="K2554">
        <v>0</v>
      </c>
    </row>
    <row r="2555" spans="1:11" x14ac:dyDescent="0.2">
      <c r="A2555" t="s">
        <v>5493</v>
      </c>
      <c r="B2555" t="s">
        <v>5494</v>
      </c>
      <c r="C2555" t="s">
        <v>3575</v>
      </c>
      <c r="D2555" t="s">
        <v>138</v>
      </c>
      <c r="E2555">
        <v>19.989999999999998</v>
      </c>
      <c r="F2555">
        <v>0</v>
      </c>
      <c r="H2555" t="s">
        <v>5065</v>
      </c>
      <c r="I2555">
        <v>0</v>
      </c>
      <c r="J2555">
        <v>0</v>
      </c>
      <c r="K2555">
        <v>0</v>
      </c>
    </row>
    <row r="2556" spans="1:11" x14ac:dyDescent="0.2">
      <c r="A2556" t="s">
        <v>3511</v>
      </c>
      <c r="B2556" t="s">
        <v>3512</v>
      </c>
      <c r="C2556" t="s">
        <v>3494</v>
      </c>
      <c r="D2556" t="s">
        <v>138</v>
      </c>
      <c r="E2556">
        <v>499.99</v>
      </c>
      <c r="F2556">
        <v>0</v>
      </c>
      <c r="H2556" t="s">
        <v>5065</v>
      </c>
      <c r="I2556">
        <v>0</v>
      </c>
      <c r="J2556">
        <v>0</v>
      </c>
      <c r="K2556">
        <v>0</v>
      </c>
    </row>
    <row r="2557" spans="1:11" x14ac:dyDescent="0.2">
      <c r="A2557" t="s">
        <v>3509</v>
      </c>
      <c r="B2557" t="s">
        <v>3510</v>
      </c>
      <c r="C2557" t="s">
        <v>3494</v>
      </c>
      <c r="D2557" t="s">
        <v>138</v>
      </c>
      <c r="E2557">
        <v>149.99</v>
      </c>
      <c r="F2557">
        <v>0</v>
      </c>
      <c r="G2557">
        <v>1</v>
      </c>
      <c r="H2557" t="s">
        <v>5065</v>
      </c>
      <c r="I2557">
        <v>0</v>
      </c>
      <c r="J2557">
        <v>0</v>
      </c>
      <c r="K2557">
        <v>0</v>
      </c>
    </row>
    <row r="2558" spans="1:11" x14ac:dyDescent="0.2">
      <c r="A2558" t="s">
        <v>5526</v>
      </c>
      <c r="B2558" t="s">
        <v>5527</v>
      </c>
      <c r="C2558" t="s">
        <v>3575</v>
      </c>
      <c r="D2558" t="s">
        <v>98</v>
      </c>
      <c r="E2558">
        <v>34.99</v>
      </c>
      <c r="F2558">
        <v>0</v>
      </c>
      <c r="H2558" t="s">
        <v>5065</v>
      </c>
      <c r="I2558">
        <v>0</v>
      </c>
      <c r="J2558">
        <v>0</v>
      </c>
      <c r="K2558">
        <v>0</v>
      </c>
    </row>
    <row r="2559" spans="1:11" x14ac:dyDescent="0.2">
      <c r="A2559" t="s">
        <v>5489</v>
      </c>
      <c r="B2559" t="s">
        <v>5490</v>
      </c>
      <c r="C2559" t="s">
        <v>5039</v>
      </c>
      <c r="D2559" t="s">
        <v>98</v>
      </c>
      <c r="E2559">
        <v>149.99</v>
      </c>
      <c r="F2559">
        <v>0</v>
      </c>
      <c r="H2559" t="s">
        <v>5065</v>
      </c>
      <c r="I2559">
        <v>0</v>
      </c>
      <c r="J2559">
        <v>0</v>
      </c>
      <c r="K2559">
        <v>0</v>
      </c>
    </row>
    <row r="2560" spans="1:11" x14ac:dyDescent="0.2">
      <c r="A2560" t="s">
        <v>5528</v>
      </c>
      <c r="B2560" t="s">
        <v>5529</v>
      </c>
      <c r="C2560" t="s">
        <v>3575</v>
      </c>
      <c r="D2560" t="s">
        <v>98</v>
      </c>
      <c r="E2560">
        <v>34.99</v>
      </c>
      <c r="F2560">
        <v>0</v>
      </c>
      <c r="H2560" t="s">
        <v>5065</v>
      </c>
      <c r="I2560">
        <v>0</v>
      </c>
      <c r="J2560">
        <v>0</v>
      </c>
      <c r="K2560">
        <v>0</v>
      </c>
    </row>
    <row r="2561" spans="1:11" x14ac:dyDescent="0.2">
      <c r="A2561" t="s">
        <v>3480</v>
      </c>
      <c r="B2561" t="s">
        <v>3481</v>
      </c>
      <c r="C2561" t="s">
        <v>3349</v>
      </c>
      <c r="D2561" t="s">
        <v>138</v>
      </c>
      <c r="E2561">
        <v>189.99</v>
      </c>
      <c r="F2561">
        <v>0</v>
      </c>
      <c r="G2561">
        <v>58</v>
      </c>
      <c r="H2561" t="s">
        <v>5065</v>
      </c>
      <c r="I2561">
        <v>0.16666666666666666</v>
      </c>
      <c r="J2561">
        <v>12</v>
      </c>
      <c r="K2561">
        <v>2</v>
      </c>
    </row>
    <row r="2562" spans="1:11" x14ac:dyDescent="0.2">
      <c r="A2562" t="s">
        <v>5384</v>
      </c>
      <c r="B2562" t="s">
        <v>5385</v>
      </c>
      <c r="C2562" t="s">
        <v>3582</v>
      </c>
      <c r="D2562" t="s">
        <v>98</v>
      </c>
      <c r="E2562">
        <v>99.99</v>
      </c>
      <c r="F2562">
        <v>0</v>
      </c>
      <c r="H2562" t="s">
        <v>5065</v>
      </c>
      <c r="I2562">
        <v>0</v>
      </c>
      <c r="J2562">
        <v>0</v>
      </c>
      <c r="K2562">
        <v>0</v>
      </c>
    </row>
    <row r="2563" spans="1:11" x14ac:dyDescent="0.2">
      <c r="A2563" t="s">
        <v>3478</v>
      </c>
      <c r="B2563" t="s">
        <v>3479</v>
      </c>
      <c r="C2563" t="s">
        <v>3349</v>
      </c>
      <c r="D2563" t="s">
        <v>105</v>
      </c>
      <c r="E2563">
        <v>189.99</v>
      </c>
      <c r="F2563">
        <v>0</v>
      </c>
      <c r="G2563">
        <v>83</v>
      </c>
      <c r="H2563" t="s">
        <v>5065</v>
      </c>
      <c r="I2563">
        <v>0</v>
      </c>
      <c r="J2563">
        <v>0</v>
      </c>
      <c r="K2563">
        <v>4</v>
      </c>
    </row>
    <row r="2564" spans="1:11" x14ac:dyDescent="0.2">
      <c r="A2564" t="s">
        <v>5393</v>
      </c>
      <c r="B2564" t="s">
        <v>5394</v>
      </c>
      <c r="C2564" t="s">
        <v>3582</v>
      </c>
      <c r="D2564" t="s">
        <v>98</v>
      </c>
      <c r="E2564">
        <v>109.99</v>
      </c>
      <c r="F2564">
        <v>0</v>
      </c>
      <c r="H2564" t="s">
        <v>5065</v>
      </c>
      <c r="I2564">
        <v>0</v>
      </c>
      <c r="J2564">
        <v>0</v>
      </c>
      <c r="K2564">
        <v>0</v>
      </c>
    </row>
    <row r="2565" spans="1:11" x14ac:dyDescent="0.2">
      <c r="A2565" t="s">
        <v>293</v>
      </c>
      <c r="B2565" t="s">
        <v>294</v>
      </c>
      <c r="C2565" t="s">
        <v>288</v>
      </c>
      <c r="D2565" t="s">
        <v>138</v>
      </c>
      <c r="E2565">
        <v>199.99</v>
      </c>
      <c r="F2565">
        <v>0</v>
      </c>
      <c r="G2565">
        <v>93</v>
      </c>
      <c r="H2565" t="s">
        <v>5065</v>
      </c>
      <c r="I2565">
        <v>0</v>
      </c>
      <c r="J2565">
        <v>0</v>
      </c>
      <c r="K2565">
        <v>3</v>
      </c>
    </row>
    <row r="2566" spans="1:11" x14ac:dyDescent="0.2">
      <c r="A2566" t="s">
        <v>3456</v>
      </c>
      <c r="B2566" t="s">
        <v>3457</v>
      </c>
      <c r="C2566" t="s">
        <v>3349</v>
      </c>
      <c r="D2566" t="s">
        <v>105</v>
      </c>
      <c r="E2566">
        <v>79.989999999999995</v>
      </c>
      <c r="F2566">
        <v>159.97999999999999</v>
      </c>
      <c r="G2566">
        <v>25</v>
      </c>
      <c r="H2566" t="s">
        <v>5065</v>
      </c>
      <c r="I2566">
        <v>1.3333333333333333</v>
      </c>
      <c r="J2566">
        <v>4</v>
      </c>
      <c r="K2566">
        <v>5</v>
      </c>
    </row>
    <row r="2567" spans="1:11" x14ac:dyDescent="0.2">
      <c r="A2567" t="s">
        <v>3897</v>
      </c>
      <c r="B2567" t="s">
        <v>3898</v>
      </c>
      <c r="C2567" t="s">
        <v>3876</v>
      </c>
      <c r="D2567" t="s">
        <v>98</v>
      </c>
      <c r="E2567">
        <v>59.99</v>
      </c>
      <c r="F2567">
        <v>0</v>
      </c>
      <c r="H2567" t="s">
        <v>5065</v>
      </c>
      <c r="I2567">
        <v>0</v>
      </c>
      <c r="J2567">
        <v>0</v>
      </c>
      <c r="K2567">
        <v>0</v>
      </c>
    </row>
    <row r="2568" spans="1:11" x14ac:dyDescent="0.2">
      <c r="A2568" t="s">
        <v>3448</v>
      </c>
      <c r="B2568" t="s">
        <v>3449</v>
      </c>
      <c r="C2568" t="s">
        <v>3349</v>
      </c>
      <c r="D2568" t="s">
        <v>105</v>
      </c>
      <c r="E2568">
        <v>379.99</v>
      </c>
      <c r="F2568">
        <v>0</v>
      </c>
      <c r="H2568" t="s">
        <v>5065</v>
      </c>
      <c r="I2568">
        <v>0</v>
      </c>
      <c r="J2568">
        <v>0</v>
      </c>
      <c r="K2568">
        <v>2</v>
      </c>
    </row>
    <row r="2569" spans="1:11" x14ac:dyDescent="0.2">
      <c r="A2569" t="s">
        <v>3899</v>
      </c>
      <c r="B2569" t="s">
        <v>3900</v>
      </c>
      <c r="C2569" t="s">
        <v>3876</v>
      </c>
      <c r="D2569" t="s">
        <v>105</v>
      </c>
      <c r="E2569">
        <v>69.989999999999995</v>
      </c>
      <c r="F2569">
        <v>0</v>
      </c>
      <c r="G2569">
        <v>168</v>
      </c>
      <c r="H2569" t="s">
        <v>5065</v>
      </c>
      <c r="I2569">
        <v>0</v>
      </c>
      <c r="J2569">
        <v>0</v>
      </c>
      <c r="K2569">
        <v>44</v>
      </c>
    </row>
    <row r="2570" spans="1:11" x14ac:dyDescent="0.2">
      <c r="A2570" t="s">
        <v>5530</v>
      </c>
      <c r="B2570" t="s">
        <v>5531</v>
      </c>
      <c r="C2570" t="s">
        <v>5039</v>
      </c>
      <c r="D2570" t="s">
        <v>98</v>
      </c>
      <c r="E2570">
        <v>99.99</v>
      </c>
      <c r="F2570">
        <v>0</v>
      </c>
      <c r="H2570" t="s">
        <v>5065</v>
      </c>
      <c r="I2570">
        <v>0</v>
      </c>
      <c r="J2570">
        <v>0</v>
      </c>
      <c r="K2570">
        <v>0</v>
      </c>
    </row>
    <row r="2571" spans="1:11" x14ac:dyDescent="0.2">
      <c r="A2571" t="s">
        <v>3446</v>
      </c>
      <c r="B2571" t="s">
        <v>3447</v>
      </c>
      <c r="C2571" t="s">
        <v>3349</v>
      </c>
      <c r="D2571" t="s">
        <v>98</v>
      </c>
      <c r="E2571">
        <v>559.99</v>
      </c>
      <c r="F2571">
        <v>0</v>
      </c>
      <c r="H2571" t="s">
        <v>5065</v>
      </c>
      <c r="I2571">
        <v>0</v>
      </c>
      <c r="J2571">
        <v>0</v>
      </c>
      <c r="K2571">
        <v>6</v>
      </c>
    </row>
    <row r="2572" spans="1:11" x14ac:dyDescent="0.2">
      <c r="A2572" t="s">
        <v>3901</v>
      </c>
      <c r="B2572" t="s">
        <v>5070</v>
      </c>
      <c r="C2572" t="s">
        <v>3876</v>
      </c>
      <c r="D2572" t="s">
        <v>105</v>
      </c>
      <c r="E2572">
        <v>69.989999999999995</v>
      </c>
      <c r="F2572">
        <v>0</v>
      </c>
      <c r="G2572">
        <v>92</v>
      </c>
      <c r="H2572" t="s">
        <v>5065</v>
      </c>
      <c r="I2572">
        <v>0</v>
      </c>
      <c r="J2572">
        <v>0</v>
      </c>
      <c r="K2572">
        <v>0</v>
      </c>
    </row>
    <row r="2573" spans="1:11" x14ac:dyDescent="0.2">
      <c r="A2573" t="s">
        <v>3444</v>
      </c>
      <c r="B2573" t="s">
        <v>3445</v>
      </c>
      <c r="C2573" t="s">
        <v>3349</v>
      </c>
      <c r="D2573" t="s">
        <v>105</v>
      </c>
      <c r="E2573">
        <v>119.99</v>
      </c>
      <c r="F2573">
        <v>0</v>
      </c>
      <c r="G2573">
        <v>15</v>
      </c>
      <c r="H2573" t="s">
        <v>5065</v>
      </c>
      <c r="I2573">
        <v>0</v>
      </c>
      <c r="J2573">
        <v>0</v>
      </c>
      <c r="K2573">
        <v>5</v>
      </c>
    </row>
    <row r="2574" spans="1:11" x14ac:dyDescent="0.2">
      <c r="A2574" t="s">
        <v>3438</v>
      </c>
      <c r="B2574" t="s">
        <v>3439</v>
      </c>
      <c r="C2574" t="s">
        <v>3349</v>
      </c>
      <c r="D2574" t="s">
        <v>98</v>
      </c>
      <c r="E2574">
        <v>129.99</v>
      </c>
      <c r="F2574">
        <v>0</v>
      </c>
      <c r="H2574" t="s">
        <v>5065</v>
      </c>
      <c r="I2574">
        <v>0</v>
      </c>
      <c r="J2574">
        <v>0</v>
      </c>
      <c r="K2574">
        <v>0</v>
      </c>
    </row>
    <row r="2575" spans="1:11" x14ac:dyDescent="0.2">
      <c r="A2575" t="s">
        <v>297</v>
      </c>
      <c r="B2575" t="s">
        <v>298</v>
      </c>
      <c r="C2575" t="s">
        <v>288</v>
      </c>
      <c r="D2575" t="s">
        <v>98</v>
      </c>
      <c r="E2575">
        <v>199.99</v>
      </c>
      <c r="F2575">
        <v>0</v>
      </c>
      <c r="H2575" t="s">
        <v>5065</v>
      </c>
      <c r="I2575">
        <v>0</v>
      </c>
      <c r="J2575">
        <v>0</v>
      </c>
      <c r="K2575">
        <v>0</v>
      </c>
    </row>
    <row r="2576" spans="1:11" x14ac:dyDescent="0.2">
      <c r="A2576" t="s">
        <v>5534</v>
      </c>
      <c r="B2576" t="s">
        <v>5535</v>
      </c>
      <c r="C2576" t="s">
        <v>5039</v>
      </c>
      <c r="D2576" t="s">
        <v>98</v>
      </c>
      <c r="E2576">
        <v>49.99</v>
      </c>
      <c r="F2576">
        <v>0</v>
      </c>
      <c r="H2576" t="s">
        <v>5065</v>
      </c>
      <c r="I2576">
        <v>0</v>
      </c>
      <c r="J2576">
        <v>0</v>
      </c>
      <c r="K2576">
        <v>0</v>
      </c>
    </row>
    <row r="2577" spans="1:11" x14ac:dyDescent="0.2">
      <c r="A2577" t="s">
        <v>3428</v>
      </c>
      <c r="B2577" t="s">
        <v>3429</v>
      </c>
      <c r="C2577" t="s">
        <v>3349</v>
      </c>
      <c r="D2577" t="s">
        <v>138</v>
      </c>
      <c r="E2577">
        <v>49.99</v>
      </c>
      <c r="F2577">
        <v>0</v>
      </c>
      <c r="H2577" t="s">
        <v>5065</v>
      </c>
      <c r="I2577">
        <v>0</v>
      </c>
      <c r="J2577">
        <v>0</v>
      </c>
      <c r="K2577">
        <v>0</v>
      </c>
    </row>
    <row r="2578" spans="1:11" x14ac:dyDescent="0.2">
      <c r="A2578" t="s">
        <v>5708</v>
      </c>
      <c r="B2578" t="s">
        <v>5709</v>
      </c>
      <c r="C2578" t="s">
        <v>3926</v>
      </c>
      <c r="D2578" t="s">
        <v>98</v>
      </c>
      <c r="E2578">
        <v>299.99</v>
      </c>
      <c r="F2578">
        <v>0</v>
      </c>
      <c r="H2578" t="s">
        <v>5065</v>
      </c>
      <c r="I2578">
        <v>0</v>
      </c>
      <c r="J2578">
        <v>0</v>
      </c>
      <c r="K2578">
        <v>0</v>
      </c>
    </row>
    <row r="2579" spans="1:11" x14ac:dyDescent="0.2">
      <c r="A2579" t="s">
        <v>3895</v>
      </c>
      <c r="B2579" t="s">
        <v>3896</v>
      </c>
      <c r="C2579" t="s">
        <v>3876</v>
      </c>
      <c r="D2579" t="s">
        <v>98</v>
      </c>
      <c r="E2579">
        <v>59.99</v>
      </c>
      <c r="F2579">
        <v>0</v>
      </c>
      <c r="H2579" t="s">
        <v>5065</v>
      </c>
      <c r="I2579">
        <v>0</v>
      </c>
      <c r="J2579">
        <v>0</v>
      </c>
      <c r="K2579">
        <v>0</v>
      </c>
    </row>
    <row r="2580" spans="1:11" x14ac:dyDescent="0.2">
      <c r="A2580" t="s">
        <v>343</v>
      </c>
      <c r="B2580" t="s">
        <v>342</v>
      </c>
      <c r="C2580" t="s">
        <v>307</v>
      </c>
      <c r="D2580" t="s">
        <v>98</v>
      </c>
      <c r="E2580">
        <v>3999.99</v>
      </c>
      <c r="F2580">
        <v>0</v>
      </c>
      <c r="H2580" t="s">
        <v>5065</v>
      </c>
      <c r="I2580">
        <v>0</v>
      </c>
      <c r="J2580">
        <v>0</v>
      </c>
      <c r="K2580">
        <v>0</v>
      </c>
    </row>
    <row r="2581" spans="1:11" x14ac:dyDescent="0.2">
      <c r="A2581" t="s">
        <v>3458</v>
      </c>
      <c r="B2581" t="s">
        <v>3459</v>
      </c>
      <c r="C2581" t="s">
        <v>3349</v>
      </c>
      <c r="D2581" t="s">
        <v>105</v>
      </c>
      <c r="E2581">
        <v>19.989999999999998</v>
      </c>
      <c r="F2581">
        <v>0</v>
      </c>
      <c r="H2581" t="s">
        <v>5065</v>
      </c>
      <c r="I2581">
        <v>0</v>
      </c>
      <c r="J2581">
        <v>0</v>
      </c>
      <c r="K2581">
        <v>0</v>
      </c>
    </row>
    <row r="2582" spans="1:11" x14ac:dyDescent="0.2">
      <c r="A2582" t="s">
        <v>3460</v>
      </c>
      <c r="B2582" t="s">
        <v>3461</v>
      </c>
      <c r="C2582" t="s">
        <v>3349</v>
      </c>
      <c r="D2582" t="s">
        <v>105</v>
      </c>
      <c r="E2582">
        <v>24.99</v>
      </c>
      <c r="F2582">
        <v>0</v>
      </c>
      <c r="G2582">
        <v>80</v>
      </c>
      <c r="H2582" t="s">
        <v>5065</v>
      </c>
      <c r="I2582">
        <v>0</v>
      </c>
      <c r="J2582">
        <v>0</v>
      </c>
      <c r="K2582">
        <v>0</v>
      </c>
    </row>
    <row r="2583" spans="1:11" x14ac:dyDescent="0.2">
      <c r="A2583" t="s">
        <v>99</v>
      </c>
      <c r="B2583" t="s">
        <v>100</v>
      </c>
      <c r="C2583" t="s">
        <v>95</v>
      </c>
      <c r="D2583" t="s">
        <v>98</v>
      </c>
      <c r="E2583">
        <v>129.99</v>
      </c>
      <c r="F2583">
        <v>0</v>
      </c>
      <c r="H2583" t="s">
        <v>5065</v>
      </c>
      <c r="I2583">
        <v>0</v>
      </c>
      <c r="J2583">
        <v>0</v>
      </c>
      <c r="K2583">
        <v>0</v>
      </c>
    </row>
    <row r="2584" spans="1:11" x14ac:dyDescent="0.2">
      <c r="A2584" t="s">
        <v>5048</v>
      </c>
      <c r="B2584" t="s">
        <v>5049</v>
      </c>
      <c r="C2584" t="s">
        <v>5039</v>
      </c>
      <c r="D2584" t="s">
        <v>98</v>
      </c>
      <c r="E2584">
        <v>429.99</v>
      </c>
      <c r="F2584">
        <v>0</v>
      </c>
      <c r="H2584" t="s">
        <v>5065</v>
      </c>
      <c r="I2584">
        <v>0</v>
      </c>
      <c r="J2584">
        <v>0</v>
      </c>
      <c r="K2584">
        <v>0</v>
      </c>
    </row>
    <row r="2585" spans="1:11" x14ac:dyDescent="0.2">
      <c r="A2585" t="s">
        <v>3474</v>
      </c>
      <c r="B2585" t="s">
        <v>3475</v>
      </c>
      <c r="C2585" t="s">
        <v>3349</v>
      </c>
      <c r="D2585" t="s">
        <v>105</v>
      </c>
      <c r="E2585">
        <v>119.99</v>
      </c>
      <c r="F2585">
        <v>0</v>
      </c>
      <c r="G2585">
        <v>13</v>
      </c>
      <c r="H2585" t="s">
        <v>5065</v>
      </c>
      <c r="I2585">
        <v>0</v>
      </c>
      <c r="J2585">
        <v>0</v>
      </c>
      <c r="K2585">
        <v>5</v>
      </c>
    </row>
    <row r="2586" spans="1:11" x14ac:dyDescent="0.2">
      <c r="A2586" t="s">
        <v>5419</v>
      </c>
      <c r="B2586" t="s">
        <v>5420</v>
      </c>
      <c r="C2586" t="s">
        <v>3582</v>
      </c>
      <c r="D2586" t="s">
        <v>98</v>
      </c>
      <c r="E2586">
        <v>99.99</v>
      </c>
      <c r="F2586">
        <v>0</v>
      </c>
      <c r="H2586" t="s">
        <v>5065</v>
      </c>
      <c r="I2586">
        <v>0</v>
      </c>
      <c r="J2586">
        <v>0</v>
      </c>
      <c r="K2586">
        <v>0</v>
      </c>
    </row>
    <row r="2587" spans="1:11" x14ac:dyDescent="0.2">
      <c r="A2587" t="s">
        <v>3472</v>
      </c>
      <c r="B2587" t="s">
        <v>3473</v>
      </c>
      <c r="C2587" t="s">
        <v>3349</v>
      </c>
      <c r="D2587" t="s">
        <v>105</v>
      </c>
      <c r="E2587">
        <v>19.989999999999998</v>
      </c>
      <c r="F2587">
        <v>0</v>
      </c>
      <c r="G2587">
        <v>22</v>
      </c>
      <c r="H2587" t="s">
        <v>5065</v>
      </c>
      <c r="I2587">
        <v>0</v>
      </c>
      <c r="J2587">
        <v>0</v>
      </c>
      <c r="K2587">
        <v>0</v>
      </c>
    </row>
    <row r="2588" spans="1:11" x14ac:dyDescent="0.2">
      <c r="A2588" t="s">
        <v>5441</v>
      </c>
      <c r="B2588" t="s">
        <v>5442</v>
      </c>
      <c r="C2588" t="s">
        <v>3582</v>
      </c>
      <c r="D2588" t="s">
        <v>98</v>
      </c>
      <c r="E2588">
        <v>99.99</v>
      </c>
      <c r="F2588">
        <v>0</v>
      </c>
      <c r="H2588" t="s">
        <v>5065</v>
      </c>
      <c r="I2588">
        <v>0</v>
      </c>
      <c r="J2588">
        <v>0</v>
      </c>
      <c r="K2588">
        <v>0</v>
      </c>
    </row>
    <row r="2589" spans="1:11" x14ac:dyDescent="0.2">
      <c r="A2589" t="s">
        <v>5447</v>
      </c>
      <c r="B2589" t="s">
        <v>5448</v>
      </c>
      <c r="C2589" t="s">
        <v>3582</v>
      </c>
      <c r="D2589" t="s">
        <v>98</v>
      </c>
      <c r="E2589">
        <v>0</v>
      </c>
      <c r="F2589">
        <v>0</v>
      </c>
      <c r="H2589" t="s">
        <v>5065</v>
      </c>
      <c r="I2589">
        <v>0</v>
      </c>
      <c r="J2589">
        <v>0</v>
      </c>
      <c r="K2589">
        <v>0</v>
      </c>
    </row>
    <row r="2590" spans="1:11" x14ac:dyDescent="0.2">
      <c r="A2590" t="s">
        <v>5518</v>
      </c>
      <c r="B2590" t="s">
        <v>5519</v>
      </c>
      <c r="C2590" t="s">
        <v>5039</v>
      </c>
      <c r="D2590" t="s">
        <v>98</v>
      </c>
      <c r="E2590">
        <v>149.99</v>
      </c>
      <c r="F2590">
        <v>0</v>
      </c>
      <c r="H2590" t="s">
        <v>5065</v>
      </c>
      <c r="I2590">
        <v>0</v>
      </c>
      <c r="J2590">
        <v>0</v>
      </c>
      <c r="K2590">
        <v>0</v>
      </c>
    </row>
    <row r="2591" spans="1:11" x14ac:dyDescent="0.2">
      <c r="A2591" t="s">
        <v>3470</v>
      </c>
      <c r="B2591" t="s">
        <v>3471</v>
      </c>
      <c r="C2591" t="s">
        <v>3349</v>
      </c>
      <c r="D2591" t="s">
        <v>105</v>
      </c>
      <c r="E2591">
        <v>19.989999999999998</v>
      </c>
      <c r="F2591">
        <v>0</v>
      </c>
      <c r="G2591">
        <v>33</v>
      </c>
      <c r="H2591" t="s">
        <v>5065</v>
      </c>
      <c r="I2591">
        <v>0</v>
      </c>
      <c r="J2591">
        <v>0</v>
      </c>
      <c r="K2591">
        <v>0</v>
      </c>
    </row>
    <row r="2592" spans="1:11" x14ac:dyDescent="0.2">
      <c r="A2592" t="s">
        <v>3591</v>
      </c>
      <c r="B2592" t="s">
        <v>3592</v>
      </c>
      <c r="C2592" t="s">
        <v>3582</v>
      </c>
      <c r="D2592" t="s">
        <v>98</v>
      </c>
      <c r="E2592">
        <v>109.99</v>
      </c>
      <c r="F2592">
        <v>0</v>
      </c>
      <c r="H2592" t="s">
        <v>5065</v>
      </c>
      <c r="I2592">
        <v>0</v>
      </c>
      <c r="J2592">
        <v>0</v>
      </c>
      <c r="K2592">
        <v>0</v>
      </c>
    </row>
    <row r="2593" spans="1:11" x14ac:dyDescent="0.2">
      <c r="A2593" t="s">
        <v>3468</v>
      </c>
      <c r="B2593" t="s">
        <v>3469</v>
      </c>
      <c r="C2593" t="s">
        <v>3349</v>
      </c>
      <c r="D2593" t="s">
        <v>98</v>
      </c>
      <c r="E2593">
        <v>529.99</v>
      </c>
      <c r="F2593">
        <v>0</v>
      </c>
      <c r="H2593" t="s">
        <v>5065</v>
      </c>
      <c r="I2593">
        <v>0</v>
      </c>
      <c r="J2593">
        <v>0</v>
      </c>
      <c r="K2593">
        <v>0</v>
      </c>
    </row>
    <row r="2594" spans="1:11" x14ac:dyDescent="0.2">
      <c r="A2594" t="s">
        <v>3593</v>
      </c>
      <c r="B2594" t="s">
        <v>3594</v>
      </c>
      <c r="C2594" t="s">
        <v>3582</v>
      </c>
      <c r="D2594" t="s">
        <v>98</v>
      </c>
      <c r="E2594">
        <v>79.989999999999995</v>
      </c>
      <c r="F2594">
        <v>0</v>
      </c>
      <c r="H2594" t="s">
        <v>5065</v>
      </c>
      <c r="I2594">
        <v>0</v>
      </c>
      <c r="J2594">
        <v>0</v>
      </c>
      <c r="K2594">
        <v>0</v>
      </c>
    </row>
    <row r="2595" spans="1:11" x14ac:dyDescent="0.2">
      <c r="A2595" t="s">
        <v>5425</v>
      </c>
      <c r="B2595" t="s">
        <v>5426</v>
      </c>
      <c r="C2595" t="s">
        <v>3582</v>
      </c>
      <c r="D2595" t="s">
        <v>98</v>
      </c>
      <c r="E2595">
        <v>59.99</v>
      </c>
      <c r="F2595">
        <v>0</v>
      </c>
      <c r="H2595" t="s">
        <v>5065</v>
      </c>
      <c r="I2595">
        <v>0</v>
      </c>
      <c r="J2595">
        <v>0</v>
      </c>
      <c r="K2595">
        <v>0</v>
      </c>
    </row>
    <row r="2596" spans="1:11" x14ac:dyDescent="0.2">
      <c r="A2596" t="s">
        <v>3595</v>
      </c>
      <c r="B2596" t="s">
        <v>3596</v>
      </c>
      <c r="C2596" t="s">
        <v>3582</v>
      </c>
      <c r="D2596" t="s">
        <v>98</v>
      </c>
      <c r="E2596">
        <v>139.99</v>
      </c>
      <c r="F2596">
        <v>0</v>
      </c>
      <c r="H2596" t="s">
        <v>5065</v>
      </c>
      <c r="I2596">
        <v>0</v>
      </c>
      <c r="J2596">
        <v>0</v>
      </c>
      <c r="K2596">
        <v>0</v>
      </c>
    </row>
    <row r="2597" spans="1:11" x14ac:dyDescent="0.2">
      <c r="A2597" t="s">
        <v>5710</v>
      </c>
      <c r="B2597" t="s">
        <v>5711</v>
      </c>
      <c r="C2597" t="s">
        <v>3582</v>
      </c>
      <c r="D2597" t="s">
        <v>98</v>
      </c>
      <c r="E2597">
        <v>59.99</v>
      </c>
      <c r="F2597">
        <v>0</v>
      </c>
      <c r="H2597" t="s">
        <v>5065</v>
      </c>
      <c r="I2597">
        <v>0</v>
      </c>
      <c r="J2597">
        <v>0</v>
      </c>
      <c r="K2597">
        <v>0</v>
      </c>
    </row>
    <row r="2598" spans="1:11" x14ac:dyDescent="0.2">
      <c r="A2598" t="s">
        <v>5522</v>
      </c>
      <c r="B2598" t="s">
        <v>5523</v>
      </c>
      <c r="C2598" t="s">
        <v>5039</v>
      </c>
      <c r="D2598" t="s">
        <v>98</v>
      </c>
      <c r="E2598">
        <v>99.99</v>
      </c>
      <c r="F2598">
        <v>0</v>
      </c>
      <c r="H2598" t="s">
        <v>5065</v>
      </c>
      <c r="I2598">
        <v>0</v>
      </c>
      <c r="J2598">
        <v>0</v>
      </c>
      <c r="K2598">
        <v>0</v>
      </c>
    </row>
    <row r="2599" spans="1:11" x14ac:dyDescent="0.2">
      <c r="A2599" t="s">
        <v>3464</v>
      </c>
      <c r="B2599" t="s">
        <v>3465</v>
      </c>
      <c r="C2599" t="s">
        <v>3349</v>
      </c>
      <c r="D2599" t="s">
        <v>105</v>
      </c>
      <c r="E2599">
        <v>229.99</v>
      </c>
      <c r="F2599">
        <v>0</v>
      </c>
      <c r="H2599" t="s">
        <v>5065</v>
      </c>
      <c r="I2599">
        <v>0.5</v>
      </c>
      <c r="J2599">
        <v>86</v>
      </c>
      <c r="K2599">
        <v>43</v>
      </c>
    </row>
    <row r="2600" spans="1:11" x14ac:dyDescent="0.2">
      <c r="A2600" t="s">
        <v>5431</v>
      </c>
      <c r="B2600" t="s">
        <v>5432</v>
      </c>
      <c r="C2600" t="s">
        <v>3582</v>
      </c>
      <c r="D2600" t="s">
        <v>98</v>
      </c>
      <c r="E2600">
        <v>39.99</v>
      </c>
      <c r="F2600">
        <v>0</v>
      </c>
      <c r="H2600" t="s">
        <v>5065</v>
      </c>
      <c r="I2600">
        <v>0</v>
      </c>
      <c r="J2600">
        <v>0</v>
      </c>
      <c r="K2600">
        <v>0</v>
      </c>
    </row>
    <row r="2601" spans="1:11" x14ac:dyDescent="0.2">
      <c r="A2601" t="s">
        <v>3462</v>
      </c>
      <c r="B2601" t="s">
        <v>3463</v>
      </c>
      <c r="C2601" t="s">
        <v>3349</v>
      </c>
      <c r="D2601" t="s">
        <v>105</v>
      </c>
      <c r="E2601">
        <v>119.99</v>
      </c>
      <c r="F2601">
        <v>0</v>
      </c>
      <c r="G2601">
        <v>5</v>
      </c>
      <c r="H2601" t="s">
        <v>5065</v>
      </c>
      <c r="I2601">
        <v>0</v>
      </c>
      <c r="J2601">
        <v>0</v>
      </c>
      <c r="K2601">
        <v>0</v>
      </c>
    </row>
    <row r="2602" spans="1:11" x14ac:dyDescent="0.2">
      <c r="A2602" t="s">
        <v>3891</v>
      </c>
      <c r="B2602" t="s">
        <v>3892</v>
      </c>
      <c r="C2602" t="s">
        <v>3876</v>
      </c>
      <c r="D2602" t="s">
        <v>98</v>
      </c>
      <c r="E2602">
        <v>59.99</v>
      </c>
      <c r="F2602">
        <v>0</v>
      </c>
      <c r="H2602" t="s">
        <v>5065</v>
      </c>
      <c r="I2602">
        <v>0</v>
      </c>
      <c r="J2602">
        <v>0</v>
      </c>
      <c r="K2602">
        <v>0</v>
      </c>
    </row>
    <row r="2603" spans="1:11" x14ac:dyDescent="0.2">
      <c r="A2603" t="s">
        <v>289</v>
      </c>
      <c r="B2603" t="s">
        <v>290</v>
      </c>
      <c r="C2603" t="s">
        <v>288</v>
      </c>
      <c r="D2603" t="s">
        <v>98</v>
      </c>
      <c r="E2603">
        <v>0</v>
      </c>
      <c r="F2603">
        <v>0</v>
      </c>
      <c r="H2603" t="s">
        <v>5065</v>
      </c>
      <c r="I2603">
        <v>0</v>
      </c>
      <c r="J2603">
        <v>0</v>
      </c>
      <c r="K2603">
        <v>0</v>
      </c>
    </row>
    <row r="2604" spans="1:11" x14ac:dyDescent="0.2">
      <c r="A2604" t="s">
        <v>5046</v>
      </c>
      <c r="B2604" t="s">
        <v>5047</v>
      </c>
      <c r="C2604" t="s">
        <v>5039</v>
      </c>
      <c r="D2604" t="s">
        <v>98</v>
      </c>
      <c r="E2604">
        <v>149.99</v>
      </c>
      <c r="F2604">
        <v>0</v>
      </c>
      <c r="H2604" t="s">
        <v>5065</v>
      </c>
      <c r="I2604">
        <v>0</v>
      </c>
      <c r="J2604">
        <v>0</v>
      </c>
      <c r="K2604">
        <v>0</v>
      </c>
    </row>
    <row r="2605" spans="1:11" x14ac:dyDescent="0.2">
      <c r="A2605" t="s">
        <v>3893</v>
      </c>
      <c r="B2605" t="s">
        <v>3894</v>
      </c>
      <c r="C2605" t="s">
        <v>3876</v>
      </c>
      <c r="D2605" t="s">
        <v>98</v>
      </c>
      <c r="E2605">
        <v>59.99</v>
      </c>
      <c r="F2605">
        <v>0</v>
      </c>
      <c r="H2605" t="s">
        <v>5065</v>
      </c>
      <c r="I2605">
        <v>0</v>
      </c>
      <c r="J2605">
        <v>0</v>
      </c>
      <c r="K2605">
        <v>0</v>
      </c>
    </row>
    <row r="2606" spans="1:11" x14ac:dyDescent="0.2">
      <c r="A2606" t="s">
        <v>3219</v>
      </c>
      <c r="B2606" t="s">
        <v>3220</v>
      </c>
      <c r="C2606" t="s">
        <v>3188</v>
      </c>
      <c r="D2606" t="s">
        <v>98</v>
      </c>
      <c r="E2606">
        <v>44.99</v>
      </c>
      <c r="F2606">
        <v>0</v>
      </c>
      <c r="H2606" t="s">
        <v>5065</v>
      </c>
      <c r="I2606">
        <v>0</v>
      </c>
      <c r="J2606">
        <v>0</v>
      </c>
      <c r="K2606">
        <v>0</v>
      </c>
    </row>
    <row r="2607" spans="1:11" x14ac:dyDescent="0.2">
      <c r="A2607" t="s">
        <v>3976</v>
      </c>
      <c r="B2607" t="s">
        <v>3977</v>
      </c>
      <c r="C2607" t="s">
        <v>3929</v>
      </c>
      <c r="D2607" t="s">
        <v>138</v>
      </c>
      <c r="E2607">
        <v>99.99</v>
      </c>
      <c r="F2607">
        <v>0</v>
      </c>
      <c r="G2607">
        <v>37</v>
      </c>
      <c r="H2607" t="s">
        <v>5065</v>
      </c>
      <c r="I2607">
        <v>0</v>
      </c>
      <c r="J2607">
        <v>0</v>
      </c>
      <c r="K2607">
        <v>0</v>
      </c>
    </row>
    <row r="2608" spans="1:11" x14ac:dyDescent="0.2">
      <c r="A2608" t="s">
        <v>5029</v>
      </c>
      <c r="B2608" t="s">
        <v>5030</v>
      </c>
      <c r="C2608" t="s">
        <v>5010</v>
      </c>
      <c r="D2608" t="s">
        <v>98</v>
      </c>
      <c r="E2608">
        <v>799.99</v>
      </c>
      <c r="F2608">
        <v>0</v>
      </c>
      <c r="H2608" t="s">
        <v>5065</v>
      </c>
      <c r="I2608">
        <v>0</v>
      </c>
      <c r="J2608">
        <v>0</v>
      </c>
      <c r="K2608">
        <v>0</v>
      </c>
    </row>
    <row r="2609" spans="1:11" x14ac:dyDescent="0.2">
      <c r="A2609" t="s">
        <v>318</v>
      </c>
      <c r="B2609" t="s">
        <v>317</v>
      </c>
      <c r="C2609" t="s">
        <v>307</v>
      </c>
      <c r="D2609" t="s">
        <v>98</v>
      </c>
      <c r="E2609">
        <v>499.99</v>
      </c>
      <c r="F2609">
        <v>0</v>
      </c>
      <c r="H2609" t="s">
        <v>5065</v>
      </c>
      <c r="I2609">
        <v>0</v>
      </c>
      <c r="J2609">
        <v>0</v>
      </c>
      <c r="K2609">
        <v>0</v>
      </c>
    </row>
    <row r="2610" spans="1:11" x14ac:dyDescent="0.2">
      <c r="A2610" t="s">
        <v>5027</v>
      </c>
      <c r="B2610" t="s">
        <v>5028</v>
      </c>
      <c r="C2610" t="s">
        <v>5010</v>
      </c>
      <c r="D2610" t="s">
        <v>98</v>
      </c>
      <c r="E2610">
        <v>649.99</v>
      </c>
      <c r="F2610">
        <v>0</v>
      </c>
      <c r="H2610" t="s">
        <v>5065</v>
      </c>
      <c r="I2610">
        <v>0</v>
      </c>
      <c r="J2610">
        <v>0</v>
      </c>
      <c r="K2610">
        <v>0</v>
      </c>
    </row>
    <row r="2611" spans="1:11" x14ac:dyDescent="0.2">
      <c r="A2611" t="s">
        <v>5106</v>
      </c>
      <c r="B2611" t="s">
        <v>5107</v>
      </c>
      <c r="C2611" t="s">
        <v>3929</v>
      </c>
      <c r="D2611" t="s">
        <v>138</v>
      </c>
      <c r="E2611">
        <v>89.99</v>
      </c>
      <c r="F2611">
        <v>0</v>
      </c>
      <c r="G2611">
        <v>12</v>
      </c>
      <c r="H2611" t="s">
        <v>5065</v>
      </c>
      <c r="I2611">
        <v>0</v>
      </c>
      <c r="J2611">
        <v>0</v>
      </c>
      <c r="K2611">
        <v>0</v>
      </c>
    </row>
    <row r="2612" spans="1:11" x14ac:dyDescent="0.2">
      <c r="A2612" t="s">
        <v>3168</v>
      </c>
      <c r="B2612" t="s">
        <v>3169</v>
      </c>
      <c r="C2612" t="s">
        <v>3133</v>
      </c>
      <c r="D2612" t="s">
        <v>98</v>
      </c>
      <c r="E2612">
        <v>74.989999999999995</v>
      </c>
      <c r="F2612">
        <v>0</v>
      </c>
      <c r="H2612" t="s">
        <v>5065</v>
      </c>
      <c r="I2612">
        <v>0</v>
      </c>
      <c r="J2612">
        <v>0</v>
      </c>
      <c r="K2612">
        <v>0</v>
      </c>
    </row>
    <row r="2613" spans="1:11" x14ac:dyDescent="0.2">
      <c r="A2613" t="s">
        <v>4040</v>
      </c>
      <c r="B2613" t="s">
        <v>4041</v>
      </c>
      <c r="C2613" t="s">
        <v>3929</v>
      </c>
      <c r="D2613" t="s">
        <v>105</v>
      </c>
      <c r="E2613">
        <v>89.99</v>
      </c>
      <c r="F2613">
        <v>0</v>
      </c>
      <c r="G2613">
        <v>28</v>
      </c>
      <c r="H2613" t="s">
        <v>5065</v>
      </c>
      <c r="I2613">
        <v>0</v>
      </c>
      <c r="J2613">
        <v>0</v>
      </c>
      <c r="K2613">
        <v>0</v>
      </c>
    </row>
    <row r="2614" spans="1:11" x14ac:dyDescent="0.2">
      <c r="A2614" t="s">
        <v>3166</v>
      </c>
      <c r="B2614" t="s">
        <v>3167</v>
      </c>
      <c r="C2614" t="s">
        <v>3133</v>
      </c>
      <c r="D2614" t="s">
        <v>98</v>
      </c>
      <c r="E2614">
        <v>239.99</v>
      </c>
      <c r="F2614">
        <v>0</v>
      </c>
      <c r="H2614" t="s">
        <v>5065</v>
      </c>
      <c r="I2614">
        <v>0</v>
      </c>
      <c r="J2614">
        <v>0</v>
      </c>
      <c r="K2614">
        <v>0</v>
      </c>
    </row>
    <row r="2615" spans="1:11" x14ac:dyDescent="0.2">
      <c r="A2615" t="s">
        <v>319</v>
      </c>
      <c r="B2615" t="s">
        <v>320</v>
      </c>
      <c r="C2615" t="s">
        <v>307</v>
      </c>
      <c r="D2615" t="s">
        <v>98</v>
      </c>
      <c r="E2615">
        <v>649.99</v>
      </c>
      <c r="F2615">
        <v>0</v>
      </c>
      <c r="H2615" t="s">
        <v>5065</v>
      </c>
      <c r="I2615">
        <v>0</v>
      </c>
      <c r="J2615">
        <v>0</v>
      </c>
      <c r="K2615">
        <v>0</v>
      </c>
    </row>
    <row r="2616" spans="1:11" x14ac:dyDescent="0.2">
      <c r="A2616" t="s">
        <v>5294</v>
      </c>
      <c r="B2616" t="s">
        <v>5295</v>
      </c>
      <c r="C2616" t="s">
        <v>3929</v>
      </c>
      <c r="D2616" t="s">
        <v>98</v>
      </c>
      <c r="E2616">
        <v>89.99</v>
      </c>
      <c r="F2616">
        <v>0</v>
      </c>
      <c r="H2616" t="s">
        <v>5065</v>
      </c>
      <c r="I2616">
        <v>0</v>
      </c>
      <c r="J2616">
        <v>0</v>
      </c>
      <c r="K2616">
        <v>0</v>
      </c>
    </row>
    <row r="2617" spans="1:11" x14ac:dyDescent="0.2">
      <c r="A2617" t="s">
        <v>3164</v>
      </c>
      <c r="B2617" t="s">
        <v>3165</v>
      </c>
      <c r="C2617" t="s">
        <v>3133</v>
      </c>
      <c r="D2617" t="s">
        <v>98</v>
      </c>
      <c r="E2617">
        <v>99.99</v>
      </c>
      <c r="F2617">
        <v>0</v>
      </c>
      <c r="H2617" t="s">
        <v>5065</v>
      </c>
      <c r="I2617">
        <v>0</v>
      </c>
      <c r="J2617">
        <v>0</v>
      </c>
      <c r="K2617">
        <v>0</v>
      </c>
    </row>
    <row r="2618" spans="1:11" x14ac:dyDescent="0.2">
      <c r="A2618" t="s">
        <v>5019</v>
      </c>
      <c r="B2618" t="s">
        <v>5020</v>
      </c>
      <c r="C2618" t="s">
        <v>5010</v>
      </c>
      <c r="D2618" t="s">
        <v>98</v>
      </c>
      <c r="E2618">
        <v>22.99</v>
      </c>
      <c r="F2618">
        <v>0</v>
      </c>
      <c r="H2618" t="s">
        <v>5065</v>
      </c>
      <c r="I2618">
        <v>0</v>
      </c>
      <c r="J2618">
        <v>0</v>
      </c>
      <c r="K2618">
        <v>0</v>
      </c>
    </row>
    <row r="2619" spans="1:11" x14ac:dyDescent="0.2">
      <c r="A2619" t="s">
        <v>3162</v>
      </c>
      <c r="B2619" t="s">
        <v>3163</v>
      </c>
      <c r="C2619" t="s">
        <v>3133</v>
      </c>
      <c r="D2619" t="s">
        <v>98</v>
      </c>
      <c r="E2619">
        <v>119.99</v>
      </c>
      <c r="F2619">
        <v>0</v>
      </c>
      <c r="H2619" t="s">
        <v>5065</v>
      </c>
      <c r="I2619">
        <v>0</v>
      </c>
      <c r="J2619">
        <v>0</v>
      </c>
      <c r="K2619">
        <v>0</v>
      </c>
    </row>
    <row r="2620" spans="1:11" x14ac:dyDescent="0.2">
      <c r="A2620" t="s">
        <v>4042</v>
      </c>
      <c r="B2620" t="s">
        <v>4043</v>
      </c>
      <c r="C2620" t="s">
        <v>3929</v>
      </c>
      <c r="D2620" t="s">
        <v>105</v>
      </c>
      <c r="E2620">
        <v>109.99</v>
      </c>
      <c r="F2620">
        <v>0</v>
      </c>
      <c r="H2620" t="s">
        <v>5065</v>
      </c>
      <c r="I2620">
        <v>0</v>
      </c>
      <c r="J2620">
        <v>0</v>
      </c>
      <c r="K2620">
        <v>0</v>
      </c>
    </row>
    <row r="2621" spans="1:11" x14ac:dyDescent="0.2">
      <c r="A2621" t="s">
        <v>321</v>
      </c>
      <c r="B2621" t="s">
        <v>322</v>
      </c>
      <c r="C2621" t="s">
        <v>307</v>
      </c>
      <c r="D2621" t="s">
        <v>98</v>
      </c>
      <c r="E2621">
        <v>849.99</v>
      </c>
      <c r="F2621">
        <v>0</v>
      </c>
      <c r="H2621" t="s">
        <v>5065</v>
      </c>
      <c r="I2621">
        <v>0</v>
      </c>
      <c r="J2621">
        <v>0</v>
      </c>
      <c r="K2621">
        <v>0</v>
      </c>
    </row>
    <row r="2622" spans="1:11" x14ac:dyDescent="0.2">
      <c r="A2622" t="s">
        <v>3160</v>
      </c>
      <c r="B2622" t="s">
        <v>3161</v>
      </c>
      <c r="C2622" t="s">
        <v>3133</v>
      </c>
      <c r="D2622" t="s">
        <v>98</v>
      </c>
      <c r="E2622">
        <v>217.99</v>
      </c>
      <c r="F2622">
        <v>0</v>
      </c>
      <c r="H2622" t="s">
        <v>5065</v>
      </c>
      <c r="I2622">
        <v>0</v>
      </c>
      <c r="J2622">
        <v>0</v>
      </c>
      <c r="K2622">
        <v>0</v>
      </c>
    </row>
    <row r="2623" spans="1:11" x14ac:dyDescent="0.2">
      <c r="A2623" t="s">
        <v>4044</v>
      </c>
      <c r="B2623" t="s">
        <v>4045</v>
      </c>
      <c r="C2623" t="s">
        <v>3929</v>
      </c>
      <c r="D2623" t="s">
        <v>105</v>
      </c>
      <c r="E2623">
        <v>129.99</v>
      </c>
      <c r="F2623">
        <v>0</v>
      </c>
      <c r="H2623" t="s">
        <v>5065</v>
      </c>
      <c r="I2623">
        <v>0</v>
      </c>
      <c r="J2623">
        <v>0</v>
      </c>
      <c r="K2623">
        <v>0</v>
      </c>
    </row>
    <row r="2624" spans="1:11" x14ac:dyDescent="0.2">
      <c r="A2624" t="s">
        <v>3158</v>
      </c>
      <c r="B2624" t="s">
        <v>3159</v>
      </c>
      <c r="C2624" t="s">
        <v>3133</v>
      </c>
      <c r="D2624" t="s">
        <v>98</v>
      </c>
      <c r="E2624">
        <v>199.99</v>
      </c>
      <c r="F2624">
        <v>0</v>
      </c>
      <c r="H2624" t="s">
        <v>5065</v>
      </c>
      <c r="I2624">
        <v>0</v>
      </c>
      <c r="J2624">
        <v>0</v>
      </c>
      <c r="K2624">
        <v>0</v>
      </c>
    </row>
    <row r="2625" spans="1:11" x14ac:dyDescent="0.2">
      <c r="A2625" t="s">
        <v>5017</v>
      </c>
      <c r="B2625" t="s">
        <v>5018</v>
      </c>
      <c r="C2625" t="s">
        <v>5010</v>
      </c>
      <c r="D2625" t="s">
        <v>98</v>
      </c>
      <c r="E2625">
        <v>22.99</v>
      </c>
      <c r="F2625">
        <v>0</v>
      </c>
      <c r="H2625" t="s">
        <v>5065</v>
      </c>
      <c r="I2625">
        <v>0</v>
      </c>
      <c r="J2625">
        <v>0</v>
      </c>
      <c r="K2625">
        <v>0</v>
      </c>
    </row>
    <row r="2626" spans="1:11" x14ac:dyDescent="0.2">
      <c r="A2626" t="s">
        <v>5290</v>
      </c>
      <c r="B2626" t="s">
        <v>5291</v>
      </c>
      <c r="C2626" t="s">
        <v>3929</v>
      </c>
      <c r="D2626" t="s">
        <v>98</v>
      </c>
      <c r="E2626">
        <v>89.99</v>
      </c>
      <c r="F2626">
        <v>0</v>
      </c>
      <c r="H2626" t="s">
        <v>5065</v>
      </c>
      <c r="I2626">
        <v>0</v>
      </c>
      <c r="J2626">
        <v>0</v>
      </c>
      <c r="K2626">
        <v>0</v>
      </c>
    </row>
    <row r="2627" spans="1:11" x14ac:dyDescent="0.2">
      <c r="A2627" t="s">
        <v>3156</v>
      </c>
      <c r="B2627" t="s">
        <v>3157</v>
      </c>
      <c r="C2627" t="s">
        <v>3133</v>
      </c>
      <c r="D2627" t="s">
        <v>98</v>
      </c>
      <c r="E2627">
        <v>149.99</v>
      </c>
      <c r="F2627">
        <v>0</v>
      </c>
      <c r="H2627" t="s">
        <v>5065</v>
      </c>
      <c r="I2627">
        <v>0</v>
      </c>
      <c r="J2627">
        <v>0</v>
      </c>
      <c r="K2627">
        <v>0</v>
      </c>
    </row>
    <row r="2628" spans="1:11" x14ac:dyDescent="0.2">
      <c r="A2628" t="s">
        <v>325</v>
      </c>
      <c r="B2628" t="s">
        <v>326</v>
      </c>
      <c r="C2628" t="s">
        <v>307</v>
      </c>
      <c r="D2628" t="s">
        <v>98</v>
      </c>
      <c r="E2628">
        <v>849.99</v>
      </c>
      <c r="F2628">
        <v>0</v>
      </c>
      <c r="H2628" t="s">
        <v>5065</v>
      </c>
      <c r="I2628">
        <v>0</v>
      </c>
      <c r="J2628">
        <v>0</v>
      </c>
      <c r="K2628">
        <v>0</v>
      </c>
    </row>
    <row r="2629" spans="1:11" x14ac:dyDescent="0.2">
      <c r="A2629" t="s">
        <v>3154</v>
      </c>
      <c r="B2629" t="s">
        <v>3155</v>
      </c>
      <c r="C2629" t="s">
        <v>3133</v>
      </c>
      <c r="D2629" t="s">
        <v>98</v>
      </c>
      <c r="E2629">
        <v>99.99</v>
      </c>
      <c r="F2629">
        <v>0</v>
      </c>
      <c r="H2629" t="s">
        <v>5065</v>
      </c>
      <c r="I2629">
        <v>0</v>
      </c>
      <c r="J2629">
        <v>0</v>
      </c>
      <c r="K2629">
        <v>0</v>
      </c>
    </row>
    <row r="2630" spans="1:11" x14ac:dyDescent="0.2">
      <c r="A2630" t="s">
        <v>3170</v>
      </c>
      <c r="B2630" t="s">
        <v>3171</v>
      </c>
      <c r="C2630" t="s">
        <v>3133</v>
      </c>
      <c r="D2630" t="s">
        <v>98</v>
      </c>
      <c r="E2630">
        <v>179.99</v>
      </c>
      <c r="F2630">
        <v>0</v>
      </c>
      <c r="H2630" t="s">
        <v>5065</v>
      </c>
      <c r="I2630">
        <v>0</v>
      </c>
      <c r="J2630">
        <v>0</v>
      </c>
      <c r="K2630">
        <v>0</v>
      </c>
    </row>
    <row r="2631" spans="1:11" x14ac:dyDescent="0.2">
      <c r="A2631" t="s">
        <v>4046</v>
      </c>
      <c r="B2631" t="s">
        <v>4047</v>
      </c>
      <c r="C2631" t="s">
        <v>3929</v>
      </c>
      <c r="D2631" t="s">
        <v>105</v>
      </c>
      <c r="E2631">
        <v>89.99</v>
      </c>
      <c r="F2631">
        <v>0</v>
      </c>
      <c r="G2631">
        <v>16</v>
      </c>
      <c r="H2631" t="s">
        <v>5065</v>
      </c>
      <c r="I2631">
        <v>0</v>
      </c>
      <c r="J2631">
        <v>0</v>
      </c>
      <c r="K2631">
        <v>0</v>
      </c>
    </row>
    <row r="2632" spans="1:11" x14ac:dyDescent="0.2">
      <c r="A2632" t="s">
        <v>5108</v>
      </c>
      <c r="B2632" t="s">
        <v>5109</v>
      </c>
      <c r="C2632" t="s">
        <v>3929</v>
      </c>
      <c r="D2632" t="s">
        <v>98</v>
      </c>
      <c r="E2632">
        <v>89.99</v>
      </c>
      <c r="F2632">
        <v>0</v>
      </c>
      <c r="H2632" t="s">
        <v>5065</v>
      </c>
      <c r="I2632">
        <v>0</v>
      </c>
      <c r="J2632">
        <v>0</v>
      </c>
      <c r="K2632">
        <v>0</v>
      </c>
    </row>
    <row r="2633" spans="1:11" x14ac:dyDescent="0.2">
      <c r="A2633" t="s">
        <v>4038</v>
      </c>
      <c r="B2633" t="s">
        <v>4039</v>
      </c>
      <c r="C2633" t="s">
        <v>3929</v>
      </c>
      <c r="D2633" t="s">
        <v>98</v>
      </c>
      <c r="E2633">
        <v>219.99</v>
      </c>
      <c r="F2633">
        <v>0</v>
      </c>
      <c r="H2633" t="s">
        <v>5065</v>
      </c>
      <c r="I2633">
        <v>0</v>
      </c>
      <c r="J2633">
        <v>0</v>
      </c>
      <c r="K2633">
        <v>0</v>
      </c>
    </row>
    <row r="2634" spans="1:11" x14ac:dyDescent="0.2">
      <c r="A2634" t="s">
        <v>5126</v>
      </c>
      <c r="B2634" t="s">
        <v>5127</v>
      </c>
      <c r="C2634" t="s">
        <v>3929</v>
      </c>
      <c r="D2634" t="s">
        <v>105</v>
      </c>
      <c r="E2634">
        <v>129.99</v>
      </c>
      <c r="F2634">
        <v>0</v>
      </c>
      <c r="G2634">
        <v>24</v>
      </c>
      <c r="H2634" t="s">
        <v>5065</v>
      </c>
      <c r="I2634">
        <v>0</v>
      </c>
      <c r="J2634">
        <v>0</v>
      </c>
      <c r="K2634">
        <v>1</v>
      </c>
    </row>
    <row r="2635" spans="1:11" x14ac:dyDescent="0.2">
      <c r="A2635" t="s">
        <v>390</v>
      </c>
      <c r="B2635" t="s">
        <v>391</v>
      </c>
      <c r="C2635" t="s">
        <v>307</v>
      </c>
      <c r="D2635" t="s">
        <v>98</v>
      </c>
      <c r="E2635">
        <v>289.99</v>
      </c>
      <c r="F2635">
        <v>0</v>
      </c>
      <c r="H2635" t="s">
        <v>5065</v>
      </c>
      <c r="I2635">
        <v>0</v>
      </c>
      <c r="J2635">
        <v>0</v>
      </c>
      <c r="K2635">
        <v>0</v>
      </c>
    </row>
    <row r="2636" spans="1:11" x14ac:dyDescent="0.2">
      <c r="A2636" t="s">
        <v>5035</v>
      </c>
      <c r="B2636" t="s">
        <v>5036</v>
      </c>
      <c r="C2636" t="s">
        <v>5010</v>
      </c>
      <c r="D2636" t="s">
        <v>98</v>
      </c>
      <c r="E2636">
        <v>22.99</v>
      </c>
      <c r="F2636">
        <v>0</v>
      </c>
      <c r="H2636" t="s">
        <v>5065</v>
      </c>
      <c r="I2636">
        <v>0</v>
      </c>
      <c r="J2636">
        <v>0</v>
      </c>
      <c r="K2636">
        <v>0</v>
      </c>
    </row>
    <row r="2637" spans="1:11" x14ac:dyDescent="0.2">
      <c r="A2637" t="s">
        <v>5274</v>
      </c>
      <c r="B2637" t="s">
        <v>5275</v>
      </c>
      <c r="C2637" t="s">
        <v>3188</v>
      </c>
      <c r="D2637" t="s">
        <v>98</v>
      </c>
      <c r="E2637">
        <v>19.989999999999998</v>
      </c>
      <c r="F2637">
        <v>0</v>
      </c>
      <c r="H2637" t="s">
        <v>5065</v>
      </c>
      <c r="I2637">
        <v>0</v>
      </c>
      <c r="J2637">
        <v>0</v>
      </c>
      <c r="K2637">
        <v>0</v>
      </c>
    </row>
    <row r="2638" spans="1:11" x14ac:dyDescent="0.2">
      <c r="A2638" t="s">
        <v>5270</v>
      </c>
      <c r="B2638" t="s">
        <v>5271</v>
      </c>
      <c r="C2638" t="s">
        <v>3929</v>
      </c>
      <c r="D2638" t="s">
        <v>98</v>
      </c>
      <c r="E2638">
        <v>219.99</v>
      </c>
      <c r="F2638">
        <v>0</v>
      </c>
      <c r="H2638" t="s">
        <v>5065</v>
      </c>
      <c r="I2638">
        <v>0</v>
      </c>
      <c r="J2638">
        <v>0</v>
      </c>
      <c r="K2638">
        <v>0</v>
      </c>
    </row>
    <row r="2639" spans="1:11" x14ac:dyDescent="0.2">
      <c r="A2639" t="s">
        <v>5286</v>
      </c>
      <c r="B2639" t="s">
        <v>5287</v>
      </c>
      <c r="C2639" t="s">
        <v>3188</v>
      </c>
      <c r="D2639" t="s">
        <v>98</v>
      </c>
      <c r="E2639">
        <v>19.989999999999998</v>
      </c>
      <c r="F2639">
        <v>0</v>
      </c>
      <c r="H2639" t="s">
        <v>5065</v>
      </c>
      <c r="I2639">
        <v>0</v>
      </c>
      <c r="J2639">
        <v>0</v>
      </c>
      <c r="K2639">
        <v>0</v>
      </c>
    </row>
    <row r="2640" spans="1:11" x14ac:dyDescent="0.2">
      <c r="A2640" t="s">
        <v>3189</v>
      </c>
      <c r="B2640" t="s">
        <v>3190</v>
      </c>
      <c r="C2640" t="s">
        <v>3188</v>
      </c>
      <c r="D2640" t="s">
        <v>98</v>
      </c>
      <c r="E2640">
        <v>19.989999999999998</v>
      </c>
      <c r="F2640">
        <v>0</v>
      </c>
      <c r="H2640" t="s">
        <v>5065</v>
      </c>
      <c r="I2640">
        <v>0</v>
      </c>
      <c r="J2640">
        <v>0</v>
      </c>
      <c r="K2640">
        <v>0</v>
      </c>
    </row>
    <row r="2641" spans="1:11" x14ac:dyDescent="0.2">
      <c r="A2641" t="s">
        <v>5278</v>
      </c>
      <c r="B2641" t="s">
        <v>5279</v>
      </c>
      <c r="C2641" t="s">
        <v>3929</v>
      </c>
      <c r="D2641" t="s">
        <v>98</v>
      </c>
      <c r="E2641">
        <v>29.99</v>
      </c>
      <c r="F2641">
        <v>0</v>
      </c>
      <c r="H2641" t="s">
        <v>5065</v>
      </c>
      <c r="I2641">
        <v>0</v>
      </c>
      <c r="J2641">
        <v>0</v>
      </c>
      <c r="K2641">
        <v>0</v>
      </c>
    </row>
    <row r="2642" spans="1:11" x14ac:dyDescent="0.2">
      <c r="A2642" t="s">
        <v>346</v>
      </c>
      <c r="B2642" t="s">
        <v>347</v>
      </c>
      <c r="C2642" t="s">
        <v>307</v>
      </c>
      <c r="D2642" t="s">
        <v>98</v>
      </c>
      <c r="E2642">
        <v>419.99</v>
      </c>
      <c r="F2642">
        <v>0</v>
      </c>
      <c r="H2642" t="s">
        <v>5065</v>
      </c>
      <c r="I2642">
        <v>0</v>
      </c>
      <c r="J2642">
        <v>0</v>
      </c>
      <c r="K2642">
        <v>0</v>
      </c>
    </row>
    <row r="2643" spans="1:11" x14ac:dyDescent="0.2">
      <c r="A2643" t="s">
        <v>5033</v>
      </c>
      <c r="B2643" t="s">
        <v>5034</v>
      </c>
      <c r="C2643" t="s">
        <v>5010</v>
      </c>
      <c r="D2643" t="s">
        <v>98</v>
      </c>
      <c r="E2643">
        <v>199.99</v>
      </c>
      <c r="F2643">
        <v>0</v>
      </c>
      <c r="H2643" t="s">
        <v>5065</v>
      </c>
      <c r="I2643">
        <v>0</v>
      </c>
      <c r="J2643">
        <v>0</v>
      </c>
      <c r="K2643">
        <v>0</v>
      </c>
    </row>
    <row r="2644" spans="1:11" x14ac:dyDescent="0.2">
      <c r="A2644" t="s">
        <v>3186</v>
      </c>
      <c r="B2644" t="s">
        <v>3187</v>
      </c>
      <c r="C2644" t="s">
        <v>3183</v>
      </c>
      <c r="D2644" t="s">
        <v>98</v>
      </c>
      <c r="E2644">
        <v>29.99</v>
      </c>
      <c r="F2644">
        <v>0</v>
      </c>
      <c r="H2644" t="s">
        <v>5065</v>
      </c>
      <c r="I2644">
        <v>0</v>
      </c>
      <c r="J2644">
        <v>0</v>
      </c>
      <c r="K2644">
        <v>0</v>
      </c>
    </row>
    <row r="2645" spans="1:11" x14ac:dyDescent="0.2">
      <c r="A2645" t="s">
        <v>3184</v>
      </c>
      <c r="B2645" t="s">
        <v>3185</v>
      </c>
      <c r="C2645" t="s">
        <v>3183</v>
      </c>
      <c r="D2645" t="s">
        <v>98</v>
      </c>
      <c r="E2645">
        <v>29.99</v>
      </c>
      <c r="F2645">
        <v>0</v>
      </c>
      <c r="H2645" t="s">
        <v>5065</v>
      </c>
      <c r="I2645">
        <v>0</v>
      </c>
      <c r="J2645">
        <v>0</v>
      </c>
      <c r="K2645">
        <v>0</v>
      </c>
    </row>
    <row r="2646" spans="1:11" x14ac:dyDescent="0.2">
      <c r="A2646" t="s">
        <v>310</v>
      </c>
      <c r="B2646" t="s">
        <v>311</v>
      </c>
      <c r="C2646" t="s">
        <v>307</v>
      </c>
      <c r="D2646" t="s">
        <v>98</v>
      </c>
      <c r="E2646">
        <v>449.99</v>
      </c>
      <c r="F2646">
        <v>0</v>
      </c>
      <c r="H2646" t="s">
        <v>5065</v>
      </c>
      <c r="I2646">
        <v>0</v>
      </c>
      <c r="J2646">
        <v>0</v>
      </c>
      <c r="K2646">
        <v>0</v>
      </c>
    </row>
    <row r="2647" spans="1:11" x14ac:dyDescent="0.2">
      <c r="A2647" t="s">
        <v>5031</v>
      </c>
      <c r="B2647" t="s">
        <v>5032</v>
      </c>
      <c r="C2647" t="s">
        <v>5010</v>
      </c>
      <c r="D2647" t="s">
        <v>98</v>
      </c>
      <c r="E2647">
        <v>449.99</v>
      </c>
      <c r="F2647">
        <v>0</v>
      </c>
      <c r="H2647" t="s">
        <v>5065</v>
      </c>
      <c r="I2647">
        <v>0</v>
      </c>
      <c r="J2647">
        <v>0</v>
      </c>
      <c r="K2647">
        <v>0</v>
      </c>
    </row>
    <row r="2648" spans="1:11" x14ac:dyDescent="0.2">
      <c r="A2648" t="s">
        <v>4012</v>
      </c>
      <c r="B2648" t="s">
        <v>4013</v>
      </c>
      <c r="C2648" t="s">
        <v>3929</v>
      </c>
      <c r="D2648" t="s">
        <v>98</v>
      </c>
      <c r="E2648">
        <v>79.989999999999995</v>
      </c>
      <c r="F2648">
        <v>0</v>
      </c>
      <c r="H2648" t="s">
        <v>5065</v>
      </c>
      <c r="I2648">
        <v>0</v>
      </c>
      <c r="J2648">
        <v>0</v>
      </c>
      <c r="K2648">
        <v>0</v>
      </c>
    </row>
    <row r="2649" spans="1:11" x14ac:dyDescent="0.2">
      <c r="A2649" t="s">
        <v>3180</v>
      </c>
      <c r="B2649" t="s">
        <v>3181</v>
      </c>
      <c r="C2649" t="s">
        <v>3133</v>
      </c>
      <c r="D2649" t="s">
        <v>98</v>
      </c>
      <c r="E2649">
        <v>131.99</v>
      </c>
      <c r="F2649">
        <v>0</v>
      </c>
      <c r="H2649" t="s">
        <v>5065</v>
      </c>
      <c r="I2649">
        <v>0</v>
      </c>
      <c r="J2649">
        <v>0</v>
      </c>
      <c r="K2649">
        <v>0</v>
      </c>
    </row>
    <row r="2650" spans="1:11" x14ac:dyDescent="0.2">
      <c r="A2650" t="s">
        <v>5081</v>
      </c>
      <c r="B2650" t="s">
        <v>5082</v>
      </c>
      <c r="C2650" t="s">
        <v>3929</v>
      </c>
      <c r="D2650" t="s">
        <v>138</v>
      </c>
      <c r="E2650">
        <v>59.99</v>
      </c>
      <c r="F2650">
        <v>0</v>
      </c>
      <c r="H2650" t="s">
        <v>5065</v>
      </c>
      <c r="I2650">
        <v>0</v>
      </c>
      <c r="J2650">
        <v>0</v>
      </c>
      <c r="K2650">
        <v>1</v>
      </c>
    </row>
    <row r="2651" spans="1:11" x14ac:dyDescent="0.2">
      <c r="A2651" t="s">
        <v>3178</v>
      </c>
      <c r="B2651" t="s">
        <v>3179</v>
      </c>
      <c r="C2651" t="s">
        <v>3133</v>
      </c>
      <c r="D2651" t="s">
        <v>98</v>
      </c>
      <c r="E2651">
        <v>229.99</v>
      </c>
      <c r="F2651">
        <v>0</v>
      </c>
      <c r="H2651" t="s">
        <v>5065</v>
      </c>
      <c r="I2651">
        <v>0</v>
      </c>
      <c r="J2651">
        <v>0</v>
      </c>
      <c r="K2651">
        <v>0</v>
      </c>
    </row>
    <row r="2652" spans="1:11" x14ac:dyDescent="0.2">
      <c r="A2652" t="s">
        <v>3176</v>
      </c>
      <c r="B2652" t="s">
        <v>3177</v>
      </c>
      <c r="C2652" t="s">
        <v>3133</v>
      </c>
      <c r="D2652" t="s">
        <v>98</v>
      </c>
      <c r="E2652">
        <v>99.99</v>
      </c>
      <c r="F2652">
        <v>0</v>
      </c>
      <c r="H2652" t="s">
        <v>5065</v>
      </c>
      <c r="I2652">
        <v>0</v>
      </c>
      <c r="J2652">
        <v>0</v>
      </c>
      <c r="K2652">
        <v>0</v>
      </c>
    </row>
    <row r="2653" spans="1:11" x14ac:dyDescent="0.2">
      <c r="A2653" t="s">
        <v>312</v>
      </c>
      <c r="B2653" t="s">
        <v>313</v>
      </c>
      <c r="C2653" t="s">
        <v>307</v>
      </c>
      <c r="D2653" t="s">
        <v>98</v>
      </c>
      <c r="E2653">
        <v>549.99</v>
      </c>
      <c r="F2653">
        <v>0</v>
      </c>
      <c r="H2653" t="s">
        <v>5065</v>
      </c>
      <c r="I2653">
        <v>0</v>
      </c>
      <c r="J2653">
        <v>0</v>
      </c>
      <c r="K2653">
        <v>0</v>
      </c>
    </row>
    <row r="2654" spans="1:11" x14ac:dyDescent="0.2">
      <c r="A2654" t="s">
        <v>3174</v>
      </c>
      <c r="B2654" t="s">
        <v>3175</v>
      </c>
      <c r="C2654" t="s">
        <v>3133</v>
      </c>
      <c r="D2654" t="s">
        <v>98</v>
      </c>
      <c r="E2654">
        <v>329.99</v>
      </c>
      <c r="F2654">
        <v>0</v>
      </c>
      <c r="H2654" t="s">
        <v>5065</v>
      </c>
      <c r="I2654">
        <v>0</v>
      </c>
      <c r="J2654">
        <v>0</v>
      </c>
      <c r="K2654">
        <v>0</v>
      </c>
    </row>
    <row r="2655" spans="1:11" x14ac:dyDescent="0.2">
      <c r="A2655" t="s">
        <v>3172</v>
      </c>
      <c r="B2655" t="s">
        <v>3173</v>
      </c>
      <c r="C2655" t="s">
        <v>3133</v>
      </c>
      <c r="D2655" t="s">
        <v>98</v>
      </c>
      <c r="E2655">
        <v>139.99</v>
      </c>
      <c r="F2655">
        <v>0</v>
      </c>
      <c r="H2655" t="s">
        <v>5065</v>
      </c>
      <c r="I2655">
        <v>0</v>
      </c>
      <c r="J2655">
        <v>0</v>
      </c>
      <c r="K2655">
        <v>0</v>
      </c>
    </row>
    <row r="2656" spans="1:11" x14ac:dyDescent="0.2">
      <c r="A2656" t="s">
        <v>3152</v>
      </c>
      <c r="B2656" t="s">
        <v>3153</v>
      </c>
      <c r="C2656" t="s">
        <v>3133</v>
      </c>
      <c r="D2656" t="s">
        <v>98</v>
      </c>
      <c r="E2656">
        <v>79.989999999999995</v>
      </c>
      <c r="F2656">
        <v>0</v>
      </c>
      <c r="H2656" t="s">
        <v>5065</v>
      </c>
      <c r="I2656">
        <v>0</v>
      </c>
      <c r="J2656">
        <v>0</v>
      </c>
      <c r="K2656">
        <v>0</v>
      </c>
    </row>
    <row r="2657" spans="1:11" x14ac:dyDescent="0.2">
      <c r="A2657" t="s">
        <v>5015</v>
      </c>
      <c r="B2657" t="s">
        <v>5016</v>
      </c>
      <c r="C2657" t="s">
        <v>5010</v>
      </c>
      <c r="D2657" t="s">
        <v>98</v>
      </c>
      <c r="E2657">
        <v>22.99</v>
      </c>
      <c r="F2657">
        <v>0</v>
      </c>
      <c r="H2657" t="s">
        <v>5065</v>
      </c>
      <c r="I2657">
        <v>0</v>
      </c>
      <c r="J2657">
        <v>0</v>
      </c>
      <c r="K2657">
        <v>0</v>
      </c>
    </row>
    <row r="2658" spans="1:11" x14ac:dyDescent="0.2">
      <c r="A2658" t="s">
        <v>4051</v>
      </c>
      <c r="B2658" t="s">
        <v>4052</v>
      </c>
      <c r="C2658" t="s">
        <v>3929</v>
      </c>
      <c r="D2658" t="s">
        <v>105</v>
      </c>
      <c r="E2658">
        <v>129.99</v>
      </c>
      <c r="F2658">
        <v>0</v>
      </c>
      <c r="H2658" t="s">
        <v>5065</v>
      </c>
      <c r="I2658">
        <v>0</v>
      </c>
      <c r="J2658">
        <v>0</v>
      </c>
      <c r="K2658">
        <v>0</v>
      </c>
    </row>
    <row r="2659" spans="1:11" x14ac:dyDescent="0.2">
      <c r="A2659" t="s">
        <v>5083</v>
      </c>
      <c r="B2659" t="s">
        <v>5084</v>
      </c>
      <c r="C2659" t="s">
        <v>3929</v>
      </c>
      <c r="D2659" t="s">
        <v>138</v>
      </c>
      <c r="E2659">
        <v>64.989999999999995</v>
      </c>
      <c r="F2659">
        <v>0</v>
      </c>
      <c r="H2659" t="s">
        <v>5065</v>
      </c>
      <c r="I2659">
        <v>0</v>
      </c>
      <c r="J2659">
        <v>0</v>
      </c>
      <c r="K2659">
        <v>26</v>
      </c>
    </row>
    <row r="2660" spans="1:11" x14ac:dyDescent="0.2">
      <c r="A2660" t="s">
        <v>5005</v>
      </c>
      <c r="B2660" t="s">
        <v>5006</v>
      </c>
      <c r="C2660" t="s">
        <v>4905</v>
      </c>
      <c r="D2660" t="s">
        <v>105</v>
      </c>
      <c r="E2660">
        <v>199</v>
      </c>
      <c r="F2660">
        <v>0</v>
      </c>
      <c r="H2660" t="s">
        <v>5065</v>
      </c>
      <c r="I2660">
        <v>0</v>
      </c>
      <c r="J2660">
        <v>0</v>
      </c>
      <c r="K2660">
        <v>44</v>
      </c>
    </row>
    <row r="2661" spans="1:11" x14ac:dyDescent="0.2">
      <c r="A2661" t="s">
        <v>5075</v>
      </c>
      <c r="B2661" t="s">
        <v>5076</v>
      </c>
      <c r="C2661" t="s">
        <v>3929</v>
      </c>
      <c r="D2661" t="s">
        <v>98</v>
      </c>
      <c r="E2661">
        <v>74.989999999999995</v>
      </c>
      <c r="F2661">
        <v>0</v>
      </c>
      <c r="H2661" t="s">
        <v>5065</v>
      </c>
      <c r="I2661">
        <v>0</v>
      </c>
      <c r="J2661">
        <v>0</v>
      </c>
      <c r="K2661">
        <v>0</v>
      </c>
    </row>
    <row r="2662" spans="1:11" x14ac:dyDescent="0.2">
      <c r="A2662" t="s">
        <v>350</v>
      </c>
      <c r="B2662" t="s">
        <v>351</v>
      </c>
      <c r="C2662" t="s">
        <v>307</v>
      </c>
      <c r="D2662" t="s">
        <v>98</v>
      </c>
      <c r="E2662">
        <v>399.99</v>
      </c>
      <c r="F2662">
        <v>0</v>
      </c>
      <c r="H2662" t="s">
        <v>5065</v>
      </c>
      <c r="I2662">
        <v>0</v>
      </c>
      <c r="J2662">
        <v>0</v>
      </c>
      <c r="K2662">
        <v>0</v>
      </c>
    </row>
    <row r="2663" spans="1:11" x14ac:dyDescent="0.2">
      <c r="A2663" t="s">
        <v>5594</v>
      </c>
      <c r="B2663" t="s">
        <v>5595</v>
      </c>
      <c r="C2663" t="s">
        <v>2415</v>
      </c>
      <c r="D2663" t="s">
        <v>98</v>
      </c>
      <c r="E2663">
        <v>139.99</v>
      </c>
      <c r="F2663">
        <v>0</v>
      </c>
      <c r="H2663" t="s">
        <v>5065</v>
      </c>
      <c r="I2663">
        <v>0</v>
      </c>
      <c r="J2663">
        <v>0</v>
      </c>
      <c r="K2663">
        <v>0</v>
      </c>
    </row>
    <row r="2664" spans="1:11" x14ac:dyDescent="0.2">
      <c r="A2664" t="s">
        <v>5588</v>
      </c>
      <c r="B2664" t="s">
        <v>5589</v>
      </c>
      <c r="C2664" t="s">
        <v>2415</v>
      </c>
      <c r="D2664" t="s">
        <v>98</v>
      </c>
      <c r="E2664">
        <v>449</v>
      </c>
      <c r="F2664">
        <v>0</v>
      </c>
      <c r="H2664" t="s">
        <v>5065</v>
      </c>
      <c r="I2664">
        <v>0</v>
      </c>
      <c r="J2664">
        <v>0</v>
      </c>
      <c r="K2664">
        <v>0</v>
      </c>
    </row>
    <row r="2665" spans="1:11" x14ac:dyDescent="0.2">
      <c r="A2665" t="s">
        <v>5002</v>
      </c>
      <c r="B2665" t="s">
        <v>5003</v>
      </c>
      <c r="C2665" t="s">
        <v>4905</v>
      </c>
      <c r="D2665" t="s">
        <v>105</v>
      </c>
      <c r="E2665">
        <v>219</v>
      </c>
      <c r="F2665">
        <v>0</v>
      </c>
      <c r="G2665">
        <v>14</v>
      </c>
      <c r="H2665" t="s">
        <v>5065</v>
      </c>
      <c r="I2665">
        <v>0</v>
      </c>
      <c r="J2665">
        <v>0</v>
      </c>
      <c r="K2665">
        <v>0</v>
      </c>
    </row>
    <row r="2666" spans="1:11" x14ac:dyDescent="0.2">
      <c r="A2666" t="s">
        <v>5592</v>
      </c>
      <c r="B2666" t="s">
        <v>5593</v>
      </c>
      <c r="C2666" t="s">
        <v>2415</v>
      </c>
      <c r="D2666" t="s">
        <v>98</v>
      </c>
      <c r="E2666">
        <v>139.99</v>
      </c>
      <c r="F2666">
        <v>0</v>
      </c>
      <c r="H2666" t="s">
        <v>5065</v>
      </c>
      <c r="I2666">
        <v>0</v>
      </c>
      <c r="J2666">
        <v>0</v>
      </c>
      <c r="K2666">
        <v>0</v>
      </c>
    </row>
    <row r="2667" spans="1:11" x14ac:dyDescent="0.2">
      <c r="A2667" t="s">
        <v>4079</v>
      </c>
      <c r="B2667" t="s">
        <v>4080</v>
      </c>
      <c r="C2667" t="s">
        <v>3929</v>
      </c>
      <c r="D2667" t="s">
        <v>98</v>
      </c>
      <c r="E2667">
        <v>199.99</v>
      </c>
      <c r="F2667">
        <v>0</v>
      </c>
      <c r="H2667" t="s">
        <v>5065</v>
      </c>
      <c r="I2667">
        <v>0</v>
      </c>
      <c r="J2667">
        <v>0</v>
      </c>
      <c r="K2667">
        <v>0</v>
      </c>
    </row>
    <row r="2668" spans="1:11" x14ac:dyDescent="0.2">
      <c r="A2668" t="s">
        <v>4081</v>
      </c>
      <c r="B2668" t="s">
        <v>4082</v>
      </c>
      <c r="C2668" t="s">
        <v>3929</v>
      </c>
      <c r="D2668" t="s">
        <v>105</v>
      </c>
      <c r="E2668">
        <v>109.99</v>
      </c>
      <c r="F2668">
        <v>0</v>
      </c>
      <c r="H2668" t="s">
        <v>5065</v>
      </c>
      <c r="I2668">
        <v>0</v>
      </c>
      <c r="J2668">
        <v>0</v>
      </c>
      <c r="K2668">
        <v>0</v>
      </c>
    </row>
    <row r="2669" spans="1:11" x14ac:dyDescent="0.2">
      <c r="A2669" t="s">
        <v>5427</v>
      </c>
      <c r="B2669" t="s">
        <v>5428</v>
      </c>
      <c r="C2669" t="s">
        <v>2415</v>
      </c>
      <c r="D2669" t="s">
        <v>98</v>
      </c>
      <c r="E2669">
        <v>189.99</v>
      </c>
      <c r="F2669">
        <v>0</v>
      </c>
      <c r="H2669" t="s">
        <v>5065</v>
      </c>
      <c r="I2669">
        <v>0</v>
      </c>
      <c r="J2669">
        <v>0</v>
      </c>
      <c r="K2669">
        <v>0</v>
      </c>
    </row>
    <row r="2670" spans="1:11" x14ac:dyDescent="0.2">
      <c r="A2670" t="s">
        <v>5445</v>
      </c>
      <c r="B2670" t="s">
        <v>5446</v>
      </c>
      <c r="C2670" t="s">
        <v>2415</v>
      </c>
      <c r="D2670" t="s">
        <v>98</v>
      </c>
      <c r="E2670">
        <v>199.99</v>
      </c>
      <c r="F2670">
        <v>0</v>
      </c>
      <c r="H2670" t="s">
        <v>5065</v>
      </c>
      <c r="I2670">
        <v>0</v>
      </c>
      <c r="J2670">
        <v>0</v>
      </c>
      <c r="K2670">
        <v>0</v>
      </c>
    </row>
    <row r="2671" spans="1:11" x14ac:dyDescent="0.2">
      <c r="A2671" t="s">
        <v>5437</v>
      </c>
      <c r="B2671" t="s">
        <v>5438</v>
      </c>
      <c r="C2671" t="s">
        <v>3929</v>
      </c>
      <c r="D2671" t="s">
        <v>98</v>
      </c>
      <c r="E2671">
        <v>74.989999999999995</v>
      </c>
      <c r="F2671">
        <v>0</v>
      </c>
      <c r="H2671" t="s">
        <v>5065</v>
      </c>
      <c r="I2671">
        <v>0</v>
      </c>
      <c r="J2671">
        <v>0</v>
      </c>
      <c r="K2671">
        <v>0</v>
      </c>
    </row>
    <row r="2672" spans="1:11" x14ac:dyDescent="0.2">
      <c r="A2672" t="s">
        <v>5552</v>
      </c>
      <c r="B2672" t="s">
        <v>5553</v>
      </c>
      <c r="C2672" t="s">
        <v>3929</v>
      </c>
      <c r="D2672" t="s">
        <v>98</v>
      </c>
      <c r="E2672">
        <v>44.99</v>
      </c>
      <c r="F2672">
        <v>0</v>
      </c>
      <c r="H2672" t="s">
        <v>5065</v>
      </c>
      <c r="I2672">
        <v>0</v>
      </c>
      <c r="J2672">
        <v>0</v>
      </c>
      <c r="K2672">
        <v>0</v>
      </c>
    </row>
    <row r="2673" spans="1:11" x14ac:dyDescent="0.2">
      <c r="A2673" t="s">
        <v>329</v>
      </c>
      <c r="B2673" t="s">
        <v>328</v>
      </c>
      <c r="C2673" t="s">
        <v>307</v>
      </c>
      <c r="D2673" t="s">
        <v>105</v>
      </c>
      <c r="E2673">
        <v>1799.99</v>
      </c>
      <c r="F2673">
        <v>0</v>
      </c>
      <c r="G2673">
        <v>1</v>
      </c>
      <c r="H2673" t="s">
        <v>5065</v>
      </c>
      <c r="I2673">
        <v>0</v>
      </c>
      <c r="J2673">
        <v>0</v>
      </c>
      <c r="K2673">
        <v>0</v>
      </c>
    </row>
    <row r="2674" spans="1:11" x14ac:dyDescent="0.2">
      <c r="A2674" t="s">
        <v>3150</v>
      </c>
      <c r="B2674" t="s">
        <v>3151</v>
      </c>
      <c r="C2674" t="s">
        <v>3133</v>
      </c>
      <c r="D2674" t="s">
        <v>98</v>
      </c>
      <c r="E2674">
        <v>59.99</v>
      </c>
      <c r="F2674">
        <v>0</v>
      </c>
      <c r="H2674" t="s">
        <v>5065</v>
      </c>
      <c r="I2674">
        <v>0</v>
      </c>
      <c r="J2674">
        <v>0</v>
      </c>
      <c r="K2674">
        <v>0</v>
      </c>
    </row>
    <row r="2675" spans="1:11" x14ac:dyDescent="0.2">
      <c r="A2675" t="s">
        <v>4053</v>
      </c>
      <c r="B2675" t="s">
        <v>4054</v>
      </c>
      <c r="C2675" t="s">
        <v>3929</v>
      </c>
      <c r="D2675" t="s">
        <v>105</v>
      </c>
      <c r="E2675">
        <v>149.99</v>
      </c>
      <c r="F2675">
        <v>0</v>
      </c>
      <c r="G2675">
        <v>24</v>
      </c>
      <c r="H2675" t="s">
        <v>5065</v>
      </c>
      <c r="I2675">
        <v>0</v>
      </c>
      <c r="J2675">
        <v>0</v>
      </c>
      <c r="K2675">
        <v>0</v>
      </c>
    </row>
    <row r="2676" spans="1:11" x14ac:dyDescent="0.2">
      <c r="A2676" t="s">
        <v>3148</v>
      </c>
      <c r="B2676" t="s">
        <v>3149</v>
      </c>
      <c r="C2676" t="s">
        <v>3133</v>
      </c>
      <c r="D2676" t="s">
        <v>98</v>
      </c>
      <c r="E2676">
        <v>999.99</v>
      </c>
      <c r="F2676">
        <v>0</v>
      </c>
      <c r="H2676" t="s">
        <v>5065</v>
      </c>
      <c r="I2676">
        <v>0</v>
      </c>
      <c r="J2676">
        <v>0</v>
      </c>
      <c r="K2676">
        <v>0</v>
      </c>
    </row>
    <row r="2677" spans="1:11" x14ac:dyDescent="0.2">
      <c r="A2677" t="s">
        <v>4055</v>
      </c>
      <c r="B2677" t="s">
        <v>4056</v>
      </c>
      <c r="C2677" t="s">
        <v>3929</v>
      </c>
      <c r="D2677" t="s">
        <v>105</v>
      </c>
      <c r="E2677">
        <v>159.99</v>
      </c>
      <c r="F2677">
        <v>0</v>
      </c>
      <c r="H2677" t="s">
        <v>5065</v>
      </c>
      <c r="I2677">
        <v>0</v>
      </c>
      <c r="J2677">
        <v>0</v>
      </c>
      <c r="K2677">
        <v>0</v>
      </c>
    </row>
    <row r="2678" spans="1:11" x14ac:dyDescent="0.2">
      <c r="A2678" t="s">
        <v>3144</v>
      </c>
      <c r="B2678" t="s">
        <v>3145</v>
      </c>
      <c r="C2678" t="s">
        <v>3133</v>
      </c>
      <c r="D2678" t="s">
        <v>98</v>
      </c>
      <c r="E2678">
        <v>69.989999999999995</v>
      </c>
      <c r="F2678">
        <v>0</v>
      </c>
      <c r="H2678" t="s">
        <v>5065</v>
      </c>
      <c r="I2678">
        <v>0</v>
      </c>
      <c r="J2678">
        <v>0</v>
      </c>
      <c r="K2678">
        <v>0</v>
      </c>
    </row>
    <row r="2679" spans="1:11" x14ac:dyDescent="0.2">
      <c r="A2679" t="s">
        <v>3142</v>
      </c>
      <c r="B2679" t="s">
        <v>3143</v>
      </c>
      <c r="C2679" t="s">
        <v>3133</v>
      </c>
      <c r="D2679" t="s">
        <v>98</v>
      </c>
      <c r="E2679">
        <v>59.99</v>
      </c>
      <c r="F2679">
        <v>0</v>
      </c>
      <c r="H2679" t="s">
        <v>5065</v>
      </c>
      <c r="I2679">
        <v>0</v>
      </c>
      <c r="J2679">
        <v>0</v>
      </c>
      <c r="K2679">
        <v>0</v>
      </c>
    </row>
    <row r="2680" spans="1:11" x14ac:dyDescent="0.2">
      <c r="A2680" t="s">
        <v>5013</v>
      </c>
      <c r="B2680" t="s">
        <v>5014</v>
      </c>
      <c r="C2680" t="s">
        <v>5010</v>
      </c>
      <c r="D2680" t="s">
        <v>98</v>
      </c>
      <c r="E2680">
        <v>29.99</v>
      </c>
      <c r="F2680">
        <v>0</v>
      </c>
      <c r="H2680" t="s">
        <v>5065</v>
      </c>
      <c r="I2680">
        <v>0</v>
      </c>
      <c r="J2680">
        <v>0</v>
      </c>
      <c r="K2680">
        <v>0</v>
      </c>
    </row>
    <row r="2681" spans="1:11" x14ac:dyDescent="0.2">
      <c r="A2681" t="s">
        <v>3140</v>
      </c>
      <c r="B2681" t="s">
        <v>3141</v>
      </c>
      <c r="C2681" t="s">
        <v>3133</v>
      </c>
      <c r="D2681" t="s">
        <v>98</v>
      </c>
      <c r="E2681">
        <v>24.99</v>
      </c>
      <c r="F2681">
        <v>0</v>
      </c>
      <c r="H2681" t="s">
        <v>5065</v>
      </c>
      <c r="I2681">
        <v>0</v>
      </c>
      <c r="J2681">
        <v>0</v>
      </c>
      <c r="K2681">
        <v>0</v>
      </c>
    </row>
    <row r="2682" spans="1:11" x14ac:dyDescent="0.2">
      <c r="A2682" t="s">
        <v>330</v>
      </c>
      <c r="B2682" t="s">
        <v>331</v>
      </c>
      <c r="C2682" t="s">
        <v>307</v>
      </c>
      <c r="D2682" t="s">
        <v>98</v>
      </c>
      <c r="E2682">
        <v>2099.9899999999998</v>
      </c>
      <c r="F2682">
        <v>0</v>
      </c>
      <c r="H2682" t="s">
        <v>5065</v>
      </c>
      <c r="I2682">
        <v>0</v>
      </c>
      <c r="J2682">
        <v>0</v>
      </c>
      <c r="K2682">
        <v>0</v>
      </c>
    </row>
    <row r="2683" spans="1:11" x14ac:dyDescent="0.2">
      <c r="A2683" t="s">
        <v>3191</v>
      </c>
      <c r="B2683" t="s">
        <v>3192</v>
      </c>
      <c r="C2683" t="s">
        <v>3188</v>
      </c>
      <c r="D2683" t="s">
        <v>98</v>
      </c>
      <c r="E2683">
        <v>39.99</v>
      </c>
      <c r="F2683">
        <v>0</v>
      </c>
      <c r="H2683" t="s">
        <v>5065</v>
      </c>
      <c r="I2683">
        <v>0</v>
      </c>
      <c r="J2683">
        <v>0</v>
      </c>
      <c r="K2683">
        <v>0</v>
      </c>
    </row>
    <row r="2684" spans="1:11" x14ac:dyDescent="0.2">
      <c r="A2684" t="s">
        <v>3138</v>
      </c>
      <c r="B2684" t="s">
        <v>3139</v>
      </c>
      <c r="C2684" t="s">
        <v>3133</v>
      </c>
      <c r="D2684" t="s">
        <v>98</v>
      </c>
      <c r="E2684">
        <v>119.99</v>
      </c>
      <c r="F2684">
        <v>0</v>
      </c>
      <c r="H2684" t="s">
        <v>5065</v>
      </c>
      <c r="I2684">
        <v>0</v>
      </c>
      <c r="J2684">
        <v>0</v>
      </c>
      <c r="K2684">
        <v>0</v>
      </c>
    </row>
    <row r="2685" spans="1:11" x14ac:dyDescent="0.2">
      <c r="A2685" t="s">
        <v>3136</v>
      </c>
      <c r="B2685" t="s">
        <v>3137</v>
      </c>
      <c r="C2685" t="s">
        <v>3133</v>
      </c>
      <c r="D2685" t="s">
        <v>98</v>
      </c>
      <c r="E2685">
        <v>79.989999999999995</v>
      </c>
      <c r="F2685">
        <v>0</v>
      </c>
      <c r="H2685" t="s">
        <v>5065</v>
      </c>
      <c r="I2685">
        <v>0</v>
      </c>
      <c r="J2685">
        <v>0</v>
      </c>
      <c r="K2685">
        <v>0</v>
      </c>
    </row>
    <row r="2686" spans="1:11" x14ac:dyDescent="0.2">
      <c r="A2686" t="s">
        <v>5011</v>
      </c>
      <c r="B2686" t="s">
        <v>5012</v>
      </c>
      <c r="C2686" t="s">
        <v>5010</v>
      </c>
      <c r="D2686" t="s">
        <v>98</v>
      </c>
      <c r="E2686">
        <v>99.99</v>
      </c>
      <c r="F2686">
        <v>0</v>
      </c>
      <c r="H2686" t="s">
        <v>5065</v>
      </c>
      <c r="I2686">
        <v>0</v>
      </c>
      <c r="J2686">
        <v>0</v>
      </c>
      <c r="K2686">
        <v>0</v>
      </c>
    </row>
    <row r="2687" spans="1:11" x14ac:dyDescent="0.2">
      <c r="A2687" t="s">
        <v>3134</v>
      </c>
      <c r="B2687" t="s">
        <v>3135</v>
      </c>
      <c r="C2687" t="s">
        <v>3133</v>
      </c>
      <c r="D2687" t="s">
        <v>98</v>
      </c>
      <c r="E2687">
        <v>53.99</v>
      </c>
      <c r="F2687">
        <v>0</v>
      </c>
      <c r="H2687" t="s">
        <v>5065</v>
      </c>
      <c r="I2687">
        <v>0</v>
      </c>
      <c r="J2687">
        <v>0</v>
      </c>
      <c r="K2687">
        <v>0</v>
      </c>
    </row>
    <row r="2688" spans="1:11" x14ac:dyDescent="0.2">
      <c r="A2688" t="s">
        <v>348</v>
      </c>
      <c r="B2688" t="s">
        <v>349</v>
      </c>
      <c r="C2688" t="s">
        <v>307</v>
      </c>
      <c r="D2688" t="s">
        <v>98</v>
      </c>
      <c r="E2688">
        <v>299.99</v>
      </c>
      <c r="F2688">
        <v>0</v>
      </c>
      <c r="H2688" t="s">
        <v>5065</v>
      </c>
      <c r="I2688">
        <v>0</v>
      </c>
      <c r="J2688">
        <v>0</v>
      </c>
      <c r="K2688">
        <v>0</v>
      </c>
    </row>
    <row r="2689" spans="1:11" x14ac:dyDescent="0.2">
      <c r="A2689" t="s">
        <v>4073</v>
      </c>
      <c r="B2689" t="s">
        <v>4074</v>
      </c>
      <c r="C2689" t="s">
        <v>3929</v>
      </c>
      <c r="D2689" t="s">
        <v>105</v>
      </c>
      <c r="E2689">
        <v>69.989999999999995</v>
      </c>
      <c r="F2689">
        <v>0</v>
      </c>
      <c r="G2689">
        <v>52</v>
      </c>
      <c r="H2689" t="s">
        <v>5065</v>
      </c>
      <c r="I2689">
        <v>0</v>
      </c>
      <c r="J2689">
        <v>0</v>
      </c>
      <c r="K2689">
        <v>0</v>
      </c>
    </row>
    <row r="2690" spans="1:11" x14ac:dyDescent="0.2">
      <c r="A2690" t="s">
        <v>4075</v>
      </c>
      <c r="B2690" t="s">
        <v>4076</v>
      </c>
      <c r="C2690" t="s">
        <v>3929</v>
      </c>
      <c r="D2690" t="s">
        <v>105</v>
      </c>
      <c r="E2690">
        <v>64.989999999999995</v>
      </c>
      <c r="F2690">
        <v>0</v>
      </c>
      <c r="G2690">
        <v>11</v>
      </c>
      <c r="H2690" t="s">
        <v>5065</v>
      </c>
      <c r="I2690">
        <v>0</v>
      </c>
      <c r="J2690">
        <v>0</v>
      </c>
      <c r="K2690">
        <v>0</v>
      </c>
    </row>
    <row r="2691" spans="1:11" x14ac:dyDescent="0.2">
      <c r="A2691" t="s">
        <v>4071</v>
      </c>
      <c r="B2691" t="s">
        <v>4072</v>
      </c>
      <c r="C2691" t="s">
        <v>3929</v>
      </c>
      <c r="D2691" t="s">
        <v>98</v>
      </c>
      <c r="E2691">
        <v>199.99</v>
      </c>
      <c r="F2691">
        <v>0</v>
      </c>
      <c r="H2691" t="s">
        <v>5065</v>
      </c>
      <c r="I2691">
        <v>0</v>
      </c>
      <c r="J2691">
        <v>0</v>
      </c>
      <c r="K2691">
        <v>0</v>
      </c>
    </row>
    <row r="2692" spans="1:11" x14ac:dyDescent="0.2">
      <c r="A2692" t="s">
        <v>5632</v>
      </c>
      <c r="B2692" t="s">
        <v>5633</v>
      </c>
      <c r="C2692" t="s">
        <v>3188</v>
      </c>
      <c r="D2692" t="s">
        <v>98</v>
      </c>
      <c r="E2692">
        <v>39.99</v>
      </c>
      <c r="F2692">
        <v>0</v>
      </c>
      <c r="H2692" t="s">
        <v>5065</v>
      </c>
      <c r="I2692">
        <v>0</v>
      </c>
      <c r="J2692">
        <v>0</v>
      </c>
      <c r="K2692">
        <v>0</v>
      </c>
    </row>
    <row r="2693" spans="1:11" x14ac:dyDescent="0.2">
      <c r="A2693" t="s">
        <v>5471</v>
      </c>
      <c r="B2693" t="s">
        <v>5472</v>
      </c>
      <c r="C2693" t="s">
        <v>5039</v>
      </c>
      <c r="D2693" t="s">
        <v>98</v>
      </c>
      <c r="E2693">
        <v>149.99</v>
      </c>
      <c r="F2693">
        <v>0</v>
      </c>
      <c r="H2693" t="s">
        <v>5065</v>
      </c>
      <c r="I2693">
        <v>0</v>
      </c>
      <c r="J2693">
        <v>0</v>
      </c>
      <c r="K2693">
        <v>0</v>
      </c>
    </row>
    <row r="2694" spans="1:11" x14ac:dyDescent="0.2">
      <c r="A2694" t="s">
        <v>5319</v>
      </c>
      <c r="B2694" t="s">
        <v>5320</v>
      </c>
      <c r="C2694" t="s">
        <v>3188</v>
      </c>
      <c r="D2694" t="s">
        <v>98</v>
      </c>
      <c r="E2694">
        <v>19.989999999999998</v>
      </c>
      <c r="F2694">
        <v>0</v>
      </c>
      <c r="H2694" t="s">
        <v>5065</v>
      </c>
      <c r="I2694">
        <v>0</v>
      </c>
      <c r="J2694">
        <v>0</v>
      </c>
      <c r="K2694">
        <v>0</v>
      </c>
    </row>
    <row r="2695" spans="1:11" x14ac:dyDescent="0.2">
      <c r="A2695" t="s">
        <v>5098</v>
      </c>
      <c r="B2695" t="s">
        <v>5099</v>
      </c>
      <c r="C2695" t="s">
        <v>3929</v>
      </c>
      <c r="D2695" t="s">
        <v>138</v>
      </c>
      <c r="E2695">
        <v>39.99</v>
      </c>
      <c r="F2695">
        <v>0</v>
      </c>
      <c r="H2695" t="s">
        <v>5065</v>
      </c>
      <c r="I2695">
        <v>0</v>
      </c>
      <c r="J2695">
        <v>0</v>
      </c>
      <c r="K2695">
        <v>0</v>
      </c>
    </row>
    <row r="2696" spans="1:11" x14ac:dyDescent="0.2">
      <c r="A2696" t="s">
        <v>5712</v>
      </c>
      <c r="B2696" t="s">
        <v>5713</v>
      </c>
      <c r="C2696" t="s">
        <v>3188</v>
      </c>
      <c r="D2696" t="s">
        <v>98</v>
      </c>
      <c r="E2696">
        <v>59.99</v>
      </c>
      <c r="F2696">
        <v>0</v>
      </c>
      <c r="H2696" t="s">
        <v>5065</v>
      </c>
      <c r="I2696">
        <v>0</v>
      </c>
      <c r="J2696">
        <v>0</v>
      </c>
      <c r="K2696">
        <v>0</v>
      </c>
    </row>
    <row r="2697" spans="1:11" x14ac:dyDescent="0.2">
      <c r="A2697" t="s">
        <v>5347</v>
      </c>
      <c r="B2697" t="s">
        <v>5348</v>
      </c>
      <c r="C2697" t="s">
        <v>3188</v>
      </c>
      <c r="D2697" t="s">
        <v>98</v>
      </c>
      <c r="E2697">
        <v>99.99</v>
      </c>
      <c r="F2697">
        <v>0</v>
      </c>
      <c r="H2697" t="s">
        <v>5065</v>
      </c>
      <c r="I2697">
        <v>0</v>
      </c>
      <c r="J2697">
        <v>0</v>
      </c>
      <c r="K2697">
        <v>0</v>
      </c>
    </row>
    <row r="2698" spans="1:11" x14ac:dyDescent="0.2">
      <c r="A2698" t="s">
        <v>5443</v>
      </c>
      <c r="B2698" t="s">
        <v>5444</v>
      </c>
      <c r="C2698" t="s">
        <v>5039</v>
      </c>
      <c r="D2698" t="s">
        <v>98</v>
      </c>
      <c r="E2698">
        <v>649.99</v>
      </c>
      <c r="F2698">
        <v>0</v>
      </c>
      <c r="H2698" t="s">
        <v>5065</v>
      </c>
      <c r="I2698">
        <v>0</v>
      </c>
      <c r="J2698">
        <v>0</v>
      </c>
      <c r="K2698">
        <v>0</v>
      </c>
    </row>
    <row r="2699" spans="1:11" x14ac:dyDescent="0.2">
      <c r="A2699" t="s">
        <v>5714</v>
      </c>
      <c r="B2699" t="s">
        <v>5715</v>
      </c>
      <c r="C2699" t="s">
        <v>3188</v>
      </c>
      <c r="D2699" t="s">
        <v>98</v>
      </c>
      <c r="E2699">
        <v>39.99</v>
      </c>
      <c r="F2699">
        <v>0</v>
      </c>
      <c r="H2699" t="s">
        <v>5065</v>
      </c>
      <c r="I2699">
        <v>0</v>
      </c>
      <c r="J2699">
        <v>0</v>
      </c>
      <c r="K2699">
        <v>0</v>
      </c>
    </row>
    <row r="2700" spans="1:11" x14ac:dyDescent="0.2">
      <c r="A2700" t="s">
        <v>5333</v>
      </c>
      <c r="B2700" t="s">
        <v>5334</v>
      </c>
      <c r="C2700" t="s">
        <v>3929</v>
      </c>
      <c r="D2700" t="s">
        <v>138</v>
      </c>
      <c r="E2700">
        <v>69.989999999999995</v>
      </c>
      <c r="F2700">
        <v>0</v>
      </c>
      <c r="H2700" t="s">
        <v>5065</v>
      </c>
      <c r="I2700">
        <v>0</v>
      </c>
      <c r="J2700">
        <v>0</v>
      </c>
      <c r="K2700">
        <v>0</v>
      </c>
    </row>
    <row r="2701" spans="1:11" x14ac:dyDescent="0.2">
      <c r="A2701" t="s">
        <v>5339</v>
      </c>
      <c r="B2701" t="s">
        <v>5340</v>
      </c>
      <c r="C2701" t="s">
        <v>3188</v>
      </c>
      <c r="D2701" t="s">
        <v>98</v>
      </c>
      <c r="E2701">
        <v>139.99</v>
      </c>
      <c r="F2701">
        <v>0</v>
      </c>
      <c r="H2701" t="s">
        <v>5065</v>
      </c>
      <c r="I2701">
        <v>0</v>
      </c>
      <c r="J2701">
        <v>0</v>
      </c>
      <c r="K2701">
        <v>0</v>
      </c>
    </row>
    <row r="2702" spans="1:11" x14ac:dyDescent="0.2">
      <c r="A2702" t="s">
        <v>5367</v>
      </c>
      <c r="B2702" t="s">
        <v>5368</v>
      </c>
      <c r="C2702" t="s">
        <v>3188</v>
      </c>
      <c r="D2702" t="s">
        <v>98</v>
      </c>
      <c r="E2702">
        <v>99.99</v>
      </c>
      <c r="F2702">
        <v>0</v>
      </c>
      <c r="H2702" t="s">
        <v>5065</v>
      </c>
      <c r="I2702">
        <v>0</v>
      </c>
      <c r="J2702">
        <v>0</v>
      </c>
      <c r="K2702">
        <v>0</v>
      </c>
    </row>
    <row r="2703" spans="1:11" x14ac:dyDescent="0.2">
      <c r="A2703" t="s">
        <v>5376</v>
      </c>
      <c r="B2703" t="s">
        <v>5377</v>
      </c>
      <c r="C2703" t="s">
        <v>3188</v>
      </c>
      <c r="D2703" t="s">
        <v>98</v>
      </c>
      <c r="E2703">
        <v>69.989999999999995</v>
      </c>
      <c r="F2703">
        <v>0</v>
      </c>
      <c r="H2703" t="s">
        <v>5065</v>
      </c>
      <c r="I2703">
        <v>0</v>
      </c>
      <c r="J2703">
        <v>0</v>
      </c>
      <c r="K2703">
        <v>0</v>
      </c>
    </row>
    <row r="2704" spans="1:11" x14ac:dyDescent="0.2">
      <c r="A2704" t="s">
        <v>5395</v>
      </c>
      <c r="B2704" t="s">
        <v>5396</v>
      </c>
      <c r="C2704" t="s">
        <v>5039</v>
      </c>
      <c r="D2704" t="s">
        <v>98</v>
      </c>
      <c r="E2704">
        <v>99.99</v>
      </c>
      <c r="F2704">
        <v>0</v>
      </c>
      <c r="H2704" t="s">
        <v>5065</v>
      </c>
      <c r="I2704">
        <v>0</v>
      </c>
      <c r="J2704">
        <v>0</v>
      </c>
      <c r="K2704">
        <v>0</v>
      </c>
    </row>
    <row r="2705" spans="1:11" x14ac:dyDescent="0.2">
      <c r="A2705" t="s">
        <v>5439</v>
      </c>
      <c r="B2705" t="s">
        <v>5440</v>
      </c>
      <c r="C2705" t="s">
        <v>5039</v>
      </c>
      <c r="D2705" t="s">
        <v>98</v>
      </c>
      <c r="E2705">
        <v>799.99</v>
      </c>
      <c r="F2705">
        <v>0</v>
      </c>
      <c r="H2705" t="s">
        <v>5065</v>
      </c>
      <c r="I2705">
        <v>0</v>
      </c>
      <c r="J2705">
        <v>0</v>
      </c>
      <c r="K2705">
        <v>0</v>
      </c>
    </row>
    <row r="2706" spans="1:11" x14ac:dyDescent="0.2">
      <c r="A2706" t="s">
        <v>5112</v>
      </c>
      <c r="B2706" t="s">
        <v>5113</v>
      </c>
      <c r="C2706" t="s">
        <v>3929</v>
      </c>
      <c r="D2706" t="s">
        <v>138</v>
      </c>
      <c r="E2706">
        <v>39.99</v>
      </c>
      <c r="F2706">
        <v>0</v>
      </c>
      <c r="G2706">
        <v>46</v>
      </c>
      <c r="H2706" t="s">
        <v>5065</v>
      </c>
      <c r="I2706">
        <v>0</v>
      </c>
      <c r="J2706">
        <v>0</v>
      </c>
      <c r="K2706">
        <v>0</v>
      </c>
    </row>
    <row r="2707" spans="1:11" x14ac:dyDescent="0.2">
      <c r="A2707" t="s">
        <v>5327</v>
      </c>
      <c r="B2707" t="s">
        <v>5328</v>
      </c>
      <c r="C2707" t="s">
        <v>3188</v>
      </c>
      <c r="D2707" t="s">
        <v>98</v>
      </c>
      <c r="E2707">
        <v>399.99</v>
      </c>
      <c r="F2707">
        <v>0</v>
      </c>
      <c r="H2707" t="s">
        <v>5065</v>
      </c>
      <c r="I2707">
        <v>0</v>
      </c>
      <c r="J2707">
        <v>0</v>
      </c>
      <c r="K2707">
        <v>0</v>
      </c>
    </row>
    <row r="2708" spans="1:11" x14ac:dyDescent="0.2">
      <c r="A2708" t="s">
        <v>5373</v>
      </c>
      <c r="B2708" t="s">
        <v>5374</v>
      </c>
      <c r="C2708" t="s">
        <v>3188</v>
      </c>
      <c r="D2708" t="s">
        <v>98</v>
      </c>
      <c r="E2708">
        <v>59.99</v>
      </c>
      <c r="F2708">
        <v>0</v>
      </c>
      <c r="H2708" t="s">
        <v>5065</v>
      </c>
      <c r="I2708">
        <v>0</v>
      </c>
      <c r="J2708">
        <v>0</v>
      </c>
      <c r="K2708">
        <v>1</v>
      </c>
    </row>
    <row r="2709" spans="1:11" x14ac:dyDescent="0.2">
      <c r="A2709" t="s">
        <v>5341</v>
      </c>
      <c r="B2709" t="s">
        <v>5342</v>
      </c>
      <c r="C2709" t="s">
        <v>3929</v>
      </c>
      <c r="D2709" t="s">
        <v>98</v>
      </c>
      <c r="E2709">
        <v>69.989999999999995</v>
      </c>
      <c r="F2709">
        <v>0</v>
      </c>
      <c r="H2709" t="s">
        <v>5065</v>
      </c>
      <c r="I2709">
        <v>0</v>
      </c>
      <c r="J2709">
        <v>0</v>
      </c>
      <c r="K2709">
        <v>0</v>
      </c>
    </row>
    <row r="2710" spans="1:11" x14ac:dyDescent="0.2">
      <c r="A2710" t="s">
        <v>3199</v>
      </c>
      <c r="B2710" t="s">
        <v>3200</v>
      </c>
      <c r="C2710" t="s">
        <v>3188</v>
      </c>
      <c r="D2710" t="s">
        <v>98</v>
      </c>
      <c r="E2710">
        <v>54.99</v>
      </c>
      <c r="F2710">
        <v>0</v>
      </c>
      <c r="H2710" t="s">
        <v>5065</v>
      </c>
      <c r="I2710">
        <v>0</v>
      </c>
      <c r="J2710">
        <v>0</v>
      </c>
      <c r="K2710">
        <v>0</v>
      </c>
    </row>
    <row r="2711" spans="1:11" x14ac:dyDescent="0.2">
      <c r="A2711" t="s">
        <v>5343</v>
      </c>
      <c r="B2711" t="s">
        <v>5344</v>
      </c>
      <c r="C2711" t="s">
        <v>3929</v>
      </c>
      <c r="D2711" t="s">
        <v>98</v>
      </c>
      <c r="E2711">
        <v>69.989999999999995</v>
      </c>
      <c r="F2711">
        <v>0</v>
      </c>
      <c r="H2711" t="s">
        <v>5065</v>
      </c>
      <c r="I2711">
        <v>0</v>
      </c>
      <c r="J2711">
        <v>0</v>
      </c>
      <c r="K2711">
        <v>0</v>
      </c>
    </row>
    <row r="2712" spans="1:11" x14ac:dyDescent="0.2">
      <c r="A2712" t="s">
        <v>3201</v>
      </c>
      <c r="B2712" t="s">
        <v>3202</v>
      </c>
      <c r="C2712" t="s">
        <v>3188</v>
      </c>
      <c r="D2712" t="s">
        <v>98</v>
      </c>
      <c r="E2712">
        <v>49.99</v>
      </c>
      <c r="F2712">
        <v>0</v>
      </c>
      <c r="H2712" t="s">
        <v>5065</v>
      </c>
      <c r="I2712">
        <v>0</v>
      </c>
      <c r="J2712">
        <v>0</v>
      </c>
      <c r="K2712">
        <v>0</v>
      </c>
    </row>
    <row r="2713" spans="1:11" x14ac:dyDescent="0.2">
      <c r="A2713" t="s">
        <v>5421</v>
      </c>
      <c r="B2713" t="s">
        <v>5422</v>
      </c>
      <c r="C2713" t="s">
        <v>5039</v>
      </c>
      <c r="D2713" t="s">
        <v>98</v>
      </c>
      <c r="E2713">
        <v>54.99</v>
      </c>
      <c r="F2713">
        <v>0</v>
      </c>
      <c r="H2713" t="s">
        <v>5065</v>
      </c>
      <c r="I2713">
        <v>0</v>
      </c>
      <c r="J2713">
        <v>0</v>
      </c>
      <c r="K2713">
        <v>0</v>
      </c>
    </row>
    <row r="2714" spans="1:11" x14ac:dyDescent="0.2">
      <c r="A2714" t="s">
        <v>3205</v>
      </c>
      <c r="B2714" t="s">
        <v>3206</v>
      </c>
      <c r="C2714" t="s">
        <v>3188</v>
      </c>
      <c r="D2714" t="s">
        <v>98</v>
      </c>
      <c r="E2714">
        <v>19.989999999999998</v>
      </c>
      <c r="F2714">
        <v>0</v>
      </c>
      <c r="H2714" t="s">
        <v>5065</v>
      </c>
      <c r="I2714">
        <v>0</v>
      </c>
      <c r="J2714">
        <v>0</v>
      </c>
      <c r="K2714">
        <v>0</v>
      </c>
    </row>
    <row r="2715" spans="1:11" x14ac:dyDescent="0.2">
      <c r="A2715" t="s">
        <v>5325</v>
      </c>
      <c r="B2715" t="s">
        <v>5326</v>
      </c>
      <c r="C2715" t="s">
        <v>3929</v>
      </c>
      <c r="D2715" t="s">
        <v>98</v>
      </c>
      <c r="E2715">
        <v>69.989999999999995</v>
      </c>
      <c r="F2715">
        <v>0</v>
      </c>
      <c r="H2715" t="s">
        <v>5065</v>
      </c>
      <c r="I2715">
        <v>0</v>
      </c>
      <c r="J2715">
        <v>0</v>
      </c>
      <c r="K2715">
        <v>0</v>
      </c>
    </row>
    <row r="2716" spans="1:11" x14ac:dyDescent="0.2">
      <c r="A2716" t="s">
        <v>5321</v>
      </c>
      <c r="B2716" t="s">
        <v>5322</v>
      </c>
      <c r="C2716" t="s">
        <v>3929</v>
      </c>
      <c r="D2716" t="s">
        <v>98</v>
      </c>
      <c r="E2716">
        <v>69.989999999999995</v>
      </c>
      <c r="F2716">
        <v>0</v>
      </c>
      <c r="H2716" t="s">
        <v>5065</v>
      </c>
      <c r="I2716">
        <v>0</v>
      </c>
      <c r="J2716">
        <v>0</v>
      </c>
      <c r="K2716">
        <v>0</v>
      </c>
    </row>
    <row r="2717" spans="1:11" x14ac:dyDescent="0.2">
      <c r="A2717" t="s">
        <v>3203</v>
      </c>
      <c r="B2717" t="s">
        <v>3204</v>
      </c>
      <c r="C2717" t="s">
        <v>3188</v>
      </c>
      <c r="D2717" t="s">
        <v>98</v>
      </c>
      <c r="E2717">
        <v>42.99</v>
      </c>
      <c r="F2717">
        <v>0</v>
      </c>
      <c r="H2717" t="s">
        <v>5065</v>
      </c>
      <c r="I2717">
        <v>0</v>
      </c>
      <c r="J2717">
        <v>0</v>
      </c>
      <c r="K2717">
        <v>0</v>
      </c>
    </row>
    <row r="2718" spans="1:11" x14ac:dyDescent="0.2">
      <c r="A2718" t="s">
        <v>5315</v>
      </c>
      <c r="B2718" t="s">
        <v>5316</v>
      </c>
      <c r="C2718" t="s">
        <v>3188</v>
      </c>
      <c r="D2718" t="s">
        <v>98</v>
      </c>
      <c r="E2718">
        <v>19.989999999999998</v>
      </c>
      <c r="F2718">
        <v>0</v>
      </c>
      <c r="H2718" t="s">
        <v>5065</v>
      </c>
      <c r="I2718">
        <v>0</v>
      </c>
      <c r="J2718">
        <v>0</v>
      </c>
      <c r="K2718">
        <v>0</v>
      </c>
    </row>
    <row r="2719" spans="1:11" x14ac:dyDescent="0.2">
      <c r="A2719" t="s">
        <v>5407</v>
      </c>
      <c r="B2719" t="s">
        <v>5408</v>
      </c>
      <c r="C2719" t="s">
        <v>5039</v>
      </c>
      <c r="D2719" t="s">
        <v>98</v>
      </c>
      <c r="E2719">
        <v>179.99</v>
      </c>
      <c r="F2719">
        <v>0</v>
      </c>
      <c r="H2719" t="s">
        <v>5065</v>
      </c>
      <c r="I2719">
        <v>0</v>
      </c>
      <c r="J2719">
        <v>0</v>
      </c>
      <c r="K2719">
        <v>0</v>
      </c>
    </row>
    <row r="2720" spans="1:11" x14ac:dyDescent="0.2">
      <c r="A2720" t="s">
        <v>5317</v>
      </c>
      <c r="B2720" t="s">
        <v>5318</v>
      </c>
      <c r="C2720" t="s">
        <v>3929</v>
      </c>
      <c r="D2720" t="s">
        <v>98</v>
      </c>
      <c r="E2720">
        <v>69.989999999999995</v>
      </c>
      <c r="F2720">
        <v>0</v>
      </c>
      <c r="H2720" t="s">
        <v>5065</v>
      </c>
      <c r="I2720">
        <v>0</v>
      </c>
      <c r="J2720">
        <v>0</v>
      </c>
      <c r="K2720">
        <v>0</v>
      </c>
    </row>
    <row r="2721" spans="1:11" x14ac:dyDescent="0.2">
      <c r="A2721" t="s">
        <v>416</v>
      </c>
      <c r="B2721" t="s">
        <v>417</v>
      </c>
      <c r="C2721" t="s">
        <v>307</v>
      </c>
      <c r="D2721" t="s">
        <v>105</v>
      </c>
      <c r="E2721">
        <v>49.99</v>
      </c>
      <c r="F2721">
        <v>0</v>
      </c>
      <c r="G2721">
        <v>2</v>
      </c>
      <c r="H2721" t="s">
        <v>5065</v>
      </c>
      <c r="I2721">
        <v>0</v>
      </c>
      <c r="J2721">
        <v>0</v>
      </c>
      <c r="K2721">
        <v>0</v>
      </c>
    </row>
    <row r="2722" spans="1:11" x14ac:dyDescent="0.2">
      <c r="A2722" t="s">
        <v>5331</v>
      </c>
      <c r="B2722" t="s">
        <v>5332</v>
      </c>
      <c r="C2722" t="s">
        <v>3188</v>
      </c>
      <c r="D2722" t="s">
        <v>98</v>
      </c>
      <c r="E2722">
        <v>169.99</v>
      </c>
      <c r="F2722">
        <v>0</v>
      </c>
      <c r="H2722" t="s">
        <v>5065</v>
      </c>
      <c r="I2722">
        <v>0</v>
      </c>
      <c r="J2722">
        <v>0</v>
      </c>
      <c r="K2722">
        <v>0</v>
      </c>
    </row>
    <row r="2723" spans="1:11" x14ac:dyDescent="0.2">
      <c r="A2723" t="s">
        <v>3209</v>
      </c>
      <c r="B2723" t="s">
        <v>3210</v>
      </c>
      <c r="C2723" t="s">
        <v>3188</v>
      </c>
      <c r="D2723" t="s">
        <v>98</v>
      </c>
      <c r="E2723">
        <v>139.99</v>
      </c>
      <c r="F2723">
        <v>0</v>
      </c>
      <c r="H2723" t="s">
        <v>5065</v>
      </c>
      <c r="I2723">
        <v>0</v>
      </c>
      <c r="J2723">
        <v>0</v>
      </c>
      <c r="K2723">
        <v>0</v>
      </c>
    </row>
    <row r="2724" spans="1:11" x14ac:dyDescent="0.2">
      <c r="A2724" t="s">
        <v>5090</v>
      </c>
      <c r="B2724" t="s">
        <v>5091</v>
      </c>
      <c r="C2724" t="s">
        <v>3929</v>
      </c>
      <c r="D2724" t="s">
        <v>138</v>
      </c>
      <c r="E2724">
        <v>39.99</v>
      </c>
      <c r="F2724">
        <v>0</v>
      </c>
      <c r="H2724" t="s">
        <v>5065</v>
      </c>
      <c r="I2724">
        <v>0</v>
      </c>
      <c r="J2724">
        <v>0</v>
      </c>
      <c r="K2724">
        <v>0</v>
      </c>
    </row>
    <row r="2725" spans="1:11" x14ac:dyDescent="0.2">
      <c r="A2725" t="s">
        <v>3215</v>
      </c>
      <c r="B2725" t="s">
        <v>3216</v>
      </c>
      <c r="C2725" t="s">
        <v>3188</v>
      </c>
      <c r="D2725" t="s">
        <v>98</v>
      </c>
      <c r="E2725">
        <v>19.989999999999998</v>
      </c>
      <c r="F2725">
        <v>0</v>
      </c>
      <c r="H2725" t="s">
        <v>5065</v>
      </c>
      <c r="I2725">
        <v>0</v>
      </c>
      <c r="J2725">
        <v>0</v>
      </c>
      <c r="K2725">
        <v>0</v>
      </c>
    </row>
    <row r="2726" spans="1:11" x14ac:dyDescent="0.2">
      <c r="A2726" t="s">
        <v>4004</v>
      </c>
      <c r="B2726" t="s">
        <v>4005</v>
      </c>
      <c r="C2726" t="s">
        <v>3929</v>
      </c>
      <c r="D2726" t="s">
        <v>105</v>
      </c>
      <c r="E2726">
        <v>64.989999999999995</v>
      </c>
      <c r="F2726">
        <v>0</v>
      </c>
      <c r="G2726">
        <v>5</v>
      </c>
      <c r="H2726" t="s">
        <v>5065</v>
      </c>
      <c r="I2726">
        <v>0</v>
      </c>
      <c r="J2726">
        <v>0</v>
      </c>
      <c r="K2726">
        <v>0</v>
      </c>
    </row>
    <row r="2727" spans="1:11" x14ac:dyDescent="0.2">
      <c r="A2727" t="s">
        <v>130</v>
      </c>
      <c r="B2727" t="s">
        <v>131</v>
      </c>
      <c r="C2727" t="s">
        <v>95</v>
      </c>
      <c r="D2727" t="s">
        <v>98</v>
      </c>
      <c r="E2727">
        <v>24.99</v>
      </c>
      <c r="F2727">
        <v>0</v>
      </c>
      <c r="H2727" t="s">
        <v>5065</v>
      </c>
      <c r="I2727">
        <v>0</v>
      </c>
      <c r="J2727">
        <v>0</v>
      </c>
      <c r="K2727">
        <v>0</v>
      </c>
    </row>
    <row r="2728" spans="1:11" x14ac:dyDescent="0.2">
      <c r="A2728" t="s">
        <v>388</v>
      </c>
      <c r="B2728" t="s">
        <v>389</v>
      </c>
      <c r="C2728" t="s">
        <v>307</v>
      </c>
      <c r="D2728" t="s">
        <v>98</v>
      </c>
      <c r="E2728">
        <v>229</v>
      </c>
      <c r="F2728">
        <v>0</v>
      </c>
      <c r="H2728" t="s">
        <v>5065</v>
      </c>
      <c r="I2728">
        <v>0</v>
      </c>
      <c r="J2728">
        <v>0</v>
      </c>
      <c r="K2728">
        <v>0</v>
      </c>
    </row>
    <row r="2729" spans="1:11" x14ac:dyDescent="0.2">
      <c r="A2729" t="s">
        <v>3197</v>
      </c>
      <c r="B2729" t="s">
        <v>3198</v>
      </c>
      <c r="C2729" t="s">
        <v>3188</v>
      </c>
      <c r="D2729" t="s">
        <v>98</v>
      </c>
      <c r="E2729">
        <v>19.989999999999998</v>
      </c>
      <c r="F2729">
        <v>0</v>
      </c>
      <c r="H2729" t="s">
        <v>5065</v>
      </c>
      <c r="I2729">
        <v>0</v>
      </c>
      <c r="J2729">
        <v>0</v>
      </c>
      <c r="K2729">
        <v>0</v>
      </c>
    </row>
    <row r="2730" spans="1:11" x14ac:dyDescent="0.2">
      <c r="A2730" t="s">
        <v>3217</v>
      </c>
      <c r="B2730" t="s">
        <v>3218</v>
      </c>
      <c r="C2730" t="s">
        <v>3188</v>
      </c>
      <c r="D2730" t="s">
        <v>98</v>
      </c>
      <c r="E2730">
        <v>19.989999999999998</v>
      </c>
      <c r="F2730">
        <v>0</v>
      </c>
      <c r="H2730" t="s">
        <v>5065</v>
      </c>
      <c r="I2730">
        <v>0</v>
      </c>
      <c r="J2730">
        <v>0</v>
      </c>
      <c r="K2730">
        <v>0</v>
      </c>
    </row>
    <row r="2731" spans="1:11" x14ac:dyDescent="0.2">
      <c r="A2731" t="s">
        <v>3213</v>
      </c>
      <c r="B2731" t="s">
        <v>3214</v>
      </c>
      <c r="C2731" t="s">
        <v>3188</v>
      </c>
      <c r="D2731" t="s">
        <v>98</v>
      </c>
      <c r="E2731">
        <v>19.989999999999998</v>
      </c>
      <c r="F2731">
        <v>0</v>
      </c>
      <c r="H2731" t="s">
        <v>5065</v>
      </c>
      <c r="I2731">
        <v>0</v>
      </c>
      <c r="J2731">
        <v>0</v>
      </c>
      <c r="K2731">
        <v>0</v>
      </c>
    </row>
    <row r="2732" spans="1:11" x14ac:dyDescent="0.2">
      <c r="A2732" t="s">
        <v>3195</v>
      </c>
      <c r="B2732" t="s">
        <v>3196</v>
      </c>
      <c r="C2732" t="s">
        <v>3188</v>
      </c>
      <c r="D2732" t="s">
        <v>98</v>
      </c>
      <c r="E2732">
        <v>19.989999999999998</v>
      </c>
      <c r="F2732">
        <v>0</v>
      </c>
      <c r="H2732" t="s">
        <v>5065</v>
      </c>
      <c r="I2732">
        <v>0</v>
      </c>
      <c r="J2732">
        <v>0</v>
      </c>
      <c r="K2732">
        <v>0</v>
      </c>
    </row>
    <row r="2733" spans="1:11" x14ac:dyDescent="0.2">
      <c r="A2733" t="s">
        <v>4006</v>
      </c>
      <c r="B2733" t="s">
        <v>4007</v>
      </c>
      <c r="C2733" t="s">
        <v>3929</v>
      </c>
      <c r="D2733" t="s">
        <v>105</v>
      </c>
      <c r="E2733">
        <v>64.989999999999995</v>
      </c>
      <c r="F2733">
        <v>0</v>
      </c>
      <c r="H2733" t="s">
        <v>5065</v>
      </c>
      <c r="I2733">
        <v>0</v>
      </c>
      <c r="J2733">
        <v>0</v>
      </c>
      <c r="K2733">
        <v>0</v>
      </c>
    </row>
    <row r="2734" spans="1:11" x14ac:dyDescent="0.2">
      <c r="A2734" t="s">
        <v>3193</v>
      </c>
      <c r="B2734" t="s">
        <v>3194</v>
      </c>
      <c r="C2734" t="s">
        <v>3188</v>
      </c>
      <c r="D2734" t="s">
        <v>98</v>
      </c>
      <c r="E2734">
        <v>89.99</v>
      </c>
      <c r="F2734">
        <v>0</v>
      </c>
      <c r="H2734" t="s">
        <v>5065</v>
      </c>
      <c r="I2734">
        <v>0</v>
      </c>
      <c r="J2734">
        <v>0</v>
      </c>
      <c r="K2734">
        <v>0</v>
      </c>
    </row>
    <row r="2735" spans="1:11" x14ac:dyDescent="0.2">
      <c r="A2735" t="s">
        <v>5037</v>
      </c>
      <c r="B2735" t="s">
        <v>5038</v>
      </c>
      <c r="C2735" t="s">
        <v>5010</v>
      </c>
      <c r="D2735" t="s">
        <v>98</v>
      </c>
      <c r="E2735">
        <v>94.99</v>
      </c>
      <c r="F2735">
        <v>0</v>
      </c>
      <c r="H2735" t="s">
        <v>5065</v>
      </c>
      <c r="I2735">
        <v>0</v>
      </c>
      <c r="J2735">
        <v>0</v>
      </c>
      <c r="K2735">
        <v>0</v>
      </c>
    </row>
    <row r="2736" spans="1:11" x14ac:dyDescent="0.2">
      <c r="A2736" t="s">
        <v>5391</v>
      </c>
      <c r="B2736" t="s">
        <v>5392</v>
      </c>
      <c r="C2736" t="s">
        <v>5039</v>
      </c>
      <c r="D2736" t="s">
        <v>98</v>
      </c>
      <c r="E2736">
        <v>149.99</v>
      </c>
      <c r="F2736">
        <v>0</v>
      </c>
      <c r="H2736" t="s">
        <v>5065</v>
      </c>
      <c r="I2736">
        <v>0</v>
      </c>
      <c r="J2736">
        <v>0</v>
      </c>
      <c r="K2736">
        <v>0</v>
      </c>
    </row>
    <row r="2737" spans="1:11" x14ac:dyDescent="0.2">
      <c r="A2737" t="s">
        <v>4993</v>
      </c>
      <c r="B2737" t="s">
        <v>4994</v>
      </c>
      <c r="C2737" t="s">
        <v>4905</v>
      </c>
      <c r="D2737" t="s">
        <v>105</v>
      </c>
      <c r="E2737">
        <v>889</v>
      </c>
      <c r="F2737">
        <v>0</v>
      </c>
      <c r="G2737">
        <v>6</v>
      </c>
      <c r="H2737" t="s">
        <v>8</v>
      </c>
      <c r="I2737">
        <v>0</v>
      </c>
      <c r="J2737">
        <v>0</v>
      </c>
      <c r="K2737">
        <v>1</v>
      </c>
    </row>
    <row r="2738" spans="1:11" x14ac:dyDescent="0.2">
      <c r="A2738" t="s">
        <v>5459</v>
      </c>
      <c r="B2738" t="s">
        <v>5460</v>
      </c>
      <c r="C2738" t="s">
        <v>5039</v>
      </c>
      <c r="D2738" t="s">
        <v>98</v>
      </c>
      <c r="E2738">
        <v>899.99</v>
      </c>
      <c r="F2738">
        <v>0</v>
      </c>
      <c r="H2738" t="s">
        <v>8</v>
      </c>
      <c r="I2738">
        <v>0</v>
      </c>
      <c r="J2738">
        <v>0</v>
      </c>
      <c r="K2738">
        <v>0</v>
      </c>
    </row>
    <row r="2739" spans="1:11" x14ac:dyDescent="0.2">
      <c r="A2739" t="s">
        <v>336</v>
      </c>
      <c r="B2739" t="s">
        <v>337</v>
      </c>
      <c r="C2739" t="s">
        <v>307</v>
      </c>
      <c r="D2739" t="s">
        <v>98</v>
      </c>
      <c r="E2739">
        <v>2899.99</v>
      </c>
      <c r="F2739">
        <v>0</v>
      </c>
      <c r="H2739" t="s">
        <v>8</v>
      </c>
      <c r="I2739">
        <v>0</v>
      </c>
      <c r="J2739">
        <v>0</v>
      </c>
      <c r="K2739">
        <v>4</v>
      </c>
    </row>
    <row r="2740" spans="1:11" x14ac:dyDescent="0.2">
      <c r="A2740" t="s">
        <v>348</v>
      </c>
      <c r="B2740" t="s">
        <v>349</v>
      </c>
      <c r="C2740" t="s">
        <v>307</v>
      </c>
      <c r="D2740" t="s">
        <v>98</v>
      </c>
      <c r="E2740">
        <v>299.99</v>
      </c>
      <c r="F2740">
        <v>0</v>
      </c>
      <c r="H2740" t="s">
        <v>8</v>
      </c>
      <c r="I2740">
        <v>0</v>
      </c>
      <c r="J2740">
        <v>0</v>
      </c>
      <c r="K2740">
        <v>0</v>
      </c>
    </row>
    <row r="2741" spans="1:11" x14ac:dyDescent="0.2">
      <c r="A2741" t="s">
        <v>5013</v>
      </c>
      <c r="B2741" t="s">
        <v>5014</v>
      </c>
      <c r="C2741" t="s">
        <v>5010</v>
      </c>
      <c r="D2741" t="s">
        <v>98</v>
      </c>
      <c r="E2741">
        <v>29.99</v>
      </c>
      <c r="F2741">
        <v>0</v>
      </c>
      <c r="H2741" t="s">
        <v>8</v>
      </c>
      <c r="I2741">
        <v>0</v>
      </c>
      <c r="J2741">
        <v>0</v>
      </c>
      <c r="K2741">
        <v>0</v>
      </c>
    </row>
    <row r="2742" spans="1:11" x14ac:dyDescent="0.2">
      <c r="A2742" t="s">
        <v>5241</v>
      </c>
      <c r="B2742" t="s">
        <v>5242</v>
      </c>
      <c r="C2742" t="s">
        <v>582</v>
      </c>
      <c r="D2742" t="s">
        <v>98</v>
      </c>
      <c r="E2742">
        <v>79.989999999999995</v>
      </c>
      <c r="F2742">
        <v>0</v>
      </c>
      <c r="H2742" t="s">
        <v>8</v>
      </c>
      <c r="I2742">
        <v>0</v>
      </c>
      <c r="J2742">
        <v>0</v>
      </c>
      <c r="K2742">
        <v>0</v>
      </c>
    </row>
    <row r="2743" spans="1:11" x14ac:dyDescent="0.2">
      <c r="A2743" t="s">
        <v>416</v>
      </c>
      <c r="B2743" t="s">
        <v>417</v>
      </c>
      <c r="C2743" t="s">
        <v>307</v>
      </c>
      <c r="D2743" t="s">
        <v>105</v>
      </c>
      <c r="E2743">
        <v>49.99</v>
      </c>
      <c r="F2743">
        <v>0</v>
      </c>
      <c r="G2743">
        <v>2</v>
      </c>
      <c r="H2743" t="s">
        <v>8</v>
      </c>
      <c r="I2743">
        <v>0</v>
      </c>
      <c r="J2743">
        <v>0</v>
      </c>
      <c r="K2743">
        <v>0</v>
      </c>
    </row>
    <row r="2744" spans="1:11" x14ac:dyDescent="0.2">
      <c r="A2744" t="s">
        <v>5453</v>
      </c>
      <c r="B2744" t="s">
        <v>5454</v>
      </c>
      <c r="C2744" t="s">
        <v>5039</v>
      </c>
      <c r="D2744" t="s">
        <v>98</v>
      </c>
      <c r="E2744">
        <v>1199.99</v>
      </c>
      <c r="F2744">
        <v>0</v>
      </c>
      <c r="H2744" t="s">
        <v>8</v>
      </c>
      <c r="I2744">
        <v>0</v>
      </c>
      <c r="J2744">
        <v>0</v>
      </c>
      <c r="K2744">
        <v>0</v>
      </c>
    </row>
    <row r="2745" spans="1:11" x14ac:dyDescent="0.2">
      <c r="A2745" t="s">
        <v>314</v>
      </c>
      <c r="B2745" t="s">
        <v>315</v>
      </c>
      <c r="C2745" t="s">
        <v>307</v>
      </c>
      <c r="D2745" t="s">
        <v>98</v>
      </c>
      <c r="E2745">
        <v>1299.99</v>
      </c>
      <c r="F2745">
        <v>0</v>
      </c>
      <c r="H2745" t="s">
        <v>8</v>
      </c>
      <c r="I2745">
        <v>0</v>
      </c>
      <c r="J2745">
        <v>0</v>
      </c>
      <c r="K2745">
        <v>0</v>
      </c>
    </row>
    <row r="2746" spans="1:11" x14ac:dyDescent="0.2">
      <c r="A2746" t="s">
        <v>792</v>
      </c>
      <c r="B2746" t="s">
        <v>793</v>
      </c>
      <c r="C2746" t="s">
        <v>582</v>
      </c>
      <c r="D2746" t="s">
        <v>105</v>
      </c>
      <c r="E2746">
        <v>69.989999999999995</v>
      </c>
      <c r="F2746">
        <v>0</v>
      </c>
      <c r="G2746">
        <v>61</v>
      </c>
      <c r="H2746" t="s">
        <v>8</v>
      </c>
      <c r="I2746">
        <v>0</v>
      </c>
      <c r="J2746">
        <v>0</v>
      </c>
      <c r="K2746">
        <v>0</v>
      </c>
    </row>
    <row r="2747" spans="1:11" x14ac:dyDescent="0.2">
      <c r="A2747" t="s">
        <v>4583</v>
      </c>
      <c r="B2747" t="s">
        <v>4584</v>
      </c>
      <c r="C2747" t="s">
        <v>4518</v>
      </c>
      <c r="D2747" t="s">
        <v>138</v>
      </c>
      <c r="E2747">
        <v>249.99</v>
      </c>
      <c r="F2747">
        <v>0</v>
      </c>
      <c r="G2747">
        <v>8</v>
      </c>
      <c r="H2747" t="s">
        <v>8</v>
      </c>
      <c r="I2747">
        <v>0</v>
      </c>
      <c r="J2747">
        <v>0</v>
      </c>
      <c r="K2747">
        <v>0</v>
      </c>
    </row>
    <row r="2748" spans="1:11" x14ac:dyDescent="0.2">
      <c r="A2748" t="s">
        <v>5395</v>
      </c>
      <c r="B2748" t="s">
        <v>5396</v>
      </c>
      <c r="C2748" t="s">
        <v>5039</v>
      </c>
      <c r="D2748" t="s">
        <v>98</v>
      </c>
      <c r="E2748">
        <v>99.99</v>
      </c>
      <c r="F2748">
        <v>0</v>
      </c>
      <c r="H2748" t="s">
        <v>8</v>
      </c>
      <c r="I2748">
        <v>0</v>
      </c>
      <c r="J2748">
        <v>0</v>
      </c>
      <c r="K2748">
        <v>0</v>
      </c>
    </row>
    <row r="2749" spans="1:11" x14ac:dyDescent="0.2">
      <c r="A2749" t="s">
        <v>766</v>
      </c>
      <c r="B2749" t="s">
        <v>767</v>
      </c>
      <c r="C2749" t="s">
        <v>582</v>
      </c>
      <c r="D2749" t="s">
        <v>105</v>
      </c>
      <c r="E2749">
        <v>59.99</v>
      </c>
      <c r="F2749">
        <v>0</v>
      </c>
      <c r="H2749" t="s">
        <v>8</v>
      </c>
      <c r="I2749">
        <v>0</v>
      </c>
      <c r="J2749">
        <v>0</v>
      </c>
      <c r="K2749">
        <v>0</v>
      </c>
    </row>
    <row r="2750" spans="1:11" x14ac:dyDescent="0.2">
      <c r="A2750" t="s">
        <v>764</v>
      </c>
      <c r="B2750" t="s">
        <v>765</v>
      </c>
      <c r="C2750" t="s">
        <v>582</v>
      </c>
      <c r="D2750" t="s">
        <v>105</v>
      </c>
      <c r="E2750">
        <v>59.99</v>
      </c>
      <c r="F2750">
        <v>0</v>
      </c>
      <c r="H2750" t="s">
        <v>8</v>
      </c>
      <c r="I2750">
        <v>0</v>
      </c>
      <c r="J2750">
        <v>0</v>
      </c>
      <c r="K2750">
        <v>0</v>
      </c>
    </row>
    <row r="2751" spans="1:11" x14ac:dyDescent="0.2">
      <c r="A2751" t="s">
        <v>5015</v>
      </c>
      <c r="B2751" t="s">
        <v>5016</v>
      </c>
      <c r="C2751" t="s">
        <v>5010</v>
      </c>
      <c r="D2751" t="s">
        <v>98</v>
      </c>
      <c r="E2751">
        <v>22.99</v>
      </c>
      <c r="F2751">
        <v>0</v>
      </c>
      <c r="H2751" t="s">
        <v>8</v>
      </c>
      <c r="I2751">
        <v>0</v>
      </c>
      <c r="J2751">
        <v>0</v>
      </c>
      <c r="K2751">
        <v>0</v>
      </c>
    </row>
    <row r="2752" spans="1:11" x14ac:dyDescent="0.2">
      <c r="A2752" t="s">
        <v>108</v>
      </c>
      <c r="B2752" t="s">
        <v>109</v>
      </c>
      <c r="C2752" t="s">
        <v>95</v>
      </c>
      <c r="D2752" t="s">
        <v>98</v>
      </c>
      <c r="E2752">
        <v>39.99</v>
      </c>
      <c r="F2752">
        <v>0</v>
      </c>
      <c r="H2752" t="s">
        <v>8</v>
      </c>
      <c r="I2752">
        <v>0</v>
      </c>
      <c r="J2752">
        <v>0</v>
      </c>
      <c r="K2752">
        <v>0</v>
      </c>
    </row>
    <row r="2753" spans="1:11" x14ac:dyDescent="0.2">
      <c r="A2753" t="s">
        <v>5237</v>
      </c>
      <c r="B2753" t="s">
        <v>5238</v>
      </c>
      <c r="C2753" t="s">
        <v>4518</v>
      </c>
      <c r="D2753" t="s">
        <v>98</v>
      </c>
      <c r="E2753">
        <v>89.99</v>
      </c>
      <c r="F2753">
        <v>0</v>
      </c>
      <c r="H2753" t="s">
        <v>8</v>
      </c>
      <c r="I2753">
        <v>0</v>
      </c>
      <c r="J2753">
        <v>0</v>
      </c>
      <c r="K2753">
        <v>0</v>
      </c>
    </row>
    <row r="2754" spans="1:11" x14ac:dyDescent="0.2">
      <c r="A2754" t="s">
        <v>5207</v>
      </c>
      <c r="B2754" t="s">
        <v>5208</v>
      </c>
      <c r="C2754" t="s">
        <v>4518</v>
      </c>
      <c r="D2754" t="s">
        <v>98</v>
      </c>
      <c r="E2754">
        <v>89.99</v>
      </c>
      <c r="F2754">
        <v>0</v>
      </c>
      <c r="H2754" t="s">
        <v>8</v>
      </c>
      <c r="I2754">
        <v>0</v>
      </c>
      <c r="J2754">
        <v>0</v>
      </c>
      <c r="K2754">
        <v>0</v>
      </c>
    </row>
    <row r="2755" spans="1:11" x14ac:dyDescent="0.2">
      <c r="A2755" t="s">
        <v>5211</v>
      </c>
      <c r="B2755" t="s">
        <v>5212</v>
      </c>
      <c r="C2755" t="s">
        <v>4518</v>
      </c>
      <c r="D2755" t="s">
        <v>98</v>
      </c>
      <c r="E2755">
        <v>89.99</v>
      </c>
      <c r="F2755">
        <v>0</v>
      </c>
      <c r="H2755" t="s">
        <v>8</v>
      </c>
      <c r="I2755">
        <v>0</v>
      </c>
      <c r="J2755">
        <v>0</v>
      </c>
      <c r="K2755">
        <v>0</v>
      </c>
    </row>
    <row r="2756" spans="1:11" x14ac:dyDescent="0.2">
      <c r="A2756" t="s">
        <v>5411</v>
      </c>
      <c r="B2756" t="s">
        <v>5412</v>
      </c>
      <c r="C2756" t="s">
        <v>5039</v>
      </c>
      <c r="D2756" t="s">
        <v>98</v>
      </c>
      <c r="E2756">
        <v>99.99</v>
      </c>
      <c r="F2756">
        <v>0</v>
      </c>
      <c r="H2756" t="s">
        <v>8</v>
      </c>
      <c r="I2756">
        <v>0</v>
      </c>
      <c r="J2756">
        <v>0</v>
      </c>
      <c r="K2756">
        <v>0</v>
      </c>
    </row>
    <row r="2757" spans="1:11" x14ac:dyDescent="0.2">
      <c r="A2757" t="s">
        <v>4591</v>
      </c>
      <c r="B2757" t="s">
        <v>4592</v>
      </c>
      <c r="C2757" t="s">
        <v>4518</v>
      </c>
      <c r="D2757" t="s">
        <v>138</v>
      </c>
      <c r="E2757">
        <v>99.99</v>
      </c>
      <c r="F2757">
        <v>0</v>
      </c>
      <c r="G2757">
        <v>77</v>
      </c>
      <c r="H2757" t="s">
        <v>8</v>
      </c>
      <c r="I2757">
        <v>0</v>
      </c>
      <c r="J2757">
        <v>0</v>
      </c>
      <c r="K2757">
        <v>6</v>
      </c>
    </row>
    <row r="2758" spans="1:11" x14ac:dyDescent="0.2">
      <c r="A2758" t="s">
        <v>5050</v>
      </c>
      <c r="B2758" t="s">
        <v>5051</v>
      </c>
      <c r="C2758" t="s">
        <v>5039</v>
      </c>
      <c r="D2758" t="s">
        <v>98</v>
      </c>
      <c r="E2758">
        <v>899.99</v>
      </c>
      <c r="F2758">
        <v>0</v>
      </c>
      <c r="H2758" t="s">
        <v>8</v>
      </c>
      <c r="I2758">
        <v>0</v>
      </c>
      <c r="J2758">
        <v>0</v>
      </c>
      <c r="K2758">
        <v>0</v>
      </c>
    </row>
    <row r="2759" spans="1:11" x14ac:dyDescent="0.2">
      <c r="A2759" t="s">
        <v>5572</v>
      </c>
      <c r="B2759" t="s">
        <v>5573</v>
      </c>
      <c r="C2759" t="s">
        <v>4518</v>
      </c>
      <c r="D2759" t="s">
        <v>98</v>
      </c>
      <c r="E2759">
        <v>79.989999999999995</v>
      </c>
      <c r="F2759">
        <v>0</v>
      </c>
      <c r="H2759" t="s">
        <v>8</v>
      </c>
      <c r="I2759">
        <v>0</v>
      </c>
      <c r="J2759">
        <v>0</v>
      </c>
      <c r="K2759">
        <v>0</v>
      </c>
    </row>
    <row r="2760" spans="1:11" x14ac:dyDescent="0.2">
      <c r="A2760" t="s">
        <v>5471</v>
      </c>
      <c r="B2760" t="s">
        <v>5472</v>
      </c>
      <c r="C2760" t="s">
        <v>5039</v>
      </c>
      <c r="D2760" t="s">
        <v>98</v>
      </c>
      <c r="E2760">
        <v>149.99</v>
      </c>
      <c r="F2760">
        <v>0</v>
      </c>
      <c r="H2760" t="s">
        <v>8</v>
      </c>
      <c r="I2760">
        <v>0</v>
      </c>
      <c r="J2760">
        <v>0</v>
      </c>
      <c r="K2760">
        <v>0</v>
      </c>
    </row>
    <row r="2761" spans="1:11" x14ac:dyDescent="0.2">
      <c r="A2761" t="s">
        <v>99</v>
      </c>
      <c r="B2761" t="s">
        <v>100</v>
      </c>
      <c r="C2761" t="s">
        <v>95</v>
      </c>
      <c r="D2761" t="s">
        <v>98</v>
      </c>
      <c r="E2761">
        <v>129.99</v>
      </c>
      <c r="F2761">
        <v>0</v>
      </c>
      <c r="H2761" t="s">
        <v>8</v>
      </c>
      <c r="I2761">
        <v>0</v>
      </c>
      <c r="J2761">
        <v>0</v>
      </c>
      <c r="K2761">
        <v>0</v>
      </c>
    </row>
    <row r="2762" spans="1:11" x14ac:dyDescent="0.2">
      <c r="A2762" t="s">
        <v>5042</v>
      </c>
      <c r="B2762" t="s">
        <v>5043</v>
      </c>
      <c r="C2762" t="s">
        <v>5039</v>
      </c>
      <c r="D2762" t="s">
        <v>98</v>
      </c>
      <c r="E2762">
        <v>149.99</v>
      </c>
      <c r="F2762">
        <v>0</v>
      </c>
      <c r="H2762" t="s">
        <v>8</v>
      </c>
      <c r="I2762">
        <v>0</v>
      </c>
      <c r="J2762">
        <v>0</v>
      </c>
      <c r="K2762">
        <v>0</v>
      </c>
    </row>
    <row r="2763" spans="1:11" x14ac:dyDescent="0.2">
      <c r="A2763" t="s">
        <v>330</v>
      </c>
      <c r="B2763" t="s">
        <v>331</v>
      </c>
      <c r="C2763" t="s">
        <v>307</v>
      </c>
      <c r="D2763" t="s">
        <v>98</v>
      </c>
      <c r="E2763">
        <v>2099.9899999999998</v>
      </c>
      <c r="F2763">
        <v>0</v>
      </c>
      <c r="H2763" t="s">
        <v>8</v>
      </c>
      <c r="I2763">
        <v>0</v>
      </c>
      <c r="J2763">
        <v>0</v>
      </c>
      <c r="K2763">
        <v>0</v>
      </c>
    </row>
    <row r="2764" spans="1:11" x14ac:dyDescent="0.2">
      <c r="A2764" t="s">
        <v>5239</v>
      </c>
      <c r="B2764" t="s">
        <v>5240</v>
      </c>
      <c r="C2764" t="s">
        <v>4518</v>
      </c>
      <c r="D2764" t="s">
        <v>98</v>
      </c>
      <c r="E2764">
        <v>89.99</v>
      </c>
      <c r="F2764">
        <v>0</v>
      </c>
      <c r="H2764" t="s">
        <v>8</v>
      </c>
      <c r="I2764">
        <v>0</v>
      </c>
      <c r="J2764">
        <v>0</v>
      </c>
      <c r="K2764">
        <v>0</v>
      </c>
    </row>
    <row r="2765" spans="1:11" x14ac:dyDescent="0.2">
      <c r="A2765" t="s">
        <v>5560</v>
      </c>
      <c r="B2765" t="s">
        <v>5561</v>
      </c>
      <c r="C2765" t="s">
        <v>4518</v>
      </c>
      <c r="D2765" t="s">
        <v>98</v>
      </c>
      <c r="E2765">
        <v>119.99</v>
      </c>
      <c r="F2765">
        <v>0</v>
      </c>
      <c r="H2765" t="s">
        <v>8</v>
      </c>
      <c r="I2765">
        <v>0</v>
      </c>
      <c r="J2765">
        <v>0</v>
      </c>
      <c r="K2765">
        <v>0</v>
      </c>
    </row>
    <row r="2766" spans="1:11" x14ac:dyDescent="0.2">
      <c r="A2766" t="s">
        <v>5257</v>
      </c>
      <c r="B2766" t="s">
        <v>5258</v>
      </c>
      <c r="C2766" t="s">
        <v>582</v>
      </c>
      <c r="D2766" t="s">
        <v>98</v>
      </c>
      <c r="E2766">
        <v>69.989999999999995</v>
      </c>
      <c r="F2766">
        <v>0</v>
      </c>
      <c r="H2766" t="s">
        <v>8</v>
      </c>
      <c r="I2766">
        <v>0</v>
      </c>
      <c r="J2766">
        <v>0</v>
      </c>
      <c r="K2766">
        <v>0</v>
      </c>
    </row>
    <row r="2767" spans="1:11" x14ac:dyDescent="0.2">
      <c r="A2767" t="s">
        <v>5397</v>
      </c>
      <c r="B2767" t="s">
        <v>5398</v>
      </c>
      <c r="C2767" t="s">
        <v>5039</v>
      </c>
      <c r="D2767" t="s">
        <v>98</v>
      </c>
      <c r="E2767">
        <v>99.99</v>
      </c>
      <c r="F2767">
        <v>0</v>
      </c>
      <c r="H2767" t="s">
        <v>8</v>
      </c>
      <c r="I2767">
        <v>0</v>
      </c>
      <c r="J2767">
        <v>0</v>
      </c>
      <c r="K2767">
        <v>0</v>
      </c>
    </row>
    <row r="2768" spans="1:11" x14ac:dyDescent="0.2">
      <c r="A2768" t="s">
        <v>126</v>
      </c>
      <c r="B2768" t="s">
        <v>127</v>
      </c>
      <c r="C2768" t="s">
        <v>95</v>
      </c>
      <c r="D2768" t="s">
        <v>98</v>
      </c>
      <c r="E2768">
        <v>59.99</v>
      </c>
      <c r="F2768">
        <v>0</v>
      </c>
      <c r="H2768" t="s">
        <v>8</v>
      </c>
      <c r="I2768">
        <v>0</v>
      </c>
      <c r="J2768">
        <v>0</v>
      </c>
      <c r="K2768">
        <v>0</v>
      </c>
    </row>
    <row r="2769" spans="1:11" x14ac:dyDescent="0.2">
      <c r="A2769" t="s">
        <v>5247</v>
      </c>
      <c r="B2769" t="s">
        <v>5248</v>
      </c>
      <c r="C2769" t="s">
        <v>4518</v>
      </c>
      <c r="D2769" t="s">
        <v>98</v>
      </c>
      <c r="E2769">
        <v>89.99</v>
      </c>
      <c r="F2769">
        <v>0</v>
      </c>
      <c r="H2769" t="s">
        <v>8</v>
      </c>
      <c r="I2769">
        <v>0</v>
      </c>
      <c r="J2769">
        <v>0</v>
      </c>
      <c r="K2769">
        <v>0</v>
      </c>
    </row>
    <row r="2770" spans="1:11" x14ac:dyDescent="0.2">
      <c r="A2770" t="s">
        <v>5536</v>
      </c>
      <c r="B2770" t="s">
        <v>5537</v>
      </c>
      <c r="C2770" t="s">
        <v>4518</v>
      </c>
      <c r="D2770" t="s">
        <v>98</v>
      </c>
      <c r="E2770">
        <v>99.99</v>
      </c>
      <c r="F2770">
        <v>0</v>
      </c>
      <c r="H2770" t="s">
        <v>8</v>
      </c>
      <c r="I2770">
        <v>0</v>
      </c>
      <c r="J2770">
        <v>0</v>
      </c>
      <c r="K2770">
        <v>0</v>
      </c>
    </row>
    <row r="2771" spans="1:11" x14ac:dyDescent="0.2">
      <c r="A2771" t="s">
        <v>5546</v>
      </c>
      <c r="B2771" t="s">
        <v>5547</v>
      </c>
      <c r="C2771" t="s">
        <v>582</v>
      </c>
      <c r="D2771" t="s">
        <v>98</v>
      </c>
      <c r="E2771">
        <v>89.99</v>
      </c>
      <c r="F2771">
        <v>89.99</v>
      </c>
      <c r="H2771" t="s">
        <v>8</v>
      </c>
      <c r="I2771">
        <v>0.83333333333333337</v>
      </c>
      <c r="J2771">
        <v>26</v>
      </c>
      <c r="K2771">
        <v>22</v>
      </c>
    </row>
    <row r="2772" spans="1:11" x14ac:dyDescent="0.2">
      <c r="A2772" t="s">
        <v>323</v>
      </c>
      <c r="B2772" t="s">
        <v>324</v>
      </c>
      <c r="C2772" t="s">
        <v>307</v>
      </c>
      <c r="D2772" t="s">
        <v>98</v>
      </c>
      <c r="E2772">
        <v>1499.99</v>
      </c>
      <c r="F2772">
        <v>0</v>
      </c>
      <c r="H2772" t="s">
        <v>8</v>
      </c>
      <c r="I2772">
        <v>0</v>
      </c>
      <c r="J2772">
        <v>0</v>
      </c>
      <c r="K2772">
        <v>0</v>
      </c>
    </row>
    <row r="2773" spans="1:11" x14ac:dyDescent="0.2">
      <c r="A2773" t="s">
        <v>740</v>
      </c>
      <c r="B2773" t="s">
        <v>741</v>
      </c>
      <c r="C2773" t="s">
        <v>582</v>
      </c>
      <c r="D2773" t="s">
        <v>138</v>
      </c>
      <c r="E2773">
        <v>64.989999999999995</v>
      </c>
      <c r="F2773">
        <v>0</v>
      </c>
      <c r="H2773" t="s">
        <v>8</v>
      </c>
      <c r="I2773">
        <v>0</v>
      </c>
      <c r="J2773">
        <v>0</v>
      </c>
      <c r="K2773">
        <v>1</v>
      </c>
    </row>
    <row r="2774" spans="1:11" x14ac:dyDescent="0.2">
      <c r="A2774" t="s">
        <v>5485</v>
      </c>
      <c r="B2774" t="s">
        <v>5486</v>
      </c>
      <c r="C2774" t="s">
        <v>5039</v>
      </c>
      <c r="D2774" t="s">
        <v>98</v>
      </c>
      <c r="E2774">
        <v>99.99</v>
      </c>
      <c r="F2774">
        <v>0</v>
      </c>
      <c r="H2774" t="s">
        <v>8</v>
      </c>
      <c r="I2774">
        <v>0</v>
      </c>
      <c r="J2774">
        <v>0</v>
      </c>
      <c r="K2774">
        <v>0</v>
      </c>
    </row>
    <row r="2775" spans="1:11" x14ac:dyDescent="0.2">
      <c r="A2775" t="s">
        <v>5251</v>
      </c>
      <c r="B2775" t="s">
        <v>5252</v>
      </c>
      <c r="C2775" t="s">
        <v>4518</v>
      </c>
      <c r="D2775" t="s">
        <v>98</v>
      </c>
      <c r="E2775">
        <v>89.99</v>
      </c>
      <c r="F2775">
        <v>0</v>
      </c>
      <c r="H2775" t="s">
        <v>8</v>
      </c>
      <c r="I2775">
        <v>0</v>
      </c>
      <c r="J2775">
        <v>0</v>
      </c>
      <c r="K2775">
        <v>0</v>
      </c>
    </row>
    <row r="2776" spans="1:11" x14ac:dyDescent="0.2">
      <c r="A2776" t="s">
        <v>5391</v>
      </c>
      <c r="B2776" t="s">
        <v>5392</v>
      </c>
      <c r="C2776" t="s">
        <v>5039</v>
      </c>
      <c r="D2776" t="s">
        <v>98</v>
      </c>
      <c r="E2776">
        <v>149.99</v>
      </c>
      <c r="F2776">
        <v>0</v>
      </c>
      <c r="H2776" t="s">
        <v>8</v>
      </c>
      <c r="I2776">
        <v>0</v>
      </c>
      <c r="J2776">
        <v>0</v>
      </c>
      <c r="K2776">
        <v>0</v>
      </c>
    </row>
    <row r="2777" spans="1:11" x14ac:dyDescent="0.2">
      <c r="A2777" t="s">
        <v>5005</v>
      </c>
      <c r="B2777" t="s">
        <v>5006</v>
      </c>
      <c r="C2777" t="s">
        <v>4905</v>
      </c>
      <c r="D2777" t="s">
        <v>105</v>
      </c>
      <c r="E2777">
        <v>199</v>
      </c>
      <c r="F2777">
        <v>0</v>
      </c>
      <c r="H2777" t="s">
        <v>8</v>
      </c>
      <c r="I2777">
        <v>0</v>
      </c>
      <c r="J2777">
        <v>0</v>
      </c>
      <c r="K2777">
        <v>28</v>
      </c>
    </row>
    <row r="2778" spans="1:11" x14ac:dyDescent="0.2">
      <c r="A2778" t="s">
        <v>5044</v>
      </c>
      <c r="B2778" t="s">
        <v>5045</v>
      </c>
      <c r="C2778" t="s">
        <v>5039</v>
      </c>
      <c r="D2778" t="s">
        <v>98</v>
      </c>
      <c r="E2778">
        <v>149.99</v>
      </c>
      <c r="F2778">
        <v>0</v>
      </c>
      <c r="H2778" t="s">
        <v>8</v>
      </c>
      <c r="I2778">
        <v>0</v>
      </c>
      <c r="J2778">
        <v>0</v>
      </c>
      <c r="K2778">
        <v>0</v>
      </c>
    </row>
    <row r="2779" spans="1:11" x14ac:dyDescent="0.2">
      <c r="A2779" t="s">
        <v>778</v>
      </c>
      <c r="B2779" t="s">
        <v>779</v>
      </c>
      <c r="C2779" t="s">
        <v>582</v>
      </c>
      <c r="D2779" t="s">
        <v>105</v>
      </c>
      <c r="E2779">
        <v>59.99</v>
      </c>
      <c r="F2779">
        <v>0</v>
      </c>
      <c r="G2779">
        <v>26</v>
      </c>
      <c r="H2779" t="s">
        <v>8</v>
      </c>
      <c r="I2779">
        <v>0</v>
      </c>
      <c r="J2779">
        <v>0</v>
      </c>
      <c r="K2779">
        <v>0</v>
      </c>
    </row>
    <row r="2780" spans="1:11" x14ac:dyDescent="0.2">
      <c r="A2780" t="s">
        <v>5479</v>
      </c>
      <c r="B2780" t="s">
        <v>5480</v>
      </c>
      <c r="C2780" t="s">
        <v>5039</v>
      </c>
      <c r="D2780" t="s">
        <v>98</v>
      </c>
      <c r="E2780">
        <v>149.99</v>
      </c>
      <c r="F2780">
        <v>0</v>
      </c>
      <c r="H2780" t="s">
        <v>8</v>
      </c>
      <c r="I2780">
        <v>0</v>
      </c>
      <c r="J2780">
        <v>0</v>
      </c>
      <c r="K2780">
        <v>0</v>
      </c>
    </row>
    <row r="2781" spans="1:11" x14ac:dyDescent="0.2">
      <c r="A2781" t="s">
        <v>5417</v>
      </c>
      <c r="B2781" t="s">
        <v>5418</v>
      </c>
      <c r="C2781" t="s">
        <v>5039</v>
      </c>
      <c r="D2781" t="s">
        <v>98</v>
      </c>
      <c r="E2781">
        <v>149.99</v>
      </c>
      <c r="F2781">
        <v>0</v>
      </c>
      <c r="H2781" t="s">
        <v>8</v>
      </c>
      <c r="I2781">
        <v>0</v>
      </c>
      <c r="J2781">
        <v>0</v>
      </c>
      <c r="K2781">
        <v>0</v>
      </c>
    </row>
    <row r="2782" spans="1:11" x14ac:dyDescent="0.2">
      <c r="A2782" t="s">
        <v>5489</v>
      </c>
      <c r="B2782" t="s">
        <v>5490</v>
      </c>
      <c r="C2782" t="s">
        <v>5039</v>
      </c>
      <c r="D2782" t="s">
        <v>98</v>
      </c>
      <c r="E2782">
        <v>149.99</v>
      </c>
      <c r="F2782">
        <v>0</v>
      </c>
      <c r="H2782" t="s">
        <v>8</v>
      </c>
      <c r="I2782">
        <v>0</v>
      </c>
      <c r="J2782">
        <v>0</v>
      </c>
      <c r="K2782">
        <v>0</v>
      </c>
    </row>
    <row r="2783" spans="1:11" x14ac:dyDescent="0.2">
      <c r="A2783" t="s">
        <v>823</v>
      </c>
      <c r="B2783" t="s">
        <v>824</v>
      </c>
      <c r="C2783" t="s">
        <v>582</v>
      </c>
      <c r="D2783" t="s">
        <v>98</v>
      </c>
      <c r="E2783">
        <v>79.989999999999995</v>
      </c>
      <c r="F2783">
        <v>0</v>
      </c>
      <c r="G2783">
        <v>36</v>
      </c>
      <c r="H2783" t="s">
        <v>8</v>
      </c>
      <c r="I2783">
        <v>0</v>
      </c>
      <c r="J2783">
        <v>0</v>
      </c>
      <c r="K2783">
        <v>2</v>
      </c>
    </row>
    <row r="2784" spans="1:11" x14ac:dyDescent="0.2">
      <c r="A2784" t="s">
        <v>5477</v>
      </c>
      <c r="B2784" t="s">
        <v>5478</v>
      </c>
      <c r="C2784" t="s">
        <v>5039</v>
      </c>
      <c r="D2784" t="s">
        <v>98</v>
      </c>
      <c r="E2784">
        <v>99.99</v>
      </c>
      <c r="F2784">
        <v>0</v>
      </c>
      <c r="H2784" t="s">
        <v>8</v>
      </c>
      <c r="I2784">
        <v>0</v>
      </c>
      <c r="J2784">
        <v>0</v>
      </c>
      <c r="K2784">
        <v>0</v>
      </c>
    </row>
    <row r="2785" spans="1:11" x14ac:dyDescent="0.2">
      <c r="A2785" t="s">
        <v>5253</v>
      </c>
      <c r="B2785" t="s">
        <v>5254</v>
      </c>
      <c r="C2785" t="s">
        <v>4518</v>
      </c>
      <c r="D2785" t="s">
        <v>98</v>
      </c>
      <c r="E2785">
        <v>89.99</v>
      </c>
      <c r="F2785">
        <v>0</v>
      </c>
      <c r="H2785" t="s">
        <v>8</v>
      </c>
      <c r="I2785">
        <v>0</v>
      </c>
      <c r="J2785">
        <v>0</v>
      </c>
      <c r="K2785">
        <v>0</v>
      </c>
    </row>
    <row r="2786" spans="1:11" x14ac:dyDescent="0.2">
      <c r="A2786" t="s">
        <v>5054</v>
      </c>
      <c r="B2786" t="s">
        <v>5055</v>
      </c>
      <c r="C2786" t="s">
        <v>5039</v>
      </c>
      <c r="D2786" t="s">
        <v>98</v>
      </c>
      <c r="E2786">
        <v>99.99</v>
      </c>
      <c r="F2786">
        <v>0</v>
      </c>
      <c r="H2786" t="s">
        <v>8</v>
      </c>
      <c r="I2786">
        <v>0</v>
      </c>
      <c r="J2786">
        <v>0</v>
      </c>
      <c r="K2786">
        <v>0</v>
      </c>
    </row>
    <row r="2787" spans="1:11" x14ac:dyDescent="0.2">
      <c r="A2787" t="s">
        <v>738</v>
      </c>
      <c r="B2787" t="s">
        <v>739</v>
      </c>
      <c r="C2787" t="s">
        <v>582</v>
      </c>
      <c r="D2787" t="s">
        <v>138</v>
      </c>
      <c r="E2787">
        <v>59.99</v>
      </c>
      <c r="F2787">
        <v>0</v>
      </c>
      <c r="H2787" t="s">
        <v>8</v>
      </c>
      <c r="I2787">
        <v>0</v>
      </c>
      <c r="J2787">
        <v>0</v>
      </c>
      <c r="K2787">
        <v>17</v>
      </c>
    </row>
    <row r="2788" spans="1:11" x14ac:dyDescent="0.2">
      <c r="A2788" t="s">
        <v>5011</v>
      </c>
      <c r="B2788" t="s">
        <v>5012</v>
      </c>
      <c r="C2788" t="s">
        <v>5010</v>
      </c>
      <c r="D2788" t="s">
        <v>98</v>
      </c>
      <c r="E2788">
        <v>99.99</v>
      </c>
      <c r="F2788">
        <v>0</v>
      </c>
      <c r="H2788" t="s">
        <v>8</v>
      </c>
      <c r="I2788">
        <v>0</v>
      </c>
      <c r="J2788">
        <v>0</v>
      </c>
      <c r="K2788">
        <v>0</v>
      </c>
    </row>
    <row r="2789" spans="1:11" x14ac:dyDescent="0.2">
      <c r="A2789" t="s">
        <v>4589</v>
      </c>
      <c r="B2789" t="s">
        <v>4590</v>
      </c>
      <c r="C2789" t="s">
        <v>4518</v>
      </c>
      <c r="D2789" t="s">
        <v>98</v>
      </c>
      <c r="E2789">
        <v>119.99</v>
      </c>
      <c r="F2789">
        <v>0</v>
      </c>
      <c r="H2789" t="s">
        <v>8</v>
      </c>
      <c r="I2789">
        <v>0</v>
      </c>
      <c r="J2789">
        <v>0</v>
      </c>
      <c r="K2789">
        <v>0</v>
      </c>
    </row>
    <row r="2790" spans="1:11" x14ac:dyDescent="0.2">
      <c r="A2790" t="s">
        <v>5548</v>
      </c>
      <c r="B2790" t="s">
        <v>5549</v>
      </c>
      <c r="C2790" t="s">
        <v>4518</v>
      </c>
      <c r="D2790" t="s">
        <v>98</v>
      </c>
      <c r="E2790">
        <v>249.99</v>
      </c>
      <c r="F2790">
        <v>0</v>
      </c>
      <c r="H2790" t="s">
        <v>8</v>
      </c>
      <c r="I2790">
        <v>0</v>
      </c>
      <c r="J2790">
        <v>0</v>
      </c>
      <c r="K2790">
        <v>0</v>
      </c>
    </row>
    <row r="2791" spans="1:11" x14ac:dyDescent="0.2">
      <c r="A2791" t="s">
        <v>343</v>
      </c>
      <c r="B2791" t="s">
        <v>342</v>
      </c>
      <c r="C2791" t="s">
        <v>307</v>
      </c>
      <c r="D2791" t="s">
        <v>98</v>
      </c>
      <c r="E2791">
        <v>3999.99</v>
      </c>
      <c r="F2791">
        <v>0</v>
      </c>
      <c r="H2791" t="s">
        <v>8</v>
      </c>
      <c r="I2791">
        <v>0</v>
      </c>
      <c r="J2791">
        <v>0</v>
      </c>
      <c r="K2791">
        <v>0</v>
      </c>
    </row>
    <row r="2792" spans="1:11" x14ac:dyDescent="0.2">
      <c r="A2792" t="s">
        <v>5243</v>
      </c>
      <c r="B2792" t="s">
        <v>5244</v>
      </c>
      <c r="C2792" t="s">
        <v>4518</v>
      </c>
      <c r="D2792" t="s">
        <v>98</v>
      </c>
      <c r="E2792">
        <v>89.99</v>
      </c>
      <c r="F2792">
        <v>0</v>
      </c>
      <c r="H2792" t="s">
        <v>8</v>
      </c>
      <c r="I2792">
        <v>0</v>
      </c>
      <c r="J2792">
        <v>0</v>
      </c>
      <c r="K2792">
        <v>0</v>
      </c>
    </row>
    <row r="2793" spans="1:11" x14ac:dyDescent="0.2">
      <c r="A2793" t="s">
        <v>410</v>
      </c>
      <c r="B2793" t="s">
        <v>411</v>
      </c>
      <c r="C2793" t="s">
        <v>307</v>
      </c>
      <c r="D2793" t="s">
        <v>98</v>
      </c>
      <c r="E2793">
        <v>199.99</v>
      </c>
      <c r="F2793">
        <v>0</v>
      </c>
      <c r="H2793" t="s">
        <v>8</v>
      </c>
      <c r="I2793">
        <v>0</v>
      </c>
      <c r="J2793">
        <v>0</v>
      </c>
      <c r="K2793">
        <v>0</v>
      </c>
    </row>
    <row r="2794" spans="1:11" x14ac:dyDescent="0.2">
      <c r="A2794" t="s">
        <v>354</v>
      </c>
      <c r="B2794" t="s">
        <v>355</v>
      </c>
      <c r="C2794" t="s">
        <v>307</v>
      </c>
      <c r="D2794" t="s">
        <v>98</v>
      </c>
      <c r="E2794">
        <v>1999.99</v>
      </c>
      <c r="F2794">
        <v>0</v>
      </c>
      <c r="H2794" t="s">
        <v>8</v>
      </c>
      <c r="I2794">
        <v>0</v>
      </c>
      <c r="J2794">
        <v>0</v>
      </c>
      <c r="K2794">
        <v>0</v>
      </c>
    </row>
    <row r="2795" spans="1:11" x14ac:dyDescent="0.2">
      <c r="A2795" t="s">
        <v>350</v>
      </c>
      <c r="B2795" t="s">
        <v>351</v>
      </c>
      <c r="C2795" t="s">
        <v>307</v>
      </c>
      <c r="D2795" t="s">
        <v>98</v>
      </c>
      <c r="E2795">
        <v>399.99</v>
      </c>
      <c r="F2795">
        <v>0</v>
      </c>
      <c r="H2795" t="s">
        <v>8</v>
      </c>
      <c r="I2795">
        <v>0</v>
      </c>
      <c r="J2795">
        <v>0</v>
      </c>
      <c r="K2795">
        <v>0</v>
      </c>
    </row>
    <row r="2796" spans="1:11" x14ac:dyDescent="0.2">
      <c r="A2796" t="s">
        <v>112</v>
      </c>
      <c r="B2796" t="s">
        <v>113</v>
      </c>
      <c r="C2796" t="s">
        <v>95</v>
      </c>
      <c r="D2796" t="s">
        <v>98</v>
      </c>
      <c r="E2796">
        <v>99.99</v>
      </c>
      <c r="F2796">
        <v>0</v>
      </c>
      <c r="H2796" t="s">
        <v>8</v>
      </c>
      <c r="I2796">
        <v>0</v>
      </c>
      <c r="J2796">
        <v>0</v>
      </c>
      <c r="K2796">
        <v>0</v>
      </c>
    </row>
    <row r="2797" spans="1:11" x14ac:dyDescent="0.2">
      <c r="A2797" t="s">
        <v>776</v>
      </c>
      <c r="B2797" t="s">
        <v>777</v>
      </c>
      <c r="C2797" t="s">
        <v>582</v>
      </c>
      <c r="D2797" t="s">
        <v>105</v>
      </c>
      <c r="E2797">
        <v>69.989999999999995</v>
      </c>
      <c r="F2797">
        <v>0</v>
      </c>
      <c r="G2797">
        <v>64</v>
      </c>
      <c r="H2797" t="s">
        <v>8</v>
      </c>
      <c r="I2797">
        <v>0.33333333333333331</v>
      </c>
      <c r="J2797">
        <v>12</v>
      </c>
      <c r="K2797">
        <v>4</v>
      </c>
    </row>
    <row r="2798" spans="1:11" x14ac:dyDescent="0.2">
      <c r="A2798" t="s">
        <v>5048</v>
      </c>
      <c r="B2798" t="s">
        <v>5049</v>
      </c>
      <c r="C2798" t="s">
        <v>5039</v>
      </c>
      <c r="D2798" t="s">
        <v>98</v>
      </c>
      <c r="E2798">
        <v>429.99</v>
      </c>
      <c r="F2798">
        <v>0</v>
      </c>
      <c r="H2798" t="s">
        <v>8</v>
      </c>
      <c r="I2798">
        <v>0</v>
      </c>
      <c r="J2798">
        <v>0</v>
      </c>
      <c r="K2798">
        <v>0</v>
      </c>
    </row>
    <row r="2799" spans="1:11" x14ac:dyDescent="0.2">
      <c r="A2799" t="s">
        <v>5564</v>
      </c>
      <c r="B2799" t="s">
        <v>5565</v>
      </c>
      <c r="C2799" t="s">
        <v>4518</v>
      </c>
      <c r="D2799" t="s">
        <v>138</v>
      </c>
      <c r="E2799">
        <v>119.99</v>
      </c>
      <c r="F2799">
        <v>0</v>
      </c>
      <c r="H2799" t="s">
        <v>8</v>
      </c>
      <c r="I2799">
        <v>0</v>
      </c>
      <c r="J2799">
        <v>0</v>
      </c>
      <c r="K2799">
        <v>0</v>
      </c>
    </row>
    <row r="2800" spans="1:11" x14ac:dyDescent="0.2">
      <c r="A2800" t="s">
        <v>4606</v>
      </c>
      <c r="B2800" t="s">
        <v>4607</v>
      </c>
      <c r="C2800" t="s">
        <v>4597</v>
      </c>
      <c r="D2800" t="s">
        <v>98</v>
      </c>
      <c r="E2800">
        <v>99.99</v>
      </c>
      <c r="F2800">
        <v>0</v>
      </c>
      <c r="H2800" t="s">
        <v>8</v>
      </c>
      <c r="I2800">
        <v>0</v>
      </c>
      <c r="J2800">
        <v>0</v>
      </c>
      <c r="K2800">
        <v>0</v>
      </c>
    </row>
    <row r="2801" spans="1:11" x14ac:dyDescent="0.2">
      <c r="A2801" t="s">
        <v>5033</v>
      </c>
      <c r="B2801" t="s">
        <v>5034</v>
      </c>
      <c r="C2801" t="s">
        <v>5010</v>
      </c>
      <c r="D2801" t="s">
        <v>98</v>
      </c>
      <c r="E2801">
        <v>199.99</v>
      </c>
      <c r="F2801">
        <v>0</v>
      </c>
      <c r="H2801" t="s">
        <v>8</v>
      </c>
      <c r="I2801">
        <v>0</v>
      </c>
      <c r="J2801">
        <v>0</v>
      </c>
      <c r="K2801">
        <v>0</v>
      </c>
    </row>
    <row r="2802" spans="1:11" x14ac:dyDescent="0.2">
      <c r="A2802" t="s">
        <v>299</v>
      </c>
      <c r="B2802" t="s">
        <v>300</v>
      </c>
      <c r="C2802" t="s">
        <v>288</v>
      </c>
      <c r="D2802" t="s">
        <v>98</v>
      </c>
      <c r="E2802">
        <v>199.99</v>
      </c>
      <c r="F2802">
        <v>0</v>
      </c>
      <c r="H2802" t="s">
        <v>8</v>
      </c>
      <c r="I2802">
        <v>0</v>
      </c>
      <c r="J2802">
        <v>0</v>
      </c>
      <c r="K2802">
        <v>4</v>
      </c>
    </row>
    <row r="2803" spans="1:11" x14ac:dyDescent="0.2">
      <c r="A2803" t="s">
        <v>5608</v>
      </c>
      <c r="B2803" t="s">
        <v>5609</v>
      </c>
      <c r="C2803" t="s">
        <v>582</v>
      </c>
      <c r="D2803" t="s">
        <v>98</v>
      </c>
      <c r="E2803">
        <v>59.99</v>
      </c>
      <c r="F2803">
        <v>0</v>
      </c>
      <c r="H2803" t="s">
        <v>8</v>
      </c>
      <c r="I2803">
        <v>0</v>
      </c>
      <c r="J2803">
        <v>0</v>
      </c>
      <c r="K2803">
        <v>0</v>
      </c>
    </row>
    <row r="2804" spans="1:11" x14ac:dyDescent="0.2">
      <c r="A2804" t="s">
        <v>5499</v>
      </c>
      <c r="B2804" t="s">
        <v>5500</v>
      </c>
      <c r="C2804" t="s">
        <v>5039</v>
      </c>
      <c r="D2804" t="s">
        <v>98</v>
      </c>
      <c r="E2804">
        <v>39.99</v>
      </c>
      <c r="F2804">
        <v>0</v>
      </c>
      <c r="H2804" t="s">
        <v>8</v>
      </c>
      <c r="I2804">
        <v>0</v>
      </c>
      <c r="J2804">
        <v>0</v>
      </c>
      <c r="K2804">
        <v>0</v>
      </c>
    </row>
    <row r="2805" spans="1:11" x14ac:dyDescent="0.2">
      <c r="A2805" t="s">
        <v>4579</v>
      </c>
      <c r="B2805" t="s">
        <v>4580</v>
      </c>
      <c r="C2805" t="s">
        <v>4518</v>
      </c>
      <c r="D2805" t="s">
        <v>105</v>
      </c>
      <c r="E2805">
        <v>139.99</v>
      </c>
      <c r="F2805">
        <v>0</v>
      </c>
      <c r="G2805">
        <v>21</v>
      </c>
      <c r="H2805" t="s">
        <v>8</v>
      </c>
      <c r="I2805">
        <v>0.33333333333333331</v>
      </c>
      <c r="J2805">
        <v>3</v>
      </c>
      <c r="K2805">
        <v>1</v>
      </c>
    </row>
    <row r="2806" spans="1:11" x14ac:dyDescent="0.2">
      <c r="A2806" t="s">
        <v>5510</v>
      </c>
      <c r="B2806" t="s">
        <v>5511</v>
      </c>
      <c r="C2806" t="s">
        <v>5039</v>
      </c>
      <c r="D2806" t="s">
        <v>98</v>
      </c>
      <c r="E2806">
        <v>69.989999999999995</v>
      </c>
      <c r="F2806">
        <v>0</v>
      </c>
      <c r="H2806" t="s">
        <v>8</v>
      </c>
      <c r="I2806">
        <v>0</v>
      </c>
      <c r="J2806">
        <v>0</v>
      </c>
      <c r="K2806">
        <v>0</v>
      </c>
    </row>
    <row r="2807" spans="1:11" x14ac:dyDescent="0.2">
      <c r="A2807" t="s">
        <v>312</v>
      </c>
      <c r="B2807" t="s">
        <v>313</v>
      </c>
      <c r="C2807" t="s">
        <v>307</v>
      </c>
      <c r="D2807" t="s">
        <v>98</v>
      </c>
      <c r="E2807">
        <v>549.99</v>
      </c>
      <c r="F2807">
        <v>0</v>
      </c>
      <c r="H2807" t="s">
        <v>8</v>
      </c>
      <c r="I2807">
        <v>0</v>
      </c>
      <c r="J2807">
        <v>0</v>
      </c>
      <c r="K2807">
        <v>0</v>
      </c>
    </row>
    <row r="2808" spans="1:11" x14ac:dyDescent="0.2">
      <c r="A2808" t="s">
        <v>5664</v>
      </c>
      <c r="B2808" t="s">
        <v>5665</v>
      </c>
      <c r="C2808" t="s">
        <v>95</v>
      </c>
      <c r="D2808" t="s">
        <v>98</v>
      </c>
      <c r="E2808">
        <v>99.99</v>
      </c>
      <c r="F2808">
        <v>0</v>
      </c>
      <c r="H2808" t="s">
        <v>8</v>
      </c>
      <c r="I2808">
        <v>0</v>
      </c>
      <c r="J2808">
        <v>0</v>
      </c>
      <c r="K2808">
        <v>0</v>
      </c>
    </row>
    <row r="2809" spans="1:11" x14ac:dyDescent="0.2">
      <c r="A2809" t="s">
        <v>4565</v>
      </c>
      <c r="B2809" t="s">
        <v>4566</v>
      </c>
      <c r="C2809" t="s">
        <v>4518</v>
      </c>
      <c r="D2809" t="s">
        <v>138</v>
      </c>
      <c r="E2809">
        <v>159.99</v>
      </c>
      <c r="F2809">
        <v>0</v>
      </c>
      <c r="G2809">
        <v>14</v>
      </c>
      <c r="H2809" t="s">
        <v>8</v>
      </c>
      <c r="I2809">
        <v>0</v>
      </c>
      <c r="J2809">
        <v>0</v>
      </c>
      <c r="K2809">
        <v>0</v>
      </c>
    </row>
    <row r="2810" spans="1:11" x14ac:dyDescent="0.2">
      <c r="A2810" t="s">
        <v>4608</v>
      </c>
      <c r="B2810" t="s">
        <v>4609</v>
      </c>
      <c r="C2810" t="s">
        <v>4597</v>
      </c>
      <c r="D2810" t="s">
        <v>98</v>
      </c>
      <c r="E2810">
        <v>139.99</v>
      </c>
      <c r="F2810">
        <v>0</v>
      </c>
      <c r="H2810" t="s">
        <v>8</v>
      </c>
      <c r="I2810">
        <v>0</v>
      </c>
      <c r="J2810">
        <v>0</v>
      </c>
      <c r="K2810">
        <v>0</v>
      </c>
    </row>
    <row r="2811" spans="1:11" x14ac:dyDescent="0.2">
      <c r="A2811" t="s">
        <v>5031</v>
      </c>
      <c r="B2811" t="s">
        <v>5032</v>
      </c>
      <c r="C2811" t="s">
        <v>5010</v>
      </c>
      <c r="D2811" t="s">
        <v>98</v>
      </c>
      <c r="E2811">
        <v>449.99</v>
      </c>
      <c r="F2811">
        <v>0</v>
      </c>
      <c r="H2811" t="s">
        <v>8</v>
      </c>
      <c r="I2811">
        <v>0</v>
      </c>
      <c r="J2811">
        <v>0</v>
      </c>
      <c r="K2811">
        <v>0</v>
      </c>
    </row>
    <row r="2812" spans="1:11" x14ac:dyDescent="0.2">
      <c r="A2812" t="s">
        <v>5562</v>
      </c>
      <c r="B2812" t="s">
        <v>5563</v>
      </c>
      <c r="C2812" t="s">
        <v>582</v>
      </c>
      <c r="D2812" t="s">
        <v>98</v>
      </c>
      <c r="E2812">
        <v>99.99</v>
      </c>
      <c r="F2812">
        <v>0</v>
      </c>
      <c r="H2812" t="s">
        <v>8</v>
      </c>
      <c r="I2812">
        <v>0</v>
      </c>
      <c r="J2812">
        <v>0</v>
      </c>
      <c r="K2812">
        <v>0</v>
      </c>
    </row>
    <row r="2813" spans="1:11" x14ac:dyDescent="0.2">
      <c r="A2813" t="s">
        <v>5534</v>
      </c>
      <c r="B2813" t="s">
        <v>5535</v>
      </c>
      <c r="C2813" t="s">
        <v>5039</v>
      </c>
      <c r="D2813" t="s">
        <v>98</v>
      </c>
      <c r="E2813">
        <v>49.99</v>
      </c>
      <c r="F2813">
        <v>0</v>
      </c>
      <c r="H2813" t="s">
        <v>8</v>
      </c>
      <c r="I2813">
        <v>0</v>
      </c>
      <c r="J2813">
        <v>0</v>
      </c>
      <c r="K2813">
        <v>0</v>
      </c>
    </row>
    <row r="2814" spans="1:11" x14ac:dyDescent="0.2">
      <c r="A2814" t="s">
        <v>5610</v>
      </c>
      <c r="B2814" t="s">
        <v>5611</v>
      </c>
      <c r="C2814" t="s">
        <v>582</v>
      </c>
      <c r="D2814" t="s">
        <v>98</v>
      </c>
      <c r="E2814">
        <v>59.99</v>
      </c>
      <c r="F2814">
        <v>0</v>
      </c>
      <c r="H2814" t="s">
        <v>8</v>
      </c>
      <c r="I2814">
        <v>0</v>
      </c>
      <c r="J2814">
        <v>0</v>
      </c>
      <c r="K2814">
        <v>0</v>
      </c>
    </row>
    <row r="2815" spans="1:11" x14ac:dyDescent="0.2">
      <c r="A2815" t="s">
        <v>5439</v>
      </c>
      <c r="B2815" t="s">
        <v>5440</v>
      </c>
      <c r="C2815" t="s">
        <v>5039</v>
      </c>
      <c r="D2815" t="s">
        <v>98</v>
      </c>
      <c r="E2815">
        <v>799.99</v>
      </c>
      <c r="F2815">
        <v>0</v>
      </c>
      <c r="H2815" t="s">
        <v>8</v>
      </c>
      <c r="I2815">
        <v>0</v>
      </c>
      <c r="J2815">
        <v>0</v>
      </c>
      <c r="K2815">
        <v>0</v>
      </c>
    </row>
    <row r="2816" spans="1:11" x14ac:dyDescent="0.2">
      <c r="A2816" t="s">
        <v>295</v>
      </c>
      <c r="B2816" t="s">
        <v>296</v>
      </c>
      <c r="C2816" t="s">
        <v>288</v>
      </c>
      <c r="D2816" t="s">
        <v>98</v>
      </c>
      <c r="E2816">
        <v>199.99</v>
      </c>
      <c r="F2816">
        <v>0</v>
      </c>
      <c r="H2816" t="s">
        <v>8</v>
      </c>
      <c r="I2816">
        <v>0</v>
      </c>
      <c r="J2816">
        <v>0</v>
      </c>
      <c r="K2816">
        <v>4</v>
      </c>
    </row>
    <row r="2817" spans="1:11" x14ac:dyDescent="0.2">
      <c r="A2817" t="s">
        <v>130</v>
      </c>
      <c r="B2817" t="s">
        <v>131</v>
      </c>
      <c r="C2817" t="s">
        <v>95</v>
      </c>
      <c r="D2817" t="s">
        <v>98</v>
      </c>
      <c r="E2817">
        <v>24.99</v>
      </c>
      <c r="F2817">
        <v>0</v>
      </c>
      <c r="H2817" t="s">
        <v>8</v>
      </c>
      <c r="I2817">
        <v>0</v>
      </c>
      <c r="J2817">
        <v>0</v>
      </c>
      <c r="K2817">
        <v>0</v>
      </c>
    </row>
    <row r="2818" spans="1:11" x14ac:dyDescent="0.2">
      <c r="A2818" t="s">
        <v>310</v>
      </c>
      <c r="B2818" t="s">
        <v>311</v>
      </c>
      <c r="C2818" t="s">
        <v>307</v>
      </c>
      <c r="D2818" t="s">
        <v>98</v>
      </c>
      <c r="E2818">
        <v>449.99</v>
      </c>
      <c r="F2818">
        <v>0</v>
      </c>
      <c r="H2818" t="s">
        <v>8</v>
      </c>
      <c r="I2818">
        <v>0</v>
      </c>
      <c r="J2818">
        <v>0</v>
      </c>
      <c r="K2818">
        <v>0</v>
      </c>
    </row>
    <row r="2819" spans="1:11" x14ac:dyDescent="0.2">
      <c r="A2819" t="s">
        <v>372</v>
      </c>
      <c r="B2819" t="s">
        <v>373</v>
      </c>
      <c r="C2819" t="s">
        <v>307</v>
      </c>
      <c r="D2819" t="s">
        <v>98</v>
      </c>
      <c r="E2819">
        <v>699.99</v>
      </c>
      <c r="F2819">
        <v>0</v>
      </c>
      <c r="H2819" t="s">
        <v>8</v>
      </c>
      <c r="I2819">
        <v>0</v>
      </c>
      <c r="J2819">
        <v>0</v>
      </c>
      <c r="K2819">
        <v>0</v>
      </c>
    </row>
    <row r="2820" spans="1:11" x14ac:dyDescent="0.2">
      <c r="A2820" t="s">
        <v>388</v>
      </c>
      <c r="B2820" t="s">
        <v>389</v>
      </c>
      <c r="C2820" t="s">
        <v>307</v>
      </c>
      <c r="D2820" t="s">
        <v>98</v>
      </c>
      <c r="E2820">
        <v>229</v>
      </c>
      <c r="F2820">
        <v>0</v>
      </c>
      <c r="H2820" t="s">
        <v>8</v>
      </c>
      <c r="I2820">
        <v>0</v>
      </c>
      <c r="J2820">
        <v>0</v>
      </c>
      <c r="K2820">
        <v>0</v>
      </c>
    </row>
    <row r="2821" spans="1:11" x14ac:dyDescent="0.2">
      <c r="A2821" t="s">
        <v>118</v>
      </c>
      <c r="B2821" t="s">
        <v>119</v>
      </c>
      <c r="C2821" t="s">
        <v>95</v>
      </c>
      <c r="D2821" t="s">
        <v>98</v>
      </c>
      <c r="E2821">
        <v>149.99</v>
      </c>
      <c r="F2821">
        <v>0</v>
      </c>
      <c r="H2821" t="s">
        <v>8</v>
      </c>
      <c r="I2821">
        <v>0</v>
      </c>
      <c r="J2821">
        <v>0</v>
      </c>
      <c r="K2821">
        <v>0</v>
      </c>
    </row>
    <row r="2822" spans="1:11" x14ac:dyDescent="0.2">
      <c r="A2822" t="s">
        <v>5037</v>
      </c>
      <c r="B2822" t="s">
        <v>5038</v>
      </c>
      <c r="C2822" t="s">
        <v>5010</v>
      </c>
      <c r="D2822" t="s">
        <v>98</v>
      </c>
      <c r="E2822">
        <v>94.99</v>
      </c>
      <c r="F2822">
        <v>0</v>
      </c>
      <c r="H2822" t="s">
        <v>8</v>
      </c>
      <c r="I2822">
        <v>0</v>
      </c>
      <c r="J2822">
        <v>0</v>
      </c>
      <c r="K2822">
        <v>0</v>
      </c>
    </row>
    <row r="2823" spans="1:11" x14ac:dyDescent="0.2">
      <c r="A2823" t="s">
        <v>4602</v>
      </c>
      <c r="B2823" t="s">
        <v>4603</v>
      </c>
      <c r="C2823" t="s">
        <v>4597</v>
      </c>
      <c r="D2823" t="s">
        <v>98</v>
      </c>
      <c r="E2823">
        <v>139.99</v>
      </c>
      <c r="F2823">
        <v>0</v>
      </c>
      <c r="H2823" t="s">
        <v>8</v>
      </c>
      <c r="I2823">
        <v>0</v>
      </c>
      <c r="J2823">
        <v>0</v>
      </c>
      <c r="K2823">
        <v>0</v>
      </c>
    </row>
    <row r="2824" spans="1:11" x14ac:dyDescent="0.2">
      <c r="A2824" t="s">
        <v>5604</v>
      </c>
      <c r="B2824" t="s">
        <v>5605</v>
      </c>
      <c r="C2824" t="s">
        <v>582</v>
      </c>
      <c r="D2824" t="s">
        <v>98</v>
      </c>
      <c r="E2824">
        <v>39.99</v>
      </c>
      <c r="F2824">
        <v>0</v>
      </c>
      <c r="H2824" t="s">
        <v>8</v>
      </c>
      <c r="I2824">
        <v>0</v>
      </c>
      <c r="J2824">
        <v>0</v>
      </c>
      <c r="K2824">
        <v>0</v>
      </c>
    </row>
    <row r="2825" spans="1:11" x14ac:dyDescent="0.2">
      <c r="A2825" t="s">
        <v>5503</v>
      </c>
      <c r="B2825" t="s">
        <v>5504</v>
      </c>
      <c r="C2825" t="s">
        <v>5039</v>
      </c>
      <c r="D2825" t="s">
        <v>98</v>
      </c>
      <c r="E2825">
        <v>79.989999999999995</v>
      </c>
      <c r="F2825">
        <v>0</v>
      </c>
      <c r="H2825" t="s">
        <v>8</v>
      </c>
      <c r="I2825">
        <v>0</v>
      </c>
      <c r="J2825">
        <v>0</v>
      </c>
      <c r="K2825">
        <v>0</v>
      </c>
    </row>
    <row r="2826" spans="1:11" x14ac:dyDescent="0.2">
      <c r="A2826" t="s">
        <v>5501</v>
      </c>
      <c r="B2826" t="s">
        <v>5502</v>
      </c>
      <c r="C2826" t="s">
        <v>5039</v>
      </c>
      <c r="D2826" t="s">
        <v>98</v>
      </c>
      <c r="E2826">
        <v>79.989999999999995</v>
      </c>
      <c r="F2826">
        <v>0</v>
      </c>
      <c r="H2826" t="s">
        <v>8</v>
      </c>
      <c r="I2826">
        <v>0</v>
      </c>
      <c r="J2826">
        <v>0</v>
      </c>
      <c r="K2826">
        <v>0</v>
      </c>
    </row>
    <row r="2827" spans="1:11" x14ac:dyDescent="0.2">
      <c r="A2827" t="s">
        <v>632</v>
      </c>
      <c r="B2827" t="s">
        <v>633</v>
      </c>
      <c r="C2827" t="s">
        <v>582</v>
      </c>
      <c r="D2827" t="s">
        <v>138</v>
      </c>
      <c r="E2827">
        <v>159.99</v>
      </c>
      <c r="F2827">
        <v>0</v>
      </c>
      <c r="H2827" t="s">
        <v>8</v>
      </c>
      <c r="I2827">
        <v>0.16666666666666666</v>
      </c>
      <c r="J2827">
        <v>12</v>
      </c>
      <c r="K2827">
        <v>2</v>
      </c>
    </row>
    <row r="2828" spans="1:11" x14ac:dyDescent="0.2">
      <c r="A2828" t="s">
        <v>116</v>
      </c>
      <c r="B2828" t="s">
        <v>117</v>
      </c>
      <c r="C2828" t="s">
        <v>95</v>
      </c>
      <c r="D2828" t="s">
        <v>98</v>
      </c>
      <c r="E2828">
        <v>129.99</v>
      </c>
      <c r="F2828">
        <v>0</v>
      </c>
      <c r="H2828" t="s">
        <v>8</v>
      </c>
      <c r="I2828">
        <v>0</v>
      </c>
      <c r="J2828">
        <v>0</v>
      </c>
      <c r="K2828">
        <v>0</v>
      </c>
    </row>
    <row r="2829" spans="1:11" x14ac:dyDescent="0.2">
      <c r="A2829" t="s">
        <v>5568</v>
      </c>
      <c r="B2829" t="s">
        <v>5569</v>
      </c>
      <c r="C2829" t="s">
        <v>4518</v>
      </c>
      <c r="D2829" t="s">
        <v>138</v>
      </c>
      <c r="E2829">
        <v>169.99</v>
      </c>
      <c r="F2829">
        <v>0</v>
      </c>
      <c r="H2829" t="s">
        <v>8</v>
      </c>
      <c r="I2829">
        <v>0.33333333333333331</v>
      </c>
      <c r="J2829">
        <v>42</v>
      </c>
      <c r="K2829">
        <v>14</v>
      </c>
    </row>
    <row r="2830" spans="1:11" x14ac:dyDescent="0.2">
      <c r="A2830" t="s">
        <v>5094</v>
      </c>
      <c r="B2830" t="s">
        <v>5095</v>
      </c>
      <c r="C2830" t="s">
        <v>582</v>
      </c>
      <c r="D2830" t="s">
        <v>98</v>
      </c>
      <c r="E2830">
        <v>69.989999999999995</v>
      </c>
      <c r="F2830">
        <v>0</v>
      </c>
      <c r="H2830" t="s">
        <v>8</v>
      </c>
      <c r="I2830">
        <v>0</v>
      </c>
      <c r="J2830">
        <v>0</v>
      </c>
      <c r="K2830">
        <v>0</v>
      </c>
    </row>
    <row r="2831" spans="1:11" x14ac:dyDescent="0.2">
      <c r="A2831" t="s">
        <v>4600</v>
      </c>
      <c r="B2831" t="s">
        <v>4601</v>
      </c>
      <c r="C2831" t="s">
        <v>4597</v>
      </c>
      <c r="D2831" t="s">
        <v>98</v>
      </c>
      <c r="E2831">
        <v>129.99</v>
      </c>
      <c r="F2831">
        <v>0</v>
      </c>
      <c r="H2831" t="s">
        <v>8</v>
      </c>
      <c r="I2831">
        <v>0</v>
      </c>
      <c r="J2831">
        <v>0</v>
      </c>
      <c r="K2831">
        <v>0</v>
      </c>
    </row>
    <row r="2832" spans="1:11" x14ac:dyDescent="0.2">
      <c r="A2832" t="s">
        <v>4604</v>
      </c>
      <c r="B2832" t="s">
        <v>4605</v>
      </c>
      <c r="C2832" t="s">
        <v>4597</v>
      </c>
      <c r="D2832" t="s">
        <v>98</v>
      </c>
      <c r="E2832">
        <v>174.99</v>
      </c>
      <c r="F2832">
        <v>0</v>
      </c>
      <c r="H2832" t="s">
        <v>8</v>
      </c>
      <c r="I2832">
        <v>0</v>
      </c>
      <c r="J2832">
        <v>0</v>
      </c>
      <c r="K2832">
        <v>0</v>
      </c>
    </row>
    <row r="2833" spans="1:11" x14ac:dyDescent="0.2">
      <c r="A2833" t="s">
        <v>722</v>
      </c>
      <c r="B2833" t="s">
        <v>723</v>
      </c>
      <c r="C2833" t="s">
        <v>582</v>
      </c>
      <c r="D2833" t="s">
        <v>105</v>
      </c>
      <c r="E2833">
        <v>59.99</v>
      </c>
      <c r="F2833">
        <v>0</v>
      </c>
      <c r="G2833">
        <v>38</v>
      </c>
      <c r="H2833" t="s">
        <v>8</v>
      </c>
      <c r="I2833">
        <v>0</v>
      </c>
      <c r="J2833">
        <v>0</v>
      </c>
      <c r="K2833">
        <v>0</v>
      </c>
    </row>
    <row r="2834" spans="1:11" x14ac:dyDescent="0.2">
      <c r="A2834" t="s">
        <v>346</v>
      </c>
      <c r="B2834" t="s">
        <v>347</v>
      </c>
      <c r="C2834" t="s">
        <v>307</v>
      </c>
      <c r="D2834" t="s">
        <v>98</v>
      </c>
      <c r="E2834">
        <v>419.99</v>
      </c>
      <c r="F2834">
        <v>0</v>
      </c>
      <c r="H2834" t="s">
        <v>8</v>
      </c>
      <c r="I2834">
        <v>0</v>
      </c>
      <c r="J2834">
        <v>0</v>
      </c>
      <c r="K2834">
        <v>0</v>
      </c>
    </row>
    <row r="2835" spans="1:11" x14ac:dyDescent="0.2">
      <c r="A2835" t="s">
        <v>638</v>
      </c>
      <c r="B2835" t="s">
        <v>639</v>
      </c>
      <c r="C2835" t="s">
        <v>582</v>
      </c>
      <c r="D2835" t="s">
        <v>98</v>
      </c>
      <c r="E2835">
        <v>199.99</v>
      </c>
      <c r="F2835">
        <v>0</v>
      </c>
      <c r="H2835" t="s">
        <v>8</v>
      </c>
      <c r="I2835">
        <v>0</v>
      </c>
      <c r="J2835">
        <v>0</v>
      </c>
      <c r="K2835">
        <v>0</v>
      </c>
    </row>
    <row r="2836" spans="1:11" x14ac:dyDescent="0.2">
      <c r="A2836" t="s">
        <v>5035</v>
      </c>
      <c r="B2836" t="s">
        <v>5036</v>
      </c>
      <c r="C2836" t="s">
        <v>5010</v>
      </c>
      <c r="D2836" t="s">
        <v>98</v>
      </c>
      <c r="E2836">
        <v>22.99</v>
      </c>
      <c r="F2836">
        <v>0</v>
      </c>
      <c r="H2836" t="s">
        <v>8</v>
      </c>
      <c r="I2836">
        <v>0</v>
      </c>
      <c r="J2836">
        <v>0</v>
      </c>
      <c r="K2836">
        <v>0</v>
      </c>
    </row>
    <row r="2837" spans="1:11" x14ac:dyDescent="0.2">
      <c r="A2837" t="s">
        <v>5602</v>
      </c>
      <c r="B2837" t="s">
        <v>5603</v>
      </c>
      <c r="C2837" t="s">
        <v>582</v>
      </c>
      <c r="D2837" t="s">
        <v>98</v>
      </c>
      <c r="E2837">
        <v>79.989999999999995</v>
      </c>
      <c r="F2837">
        <v>0</v>
      </c>
      <c r="H2837" t="s">
        <v>8</v>
      </c>
      <c r="I2837">
        <v>0</v>
      </c>
      <c r="J2837">
        <v>0</v>
      </c>
      <c r="K2837">
        <v>0</v>
      </c>
    </row>
    <row r="2838" spans="1:11" x14ac:dyDescent="0.2">
      <c r="A2838" t="s">
        <v>5443</v>
      </c>
      <c r="B2838" t="s">
        <v>5444</v>
      </c>
      <c r="C2838" t="s">
        <v>5039</v>
      </c>
      <c r="D2838" t="s">
        <v>98</v>
      </c>
      <c r="E2838">
        <v>649.99</v>
      </c>
      <c r="F2838">
        <v>0</v>
      </c>
      <c r="H2838" t="s">
        <v>8</v>
      </c>
      <c r="I2838">
        <v>0</v>
      </c>
      <c r="J2838">
        <v>0</v>
      </c>
      <c r="K2838">
        <v>0</v>
      </c>
    </row>
    <row r="2839" spans="1:11" x14ac:dyDescent="0.2">
      <c r="A2839" t="s">
        <v>5495</v>
      </c>
      <c r="B2839" t="s">
        <v>5496</v>
      </c>
      <c r="C2839" t="s">
        <v>5039</v>
      </c>
      <c r="D2839" t="s">
        <v>98</v>
      </c>
      <c r="E2839">
        <v>69.989999999999995</v>
      </c>
      <c r="F2839">
        <v>0</v>
      </c>
      <c r="H2839" t="s">
        <v>8</v>
      </c>
      <c r="I2839">
        <v>0</v>
      </c>
      <c r="J2839">
        <v>0</v>
      </c>
      <c r="K2839">
        <v>0</v>
      </c>
    </row>
    <row r="2840" spans="1:11" x14ac:dyDescent="0.2">
      <c r="A2840" t="s">
        <v>4996</v>
      </c>
      <c r="B2840" t="s">
        <v>4997</v>
      </c>
      <c r="C2840" t="s">
        <v>4905</v>
      </c>
      <c r="D2840" t="s">
        <v>105</v>
      </c>
      <c r="E2840">
        <v>889</v>
      </c>
      <c r="F2840">
        <v>0</v>
      </c>
      <c r="G2840">
        <v>17</v>
      </c>
      <c r="H2840" t="s">
        <v>8</v>
      </c>
      <c r="I2840">
        <v>0</v>
      </c>
      <c r="J2840">
        <v>0</v>
      </c>
      <c r="K2840">
        <v>2</v>
      </c>
    </row>
    <row r="2841" spans="1:11" x14ac:dyDescent="0.2">
      <c r="A2841" t="s">
        <v>4555</v>
      </c>
      <c r="B2841" t="s">
        <v>4556</v>
      </c>
      <c r="C2841" t="s">
        <v>4518</v>
      </c>
      <c r="D2841" t="s">
        <v>105</v>
      </c>
      <c r="E2841">
        <v>99.99</v>
      </c>
      <c r="F2841">
        <v>0</v>
      </c>
      <c r="G2841">
        <v>24</v>
      </c>
      <c r="H2841" t="s">
        <v>8</v>
      </c>
      <c r="I2841">
        <v>0</v>
      </c>
      <c r="J2841">
        <v>0</v>
      </c>
      <c r="K2841">
        <v>0</v>
      </c>
    </row>
    <row r="2842" spans="1:11" x14ac:dyDescent="0.2">
      <c r="A2842" t="s">
        <v>5029</v>
      </c>
      <c r="B2842" t="s">
        <v>5030</v>
      </c>
      <c r="C2842" t="s">
        <v>5010</v>
      </c>
      <c r="D2842" t="s">
        <v>98</v>
      </c>
      <c r="E2842">
        <v>799.99</v>
      </c>
      <c r="F2842">
        <v>0</v>
      </c>
      <c r="H2842" t="s">
        <v>8</v>
      </c>
      <c r="I2842">
        <v>0</v>
      </c>
      <c r="J2842">
        <v>0</v>
      </c>
      <c r="K2842">
        <v>0</v>
      </c>
    </row>
    <row r="2843" spans="1:11" x14ac:dyDescent="0.2">
      <c r="A2843" t="s">
        <v>5019</v>
      </c>
      <c r="B2843" t="s">
        <v>5020</v>
      </c>
      <c r="C2843" t="s">
        <v>5010</v>
      </c>
      <c r="D2843" t="s">
        <v>98</v>
      </c>
      <c r="E2843">
        <v>22.99</v>
      </c>
      <c r="F2843">
        <v>0</v>
      </c>
      <c r="H2843" t="s">
        <v>8</v>
      </c>
      <c r="I2843">
        <v>0</v>
      </c>
      <c r="J2843">
        <v>0</v>
      </c>
      <c r="K2843">
        <v>0</v>
      </c>
    </row>
    <row r="2844" spans="1:11" x14ac:dyDescent="0.2">
      <c r="A2844" t="s">
        <v>325</v>
      </c>
      <c r="B2844" t="s">
        <v>326</v>
      </c>
      <c r="C2844" t="s">
        <v>307</v>
      </c>
      <c r="D2844" t="s">
        <v>98</v>
      </c>
      <c r="E2844">
        <v>849.99</v>
      </c>
      <c r="F2844">
        <v>0</v>
      </c>
      <c r="H2844" t="s">
        <v>8</v>
      </c>
      <c r="I2844">
        <v>0</v>
      </c>
      <c r="J2844">
        <v>0</v>
      </c>
      <c r="K2844">
        <v>0</v>
      </c>
    </row>
    <row r="2845" spans="1:11" x14ac:dyDescent="0.2">
      <c r="A2845" t="s">
        <v>760</v>
      </c>
      <c r="B2845" t="s">
        <v>761</v>
      </c>
      <c r="C2845" t="s">
        <v>582</v>
      </c>
      <c r="D2845" t="s">
        <v>105</v>
      </c>
      <c r="E2845">
        <v>59.99</v>
      </c>
      <c r="F2845">
        <v>0</v>
      </c>
      <c r="H2845" t="s">
        <v>8</v>
      </c>
      <c r="I2845">
        <v>0</v>
      </c>
      <c r="J2845">
        <v>0</v>
      </c>
      <c r="K2845">
        <v>0</v>
      </c>
    </row>
    <row r="2846" spans="1:11" x14ac:dyDescent="0.2">
      <c r="A2846" t="s">
        <v>4593</v>
      </c>
      <c r="B2846" t="s">
        <v>4594</v>
      </c>
      <c r="C2846" t="s">
        <v>4518</v>
      </c>
      <c r="D2846" t="s">
        <v>138</v>
      </c>
      <c r="E2846">
        <v>179.99</v>
      </c>
      <c r="F2846">
        <v>0</v>
      </c>
      <c r="G2846">
        <v>79</v>
      </c>
      <c r="H2846" t="s">
        <v>8</v>
      </c>
      <c r="I2846">
        <v>0</v>
      </c>
      <c r="J2846">
        <v>0</v>
      </c>
      <c r="K2846">
        <v>3</v>
      </c>
    </row>
    <row r="2847" spans="1:11" x14ac:dyDescent="0.2">
      <c r="A2847" t="s">
        <v>5203</v>
      </c>
      <c r="B2847" t="s">
        <v>5204</v>
      </c>
      <c r="C2847" t="s">
        <v>4518</v>
      </c>
      <c r="D2847" t="s">
        <v>98</v>
      </c>
      <c r="E2847">
        <v>109.99</v>
      </c>
      <c r="F2847">
        <v>0</v>
      </c>
      <c r="H2847" t="s">
        <v>8</v>
      </c>
      <c r="I2847">
        <v>0</v>
      </c>
      <c r="J2847">
        <v>0</v>
      </c>
      <c r="K2847">
        <v>0</v>
      </c>
    </row>
    <row r="2848" spans="1:11" x14ac:dyDescent="0.2">
      <c r="A2848" t="s">
        <v>368</v>
      </c>
      <c r="B2848" t="s">
        <v>369</v>
      </c>
      <c r="C2848" t="s">
        <v>307</v>
      </c>
      <c r="D2848" t="s">
        <v>98</v>
      </c>
      <c r="E2848">
        <v>1199.99</v>
      </c>
      <c r="F2848">
        <v>0</v>
      </c>
      <c r="H2848" t="s">
        <v>8</v>
      </c>
      <c r="I2848">
        <v>0</v>
      </c>
      <c r="J2848">
        <v>0</v>
      </c>
      <c r="K2848">
        <v>0</v>
      </c>
    </row>
    <row r="2849" spans="1:11" x14ac:dyDescent="0.2">
      <c r="A2849" t="s">
        <v>5522</v>
      </c>
      <c r="B2849" t="s">
        <v>5523</v>
      </c>
      <c r="C2849" t="s">
        <v>5039</v>
      </c>
      <c r="D2849" t="s">
        <v>98</v>
      </c>
      <c r="E2849">
        <v>99.99</v>
      </c>
      <c r="F2849">
        <v>0</v>
      </c>
      <c r="H2849" t="s">
        <v>8</v>
      </c>
      <c r="I2849">
        <v>0</v>
      </c>
      <c r="J2849">
        <v>0</v>
      </c>
      <c r="K2849">
        <v>0</v>
      </c>
    </row>
    <row r="2850" spans="1:11" x14ac:dyDescent="0.2">
      <c r="A2850" t="s">
        <v>289</v>
      </c>
      <c r="B2850" t="s">
        <v>290</v>
      </c>
      <c r="C2850" t="s">
        <v>288</v>
      </c>
      <c r="D2850" t="s">
        <v>98</v>
      </c>
      <c r="E2850">
        <v>0</v>
      </c>
      <c r="F2850">
        <v>0</v>
      </c>
      <c r="H2850" t="s">
        <v>8</v>
      </c>
      <c r="I2850">
        <v>0</v>
      </c>
      <c r="J2850">
        <v>0</v>
      </c>
      <c r="K2850">
        <v>0</v>
      </c>
    </row>
    <row r="2851" spans="1:11" x14ac:dyDescent="0.2">
      <c r="A2851" t="s">
        <v>5407</v>
      </c>
      <c r="B2851" t="s">
        <v>5408</v>
      </c>
      <c r="C2851" t="s">
        <v>5039</v>
      </c>
      <c r="D2851" t="s">
        <v>98</v>
      </c>
      <c r="E2851">
        <v>179.99</v>
      </c>
      <c r="F2851">
        <v>0</v>
      </c>
      <c r="H2851" t="s">
        <v>8</v>
      </c>
      <c r="I2851">
        <v>0</v>
      </c>
      <c r="J2851">
        <v>0</v>
      </c>
      <c r="K2851">
        <v>0</v>
      </c>
    </row>
    <row r="2852" spans="1:11" x14ac:dyDescent="0.2">
      <c r="A2852" t="s">
        <v>5405</v>
      </c>
      <c r="B2852" t="s">
        <v>5406</v>
      </c>
      <c r="C2852" t="s">
        <v>5039</v>
      </c>
      <c r="D2852" t="s">
        <v>98</v>
      </c>
      <c r="E2852">
        <v>149.99</v>
      </c>
      <c r="F2852">
        <v>0</v>
      </c>
      <c r="H2852" t="s">
        <v>8</v>
      </c>
      <c r="I2852">
        <v>0</v>
      </c>
      <c r="J2852">
        <v>0</v>
      </c>
      <c r="K2852">
        <v>0</v>
      </c>
    </row>
    <row r="2853" spans="1:11" x14ac:dyDescent="0.2">
      <c r="A2853" t="s">
        <v>390</v>
      </c>
      <c r="B2853" t="s">
        <v>391</v>
      </c>
      <c r="C2853" t="s">
        <v>307</v>
      </c>
      <c r="D2853" t="s">
        <v>98</v>
      </c>
      <c r="E2853">
        <v>289.99</v>
      </c>
      <c r="F2853">
        <v>0</v>
      </c>
      <c r="H2853" t="s">
        <v>8</v>
      </c>
      <c r="I2853">
        <v>0</v>
      </c>
      <c r="J2853">
        <v>0</v>
      </c>
      <c r="K2853">
        <v>0</v>
      </c>
    </row>
    <row r="2854" spans="1:11" x14ac:dyDescent="0.2">
      <c r="A2854" t="s">
        <v>5017</v>
      </c>
      <c r="B2854" t="s">
        <v>5018</v>
      </c>
      <c r="C2854" t="s">
        <v>5010</v>
      </c>
      <c r="D2854" t="s">
        <v>98</v>
      </c>
      <c r="E2854">
        <v>22.99</v>
      </c>
      <c r="F2854">
        <v>0</v>
      </c>
      <c r="H2854" t="s">
        <v>8</v>
      </c>
      <c r="I2854">
        <v>0</v>
      </c>
      <c r="J2854">
        <v>0</v>
      </c>
      <c r="K2854">
        <v>0</v>
      </c>
    </row>
    <row r="2855" spans="1:11" x14ac:dyDescent="0.2">
      <c r="A2855" t="s">
        <v>5518</v>
      </c>
      <c r="B2855" t="s">
        <v>5519</v>
      </c>
      <c r="C2855" t="s">
        <v>5039</v>
      </c>
      <c r="D2855" t="s">
        <v>98</v>
      </c>
      <c r="E2855">
        <v>149.99</v>
      </c>
      <c r="F2855">
        <v>0</v>
      </c>
      <c r="H2855" t="s">
        <v>8</v>
      </c>
      <c r="I2855">
        <v>0</v>
      </c>
      <c r="J2855">
        <v>0</v>
      </c>
      <c r="K2855">
        <v>0</v>
      </c>
    </row>
    <row r="2856" spans="1:11" x14ac:dyDescent="0.2">
      <c r="A2856" t="s">
        <v>762</v>
      </c>
      <c r="B2856" t="s">
        <v>763</v>
      </c>
      <c r="C2856" t="s">
        <v>582</v>
      </c>
      <c r="D2856" t="s">
        <v>98</v>
      </c>
      <c r="E2856">
        <v>59.99</v>
      </c>
      <c r="F2856">
        <v>0</v>
      </c>
      <c r="H2856" t="s">
        <v>8</v>
      </c>
      <c r="I2856">
        <v>0</v>
      </c>
      <c r="J2856">
        <v>0</v>
      </c>
      <c r="K2856">
        <v>0</v>
      </c>
    </row>
    <row r="2857" spans="1:11" x14ac:dyDescent="0.2">
      <c r="A2857" t="s">
        <v>329</v>
      </c>
      <c r="B2857" t="s">
        <v>328</v>
      </c>
      <c r="C2857" t="s">
        <v>307</v>
      </c>
      <c r="D2857" t="s">
        <v>105</v>
      </c>
      <c r="E2857">
        <v>1799.99</v>
      </c>
      <c r="F2857">
        <v>0</v>
      </c>
      <c r="G2857">
        <v>1</v>
      </c>
      <c r="H2857" t="s">
        <v>8</v>
      </c>
      <c r="I2857">
        <v>0</v>
      </c>
      <c r="J2857">
        <v>0</v>
      </c>
      <c r="K2857">
        <v>0</v>
      </c>
    </row>
    <row r="2858" spans="1:11" x14ac:dyDescent="0.2">
      <c r="A2858" t="s">
        <v>5205</v>
      </c>
      <c r="B2858" t="s">
        <v>5206</v>
      </c>
      <c r="C2858" t="s">
        <v>4518</v>
      </c>
      <c r="D2858" t="s">
        <v>98</v>
      </c>
      <c r="E2858">
        <v>89.99</v>
      </c>
      <c r="F2858">
        <v>0</v>
      </c>
      <c r="H2858" t="s">
        <v>8</v>
      </c>
      <c r="I2858">
        <v>0</v>
      </c>
      <c r="J2858">
        <v>0</v>
      </c>
      <c r="K2858">
        <v>0</v>
      </c>
    </row>
    <row r="2859" spans="1:11" x14ac:dyDescent="0.2">
      <c r="A2859" t="s">
        <v>106</v>
      </c>
      <c r="B2859" t="s">
        <v>107</v>
      </c>
      <c r="C2859" t="s">
        <v>95</v>
      </c>
      <c r="D2859" t="s">
        <v>98</v>
      </c>
      <c r="E2859">
        <v>29.99</v>
      </c>
      <c r="F2859">
        <v>0</v>
      </c>
      <c r="H2859" t="s">
        <v>8</v>
      </c>
      <c r="I2859">
        <v>0</v>
      </c>
      <c r="J2859">
        <v>0</v>
      </c>
      <c r="K2859">
        <v>0</v>
      </c>
    </row>
    <row r="2860" spans="1:11" x14ac:dyDescent="0.2">
      <c r="A2860" t="s">
        <v>318</v>
      </c>
      <c r="B2860" t="s">
        <v>317</v>
      </c>
      <c r="C2860" t="s">
        <v>307</v>
      </c>
      <c r="D2860" t="s">
        <v>98</v>
      </c>
      <c r="E2860">
        <v>499.99</v>
      </c>
      <c r="F2860">
        <v>0</v>
      </c>
      <c r="H2860" t="s">
        <v>8</v>
      </c>
      <c r="I2860">
        <v>0</v>
      </c>
      <c r="J2860">
        <v>0</v>
      </c>
      <c r="K2860">
        <v>0</v>
      </c>
    </row>
    <row r="2861" spans="1:11" x14ac:dyDescent="0.2">
      <c r="A2861" t="s">
        <v>293</v>
      </c>
      <c r="B2861" t="s">
        <v>294</v>
      </c>
      <c r="C2861" t="s">
        <v>288</v>
      </c>
      <c r="D2861" t="s">
        <v>138</v>
      </c>
      <c r="E2861">
        <v>199.99</v>
      </c>
      <c r="F2861">
        <v>0</v>
      </c>
      <c r="G2861">
        <v>93</v>
      </c>
      <c r="H2861" t="s">
        <v>8</v>
      </c>
      <c r="I2861">
        <v>0.66666666666666663</v>
      </c>
      <c r="J2861">
        <v>57</v>
      </c>
      <c r="K2861">
        <v>38</v>
      </c>
    </row>
    <row r="2862" spans="1:11" x14ac:dyDescent="0.2">
      <c r="A2862" t="s">
        <v>5046</v>
      </c>
      <c r="B2862" t="s">
        <v>5047</v>
      </c>
      <c r="C2862" t="s">
        <v>5039</v>
      </c>
      <c r="D2862" t="s">
        <v>98</v>
      </c>
      <c r="E2862">
        <v>149.99</v>
      </c>
      <c r="F2862">
        <v>0</v>
      </c>
      <c r="H2862" t="s">
        <v>8</v>
      </c>
      <c r="I2862">
        <v>0</v>
      </c>
      <c r="J2862">
        <v>0</v>
      </c>
      <c r="K2862">
        <v>0</v>
      </c>
    </row>
    <row r="2863" spans="1:11" x14ac:dyDescent="0.2">
      <c r="A2863" t="s">
        <v>5578</v>
      </c>
      <c r="B2863" t="s">
        <v>5579</v>
      </c>
      <c r="C2863" t="s">
        <v>4518</v>
      </c>
      <c r="D2863" t="s">
        <v>98</v>
      </c>
      <c r="E2863">
        <v>139.99</v>
      </c>
      <c r="F2863">
        <v>0</v>
      </c>
      <c r="H2863" t="s">
        <v>8</v>
      </c>
      <c r="I2863">
        <v>0</v>
      </c>
      <c r="J2863">
        <v>0</v>
      </c>
      <c r="K2863">
        <v>0</v>
      </c>
    </row>
    <row r="2864" spans="1:11" x14ac:dyDescent="0.2">
      <c r="A2864" t="s">
        <v>4595</v>
      </c>
      <c r="B2864" t="s">
        <v>4596</v>
      </c>
      <c r="C2864" t="s">
        <v>4518</v>
      </c>
      <c r="D2864" t="s">
        <v>98</v>
      </c>
      <c r="E2864">
        <v>179.99</v>
      </c>
      <c r="F2864">
        <v>0</v>
      </c>
      <c r="H2864" t="s">
        <v>8</v>
      </c>
      <c r="I2864">
        <v>0</v>
      </c>
      <c r="J2864">
        <v>0</v>
      </c>
      <c r="K2864">
        <v>0</v>
      </c>
    </row>
    <row r="2865" spans="1:11" x14ac:dyDescent="0.2">
      <c r="A2865" t="s">
        <v>5435</v>
      </c>
      <c r="B2865" t="s">
        <v>5436</v>
      </c>
      <c r="C2865" t="s">
        <v>5039</v>
      </c>
      <c r="D2865" t="s">
        <v>98</v>
      </c>
      <c r="E2865">
        <v>149.99</v>
      </c>
      <c r="F2865">
        <v>0</v>
      </c>
      <c r="H2865" t="s">
        <v>8</v>
      </c>
      <c r="I2865">
        <v>0</v>
      </c>
      <c r="J2865">
        <v>0</v>
      </c>
      <c r="K2865">
        <v>0</v>
      </c>
    </row>
    <row r="2866" spans="1:11" x14ac:dyDescent="0.2">
      <c r="A2866" t="s">
        <v>120</v>
      </c>
      <c r="B2866" t="s">
        <v>121</v>
      </c>
      <c r="C2866" t="s">
        <v>95</v>
      </c>
      <c r="D2866" t="s">
        <v>98</v>
      </c>
      <c r="E2866">
        <v>25.99</v>
      </c>
      <c r="F2866">
        <v>0</v>
      </c>
      <c r="H2866" t="s">
        <v>8</v>
      </c>
      <c r="I2866">
        <v>0</v>
      </c>
      <c r="J2866">
        <v>0</v>
      </c>
      <c r="K2866">
        <v>1</v>
      </c>
    </row>
    <row r="2867" spans="1:11" x14ac:dyDescent="0.2">
      <c r="A2867" t="s">
        <v>319</v>
      </c>
      <c r="B2867" t="s">
        <v>320</v>
      </c>
      <c r="C2867" t="s">
        <v>307</v>
      </c>
      <c r="D2867" t="s">
        <v>98</v>
      </c>
      <c r="E2867">
        <v>649.99</v>
      </c>
      <c r="F2867">
        <v>0</v>
      </c>
      <c r="H2867" t="s">
        <v>8</v>
      </c>
      <c r="I2867">
        <v>0</v>
      </c>
      <c r="J2867">
        <v>0</v>
      </c>
      <c r="K2867">
        <v>0</v>
      </c>
    </row>
    <row r="2868" spans="1:11" x14ac:dyDescent="0.2">
      <c r="A2868" t="s">
        <v>4553</v>
      </c>
      <c r="B2868" t="s">
        <v>4554</v>
      </c>
      <c r="C2868" t="s">
        <v>4518</v>
      </c>
      <c r="D2868" t="s">
        <v>105</v>
      </c>
      <c r="E2868">
        <v>99.99</v>
      </c>
      <c r="F2868">
        <v>0</v>
      </c>
      <c r="G2868">
        <v>68</v>
      </c>
      <c r="H2868" t="s">
        <v>8</v>
      </c>
      <c r="I2868">
        <v>0</v>
      </c>
      <c r="J2868">
        <v>0</v>
      </c>
      <c r="K2868">
        <v>0</v>
      </c>
    </row>
    <row r="2869" spans="1:11" x14ac:dyDescent="0.2">
      <c r="A2869" t="s">
        <v>5530</v>
      </c>
      <c r="B2869" t="s">
        <v>5531</v>
      </c>
      <c r="C2869" t="s">
        <v>5039</v>
      </c>
      <c r="D2869" t="s">
        <v>98</v>
      </c>
      <c r="E2869">
        <v>99.99</v>
      </c>
      <c r="F2869">
        <v>0</v>
      </c>
      <c r="H2869" t="s">
        <v>8</v>
      </c>
      <c r="I2869">
        <v>0</v>
      </c>
      <c r="J2869">
        <v>0</v>
      </c>
      <c r="K2869">
        <v>0</v>
      </c>
    </row>
    <row r="2870" spans="1:11" x14ac:dyDescent="0.2">
      <c r="A2870" t="s">
        <v>297</v>
      </c>
      <c r="B2870" t="s">
        <v>298</v>
      </c>
      <c r="C2870" t="s">
        <v>288</v>
      </c>
      <c r="D2870" t="s">
        <v>98</v>
      </c>
      <c r="E2870">
        <v>199.99</v>
      </c>
      <c r="F2870">
        <v>0</v>
      </c>
      <c r="H2870" t="s">
        <v>8</v>
      </c>
      <c r="I2870">
        <v>0.16666666666666666</v>
      </c>
      <c r="J2870">
        <v>78</v>
      </c>
      <c r="K2870">
        <v>13</v>
      </c>
    </row>
    <row r="2871" spans="1:11" x14ac:dyDescent="0.2">
      <c r="A2871" t="s">
        <v>5027</v>
      </c>
      <c r="B2871" t="s">
        <v>5028</v>
      </c>
      <c r="C2871" t="s">
        <v>5010</v>
      </c>
      <c r="D2871" t="s">
        <v>98</v>
      </c>
      <c r="E2871">
        <v>649.99</v>
      </c>
      <c r="F2871">
        <v>0</v>
      </c>
      <c r="H2871" t="s">
        <v>8</v>
      </c>
      <c r="I2871">
        <v>0</v>
      </c>
      <c r="J2871">
        <v>0</v>
      </c>
      <c r="K2871">
        <v>0</v>
      </c>
    </row>
    <row r="2872" spans="1:11" x14ac:dyDescent="0.2">
      <c r="A2872" t="s">
        <v>5421</v>
      </c>
      <c r="B2872" t="s">
        <v>5422</v>
      </c>
      <c r="C2872" t="s">
        <v>5039</v>
      </c>
      <c r="D2872" t="s">
        <v>98</v>
      </c>
      <c r="E2872">
        <v>54.99</v>
      </c>
      <c r="F2872">
        <v>0</v>
      </c>
      <c r="H2872" t="s">
        <v>8</v>
      </c>
      <c r="I2872">
        <v>0</v>
      </c>
      <c r="J2872">
        <v>0</v>
      </c>
      <c r="K2872">
        <v>0</v>
      </c>
    </row>
    <row r="2873" spans="1:11" x14ac:dyDescent="0.2">
      <c r="A2873" t="s">
        <v>404</v>
      </c>
      <c r="B2873" t="s">
        <v>405</v>
      </c>
      <c r="C2873" t="s">
        <v>307</v>
      </c>
      <c r="D2873" t="s">
        <v>98</v>
      </c>
      <c r="E2873">
        <v>1699.99</v>
      </c>
      <c r="F2873">
        <v>0</v>
      </c>
      <c r="H2873" t="s">
        <v>8</v>
      </c>
      <c r="I2873">
        <v>0.33333333333333331</v>
      </c>
      <c r="J2873">
        <v>21</v>
      </c>
      <c r="K2873">
        <v>7</v>
      </c>
    </row>
    <row r="2874" spans="1:11" x14ac:dyDescent="0.2">
      <c r="A2874" t="s">
        <v>5556</v>
      </c>
      <c r="B2874" t="s">
        <v>5557</v>
      </c>
      <c r="C2874" t="s">
        <v>582</v>
      </c>
      <c r="D2874" t="s">
        <v>98</v>
      </c>
      <c r="E2874">
        <v>59.99</v>
      </c>
      <c r="F2874">
        <v>0</v>
      </c>
      <c r="H2874" t="s">
        <v>8</v>
      </c>
      <c r="I2874">
        <v>0</v>
      </c>
      <c r="J2874">
        <v>0</v>
      </c>
      <c r="K2874">
        <v>0</v>
      </c>
    </row>
    <row r="2875" spans="1:11" x14ac:dyDescent="0.2">
      <c r="A2875" t="s">
        <v>321</v>
      </c>
      <c r="B2875" t="s">
        <v>322</v>
      </c>
      <c r="C2875" t="s">
        <v>307</v>
      </c>
      <c r="D2875" t="s">
        <v>98</v>
      </c>
      <c r="E2875">
        <v>849.99</v>
      </c>
      <c r="F2875">
        <v>0</v>
      </c>
      <c r="H2875" t="s">
        <v>8</v>
      </c>
      <c r="I2875">
        <v>0</v>
      </c>
      <c r="J2875">
        <v>0</v>
      </c>
      <c r="K2875">
        <v>0</v>
      </c>
    </row>
    <row r="2876" spans="1:11" x14ac:dyDescent="0.2">
      <c r="A2876" t="s">
        <v>746</v>
      </c>
      <c r="B2876" t="s">
        <v>747</v>
      </c>
      <c r="C2876" t="s">
        <v>582</v>
      </c>
      <c r="D2876" t="s">
        <v>105</v>
      </c>
      <c r="E2876">
        <v>29.99</v>
      </c>
      <c r="F2876">
        <v>0</v>
      </c>
      <c r="G2876">
        <v>1252</v>
      </c>
      <c r="H2876" t="s">
        <v>8</v>
      </c>
      <c r="I2876">
        <v>0</v>
      </c>
      <c r="J2876">
        <v>0</v>
      </c>
      <c r="K2876">
        <v>0</v>
      </c>
    </row>
    <row r="2877" spans="1:11" x14ac:dyDescent="0.2">
      <c r="A2877" t="s">
        <v>5401</v>
      </c>
      <c r="B2877" t="s">
        <v>5402</v>
      </c>
      <c r="C2877" t="s">
        <v>5039</v>
      </c>
      <c r="D2877" t="s">
        <v>98</v>
      </c>
      <c r="E2877">
        <v>99.99</v>
      </c>
      <c r="F2877">
        <v>0</v>
      </c>
      <c r="H2877" t="s">
        <v>8</v>
      </c>
      <c r="I2877">
        <v>0</v>
      </c>
      <c r="J2877">
        <v>0</v>
      </c>
      <c r="K2877">
        <v>0</v>
      </c>
    </row>
    <row r="2878" spans="1:11" x14ac:dyDescent="0.2">
      <c r="A2878" t="s">
        <v>5538</v>
      </c>
      <c r="B2878" t="s">
        <v>5539</v>
      </c>
      <c r="C2878" t="s">
        <v>4518</v>
      </c>
      <c r="D2878" t="s">
        <v>98</v>
      </c>
      <c r="E2878">
        <v>99.99</v>
      </c>
      <c r="F2878">
        <v>0</v>
      </c>
      <c r="H2878" t="s">
        <v>8</v>
      </c>
      <c r="I2878">
        <v>0</v>
      </c>
      <c r="J2878">
        <v>0</v>
      </c>
      <c r="K2878">
        <v>0</v>
      </c>
    </row>
    <row r="2879" spans="1:11" x14ac:dyDescent="0.2">
      <c r="A2879" t="s">
        <v>5305</v>
      </c>
      <c r="B2879" t="s">
        <v>5306</v>
      </c>
      <c r="C2879" t="s">
        <v>582</v>
      </c>
      <c r="D2879" t="s">
        <v>98</v>
      </c>
      <c r="E2879">
        <v>24.99</v>
      </c>
      <c r="F2879">
        <v>0</v>
      </c>
      <c r="H2879" t="s">
        <v>8</v>
      </c>
      <c r="I2879">
        <v>0</v>
      </c>
      <c r="J2879">
        <v>0</v>
      </c>
      <c r="K2879">
        <v>0</v>
      </c>
    </row>
    <row r="2880" spans="1:11" x14ac:dyDescent="0.2">
      <c r="A2880" t="s">
        <v>5315</v>
      </c>
      <c r="B2880" t="s">
        <v>5316</v>
      </c>
      <c r="C2880" t="s">
        <v>3188</v>
      </c>
      <c r="D2880" t="s">
        <v>98</v>
      </c>
      <c r="E2880">
        <v>19.989999999999998</v>
      </c>
      <c r="F2880">
        <v>0</v>
      </c>
      <c r="H2880" t="s">
        <v>8</v>
      </c>
      <c r="I2880">
        <v>0</v>
      </c>
      <c r="J2880">
        <v>0</v>
      </c>
      <c r="K2880">
        <v>0</v>
      </c>
    </row>
    <row r="2881" spans="1:11" x14ac:dyDescent="0.2">
      <c r="A2881" t="s">
        <v>5321</v>
      </c>
      <c r="B2881" t="s">
        <v>5322</v>
      </c>
      <c r="C2881" t="s">
        <v>3929</v>
      </c>
      <c r="D2881" t="s">
        <v>98</v>
      </c>
      <c r="E2881">
        <v>69.989999999999995</v>
      </c>
      <c r="F2881">
        <v>0</v>
      </c>
      <c r="H2881" t="s">
        <v>8</v>
      </c>
      <c r="I2881">
        <v>0</v>
      </c>
      <c r="J2881">
        <v>0</v>
      </c>
      <c r="K2881">
        <v>0</v>
      </c>
    </row>
    <row r="2882" spans="1:11" x14ac:dyDescent="0.2">
      <c r="A2882" t="s">
        <v>5319</v>
      </c>
      <c r="B2882" t="s">
        <v>5320</v>
      </c>
      <c r="C2882" t="s">
        <v>3188</v>
      </c>
      <c r="D2882" t="s">
        <v>98</v>
      </c>
      <c r="E2882">
        <v>19.989999999999998</v>
      </c>
      <c r="F2882">
        <v>0</v>
      </c>
      <c r="H2882" t="s">
        <v>8</v>
      </c>
      <c r="I2882">
        <v>0</v>
      </c>
      <c r="J2882">
        <v>0</v>
      </c>
      <c r="K2882">
        <v>0</v>
      </c>
    </row>
    <row r="2883" spans="1:11" x14ac:dyDescent="0.2">
      <c r="A2883" t="s">
        <v>3203</v>
      </c>
      <c r="B2883" t="s">
        <v>3204</v>
      </c>
      <c r="C2883" t="s">
        <v>3188</v>
      </c>
      <c r="D2883" t="s">
        <v>98</v>
      </c>
      <c r="E2883">
        <v>42.99</v>
      </c>
      <c r="F2883">
        <v>0</v>
      </c>
      <c r="H2883" t="s">
        <v>8</v>
      </c>
      <c r="I2883">
        <v>0</v>
      </c>
      <c r="J2883">
        <v>0</v>
      </c>
      <c r="K2883">
        <v>0</v>
      </c>
    </row>
    <row r="2884" spans="1:11" x14ac:dyDescent="0.2">
      <c r="A2884" t="s">
        <v>5343</v>
      </c>
      <c r="B2884" t="s">
        <v>5344</v>
      </c>
      <c r="C2884" t="s">
        <v>3929</v>
      </c>
      <c r="D2884" t="s">
        <v>98</v>
      </c>
      <c r="E2884">
        <v>69.989999999999995</v>
      </c>
      <c r="F2884">
        <v>0</v>
      </c>
      <c r="H2884" t="s">
        <v>8</v>
      </c>
      <c r="I2884">
        <v>0</v>
      </c>
      <c r="J2884">
        <v>0</v>
      </c>
      <c r="K2884">
        <v>0</v>
      </c>
    </row>
    <row r="2885" spans="1:11" x14ac:dyDescent="0.2">
      <c r="A2885" t="s">
        <v>3201</v>
      </c>
      <c r="B2885" t="s">
        <v>3202</v>
      </c>
      <c r="C2885" t="s">
        <v>3188</v>
      </c>
      <c r="D2885" t="s">
        <v>98</v>
      </c>
      <c r="E2885">
        <v>49.99</v>
      </c>
      <c r="F2885">
        <v>0</v>
      </c>
      <c r="H2885" t="s">
        <v>8</v>
      </c>
      <c r="I2885">
        <v>0</v>
      </c>
      <c r="J2885">
        <v>0</v>
      </c>
      <c r="K2885">
        <v>0</v>
      </c>
    </row>
    <row r="2886" spans="1:11" x14ac:dyDescent="0.2">
      <c r="A2886" t="s">
        <v>5112</v>
      </c>
      <c r="B2886" t="s">
        <v>5113</v>
      </c>
      <c r="C2886" t="s">
        <v>3929</v>
      </c>
      <c r="D2886" t="s">
        <v>138</v>
      </c>
      <c r="E2886">
        <v>39.99</v>
      </c>
      <c r="F2886">
        <v>0</v>
      </c>
      <c r="G2886">
        <v>46</v>
      </c>
      <c r="H2886" t="s">
        <v>8</v>
      </c>
      <c r="I2886">
        <v>0</v>
      </c>
      <c r="J2886">
        <v>0</v>
      </c>
      <c r="K2886">
        <v>0</v>
      </c>
    </row>
    <row r="2887" spans="1:11" x14ac:dyDescent="0.2">
      <c r="A2887" t="s">
        <v>3199</v>
      </c>
      <c r="B2887" t="s">
        <v>3200</v>
      </c>
      <c r="C2887" t="s">
        <v>3188</v>
      </c>
      <c r="D2887" t="s">
        <v>98</v>
      </c>
      <c r="E2887">
        <v>54.99</v>
      </c>
      <c r="F2887">
        <v>0</v>
      </c>
      <c r="H2887" t="s">
        <v>8</v>
      </c>
      <c r="I2887">
        <v>0</v>
      </c>
      <c r="J2887">
        <v>0</v>
      </c>
      <c r="K2887">
        <v>0</v>
      </c>
    </row>
    <row r="2888" spans="1:11" x14ac:dyDescent="0.2">
      <c r="A2888" t="s">
        <v>5373</v>
      </c>
      <c r="B2888" t="s">
        <v>5374</v>
      </c>
      <c r="C2888" t="s">
        <v>3188</v>
      </c>
      <c r="D2888" t="s">
        <v>98</v>
      </c>
      <c r="E2888">
        <v>59.99</v>
      </c>
      <c r="F2888">
        <v>0</v>
      </c>
      <c r="H2888" t="s">
        <v>8</v>
      </c>
      <c r="I2888">
        <v>0</v>
      </c>
      <c r="J2888">
        <v>0</v>
      </c>
      <c r="K2888">
        <v>0</v>
      </c>
    </row>
    <row r="2889" spans="1:11" x14ac:dyDescent="0.2">
      <c r="A2889" t="s">
        <v>5090</v>
      </c>
      <c r="B2889" t="s">
        <v>5091</v>
      </c>
      <c r="C2889" t="s">
        <v>3929</v>
      </c>
      <c r="D2889" t="s">
        <v>138</v>
      </c>
      <c r="E2889">
        <v>39.99</v>
      </c>
      <c r="F2889">
        <v>0</v>
      </c>
      <c r="H2889" t="s">
        <v>8</v>
      </c>
      <c r="I2889">
        <v>0</v>
      </c>
      <c r="J2889">
        <v>0</v>
      </c>
      <c r="K2889">
        <v>0</v>
      </c>
    </row>
    <row r="2890" spans="1:11" x14ac:dyDescent="0.2">
      <c r="A2890" t="s">
        <v>5376</v>
      </c>
      <c r="B2890" t="s">
        <v>5377</v>
      </c>
      <c r="C2890" t="s">
        <v>3188</v>
      </c>
      <c r="D2890" t="s">
        <v>98</v>
      </c>
      <c r="E2890">
        <v>69.989999999999995</v>
      </c>
      <c r="F2890">
        <v>0</v>
      </c>
      <c r="H2890" t="s">
        <v>8</v>
      </c>
      <c r="I2890">
        <v>0</v>
      </c>
      <c r="J2890">
        <v>0</v>
      </c>
      <c r="K2890">
        <v>0</v>
      </c>
    </row>
    <row r="2891" spans="1:11" x14ac:dyDescent="0.2">
      <c r="A2891" t="s">
        <v>5317</v>
      </c>
      <c r="B2891" t="s">
        <v>5318</v>
      </c>
      <c r="C2891" t="s">
        <v>3929</v>
      </c>
      <c r="D2891" t="s">
        <v>98</v>
      </c>
      <c r="E2891">
        <v>69.989999999999995</v>
      </c>
      <c r="F2891">
        <v>0</v>
      </c>
      <c r="H2891" t="s">
        <v>8</v>
      </c>
      <c r="I2891">
        <v>0</v>
      </c>
      <c r="J2891">
        <v>0</v>
      </c>
      <c r="K2891">
        <v>0</v>
      </c>
    </row>
    <row r="2892" spans="1:11" x14ac:dyDescent="0.2">
      <c r="A2892" t="s">
        <v>5347</v>
      </c>
      <c r="B2892" t="s">
        <v>5348</v>
      </c>
      <c r="C2892" t="s">
        <v>3188</v>
      </c>
      <c r="D2892" t="s">
        <v>98</v>
      </c>
      <c r="E2892">
        <v>99.99</v>
      </c>
      <c r="F2892">
        <v>0</v>
      </c>
      <c r="H2892" t="s">
        <v>8</v>
      </c>
      <c r="I2892">
        <v>0</v>
      </c>
      <c r="J2892">
        <v>0</v>
      </c>
      <c r="K2892">
        <v>0</v>
      </c>
    </row>
    <row r="2893" spans="1:11" x14ac:dyDescent="0.2">
      <c r="A2893" t="s">
        <v>4004</v>
      </c>
      <c r="B2893" t="s">
        <v>4005</v>
      </c>
      <c r="C2893" t="s">
        <v>3929</v>
      </c>
      <c r="D2893" t="s">
        <v>105</v>
      </c>
      <c r="E2893">
        <v>64.989999999999995</v>
      </c>
      <c r="F2893">
        <v>0</v>
      </c>
      <c r="G2893">
        <v>5</v>
      </c>
      <c r="H2893" t="s">
        <v>8</v>
      </c>
      <c r="I2893">
        <v>0</v>
      </c>
      <c r="J2893">
        <v>0</v>
      </c>
      <c r="K2893">
        <v>0</v>
      </c>
    </row>
    <row r="2894" spans="1:11" x14ac:dyDescent="0.2">
      <c r="A2894" t="s">
        <v>3197</v>
      </c>
      <c r="B2894" t="s">
        <v>3198</v>
      </c>
      <c r="C2894" t="s">
        <v>3188</v>
      </c>
      <c r="D2894" t="s">
        <v>98</v>
      </c>
      <c r="E2894">
        <v>19.989999999999998</v>
      </c>
      <c r="F2894">
        <v>0</v>
      </c>
      <c r="H2894" t="s">
        <v>8</v>
      </c>
      <c r="I2894">
        <v>0</v>
      </c>
      <c r="J2894">
        <v>0</v>
      </c>
      <c r="K2894">
        <v>0</v>
      </c>
    </row>
    <row r="2895" spans="1:11" x14ac:dyDescent="0.2">
      <c r="A2895" t="s">
        <v>3195</v>
      </c>
      <c r="B2895" t="s">
        <v>3196</v>
      </c>
      <c r="C2895" t="s">
        <v>3188</v>
      </c>
      <c r="D2895" t="s">
        <v>98</v>
      </c>
      <c r="E2895">
        <v>19.989999999999998</v>
      </c>
      <c r="F2895">
        <v>0</v>
      </c>
      <c r="H2895" t="s">
        <v>8</v>
      </c>
      <c r="I2895">
        <v>0</v>
      </c>
      <c r="J2895">
        <v>0</v>
      </c>
      <c r="K2895">
        <v>0</v>
      </c>
    </row>
    <row r="2896" spans="1:11" x14ac:dyDescent="0.2">
      <c r="A2896" t="s">
        <v>3193</v>
      </c>
      <c r="B2896" t="s">
        <v>3194</v>
      </c>
      <c r="C2896" t="s">
        <v>3188</v>
      </c>
      <c r="D2896" t="s">
        <v>98</v>
      </c>
      <c r="E2896">
        <v>89.99</v>
      </c>
      <c r="F2896">
        <v>0</v>
      </c>
      <c r="H2896" t="s">
        <v>8</v>
      </c>
      <c r="I2896">
        <v>0</v>
      </c>
      <c r="J2896">
        <v>0</v>
      </c>
      <c r="K2896">
        <v>0</v>
      </c>
    </row>
    <row r="2897" spans="1:11" x14ac:dyDescent="0.2">
      <c r="A2897" t="s">
        <v>5126</v>
      </c>
      <c r="B2897" t="s">
        <v>5127</v>
      </c>
      <c r="C2897" t="s">
        <v>3929</v>
      </c>
      <c r="D2897" t="s">
        <v>105</v>
      </c>
      <c r="E2897">
        <v>129.99</v>
      </c>
      <c r="F2897">
        <v>0</v>
      </c>
      <c r="G2897">
        <v>24</v>
      </c>
      <c r="H2897" t="s">
        <v>8</v>
      </c>
      <c r="I2897">
        <v>0</v>
      </c>
      <c r="J2897">
        <v>0</v>
      </c>
      <c r="K2897">
        <v>0</v>
      </c>
    </row>
    <row r="2898" spans="1:11" x14ac:dyDescent="0.2">
      <c r="A2898" t="s">
        <v>3191</v>
      </c>
      <c r="B2898" t="s">
        <v>3192</v>
      </c>
      <c r="C2898" t="s">
        <v>3188</v>
      </c>
      <c r="D2898" t="s">
        <v>98</v>
      </c>
      <c r="E2898">
        <v>39.99</v>
      </c>
      <c r="F2898">
        <v>0</v>
      </c>
      <c r="H2898" t="s">
        <v>8</v>
      </c>
      <c r="I2898">
        <v>0</v>
      </c>
      <c r="J2898">
        <v>0</v>
      </c>
      <c r="K2898">
        <v>0</v>
      </c>
    </row>
    <row r="2899" spans="1:11" x14ac:dyDescent="0.2">
      <c r="A2899" t="s">
        <v>5270</v>
      </c>
      <c r="B2899" t="s">
        <v>5271</v>
      </c>
      <c r="C2899" t="s">
        <v>3929</v>
      </c>
      <c r="D2899" t="s">
        <v>98</v>
      </c>
      <c r="E2899">
        <v>219.99</v>
      </c>
      <c r="F2899">
        <v>0</v>
      </c>
      <c r="H2899" t="s">
        <v>8</v>
      </c>
      <c r="I2899">
        <v>0</v>
      </c>
      <c r="J2899">
        <v>0</v>
      </c>
      <c r="K2899">
        <v>0</v>
      </c>
    </row>
    <row r="2900" spans="1:11" x14ac:dyDescent="0.2">
      <c r="A2900" t="s">
        <v>5274</v>
      </c>
      <c r="B2900" t="s">
        <v>5275</v>
      </c>
      <c r="C2900" t="s">
        <v>3188</v>
      </c>
      <c r="D2900" t="s">
        <v>98</v>
      </c>
      <c r="E2900">
        <v>19.989999999999998</v>
      </c>
      <c r="F2900">
        <v>0</v>
      </c>
      <c r="H2900" t="s">
        <v>8</v>
      </c>
      <c r="I2900">
        <v>0</v>
      </c>
      <c r="J2900">
        <v>0</v>
      </c>
      <c r="K2900">
        <v>0</v>
      </c>
    </row>
    <row r="2901" spans="1:11" x14ac:dyDescent="0.2">
      <c r="A2901" t="s">
        <v>5278</v>
      </c>
      <c r="B2901" t="s">
        <v>5279</v>
      </c>
      <c r="C2901" t="s">
        <v>3929</v>
      </c>
      <c r="D2901" t="s">
        <v>98</v>
      </c>
      <c r="E2901">
        <v>29.99</v>
      </c>
      <c r="F2901">
        <v>0</v>
      </c>
      <c r="H2901" t="s">
        <v>8</v>
      </c>
      <c r="I2901">
        <v>0</v>
      </c>
      <c r="J2901">
        <v>0</v>
      </c>
      <c r="K2901">
        <v>0</v>
      </c>
    </row>
    <row r="2902" spans="1:11" x14ac:dyDescent="0.2">
      <c r="A2902" t="s">
        <v>5367</v>
      </c>
      <c r="B2902" t="s">
        <v>5368</v>
      </c>
      <c r="C2902" t="s">
        <v>3188</v>
      </c>
      <c r="D2902" t="s">
        <v>98</v>
      </c>
      <c r="E2902">
        <v>99.99</v>
      </c>
      <c r="F2902">
        <v>0</v>
      </c>
      <c r="H2902" t="s">
        <v>8</v>
      </c>
      <c r="I2902">
        <v>0</v>
      </c>
      <c r="J2902">
        <v>0</v>
      </c>
      <c r="K2902">
        <v>0</v>
      </c>
    </row>
    <row r="2903" spans="1:11" x14ac:dyDescent="0.2">
      <c r="A2903" t="s">
        <v>3205</v>
      </c>
      <c r="B2903" t="s">
        <v>3206</v>
      </c>
      <c r="C2903" t="s">
        <v>3188</v>
      </c>
      <c r="D2903" t="s">
        <v>98</v>
      </c>
      <c r="E2903">
        <v>19.989999999999998</v>
      </c>
      <c r="F2903">
        <v>0</v>
      </c>
      <c r="H2903" t="s">
        <v>8</v>
      </c>
      <c r="I2903">
        <v>0</v>
      </c>
      <c r="J2903">
        <v>0</v>
      </c>
      <c r="K2903">
        <v>0</v>
      </c>
    </row>
    <row r="2904" spans="1:11" x14ac:dyDescent="0.2">
      <c r="A2904" t="s">
        <v>5325</v>
      </c>
      <c r="B2904" t="s">
        <v>5326</v>
      </c>
      <c r="C2904" t="s">
        <v>3929</v>
      </c>
      <c r="D2904" t="s">
        <v>98</v>
      </c>
      <c r="E2904">
        <v>69.989999999999995</v>
      </c>
      <c r="F2904">
        <v>0</v>
      </c>
      <c r="H2904" t="s">
        <v>8</v>
      </c>
      <c r="I2904">
        <v>0</v>
      </c>
      <c r="J2904">
        <v>0</v>
      </c>
      <c r="K2904">
        <v>0</v>
      </c>
    </row>
    <row r="2905" spans="1:11" x14ac:dyDescent="0.2">
      <c r="A2905" t="s">
        <v>5327</v>
      </c>
      <c r="B2905" t="s">
        <v>5328</v>
      </c>
      <c r="C2905" t="s">
        <v>3188</v>
      </c>
      <c r="D2905" t="s">
        <v>98</v>
      </c>
      <c r="E2905">
        <v>399.99</v>
      </c>
      <c r="F2905">
        <v>0</v>
      </c>
      <c r="H2905" t="s">
        <v>8</v>
      </c>
      <c r="I2905">
        <v>0</v>
      </c>
      <c r="J2905">
        <v>0</v>
      </c>
      <c r="K2905">
        <v>0</v>
      </c>
    </row>
    <row r="2906" spans="1:11" x14ac:dyDescent="0.2">
      <c r="A2906" t="s">
        <v>3327</v>
      </c>
      <c r="B2906" t="s">
        <v>3328</v>
      </c>
      <c r="C2906" t="s">
        <v>3291</v>
      </c>
      <c r="D2906" t="s">
        <v>98</v>
      </c>
      <c r="E2906">
        <v>74.989999999999995</v>
      </c>
      <c r="F2906">
        <v>0</v>
      </c>
      <c r="H2906" t="s">
        <v>8</v>
      </c>
      <c r="I2906">
        <v>0</v>
      </c>
      <c r="J2906">
        <v>0</v>
      </c>
      <c r="K2906">
        <v>0</v>
      </c>
    </row>
    <row r="2907" spans="1:11" x14ac:dyDescent="0.2">
      <c r="A2907" t="s">
        <v>5160</v>
      </c>
      <c r="B2907" t="s">
        <v>5161</v>
      </c>
      <c r="C2907" t="s">
        <v>3929</v>
      </c>
      <c r="D2907" t="s">
        <v>98</v>
      </c>
      <c r="E2907">
        <v>109.99</v>
      </c>
      <c r="F2907">
        <v>0</v>
      </c>
      <c r="H2907" t="s">
        <v>8</v>
      </c>
      <c r="I2907">
        <v>0</v>
      </c>
      <c r="J2907">
        <v>0</v>
      </c>
      <c r="K2907">
        <v>0</v>
      </c>
    </row>
    <row r="2908" spans="1:11" x14ac:dyDescent="0.2">
      <c r="A2908" t="s">
        <v>3325</v>
      </c>
      <c r="B2908" t="s">
        <v>3326</v>
      </c>
      <c r="C2908" t="s">
        <v>3291</v>
      </c>
      <c r="D2908" t="s">
        <v>98</v>
      </c>
      <c r="E2908">
        <v>74.989999999999995</v>
      </c>
      <c r="F2908">
        <v>0</v>
      </c>
      <c r="H2908" t="s">
        <v>8</v>
      </c>
      <c r="I2908">
        <v>0</v>
      </c>
      <c r="J2908">
        <v>0</v>
      </c>
      <c r="K2908">
        <v>0</v>
      </c>
    </row>
    <row r="2909" spans="1:11" x14ac:dyDescent="0.2">
      <c r="A2909" t="s">
        <v>3984</v>
      </c>
      <c r="B2909" t="s">
        <v>3985</v>
      </c>
      <c r="C2909" t="s">
        <v>3929</v>
      </c>
      <c r="D2909" t="s">
        <v>98</v>
      </c>
      <c r="E2909">
        <v>84.99</v>
      </c>
      <c r="F2909">
        <v>0</v>
      </c>
      <c r="H2909" t="s">
        <v>8</v>
      </c>
      <c r="I2909">
        <v>0</v>
      </c>
      <c r="J2909">
        <v>0</v>
      </c>
      <c r="K2909">
        <v>0</v>
      </c>
    </row>
    <row r="2910" spans="1:11" x14ac:dyDescent="0.2">
      <c r="A2910" t="s">
        <v>3323</v>
      </c>
      <c r="B2910" t="s">
        <v>3324</v>
      </c>
      <c r="C2910" t="s">
        <v>3291</v>
      </c>
      <c r="D2910" t="s">
        <v>98</v>
      </c>
      <c r="E2910">
        <v>74.989999999999995</v>
      </c>
      <c r="F2910">
        <v>0</v>
      </c>
      <c r="H2910" t="s">
        <v>8</v>
      </c>
      <c r="I2910">
        <v>0</v>
      </c>
      <c r="J2910">
        <v>0</v>
      </c>
      <c r="K2910">
        <v>0</v>
      </c>
    </row>
    <row r="2911" spans="1:11" x14ac:dyDescent="0.2">
      <c r="A2911" t="s">
        <v>3986</v>
      </c>
      <c r="B2911" t="s">
        <v>3987</v>
      </c>
      <c r="C2911" t="s">
        <v>3929</v>
      </c>
      <c r="D2911" t="s">
        <v>98</v>
      </c>
      <c r="E2911">
        <v>84.99</v>
      </c>
      <c r="F2911">
        <v>0</v>
      </c>
      <c r="H2911" t="s">
        <v>8</v>
      </c>
      <c r="I2911">
        <v>0</v>
      </c>
      <c r="J2911">
        <v>0</v>
      </c>
      <c r="K2911">
        <v>0</v>
      </c>
    </row>
    <row r="2912" spans="1:11" x14ac:dyDescent="0.2">
      <c r="A2912" t="s">
        <v>3321</v>
      </c>
      <c r="B2912" t="s">
        <v>3322</v>
      </c>
      <c r="C2912" t="s">
        <v>3291</v>
      </c>
      <c r="D2912" t="s">
        <v>98</v>
      </c>
      <c r="E2912">
        <v>74.989999999999995</v>
      </c>
      <c r="F2912">
        <v>0</v>
      </c>
      <c r="H2912" t="s">
        <v>8</v>
      </c>
      <c r="I2912">
        <v>0</v>
      </c>
      <c r="J2912">
        <v>0</v>
      </c>
      <c r="K2912">
        <v>0</v>
      </c>
    </row>
    <row r="2913" spans="1:11" x14ac:dyDescent="0.2">
      <c r="A2913" t="s">
        <v>3319</v>
      </c>
      <c r="B2913" t="s">
        <v>3320</v>
      </c>
      <c r="C2913" t="s">
        <v>3291</v>
      </c>
      <c r="D2913" t="s">
        <v>98</v>
      </c>
      <c r="E2913">
        <v>59.99</v>
      </c>
      <c r="F2913">
        <v>0</v>
      </c>
      <c r="H2913" t="s">
        <v>8</v>
      </c>
      <c r="I2913">
        <v>0</v>
      </c>
      <c r="J2913">
        <v>0</v>
      </c>
      <c r="K2913">
        <v>0</v>
      </c>
    </row>
    <row r="2914" spans="1:11" x14ac:dyDescent="0.2">
      <c r="A2914" t="s">
        <v>3317</v>
      </c>
      <c r="B2914" t="s">
        <v>3318</v>
      </c>
      <c r="C2914" t="s">
        <v>3291</v>
      </c>
      <c r="D2914" t="s">
        <v>98</v>
      </c>
      <c r="E2914">
        <v>59.99</v>
      </c>
      <c r="F2914">
        <v>0</v>
      </c>
      <c r="H2914" t="s">
        <v>8</v>
      </c>
      <c r="I2914">
        <v>0</v>
      </c>
      <c r="J2914">
        <v>0</v>
      </c>
      <c r="K2914">
        <v>0</v>
      </c>
    </row>
    <row r="2915" spans="1:11" x14ac:dyDescent="0.2">
      <c r="A2915" t="s">
        <v>5138</v>
      </c>
      <c r="B2915" t="s">
        <v>5139</v>
      </c>
      <c r="C2915" t="s">
        <v>3929</v>
      </c>
      <c r="D2915" t="s">
        <v>98</v>
      </c>
      <c r="E2915">
        <v>129.99</v>
      </c>
      <c r="F2915">
        <v>0</v>
      </c>
      <c r="H2915" t="s">
        <v>8</v>
      </c>
      <c r="I2915">
        <v>0</v>
      </c>
      <c r="J2915">
        <v>0</v>
      </c>
      <c r="K2915">
        <v>0</v>
      </c>
    </row>
    <row r="2916" spans="1:11" x14ac:dyDescent="0.2">
      <c r="A2916" t="s">
        <v>3315</v>
      </c>
      <c r="B2916" t="s">
        <v>3316</v>
      </c>
      <c r="C2916" t="s">
        <v>3291</v>
      </c>
      <c r="D2916" t="s">
        <v>98</v>
      </c>
      <c r="E2916">
        <v>59.99</v>
      </c>
      <c r="F2916">
        <v>0</v>
      </c>
      <c r="H2916" t="s">
        <v>8</v>
      </c>
      <c r="I2916">
        <v>0</v>
      </c>
      <c r="J2916">
        <v>0</v>
      </c>
      <c r="K2916">
        <v>0</v>
      </c>
    </row>
    <row r="2917" spans="1:11" x14ac:dyDescent="0.2">
      <c r="A2917" t="s">
        <v>3990</v>
      </c>
      <c r="B2917" t="s">
        <v>3991</v>
      </c>
      <c r="C2917" t="s">
        <v>3929</v>
      </c>
      <c r="D2917" t="s">
        <v>105</v>
      </c>
      <c r="E2917">
        <v>129.99</v>
      </c>
      <c r="F2917">
        <v>0</v>
      </c>
      <c r="G2917">
        <v>51</v>
      </c>
      <c r="H2917" t="s">
        <v>8</v>
      </c>
      <c r="I2917">
        <v>0</v>
      </c>
      <c r="J2917">
        <v>0</v>
      </c>
      <c r="K2917">
        <v>2</v>
      </c>
    </row>
    <row r="2918" spans="1:11" x14ac:dyDescent="0.2">
      <c r="A2918" t="s">
        <v>3296</v>
      </c>
      <c r="B2918" t="s">
        <v>3297</v>
      </c>
      <c r="C2918" t="s">
        <v>3291</v>
      </c>
      <c r="D2918" t="s">
        <v>98</v>
      </c>
      <c r="E2918">
        <v>59.99</v>
      </c>
      <c r="F2918">
        <v>0</v>
      </c>
      <c r="H2918" t="s">
        <v>8</v>
      </c>
      <c r="I2918">
        <v>0</v>
      </c>
      <c r="J2918">
        <v>0</v>
      </c>
      <c r="K2918">
        <v>0</v>
      </c>
    </row>
    <row r="2919" spans="1:11" x14ac:dyDescent="0.2">
      <c r="A2919" t="s">
        <v>3294</v>
      </c>
      <c r="B2919" t="s">
        <v>3295</v>
      </c>
      <c r="C2919" t="s">
        <v>3291</v>
      </c>
      <c r="D2919" t="s">
        <v>98</v>
      </c>
      <c r="E2919">
        <v>59.99</v>
      </c>
      <c r="F2919">
        <v>0</v>
      </c>
      <c r="H2919" t="s">
        <v>8</v>
      </c>
      <c r="I2919">
        <v>0</v>
      </c>
      <c r="J2919">
        <v>0</v>
      </c>
      <c r="K2919">
        <v>0</v>
      </c>
    </row>
    <row r="2920" spans="1:11" x14ac:dyDescent="0.2">
      <c r="A2920" t="s">
        <v>3292</v>
      </c>
      <c r="B2920" t="s">
        <v>3293</v>
      </c>
      <c r="C2920" t="s">
        <v>3291</v>
      </c>
      <c r="D2920" t="s">
        <v>98</v>
      </c>
      <c r="E2920">
        <v>59.99</v>
      </c>
      <c r="F2920">
        <v>0</v>
      </c>
      <c r="H2920" t="s">
        <v>8</v>
      </c>
      <c r="I2920">
        <v>0</v>
      </c>
      <c r="J2920">
        <v>0</v>
      </c>
      <c r="K2920">
        <v>0</v>
      </c>
    </row>
    <row r="2921" spans="1:11" x14ac:dyDescent="0.2">
      <c r="A2921" t="s">
        <v>3219</v>
      </c>
      <c r="B2921" t="s">
        <v>3220</v>
      </c>
      <c r="C2921" t="s">
        <v>3188</v>
      </c>
      <c r="D2921" t="s">
        <v>98</v>
      </c>
      <c r="E2921">
        <v>44.99</v>
      </c>
      <c r="F2921">
        <v>0</v>
      </c>
      <c r="H2921" t="s">
        <v>8</v>
      </c>
      <c r="I2921">
        <v>0</v>
      </c>
      <c r="J2921">
        <v>0</v>
      </c>
      <c r="K2921">
        <v>0</v>
      </c>
    </row>
    <row r="2922" spans="1:11" x14ac:dyDescent="0.2">
      <c r="A2922" t="s">
        <v>3217</v>
      </c>
      <c r="B2922" t="s">
        <v>3218</v>
      </c>
      <c r="C2922" t="s">
        <v>3188</v>
      </c>
      <c r="D2922" t="s">
        <v>98</v>
      </c>
      <c r="E2922">
        <v>19.989999999999998</v>
      </c>
      <c r="F2922">
        <v>0</v>
      </c>
      <c r="H2922" t="s">
        <v>8</v>
      </c>
      <c r="I2922">
        <v>0</v>
      </c>
      <c r="J2922">
        <v>0</v>
      </c>
      <c r="K2922">
        <v>0</v>
      </c>
    </row>
    <row r="2923" spans="1:11" x14ac:dyDescent="0.2">
      <c r="A2923" t="s">
        <v>3215</v>
      </c>
      <c r="B2923" t="s">
        <v>3216</v>
      </c>
      <c r="C2923" t="s">
        <v>3188</v>
      </c>
      <c r="D2923" t="s">
        <v>98</v>
      </c>
      <c r="E2923">
        <v>19.989999999999998</v>
      </c>
      <c r="F2923">
        <v>0</v>
      </c>
      <c r="H2923" t="s">
        <v>8</v>
      </c>
      <c r="I2923">
        <v>0</v>
      </c>
      <c r="J2923">
        <v>0</v>
      </c>
      <c r="K2923">
        <v>0</v>
      </c>
    </row>
    <row r="2924" spans="1:11" x14ac:dyDescent="0.2">
      <c r="A2924" t="s">
        <v>3213</v>
      </c>
      <c r="B2924" t="s">
        <v>3214</v>
      </c>
      <c r="C2924" t="s">
        <v>3188</v>
      </c>
      <c r="D2924" t="s">
        <v>98</v>
      </c>
      <c r="E2924">
        <v>19.989999999999998</v>
      </c>
      <c r="F2924">
        <v>0</v>
      </c>
      <c r="H2924" t="s">
        <v>8</v>
      </c>
      <c r="I2924">
        <v>0</v>
      </c>
      <c r="J2924">
        <v>0</v>
      </c>
      <c r="K2924">
        <v>0</v>
      </c>
    </row>
    <row r="2925" spans="1:11" x14ac:dyDescent="0.2">
      <c r="A2925" t="s">
        <v>3209</v>
      </c>
      <c r="B2925" t="s">
        <v>3210</v>
      </c>
      <c r="C2925" t="s">
        <v>3188</v>
      </c>
      <c r="D2925" t="s">
        <v>98</v>
      </c>
      <c r="E2925">
        <v>139.99</v>
      </c>
      <c r="F2925">
        <v>0</v>
      </c>
      <c r="H2925" t="s">
        <v>8</v>
      </c>
      <c r="I2925">
        <v>0</v>
      </c>
      <c r="J2925">
        <v>0</v>
      </c>
      <c r="K2925">
        <v>0</v>
      </c>
    </row>
    <row r="2926" spans="1:11" x14ac:dyDescent="0.2">
      <c r="A2926" t="s">
        <v>5331</v>
      </c>
      <c r="B2926" t="s">
        <v>5332</v>
      </c>
      <c r="C2926" t="s">
        <v>3188</v>
      </c>
      <c r="D2926" t="s">
        <v>98</v>
      </c>
      <c r="E2926">
        <v>169.99</v>
      </c>
      <c r="F2926">
        <v>0</v>
      </c>
      <c r="H2926" t="s">
        <v>8</v>
      </c>
      <c r="I2926">
        <v>0</v>
      </c>
      <c r="J2926">
        <v>0</v>
      </c>
      <c r="K2926">
        <v>0</v>
      </c>
    </row>
    <row r="2927" spans="1:11" x14ac:dyDescent="0.2">
      <c r="A2927" t="s">
        <v>5333</v>
      </c>
      <c r="B2927" t="s">
        <v>5334</v>
      </c>
      <c r="C2927" t="s">
        <v>3929</v>
      </c>
      <c r="D2927" t="s">
        <v>138</v>
      </c>
      <c r="E2927">
        <v>69.989999999999995</v>
      </c>
      <c r="F2927">
        <v>0</v>
      </c>
      <c r="H2927" t="s">
        <v>8</v>
      </c>
      <c r="I2927">
        <v>0</v>
      </c>
      <c r="J2927">
        <v>0</v>
      </c>
      <c r="K2927">
        <v>0</v>
      </c>
    </row>
    <row r="2928" spans="1:11" x14ac:dyDescent="0.2">
      <c r="A2928" t="s">
        <v>5341</v>
      </c>
      <c r="B2928" t="s">
        <v>5342</v>
      </c>
      <c r="C2928" t="s">
        <v>3929</v>
      </c>
      <c r="D2928" t="s">
        <v>98</v>
      </c>
      <c r="E2928">
        <v>69.989999999999995</v>
      </c>
      <c r="F2928">
        <v>0</v>
      </c>
      <c r="H2928" t="s">
        <v>8</v>
      </c>
      <c r="I2928">
        <v>0</v>
      </c>
      <c r="J2928">
        <v>0</v>
      </c>
      <c r="K2928">
        <v>0</v>
      </c>
    </row>
    <row r="2929" spans="1:11" x14ac:dyDescent="0.2">
      <c r="A2929" t="s">
        <v>5339</v>
      </c>
      <c r="B2929" t="s">
        <v>5340</v>
      </c>
      <c r="C2929" t="s">
        <v>3188</v>
      </c>
      <c r="D2929" t="s">
        <v>98</v>
      </c>
      <c r="E2929">
        <v>139.99</v>
      </c>
      <c r="F2929">
        <v>0</v>
      </c>
      <c r="H2929" t="s">
        <v>8</v>
      </c>
      <c r="I2929">
        <v>0</v>
      </c>
      <c r="J2929">
        <v>0</v>
      </c>
      <c r="K2929">
        <v>0</v>
      </c>
    </row>
    <row r="2930" spans="1:11" x14ac:dyDescent="0.2">
      <c r="A2930" t="s">
        <v>5286</v>
      </c>
      <c r="B2930" t="s">
        <v>5287</v>
      </c>
      <c r="C2930" t="s">
        <v>3188</v>
      </c>
      <c r="D2930" t="s">
        <v>98</v>
      </c>
      <c r="E2930">
        <v>19.989999999999998</v>
      </c>
      <c r="F2930">
        <v>0</v>
      </c>
      <c r="H2930" t="s">
        <v>8</v>
      </c>
      <c r="I2930">
        <v>0</v>
      </c>
      <c r="J2930">
        <v>0</v>
      </c>
      <c r="K2930">
        <v>0</v>
      </c>
    </row>
    <row r="2931" spans="1:11" x14ac:dyDescent="0.2">
      <c r="A2931" t="s">
        <v>3189</v>
      </c>
      <c r="B2931" t="s">
        <v>3190</v>
      </c>
      <c r="C2931" t="s">
        <v>3188</v>
      </c>
      <c r="D2931" t="s">
        <v>98</v>
      </c>
      <c r="E2931">
        <v>19.989999999999998</v>
      </c>
      <c r="F2931">
        <v>0</v>
      </c>
      <c r="H2931" t="s">
        <v>8</v>
      </c>
      <c r="I2931">
        <v>0</v>
      </c>
      <c r="J2931">
        <v>0</v>
      </c>
      <c r="K2931">
        <v>0</v>
      </c>
    </row>
    <row r="2932" spans="1:11" x14ac:dyDescent="0.2">
      <c r="A2932" t="s">
        <v>5698</v>
      </c>
      <c r="B2932" t="s">
        <v>5699</v>
      </c>
      <c r="C2932" t="s">
        <v>3183</v>
      </c>
      <c r="D2932" t="s">
        <v>98</v>
      </c>
      <c r="E2932">
        <v>69.989999999999995</v>
      </c>
      <c r="F2932">
        <v>0</v>
      </c>
      <c r="H2932" t="s">
        <v>8</v>
      </c>
      <c r="I2932">
        <v>0</v>
      </c>
      <c r="J2932">
        <v>0</v>
      </c>
      <c r="K2932">
        <v>0</v>
      </c>
    </row>
    <row r="2933" spans="1:11" x14ac:dyDescent="0.2">
      <c r="A2933" t="s">
        <v>3186</v>
      </c>
      <c r="B2933" t="s">
        <v>3187</v>
      </c>
      <c r="C2933" t="s">
        <v>3183</v>
      </c>
      <c r="D2933" t="s">
        <v>98</v>
      </c>
      <c r="E2933">
        <v>29.99</v>
      </c>
      <c r="F2933">
        <v>0</v>
      </c>
      <c r="H2933" t="s">
        <v>8</v>
      </c>
      <c r="I2933">
        <v>0</v>
      </c>
      <c r="J2933">
        <v>0</v>
      </c>
      <c r="K2933">
        <v>0</v>
      </c>
    </row>
    <row r="2934" spans="1:11" x14ac:dyDescent="0.2">
      <c r="A2934" t="s">
        <v>4051</v>
      </c>
      <c r="B2934" t="s">
        <v>4052</v>
      </c>
      <c r="C2934" t="s">
        <v>3929</v>
      </c>
      <c r="D2934" t="s">
        <v>105</v>
      </c>
      <c r="E2934">
        <v>129.99</v>
      </c>
      <c r="F2934">
        <v>0</v>
      </c>
      <c r="H2934" t="s">
        <v>8</v>
      </c>
      <c r="I2934">
        <v>0</v>
      </c>
      <c r="J2934">
        <v>0</v>
      </c>
      <c r="K2934">
        <v>0</v>
      </c>
    </row>
    <row r="2935" spans="1:11" x14ac:dyDescent="0.2">
      <c r="A2935" t="s">
        <v>3152</v>
      </c>
      <c r="B2935" t="s">
        <v>3153</v>
      </c>
      <c r="C2935" t="s">
        <v>3133</v>
      </c>
      <c r="D2935" t="s">
        <v>98</v>
      </c>
      <c r="E2935">
        <v>79.989999999999995</v>
      </c>
      <c r="F2935">
        <v>0</v>
      </c>
      <c r="H2935" t="s">
        <v>8</v>
      </c>
      <c r="I2935">
        <v>0</v>
      </c>
      <c r="J2935">
        <v>0</v>
      </c>
      <c r="K2935">
        <v>0</v>
      </c>
    </row>
    <row r="2936" spans="1:11" x14ac:dyDescent="0.2">
      <c r="A2936" t="s">
        <v>4053</v>
      </c>
      <c r="B2936" t="s">
        <v>4054</v>
      </c>
      <c r="C2936" t="s">
        <v>3929</v>
      </c>
      <c r="D2936" t="s">
        <v>105</v>
      </c>
      <c r="E2936">
        <v>149.99</v>
      </c>
      <c r="F2936">
        <v>0</v>
      </c>
      <c r="G2936">
        <v>24</v>
      </c>
      <c r="H2936" t="s">
        <v>8</v>
      </c>
      <c r="I2936">
        <v>0</v>
      </c>
      <c r="J2936">
        <v>0</v>
      </c>
      <c r="K2936">
        <v>0</v>
      </c>
    </row>
    <row r="2937" spans="1:11" x14ac:dyDescent="0.2">
      <c r="A2937" t="s">
        <v>3150</v>
      </c>
      <c r="B2937" t="s">
        <v>3151</v>
      </c>
      <c r="C2937" t="s">
        <v>3133</v>
      </c>
      <c r="D2937" t="s">
        <v>98</v>
      </c>
      <c r="E2937">
        <v>59.99</v>
      </c>
      <c r="F2937">
        <v>0</v>
      </c>
      <c r="H2937" t="s">
        <v>8</v>
      </c>
      <c r="I2937">
        <v>0</v>
      </c>
      <c r="J2937">
        <v>0</v>
      </c>
      <c r="K2937">
        <v>0</v>
      </c>
    </row>
    <row r="2938" spans="1:11" x14ac:dyDescent="0.2">
      <c r="A2938" t="s">
        <v>4055</v>
      </c>
      <c r="B2938" t="s">
        <v>4056</v>
      </c>
      <c r="C2938" t="s">
        <v>3929</v>
      </c>
      <c r="D2938" t="s">
        <v>105</v>
      </c>
      <c r="E2938">
        <v>159.99</v>
      </c>
      <c r="F2938">
        <v>0</v>
      </c>
      <c r="H2938" t="s">
        <v>8</v>
      </c>
      <c r="I2938">
        <v>0</v>
      </c>
      <c r="J2938">
        <v>0</v>
      </c>
      <c r="K2938">
        <v>0</v>
      </c>
    </row>
    <row r="2939" spans="1:11" x14ac:dyDescent="0.2">
      <c r="A2939" t="s">
        <v>3144</v>
      </c>
      <c r="B2939" t="s">
        <v>3145</v>
      </c>
      <c r="C2939" t="s">
        <v>3133</v>
      </c>
      <c r="D2939" t="s">
        <v>98</v>
      </c>
      <c r="E2939">
        <v>69.989999999999995</v>
      </c>
      <c r="F2939">
        <v>0</v>
      </c>
      <c r="H2939" t="s">
        <v>8</v>
      </c>
      <c r="I2939">
        <v>0</v>
      </c>
      <c r="J2939">
        <v>0</v>
      </c>
      <c r="K2939">
        <v>0</v>
      </c>
    </row>
    <row r="2940" spans="1:11" x14ac:dyDescent="0.2">
      <c r="A2940" t="s">
        <v>3142</v>
      </c>
      <c r="B2940" t="s">
        <v>3143</v>
      </c>
      <c r="C2940" t="s">
        <v>3133</v>
      </c>
      <c r="D2940" t="s">
        <v>98</v>
      </c>
      <c r="E2940">
        <v>59.99</v>
      </c>
      <c r="F2940">
        <v>0</v>
      </c>
      <c r="H2940" t="s">
        <v>8</v>
      </c>
      <c r="I2940">
        <v>0</v>
      </c>
      <c r="J2940">
        <v>0</v>
      </c>
      <c r="K2940">
        <v>0</v>
      </c>
    </row>
    <row r="2941" spans="1:11" x14ac:dyDescent="0.2">
      <c r="A2941" t="s">
        <v>3140</v>
      </c>
      <c r="B2941" t="s">
        <v>3141</v>
      </c>
      <c r="C2941" t="s">
        <v>3133</v>
      </c>
      <c r="D2941" t="s">
        <v>98</v>
      </c>
      <c r="E2941">
        <v>24.99</v>
      </c>
      <c r="F2941">
        <v>0</v>
      </c>
      <c r="H2941" t="s">
        <v>8</v>
      </c>
      <c r="I2941">
        <v>0</v>
      </c>
      <c r="J2941">
        <v>0</v>
      </c>
      <c r="K2941">
        <v>0</v>
      </c>
    </row>
    <row r="2942" spans="1:11" x14ac:dyDescent="0.2">
      <c r="A2942" t="s">
        <v>4071</v>
      </c>
      <c r="B2942" t="s">
        <v>4072</v>
      </c>
      <c r="C2942" t="s">
        <v>3929</v>
      </c>
      <c r="D2942" t="s">
        <v>98</v>
      </c>
      <c r="E2942">
        <v>199.99</v>
      </c>
      <c r="F2942">
        <v>0</v>
      </c>
      <c r="H2942" t="s">
        <v>8</v>
      </c>
      <c r="I2942">
        <v>0.16666666666666666</v>
      </c>
      <c r="J2942">
        <v>0</v>
      </c>
      <c r="K2942">
        <v>0</v>
      </c>
    </row>
    <row r="2943" spans="1:11" x14ac:dyDescent="0.2">
      <c r="A2943" t="s">
        <v>3138</v>
      </c>
      <c r="B2943" t="s">
        <v>3139</v>
      </c>
      <c r="C2943" t="s">
        <v>3133</v>
      </c>
      <c r="D2943" t="s">
        <v>98</v>
      </c>
      <c r="E2943">
        <v>119.99</v>
      </c>
      <c r="F2943">
        <v>0</v>
      </c>
      <c r="H2943" t="s">
        <v>8</v>
      </c>
      <c r="I2943">
        <v>0</v>
      </c>
      <c r="J2943">
        <v>0</v>
      </c>
      <c r="K2943">
        <v>0</v>
      </c>
    </row>
    <row r="2944" spans="1:11" x14ac:dyDescent="0.2">
      <c r="A2944" t="s">
        <v>3136</v>
      </c>
      <c r="B2944" t="s">
        <v>3137</v>
      </c>
      <c r="C2944" t="s">
        <v>3133</v>
      </c>
      <c r="D2944" t="s">
        <v>98</v>
      </c>
      <c r="E2944">
        <v>79.989999999999995</v>
      </c>
      <c r="F2944">
        <v>0</v>
      </c>
      <c r="H2944" t="s">
        <v>8</v>
      </c>
      <c r="I2944">
        <v>0</v>
      </c>
      <c r="J2944">
        <v>0</v>
      </c>
      <c r="K2944">
        <v>0</v>
      </c>
    </row>
    <row r="2945" spans="1:11" x14ac:dyDescent="0.2">
      <c r="A2945" t="s">
        <v>4073</v>
      </c>
      <c r="B2945" t="s">
        <v>4074</v>
      </c>
      <c r="C2945" t="s">
        <v>3929</v>
      </c>
      <c r="D2945" t="s">
        <v>105</v>
      </c>
      <c r="E2945">
        <v>69.989999999999995</v>
      </c>
      <c r="F2945">
        <v>0</v>
      </c>
      <c r="G2945">
        <v>52</v>
      </c>
      <c r="H2945" t="s">
        <v>8</v>
      </c>
      <c r="I2945">
        <v>0</v>
      </c>
      <c r="J2945">
        <v>0</v>
      </c>
      <c r="K2945">
        <v>0</v>
      </c>
    </row>
    <row r="2946" spans="1:11" x14ac:dyDescent="0.2">
      <c r="A2946" t="s">
        <v>3134</v>
      </c>
      <c r="B2946" t="s">
        <v>3135</v>
      </c>
      <c r="C2946" t="s">
        <v>3133</v>
      </c>
      <c r="D2946" t="s">
        <v>98</v>
      </c>
      <c r="E2946">
        <v>53.99</v>
      </c>
      <c r="F2946">
        <v>0</v>
      </c>
      <c r="H2946" t="s">
        <v>8</v>
      </c>
      <c r="I2946">
        <v>0</v>
      </c>
      <c r="J2946">
        <v>0</v>
      </c>
      <c r="K2946">
        <v>0</v>
      </c>
    </row>
    <row r="2947" spans="1:11" x14ac:dyDescent="0.2">
      <c r="A2947" t="s">
        <v>4075</v>
      </c>
      <c r="B2947" t="s">
        <v>4076</v>
      </c>
      <c r="C2947" t="s">
        <v>3929</v>
      </c>
      <c r="D2947" t="s">
        <v>105</v>
      </c>
      <c r="E2947">
        <v>64.989999999999995</v>
      </c>
      <c r="F2947">
        <v>0</v>
      </c>
      <c r="G2947">
        <v>11</v>
      </c>
      <c r="H2947" t="s">
        <v>8</v>
      </c>
      <c r="I2947">
        <v>0</v>
      </c>
      <c r="J2947">
        <v>0</v>
      </c>
      <c r="K2947">
        <v>0</v>
      </c>
    </row>
    <row r="2948" spans="1:11" x14ac:dyDescent="0.2">
      <c r="A2948" t="s">
        <v>5552</v>
      </c>
      <c r="B2948" t="s">
        <v>5553</v>
      </c>
      <c r="C2948" t="s">
        <v>3929</v>
      </c>
      <c r="D2948" t="s">
        <v>98</v>
      </c>
      <c r="E2948">
        <v>44.99</v>
      </c>
      <c r="F2948">
        <v>0</v>
      </c>
      <c r="H2948" t="s">
        <v>8</v>
      </c>
      <c r="I2948">
        <v>0</v>
      </c>
      <c r="J2948">
        <v>0</v>
      </c>
      <c r="K2948">
        <v>0</v>
      </c>
    </row>
    <row r="2949" spans="1:11" x14ac:dyDescent="0.2">
      <c r="A2949" t="s">
        <v>5083</v>
      </c>
      <c r="B2949" t="s">
        <v>5084</v>
      </c>
      <c r="C2949" t="s">
        <v>3929</v>
      </c>
      <c r="D2949" t="s">
        <v>138</v>
      </c>
      <c r="E2949">
        <v>64.989999999999995</v>
      </c>
      <c r="F2949">
        <v>0</v>
      </c>
      <c r="H2949" t="s">
        <v>8</v>
      </c>
      <c r="I2949">
        <v>0</v>
      </c>
      <c r="J2949">
        <v>0</v>
      </c>
      <c r="K2949">
        <v>0</v>
      </c>
    </row>
    <row r="2950" spans="1:11" x14ac:dyDescent="0.2">
      <c r="A2950" t="s">
        <v>5075</v>
      </c>
      <c r="B2950" t="s">
        <v>5076</v>
      </c>
      <c r="C2950" t="s">
        <v>3929</v>
      </c>
      <c r="D2950" t="s">
        <v>98</v>
      </c>
      <c r="E2950">
        <v>74.989999999999995</v>
      </c>
      <c r="F2950">
        <v>0</v>
      </c>
      <c r="H2950" t="s">
        <v>8</v>
      </c>
      <c r="I2950">
        <v>0</v>
      </c>
      <c r="J2950">
        <v>0</v>
      </c>
      <c r="K2950">
        <v>0</v>
      </c>
    </row>
    <row r="2951" spans="1:11" x14ac:dyDescent="0.2">
      <c r="A2951" t="s">
        <v>5620</v>
      </c>
      <c r="B2951" t="s">
        <v>5621</v>
      </c>
      <c r="C2951" t="s">
        <v>3929</v>
      </c>
      <c r="D2951" t="s">
        <v>98</v>
      </c>
      <c r="E2951">
        <v>79.989999999999995</v>
      </c>
      <c r="F2951">
        <v>0</v>
      </c>
      <c r="H2951" t="s">
        <v>8</v>
      </c>
      <c r="I2951">
        <v>0</v>
      </c>
      <c r="J2951">
        <v>0</v>
      </c>
      <c r="K2951">
        <v>0</v>
      </c>
    </row>
    <row r="2952" spans="1:11" x14ac:dyDescent="0.2">
      <c r="A2952" t="s">
        <v>5594</v>
      </c>
      <c r="B2952" t="s">
        <v>5595</v>
      </c>
      <c r="C2952" t="s">
        <v>2415</v>
      </c>
      <c r="D2952" t="s">
        <v>98</v>
      </c>
      <c r="E2952">
        <v>139.99</v>
      </c>
      <c r="F2952">
        <v>0</v>
      </c>
      <c r="H2952" t="s">
        <v>8</v>
      </c>
      <c r="I2952">
        <v>0</v>
      </c>
      <c r="J2952">
        <v>0</v>
      </c>
      <c r="K2952">
        <v>0</v>
      </c>
    </row>
    <row r="2953" spans="1:11" x14ac:dyDescent="0.2">
      <c r="A2953" t="s">
        <v>5588</v>
      </c>
      <c r="B2953" t="s">
        <v>5589</v>
      </c>
      <c r="C2953" t="s">
        <v>2415</v>
      </c>
      <c r="D2953" t="s">
        <v>98</v>
      </c>
      <c r="E2953">
        <v>449</v>
      </c>
      <c r="F2953">
        <v>0</v>
      </c>
      <c r="H2953" t="s">
        <v>8</v>
      </c>
      <c r="I2953">
        <v>0</v>
      </c>
      <c r="J2953">
        <v>0</v>
      </c>
      <c r="K2953">
        <v>0</v>
      </c>
    </row>
    <row r="2954" spans="1:11" x14ac:dyDescent="0.2">
      <c r="A2954" t="s">
        <v>4079</v>
      </c>
      <c r="B2954" t="s">
        <v>4080</v>
      </c>
      <c r="C2954" t="s">
        <v>3929</v>
      </c>
      <c r="D2954" t="s">
        <v>98</v>
      </c>
      <c r="E2954">
        <v>199.99</v>
      </c>
      <c r="F2954">
        <v>0</v>
      </c>
      <c r="H2954" t="s">
        <v>8</v>
      </c>
      <c r="I2954">
        <v>0</v>
      </c>
      <c r="J2954">
        <v>0</v>
      </c>
      <c r="K2954">
        <v>0</v>
      </c>
    </row>
    <row r="2955" spans="1:11" x14ac:dyDescent="0.2">
      <c r="A2955" t="s">
        <v>5592</v>
      </c>
      <c r="B2955" t="s">
        <v>5593</v>
      </c>
      <c r="C2955" t="s">
        <v>2415</v>
      </c>
      <c r="D2955" t="s">
        <v>98</v>
      </c>
      <c r="E2955">
        <v>139.99</v>
      </c>
      <c r="F2955">
        <v>0</v>
      </c>
      <c r="H2955" t="s">
        <v>8</v>
      </c>
      <c r="I2955">
        <v>0</v>
      </c>
      <c r="J2955">
        <v>0</v>
      </c>
      <c r="K2955">
        <v>0</v>
      </c>
    </row>
    <row r="2956" spans="1:11" x14ac:dyDescent="0.2">
      <c r="A2956" t="s">
        <v>4081</v>
      </c>
      <c r="B2956" t="s">
        <v>4082</v>
      </c>
      <c r="C2956" t="s">
        <v>3929</v>
      </c>
      <c r="D2956" t="s">
        <v>105</v>
      </c>
      <c r="E2956">
        <v>109.99</v>
      </c>
      <c r="F2956">
        <v>0</v>
      </c>
      <c r="H2956" t="s">
        <v>8</v>
      </c>
      <c r="I2956">
        <v>0</v>
      </c>
      <c r="J2956">
        <v>0</v>
      </c>
      <c r="K2956">
        <v>0</v>
      </c>
    </row>
    <row r="2957" spans="1:11" x14ac:dyDescent="0.2">
      <c r="A2957" t="s">
        <v>5437</v>
      </c>
      <c r="B2957" t="s">
        <v>5438</v>
      </c>
      <c r="C2957" t="s">
        <v>3929</v>
      </c>
      <c r="D2957" t="s">
        <v>98</v>
      </c>
      <c r="E2957">
        <v>74.989999999999995</v>
      </c>
      <c r="F2957">
        <v>0</v>
      </c>
      <c r="H2957" t="s">
        <v>8</v>
      </c>
      <c r="I2957">
        <v>0</v>
      </c>
      <c r="J2957">
        <v>0</v>
      </c>
      <c r="K2957">
        <v>0</v>
      </c>
    </row>
    <row r="2958" spans="1:11" x14ac:dyDescent="0.2">
      <c r="A2958" t="s">
        <v>3154</v>
      </c>
      <c r="B2958" t="s">
        <v>3155</v>
      </c>
      <c r="C2958" t="s">
        <v>3133</v>
      </c>
      <c r="D2958" t="s">
        <v>98</v>
      </c>
      <c r="E2958">
        <v>99.99</v>
      </c>
      <c r="F2958">
        <v>0</v>
      </c>
      <c r="H2958" t="s">
        <v>8</v>
      </c>
      <c r="I2958">
        <v>0</v>
      </c>
      <c r="J2958">
        <v>0</v>
      </c>
      <c r="K2958">
        <v>0</v>
      </c>
    </row>
    <row r="2959" spans="1:11" x14ac:dyDescent="0.2">
      <c r="A2959" t="s">
        <v>3982</v>
      </c>
      <c r="B2959" t="s">
        <v>3983</v>
      </c>
      <c r="C2959" t="s">
        <v>3929</v>
      </c>
      <c r="D2959" t="s">
        <v>98</v>
      </c>
      <c r="E2959">
        <v>109.99</v>
      </c>
      <c r="F2959">
        <v>0</v>
      </c>
      <c r="H2959" t="s">
        <v>8</v>
      </c>
      <c r="I2959">
        <v>0</v>
      </c>
      <c r="J2959">
        <v>0</v>
      </c>
      <c r="K2959">
        <v>0</v>
      </c>
    </row>
    <row r="2960" spans="1:11" x14ac:dyDescent="0.2">
      <c r="A2960" t="s">
        <v>3156</v>
      </c>
      <c r="B2960" t="s">
        <v>3157</v>
      </c>
      <c r="C2960" t="s">
        <v>3133</v>
      </c>
      <c r="D2960" t="s">
        <v>98</v>
      </c>
      <c r="E2960">
        <v>149.99</v>
      </c>
      <c r="F2960">
        <v>0</v>
      </c>
      <c r="H2960" t="s">
        <v>8</v>
      </c>
      <c r="I2960">
        <v>0</v>
      </c>
      <c r="J2960">
        <v>0</v>
      </c>
      <c r="K2960">
        <v>0</v>
      </c>
    </row>
    <row r="2961" spans="1:11" x14ac:dyDescent="0.2">
      <c r="A2961" t="s">
        <v>3158</v>
      </c>
      <c r="B2961" t="s">
        <v>3159</v>
      </c>
      <c r="C2961" t="s">
        <v>3133</v>
      </c>
      <c r="D2961" t="s">
        <v>98</v>
      </c>
      <c r="E2961">
        <v>199.99</v>
      </c>
      <c r="F2961">
        <v>0</v>
      </c>
      <c r="H2961" t="s">
        <v>8</v>
      </c>
      <c r="I2961">
        <v>0</v>
      </c>
      <c r="J2961">
        <v>0</v>
      </c>
      <c r="K2961">
        <v>0</v>
      </c>
    </row>
    <row r="2962" spans="1:11" x14ac:dyDescent="0.2">
      <c r="A2962" t="s">
        <v>3184</v>
      </c>
      <c r="B2962" t="s">
        <v>3185</v>
      </c>
      <c r="C2962" t="s">
        <v>3183</v>
      </c>
      <c r="D2962" t="s">
        <v>98</v>
      </c>
      <c r="E2962">
        <v>29.99</v>
      </c>
      <c r="F2962">
        <v>0</v>
      </c>
      <c r="H2962" t="s">
        <v>8</v>
      </c>
      <c r="I2962">
        <v>0</v>
      </c>
      <c r="J2962">
        <v>0</v>
      </c>
      <c r="K2962">
        <v>0</v>
      </c>
    </row>
    <row r="2963" spans="1:11" x14ac:dyDescent="0.2">
      <c r="A2963" t="s">
        <v>4012</v>
      </c>
      <c r="B2963" t="s">
        <v>4013</v>
      </c>
      <c r="C2963" t="s">
        <v>3929</v>
      </c>
      <c r="D2963" t="s">
        <v>98</v>
      </c>
      <c r="E2963">
        <v>79.989999999999995</v>
      </c>
      <c r="F2963">
        <v>0</v>
      </c>
      <c r="H2963" t="s">
        <v>8</v>
      </c>
      <c r="I2963">
        <v>0</v>
      </c>
      <c r="J2963">
        <v>0</v>
      </c>
      <c r="K2963">
        <v>0</v>
      </c>
    </row>
    <row r="2964" spans="1:11" x14ac:dyDescent="0.2">
      <c r="A2964" t="s">
        <v>5634</v>
      </c>
      <c r="B2964" t="s">
        <v>5635</v>
      </c>
      <c r="C2964" t="s">
        <v>3182</v>
      </c>
      <c r="D2964" t="s">
        <v>98</v>
      </c>
      <c r="E2964">
        <v>259.99</v>
      </c>
      <c r="F2964">
        <v>0</v>
      </c>
      <c r="H2964" t="s">
        <v>8</v>
      </c>
      <c r="I2964">
        <v>0</v>
      </c>
      <c r="J2964">
        <v>0</v>
      </c>
      <c r="K2964">
        <v>0</v>
      </c>
    </row>
    <row r="2965" spans="1:11" x14ac:dyDescent="0.2">
      <c r="A2965" t="s">
        <v>5716</v>
      </c>
      <c r="B2965" t="s">
        <v>5717</v>
      </c>
      <c r="C2965" t="s">
        <v>3182</v>
      </c>
      <c r="D2965" t="s">
        <v>98</v>
      </c>
      <c r="E2965">
        <v>119.99</v>
      </c>
      <c r="F2965">
        <v>0</v>
      </c>
      <c r="H2965" t="s">
        <v>8</v>
      </c>
      <c r="I2965">
        <v>0</v>
      </c>
      <c r="J2965">
        <v>0</v>
      </c>
      <c r="K2965">
        <v>0</v>
      </c>
    </row>
    <row r="2966" spans="1:11" x14ac:dyDescent="0.2">
      <c r="A2966" t="s">
        <v>5081</v>
      </c>
      <c r="B2966" t="s">
        <v>5082</v>
      </c>
      <c r="C2966" t="s">
        <v>3929</v>
      </c>
      <c r="D2966" t="s">
        <v>138</v>
      </c>
      <c r="E2966">
        <v>59.99</v>
      </c>
      <c r="F2966">
        <v>0</v>
      </c>
      <c r="H2966" t="s">
        <v>8</v>
      </c>
      <c r="I2966">
        <v>0</v>
      </c>
      <c r="J2966">
        <v>0</v>
      </c>
      <c r="K2966">
        <v>2</v>
      </c>
    </row>
    <row r="2967" spans="1:11" x14ac:dyDescent="0.2">
      <c r="A2967" t="s">
        <v>3180</v>
      </c>
      <c r="B2967" t="s">
        <v>3181</v>
      </c>
      <c r="C2967" t="s">
        <v>3133</v>
      </c>
      <c r="D2967" t="s">
        <v>98</v>
      </c>
      <c r="E2967">
        <v>131.99</v>
      </c>
      <c r="F2967">
        <v>0</v>
      </c>
      <c r="H2967" t="s">
        <v>8</v>
      </c>
      <c r="I2967">
        <v>0</v>
      </c>
      <c r="J2967">
        <v>0</v>
      </c>
      <c r="K2967">
        <v>0</v>
      </c>
    </row>
    <row r="2968" spans="1:11" x14ac:dyDescent="0.2">
      <c r="A2968" t="s">
        <v>3178</v>
      </c>
      <c r="B2968" t="s">
        <v>3179</v>
      </c>
      <c r="C2968" t="s">
        <v>3133</v>
      </c>
      <c r="D2968" t="s">
        <v>98</v>
      </c>
      <c r="E2968">
        <v>229.99</v>
      </c>
      <c r="F2968">
        <v>0</v>
      </c>
      <c r="H2968" t="s">
        <v>8</v>
      </c>
      <c r="I2968">
        <v>0</v>
      </c>
      <c r="J2968">
        <v>0</v>
      </c>
      <c r="K2968">
        <v>0</v>
      </c>
    </row>
    <row r="2969" spans="1:11" x14ac:dyDescent="0.2">
      <c r="A2969" t="s">
        <v>3176</v>
      </c>
      <c r="B2969" t="s">
        <v>3177</v>
      </c>
      <c r="C2969" t="s">
        <v>3133</v>
      </c>
      <c r="D2969" t="s">
        <v>98</v>
      </c>
      <c r="E2969">
        <v>99.99</v>
      </c>
      <c r="F2969">
        <v>0</v>
      </c>
      <c r="H2969" t="s">
        <v>8</v>
      </c>
      <c r="I2969">
        <v>0</v>
      </c>
      <c r="J2969">
        <v>0</v>
      </c>
      <c r="K2969">
        <v>0</v>
      </c>
    </row>
    <row r="2970" spans="1:11" x14ac:dyDescent="0.2">
      <c r="A2970" t="s">
        <v>4038</v>
      </c>
      <c r="B2970" t="s">
        <v>4039</v>
      </c>
      <c r="C2970" t="s">
        <v>3929</v>
      </c>
      <c r="D2970" t="s">
        <v>98</v>
      </c>
      <c r="E2970">
        <v>219.99</v>
      </c>
      <c r="F2970">
        <v>0</v>
      </c>
      <c r="H2970" t="s">
        <v>8</v>
      </c>
      <c r="I2970">
        <v>0</v>
      </c>
      <c r="J2970">
        <v>0</v>
      </c>
      <c r="K2970">
        <v>0</v>
      </c>
    </row>
    <row r="2971" spans="1:11" x14ac:dyDescent="0.2">
      <c r="A2971" t="s">
        <v>3174</v>
      </c>
      <c r="B2971" t="s">
        <v>3175</v>
      </c>
      <c r="C2971" t="s">
        <v>3133</v>
      </c>
      <c r="D2971" t="s">
        <v>98</v>
      </c>
      <c r="E2971">
        <v>329.99</v>
      </c>
      <c r="F2971">
        <v>0</v>
      </c>
      <c r="H2971" t="s">
        <v>8</v>
      </c>
      <c r="I2971">
        <v>0</v>
      </c>
      <c r="J2971">
        <v>0</v>
      </c>
      <c r="K2971">
        <v>0</v>
      </c>
    </row>
    <row r="2972" spans="1:11" x14ac:dyDescent="0.2">
      <c r="A2972" t="s">
        <v>5108</v>
      </c>
      <c r="B2972" t="s">
        <v>5109</v>
      </c>
      <c r="C2972" t="s">
        <v>3929</v>
      </c>
      <c r="D2972" t="s">
        <v>98</v>
      </c>
      <c r="E2972">
        <v>89.99</v>
      </c>
      <c r="F2972">
        <v>0</v>
      </c>
      <c r="H2972" t="s">
        <v>8</v>
      </c>
      <c r="I2972">
        <v>0</v>
      </c>
      <c r="J2972">
        <v>0</v>
      </c>
      <c r="K2972">
        <v>0</v>
      </c>
    </row>
    <row r="2973" spans="1:11" x14ac:dyDescent="0.2">
      <c r="A2973" t="s">
        <v>3172</v>
      </c>
      <c r="B2973" t="s">
        <v>3173</v>
      </c>
      <c r="C2973" t="s">
        <v>3133</v>
      </c>
      <c r="D2973" t="s">
        <v>98</v>
      </c>
      <c r="E2973">
        <v>139.99</v>
      </c>
      <c r="F2973">
        <v>0</v>
      </c>
      <c r="H2973" t="s">
        <v>8</v>
      </c>
      <c r="I2973">
        <v>0</v>
      </c>
      <c r="J2973">
        <v>0</v>
      </c>
      <c r="K2973">
        <v>0</v>
      </c>
    </row>
    <row r="2974" spans="1:11" x14ac:dyDescent="0.2">
      <c r="A2974" t="s">
        <v>5106</v>
      </c>
      <c r="B2974" t="s">
        <v>5107</v>
      </c>
      <c r="C2974" t="s">
        <v>3929</v>
      </c>
      <c r="D2974" t="s">
        <v>138</v>
      </c>
      <c r="E2974">
        <v>89.99</v>
      </c>
      <c r="F2974">
        <v>0</v>
      </c>
      <c r="G2974">
        <v>12</v>
      </c>
      <c r="H2974" t="s">
        <v>8</v>
      </c>
      <c r="I2974">
        <v>0</v>
      </c>
      <c r="J2974">
        <v>0</v>
      </c>
      <c r="K2974">
        <v>0</v>
      </c>
    </row>
    <row r="2975" spans="1:11" x14ac:dyDescent="0.2">
      <c r="A2975" t="s">
        <v>3170</v>
      </c>
      <c r="B2975" t="s">
        <v>3171</v>
      </c>
      <c r="C2975" t="s">
        <v>3133</v>
      </c>
      <c r="D2975" t="s">
        <v>98</v>
      </c>
      <c r="E2975">
        <v>179.99</v>
      </c>
      <c r="F2975">
        <v>0</v>
      </c>
      <c r="H2975" t="s">
        <v>8</v>
      </c>
      <c r="I2975">
        <v>0</v>
      </c>
      <c r="J2975">
        <v>0</v>
      </c>
      <c r="K2975">
        <v>0</v>
      </c>
    </row>
    <row r="2976" spans="1:11" x14ac:dyDescent="0.2">
      <c r="A2976" t="s">
        <v>4040</v>
      </c>
      <c r="B2976" t="s">
        <v>4041</v>
      </c>
      <c r="C2976" t="s">
        <v>3929</v>
      </c>
      <c r="D2976" t="s">
        <v>105</v>
      </c>
      <c r="E2976">
        <v>89.99</v>
      </c>
      <c r="F2976">
        <v>0</v>
      </c>
      <c r="G2976">
        <v>28</v>
      </c>
      <c r="H2976" t="s">
        <v>8</v>
      </c>
      <c r="I2976">
        <v>0</v>
      </c>
      <c r="J2976">
        <v>0</v>
      </c>
      <c r="K2976">
        <v>0</v>
      </c>
    </row>
    <row r="2977" spans="1:11" x14ac:dyDescent="0.2">
      <c r="A2977" t="s">
        <v>3168</v>
      </c>
      <c r="B2977" t="s">
        <v>3169</v>
      </c>
      <c r="C2977" t="s">
        <v>3133</v>
      </c>
      <c r="D2977" t="s">
        <v>98</v>
      </c>
      <c r="E2977">
        <v>74.989999999999995</v>
      </c>
      <c r="F2977">
        <v>0</v>
      </c>
      <c r="H2977" t="s">
        <v>8</v>
      </c>
      <c r="I2977">
        <v>0</v>
      </c>
      <c r="J2977">
        <v>0</v>
      </c>
      <c r="K2977">
        <v>0</v>
      </c>
    </row>
    <row r="2978" spans="1:11" x14ac:dyDescent="0.2">
      <c r="A2978" t="s">
        <v>5294</v>
      </c>
      <c r="B2978" t="s">
        <v>5295</v>
      </c>
      <c r="C2978" t="s">
        <v>3929</v>
      </c>
      <c r="D2978" t="s">
        <v>98</v>
      </c>
      <c r="E2978">
        <v>89.99</v>
      </c>
      <c r="F2978">
        <v>0</v>
      </c>
      <c r="H2978" t="s">
        <v>8</v>
      </c>
      <c r="I2978">
        <v>0</v>
      </c>
      <c r="J2978">
        <v>0</v>
      </c>
      <c r="K2978">
        <v>0</v>
      </c>
    </row>
    <row r="2979" spans="1:11" x14ac:dyDescent="0.2">
      <c r="A2979" t="s">
        <v>3166</v>
      </c>
      <c r="B2979" t="s">
        <v>3167</v>
      </c>
      <c r="C2979" t="s">
        <v>3133</v>
      </c>
      <c r="D2979" t="s">
        <v>98</v>
      </c>
      <c r="E2979">
        <v>239.99</v>
      </c>
      <c r="F2979">
        <v>0</v>
      </c>
      <c r="H2979" t="s">
        <v>8</v>
      </c>
      <c r="I2979">
        <v>0</v>
      </c>
      <c r="J2979">
        <v>0</v>
      </c>
      <c r="K2979">
        <v>0</v>
      </c>
    </row>
    <row r="2980" spans="1:11" x14ac:dyDescent="0.2">
      <c r="A2980" t="s">
        <v>5718</v>
      </c>
      <c r="B2980" t="s">
        <v>5719</v>
      </c>
      <c r="C2980" t="s">
        <v>3929</v>
      </c>
      <c r="D2980" t="s">
        <v>98</v>
      </c>
      <c r="E2980">
        <v>79.989999999999995</v>
      </c>
      <c r="F2980">
        <v>0</v>
      </c>
      <c r="H2980" t="s">
        <v>8</v>
      </c>
      <c r="I2980">
        <v>0</v>
      </c>
      <c r="J2980">
        <v>0</v>
      </c>
      <c r="K2980">
        <v>0</v>
      </c>
    </row>
    <row r="2981" spans="1:11" x14ac:dyDescent="0.2">
      <c r="A2981" t="s">
        <v>4042</v>
      </c>
      <c r="B2981" t="s">
        <v>4043</v>
      </c>
      <c r="C2981" t="s">
        <v>3929</v>
      </c>
      <c r="D2981" t="s">
        <v>105</v>
      </c>
      <c r="E2981">
        <v>109.99</v>
      </c>
      <c r="F2981">
        <v>0</v>
      </c>
      <c r="H2981" t="s">
        <v>8</v>
      </c>
      <c r="I2981">
        <v>0</v>
      </c>
      <c r="J2981">
        <v>0</v>
      </c>
      <c r="K2981">
        <v>0</v>
      </c>
    </row>
    <row r="2982" spans="1:11" x14ac:dyDescent="0.2">
      <c r="A2982" t="s">
        <v>3164</v>
      </c>
      <c r="B2982" t="s">
        <v>3165</v>
      </c>
      <c r="C2982" t="s">
        <v>3133</v>
      </c>
      <c r="D2982" t="s">
        <v>98</v>
      </c>
      <c r="E2982">
        <v>99.99</v>
      </c>
      <c r="F2982">
        <v>0</v>
      </c>
      <c r="H2982" t="s">
        <v>8</v>
      </c>
      <c r="I2982">
        <v>0</v>
      </c>
      <c r="J2982">
        <v>0</v>
      </c>
      <c r="K2982">
        <v>0</v>
      </c>
    </row>
    <row r="2983" spans="1:11" x14ac:dyDescent="0.2">
      <c r="A2983" t="s">
        <v>3162</v>
      </c>
      <c r="B2983" t="s">
        <v>3163</v>
      </c>
      <c r="C2983" t="s">
        <v>3133</v>
      </c>
      <c r="D2983" t="s">
        <v>98</v>
      </c>
      <c r="E2983">
        <v>119.99</v>
      </c>
      <c r="F2983">
        <v>0</v>
      </c>
      <c r="H2983" t="s">
        <v>8</v>
      </c>
      <c r="I2983">
        <v>0</v>
      </c>
      <c r="J2983">
        <v>0</v>
      </c>
      <c r="K2983">
        <v>0</v>
      </c>
    </row>
    <row r="2984" spans="1:11" x14ac:dyDescent="0.2">
      <c r="A2984" t="s">
        <v>4044</v>
      </c>
      <c r="B2984" t="s">
        <v>4045</v>
      </c>
      <c r="C2984" t="s">
        <v>3929</v>
      </c>
      <c r="D2984" t="s">
        <v>105</v>
      </c>
      <c r="E2984">
        <v>129.99</v>
      </c>
      <c r="F2984">
        <v>0</v>
      </c>
      <c r="H2984" t="s">
        <v>8</v>
      </c>
      <c r="I2984">
        <v>0</v>
      </c>
      <c r="J2984">
        <v>0</v>
      </c>
      <c r="K2984">
        <v>0</v>
      </c>
    </row>
    <row r="2985" spans="1:11" x14ac:dyDescent="0.2">
      <c r="A2985" t="s">
        <v>3160</v>
      </c>
      <c r="B2985" t="s">
        <v>3161</v>
      </c>
      <c r="C2985" t="s">
        <v>3133</v>
      </c>
      <c r="D2985" t="s">
        <v>98</v>
      </c>
      <c r="E2985">
        <v>217.99</v>
      </c>
      <c r="F2985">
        <v>0</v>
      </c>
      <c r="H2985" t="s">
        <v>8</v>
      </c>
      <c r="I2985">
        <v>0</v>
      </c>
      <c r="J2985">
        <v>0</v>
      </c>
      <c r="K2985">
        <v>0</v>
      </c>
    </row>
    <row r="2986" spans="1:11" x14ac:dyDescent="0.2">
      <c r="A2986" t="s">
        <v>5290</v>
      </c>
      <c r="B2986" t="s">
        <v>5291</v>
      </c>
      <c r="C2986" t="s">
        <v>3929</v>
      </c>
      <c r="D2986" t="s">
        <v>98</v>
      </c>
      <c r="E2986">
        <v>89.99</v>
      </c>
      <c r="F2986">
        <v>0</v>
      </c>
      <c r="H2986" t="s">
        <v>8</v>
      </c>
      <c r="I2986">
        <v>0</v>
      </c>
      <c r="J2986">
        <v>0</v>
      </c>
      <c r="K2986">
        <v>0</v>
      </c>
    </row>
    <row r="2987" spans="1:11" x14ac:dyDescent="0.2">
      <c r="A2987" t="s">
        <v>4046</v>
      </c>
      <c r="B2987" t="s">
        <v>4047</v>
      </c>
      <c r="C2987" t="s">
        <v>3929</v>
      </c>
      <c r="D2987" t="s">
        <v>105</v>
      </c>
      <c r="E2987">
        <v>89.99</v>
      </c>
      <c r="F2987">
        <v>0</v>
      </c>
      <c r="G2987">
        <v>16</v>
      </c>
      <c r="H2987" t="s">
        <v>8</v>
      </c>
      <c r="I2987">
        <v>0</v>
      </c>
      <c r="J2987">
        <v>0</v>
      </c>
      <c r="K2987">
        <v>0</v>
      </c>
    </row>
    <row r="2988" spans="1:11" x14ac:dyDescent="0.2">
      <c r="A2988" t="s">
        <v>3329</v>
      </c>
      <c r="B2988" t="s">
        <v>3330</v>
      </c>
      <c r="C2988" t="s">
        <v>3291</v>
      </c>
      <c r="D2988" t="s">
        <v>98</v>
      </c>
      <c r="E2988">
        <v>74.989999999999995</v>
      </c>
      <c r="F2988">
        <v>0</v>
      </c>
      <c r="H2988" t="s">
        <v>8</v>
      </c>
      <c r="I2988">
        <v>0</v>
      </c>
      <c r="J2988">
        <v>0</v>
      </c>
      <c r="K2988">
        <v>0</v>
      </c>
    </row>
    <row r="2989" spans="1:11" x14ac:dyDescent="0.2">
      <c r="A2989" t="s">
        <v>3331</v>
      </c>
      <c r="B2989" t="s">
        <v>3332</v>
      </c>
      <c r="C2989" t="s">
        <v>3291</v>
      </c>
      <c r="D2989" t="s">
        <v>98</v>
      </c>
      <c r="E2989">
        <v>74.989999999999995</v>
      </c>
      <c r="F2989">
        <v>0</v>
      </c>
      <c r="H2989" t="s">
        <v>8</v>
      </c>
      <c r="I2989">
        <v>0</v>
      </c>
      <c r="J2989">
        <v>0</v>
      </c>
      <c r="K2989">
        <v>0</v>
      </c>
    </row>
    <row r="2990" spans="1:11" x14ac:dyDescent="0.2">
      <c r="A2990" t="s">
        <v>3978</v>
      </c>
      <c r="B2990" t="s">
        <v>3979</v>
      </c>
      <c r="C2990" t="s">
        <v>3929</v>
      </c>
      <c r="D2990" t="s">
        <v>105</v>
      </c>
      <c r="E2990">
        <v>24.99</v>
      </c>
      <c r="F2990">
        <v>0</v>
      </c>
      <c r="G2990">
        <v>41</v>
      </c>
      <c r="H2990" t="s">
        <v>8</v>
      </c>
      <c r="I2990">
        <v>0</v>
      </c>
      <c r="J2990">
        <v>0</v>
      </c>
      <c r="K2990">
        <v>0</v>
      </c>
    </row>
    <row r="2991" spans="1:11" x14ac:dyDescent="0.2">
      <c r="A2991" t="s">
        <v>5399</v>
      </c>
      <c r="B2991" t="s">
        <v>5400</v>
      </c>
      <c r="C2991" t="s">
        <v>3582</v>
      </c>
      <c r="D2991" t="s">
        <v>98</v>
      </c>
      <c r="E2991">
        <v>3999.99</v>
      </c>
      <c r="F2991">
        <v>0</v>
      </c>
      <c r="H2991" t="s">
        <v>8</v>
      </c>
      <c r="I2991">
        <v>0</v>
      </c>
      <c r="J2991">
        <v>0</v>
      </c>
      <c r="K2991">
        <v>0</v>
      </c>
    </row>
    <row r="2992" spans="1:11" x14ac:dyDescent="0.2">
      <c r="A2992" t="s">
        <v>3587</v>
      </c>
      <c r="B2992" t="s">
        <v>3588</v>
      </c>
      <c r="C2992" t="s">
        <v>3582</v>
      </c>
      <c r="D2992" t="s">
        <v>98</v>
      </c>
      <c r="E2992">
        <v>179.99</v>
      </c>
      <c r="F2992">
        <v>0</v>
      </c>
      <c r="H2992" t="s">
        <v>8</v>
      </c>
      <c r="I2992">
        <v>0</v>
      </c>
      <c r="J2992">
        <v>0</v>
      </c>
      <c r="K2992">
        <v>0</v>
      </c>
    </row>
    <row r="2993" spans="1:11" x14ac:dyDescent="0.2">
      <c r="A2993" t="s">
        <v>3495</v>
      </c>
      <c r="B2993" t="s">
        <v>3496</v>
      </c>
      <c r="C2993" t="s">
        <v>3494</v>
      </c>
      <c r="D2993" t="s">
        <v>138</v>
      </c>
      <c r="E2993">
        <v>169.99</v>
      </c>
      <c r="F2993">
        <v>0</v>
      </c>
      <c r="H2993" t="s">
        <v>8</v>
      </c>
      <c r="I2993">
        <v>0</v>
      </c>
      <c r="J2993">
        <v>0</v>
      </c>
      <c r="K2993">
        <v>0</v>
      </c>
    </row>
    <row r="2994" spans="1:11" x14ac:dyDescent="0.2">
      <c r="A2994" t="s">
        <v>5413</v>
      </c>
      <c r="B2994" t="s">
        <v>5414</v>
      </c>
      <c r="C2994" t="s">
        <v>3582</v>
      </c>
      <c r="D2994" t="s">
        <v>98</v>
      </c>
      <c r="E2994">
        <v>69.989999999999995</v>
      </c>
      <c r="F2994">
        <v>0</v>
      </c>
      <c r="H2994" t="s">
        <v>8</v>
      </c>
      <c r="I2994">
        <v>0</v>
      </c>
      <c r="J2994">
        <v>0</v>
      </c>
      <c r="K2994">
        <v>0</v>
      </c>
    </row>
    <row r="2995" spans="1:11" x14ac:dyDescent="0.2">
      <c r="A2995" t="s">
        <v>3488</v>
      </c>
      <c r="B2995" t="s">
        <v>3489</v>
      </c>
      <c r="C2995" t="s">
        <v>3349</v>
      </c>
      <c r="D2995" t="s">
        <v>105</v>
      </c>
      <c r="E2995">
        <v>369.99</v>
      </c>
      <c r="F2995">
        <v>0</v>
      </c>
      <c r="H2995" t="s">
        <v>8</v>
      </c>
      <c r="I2995">
        <v>0</v>
      </c>
      <c r="J2995">
        <v>0</v>
      </c>
      <c r="K2995">
        <v>35</v>
      </c>
    </row>
    <row r="2996" spans="1:11" x14ac:dyDescent="0.2">
      <c r="A2996" t="s">
        <v>3589</v>
      </c>
      <c r="B2996" t="s">
        <v>3590</v>
      </c>
      <c r="C2996" t="s">
        <v>3582</v>
      </c>
      <c r="D2996" t="s">
        <v>98</v>
      </c>
      <c r="E2996">
        <v>179.99</v>
      </c>
      <c r="F2996">
        <v>0</v>
      </c>
      <c r="H2996" t="s">
        <v>8</v>
      </c>
      <c r="I2996">
        <v>0</v>
      </c>
      <c r="J2996">
        <v>0</v>
      </c>
      <c r="K2996">
        <v>0</v>
      </c>
    </row>
    <row r="2997" spans="1:11" x14ac:dyDescent="0.2">
      <c r="A2997" t="s">
        <v>3486</v>
      </c>
      <c r="B2997" t="s">
        <v>3487</v>
      </c>
      <c r="C2997" t="s">
        <v>3349</v>
      </c>
      <c r="D2997" t="s">
        <v>105</v>
      </c>
      <c r="E2997">
        <v>199.99</v>
      </c>
      <c r="F2997">
        <v>0</v>
      </c>
      <c r="G2997">
        <v>31</v>
      </c>
      <c r="H2997" t="s">
        <v>8</v>
      </c>
      <c r="I2997">
        <v>0.16666666666666666</v>
      </c>
      <c r="J2997">
        <v>84</v>
      </c>
      <c r="K2997">
        <v>14</v>
      </c>
    </row>
    <row r="2998" spans="1:11" x14ac:dyDescent="0.2">
      <c r="A2998" t="s">
        <v>5382</v>
      </c>
      <c r="B2998" t="s">
        <v>5383</v>
      </c>
      <c r="C2998" t="s">
        <v>3582</v>
      </c>
      <c r="D2998" t="s">
        <v>98</v>
      </c>
      <c r="E2998">
        <v>99.99</v>
      </c>
      <c r="F2998">
        <v>0</v>
      </c>
      <c r="H2998" t="s">
        <v>8</v>
      </c>
      <c r="I2998">
        <v>0</v>
      </c>
      <c r="J2998">
        <v>0</v>
      </c>
      <c r="K2998">
        <v>0</v>
      </c>
    </row>
    <row r="2999" spans="1:11" x14ac:dyDescent="0.2">
      <c r="A2999" t="s">
        <v>3484</v>
      </c>
      <c r="B2999" t="s">
        <v>3485</v>
      </c>
      <c r="C2999" t="s">
        <v>3349</v>
      </c>
      <c r="D2999" t="s">
        <v>98</v>
      </c>
      <c r="E2999">
        <v>529.99</v>
      </c>
      <c r="F2999">
        <v>0</v>
      </c>
      <c r="H2999" t="s">
        <v>8</v>
      </c>
      <c r="I2999">
        <v>0</v>
      </c>
      <c r="J2999">
        <v>0</v>
      </c>
      <c r="K2999">
        <v>0</v>
      </c>
    </row>
    <row r="3000" spans="1:11" x14ac:dyDescent="0.2">
      <c r="A3000" t="s">
        <v>5384</v>
      </c>
      <c r="B3000" t="s">
        <v>5385</v>
      </c>
      <c r="C3000" t="s">
        <v>3582</v>
      </c>
      <c r="D3000" t="s">
        <v>98</v>
      </c>
      <c r="E3000">
        <v>99.99</v>
      </c>
      <c r="F3000">
        <v>0</v>
      </c>
      <c r="H3000" t="s">
        <v>8</v>
      </c>
      <c r="I3000">
        <v>0</v>
      </c>
      <c r="J3000">
        <v>0</v>
      </c>
      <c r="K3000">
        <v>1</v>
      </c>
    </row>
    <row r="3001" spans="1:11" x14ac:dyDescent="0.2">
      <c r="A3001" t="s">
        <v>5393</v>
      </c>
      <c r="B3001" t="s">
        <v>5394</v>
      </c>
      <c r="C3001" t="s">
        <v>3582</v>
      </c>
      <c r="D3001" t="s">
        <v>98</v>
      </c>
      <c r="E3001">
        <v>109.99</v>
      </c>
      <c r="F3001">
        <v>0</v>
      </c>
      <c r="H3001" t="s">
        <v>8</v>
      </c>
      <c r="I3001">
        <v>0</v>
      </c>
      <c r="J3001">
        <v>0</v>
      </c>
      <c r="K3001">
        <v>0</v>
      </c>
    </row>
    <row r="3002" spans="1:11" x14ac:dyDescent="0.2">
      <c r="A3002" t="s">
        <v>3478</v>
      </c>
      <c r="B3002" t="s">
        <v>3479</v>
      </c>
      <c r="C3002" t="s">
        <v>3349</v>
      </c>
      <c r="D3002" t="s">
        <v>105</v>
      </c>
      <c r="E3002">
        <v>189.99</v>
      </c>
      <c r="F3002">
        <v>0</v>
      </c>
      <c r="G3002">
        <v>83</v>
      </c>
      <c r="H3002" t="s">
        <v>8</v>
      </c>
      <c r="I3002">
        <v>0</v>
      </c>
      <c r="J3002">
        <v>0</v>
      </c>
      <c r="K3002">
        <v>0</v>
      </c>
    </row>
    <row r="3003" spans="1:11" x14ac:dyDescent="0.2">
      <c r="A3003" t="s">
        <v>5419</v>
      </c>
      <c r="B3003" t="s">
        <v>5420</v>
      </c>
      <c r="C3003" t="s">
        <v>3582</v>
      </c>
      <c r="D3003" t="s">
        <v>98</v>
      </c>
      <c r="E3003">
        <v>99.99</v>
      </c>
      <c r="F3003">
        <v>0</v>
      </c>
      <c r="H3003" t="s">
        <v>8</v>
      </c>
      <c r="I3003">
        <v>0</v>
      </c>
      <c r="J3003">
        <v>0</v>
      </c>
      <c r="K3003">
        <v>0</v>
      </c>
    </row>
    <row r="3004" spans="1:11" x14ac:dyDescent="0.2">
      <c r="A3004" t="s">
        <v>5441</v>
      </c>
      <c r="B3004" t="s">
        <v>5442</v>
      </c>
      <c r="C3004" t="s">
        <v>3582</v>
      </c>
      <c r="D3004" t="s">
        <v>98</v>
      </c>
      <c r="E3004">
        <v>99.99</v>
      </c>
      <c r="F3004">
        <v>0</v>
      </c>
      <c r="H3004" t="s">
        <v>8</v>
      </c>
      <c r="I3004">
        <v>0</v>
      </c>
      <c r="J3004">
        <v>0</v>
      </c>
      <c r="K3004">
        <v>0</v>
      </c>
    </row>
    <row r="3005" spans="1:11" x14ac:dyDescent="0.2">
      <c r="A3005" t="s">
        <v>5447</v>
      </c>
      <c r="B3005" t="s">
        <v>5448</v>
      </c>
      <c r="C3005" t="s">
        <v>3582</v>
      </c>
      <c r="D3005" t="s">
        <v>98</v>
      </c>
      <c r="E3005">
        <v>0</v>
      </c>
      <c r="F3005">
        <v>0</v>
      </c>
      <c r="H3005" t="s">
        <v>8</v>
      </c>
      <c r="I3005">
        <v>0</v>
      </c>
      <c r="J3005">
        <v>0</v>
      </c>
      <c r="K3005">
        <v>0</v>
      </c>
    </row>
    <row r="3006" spans="1:11" x14ac:dyDescent="0.2">
      <c r="A3006" t="s">
        <v>3472</v>
      </c>
      <c r="B3006" t="s">
        <v>3473</v>
      </c>
      <c r="C3006" t="s">
        <v>3349</v>
      </c>
      <c r="D3006" t="s">
        <v>105</v>
      </c>
      <c r="E3006">
        <v>19.989999999999998</v>
      </c>
      <c r="F3006">
        <v>0</v>
      </c>
      <c r="G3006">
        <v>22</v>
      </c>
      <c r="H3006" t="s">
        <v>8</v>
      </c>
      <c r="I3006">
        <v>0</v>
      </c>
      <c r="J3006">
        <v>0</v>
      </c>
      <c r="K3006">
        <v>0</v>
      </c>
    </row>
    <row r="3007" spans="1:11" x14ac:dyDescent="0.2">
      <c r="A3007" t="s">
        <v>3591</v>
      </c>
      <c r="B3007" t="s">
        <v>3592</v>
      </c>
      <c r="C3007" t="s">
        <v>3582</v>
      </c>
      <c r="D3007" t="s">
        <v>98</v>
      </c>
      <c r="E3007">
        <v>109.99</v>
      </c>
      <c r="F3007">
        <v>0</v>
      </c>
      <c r="H3007" t="s">
        <v>8</v>
      </c>
      <c r="I3007">
        <v>0</v>
      </c>
      <c r="J3007">
        <v>0</v>
      </c>
      <c r="K3007">
        <v>0</v>
      </c>
    </row>
    <row r="3008" spans="1:11" x14ac:dyDescent="0.2">
      <c r="A3008" t="s">
        <v>3470</v>
      </c>
      <c r="B3008" t="s">
        <v>3471</v>
      </c>
      <c r="C3008" t="s">
        <v>3349</v>
      </c>
      <c r="D3008" t="s">
        <v>105</v>
      </c>
      <c r="E3008">
        <v>19.989999999999998</v>
      </c>
      <c r="F3008">
        <v>0</v>
      </c>
      <c r="G3008">
        <v>33</v>
      </c>
      <c r="H3008" t="s">
        <v>8</v>
      </c>
      <c r="I3008">
        <v>0</v>
      </c>
      <c r="J3008">
        <v>0</v>
      </c>
      <c r="K3008">
        <v>0</v>
      </c>
    </row>
    <row r="3009" spans="1:11" x14ac:dyDescent="0.2">
      <c r="A3009" t="s">
        <v>3593</v>
      </c>
      <c r="B3009" t="s">
        <v>3594</v>
      </c>
      <c r="C3009" t="s">
        <v>3582</v>
      </c>
      <c r="D3009" t="s">
        <v>98</v>
      </c>
      <c r="E3009">
        <v>79.989999999999995</v>
      </c>
      <c r="F3009">
        <v>0</v>
      </c>
      <c r="H3009" t="s">
        <v>8</v>
      </c>
      <c r="I3009">
        <v>0</v>
      </c>
      <c r="J3009">
        <v>0</v>
      </c>
      <c r="K3009">
        <v>0</v>
      </c>
    </row>
    <row r="3010" spans="1:11" x14ac:dyDescent="0.2">
      <c r="A3010" t="s">
        <v>5425</v>
      </c>
      <c r="B3010" t="s">
        <v>5426</v>
      </c>
      <c r="C3010" t="s">
        <v>3582</v>
      </c>
      <c r="D3010" t="s">
        <v>98</v>
      </c>
      <c r="E3010">
        <v>59.99</v>
      </c>
      <c r="F3010">
        <v>0</v>
      </c>
      <c r="H3010" t="s">
        <v>8</v>
      </c>
      <c r="I3010">
        <v>0</v>
      </c>
      <c r="J3010">
        <v>0</v>
      </c>
      <c r="K3010">
        <v>0</v>
      </c>
    </row>
    <row r="3011" spans="1:11" x14ac:dyDescent="0.2">
      <c r="A3011" t="s">
        <v>3468</v>
      </c>
      <c r="B3011" t="s">
        <v>3469</v>
      </c>
      <c r="C3011" t="s">
        <v>3349</v>
      </c>
      <c r="D3011" t="s">
        <v>98</v>
      </c>
      <c r="E3011">
        <v>529.99</v>
      </c>
      <c r="F3011">
        <v>0</v>
      </c>
      <c r="H3011" t="s">
        <v>8</v>
      </c>
      <c r="I3011">
        <v>0</v>
      </c>
      <c r="J3011">
        <v>0</v>
      </c>
      <c r="K3011">
        <v>0</v>
      </c>
    </row>
    <row r="3012" spans="1:11" x14ac:dyDescent="0.2">
      <c r="A3012" t="s">
        <v>3466</v>
      </c>
      <c r="B3012" t="s">
        <v>3467</v>
      </c>
      <c r="C3012" t="s">
        <v>3349</v>
      </c>
      <c r="D3012" t="s">
        <v>105</v>
      </c>
      <c r="E3012">
        <v>369.99</v>
      </c>
      <c r="F3012">
        <v>0</v>
      </c>
      <c r="H3012" t="s">
        <v>8</v>
      </c>
      <c r="I3012">
        <v>0.16666666666666666</v>
      </c>
      <c r="J3012">
        <v>108</v>
      </c>
      <c r="K3012">
        <v>18</v>
      </c>
    </row>
    <row r="3013" spans="1:11" x14ac:dyDescent="0.2">
      <c r="A3013" t="s">
        <v>5431</v>
      </c>
      <c r="B3013" t="s">
        <v>5432</v>
      </c>
      <c r="C3013" t="s">
        <v>3582</v>
      </c>
      <c r="D3013" t="s">
        <v>98</v>
      </c>
      <c r="E3013">
        <v>39.99</v>
      </c>
      <c r="F3013">
        <v>0</v>
      </c>
      <c r="H3013" t="s">
        <v>8</v>
      </c>
      <c r="I3013">
        <v>0</v>
      </c>
      <c r="J3013">
        <v>0</v>
      </c>
      <c r="K3013">
        <v>0</v>
      </c>
    </row>
    <row r="3014" spans="1:11" x14ac:dyDescent="0.2">
      <c r="A3014" t="s">
        <v>3497</v>
      </c>
      <c r="B3014" t="s">
        <v>3498</v>
      </c>
      <c r="C3014" t="s">
        <v>3494</v>
      </c>
      <c r="D3014" t="s">
        <v>138</v>
      </c>
      <c r="E3014">
        <v>49.99</v>
      </c>
      <c r="F3014">
        <v>0</v>
      </c>
      <c r="H3014" t="s">
        <v>8</v>
      </c>
      <c r="I3014">
        <v>0</v>
      </c>
      <c r="J3014">
        <v>0</v>
      </c>
      <c r="K3014">
        <v>0</v>
      </c>
    </row>
    <row r="3015" spans="1:11" x14ac:dyDescent="0.2">
      <c r="A3015" t="s">
        <v>3464</v>
      </c>
      <c r="B3015" t="s">
        <v>3465</v>
      </c>
      <c r="C3015" t="s">
        <v>3349</v>
      </c>
      <c r="D3015" t="s">
        <v>105</v>
      </c>
      <c r="E3015">
        <v>229.99</v>
      </c>
      <c r="F3015">
        <v>0</v>
      </c>
      <c r="H3015" t="s">
        <v>8</v>
      </c>
      <c r="I3015">
        <v>0</v>
      </c>
      <c r="J3015">
        <v>0</v>
      </c>
      <c r="K3015">
        <v>1</v>
      </c>
    </row>
    <row r="3016" spans="1:11" x14ac:dyDescent="0.2">
      <c r="A3016" t="s">
        <v>5512</v>
      </c>
      <c r="B3016" t="s">
        <v>5513</v>
      </c>
      <c r="C3016" t="s">
        <v>3582</v>
      </c>
      <c r="D3016" t="s">
        <v>98</v>
      </c>
      <c r="E3016">
        <v>199.99</v>
      </c>
      <c r="F3016">
        <v>0</v>
      </c>
      <c r="H3016" t="s">
        <v>8</v>
      </c>
      <c r="I3016">
        <v>0</v>
      </c>
      <c r="J3016">
        <v>0</v>
      </c>
      <c r="K3016">
        <v>0</v>
      </c>
    </row>
    <row r="3017" spans="1:11" x14ac:dyDescent="0.2">
      <c r="A3017" t="s">
        <v>5505</v>
      </c>
      <c r="B3017" t="s">
        <v>5506</v>
      </c>
      <c r="C3017" t="s">
        <v>3582</v>
      </c>
      <c r="D3017" t="s">
        <v>98</v>
      </c>
      <c r="E3017">
        <v>799.99</v>
      </c>
      <c r="F3017">
        <v>0</v>
      </c>
      <c r="H3017" t="s">
        <v>8</v>
      </c>
      <c r="I3017">
        <v>0</v>
      </c>
      <c r="J3017">
        <v>0</v>
      </c>
      <c r="K3017">
        <v>0</v>
      </c>
    </row>
    <row r="3018" spans="1:11" x14ac:dyDescent="0.2">
      <c r="A3018" t="s">
        <v>5475</v>
      </c>
      <c r="B3018" t="s">
        <v>5476</v>
      </c>
      <c r="C3018" t="s">
        <v>3575</v>
      </c>
      <c r="D3018" t="s">
        <v>98</v>
      </c>
      <c r="E3018">
        <v>29.99</v>
      </c>
      <c r="F3018">
        <v>0</v>
      </c>
      <c r="H3018" t="s">
        <v>8</v>
      </c>
      <c r="I3018">
        <v>0</v>
      </c>
      <c r="J3018">
        <v>0</v>
      </c>
      <c r="K3018">
        <v>0</v>
      </c>
    </row>
    <row r="3019" spans="1:11" x14ac:dyDescent="0.2">
      <c r="A3019" t="s">
        <v>3578</v>
      </c>
      <c r="B3019" t="s">
        <v>3579</v>
      </c>
      <c r="C3019" t="s">
        <v>3575</v>
      </c>
      <c r="D3019" t="s">
        <v>138</v>
      </c>
      <c r="E3019">
        <v>19.989999999999998</v>
      </c>
      <c r="F3019">
        <v>0</v>
      </c>
      <c r="H3019" t="s">
        <v>8</v>
      </c>
      <c r="I3019">
        <v>0</v>
      </c>
      <c r="J3019">
        <v>0</v>
      </c>
      <c r="K3019">
        <v>0</v>
      </c>
    </row>
    <row r="3020" spans="1:11" x14ac:dyDescent="0.2">
      <c r="A3020" t="s">
        <v>5481</v>
      </c>
      <c r="B3020" t="s">
        <v>5482</v>
      </c>
      <c r="C3020" t="s">
        <v>3575</v>
      </c>
      <c r="D3020" t="s">
        <v>98</v>
      </c>
      <c r="E3020">
        <v>29.99</v>
      </c>
      <c r="F3020">
        <v>0</v>
      </c>
      <c r="H3020" t="s">
        <v>8</v>
      </c>
      <c r="I3020">
        <v>0</v>
      </c>
      <c r="J3020">
        <v>0</v>
      </c>
      <c r="K3020">
        <v>0</v>
      </c>
    </row>
    <row r="3021" spans="1:11" x14ac:dyDescent="0.2">
      <c r="A3021" t="s">
        <v>3576</v>
      </c>
      <c r="B3021" t="s">
        <v>3577</v>
      </c>
      <c r="C3021" t="s">
        <v>3575</v>
      </c>
      <c r="D3021" t="s">
        <v>138</v>
      </c>
      <c r="E3021">
        <v>59.99</v>
      </c>
      <c r="F3021">
        <v>0</v>
      </c>
      <c r="H3021" t="s">
        <v>8</v>
      </c>
      <c r="I3021">
        <v>0</v>
      </c>
      <c r="J3021">
        <v>0</v>
      </c>
      <c r="K3021">
        <v>0</v>
      </c>
    </row>
    <row r="3022" spans="1:11" x14ac:dyDescent="0.2">
      <c r="A3022" t="s">
        <v>5628</v>
      </c>
      <c r="B3022" t="s">
        <v>5629</v>
      </c>
      <c r="C3022" t="s">
        <v>3575</v>
      </c>
      <c r="D3022" t="s">
        <v>98</v>
      </c>
      <c r="E3022">
        <v>59.99</v>
      </c>
      <c r="F3022">
        <v>0</v>
      </c>
      <c r="H3022" t="s">
        <v>8</v>
      </c>
      <c r="I3022">
        <v>0</v>
      </c>
      <c r="J3022">
        <v>0</v>
      </c>
      <c r="K3022">
        <v>1</v>
      </c>
    </row>
    <row r="3023" spans="1:11" x14ac:dyDescent="0.2">
      <c r="A3023" t="s">
        <v>5467</v>
      </c>
      <c r="B3023" t="s">
        <v>5468</v>
      </c>
      <c r="C3023" t="s">
        <v>3575</v>
      </c>
      <c r="D3023" t="s">
        <v>98</v>
      </c>
      <c r="E3023">
        <v>34.99</v>
      </c>
      <c r="F3023">
        <v>0</v>
      </c>
      <c r="H3023" t="s">
        <v>8</v>
      </c>
      <c r="I3023">
        <v>0</v>
      </c>
      <c r="J3023">
        <v>0</v>
      </c>
      <c r="K3023">
        <v>0</v>
      </c>
    </row>
    <row r="3024" spans="1:11" x14ac:dyDescent="0.2">
      <c r="A3024" t="s">
        <v>5469</v>
      </c>
      <c r="B3024" t="s">
        <v>5470</v>
      </c>
      <c r="C3024" t="s">
        <v>3575</v>
      </c>
      <c r="D3024" t="s">
        <v>98</v>
      </c>
      <c r="E3024">
        <v>59.99</v>
      </c>
      <c r="F3024">
        <v>0</v>
      </c>
      <c r="H3024" t="s">
        <v>8</v>
      </c>
      <c r="I3024">
        <v>0</v>
      </c>
      <c r="J3024">
        <v>0</v>
      </c>
      <c r="K3024">
        <v>0</v>
      </c>
    </row>
    <row r="3025" spans="1:11" x14ac:dyDescent="0.2">
      <c r="A3025" t="s">
        <v>5455</v>
      </c>
      <c r="B3025" t="s">
        <v>5456</v>
      </c>
      <c r="C3025" t="s">
        <v>3575</v>
      </c>
      <c r="D3025" t="s">
        <v>98</v>
      </c>
      <c r="E3025">
        <v>49.99</v>
      </c>
      <c r="F3025">
        <v>0</v>
      </c>
      <c r="H3025" t="s">
        <v>8</v>
      </c>
      <c r="I3025">
        <v>0</v>
      </c>
      <c r="J3025">
        <v>0</v>
      </c>
      <c r="K3025">
        <v>0</v>
      </c>
    </row>
    <row r="3026" spans="1:11" x14ac:dyDescent="0.2">
      <c r="A3026" t="s">
        <v>5451</v>
      </c>
      <c r="B3026" t="s">
        <v>5452</v>
      </c>
      <c r="C3026" t="s">
        <v>3575</v>
      </c>
      <c r="D3026" t="s">
        <v>98</v>
      </c>
      <c r="E3026">
        <v>69.989999999999995</v>
      </c>
      <c r="F3026">
        <v>0</v>
      </c>
      <c r="H3026" t="s">
        <v>8</v>
      </c>
      <c r="I3026">
        <v>0</v>
      </c>
      <c r="J3026">
        <v>0</v>
      </c>
      <c r="K3026">
        <v>0</v>
      </c>
    </row>
    <row r="3027" spans="1:11" x14ac:dyDescent="0.2">
      <c r="A3027" t="s">
        <v>5457</v>
      </c>
      <c r="B3027" t="s">
        <v>5458</v>
      </c>
      <c r="C3027" t="s">
        <v>3575</v>
      </c>
      <c r="D3027" t="s">
        <v>98</v>
      </c>
      <c r="E3027">
        <v>49.99</v>
      </c>
      <c r="F3027">
        <v>0</v>
      </c>
      <c r="H3027" t="s">
        <v>8</v>
      </c>
      <c r="I3027">
        <v>0</v>
      </c>
      <c r="J3027">
        <v>0</v>
      </c>
      <c r="K3027">
        <v>0</v>
      </c>
    </row>
    <row r="3028" spans="1:11" x14ac:dyDescent="0.2">
      <c r="A3028" t="s">
        <v>3515</v>
      </c>
      <c r="B3028" t="s">
        <v>3516</v>
      </c>
      <c r="C3028" t="s">
        <v>3494</v>
      </c>
      <c r="D3028" t="s">
        <v>138</v>
      </c>
      <c r="E3028">
        <v>189.99</v>
      </c>
      <c r="F3028">
        <v>0</v>
      </c>
      <c r="H3028" t="s">
        <v>8</v>
      </c>
      <c r="I3028">
        <v>0</v>
      </c>
      <c r="J3028">
        <v>0</v>
      </c>
      <c r="K3028">
        <v>0</v>
      </c>
    </row>
    <row r="3029" spans="1:11" x14ac:dyDescent="0.2">
      <c r="A3029" t="s">
        <v>5465</v>
      </c>
      <c r="B3029" t="s">
        <v>5466</v>
      </c>
      <c r="C3029" t="s">
        <v>3575</v>
      </c>
      <c r="D3029" t="s">
        <v>98</v>
      </c>
      <c r="E3029">
        <v>39.99</v>
      </c>
      <c r="F3029">
        <v>0</v>
      </c>
      <c r="H3029" t="s">
        <v>8</v>
      </c>
      <c r="I3029">
        <v>0</v>
      </c>
      <c r="J3029">
        <v>0</v>
      </c>
      <c r="K3029">
        <v>0</v>
      </c>
    </row>
    <row r="3030" spans="1:11" x14ac:dyDescent="0.2">
      <c r="A3030" t="s">
        <v>5493</v>
      </c>
      <c r="B3030" t="s">
        <v>5494</v>
      </c>
      <c r="C3030" t="s">
        <v>3575</v>
      </c>
      <c r="D3030" t="s">
        <v>138</v>
      </c>
      <c r="E3030">
        <v>19.989999999999998</v>
      </c>
      <c r="F3030">
        <v>0</v>
      </c>
      <c r="H3030" t="s">
        <v>8</v>
      </c>
      <c r="I3030">
        <v>0</v>
      </c>
      <c r="J3030">
        <v>0</v>
      </c>
      <c r="K3030">
        <v>0</v>
      </c>
    </row>
    <row r="3031" spans="1:11" x14ac:dyDescent="0.2">
      <c r="A3031" t="s">
        <v>3513</v>
      </c>
      <c r="B3031" t="s">
        <v>3514</v>
      </c>
      <c r="C3031" t="s">
        <v>3494</v>
      </c>
      <c r="D3031" t="s">
        <v>138</v>
      </c>
      <c r="E3031">
        <v>479.99</v>
      </c>
      <c r="F3031">
        <v>0</v>
      </c>
      <c r="H3031" t="s">
        <v>8</v>
      </c>
      <c r="I3031">
        <v>0</v>
      </c>
      <c r="J3031">
        <v>0</v>
      </c>
      <c r="K3031">
        <v>0</v>
      </c>
    </row>
    <row r="3032" spans="1:11" x14ac:dyDescent="0.2">
      <c r="A3032" t="s">
        <v>3511</v>
      </c>
      <c r="B3032" t="s">
        <v>3512</v>
      </c>
      <c r="C3032" t="s">
        <v>3494</v>
      </c>
      <c r="D3032" t="s">
        <v>138</v>
      </c>
      <c r="E3032">
        <v>499.99</v>
      </c>
      <c r="F3032">
        <v>0</v>
      </c>
      <c r="H3032" t="s">
        <v>8</v>
      </c>
      <c r="I3032">
        <v>0</v>
      </c>
      <c r="J3032">
        <v>0</v>
      </c>
      <c r="K3032">
        <v>0</v>
      </c>
    </row>
    <row r="3033" spans="1:11" x14ac:dyDescent="0.2">
      <c r="A3033" t="s">
        <v>5526</v>
      </c>
      <c r="B3033" t="s">
        <v>5527</v>
      </c>
      <c r="C3033" t="s">
        <v>3575</v>
      </c>
      <c r="D3033" t="s">
        <v>98</v>
      </c>
      <c r="E3033">
        <v>34.99</v>
      </c>
      <c r="F3033">
        <v>0</v>
      </c>
      <c r="H3033" t="s">
        <v>8</v>
      </c>
      <c r="I3033">
        <v>0</v>
      </c>
      <c r="J3033">
        <v>0</v>
      </c>
      <c r="K3033">
        <v>0</v>
      </c>
    </row>
    <row r="3034" spans="1:11" x14ac:dyDescent="0.2">
      <c r="A3034" t="s">
        <v>5528</v>
      </c>
      <c r="B3034" t="s">
        <v>5529</v>
      </c>
      <c r="C3034" t="s">
        <v>3575</v>
      </c>
      <c r="D3034" t="s">
        <v>98</v>
      </c>
      <c r="E3034">
        <v>34.99</v>
      </c>
      <c r="F3034">
        <v>0</v>
      </c>
      <c r="H3034" t="s">
        <v>8</v>
      </c>
      <c r="I3034">
        <v>0</v>
      </c>
      <c r="J3034">
        <v>0</v>
      </c>
      <c r="K3034">
        <v>0</v>
      </c>
    </row>
    <row r="3035" spans="1:11" x14ac:dyDescent="0.2">
      <c r="A3035" t="s">
        <v>3509</v>
      </c>
      <c r="B3035" t="s">
        <v>3510</v>
      </c>
      <c r="C3035" t="s">
        <v>3494</v>
      </c>
      <c r="D3035" t="s">
        <v>138</v>
      </c>
      <c r="E3035">
        <v>149.99</v>
      </c>
      <c r="F3035">
        <v>0</v>
      </c>
      <c r="G3035">
        <v>1</v>
      </c>
      <c r="H3035" t="s">
        <v>8</v>
      </c>
      <c r="I3035">
        <v>0</v>
      </c>
      <c r="J3035">
        <v>0</v>
      </c>
      <c r="K3035">
        <v>0</v>
      </c>
    </row>
    <row r="3036" spans="1:11" x14ac:dyDescent="0.2">
      <c r="A3036" t="s">
        <v>5532</v>
      </c>
      <c r="B3036" t="s">
        <v>5533</v>
      </c>
      <c r="C3036" t="s">
        <v>3575</v>
      </c>
      <c r="D3036" t="s">
        <v>98</v>
      </c>
      <c r="E3036">
        <v>79.989999999999995</v>
      </c>
      <c r="F3036">
        <v>0</v>
      </c>
      <c r="H3036" t="s">
        <v>8</v>
      </c>
      <c r="I3036">
        <v>0</v>
      </c>
      <c r="J3036">
        <v>0</v>
      </c>
      <c r="K3036">
        <v>0</v>
      </c>
    </row>
    <row r="3037" spans="1:11" x14ac:dyDescent="0.2">
      <c r="A3037" t="s">
        <v>3507</v>
      </c>
      <c r="B3037" t="s">
        <v>3508</v>
      </c>
      <c r="C3037" t="s">
        <v>3494</v>
      </c>
      <c r="D3037" t="s">
        <v>138</v>
      </c>
      <c r="E3037">
        <v>359.99</v>
      </c>
      <c r="F3037">
        <v>0</v>
      </c>
      <c r="H3037" t="s">
        <v>8</v>
      </c>
      <c r="I3037">
        <v>0</v>
      </c>
      <c r="J3037">
        <v>0</v>
      </c>
      <c r="K3037">
        <v>0</v>
      </c>
    </row>
    <row r="3038" spans="1:11" x14ac:dyDescent="0.2">
      <c r="A3038" t="s">
        <v>3583</v>
      </c>
      <c r="B3038" t="s">
        <v>3584</v>
      </c>
      <c r="C3038" t="s">
        <v>3582</v>
      </c>
      <c r="D3038" t="s">
        <v>98</v>
      </c>
      <c r="E3038">
        <v>199.99</v>
      </c>
      <c r="F3038">
        <v>0</v>
      </c>
      <c r="H3038" t="s">
        <v>8</v>
      </c>
      <c r="I3038">
        <v>0</v>
      </c>
      <c r="J3038">
        <v>0</v>
      </c>
      <c r="K3038">
        <v>1</v>
      </c>
    </row>
    <row r="3039" spans="1:11" x14ac:dyDescent="0.2">
      <c r="A3039" t="s">
        <v>3585</v>
      </c>
      <c r="B3039" t="s">
        <v>3586</v>
      </c>
      <c r="C3039" t="s">
        <v>3582</v>
      </c>
      <c r="D3039" t="s">
        <v>98</v>
      </c>
      <c r="E3039">
        <v>149.99</v>
      </c>
      <c r="F3039">
        <v>0</v>
      </c>
      <c r="H3039" t="s">
        <v>8</v>
      </c>
      <c r="I3039">
        <v>0</v>
      </c>
      <c r="J3039">
        <v>0</v>
      </c>
      <c r="K3039">
        <v>0</v>
      </c>
    </row>
    <row r="3040" spans="1:11" x14ac:dyDescent="0.2">
      <c r="A3040" t="s">
        <v>3505</v>
      </c>
      <c r="B3040" t="s">
        <v>3506</v>
      </c>
      <c r="C3040" t="s">
        <v>3494</v>
      </c>
      <c r="D3040" t="s">
        <v>138</v>
      </c>
      <c r="E3040">
        <v>299.99</v>
      </c>
      <c r="F3040">
        <v>0</v>
      </c>
      <c r="H3040" t="s">
        <v>8</v>
      </c>
      <c r="I3040">
        <v>0</v>
      </c>
      <c r="J3040">
        <v>0</v>
      </c>
      <c r="K3040">
        <v>0</v>
      </c>
    </row>
    <row r="3041" spans="1:11" x14ac:dyDescent="0.2">
      <c r="A3041" t="s">
        <v>5497</v>
      </c>
      <c r="B3041" t="s">
        <v>5498</v>
      </c>
      <c r="C3041" t="s">
        <v>3582</v>
      </c>
      <c r="D3041" t="s">
        <v>98</v>
      </c>
      <c r="E3041">
        <v>99.99</v>
      </c>
      <c r="F3041">
        <v>0</v>
      </c>
      <c r="H3041" t="s">
        <v>8</v>
      </c>
      <c r="I3041">
        <v>0</v>
      </c>
      <c r="J3041">
        <v>0</v>
      </c>
      <c r="K3041">
        <v>0</v>
      </c>
    </row>
    <row r="3042" spans="1:11" x14ac:dyDescent="0.2">
      <c r="A3042" t="s">
        <v>3503</v>
      </c>
      <c r="B3042" t="s">
        <v>3504</v>
      </c>
      <c r="C3042" t="s">
        <v>3494</v>
      </c>
      <c r="D3042" t="s">
        <v>98</v>
      </c>
      <c r="E3042">
        <v>189.99</v>
      </c>
      <c r="F3042">
        <v>0</v>
      </c>
      <c r="H3042" t="s">
        <v>8</v>
      </c>
      <c r="I3042">
        <v>0</v>
      </c>
      <c r="J3042">
        <v>0</v>
      </c>
      <c r="K3042">
        <v>0</v>
      </c>
    </row>
    <row r="3043" spans="1:11" x14ac:dyDescent="0.2">
      <c r="A3043" t="s">
        <v>3501</v>
      </c>
      <c r="B3043" t="s">
        <v>3502</v>
      </c>
      <c r="C3043" t="s">
        <v>3494</v>
      </c>
      <c r="D3043" t="s">
        <v>138</v>
      </c>
      <c r="E3043">
        <v>129.99</v>
      </c>
      <c r="F3043">
        <v>0</v>
      </c>
      <c r="H3043" t="s">
        <v>8</v>
      </c>
      <c r="I3043">
        <v>0</v>
      </c>
      <c r="J3043">
        <v>0</v>
      </c>
      <c r="K3043">
        <v>0</v>
      </c>
    </row>
    <row r="3044" spans="1:11" x14ac:dyDescent="0.2">
      <c r="A3044" t="s">
        <v>5427</v>
      </c>
      <c r="B3044" t="s">
        <v>5428</v>
      </c>
      <c r="C3044" t="s">
        <v>2415</v>
      </c>
      <c r="D3044" t="s">
        <v>98</v>
      </c>
      <c r="E3044">
        <v>189.99</v>
      </c>
      <c r="F3044">
        <v>0</v>
      </c>
      <c r="H3044" t="s">
        <v>8</v>
      </c>
      <c r="I3044">
        <v>0</v>
      </c>
      <c r="J3044">
        <v>0</v>
      </c>
      <c r="K3044">
        <v>0</v>
      </c>
    </row>
    <row r="3045" spans="1:11" x14ac:dyDescent="0.2">
      <c r="A3045" t="s">
        <v>3891</v>
      </c>
      <c r="B3045" t="s">
        <v>3892</v>
      </c>
      <c r="C3045" t="s">
        <v>3876</v>
      </c>
      <c r="D3045" t="s">
        <v>98</v>
      </c>
      <c r="E3045">
        <v>59.99</v>
      </c>
      <c r="F3045">
        <v>0</v>
      </c>
      <c r="H3045" t="s">
        <v>8</v>
      </c>
      <c r="I3045">
        <v>0</v>
      </c>
      <c r="J3045">
        <v>0</v>
      </c>
      <c r="K3045">
        <v>0</v>
      </c>
    </row>
    <row r="3046" spans="1:11" x14ac:dyDescent="0.2">
      <c r="A3046" t="s">
        <v>3893</v>
      </c>
      <c r="B3046" t="s">
        <v>3894</v>
      </c>
      <c r="C3046" t="s">
        <v>3876</v>
      </c>
      <c r="D3046" t="s">
        <v>98</v>
      </c>
      <c r="E3046">
        <v>59.99</v>
      </c>
      <c r="F3046">
        <v>0</v>
      </c>
      <c r="H3046" t="s">
        <v>8</v>
      </c>
      <c r="I3046">
        <v>0</v>
      </c>
      <c r="J3046">
        <v>0</v>
      </c>
      <c r="K3046">
        <v>0</v>
      </c>
    </row>
    <row r="3047" spans="1:11" x14ac:dyDescent="0.2">
      <c r="A3047" t="s">
        <v>3376</v>
      </c>
      <c r="B3047" t="s">
        <v>3377</v>
      </c>
      <c r="C3047" t="s">
        <v>3349</v>
      </c>
      <c r="D3047" t="s">
        <v>98</v>
      </c>
      <c r="E3047">
        <v>119.99</v>
      </c>
      <c r="F3047">
        <v>0</v>
      </c>
      <c r="H3047" t="s">
        <v>8</v>
      </c>
      <c r="I3047">
        <v>0</v>
      </c>
      <c r="J3047">
        <v>0</v>
      </c>
      <c r="K3047">
        <v>0</v>
      </c>
    </row>
    <row r="3048" spans="1:11" x14ac:dyDescent="0.2">
      <c r="A3048" t="s">
        <v>5624</v>
      </c>
      <c r="B3048" t="s">
        <v>5625</v>
      </c>
      <c r="C3048" t="s">
        <v>3929</v>
      </c>
      <c r="D3048" t="s">
        <v>98</v>
      </c>
      <c r="E3048">
        <v>99.99</v>
      </c>
      <c r="F3048">
        <v>0</v>
      </c>
      <c r="H3048" t="s">
        <v>8</v>
      </c>
      <c r="I3048">
        <v>0</v>
      </c>
      <c r="J3048">
        <v>0</v>
      </c>
      <c r="K3048">
        <v>0</v>
      </c>
    </row>
    <row r="3049" spans="1:11" x14ac:dyDescent="0.2">
      <c r="A3049" t="s">
        <v>5120</v>
      </c>
      <c r="B3049" t="s">
        <v>5121</v>
      </c>
      <c r="C3049" t="s">
        <v>3929</v>
      </c>
      <c r="D3049" t="s">
        <v>105</v>
      </c>
      <c r="E3049">
        <v>89.99</v>
      </c>
      <c r="F3049">
        <v>0</v>
      </c>
      <c r="G3049">
        <v>15</v>
      </c>
      <c r="H3049" t="s">
        <v>8</v>
      </c>
      <c r="I3049">
        <v>0</v>
      </c>
      <c r="J3049">
        <v>0</v>
      </c>
      <c r="K3049">
        <v>22</v>
      </c>
    </row>
    <row r="3050" spans="1:11" x14ac:dyDescent="0.2">
      <c r="A3050" t="s">
        <v>5073</v>
      </c>
      <c r="B3050" t="s">
        <v>5074</v>
      </c>
      <c r="C3050" t="s">
        <v>3929</v>
      </c>
      <c r="D3050" t="s">
        <v>105</v>
      </c>
      <c r="E3050">
        <v>99.99</v>
      </c>
      <c r="F3050">
        <v>0</v>
      </c>
      <c r="H3050" t="s">
        <v>8</v>
      </c>
      <c r="I3050">
        <v>0</v>
      </c>
      <c r="J3050">
        <v>0</v>
      </c>
      <c r="K3050">
        <v>0</v>
      </c>
    </row>
    <row r="3051" spans="1:11" x14ac:dyDescent="0.2">
      <c r="A3051" t="s">
        <v>5380</v>
      </c>
      <c r="B3051" t="s">
        <v>5381</v>
      </c>
      <c r="C3051" t="s">
        <v>3929</v>
      </c>
      <c r="D3051" t="s">
        <v>98</v>
      </c>
      <c r="E3051">
        <v>69.989999999999995</v>
      </c>
      <c r="F3051">
        <v>0</v>
      </c>
      <c r="H3051" t="s">
        <v>8</v>
      </c>
      <c r="I3051">
        <v>0</v>
      </c>
      <c r="J3051">
        <v>0</v>
      </c>
      <c r="K3051">
        <v>0</v>
      </c>
    </row>
    <row r="3052" spans="1:11" x14ac:dyDescent="0.2">
      <c r="A3052" t="s">
        <v>5102</v>
      </c>
      <c r="B3052" t="s">
        <v>5103</v>
      </c>
      <c r="C3052" t="s">
        <v>3929</v>
      </c>
      <c r="D3052" t="s">
        <v>98</v>
      </c>
      <c r="E3052">
        <v>99.99</v>
      </c>
      <c r="F3052">
        <v>0</v>
      </c>
      <c r="H3052" t="s">
        <v>8</v>
      </c>
      <c r="I3052">
        <v>0</v>
      </c>
      <c r="J3052">
        <v>0</v>
      </c>
      <c r="K3052">
        <v>0</v>
      </c>
    </row>
    <row r="3053" spans="1:11" x14ac:dyDescent="0.2">
      <c r="A3053" t="s">
        <v>3354</v>
      </c>
      <c r="B3053" t="s">
        <v>3355</v>
      </c>
      <c r="C3053" t="s">
        <v>3349</v>
      </c>
      <c r="D3053" t="s">
        <v>105</v>
      </c>
      <c r="E3053">
        <v>239.99</v>
      </c>
      <c r="F3053">
        <v>0</v>
      </c>
      <c r="G3053">
        <v>52</v>
      </c>
      <c r="H3053" t="s">
        <v>8</v>
      </c>
      <c r="I3053">
        <v>0</v>
      </c>
      <c r="J3053">
        <v>0</v>
      </c>
      <c r="K3053">
        <v>6</v>
      </c>
    </row>
    <row r="3054" spans="1:11" x14ac:dyDescent="0.2">
      <c r="A3054" t="s">
        <v>5213</v>
      </c>
      <c r="B3054" t="s">
        <v>5214</v>
      </c>
      <c r="C3054" t="s">
        <v>3929</v>
      </c>
      <c r="D3054" t="s">
        <v>98</v>
      </c>
      <c r="E3054">
        <v>89.99</v>
      </c>
      <c r="F3054">
        <v>0</v>
      </c>
      <c r="H3054" t="s">
        <v>8</v>
      </c>
      <c r="I3054">
        <v>0</v>
      </c>
      <c r="J3054">
        <v>0</v>
      </c>
      <c r="K3054">
        <v>0</v>
      </c>
    </row>
    <row r="3055" spans="1:11" x14ac:dyDescent="0.2">
      <c r="A3055" t="s">
        <v>3964</v>
      </c>
      <c r="B3055" t="s">
        <v>3965</v>
      </c>
      <c r="C3055" t="s">
        <v>3929</v>
      </c>
      <c r="D3055" t="s">
        <v>138</v>
      </c>
      <c r="E3055">
        <v>64.989999999999995</v>
      </c>
      <c r="F3055">
        <v>0</v>
      </c>
      <c r="H3055" t="s">
        <v>8</v>
      </c>
      <c r="I3055">
        <v>0</v>
      </c>
      <c r="J3055">
        <v>0</v>
      </c>
      <c r="K3055">
        <v>1</v>
      </c>
    </row>
    <row r="3056" spans="1:11" x14ac:dyDescent="0.2">
      <c r="A3056" t="s">
        <v>3347</v>
      </c>
      <c r="B3056" t="s">
        <v>3348</v>
      </c>
      <c r="C3056" t="s">
        <v>3291</v>
      </c>
      <c r="D3056" t="s">
        <v>98</v>
      </c>
      <c r="E3056">
        <v>59.99</v>
      </c>
      <c r="F3056">
        <v>0</v>
      </c>
      <c r="H3056" t="s">
        <v>8</v>
      </c>
      <c r="I3056">
        <v>0</v>
      </c>
      <c r="J3056">
        <v>0</v>
      </c>
      <c r="K3056">
        <v>0</v>
      </c>
    </row>
    <row r="3057" spans="1:11" x14ac:dyDescent="0.2">
      <c r="A3057" t="s">
        <v>3345</v>
      </c>
      <c r="B3057" t="s">
        <v>3346</v>
      </c>
      <c r="C3057" t="s">
        <v>3291</v>
      </c>
      <c r="D3057" t="s">
        <v>98</v>
      </c>
      <c r="E3057">
        <v>59.99</v>
      </c>
      <c r="F3057">
        <v>0</v>
      </c>
      <c r="H3057" t="s">
        <v>8</v>
      </c>
      <c r="I3057">
        <v>0</v>
      </c>
      <c r="J3057">
        <v>0</v>
      </c>
      <c r="K3057">
        <v>0</v>
      </c>
    </row>
    <row r="3058" spans="1:11" x14ac:dyDescent="0.2">
      <c r="A3058" t="s">
        <v>3968</v>
      </c>
      <c r="B3058" t="s">
        <v>3969</v>
      </c>
      <c r="C3058" t="s">
        <v>3929</v>
      </c>
      <c r="D3058" t="s">
        <v>138</v>
      </c>
      <c r="E3058">
        <v>184.99</v>
      </c>
      <c r="F3058">
        <v>0</v>
      </c>
      <c r="G3058">
        <v>30</v>
      </c>
      <c r="H3058" t="s">
        <v>8</v>
      </c>
      <c r="I3058">
        <v>0</v>
      </c>
      <c r="J3058">
        <v>0</v>
      </c>
      <c r="K3058">
        <v>0</v>
      </c>
    </row>
    <row r="3059" spans="1:11" x14ac:dyDescent="0.2">
      <c r="A3059" t="s">
        <v>3343</v>
      </c>
      <c r="B3059" t="s">
        <v>3344</v>
      </c>
      <c r="C3059" t="s">
        <v>3291</v>
      </c>
      <c r="D3059" t="s">
        <v>98</v>
      </c>
      <c r="E3059">
        <v>69.989999999999995</v>
      </c>
      <c r="F3059">
        <v>0</v>
      </c>
      <c r="H3059" t="s">
        <v>8</v>
      </c>
      <c r="I3059">
        <v>0</v>
      </c>
      <c r="J3059">
        <v>0</v>
      </c>
      <c r="K3059">
        <v>0</v>
      </c>
    </row>
    <row r="3060" spans="1:11" x14ac:dyDescent="0.2">
      <c r="A3060" t="s">
        <v>3970</v>
      </c>
      <c r="B3060" t="s">
        <v>3971</v>
      </c>
      <c r="C3060" t="s">
        <v>3929</v>
      </c>
      <c r="D3060" t="s">
        <v>98</v>
      </c>
      <c r="E3060">
        <v>139.99</v>
      </c>
      <c r="F3060">
        <v>0</v>
      </c>
      <c r="H3060" t="s">
        <v>8</v>
      </c>
      <c r="I3060">
        <v>0</v>
      </c>
      <c r="J3060">
        <v>0</v>
      </c>
      <c r="K3060">
        <v>0</v>
      </c>
    </row>
    <row r="3061" spans="1:11" x14ac:dyDescent="0.2">
      <c r="A3061" t="s">
        <v>3341</v>
      </c>
      <c r="B3061" t="s">
        <v>3342</v>
      </c>
      <c r="C3061" t="s">
        <v>3291</v>
      </c>
      <c r="D3061" t="s">
        <v>98</v>
      </c>
      <c r="E3061">
        <v>59.99</v>
      </c>
      <c r="F3061">
        <v>0</v>
      </c>
      <c r="H3061" t="s">
        <v>8</v>
      </c>
      <c r="I3061">
        <v>0</v>
      </c>
      <c r="J3061">
        <v>0</v>
      </c>
      <c r="K3061">
        <v>0</v>
      </c>
    </row>
    <row r="3062" spans="1:11" x14ac:dyDescent="0.2">
      <c r="A3062" t="s">
        <v>3972</v>
      </c>
      <c r="B3062" t="s">
        <v>3973</v>
      </c>
      <c r="C3062" t="s">
        <v>3929</v>
      </c>
      <c r="D3062" t="s">
        <v>98</v>
      </c>
      <c r="E3062">
        <v>129.99</v>
      </c>
      <c r="F3062">
        <v>0</v>
      </c>
      <c r="H3062" t="s">
        <v>8</v>
      </c>
      <c r="I3062">
        <v>0</v>
      </c>
      <c r="J3062">
        <v>0</v>
      </c>
      <c r="K3062">
        <v>0</v>
      </c>
    </row>
    <row r="3063" spans="1:11" x14ac:dyDescent="0.2">
      <c r="A3063" t="s">
        <v>3339</v>
      </c>
      <c r="B3063" t="s">
        <v>3340</v>
      </c>
      <c r="C3063" t="s">
        <v>3291</v>
      </c>
      <c r="D3063" t="s">
        <v>98</v>
      </c>
      <c r="E3063">
        <v>69.989999999999995</v>
      </c>
      <c r="F3063">
        <v>0</v>
      </c>
      <c r="H3063" t="s">
        <v>8</v>
      </c>
      <c r="I3063">
        <v>0</v>
      </c>
      <c r="J3063">
        <v>0</v>
      </c>
      <c r="K3063">
        <v>0</v>
      </c>
    </row>
    <row r="3064" spans="1:11" x14ac:dyDescent="0.2">
      <c r="A3064" t="s">
        <v>5249</v>
      </c>
      <c r="B3064" t="s">
        <v>5250</v>
      </c>
      <c r="C3064" t="s">
        <v>3929</v>
      </c>
      <c r="D3064" t="s">
        <v>98</v>
      </c>
      <c r="E3064">
        <v>184.99</v>
      </c>
      <c r="F3064">
        <v>0</v>
      </c>
      <c r="H3064" t="s">
        <v>8</v>
      </c>
      <c r="I3064">
        <v>0</v>
      </c>
      <c r="J3064">
        <v>0</v>
      </c>
      <c r="K3064">
        <v>0</v>
      </c>
    </row>
    <row r="3065" spans="1:11" x14ac:dyDescent="0.2">
      <c r="A3065" t="s">
        <v>3337</v>
      </c>
      <c r="B3065" t="s">
        <v>3338</v>
      </c>
      <c r="C3065" t="s">
        <v>3291</v>
      </c>
      <c r="D3065" t="s">
        <v>98</v>
      </c>
      <c r="E3065">
        <v>69.989999999999995</v>
      </c>
      <c r="F3065">
        <v>0</v>
      </c>
      <c r="H3065" t="s">
        <v>8</v>
      </c>
      <c r="I3065">
        <v>0</v>
      </c>
      <c r="J3065">
        <v>0</v>
      </c>
      <c r="K3065">
        <v>0</v>
      </c>
    </row>
    <row r="3066" spans="1:11" x14ac:dyDescent="0.2">
      <c r="A3066" t="s">
        <v>3974</v>
      </c>
      <c r="B3066" t="s">
        <v>3975</v>
      </c>
      <c r="C3066" t="s">
        <v>3929</v>
      </c>
      <c r="D3066" t="s">
        <v>105</v>
      </c>
      <c r="E3066">
        <v>199.99</v>
      </c>
      <c r="F3066">
        <v>0</v>
      </c>
      <c r="G3066">
        <v>8</v>
      </c>
      <c r="H3066" t="s">
        <v>8</v>
      </c>
      <c r="I3066">
        <v>0</v>
      </c>
      <c r="J3066">
        <v>0</v>
      </c>
      <c r="K3066">
        <v>0</v>
      </c>
    </row>
    <row r="3067" spans="1:11" x14ac:dyDescent="0.2">
      <c r="A3067" t="s">
        <v>3335</v>
      </c>
      <c r="B3067" t="s">
        <v>3336</v>
      </c>
      <c r="C3067" t="s">
        <v>3291</v>
      </c>
      <c r="D3067" t="s">
        <v>98</v>
      </c>
      <c r="E3067">
        <v>69.989999999999995</v>
      </c>
      <c r="F3067">
        <v>0</v>
      </c>
      <c r="H3067" t="s">
        <v>8</v>
      </c>
      <c r="I3067">
        <v>0</v>
      </c>
      <c r="J3067">
        <v>0</v>
      </c>
      <c r="K3067">
        <v>0</v>
      </c>
    </row>
    <row r="3068" spans="1:11" x14ac:dyDescent="0.2">
      <c r="A3068" t="s">
        <v>3976</v>
      </c>
      <c r="B3068" t="s">
        <v>3977</v>
      </c>
      <c r="C3068" t="s">
        <v>3929</v>
      </c>
      <c r="D3068" t="s">
        <v>138</v>
      </c>
      <c r="E3068">
        <v>99.99</v>
      </c>
      <c r="F3068">
        <v>0</v>
      </c>
      <c r="G3068">
        <v>37</v>
      </c>
      <c r="H3068" t="s">
        <v>8</v>
      </c>
      <c r="I3068">
        <v>0.16666666666666666</v>
      </c>
      <c r="J3068">
        <v>18</v>
      </c>
      <c r="K3068">
        <v>3</v>
      </c>
    </row>
    <row r="3069" spans="1:11" x14ac:dyDescent="0.2">
      <c r="A3069" t="s">
        <v>3333</v>
      </c>
      <c r="B3069" t="s">
        <v>3334</v>
      </c>
      <c r="C3069" t="s">
        <v>3291</v>
      </c>
      <c r="D3069" t="s">
        <v>98</v>
      </c>
      <c r="E3069">
        <v>74.989999999999995</v>
      </c>
      <c r="F3069">
        <v>0</v>
      </c>
      <c r="H3069" t="s">
        <v>8</v>
      </c>
      <c r="I3069">
        <v>0</v>
      </c>
      <c r="J3069">
        <v>0</v>
      </c>
      <c r="K3069">
        <v>0</v>
      </c>
    </row>
    <row r="3070" spans="1:11" x14ac:dyDescent="0.2">
      <c r="A3070" t="s">
        <v>5582</v>
      </c>
      <c r="B3070" t="s">
        <v>5583</v>
      </c>
      <c r="C3070" t="s">
        <v>3929</v>
      </c>
      <c r="D3070" t="s">
        <v>98</v>
      </c>
      <c r="E3070">
        <v>64.989999999999995</v>
      </c>
      <c r="F3070">
        <v>0</v>
      </c>
      <c r="H3070" t="s">
        <v>8</v>
      </c>
      <c r="I3070">
        <v>0</v>
      </c>
      <c r="J3070">
        <v>0</v>
      </c>
      <c r="K3070">
        <v>0</v>
      </c>
    </row>
    <row r="3071" spans="1:11" x14ac:dyDescent="0.2">
      <c r="A3071" t="s">
        <v>3386</v>
      </c>
      <c r="B3071" t="s">
        <v>3387</v>
      </c>
      <c r="C3071" t="s">
        <v>3349</v>
      </c>
      <c r="D3071" t="s">
        <v>98</v>
      </c>
      <c r="E3071">
        <v>359.99</v>
      </c>
      <c r="F3071">
        <v>0</v>
      </c>
      <c r="H3071" t="s">
        <v>8</v>
      </c>
      <c r="I3071">
        <v>0</v>
      </c>
      <c r="J3071">
        <v>0</v>
      </c>
      <c r="K3071">
        <v>0</v>
      </c>
    </row>
    <row r="3072" spans="1:11" x14ac:dyDescent="0.2">
      <c r="A3072" t="s">
        <v>3394</v>
      </c>
      <c r="B3072" t="s">
        <v>3395</v>
      </c>
      <c r="C3072" t="s">
        <v>3349</v>
      </c>
      <c r="D3072" t="s">
        <v>105</v>
      </c>
      <c r="E3072">
        <v>399.99</v>
      </c>
      <c r="F3072">
        <v>0</v>
      </c>
      <c r="G3072">
        <v>34</v>
      </c>
      <c r="H3072" t="s">
        <v>8</v>
      </c>
      <c r="I3072">
        <v>0</v>
      </c>
      <c r="J3072">
        <v>0</v>
      </c>
      <c r="K3072">
        <v>0</v>
      </c>
    </row>
    <row r="3073" spans="1:11" x14ac:dyDescent="0.2">
      <c r="A3073" t="s">
        <v>3460</v>
      </c>
      <c r="B3073" t="s">
        <v>3461</v>
      </c>
      <c r="C3073" t="s">
        <v>3349</v>
      </c>
      <c r="D3073" t="s">
        <v>105</v>
      </c>
      <c r="E3073">
        <v>24.99</v>
      </c>
      <c r="F3073">
        <v>0</v>
      </c>
      <c r="G3073">
        <v>80</v>
      </c>
      <c r="H3073" t="s">
        <v>8</v>
      </c>
      <c r="I3073">
        <v>0</v>
      </c>
      <c r="J3073">
        <v>0</v>
      </c>
      <c r="K3073">
        <v>0</v>
      </c>
    </row>
    <row r="3074" spans="1:11" x14ac:dyDescent="0.2">
      <c r="A3074" t="s">
        <v>3895</v>
      </c>
      <c r="B3074" t="s">
        <v>3896</v>
      </c>
      <c r="C3074" t="s">
        <v>3876</v>
      </c>
      <c r="D3074" t="s">
        <v>98</v>
      </c>
      <c r="E3074">
        <v>59.99</v>
      </c>
      <c r="F3074">
        <v>0</v>
      </c>
      <c r="H3074" t="s">
        <v>8</v>
      </c>
      <c r="I3074">
        <v>0</v>
      </c>
      <c r="J3074">
        <v>0</v>
      </c>
      <c r="K3074">
        <v>0</v>
      </c>
    </row>
    <row r="3075" spans="1:11" x14ac:dyDescent="0.2">
      <c r="A3075" t="s">
        <v>3458</v>
      </c>
      <c r="B3075" t="s">
        <v>3459</v>
      </c>
      <c r="C3075" t="s">
        <v>3349</v>
      </c>
      <c r="D3075" t="s">
        <v>105</v>
      </c>
      <c r="E3075">
        <v>19.989999999999998</v>
      </c>
      <c r="F3075">
        <v>0</v>
      </c>
      <c r="H3075" t="s">
        <v>8</v>
      </c>
      <c r="I3075">
        <v>0</v>
      </c>
      <c r="J3075">
        <v>0</v>
      </c>
      <c r="K3075">
        <v>0</v>
      </c>
    </row>
    <row r="3076" spans="1:11" x14ac:dyDescent="0.2">
      <c r="A3076" t="s">
        <v>3897</v>
      </c>
      <c r="B3076" t="s">
        <v>3898</v>
      </c>
      <c r="C3076" t="s">
        <v>3876</v>
      </c>
      <c r="D3076" t="s">
        <v>98</v>
      </c>
      <c r="E3076">
        <v>59.99</v>
      </c>
      <c r="F3076">
        <v>0</v>
      </c>
      <c r="H3076" t="s">
        <v>8</v>
      </c>
      <c r="I3076">
        <v>0</v>
      </c>
      <c r="J3076">
        <v>0</v>
      </c>
      <c r="K3076">
        <v>0</v>
      </c>
    </row>
    <row r="3077" spans="1:11" x14ac:dyDescent="0.2">
      <c r="A3077" t="s">
        <v>3448</v>
      </c>
      <c r="B3077" t="s">
        <v>3449</v>
      </c>
      <c r="C3077" t="s">
        <v>3349</v>
      </c>
      <c r="D3077" t="s">
        <v>105</v>
      </c>
      <c r="E3077">
        <v>379.99</v>
      </c>
      <c r="F3077">
        <v>0</v>
      </c>
      <c r="H3077" t="s">
        <v>8</v>
      </c>
      <c r="I3077">
        <v>0</v>
      </c>
      <c r="J3077">
        <v>0</v>
      </c>
      <c r="K3077">
        <v>0</v>
      </c>
    </row>
    <row r="3078" spans="1:11" x14ac:dyDescent="0.2">
      <c r="A3078" t="s">
        <v>3446</v>
      </c>
      <c r="B3078" t="s">
        <v>3447</v>
      </c>
      <c r="C3078" t="s">
        <v>3349</v>
      </c>
      <c r="D3078" t="s">
        <v>98</v>
      </c>
      <c r="E3078">
        <v>559.99</v>
      </c>
      <c r="F3078">
        <v>0</v>
      </c>
      <c r="H3078" t="s">
        <v>8</v>
      </c>
      <c r="I3078">
        <v>0</v>
      </c>
      <c r="J3078">
        <v>0</v>
      </c>
      <c r="K3078">
        <v>0</v>
      </c>
    </row>
    <row r="3079" spans="1:11" x14ac:dyDescent="0.2">
      <c r="A3079" t="s">
        <v>3444</v>
      </c>
      <c r="B3079" t="s">
        <v>3445</v>
      </c>
      <c r="C3079" t="s">
        <v>3349</v>
      </c>
      <c r="D3079" t="s">
        <v>105</v>
      </c>
      <c r="E3079">
        <v>119.99</v>
      </c>
      <c r="F3079">
        <v>0</v>
      </c>
      <c r="G3079">
        <v>15</v>
      </c>
      <c r="H3079" t="s">
        <v>8</v>
      </c>
      <c r="I3079">
        <v>0</v>
      </c>
      <c r="J3079">
        <v>0</v>
      </c>
      <c r="K3079">
        <v>0</v>
      </c>
    </row>
    <row r="3080" spans="1:11" x14ac:dyDescent="0.2">
      <c r="A3080" t="s">
        <v>3438</v>
      </c>
      <c r="B3080" t="s">
        <v>3439</v>
      </c>
      <c r="C3080" t="s">
        <v>3349</v>
      </c>
      <c r="D3080" t="s">
        <v>98</v>
      </c>
      <c r="E3080">
        <v>129.99</v>
      </c>
      <c r="F3080">
        <v>0</v>
      </c>
      <c r="H3080" t="s">
        <v>8</v>
      </c>
      <c r="I3080">
        <v>0</v>
      </c>
      <c r="J3080">
        <v>0</v>
      </c>
      <c r="K3080">
        <v>0</v>
      </c>
    </row>
    <row r="3081" spans="1:11" x14ac:dyDescent="0.2">
      <c r="A3081" t="s">
        <v>3432</v>
      </c>
      <c r="B3081" t="s">
        <v>3433</v>
      </c>
      <c r="C3081" t="s">
        <v>3349</v>
      </c>
      <c r="D3081" t="s">
        <v>138</v>
      </c>
      <c r="E3081">
        <v>119.99</v>
      </c>
      <c r="F3081">
        <v>119.99</v>
      </c>
      <c r="H3081" t="s">
        <v>8</v>
      </c>
      <c r="I3081">
        <v>0.16666666666666666</v>
      </c>
      <c r="J3081">
        <v>192</v>
      </c>
      <c r="K3081">
        <v>32</v>
      </c>
    </row>
    <row r="3082" spans="1:11" x14ac:dyDescent="0.2">
      <c r="A3082" t="s">
        <v>3430</v>
      </c>
      <c r="B3082" t="s">
        <v>3431</v>
      </c>
      <c r="C3082" t="s">
        <v>3349</v>
      </c>
      <c r="D3082" t="s">
        <v>138</v>
      </c>
      <c r="E3082">
        <v>49.99</v>
      </c>
      <c r="F3082">
        <v>0</v>
      </c>
      <c r="G3082">
        <v>37</v>
      </c>
      <c r="H3082" t="s">
        <v>8</v>
      </c>
      <c r="I3082">
        <v>0.16666666666666666</v>
      </c>
      <c r="J3082">
        <v>12</v>
      </c>
      <c r="K3082">
        <v>2</v>
      </c>
    </row>
    <row r="3083" spans="1:11" x14ac:dyDescent="0.2">
      <c r="A3083" t="s">
        <v>3428</v>
      </c>
      <c r="B3083" t="s">
        <v>3429</v>
      </c>
      <c r="C3083" t="s">
        <v>3349</v>
      </c>
      <c r="D3083" t="s">
        <v>138</v>
      </c>
      <c r="E3083">
        <v>49.99</v>
      </c>
      <c r="F3083">
        <v>0</v>
      </c>
      <c r="H3083" t="s">
        <v>8</v>
      </c>
      <c r="I3083">
        <v>0</v>
      </c>
      <c r="J3083">
        <v>0</v>
      </c>
      <c r="K3083">
        <v>0</v>
      </c>
    </row>
    <row r="3084" spans="1:11" x14ac:dyDescent="0.2">
      <c r="A3084" t="s">
        <v>3426</v>
      </c>
      <c r="B3084" t="s">
        <v>3427</v>
      </c>
      <c r="C3084" t="s">
        <v>3349</v>
      </c>
      <c r="D3084" t="s">
        <v>98</v>
      </c>
      <c r="E3084">
        <v>129.99</v>
      </c>
      <c r="F3084">
        <v>0</v>
      </c>
      <c r="H3084" t="s">
        <v>8</v>
      </c>
      <c r="I3084">
        <v>0</v>
      </c>
      <c r="J3084">
        <v>0</v>
      </c>
      <c r="K3084">
        <v>0</v>
      </c>
    </row>
    <row r="3085" spans="1:11" x14ac:dyDescent="0.2">
      <c r="A3085" t="s">
        <v>3932</v>
      </c>
      <c r="B3085" t="s">
        <v>3933</v>
      </c>
      <c r="C3085" t="s">
        <v>3929</v>
      </c>
      <c r="D3085" t="s">
        <v>105</v>
      </c>
      <c r="E3085">
        <v>129.99</v>
      </c>
      <c r="F3085">
        <v>0</v>
      </c>
      <c r="G3085">
        <v>51</v>
      </c>
      <c r="H3085" t="s">
        <v>8</v>
      </c>
      <c r="I3085">
        <v>0</v>
      </c>
      <c r="J3085">
        <v>0</v>
      </c>
      <c r="K3085">
        <v>2</v>
      </c>
    </row>
    <row r="3086" spans="1:11" x14ac:dyDescent="0.2">
      <c r="A3086" t="s">
        <v>3420</v>
      </c>
      <c r="B3086" t="s">
        <v>3421</v>
      </c>
      <c r="C3086" t="s">
        <v>3349</v>
      </c>
      <c r="D3086" t="s">
        <v>138</v>
      </c>
      <c r="E3086">
        <v>119.99</v>
      </c>
      <c r="F3086">
        <v>239.98</v>
      </c>
      <c r="H3086" t="s">
        <v>8</v>
      </c>
      <c r="I3086">
        <v>1.1666666666666667</v>
      </c>
      <c r="J3086">
        <v>35</v>
      </c>
      <c r="K3086">
        <v>41</v>
      </c>
    </row>
    <row r="3087" spans="1:11" x14ac:dyDescent="0.2">
      <c r="A3087" t="s">
        <v>3416</v>
      </c>
      <c r="B3087" t="s">
        <v>3417</v>
      </c>
      <c r="C3087" t="s">
        <v>3349</v>
      </c>
      <c r="D3087" t="s">
        <v>138</v>
      </c>
      <c r="E3087">
        <v>49.99</v>
      </c>
      <c r="F3087">
        <v>0</v>
      </c>
      <c r="H3087" t="s">
        <v>8</v>
      </c>
      <c r="I3087">
        <v>0</v>
      </c>
      <c r="J3087">
        <v>0</v>
      </c>
      <c r="K3087">
        <v>0</v>
      </c>
    </row>
    <row r="3088" spans="1:11" x14ac:dyDescent="0.2">
      <c r="A3088" t="s">
        <v>3414</v>
      </c>
      <c r="B3088" t="s">
        <v>3415</v>
      </c>
      <c r="C3088" t="s">
        <v>3349</v>
      </c>
      <c r="D3088" t="s">
        <v>138</v>
      </c>
      <c r="E3088">
        <v>89.99</v>
      </c>
      <c r="F3088">
        <v>0</v>
      </c>
      <c r="H3088" t="s">
        <v>8</v>
      </c>
      <c r="I3088">
        <v>0</v>
      </c>
      <c r="J3088">
        <v>0</v>
      </c>
      <c r="K3088">
        <v>0</v>
      </c>
    </row>
    <row r="3089" spans="1:11" x14ac:dyDescent="0.2">
      <c r="A3089" t="s">
        <v>3412</v>
      </c>
      <c r="B3089" t="s">
        <v>3413</v>
      </c>
      <c r="C3089" t="s">
        <v>3349</v>
      </c>
      <c r="D3089" t="s">
        <v>105</v>
      </c>
      <c r="E3089">
        <v>149.99</v>
      </c>
      <c r="F3089">
        <v>0</v>
      </c>
      <c r="H3089" t="s">
        <v>8</v>
      </c>
      <c r="I3089">
        <v>0</v>
      </c>
      <c r="J3089">
        <v>0</v>
      </c>
      <c r="K3089">
        <v>0</v>
      </c>
    </row>
    <row r="3090" spans="1:11" x14ac:dyDescent="0.2">
      <c r="A3090" t="s">
        <v>3942</v>
      </c>
      <c r="B3090" t="s">
        <v>3943</v>
      </c>
      <c r="C3090" t="s">
        <v>3929</v>
      </c>
      <c r="D3090" t="s">
        <v>105</v>
      </c>
      <c r="E3090">
        <v>149.99</v>
      </c>
      <c r="F3090">
        <v>0</v>
      </c>
      <c r="H3090" t="s">
        <v>8</v>
      </c>
      <c r="I3090">
        <v>0</v>
      </c>
      <c r="J3090">
        <v>0</v>
      </c>
      <c r="K3090">
        <v>0</v>
      </c>
    </row>
    <row r="3091" spans="1:11" x14ac:dyDescent="0.2">
      <c r="A3091" t="s">
        <v>3406</v>
      </c>
      <c r="B3091" t="s">
        <v>3407</v>
      </c>
      <c r="C3091" t="s">
        <v>3349</v>
      </c>
      <c r="D3091" t="s">
        <v>138</v>
      </c>
      <c r="E3091">
        <v>34.99</v>
      </c>
      <c r="F3091">
        <v>0</v>
      </c>
      <c r="H3091" t="s">
        <v>8</v>
      </c>
      <c r="I3091">
        <v>0</v>
      </c>
      <c r="J3091">
        <v>0</v>
      </c>
      <c r="K3091">
        <v>3</v>
      </c>
    </row>
    <row r="3092" spans="1:11" x14ac:dyDescent="0.2">
      <c r="A3092" t="s">
        <v>3954</v>
      </c>
      <c r="B3092" t="s">
        <v>3955</v>
      </c>
      <c r="C3092" t="s">
        <v>3929</v>
      </c>
      <c r="D3092" t="s">
        <v>105</v>
      </c>
      <c r="E3092">
        <v>64.989999999999995</v>
      </c>
      <c r="F3092">
        <v>0</v>
      </c>
      <c r="G3092">
        <v>38</v>
      </c>
      <c r="H3092" t="s">
        <v>8</v>
      </c>
      <c r="I3092">
        <v>0</v>
      </c>
      <c r="J3092">
        <v>0</v>
      </c>
      <c r="K3092">
        <v>0</v>
      </c>
    </row>
    <row r="3093" spans="1:11" x14ac:dyDescent="0.2">
      <c r="A3093" t="s">
        <v>3392</v>
      </c>
      <c r="B3093" t="s">
        <v>3393</v>
      </c>
      <c r="C3093" t="s">
        <v>3349</v>
      </c>
      <c r="D3093" t="s">
        <v>105</v>
      </c>
      <c r="E3093">
        <v>139.99</v>
      </c>
      <c r="F3093">
        <v>0</v>
      </c>
      <c r="G3093">
        <v>33</v>
      </c>
      <c r="H3093" t="s">
        <v>8</v>
      </c>
      <c r="I3093">
        <v>0</v>
      </c>
      <c r="J3093">
        <v>0</v>
      </c>
      <c r="K3093">
        <v>0</v>
      </c>
    </row>
    <row r="3094" spans="1:11" x14ac:dyDescent="0.2">
      <c r="A3094" t="s">
        <v>5235</v>
      </c>
      <c r="B3094" t="s">
        <v>5236</v>
      </c>
      <c r="C3094" t="s">
        <v>4518</v>
      </c>
      <c r="D3094" t="s">
        <v>98</v>
      </c>
      <c r="E3094">
        <v>89.99</v>
      </c>
      <c r="F3094">
        <v>0</v>
      </c>
      <c r="H3094" t="s">
        <v>8</v>
      </c>
      <c r="I3094">
        <v>0</v>
      </c>
      <c r="J3094">
        <v>0</v>
      </c>
      <c r="K3094">
        <v>0</v>
      </c>
    </row>
    <row r="3095" spans="1:11" x14ac:dyDescent="0.2">
      <c r="A3095" t="s">
        <v>5445</v>
      </c>
      <c r="B3095" t="s">
        <v>5446</v>
      </c>
      <c r="C3095" t="s">
        <v>2415</v>
      </c>
      <c r="D3095" t="s">
        <v>98</v>
      </c>
      <c r="E3095">
        <v>199.99</v>
      </c>
      <c r="F3095">
        <v>0</v>
      </c>
      <c r="H3095" t="s">
        <v>8</v>
      </c>
      <c r="I3095">
        <v>0</v>
      </c>
      <c r="J3095">
        <v>0</v>
      </c>
      <c r="K3095">
        <v>0</v>
      </c>
    </row>
    <row r="3096" spans="1:11" x14ac:dyDescent="0.2">
      <c r="A3096" t="s">
        <v>5389</v>
      </c>
      <c r="B3096" t="s">
        <v>5390</v>
      </c>
      <c r="C3096" t="s">
        <v>2415</v>
      </c>
      <c r="D3096" t="s">
        <v>98</v>
      </c>
      <c r="E3096">
        <v>149.99</v>
      </c>
      <c r="F3096">
        <v>0</v>
      </c>
      <c r="H3096" t="s">
        <v>8</v>
      </c>
      <c r="I3096">
        <v>0</v>
      </c>
      <c r="J3096">
        <v>0</v>
      </c>
      <c r="K3096">
        <v>0</v>
      </c>
    </row>
    <row r="3097" spans="1:11" x14ac:dyDescent="0.2">
      <c r="A3097" t="s">
        <v>5349</v>
      </c>
      <c r="B3097" t="s">
        <v>5350</v>
      </c>
      <c r="C3097" t="s">
        <v>4283</v>
      </c>
      <c r="D3097" t="s">
        <v>98</v>
      </c>
      <c r="E3097">
        <v>1799.99</v>
      </c>
      <c r="F3097">
        <v>0</v>
      </c>
      <c r="H3097" t="s">
        <v>8</v>
      </c>
      <c r="I3097">
        <v>0</v>
      </c>
      <c r="J3097">
        <v>0</v>
      </c>
      <c r="K3097">
        <v>0</v>
      </c>
    </row>
    <row r="3098" spans="1:11" x14ac:dyDescent="0.2">
      <c r="A3098" t="s">
        <v>2418</v>
      </c>
      <c r="B3098" t="s">
        <v>2419</v>
      </c>
      <c r="C3098" t="s">
        <v>2415</v>
      </c>
      <c r="D3098" t="s">
        <v>98</v>
      </c>
      <c r="E3098">
        <v>349.99</v>
      </c>
      <c r="F3098">
        <v>0</v>
      </c>
      <c r="H3098" t="s">
        <v>8</v>
      </c>
      <c r="I3098">
        <v>0</v>
      </c>
      <c r="J3098">
        <v>0</v>
      </c>
      <c r="K3098">
        <v>0</v>
      </c>
    </row>
    <row r="3099" spans="1:11" x14ac:dyDescent="0.2">
      <c r="A3099" t="s">
        <v>5359</v>
      </c>
      <c r="B3099" t="s">
        <v>5360</v>
      </c>
      <c r="C3099" t="s">
        <v>2415</v>
      </c>
      <c r="D3099" t="s">
        <v>98</v>
      </c>
      <c r="E3099">
        <v>499.99</v>
      </c>
      <c r="F3099">
        <v>0</v>
      </c>
      <c r="H3099" t="s">
        <v>8</v>
      </c>
      <c r="I3099">
        <v>0</v>
      </c>
      <c r="J3099">
        <v>0</v>
      </c>
      <c r="K3099">
        <v>0</v>
      </c>
    </row>
    <row r="3100" spans="1:11" x14ac:dyDescent="0.2">
      <c r="A3100" t="s">
        <v>5720</v>
      </c>
      <c r="B3100" t="s">
        <v>5721</v>
      </c>
      <c r="C3100" t="s">
        <v>4283</v>
      </c>
      <c r="D3100" t="s">
        <v>98</v>
      </c>
      <c r="E3100">
        <v>2299.9899999999998</v>
      </c>
      <c r="F3100">
        <v>0</v>
      </c>
      <c r="H3100" t="s">
        <v>8</v>
      </c>
      <c r="I3100">
        <v>0</v>
      </c>
      <c r="J3100">
        <v>0</v>
      </c>
      <c r="K3100">
        <v>0</v>
      </c>
    </row>
    <row r="3101" spans="1:11" x14ac:dyDescent="0.2">
      <c r="A3101" t="s">
        <v>5375</v>
      </c>
      <c r="B3101" t="s">
        <v>4436</v>
      </c>
      <c r="C3101" t="s">
        <v>4435</v>
      </c>
      <c r="D3101" t="s">
        <v>98</v>
      </c>
      <c r="E3101">
        <v>189.99</v>
      </c>
      <c r="F3101">
        <v>0</v>
      </c>
      <c r="H3101" t="s">
        <v>8</v>
      </c>
      <c r="I3101">
        <v>0</v>
      </c>
      <c r="J3101">
        <v>0</v>
      </c>
      <c r="K3101">
        <v>0</v>
      </c>
    </row>
    <row r="3102" spans="1:11" x14ac:dyDescent="0.2">
      <c r="A3102" t="s">
        <v>2420</v>
      </c>
      <c r="B3102" t="s">
        <v>2421</v>
      </c>
      <c r="C3102" t="s">
        <v>2415</v>
      </c>
      <c r="D3102" t="s">
        <v>98</v>
      </c>
      <c r="E3102">
        <v>189.99</v>
      </c>
      <c r="F3102">
        <v>0</v>
      </c>
      <c r="H3102" t="s">
        <v>8</v>
      </c>
      <c r="I3102">
        <v>0</v>
      </c>
      <c r="J3102">
        <v>0</v>
      </c>
      <c r="K3102">
        <v>0</v>
      </c>
    </row>
    <row r="3103" spans="1:11" x14ac:dyDescent="0.2">
      <c r="A3103" t="s">
        <v>4438</v>
      </c>
      <c r="B3103" t="s">
        <v>4439</v>
      </c>
      <c r="C3103" t="s">
        <v>4437</v>
      </c>
      <c r="D3103" t="s">
        <v>98</v>
      </c>
      <c r="E3103">
        <v>98.99</v>
      </c>
      <c r="F3103">
        <v>0</v>
      </c>
      <c r="H3103" t="s">
        <v>8</v>
      </c>
      <c r="I3103">
        <v>0</v>
      </c>
      <c r="J3103">
        <v>0</v>
      </c>
      <c r="K3103">
        <v>0</v>
      </c>
    </row>
    <row r="3104" spans="1:11" x14ac:dyDescent="0.2">
      <c r="A3104" t="s">
        <v>5371</v>
      </c>
      <c r="B3104" t="s">
        <v>5372</v>
      </c>
      <c r="C3104" t="s">
        <v>2415</v>
      </c>
      <c r="D3104" t="s">
        <v>98</v>
      </c>
      <c r="E3104">
        <v>119.99</v>
      </c>
      <c r="F3104">
        <v>0</v>
      </c>
      <c r="H3104" t="s">
        <v>8</v>
      </c>
      <c r="I3104">
        <v>0</v>
      </c>
      <c r="J3104">
        <v>0</v>
      </c>
      <c r="K3104">
        <v>0</v>
      </c>
    </row>
    <row r="3105" spans="1:11" x14ac:dyDescent="0.2">
      <c r="A3105" t="s">
        <v>4440</v>
      </c>
      <c r="B3105" t="s">
        <v>4441</v>
      </c>
      <c r="C3105" t="s">
        <v>4437</v>
      </c>
      <c r="D3105" t="s">
        <v>98</v>
      </c>
      <c r="E3105">
        <v>99.99</v>
      </c>
      <c r="F3105">
        <v>0</v>
      </c>
      <c r="H3105" t="s">
        <v>8</v>
      </c>
      <c r="I3105">
        <v>0</v>
      </c>
      <c r="J3105">
        <v>0</v>
      </c>
      <c r="K3105">
        <v>0</v>
      </c>
    </row>
    <row r="3106" spans="1:11" x14ac:dyDescent="0.2">
      <c r="A3106" t="s">
        <v>5363</v>
      </c>
      <c r="B3106" t="s">
        <v>5364</v>
      </c>
      <c r="C3106" t="s">
        <v>2415</v>
      </c>
      <c r="D3106" t="s">
        <v>98</v>
      </c>
      <c r="E3106">
        <v>149.99</v>
      </c>
      <c r="F3106">
        <v>0</v>
      </c>
      <c r="H3106" t="s">
        <v>8</v>
      </c>
      <c r="I3106">
        <v>0</v>
      </c>
      <c r="J3106">
        <v>0</v>
      </c>
      <c r="K3106">
        <v>0</v>
      </c>
    </row>
    <row r="3107" spans="1:11" x14ac:dyDescent="0.2">
      <c r="A3107" t="s">
        <v>4443</v>
      </c>
      <c r="B3107" t="s">
        <v>4444</v>
      </c>
      <c r="C3107" t="s">
        <v>4437</v>
      </c>
      <c r="D3107" t="s">
        <v>98</v>
      </c>
      <c r="E3107">
        <v>79.989999999999995</v>
      </c>
      <c r="F3107">
        <v>0</v>
      </c>
      <c r="H3107" t="s">
        <v>8</v>
      </c>
      <c r="I3107">
        <v>0</v>
      </c>
      <c r="J3107">
        <v>0</v>
      </c>
      <c r="K3107">
        <v>0</v>
      </c>
    </row>
    <row r="3108" spans="1:11" x14ac:dyDescent="0.2">
      <c r="A3108" t="s">
        <v>5353</v>
      </c>
      <c r="B3108" t="s">
        <v>5354</v>
      </c>
      <c r="C3108" t="s">
        <v>2415</v>
      </c>
      <c r="D3108" t="s">
        <v>98</v>
      </c>
      <c r="E3108">
        <v>159.99</v>
      </c>
      <c r="F3108">
        <v>0</v>
      </c>
      <c r="H3108" t="s">
        <v>8</v>
      </c>
      <c r="I3108">
        <v>0</v>
      </c>
      <c r="J3108">
        <v>0</v>
      </c>
      <c r="K3108">
        <v>0</v>
      </c>
    </row>
    <row r="3109" spans="1:11" x14ac:dyDescent="0.2">
      <c r="A3109" t="s">
        <v>5361</v>
      </c>
      <c r="B3109" t="s">
        <v>5362</v>
      </c>
      <c r="C3109" t="s">
        <v>2174</v>
      </c>
      <c r="D3109" t="s">
        <v>138</v>
      </c>
      <c r="E3109">
        <v>89.99</v>
      </c>
      <c r="F3109">
        <v>0</v>
      </c>
      <c r="H3109" t="s">
        <v>8</v>
      </c>
      <c r="I3109">
        <v>0</v>
      </c>
      <c r="J3109">
        <v>0</v>
      </c>
      <c r="K3109">
        <v>0</v>
      </c>
    </row>
    <row r="3110" spans="1:11" x14ac:dyDescent="0.2">
      <c r="A3110" t="s">
        <v>2179</v>
      </c>
      <c r="B3110" t="s">
        <v>2180</v>
      </c>
      <c r="C3110" t="s">
        <v>2174</v>
      </c>
      <c r="D3110" t="s">
        <v>98</v>
      </c>
      <c r="E3110">
        <v>34.99</v>
      </c>
      <c r="F3110">
        <v>0</v>
      </c>
      <c r="H3110" t="s">
        <v>8</v>
      </c>
      <c r="I3110">
        <v>0</v>
      </c>
      <c r="J3110">
        <v>0</v>
      </c>
      <c r="K3110">
        <v>0</v>
      </c>
    </row>
    <row r="3111" spans="1:11" x14ac:dyDescent="0.2">
      <c r="A3111" t="s">
        <v>4447</v>
      </c>
      <c r="B3111" t="s">
        <v>4448</v>
      </c>
      <c r="C3111" t="s">
        <v>4437</v>
      </c>
      <c r="D3111" t="s">
        <v>98</v>
      </c>
      <c r="E3111">
        <v>72.989999999999995</v>
      </c>
      <c r="F3111">
        <v>0</v>
      </c>
      <c r="H3111" t="s">
        <v>8</v>
      </c>
      <c r="I3111">
        <v>0</v>
      </c>
      <c r="J3111">
        <v>0</v>
      </c>
      <c r="K3111">
        <v>0</v>
      </c>
    </row>
    <row r="3112" spans="1:11" x14ac:dyDescent="0.2">
      <c r="A3112" t="s">
        <v>2207</v>
      </c>
      <c r="B3112" t="s">
        <v>2208</v>
      </c>
      <c r="C3112" t="s">
        <v>2174</v>
      </c>
      <c r="D3112" t="s">
        <v>98</v>
      </c>
      <c r="E3112">
        <v>79.989999999999995</v>
      </c>
      <c r="F3112">
        <v>0</v>
      </c>
      <c r="H3112" t="s">
        <v>8</v>
      </c>
      <c r="I3112">
        <v>0</v>
      </c>
      <c r="J3112">
        <v>0</v>
      </c>
      <c r="K3112">
        <v>0</v>
      </c>
    </row>
    <row r="3113" spans="1:11" x14ac:dyDescent="0.2">
      <c r="A3113" t="s">
        <v>4449</v>
      </c>
      <c r="B3113" t="s">
        <v>4450</v>
      </c>
      <c r="C3113" t="s">
        <v>4437</v>
      </c>
      <c r="D3113" t="s">
        <v>98</v>
      </c>
      <c r="E3113">
        <v>179.99</v>
      </c>
      <c r="F3113">
        <v>0</v>
      </c>
      <c r="H3113" t="s">
        <v>8</v>
      </c>
      <c r="I3113">
        <v>0</v>
      </c>
      <c r="J3113">
        <v>0</v>
      </c>
      <c r="K3113">
        <v>0</v>
      </c>
    </row>
    <row r="3114" spans="1:11" x14ac:dyDescent="0.2">
      <c r="A3114" t="s">
        <v>2199</v>
      </c>
      <c r="B3114" t="s">
        <v>2200</v>
      </c>
      <c r="C3114" t="s">
        <v>2174</v>
      </c>
      <c r="D3114" t="s">
        <v>98</v>
      </c>
      <c r="E3114">
        <v>59.99</v>
      </c>
      <c r="F3114">
        <v>0</v>
      </c>
      <c r="H3114" t="s">
        <v>8</v>
      </c>
      <c r="I3114">
        <v>0</v>
      </c>
      <c r="J3114">
        <v>0</v>
      </c>
      <c r="K3114">
        <v>0</v>
      </c>
    </row>
    <row r="3115" spans="1:11" x14ac:dyDescent="0.2">
      <c r="A3115" t="s">
        <v>4453</v>
      </c>
      <c r="B3115" t="s">
        <v>4454</v>
      </c>
      <c r="C3115" t="s">
        <v>4437</v>
      </c>
      <c r="D3115" t="s">
        <v>98</v>
      </c>
      <c r="E3115">
        <v>299.99</v>
      </c>
      <c r="F3115">
        <v>0</v>
      </c>
      <c r="H3115" t="s">
        <v>8</v>
      </c>
      <c r="I3115">
        <v>0</v>
      </c>
      <c r="J3115">
        <v>0</v>
      </c>
      <c r="K3115">
        <v>0</v>
      </c>
    </row>
    <row r="3116" spans="1:11" x14ac:dyDescent="0.2">
      <c r="A3116" t="s">
        <v>2201</v>
      </c>
      <c r="B3116" t="s">
        <v>2202</v>
      </c>
      <c r="C3116" t="s">
        <v>2174</v>
      </c>
      <c r="D3116" t="s">
        <v>98</v>
      </c>
      <c r="E3116">
        <v>69.989999999999995</v>
      </c>
      <c r="F3116">
        <v>0</v>
      </c>
      <c r="H3116" t="s">
        <v>8</v>
      </c>
      <c r="I3116">
        <v>0</v>
      </c>
      <c r="J3116">
        <v>0</v>
      </c>
      <c r="K3116">
        <v>0</v>
      </c>
    </row>
    <row r="3117" spans="1:11" x14ac:dyDescent="0.2">
      <c r="A3117" t="s">
        <v>4455</v>
      </c>
      <c r="B3117" t="s">
        <v>4456</v>
      </c>
      <c r="C3117" t="s">
        <v>4437</v>
      </c>
      <c r="D3117" t="s">
        <v>98</v>
      </c>
      <c r="E3117">
        <v>199.99</v>
      </c>
      <c r="F3117">
        <v>0</v>
      </c>
      <c r="H3117" t="s">
        <v>8</v>
      </c>
      <c r="I3117">
        <v>0</v>
      </c>
      <c r="J3117">
        <v>0</v>
      </c>
      <c r="K3117">
        <v>0</v>
      </c>
    </row>
    <row r="3118" spans="1:11" x14ac:dyDescent="0.2">
      <c r="A3118" t="s">
        <v>2205</v>
      </c>
      <c r="B3118" t="s">
        <v>2206</v>
      </c>
      <c r="C3118" t="s">
        <v>2174</v>
      </c>
      <c r="D3118" t="s">
        <v>98</v>
      </c>
      <c r="E3118">
        <v>79.989999999999995</v>
      </c>
      <c r="F3118">
        <v>0</v>
      </c>
      <c r="H3118" t="s">
        <v>8</v>
      </c>
      <c r="I3118">
        <v>0</v>
      </c>
      <c r="J3118">
        <v>0</v>
      </c>
      <c r="K3118">
        <v>0</v>
      </c>
    </row>
    <row r="3119" spans="1:11" x14ac:dyDescent="0.2">
      <c r="A3119" t="s">
        <v>4457</v>
      </c>
      <c r="B3119" t="s">
        <v>4458</v>
      </c>
      <c r="C3119" t="s">
        <v>4437</v>
      </c>
      <c r="D3119" t="s">
        <v>98</v>
      </c>
      <c r="E3119">
        <v>249.99</v>
      </c>
      <c r="F3119">
        <v>0</v>
      </c>
      <c r="H3119" t="s">
        <v>8</v>
      </c>
      <c r="I3119">
        <v>0</v>
      </c>
      <c r="J3119">
        <v>0</v>
      </c>
      <c r="K3119">
        <v>0</v>
      </c>
    </row>
    <row r="3120" spans="1:11" x14ac:dyDescent="0.2">
      <c r="A3120" t="s">
        <v>2183</v>
      </c>
      <c r="B3120" t="s">
        <v>2184</v>
      </c>
      <c r="C3120" t="s">
        <v>2174</v>
      </c>
      <c r="D3120" t="s">
        <v>98</v>
      </c>
      <c r="E3120">
        <v>69.989999999999995</v>
      </c>
      <c r="F3120">
        <v>0</v>
      </c>
      <c r="H3120" t="s">
        <v>8</v>
      </c>
      <c r="I3120">
        <v>0</v>
      </c>
      <c r="J3120">
        <v>0</v>
      </c>
      <c r="K3120">
        <v>0</v>
      </c>
    </row>
    <row r="3121" spans="1:11" x14ac:dyDescent="0.2">
      <c r="A3121" t="s">
        <v>4445</v>
      </c>
      <c r="B3121" t="s">
        <v>4446</v>
      </c>
      <c r="C3121" t="s">
        <v>4437</v>
      </c>
      <c r="D3121" t="s">
        <v>98</v>
      </c>
      <c r="E3121">
        <v>139.99</v>
      </c>
      <c r="F3121">
        <v>0</v>
      </c>
      <c r="H3121" t="s">
        <v>8</v>
      </c>
      <c r="I3121">
        <v>0</v>
      </c>
      <c r="J3121">
        <v>0</v>
      </c>
      <c r="K3121">
        <v>0</v>
      </c>
    </row>
    <row r="3122" spans="1:11" x14ac:dyDescent="0.2">
      <c r="A3122" t="s">
        <v>4330</v>
      </c>
      <c r="B3122" t="s">
        <v>4331</v>
      </c>
      <c r="C3122" t="s">
        <v>4283</v>
      </c>
      <c r="D3122" t="s">
        <v>98</v>
      </c>
      <c r="E3122">
        <v>89.99</v>
      </c>
      <c r="F3122">
        <v>0</v>
      </c>
      <c r="H3122" t="s">
        <v>8</v>
      </c>
      <c r="I3122">
        <v>0</v>
      </c>
      <c r="J3122">
        <v>0</v>
      </c>
      <c r="K3122">
        <v>0</v>
      </c>
    </row>
    <row r="3123" spans="1:11" x14ac:dyDescent="0.2">
      <c r="A3123" t="s">
        <v>4328</v>
      </c>
      <c r="B3123" t="s">
        <v>4329</v>
      </c>
      <c r="C3123" t="s">
        <v>4283</v>
      </c>
      <c r="D3123" t="s">
        <v>105</v>
      </c>
      <c r="E3123">
        <v>179.99</v>
      </c>
      <c r="F3123">
        <v>0</v>
      </c>
      <c r="H3123" t="s">
        <v>8</v>
      </c>
      <c r="I3123">
        <v>0.16666666666666666</v>
      </c>
      <c r="J3123">
        <v>36</v>
      </c>
      <c r="K3123">
        <v>6</v>
      </c>
    </row>
    <row r="3124" spans="1:11" x14ac:dyDescent="0.2">
      <c r="A3124" t="s">
        <v>5302</v>
      </c>
      <c r="B3124" t="s">
        <v>5303</v>
      </c>
      <c r="C3124" t="s">
        <v>5304</v>
      </c>
      <c r="D3124" t="s">
        <v>98</v>
      </c>
      <c r="E3124">
        <v>1199.99</v>
      </c>
      <c r="F3124">
        <v>0</v>
      </c>
      <c r="H3124" t="s">
        <v>8</v>
      </c>
      <c r="I3124">
        <v>0</v>
      </c>
      <c r="J3124">
        <v>0</v>
      </c>
      <c r="K3124">
        <v>0</v>
      </c>
    </row>
    <row r="3125" spans="1:11" x14ac:dyDescent="0.2">
      <c r="A3125" t="s">
        <v>4292</v>
      </c>
      <c r="B3125" t="s">
        <v>4293</v>
      </c>
      <c r="C3125" t="s">
        <v>4283</v>
      </c>
      <c r="D3125" t="s">
        <v>105</v>
      </c>
      <c r="E3125">
        <v>379.99</v>
      </c>
      <c r="F3125">
        <v>0</v>
      </c>
      <c r="G3125">
        <v>3</v>
      </c>
      <c r="H3125" t="s">
        <v>8</v>
      </c>
      <c r="I3125">
        <v>0</v>
      </c>
      <c r="J3125">
        <v>0</v>
      </c>
      <c r="K3125">
        <v>0</v>
      </c>
    </row>
    <row r="3126" spans="1:11" x14ac:dyDescent="0.2">
      <c r="A3126" t="s">
        <v>4294</v>
      </c>
      <c r="B3126" t="s">
        <v>4295</v>
      </c>
      <c r="C3126" t="s">
        <v>4283</v>
      </c>
      <c r="D3126" t="s">
        <v>105</v>
      </c>
      <c r="E3126">
        <v>5699.99</v>
      </c>
      <c r="F3126">
        <v>0</v>
      </c>
      <c r="G3126">
        <v>6</v>
      </c>
      <c r="H3126" t="s">
        <v>8</v>
      </c>
      <c r="I3126">
        <v>0</v>
      </c>
      <c r="J3126">
        <v>0</v>
      </c>
      <c r="K3126">
        <v>0</v>
      </c>
    </row>
    <row r="3127" spans="1:11" x14ac:dyDescent="0.2">
      <c r="A3127" t="s">
        <v>726</v>
      </c>
      <c r="B3127" t="s">
        <v>727</v>
      </c>
      <c r="C3127" t="s">
        <v>582</v>
      </c>
      <c r="D3127" t="s">
        <v>105</v>
      </c>
      <c r="E3127">
        <v>149.99</v>
      </c>
      <c r="F3127">
        <v>0</v>
      </c>
      <c r="G3127">
        <v>50</v>
      </c>
      <c r="H3127" t="s">
        <v>8</v>
      </c>
      <c r="I3127">
        <v>0.83333333333333337</v>
      </c>
      <c r="J3127">
        <v>22</v>
      </c>
      <c r="K3127">
        <v>18</v>
      </c>
    </row>
    <row r="3128" spans="1:11" x14ac:dyDescent="0.2">
      <c r="A3128" t="s">
        <v>4306</v>
      </c>
      <c r="B3128" t="s">
        <v>4307</v>
      </c>
      <c r="C3128" t="s">
        <v>4283</v>
      </c>
      <c r="D3128" t="s">
        <v>98</v>
      </c>
      <c r="E3128">
        <v>329.99</v>
      </c>
      <c r="F3128">
        <v>0</v>
      </c>
      <c r="H3128" t="s">
        <v>8</v>
      </c>
      <c r="I3128">
        <v>0</v>
      </c>
      <c r="J3128">
        <v>0</v>
      </c>
      <c r="K3128">
        <v>0</v>
      </c>
    </row>
    <row r="3129" spans="1:11" x14ac:dyDescent="0.2">
      <c r="A3129" t="s">
        <v>4312</v>
      </c>
      <c r="B3129" t="s">
        <v>4313</v>
      </c>
      <c r="C3129" t="s">
        <v>4283</v>
      </c>
      <c r="D3129" t="s">
        <v>98</v>
      </c>
      <c r="E3129">
        <v>329.99</v>
      </c>
      <c r="F3129">
        <v>0</v>
      </c>
      <c r="H3129" t="s">
        <v>8</v>
      </c>
      <c r="I3129">
        <v>0</v>
      </c>
      <c r="J3129">
        <v>0</v>
      </c>
      <c r="K3129">
        <v>0</v>
      </c>
    </row>
    <row r="3130" spans="1:11" x14ac:dyDescent="0.2">
      <c r="A3130" t="s">
        <v>5284</v>
      </c>
      <c r="B3130" t="s">
        <v>5285</v>
      </c>
      <c r="C3130" t="s">
        <v>4283</v>
      </c>
      <c r="D3130" t="s">
        <v>105</v>
      </c>
      <c r="E3130">
        <v>329.99</v>
      </c>
      <c r="F3130">
        <v>0</v>
      </c>
      <c r="G3130">
        <v>1</v>
      </c>
      <c r="H3130" t="s">
        <v>8</v>
      </c>
      <c r="I3130">
        <v>0</v>
      </c>
      <c r="J3130">
        <v>0</v>
      </c>
      <c r="K3130">
        <v>0</v>
      </c>
    </row>
    <row r="3131" spans="1:11" x14ac:dyDescent="0.2">
      <c r="A3131" t="s">
        <v>5282</v>
      </c>
      <c r="B3131" t="s">
        <v>5283</v>
      </c>
      <c r="C3131" t="s">
        <v>4283</v>
      </c>
      <c r="D3131" t="s">
        <v>105</v>
      </c>
      <c r="E3131">
        <v>329.99</v>
      </c>
      <c r="F3131">
        <v>0</v>
      </c>
      <c r="G3131">
        <v>1</v>
      </c>
      <c r="H3131" t="s">
        <v>8</v>
      </c>
      <c r="I3131">
        <v>0</v>
      </c>
      <c r="J3131">
        <v>0</v>
      </c>
      <c r="K3131">
        <v>0</v>
      </c>
    </row>
    <row r="3132" spans="1:11" x14ac:dyDescent="0.2">
      <c r="A3132" t="s">
        <v>5276</v>
      </c>
      <c r="B3132" t="s">
        <v>5277</v>
      </c>
      <c r="C3132" t="s">
        <v>4283</v>
      </c>
      <c r="D3132" t="s">
        <v>105</v>
      </c>
      <c r="E3132">
        <v>329.99</v>
      </c>
      <c r="F3132">
        <v>0</v>
      </c>
      <c r="G3132">
        <v>1</v>
      </c>
      <c r="H3132" t="s">
        <v>8</v>
      </c>
      <c r="I3132">
        <v>0</v>
      </c>
      <c r="J3132">
        <v>0</v>
      </c>
      <c r="K3132">
        <v>0</v>
      </c>
    </row>
    <row r="3133" spans="1:11" x14ac:dyDescent="0.2">
      <c r="A3133" t="s">
        <v>4316</v>
      </c>
      <c r="B3133" t="s">
        <v>4317</v>
      </c>
      <c r="C3133" t="s">
        <v>4283</v>
      </c>
      <c r="D3133" t="s">
        <v>105</v>
      </c>
      <c r="E3133">
        <v>249.99</v>
      </c>
      <c r="F3133">
        <v>0</v>
      </c>
      <c r="G3133">
        <v>9</v>
      </c>
      <c r="H3133" t="s">
        <v>8</v>
      </c>
      <c r="I3133">
        <v>0</v>
      </c>
      <c r="J3133">
        <v>0</v>
      </c>
      <c r="K3133">
        <v>0</v>
      </c>
    </row>
    <row r="3134" spans="1:11" x14ac:dyDescent="0.2">
      <c r="A3134" t="s">
        <v>4318</v>
      </c>
      <c r="B3134" t="s">
        <v>4319</v>
      </c>
      <c r="C3134" t="s">
        <v>4283</v>
      </c>
      <c r="D3134" t="s">
        <v>105</v>
      </c>
      <c r="E3134">
        <v>2899.99</v>
      </c>
      <c r="F3134">
        <v>0</v>
      </c>
      <c r="G3134">
        <v>3</v>
      </c>
      <c r="H3134" t="s">
        <v>8</v>
      </c>
      <c r="I3134">
        <v>0</v>
      </c>
      <c r="J3134">
        <v>0</v>
      </c>
      <c r="K3134">
        <v>0</v>
      </c>
    </row>
    <row r="3135" spans="1:11" x14ac:dyDescent="0.2">
      <c r="A3135" t="s">
        <v>4322</v>
      </c>
      <c r="B3135" t="s">
        <v>4323</v>
      </c>
      <c r="C3135" t="s">
        <v>4283</v>
      </c>
      <c r="D3135" t="s">
        <v>105</v>
      </c>
      <c r="E3135">
        <v>299.99</v>
      </c>
      <c r="F3135">
        <v>0</v>
      </c>
      <c r="G3135">
        <v>5</v>
      </c>
      <c r="H3135" t="s">
        <v>8</v>
      </c>
      <c r="I3135">
        <v>0</v>
      </c>
      <c r="J3135">
        <v>0</v>
      </c>
      <c r="K3135">
        <v>0</v>
      </c>
    </row>
    <row r="3136" spans="1:11" x14ac:dyDescent="0.2">
      <c r="A3136" t="s">
        <v>5357</v>
      </c>
      <c r="B3136" t="s">
        <v>5358</v>
      </c>
      <c r="C3136" t="s">
        <v>4283</v>
      </c>
      <c r="D3136" t="s">
        <v>98</v>
      </c>
      <c r="E3136">
        <v>249.99</v>
      </c>
      <c r="F3136">
        <v>0</v>
      </c>
      <c r="H3136" t="s">
        <v>8</v>
      </c>
      <c r="I3136">
        <v>0</v>
      </c>
      <c r="J3136">
        <v>0</v>
      </c>
      <c r="K3136">
        <v>0</v>
      </c>
    </row>
    <row r="3137" spans="1:11" x14ac:dyDescent="0.2">
      <c r="A3137" t="s">
        <v>301</v>
      </c>
      <c r="B3137" t="s">
        <v>302</v>
      </c>
      <c r="C3137" t="s">
        <v>288</v>
      </c>
      <c r="D3137" t="s">
        <v>105</v>
      </c>
      <c r="E3137">
        <v>199.99</v>
      </c>
      <c r="F3137">
        <v>0</v>
      </c>
      <c r="G3137">
        <v>44</v>
      </c>
      <c r="H3137" t="s">
        <v>8</v>
      </c>
      <c r="I3137">
        <v>0</v>
      </c>
      <c r="J3137">
        <v>0</v>
      </c>
      <c r="K3137">
        <v>13</v>
      </c>
    </row>
    <row r="3138" spans="1:11" x14ac:dyDescent="0.2">
      <c r="A3138" t="s">
        <v>4324</v>
      </c>
      <c r="B3138" t="s">
        <v>4325</v>
      </c>
      <c r="C3138" t="s">
        <v>4283</v>
      </c>
      <c r="D3138" t="s">
        <v>98</v>
      </c>
      <c r="E3138">
        <v>89.99</v>
      </c>
      <c r="F3138">
        <v>0</v>
      </c>
      <c r="H3138" t="s">
        <v>8</v>
      </c>
      <c r="I3138">
        <v>0</v>
      </c>
      <c r="J3138">
        <v>0</v>
      </c>
      <c r="K3138">
        <v>0</v>
      </c>
    </row>
    <row r="3139" spans="1:11" x14ac:dyDescent="0.2">
      <c r="A3139" t="s">
        <v>4326</v>
      </c>
      <c r="B3139" t="s">
        <v>4327</v>
      </c>
      <c r="C3139" t="s">
        <v>4283</v>
      </c>
      <c r="D3139" t="s">
        <v>98</v>
      </c>
      <c r="E3139">
        <v>89.99</v>
      </c>
      <c r="F3139">
        <v>0</v>
      </c>
      <c r="H3139" t="s">
        <v>8</v>
      </c>
      <c r="I3139">
        <v>0</v>
      </c>
      <c r="J3139">
        <v>0</v>
      </c>
      <c r="K3139">
        <v>0</v>
      </c>
    </row>
    <row r="3140" spans="1:11" x14ac:dyDescent="0.2">
      <c r="A3140" t="s">
        <v>5702</v>
      </c>
      <c r="B3140" t="s">
        <v>5703</v>
      </c>
      <c r="C3140" t="s">
        <v>4283</v>
      </c>
      <c r="D3140" t="s">
        <v>98</v>
      </c>
      <c r="E3140">
        <v>89.99</v>
      </c>
      <c r="F3140">
        <v>0</v>
      </c>
      <c r="H3140" t="s">
        <v>8</v>
      </c>
      <c r="I3140">
        <v>0</v>
      </c>
      <c r="J3140">
        <v>0</v>
      </c>
      <c r="K3140">
        <v>0</v>
      </c>
    </row>
    <row r="3141" spans="1:11" x14ac:dyDescent="0.2">
      <c r="A3141" t="s">
        <v>5644</v>
      </c>
      <c r="B3141" t="s">
        <v>5645</v>
      </c>
      <c r="C3141" t="s">
        <v>4283</v>
      </c>
      <c r="D3141" t="s">
        <v>98</v>
      </c>
      <c r="E3141">
        <v>89.99</v>
      </c>
      <c r="F3141">
        <v>0</v>
      </c>
      <c r="H3141" t="s">
        <v>8</v>
      </c>
      <c r="I3141">
        <v>0</v>
      </c>
      <c r="J3141">
        <v>0</v>
      </c>
      <c r="K3141">
        <v>0</v>
      </c>
    </row>
    <row r="3142" spans="1:11" x14ac:dyDescent="0.2">
      <c r="A3142" t="s">
        <v>4459</v>
      </c>
      <c r="B3142" t="s">
        <v>4460</v>
      </c>
      <c r="C3142" t="s">
        <v>4437</v>
      </c>
      <c r="D3142" t="s">
        <v>98</v>
      </c>
      <c r="E3142">
        <v>99.99</v>
      </c>
      <c r="F3142">
        <v>0</v>
      </c>
      <c r="H3142" t="s">
        <v>8</v>
      </c>
      <c r="I3142">
        <v>0</v>
      </c>
      <c r="J3142">
        <v>0</v>
      </c>
      <c r="K3142">
        <v>0</v>
      </c>
    </row>
    <row r="3143" spans="1:11" x14ac:dyDescent="0.2">
      <c r="A3143" t="s">
        <v>2181</v>
      </c>
      <c r="B3143" t="s">
        <v>2182</v>
      </c>
      <c r="C3143" t="s">
        <v>2174</v>
      </c>
      <c r="D3143" t="s">
        <v>98</v>
      </c>
      <c r="E3143">
        <v>44.99</v>
      </c>
      <c r="F3143">
        <v>0</v>
      </c>
      <c r="H3143" t="s">
        <v>8</v>
      </c>
      <c r="I3143">
        <v>0</v>
      </c>
      <c r="J3143">
        <v>0</v>
      </c>
      <c r="K3143">
        <v>0</v>
      </c>
    </row>
    <row r="3144" spans="1:11" x14ac:dyDescent="0.2">
      <c r="A3144" t="s">
        <v>4461</v>
      </c>
      <c r="B3144" t="s">
        <v>4462</v>
      </c>
      <c r="C3144" t="s">
        <v>4437</v>
      </c>
      <c r="D3144" t="s">
        <v>98</v>
      </c>
      <c r="E3144">
        <v>139.99</v>
      </c>
      <c r="F3144">
        <v>0</v>
      </c>
      <c r="H3144" t="s">
        <v>8</v>
      </c>
      <c r="I3144">
        <v>0</v>
      </c>
      <c r="J3144">
        <v>0</v>
      </c>
      <c r="K3144">
        <v>0</v>
      </c>
    </row>
    <row r="3145" spans="1:11" x14ac:dyDescent="0.2">
      <c r="A3145" t="s">
        <v>5335</v>
      </c>
      <c r="B3145" t="s">
        <v>5336</v>
      </c>
      <c r="C3145" t="s">
        <v>2174</v>
      </c>
      <c r="D3145" t="s">
        <v>98</v>
      </c>
      <c r="E3145">
        <v>89.99</v>
      </c>
      <c r="F3145">
        <v>0</v>
      </c>
      <c r="H3145" t="s">
        <v>8</v>
      </c>
      <c r="I3145">
        <v>0</v>
      </c>
      <c r="J3145">
        <v>0</v>
      </c>
      <c r="K3145">
        <v>0</v>
      </c>
    </row>
    <row r="3146" spans="1:11" x14ac:dyDescent="0.2">
      <c r="A3146" t="s">
        <v>5142</v>
      </c>
      <c r="B3146" t="s">
        <v>5143</v>
      </c>
      <c r="C3146" t="s">
        <v>4518</v>
      </c>
      <c r="D3146" t="s">
        <v>98</v>
      </c>
      <c r="E3146">
        <v>109.99</v>
      </c>
      <c r="F3146">
        <v>0</v>
      </c>
      <c r="H3146" t="s">
        <v>8</v>
      </c>
      <c r="I3146">
        <v>0</v>
      </c>
      <c r="J3146">
        <v>0</v>
      </c>
      <c r="K3146">
        <v>0</v>
      </c>
    </row>
    <row r="3147" spans="1:11" x14ac:dyDescent="0.2">
      <c r="A3147" t="s">
        <v>5140</v>
      </c>
      <c r="B3147" t="s">
        <v>5141</v>
      </c>
      <c r="C3147" t="s">
        <v>904</v>
      </c>
      <c r="D3147" t="s">
        <v>98</v>
      </c>
      <c r="E3147">
        <v>29.99</v>
      </c>
      <c r="F3147">
        <v>0</v>
      </c>
      <c r="H3147" t="s">
        <v>8</v>
      </c>
      <c r="I3147">
        <v>0</v>
      </c>
      <c r="J3147">
        <v>0</v>
      </c>
      <c r="K3147">
        <v>0</v>
      </c>
    </row>
    <row r="3148" spans="1:11" x14ac:dyDescent="0.2">
      <c r="A3148" t="s">
        <v>5134</v>
      </c>
      <c r="B3148" t="s">
        <v>5135</v>
      </c>
      <c r="C3148" t="s">
        <v>904</v>
      </c>
      <c r="D3148" t="s">
        <v>98</v>
      </c>
      <c r="E3148">
        <v>49.99</v>
      </c>
      <c r="F3148">
        <v>0</v>
      </c>
      <c r="H3148" t="s">
        <v>8</v>
      </c>
      <c r="I3148">
        <v>0</v>
      </c>
      <c r="J3148">
        <v>0</v>
      </c>
      <c r="K3148">
        <v>0</v>
      </c>
    </row>
    <row r="3149" spans="1:11" x14ac:dyDescent="0.2">
      <c r="A3149" t="s">
        <v>5132</v>
      </c>
      <c r="B3149" t="s">
        <v>5133</v>
      </c>
      <c r="C3149" t="s">
        <v>4518</v>
      </c>
      <c r="D3149" t="s">
        <v>98</v>
      </c>
      <c r="E3149">
        <v>49.99</v>
      </c>
      <c r="F3149">
        <v>0</v>
      </c>
      <c r="H3149" t="s">
        <v>8</v>
      </c>
      <c r="I3149">
        <v>0</v>
      </c>
      <c r="J3149">
        <v>0</v>
      </c>
      <c r="K3149">
        <v>0</v>
      </c>
    </row>
    <row r="3150" spans="1:11" x14ac:dyDescent="0.2">
      <c r="A3150" t="s">
        <v>5152</v>
      </c>
      <c r="B3150" t="s">
        <v>5153</v>
      </c>
      <c r="C3150" t="s">
        <v>904</v>
      </c>
      <c r="D3150" t="s">
        <v>98</v>
      </c>
      <c r="E3150">
        <v>79.989999999999995</v>
      </c>
      <c r="F3150">
        <v>0</v>
      </c>
      <c r="H3150" t="s">
        <v>8</v>
      </c>
      <c r="I3150">
        <v>0</v>
      </c>
      <c r="J3150">
        <v>0</v>
      </c>
      <c r="K3150">
        <v>0</v>
      </c>
    </row>
    <row r="3151" spans="1:11" x14ac:dyDescent="0.2">
      <c r="A3151" t="s">
        <v>5154</v>
      </c>
      <c r="B3151" t="s">
        <v>5155</v>
      </c>
      <c r="C3151" t="s">
        <v>4518</v>
      </c>
      <c r="D3151" t="s">
        <v>98</v>
      </c>
      <c r="E3151">
        <v>49.99</v>
      </c>
      <c r="F3151">
        <v>0</v>
      </c>
      <c r="H3151" t="s">
        <v>8</v>
      </c>
      <c r="I3151">
        <v>0</v>
      </c>
      <c r="J3151">
        <v>0</v>
      </c>
      <c r="K3151">
        <v>0</v>
      </c>
    </row>
    <row r="3152" spans="1:11" x14ac:dyDescent="0.2">
      <c r="A3152" t="s">
        <v>5171</v>
      </c>
      <c r="B3152" t="s">
        <v>5172</v>
      </c>
      <c r="C3152" t="s">
        <v>4518</v>
      </c>
      <c r="D3152" t="s">
        <v>98</v>
      </c>
      <c r="E3152">
        <v>59.99</v>
      </c>
      <c r="F3152">
        <v>0</v>
      </c>
      <c r="H3152" t="s">
        <v>8</v>
      </c>
      <c r="I3152">
        <v>0</v>
      </c>
      <c r="J3152">
        <v>0</v>
      </c>
      <c r="K3152">
        <v>0</v>
      </c>
    </row>
    <row r="3153" spans="1:11" x14ac:dyDescent="0.2">
      <c r="A3153" t="s">
        <v>5173</v>
      </c>
      <c r="B3153" t="s">
        <v>5174</v>
      </c>
      <c r="C3153" t="s">
        <v>904</v>
      </c>
      <c r="D3153" t="s">
        <v>98</v>
      </c>
      <c r="E3153">
        <v>169.99</v>
      </c>
      <c r="F3153">
        <v>0</v>
      </c>
      <c r="H3153" t="s">
        <v>8</v>
      </c>
      <c r="I3153">
        <v>0</v>
      </c>
      <c r="J3153">
        <v>0</v>
      </c>
      <c r="K3153">
        <v>0</v>
      </c>
    </row>
    <row r="3154" spans="1:11" x14ac:dyDescent="0.2">
      <c r="A3154" t="s">
        <v>5167</v>
      </c>
      <c r="B3154" t="s">
        <v>5168</v>
      </c>
      <c r="C3154" t="s">
        <v>4518</v>
      </c>
      <c r="D3154" t="s">
        <v>98</v>
      </c>
      <c r="E3154">
        <v>69.989999999999995</v>
      </c>
      <c r="F3154">
        <v>0</v>
      </c>
      <c r="H3154" t="s">
        <v>8</v>
      </c>
      <c r="I3154">
        <v>0</v>
      </c>
      <c r="J3154">
        <v>0</v>
      </c>
      <c r="K3154">
        <v>0</v>
      </c>
    </row>
    <row r="3155" spans="1:11" x14ac:dyDescent="0.2">
      <c r="A3155" t="s">
        <v>5165</v>
      </c>
      <c r="B3155" t="s">
        <v>5166</v>
      </c>
      <c r="C3155" t="s">
        <v>904</v>
      </c>
      <c r="D3155" t="s">
        <v>98</v>
      </c>
      <c r="E3155">
        <v>99.99</v>
      </c>
      <c r="F3155">
        <v>0</v>
      </c>
      <c r="H3155" t="s">
        <v>8</v>
      </c>
      <c r="I3155">
        <v>0</v>
      </c>
      <c r="J3155">
        <v>0</v>
      </c>
      <c r="K3155">
        <v>0</v>
      </c>
    </row>
    <row r="3156" spans="1:11" x14ac:dyDescent="0.2">
      <c r="A3156" t="s">
        <v>5162</v>
      </c>
      <c r="B3156" t="s">
        <v>5163</v>
      </c>
      <c r="C3156" t="s">
        <v>4518</v>
      </c>
      <c r="D3156" t="s">
        <v>98</v>
      </c>
      <c r="E3156">
        <v>99.99</v>
      </c>
      <c r="F3156">
        <v>0</v>
      </c>
      <c r="H3156" t="s">
        <v>8</v>
      </c>
      <c r="I3156">
        <v>0</v>
      </c>
      <c r="J3156">
        <v>0</v>
      </c>
      <c r="K3156">
        <v>0</v>
      </c>
    </row>
    <row r="3157" spans="1:11" x14ac:dyDescent="0.2">
      <c r="A3157" t="s">
        <v>5164</v>
      </c>
      <c r="B3157" t="s">
        <v>875</v>
      </c>
      <c r="C3157" t="s">
        <v>874</v>
      </c>
      <c r="D3157" t="s">
        <v>98</v>
      </c>
      <c r="E3157">
        <v>79.989999999999995</v>
      </c>
      <c r="F3157">
        <v>0</v>
      </c>
      <c r="H3157" t="s">
        <v>8</v>
      </c>
      <c r="I3157">
        <v>0</v>
      </c>
      <c r="J3157">
        <v>0</v>
      </c>
      <c r="K3157">
        <v>0</v>
      </c>
    </row>
    <row r="3158" spans="1:11" x14ac:dyDescent="0.2">
      <c r="A3158" t="s">
        <v>5156</v>
      </c>
      <c r="B3158" t="s">
        <v>5157</v>
      </c>
      <c r="C3158" t="s">
        <v>4518</v>
      </c>
      <c r="D3158" t="s">
        <v>98</v>
      </c>
      <c r="E3158">
        <v>129.99</v>
      </c>
      <c r="F3158">
        <v>0</v>
      </c>
      <c r="H3158" t="s">
        <v>8</v>
      </c>
      <c r="I3158">
        <v>0</v>
      </c>
      <c r="J3158">
        <v>0</v>
      </c>
      <c r="K3158">
        <v>0</v>
      </c>
    </row>
    <row r="3159" spans="1:11" x14ac:dyDescent="0.2">
      <c r="A3159" t="s">
        <v>5177</v>
      </c>
      <c r="B3159" t="s">
        <v>5178</v>
      </c>
      <c r="C3159" t="s">
        <v>4518</v>
      </c>
      <c r="D3159" t="s">
        <v>98</v>
      </c>
      <c r="E3159">
        <v>159.99</v>
      </c>
      <c r="F3159">
        <v>0</v>
      </c>
      <c r="H3159" t="s">
        <v>8</v>
      </c>
      <c r="I3159">
        <v>0</v>
      </c>
      <c r="J3159">
        <v>0</v>
      </c>
      <c r="K3159">
        <v>0</v>
      </c>
    </row>
    <row r="3160" spans="1:11" x14ac:dyDescent="0.2">
      <c r="A3160" t="s">
        <v>5233</v>
      </c>
      <c r="B3160" t="s">
        <v>5234</v>
      </c>
      <c r="C3160" t="s">
        <v>4518</v>
      </c>
      <c r="D3160" t="s">
        <v>98</v>
      </c>
      <c r="E3160">
        <v>159.99</v>
      </c>
      <c r="F3160">
        <v>0</v>
      </c>
      <c r="H3160" t="s">
        <v>8</v>
      </c>
      <c r="I3160">
        <v>0</v>
      </c>
      <c r="J3160">
        <v>0</v>
      </c>
      <c r="K3160">
        <v>0</v>
      </c>
    </row>
    <row r="3161" spans="1:11" x14ac:dyDescent="0.2">
      <c r="A3161" t="s">
        <v>5231</v>
      </c>
      <c r="B3161" t="s">
        <v>5232</v>
      </c>
      <c r="C3161" t="s">
        <v>4518</v>
      </c>
      <c r="D3161" t="s">
        <v>98</v>
      </c>
      <c r="E3161">
        <v>99.99</v>
      </c>
      <c r="F3161">
        <v>0</v>
      </c>
      <c r="H3161" t="s">
        <v>8</v>
      </c>
      <c r="I3161">
        <v>0</v>
      </c>
      <c r="J3161">
        <v>0</v>
      </c>
      <c r="K3161">
        <v>0</v>
      </c>
    </row>
    <row r="3162" spans="1:11" x14ac:dyDescent="0.2">
      <c r="A3162" t="s">
        <v>5227</v>
      </c>
      <c r="B3162" t="s">
        <v>5228</v>
      </c>
      <c r="C3162" t="s">
        <v>4518</v>
      </c>
      <c r="D3162" t="s">
        <v>98</v>
      </c>
      <c r="E3162">
        <v>89.99</v>
      </c>
      <c r="F3162">
        <v>0</v>
      </c>
      <c r="H3162" t="s">
        <v>8</v>
      </c>
      <c r="I3162">
        <v>0</v>
      </c>
      <c r="J3162">
        <v>0</v>
      </c>
      <c r="K3162">
        <v>0</v>
      </c>
    </row>
    <row r="3163" spans="1:11" x14ac:dyDescent="0.2">
      <c r="A3163" t="s">
        <v>720</v>
      </c>
      <c r="B3163" t="s">
        <v>721</v>
      </c>
      <c r="C3163" t="s">
        <v>582</v>
      </c>
      <c r="D3163" t="s">
        <v>105</v>
      </c>
      <c r="E3163">
        <v>69.989999999999995</v>
      </c>
      <c r="F3163">
        <v>0</v>
      </c>
      <c r="G3163">
        <v>26</v>
      </c>
      <c r="H3163" t="s">
        <v>8</v>
      </c>
      <c r="I3163">
        <v>0.16666666666666666</v>
      </c>
      <c r="J3163">
        <v>252</v>
      </c>
      <c r="K3163">
        <v>42</v>
      </c>
    </row>
    <row r="3164" spans="1:11" x14ac:dyDescent="0.2">
      <c r="A3164" t="s">
        <v>5225</v>
      </c>
      <c r="B3164" t="s">
        <v>5226</v>
      </c>
      <c r="C3164" t="s">
        <v>4518</v>
      </c>
      <c r="D3164" t="s">
        <v>98</v>
      </c>
      <c r="E3164">
        <v>89.99</v>
      </c>
      <c r="F3164">
        <v>0</v>
      </c>
      <c r="H3164" t="s">
        <v>8</v>
      </c>
      <c r="I3164">
        <v>0</v>
      </c>
      <c r="J3164">
        <v>0</v>
      </c>
      <c r="K3164">
        <v>0</v>
      </c>
    </row>
    <row r="3165" spans="1:11" x14ac:dyDescent="0.2">
      <c r="A3165" t="s">
        <v>5223</v>
      </c>
      <c r="B3165" t="s">
        <v>5224</v>
      </c>
      <c r="C3165" t="s">
        <v>4518</v>
      </c>
      <c r="D3165" t="s">
        <v>98</v>
      </c>
      <c r="E3165">
        <v>89.99</v>
      </c>
      <c r="F3165">
        <v>0</v>
      </c>
      <c r="H3165" t="s">
        <v>8</v>
      </c>
      <c r="I3165">
        <v>0</v>
      </c>
      <c r="J3165">
        <v>0</v>
      </c>
      <c r="K3165">
        <v>0</v>
      </c>
    </row>
    <row r="3166" spans="1:11" x14ac:dyDescent="0.2">
      <c r="A3166" t="s">
        <v>5221</v>
      </c>
      <c r="B3166" t="s">
        <v>5222</v>
      </c>
      <c r="C3166" t="s">
        <v>4518</v>
      </c>
      <c r="D3166" t="s">
        <v>98</v>
      </c>
      <c r="E3166">
        <v>89.99</v>
      </c>
      <c r="F3166">
        <v>0</v>
      </c>
      <c r="H3166" t="s">
        <v>8</v>
      </c>
      <c r="I3166">
        <v>0</v>
      </c>
      <c r="J3166">
        <v>0</v>
      </c>
      <c r="K3166">
        <v>0</v>
      </c>
    </row>
    <row r="3167" spans="1:11" x14ac:dyDescent="0.2">
      <c r="A3167" t="s">
        <v>5146</v>
      </c>
      <c r="B3167" t="s">
        <v>5147</v>
      </c>
      <c r="C3167" t="s">
        <v>904</v>
      </c>
      <c r="D3167" t="s">
        <v>98</v>
      </c>
      <c r="E3167">
        <v>179.99</v>
      </c>
      <c r="F3167">
        <v>0</v>
      </c>
      <c r="H3167" t="s">
        <v>8</v>
      </c>
      <c r="I3167">
        <v>0</v>
      </c>
      <c r="J3167">
        <v>0</v>
      </c>
      <c r="K3167">
        <v>0</v>
      </c>
    </row>
    <row r="3168" spans="1:11" x14ac:dyDescent="0.2">
      <c r="A3168" t="s">
        <v>338</v>
      </c>
      <c r="B3168" t="s">
        <v>339</v>
      </c>
      <c r="C3168" t="s">
        <v>307</v>
      </c>
      <c r="D3168" t="s">
        <v>98</v>
      </c>
      <c r="E3168">
        <v>2899.99</v>
      </c>
      <c r="F3168">
        <v>0</v>
      </c>
      <c r="H3168" t="s">
        <v>8</v>
      </c>
      <c r="I3168">
        <v>0</v>
      </c>
      <c r="J3168">
        <v>0</v>
      </c>
      <c r="K3168">
        <v>0</v>
      </c>
    </row>
    <row r="3169" spans="1:11" x14ac:dyDescent="0.2">
      <c r="A3169" t="s">
        <v>4463</v>
      </c>
      <c r="B3169" t="s">
        <v>4464</v>
      </c>
      <c r="C3169" t="s">
        <v>4437</v>
      </c>
      <c r="D3169" t="s">
        <v>98</v>
      </c>
      <c r="E3169">
        <v>83.99</v>
      </c>
      <c r="F3169">
        <v>0</v>
      </c>
      <c r="H3169" t="s">
        <v>8</v>
      </c>
      <c r="I3169">
        <v>0</v>
      </c>
      <c r="J3169">
        <v>0</v>
      </c>
      <c r="K3169">
        <v>0</v>
      </c>
    </row>
    <row r="3170" spans="1:11" x14ac:dyDescent="0.2">
      <c r="A3170" t="s">
        <v>2103</v>
      </c>
      <c r="B3170" t="s">
        <v>2104</v>
      </c>
      <c r="C3170" t="s">
        <v>2094</v>
      </c>
      <c r="D3170" t="s">
        <v>98</v>
      </c>
      <c r="E3170">
        <v>139.99</v>
      </c>
      <c r="F3170">
        <v>0</v>
      </c>
      <c r="H3170" t="s">
        <v>8</v>
      </c>
      <c r="I3170">
        <v>0</v>
      </c>
      <c r="J3170">
        <v>0</v>
      </c>
      <c r="K3170">
        <v>0</v>
      </c>
    </row>
    <row r="3171" spans="1:11" x14ac:dyDescent="0.2">
      <c r="A3171" t="s">
        <v>4465</v>
      </c>
      <c r="B3171" t="s">
        <v>4466</v>
      </c>
      <c r="C3171" t="s">
        <v>4437</v>
      </c>
      <c r="D3171" t="s">
        <v>98</v>
      </c>
      <c r="E3171">
        <v>49.99</v>
      </c>
      <c r="F3171">
        <v>0</v>
      </c>
      <c r="H3171" t="s">
        <v>8</v>
      </c>
      <c r="I3171">
        <v>0</v>
      </c>
      <c r="J3171">
        <v>0</v>
      </c>
      <c r="K3171">
        <v>0</v>
      </c>
    </row>
    <row r="3172" spans="1:11" x14ac:dyDescent="0.2">
      <c r="A3172" t="s">
        <v>2097</v>
      </c>
      <c r="B3172" t="s">
        <v>2098</v>
      </c>
      <c r="C3172" t="s">
        <v>2094</v>
      </c>
      <c r="D3172" t="s">
        <v>98</v>
      </c>
      <c r="E3172">
        <v>159.99</v>
      </c>
      <c r="F3172">
        <v>0</v>
      </c>
      <c r="H3172" t="s">
        <v>8</v>
      </c>
      <c r="I3172">
        <v>0</v>
      </c>
      <c r="J3172">
        <v>0</v>
      </c>
      <c r="K3172">
        <v>0</v>
      </c>
    </row>
    <row r="3173" spans="1:11" x14ac:dyDescent="0.2">
      <c r="A3173" t="s">
        <v>4467</v>
      </c>
      <c r="B3173" t="s">
        <v>4468</v>
      </c>
      <c r="C3173" t="s">
        <v>4437</v>
      </c>
      <c r="D3173" t="s">
        <v>98</v>
      </c>
      <c r="E3173">
        <v>80.989999999999995</v>
      </c>
      <c r="F3173">
        <v>0</v>
      </c>
      <c r="H3173" t="s">
        <v>8</v>
      </c>
      <c r="I3173">
        <v>0</v>
      </c>
      <c r="J3173">
        <v>0</v>
      </c>
      <c r="K3173">
        <v>0</v>
      </c>
    </row>
    <row r="3174" spans="1:11" x14ac:dyDescent="0.2">
      <c r="A3174" t="s">
        <v>2095</v>
      </c>
      <c r="B3174" t="s">
        <v>2096</v>
      </c>
      <c r="C3174" t="s">
        <v>2094</v>
      </c>
      <c r="D3174" t="s">
        <v>98</v>
      </c>
      <c r="E3174">
        <v>119.99</v>
      </c>
      <c r="F3174">
        <v>0</v>
      </c>
      <c r="H3174" t="s">
        <v>8</v>
      </c>
      <c r="I3174">
        <v>0</v>
      </c>
      <c r="J3174">
        <v>0</v>
      </c>
      <c r="K3174">
        <v>0</v>
      </c>
    </row>
    <row r="3175" spans="1:11" x14ac:dyDescent="0.2">
      <c r="A3175" t="s">
        <v>4469</v>
      </c>
      <c r="B3175" t="s">
        <v>4470</v>
      </c>
      <c r="C3175" t="s">
        <v>4437</v>
      </c>
      <c r="D3175" t="s">
        <v>98</v>
      </c>
      <c r="E3175">
        <v>39.99</v>
      </c>
      <c r="F3175">
        <v>0</v>
      </c>
      <c r="H3175" t="s">
        <v>8</v>
      </c>
      <c r="I3175">
        <v>0</v>
      </c>
      <c r="J3175">
        <v>0</v>
      </c>
      <c r="K3175">
        <v>0</v>
      </c>
    </row>
    <row r="3176" spans="1:11" x14ac:dyDescent="0.2">
      <c r="A3176" t="s">
        <v>2101</v>
      </c>
      <c r="B3176" t="s">
        <v>2102</v>
      </c>
      <c r="C3176" t="s">
        <v>2094</v>
      </c>
      <c r="D3176" t="s">
        <v>138</v>
      </c>
      <c r="E3176">
        <v>219.99</v>
      </c>
      <c r="F3176">
        <v>0</v>
      </c>
      <c r="G3176">
        <v>30</v>
      </c>
      <c r="H3176" t="s">
        <v>8</v>
      </c>
      <c r="I3176">
        <v>0</v>
      </c>
      <c r="J3176">
        <v>0</v>
      </c>
      <c r="K3176">
        <v>0</v>
      </c>
    </row>
    <row r="3177" spans="1:11" x14ac:dyDescent="0.2">
      <c r="A3177" t="s">
        <v>4471</v>
      </c>
      <c r="B3177" t="s">
        <v>4472</v>
      </c>
      <c r="C3177" t="s">
        <v>4437</v>
      </c>
      <c r="D3177" t="s">
        <v>98</v>
      </c>
      <c r="E3177">
        <v>49.99</v>
      </c>
      <c r="F3177">
        <v>0</v>
      </c>
      <c r="H3177" t="s">
        <v>8</v>
      </c>
      <c r="I3177">
        <v>0</v>
      </c>
      <c r="J3177">
        <v>0</v>
      </c>
      <c r="K3177">
        <v>0</v>
      </c>
    </row>
    <row r="3178" spans="1:11" x14ac:dyDescent="0.2">
      <c r="A3178" t="s">
        <v>2099</v>
      </c>
      <c r="B3178" t="s">
        <v>2100</v>
      </c>
      <c r="C3178" t="s">
        <v>2094</v>
      </c>
      <c r="D3178" t="s">
        <v>98</v>
      </c>
      <c r="E3178">
        <v>99.99</v>
      </c>
      <c r="F3178">
        <v>0</v>
      </c>
      <c r="H3178" t="s">
        <v>8</v>
      </c>
      <c r="I3178">
        <v>0</v>
      </c>
      <c r="J3178">
        <v>0</v>
      </c>
      <c r="K3178">
        <v>0</v>
      </c>
    </row>
    <row r="3179" spans="1:11" x14ac:dyDescent="0.2">
      <c r="A3179" t="s">
        <v>4473</v>
      </c>
      <c r="B3179" t="s">
        <v>4474</v>
      </c>
      <c r="C3179" t="s">
        <v>4437</v>
      </c>
      <c r="D3179" t="s">
        <v>98</v>
      </c>
      <c r="E3179">
        <v>99.99</v>
      </c>
      <c r="F3179">
        <v>0</v>
      </c>
      <c r="H3179" t="s">
        <v>8</v>
      </c>
      <c r="I3179">
        <v>0</v>
      </c>
      <c r="J3179">
        <v>0</v>
      </c>
      <c r="K3179">
        <v>0</v>
      </c>
    </row>
    <row r="3180" spans="1:11" x14ac:dyDescent="0.2">
      <c r="A3180" t="s">
        <v>920</v>
      </c>
      <c r="B3180" t="s">
        <v>921</v>
      </c>
      <c r="C3180" t="s">
        <v>911</v>
      </c>
      <c r="D3180" t="s">
        <v>105</v>
      </c>
      <c r="E3180">
        <v>89.99</v>
      </c>
      <c r="F3180">
        <v>179.98</v>
      </c>
      <c r="G3180">
        <v>107</v>
      </c>
      <c r="H3180" t="s">
        <v>8</v>
      </c>
      <c r="I3180">
        <v>0.83333333333333337</v>
      </c>
      <c r="J3180">
        <v>16</v>
      </c>
      <c r="K3180">
        <v>13</v>
      </c>
    </row>
    <row r="3181" spans="1:11" x14ac:dyDescent="0.2">
      <c r="A3181" t="s">
        <v>4475</v>
      </c>
      <c r="B3181" t="s">
        <v>4476</v>
      </c>
      <c r="C3181" t="s">
        <v>4437</v>
      </c>
      <c r="D3181" t="s">
        <v>98</v>
      </c>
      <c r="E3181">
        <v>119.99</v>
      </c>
      <c r="F3181">
        <v>0</v>
      </c>
      <c r="H3181" t="s">
        <v>8</v>
      </c>
      <c r="I3181">
        <v>0</v>
      </c>
      <c r="J3181">
        <v>0</v>
      </c>
      <c r="K3181">
        <v>0</v>
      </c>
    </row>
    <row r="3182" spans="1:11" x14ac:dyDescent="0.2">
      <c r="A3182" t="s">
        <v>4477</v>
      </c>
      <c r="B3182" t="s">
        <v>4478</v>
      </c>
      <c r="C3182" t="s">
        <v>4437</v>
      </c>
      <c r="D3182" t="s">
        <v>98</v>
      </c>
      <c r="E3182">
        <v>119.99</v>
      </c>
      <c r="F3182">
        <v>0</v>
      </c>
      <c r="H3182" t="s">
        <v>8</v>
      </c>
      <c r="I3182">
        <v>0</v>
      </c>
      <c r="J3182">
        <v>0</v>
      </c>
      <c r="K3182">
        <v>0</v>
      </c>
    </row>
    <row r="3183" spans="1:11" x14ac:dyDescent="0.2">
      <c r="A3183" t="s">
        <v>958</v>
      </c>
      <c r="B3183" t="s">
        <v>959</v>
      </c>
      <c r="C3183" t="s">
        <v>911</v>
      </c>
      <c r="D3183" t="s">
        <v>105</v>
      </c>
      <c r="E3183">
        <v>169.99</v>
      </c>
      <c r="F3183">
        <v>0</v>
      </c>
      <c r="G3183">
        <v>49</v>
      </c>
      <c r="H3183" t="s">
        <v>8</v>
      </c>
      <c r="I3183">
        <v>1.3333333333333333</v>
      </c>
      <c r="J3183">
        <v>2</v>
      </c>
      <c r="K3183">
        <v>3</v>
      </c>
    </row>
    <row r="3184" spans="1:11" x14ac:dyDescent="0.2">
      <c r="A3184" t="s">
        <v>4479</v>
      </c>
      <c r="B3184" t="s">
        <v>4480</v>
      </c>
      <c r="C3184" t="s">
        <v>4437</v>
      </c>
      <c r="D3184" t="s">
        <v>98</v>
      </c>
      <c r="E3184">
        <v>69.989999999999995</v>
      </c>
      <c r="F3184">
        <v>0</v>
      </c>
      <c r="H3184" t="s">
        <v>8</v>
      </c>
      <c r="I3184">
        <v>0</v>
      </c>
      <c r="J3184">
        <v>0</v>
      </c>
      <c r="K3184">
        <v>0</v>
      </c>
    </row>
    <row r="3185" spans="1:11" x14ac:dyDescent="0.2">
      <c r="A3185" t="s">
        <v>954</v>
      </c>
      <c r="B3185" t="s">
        <v>955</v>
      </c>
      <c r="C3185" t="s">
        <v>911</v>
      </c>
      <c r="D3185" t="s">
        <v>105</v>
      </c>
      <c r="E3185">
        <v>49.99</v>
      </c>
      <c r="F3185">
        <v>0</v>
      </c>
      <c r="G3185">
        <v>163</v>
      </c>
      <c r="H3185" t="s">
        <v>8</v>
      </c>
      <c r="I3185">
        <v>0.33333333333333331</v>
      </c>
      <c r="J3185">
        <v>30</v>
      </c>
      <c r="K3185">
        <v>10</v>
      </c>
    </row>
    <row r="3186" spans="1:11" x14ac:dyDescent="0.2">
      <c r="A3186" t="s">
        <v>4481</v>
      </c>
      <c r="B3186" t="s">
        <v>4482</v>
      </c>
      <c r="C3186" t="s">
        <v>4437</v>
      </c>
      <c r="D3186" t="s">
        <v>98</v>
      </c>
      <c r="E3186">
        <v>119.99</v>
      </c>
      <c r="F3186">
        <v>0</v>
      </c>
      <c r="H3186" t="s">
        <v>8</v>
      </c>
      <c r="I3186">
        <v>0</v>
      </c>
      <c r="J3186">
        <v>0</v>
      </c>
      <c r="K3186">
        <v>0</v>
      </c>
    </row>
    <row r="3187" spans="1:11" x14ac:dyDescent="0.2">
      <c r="A3187" t="s">
        <v>5191</v>
      </c>
      <c r="B3187" t="s">
        <v>5192</v>
      </c>
      <c r="C3187" t="s">
        <v>4518</v>
      </c>
      <c r="D3187" t="s">
        <v>98</v>
      </c>
      <c r="E3187">
        <v>69.989999999999995</v>
      </c>
      <c r="F3187">
        <v>0</v>
      </c>
      <c r="H3187" t="s">
        <v>8</v>
      </c>
      <c r="I3187">
        <v>0</v>
      </c>
      <c r="J3187">
        <v>0</v>
      </c>
      <c r="K3187">
        <v>0</v>
      </c>
    </row>
    <row r="3188" spans="1:11" x14ac:dyDescent="0.2">
      <c r="A3188" t="s">
        <v>5189</v>
      </c>
      <c r="B3188" t="s">
        <v>5190</v>
      </c>
      <c r="C3188" t="s">
        <v>904</v>
      </c>
      <c r="D3188" t="s">
        <v>98</v>
      </c>
      <c r="E3188">
        <v>59.99</v>
      </c>
      <c r="F3188">
        <v>0</v>
      </c>
      <c r="H3188" t="s">
        <v>8</v>
      </c>
      <c r="I3188">
        <v>0</v>
      </c>
      <c r="J3188">
        <v>0</v>
      </c>
      <c r="K3188">
        <v>0</v>
      </c>
    </row>
    <row r="3189" spans="1:11" x14ac:dyDescent="0.2">
      <c r="A3189" t="s">
        <v>5179</v>
      </c>
      <c r="B3189" t="s">
        <v>5180</v>
      </c>
      <c r="C3189" t="s">
        <v>904</v>
      </c>
      <c r="D3189" t="s">
        <v>98</v>
      </c>
      <c r="E3189">
        <v>49.99</v>
      </c>
      <c r="F3189">
        <v>0</v>
      </c>
      <c r="H3189" t="s">
        <v>8</v>
      </c>
      <c r="I3189">
        <v>0</v>
      </c>
      <c r="J3189">
        <v>0</v>
      </c>
      <c r="K3189">
        <v>0</v>
      </c>
    </row>
    <row r="3190" spans="1:11" x14ac:dyDescent="0.2">
      <c r="A3190" t="s">
        <v>5150</v>
      </c>
      <c r="B3190" t="s">
        <v>5151</v>
      </c>
      <c r="C3190" t="s">
        <v>904</v>
      </c>
      <c r="D3190" t="s">
        <v>98</v>
      </c>
      <c r="E3190">
        <v>49.99</v>
      </c>
      <c r="F3190">
        <v>0</v>
      </c>
      <c r="H3190" t="s">
        <v>8</v>
      </c>
      <c r="I3190">
        <v>0</v>
      </c>
      <c r="J3190">
        <v>0</v>
      </c>
      <c r="K3190">
        <v>0</v>
      </c>
    </row>
    <row r="3191" spans="1:11" x14ac:dyDescent="0.2">
      <c r="A3191" t="s">
        <v>340</v>
      </c>
      <c r="B3191" t="s">
        <v>341</v>
      </c>
      <c r="C3191" t="s">
        <v>307</v>
      </c>
      <c r="D3191" t="s">
        <v>98</v>
      </c>
      <c r="E3191">
        <v>3299.99</v>
      </c>
      <c r="F3191">
        <v>0</v>
      </c>
      <c r="H3191" t="s">
        <v>8</v>
      </c>
      <c r="I3191">
        <v>0</v>
      </c>
      <c r="J3191">
        <v>0</v>
      </c>
      <c r="K3191">
        <v>0</v>
      </c>
    </row>
    <row r="3192" spans="1:11" x14ac:dyDescent="0.2">
      <c r="A3192" t="s">
        <v>344</v>
      </c>
      <c r="B3192" t="s">
        <v>345</v>
      </c>
      <c r="C3192" t="s">
        <v>307</v>
      </c>
      <c r="D3192" t="s">
        <v>98</v>
      </c>
      <c r="E3192">
        <v>3699.99</v>
      </c>
      <c r="F3192">
        <v>0</v>
      </c>
      <c r="H3192" t="s">
        <v>8</v>
      </c>
      <c r="I3192">
        <v>0</v>
      </c>
      <c r="J3192">
        <v>0</v>
      </c>
      <c r="K3192">
        <v>0</v>
      </c>
    </row>
    <row r="3193" spans="1:11" x14ac:dyDescent="0.2">
      <c r="A3193" t="s">
        <v>377</v>
      </c>
      <c r="B3193" t="s">
        <v>376</v>
      </c>
      <c r="C3193" t="s">
        <v>307</v>
      </c>
      <c r="D3193" t="s">
        <v>98</v>
      </c>
      <c r="E3193">
        <v>2299.9899999999998</v>
      </c>
      <c r="F3193">
        <v>0</v>
      </c>
      <c r="H3193" t="s">
        <v>8</v>
      </c>
      <c r="I3193">
        <v>0</v>
      </c>
      <c r="J3193">
        <v>0</v>
      </c>
      <c r="K3193">
        <v>0</v>
      </c>
    </row>
    <row r="3194" spans="1:11" x14ac:dyDescent="0.2">
      <c r="A3194" t="s">
        <v>5423</v>
      </c>
      <c r="B3194" t="s">
        <v>5424</v>
      </c>
      <c r="C3194" t="s">
        <v>5388</v>
      </c>
      <c r="D3194" t="s">
        <v>98</v>
      </c>
      <c r="E3194">
        <v>3999.99</v>
      </c>
      <c r="F3194">
        <v>0</v>
      </c>
      <c r="H3194" t="s">
        <v>8</v>
      </c>
      <c r="I3194">
        <v>0</v>
      </c>
      <c r="J3194">
        <v>0</v>
      </c>
      <c r="K3194">
        <v>0</v>
      </c>
    </row>
    <row r="3195" spans="1:11" x14ac:dyDescent="0.2">
      <c r="A3195" t="s">
        <v>5449</v>
      </c>
      <c r="B3195" t="s">
        <v>5450</v>
      </c>
      <c r="C3195" t="s">
        <v>904</v>
      </c>
      <c r="D3195" t="s">
        <v>98</v>
      </c>
      <c r="E3195">
        <v>199.99</v>
      </c>
      <c r="F3195">
        <v>0</v>
      </c>
      <c r="H3195" t="s">
        <v>8</v>
      </c>
      <c r="I3195">
        <v>0</v>
      </c>
      <c r="J3195">
        <v>0</v>
      </c>
      <c r="K3195">
        <v>0</v>
      </c>
    </row>
    <row r="3196" spans="1:11" x14ac:dyDescent="0.2">
      <c r="A3196" t="s">
        <v>4099</v>
      </c>
      <c r="B3196" t="s">
        <v>4100</v>
      </c>
      <c r="C3196" t="s">
        <v>3929</v>
      </c>
      <c r="D3196" t="s">
        <v>105</v>
      </c>
      <c r="E3196">
        <v>249.99</v>
      </c>
      <c r="F3196">
        <v>0</v>
      </c>
      <c r="G3196">
        <v>9</v>
      </c>
      <c r="H3196" t="s">
        <v>8</v>
      </c>
      <c r="I3196">
        <v>0</v>
      </c>
      <c r="J3196">
        <v>0</v>
      </c>
      <c r="K3196">
        <v>0</v>
      </c>
    </row>
    <row r="3197" spans="1:11" x14ac:dyDescent="0.2">
      <c r="A3197" t="s">
        <v>5429</v>
      </c>
      <c r="B3197" t="s">
        <v>5430</v>
      </c>
      <c r="C3197" t="s">
        <v>904</v>
      </c>
      <c r="D3197" t="s">
        <v>98</v>
      </c>
      <c r="E3197">
        <v>169.99</v>
      </c>
      <c r="F3197">
        <v>0</v>
      </c>
      <c r="H3197" t="s">
        <v>8</v>
      </c>
      <c r="I3197">
        <v>0</v>
      </c>
      <c r="J3197">
        <v>0</v>
      </c>
      <c r="K3197">
        <v>0</v>
      </c>
    </row>
    <row r="3198" spans="1:11" x14ac:dyDescent="0.2">
      <c r="A3198" t="s">
        <v>5433</v>
      </c>
      <c r="B3198" t="s">
        <v>5434</v>
      </c>
      <c r="C3198" t="s">
        <v>904</v>
      </c>
      <c r="D3198" t="s">
        <v>98</v>
      </c>
      <c r="E3198">
        <v>39.99</v>
      </c>
      <c r="F3198">
        <v>0</v>
      </c>
      <c r="H3198" t="s">
        <v>8</v>
      </c>
      <c r="I3198">
        <v>0</v>
      </c>
      <c r="J3198">
        <v>0</v>
      </c>
      <c r="K3198">
        <v>0</v>
      </c>
    </row>
    <row r="3199" spans="1:11" x14ac:dyDescent="0.2">
      <c r="A3199" t="s">
        <v>5124</v>
      </c>
      <c r="B3199" t="s">
        <v>5125</v>
      </c>
      <c r="C3199" t="s">
        <v>3929</v>
      </c>
      <c r="D3199" t="s">
        <v>105</v>
      </c>
      <c r="E3199">
        <v>319.99</v>
      </c>
      <c r="F3199">
        <v>0</v>
      </c>
      <c r="G3199">
        <v>8</v>
      </c>
      <c r="H3199" t="s">
        <v>8</v>
      </c>
      <c r="I3199">
        <v>0</v>
      </c>
      <c r="J3199">
        <v>0</v>
      </c>
      <c r="K3199">
        <v>0</v>
      </c>
    </row>
    <row r="3200" spans="1:11" x14ac:dyDescent="0.2">
      <c r="A3200" t="s">
        <v>5590</v>
      </c>
      <c r="B3200" t="s">
        <v>5591</v>
      </c>
      <c r="C3200" t="s">
        <v>904</v>
      </c>
      <c r="D3200" t="s">
        <v>98</v>
      </c>
      <c r="E3200">
        <v>99.99</v>
      </c>
      <c r="F3200">
        <v>0</v>
      </c>
      <c r="H3200" t="s">
        <v>8</v>
      </c>
      <c r="I3200">
        <v>0</v>
      </c>
      <c r="J3200">
        <v>0</v>
      </c>
      <c r="K3200">
        <v>0</v>
      </c>
    </row>
    <row r="3201" spans="1:11" x14ac:dyDescent="0.2">
      <c r="A3201" t="s">
        <v>5596</v>
      </c>
      <c r="B3201" t="s">
        <v>5597</v>
      </c>
      <c r="C3201" t="s">
        <v>904</v>
      </c>
      <c r="D3201" t="s">
        <v>98</v>
      </c>
      <c r="E3201">
        <v>69.989999999999995</v>
      </c>
      <c r="F3201">
        <v>0</v>
      </c>
      <c r="H3201" t="s">
        <v>8</v>
      </c>
      <c r="I3201">
        <v>0</v>
      </c>
      <c r="J3201">
        <v>0</v>
      </c>
      <c r="K3201">
        <v>0</v>
      </c>
    </row>
    <row r="3202" spans="1:11" x14ac:dyDescent="0.2">
      <c r="A3202" t="s">
        <v>5586</v>
      </c>
      <c r="B3202" t="s">
        <v>5587</v>
      </c>
      <c r="C3202" t="s">
        <v>904</v>
      </c>
      <c r="D3202" t="s">
        <v>98</v>
      </c>
      <c r="E3202">
        <v>119.99</v>
      </c>
      <c r="F3202">
        <v>0</v>
      </c>
      <c r="H3202" t="s">
        <v>8</v>
      </c>
      <c r="I3202">
        <v>0</v>
      </c>
      <c r="J3202">
        <v>0</v>
      </c>
      <c r="K3202">
        <v>0</v>
      </c>
    </row>
    <row r="3203" spans="1:11" x14ac:dyDescent="0.2">
      <c r="A3203" t="s">
        <v>5598</v>
      </c>
      <c r="B3203" t="s">
        <v>5599</v>
      </c>
      <c r="C3203" t="s">
        <v>904</v>
      </c>
      <c r="D3203" t="s">
        <v>98</v>
      </c>
      <c r="E3203">
        <v>119.99</v>
      </c>
      <c r="F3203">
        <v>0</v>
      </c>
      <c r="H3203" t="s">
        <v>8</v>
      </c>
      <c r="I3203">
        <v>0</v>
      </c>
      <c r="J3203">
        <v>0</v>
      </c>
      <c r="K3203">
        <v>0</v>
      </c>
    </row>
    <row r="3204" spans="1:11" x14ac:dyDescent="0.2">
      <c r="A3204" t="s">
        <v>5612</v>
      </c>
      <c r="B3204" t="s">
        <v>5613</v>
      </c>
      <c r="C3204" t="s">
        <v>904</v>
      </c>
      <c r="D3204" t="s">
        <v>98</v>
      </c>
      <c r="E3204">
        <v>119.99</v>
      </c>
      <c r="F3204">
        <v>0</v>
      </c>
      <c r="H3204" t="s">
        <v>8</v>
      </c>
      <c r="I3204">
        <v>0</v>
      </c>
      <c r="J3204">
        <v>0</v>
      </c>
      <c r="K3204">
        <v>0</v>
      </c>
    </row>
    <row r="3205" spans="1:11" x14ac:dyDescent="0.2">
      <c r="A3205" t="s">
        <v>5600</v>
      </c>
      <c r="B3205" t="s">
        <v>5601</v>
      </c>
      <c r="C3205" t="s">
        <v>904</v>
      </c>
      <c r="D3205" t="s">
        <v>98</v>
      </c>
      <c r="E3205">
        <v>119.99</v>
      </c>
      <c r="F3205">
        <v>0</v>
      </c>
      <c r="H3205" t="s">
        <v>8</v>
      </c>
      <c r="I3205">
        <v>0</v>
      </c>
      <c r="J3205">
        <v>0</v>
      </c>
      <c r="K3205">
        <v>0</v>
      </c>
    </row>
    <row r="3206" spans="1:11" x14ac:dyDescent="0.2">
      <c r="A3206" t="s">
        <v>5554</v>
      </c>
      <c r="B3206" t="s">
        <v>5555</v>
      </c>
      <c r="C3206" t="s">
        <v>904</v>
      </c>
      <c r="D3206" t="s">
        <v>98</v>
      </c>
      <c r="E3206">
        <v>29.99</v>
      </c>
      <c r="F3206">
        <v>0</v>
      </c>
      <c r="H3206" t="s">
        <v>8</v>
      </c>
      <c r="I3206">
        <v>0</v>
      </c>
      <c r="J3206">
        <v>0</v>
      </c>
      <c r="K3206">
        <v>0</v>
      </c>
    </row>
    <row r="3207" spans="1:11" x14ac:dyDescent="0.2">
      <c r="A3207" t="s">
        <v>4105</v>
      </c>
      <c r="B3207" t="s">
        <v>4106</v>
      </c>
      <c r="C3207" t="s">
        <v>3929</v>
      </c>
      <c r="D3207" t="s">
        <v>138</v>
      </c>
      <c r="E3207">
        <v>129.99</v>
      </c>
      <c r="F3207">
        <v>0</v>
      </c>
      <c r="G3207">
        <v>11</v>
      </c>
      <c r="H3207" t="s">
        <v>8</v>
      </c>
      <c r="I3207">
        <v>0</v>
      </c>
      <c r="J3207">
        <v>0</v>
      </c>
      <c r="K3207">
        <v>0</v>
      </c>
    </row>
    <row r="3208" spans="1:11" x14ac:dyDescent="0.2">
      <c r="A3208" t="s">
        <v>5558</v>
      </c>
      <c r="B3208" t="s">
        <v>5559</v>
      </c>
      <c r="C3208" t="s">
        <v>904</v>
      </c>
      <c r="D3208" t="s">
        <v>98</v>
      </c>
      <c r="E3208">
        <v>29.99</v>
      </c>
      <c r="F3208">
        <v>0</v>
      </c>
      <c r="H3208" t="s">
        <v>8</v>
      </c>
      <c r="I3208">
        <v>0</v>
      </c>
      <c r="J3208">
        <v>0</v>
      </c>
      <c r="K3208">
        <v>0</v>
      </c>
    </row>
    <row r="3209" spans="1:11" x14ac:dyDescent="0.2">
      <c r="A3209" t="s">
        <v>5542</v>
      </c>
      <c r="B3209" t="s">
        <v>5543</v>
      </c>
      <c r="C3209" t="s">
        <v>3929</v>
      </c>
      <c r="D3209" t="s">
        <v>98</v>
      </c>
      <c r="E3209">
        <v>159.99</v>
      </c>
      <c r="F3209">
        <v>0</v>
      </c>
      <c r="H3209" t="s">
        <v>8</v>
      </c>
      <c r="I3209">
        <v>0.16666666666666666</v>
      </c>
      <c r="J3209">
        <v>12</v>
      </c>
      <c r="K3209">
        <v>2</v>
      </c>
    </row>
    <row r="3210" spans="1:11" x14ac:dyDescent="0.2">
      <c r="A3210" t="s">
        <v>5540</v>
      </c>
      <c r="B3210" t="s">
        <v>5541</v>
      </c>
      <c r="C3210" t="s">
        <v>904</v>
      </c>
      <c r="D3210" t="s">
        <v>98</v>
      </c>
      <c r="E3210">
        <v>9.99</v>
      </c>
      <c r="F3210">
        <v>0</v>
      </c>
      <c r="H3210" t="s">
        <v>8</v>
      </c>
      <c r="I3210">
        <v>0</v>
      </c>
      <c r="J3210">
        <v>0</v>
      </c>
      <c r="K3210">
        <v>0</v>
      </c>
    </row>
    <row r="3211" spans="1:11" x14ac:dyDescent="0.2">
      <c r="A3211" t="s">
        <v>5576</v>
      </c>
      <c r="B3211" t="s">
        <v>5577</v>
      </c>
      <c r="C3211" t="s">
        <v>904</v>
      </c>
      <c r="D3211" t="s">
        <v>98</v>
      </c>
      <c r="E3211">
        <v>9.99</v>
      </c>
      <c r="F3211">
        <v>0</v>
      </c>
      <c r="H3211" t="s">
        <v>8</v>
      </c>
      <c r="I3211">
        <v>0</v>
      </c>
      <c r="J3211">
        <v>0</v>
      </c>
      <c r="K3211">
        <v>0</v>
      </c>
    </row>
    <row r="3212" spans="1:11" x14ac:dyDescent="0.2">
      <c r="A3212" t="s">
        <v>5122</v>
      </c>
      <c r="B3212" t="s">
        <v>5123</v>
      </c>
      <c r="C3212" t="s">
        <v>3929</v>
      </c>
      <c r="D3212" t="s">
        <v>138</v>
      </c>
      <c r="E3212">
        <v>169.99</v>
      </c>
      <c r="F3212">
        <v>0</v>
      </c>
      <c r="H3212" t="s">
        <v>8</v>
      </c>
      <c r="I3212">
        <v>0</v>
      </c>
      <c r="J3212">
        <v>0</v>
      </c>
      <c r="K3212">
        <v>0</v>
      </c>
    </row>
    <row r="3213" spans="1:11" x14ac:dyDescent="0.2">
      <c r="A3213" t="s">
        <v>5580</v>
      </c>
      <c r="B3213" t="s">
        <v>5581</v>
      </c>
      <c r="C3213" t="s">
        <v>904</v>
      </c>
      <c r="D3213" t="s">
        <v>98</v>
      </c>
      <c r="E3213">
        <v>9.99</v>
      </c>
      <c r="F3213">
        <v>0</v>
      </c>
      <c r="H3213" t="s">
        <v>8</v>
      </c>
      <c r="I3213">
        <v>0</v>
      </c>
      <c r="J3213">
        <v>0</v>
      </c>
      <c r="K3213">
        <v>0</v>
      </c>
    </row>
    <row r="3214" spans="1:11" x14ac:dyDescent="0.2">
      <c r="A3214" t="s">
        <v>5566</v>
      </c>
      <c r="B3214" t="s">
        <v>5567</v>
      </c>
      <c r="C3214" t="s">
        <v>904</v>
      </c>
      <c r="D3214" t="s">
        <v>98</v>
      </c>
      <c r="E3214">
        <v>9.99</v>
      </c>
      <c r="F3214">
        <v>0</v>
      </c>
      <c r="H3214" t="s">
        <v>8</v>
      </c>
      <c r="I3214">
        <v>0</v>
      </c>
      <c r="J3214">
        <v>0</v>
      </c>
      <c r="K3214">
        <v>0</v>
      </c>
    </row>
    <row r="3215" spans="1:11" x14ac:dyDescent="0.2">
      <c r="A3215" t="s">
        <v>5570</v>
      </c>
      <c r="B3215" t="s">
        <v>5571</v>
      </c>
      <c r="C3215" t="s">
        <v>904</v>
      </c>
      <c r="D3215" t="s">
        <v>98</v>
      </c>
      <c r="E3215">
        <v>29.99</v>
      </c>
      <c r="F3215">
        <v>0</v>
      </c>
      <c r="H3215" t="s">
        <v>8</v>
      </c>
      <c r="I3215">
        <v>0</v>
      </c>
      <c r="J3215">
        <v>0</v>
      </c>
      <c r="K3215">
        <v>0</v>
      </c>
    </row>
    <row r="3216" spans="1:11" x14ac:dyDescent="0.2">
      <c r="A3216" t="s">
        <v>5215</v>
      </c>
      <c r="B3216" t="s">
        <v>5216</v>
      </c>
      <c r="C3216" t="s">
        <v>3929</v>
      </c>
      <c r="D3216" t="s">
        <v>98</v>
      </c>
      <c r="E3216">
        <v>119.99</v>
      </c>
      <c r="F3216">
        <v>0</v>
      </c>
      <c r="H3216" t="s">
        <v>8</v>
      </c>
      <c r="I3216">
        <v>0</v>
      </c>
      <c r="J3216">
        <v>0</v>
      </c>
      <c r="K3216">
        <v>0</v>
      </c>
    </row>
    <row r="3217" spans="1:11" x14ac:dyDescent="0.2">
      <c r="A3217" t="s">
        <v>5116</v>
      </c>
      <c r="B3217" t="s">
        <v>5117</v>
      </c>
      <c r="C3217" t="s">
        <v>3929</v>
      </c>
      <c r="D3217" t="s">
        <v>138</v>
      </c>
      <c r="E3217">
        <v>209.99</v>
      </c>
      <c r="F3217">
        <v>0</v>
      </c>
      <c r="H3217" t="s">
        <v>8</v>
      </c>
      <c r="I3217">
        <v>0</v>
      </c>
      <c r="J3217">
        <v>0</v>
      </c>
      <c r="K3217">
        <v>0</v>
      </c>
    </row>
    <row r="3218" spans="1:11" x14ac:dyDescent="0.2">
      <c r="A3218" t="s">
        <v>5217</v>
      </c>
      <c r="B3218" t="s">
        <v>5218</v>
      </c>
      <c r="C3218" t="s">
        <v>904</v>
      </c>
      <c r="D3218" t="s">
        <v>98</v>
      </c>
      <c r="E3218">
        <v>29.99</v>
      </c>
      <c r="F3218">
        <v>0</v>
      </c>
      <c r="H3218" t="s">
        <v>8</v>
      </c>
      <c r="I3218">
        <v>0</v>
      </c>
      <c r="J3218">
        <v>0</v>
      </c>
      <c r="K3218">
        <v>0</v>
      </c>
    </row>
    <row r="3219" spans="1:11" x14ac:dyDescent="0.2">
      <c r="A3219" t="s">
        <v>5386</v>
      </c>
      <c r="B3219" t="s">
        <v>5387</v>
      </c>
      <c r="C3219" t="s">
        <v>5388</v>
      </c>
      <c r="D3219" t="s">
        <v>98</v>
      </c>
      <c r="E3219">
        <v>689.99</v>
      </c>
      <c r="F3219">
        <v>0</v>
      </c>
      <c r="H3219" t="s">
        <v>8</v>
      </c>
      <c r="I3219">
        <v>0</v>
      </c>
      <c r="J3219">
        <v>0</v>
      </c>
      <c r="K3219">
        <v>0</v>
      </c>
    </row>
    <row r="3220" spans="1:11" x14ac:dyDescent="0.2">
      <c r="A3220" t="s">
        <v>977</v>
      </c>
      <c r="B3220" t="s">
        <v>978</v>
      </c>
      <c r="C3220" t="s">
        <v>976</v>
      </c>
      <c r="D3220" t="s">
        <v>98</v>
      </c>
      <c r="E3220">
        <v>3499.99</v>
      </c>
      <c r="F3220">
        <v>0</v>
      </c>
      <c r="H3220" t="s">
        <v>8</v>
      </c>
      <c r="I3220">
        <v>0</v>
      </c>
      <c r="J3220">
        <v>0</v>
      </c>
      <c r="K3220">
        <v>0</v>
      </c>
    </row>
    <row r="3221" spans="1:11" x14ac:dyDescent="0.2">
      <c r="A3221" t="s">
        <v>5415</v>
      </c>
      <c r="B3221" t="s">
        <v>5416</v>
      </c>
      <c r="C3221" t="s">
        <v>2415</v>
      </c>
      <c r="D3221" t="s">
        <v>98</v>
      </c>
      <c r="E3221">
        <v>159.99</v>
      </c>
      <c r="F3221">
        <v>0</v>
      </c>
      <c r="H3221" t="s">
        <v>8</v>
      </c>
      <c r="I3221">
        <v>0</v>
      </c>
      <c r="J3221">
        <v>0</v>
      </c>
      <c r="K3221">
        <v>0</v>
      </c>
    </row>
    <row r="3222" spans="1:11" x14ac:dyDescent="0.2">
      <c r="A3222" t="s">
        <v>5118</v>
      </c>
      <c r="B3222" t="s">
        <v>5119</v>
      </c>
      <c r="C3222" t="s">
        <v>3929</v>
      </c>
      <c r="D3222" t="s">
        <v>98</v>
      </c>
      <c r="E3222">
        <v>109.99</v>
      </c>
      <c r="F3222">
        <v>0</v>
      </c>
      <c r="H3222" t="s">
        <v>8</v>
      </c>
      <c r="I3222">
        <v>0</v>
      </c>
      <c r="J3222">
        <v>0</v>
      </c>
      <c r="K3222">
        <v>0</v>
      </c>
    </row>
    <row r="3223" spans="1:11" x14ac:dyDescent="0.2">
      <c r="A3223" t="s">
        <v>2416</v>
      </c>
      <c r="B3223" t="s">
        <v>2417</v>
      </c>
      <c r="C3223" t="s">
        <v>2415</v>
      </c>
      <c r="D3223" t="s">
        <v>98</v>
      </c>
      <c r="E3223">
        <v>49.99</v>
      </c>
      <c r="F3223">
        <v>0</v>
      </c>
      <c r="H3223" t="s">
        <v>8</v>
      </c>
      <c r="I3223">
        <v>0</v>
      </c>
      <c r="J3223">
        <v>0</v>
      </c>
      <c r="K3223">
        <v>0</v>
      </c>
    </row>
    <row r="3224" spans="1:11" x14ac:dyDescent="0.2">
      <c r="A3224" t="s">
        <v>5514</v>
      </c>
      <c r="B3224" t="s">
        <v>5515</v>
      </c>
      <c r="C3224" t="s">
        <v>2415</v>
      </c>
      <c r="D3224" t="s">
        <v>98</v>
      </c>
      <c r="E3224">
        <v>69.989999999999995</v>
      </c>
      <c r="F3224">
        <v>0</v>
      </c>
      <c r="H3224" t="s">
        <v>8</v>
      </c>
      <c r="I3224">
        <v>0</v>
      </c>
      <c r="J3224">
        <v>0</v>
      </c>
      <c r="K3224">
        <v>0</v>
      </c>
    </row>
    <row r="3225" spans="1:11" x14ac:dyDescent="0.2">
      <c r="A3225" t="s">
        <v>4085</v>
      </c>
      <c r="B3225" t="s">
        <v>4086</v>
      </c>
      <c r="C3225" t="s">
        <v>3929</v>
      </c>
      <c r="D3225" t="s">
        <v>98</v>
      </c>
      <c r="E3225">
        <v>119.99</v>
      </c>
      <c r="F3225">
        <v>0</v>
      </c>
      <c r="H3225" t="s">
        <v>8</v>
      </c>
      <c r="I3225">
        <v>0</v>
      </c>
      <c r="J3225">
        <v>0</v>
      </c>
      <c r="K3225">
        <v>0</v>
      </c>
    </row>
    <row r="3226" spans="1:11" x14ac:dyDescent="0.2">
      <c r="A3226" t="s">
        <v>2209</v>
      </c>
      <c r="B3226" t="s">
        <v>2210</v>
      </c>
      <c r="C3226" t="s">
        <v>2174</v>
      </c>
      <c r="D3226" t="s">
        <v>98</v>
      </c>
      <c r="E3226">
        <v>99.99</v>
      </c>
      <c r="F3226">
        <v>0</v>
      </c>
      <c r="H3226" t="s">
        <v>8</v>
      </c>
      <c r="I3226">
        <v>0</v>
      </c>
      <c r="J3226">
        <v>0</v>
      </c>
      <c r="K3226">
        <v>0</v>
      </c>
    </row>
    <row r="3227" spans="1:11" x14ac:dyDescent="0.2">
      <c r="A3227" t="s">
        <v>5463</v>
      </c>
      <c r="B3227" t="s">
        <v>5464</v>
      </c>
      <c r="C3227" t="s">
        <v>3929</v>
      </c>
      <c r="D3227" t="s">
        <v>98</v>
      </c>
      <c r="E3227">
        <v>199.99</v>
      </c>
      <c r="F3227">
        <v>0</v>
      </c>
      <c r="H3227" t="s">
        <v>8</v>
      </c>
      <c r="I3227">
        <v>0</v>
      </c>
      <c r="J3227">
        <v>0</v>
      </c>
      <c r="K3227">
        <v>0</v>
      </c>
    </row>
    <row r="3228" spans="1:11" x14ac:dyDescent="0.2">
      <c r="A3228" t="s">
        <v>2203</v>
      </c>
      <c r="B3228" t="s">
        <v>2204</v>
      </c>
      <c r="C3228" t="s">
        <v>2174</v>
      </c>
      <c r="D3228" t="s">
        <v>98</v>
      </c>
      <c r="E3228">
        <v>69.989999999999995</v>
      </c>
      <c r="F3228">
        <v>0</v>
      </c>
      <c r="H3228" t="s">
        <v>8</v>
      </c>
      <c r="I3228">
        <v>0</v>
      </c>
      <c r="J3228">
        <v>0</v>
      </c>
      <c r="K3228">
        <v>0</v>
      </c>
    </row>
    <row r="3229" spans="1:11" x14ac:dyDescent="0.2">
      <c r="A3229" t="s">
        <v>5483</v>
      </c>
      <c r="B3229" t="s">
        <v>5484</v>
      </c>
      <c r="C3229" t="s">
        <v>2174</v>
      </c>
      <c r="D3229" t="s">
        <v>98</v>
      </c>
      <c r="E3229">
        <v>99.99</v>
      </c>
      <c r="F3229">
        <v>0</v>
      </c>
      <c r="H3229" t="s">
        <v>8</v>
      </c>
      <c r="I3229">
        <v>0</v>
      </c>
      <c r="J3229">
        <v>0</v>
      </c>
      <c r="K3229">
        <v>0</v>
      </c>
    </row>
    <row r="3230" spans="1:11" x14ac:dyDescent="0.2">
      <c r="A3230" t="s">
        <v>5491</v>
      </c>
      <c r="B3230" t="s">
        <v>5492</v>
      </c>
      <c r="C3230" t="s">
        <v>3929</v>
      </c>
      <c r="D3230" t="s">
        <v>98</v>
      </c>
      <c r="E3230">
        <v>219.99</v>
      </c>
      <c r="F3230">
        <v>0</v>
      </c>
      <c r="H3230" t="s">
        <v>8</v>
      </c>
      <c r="I3230">
        <v>0</v>
      </c>
      <c r="J3230">
        <v>0</v>
      </c>
      <c r="K3230">
        <v>0</v>
      </c>
    </row>
    <row r="3231" spans="1:11" x14ac:dyDescent="0.2">
      <c r="A3231" t="s">
        <v>2187</v>
      </c>
      <c r="B3231" t="s">
        <v>2188</v>
      </c>
      <c r="C3231" t="s">
        <v>2174</v>
      </c>
      <c r="D3231" t="s">
        <v>98</v>
      </c>
      <c r="E3231">
        <v>99.99</v>
      </c>
      <c r="F3231">
        <v>0</v>
      </c>
      <c r="H3231" t="s">
        <v>8</v>
      </c>
      <c r="I3231">
        <v>0</v>
      </c>
      <c r="J3231">
        <v>0</v>
      </c>
      <c r="K3231">
        <v>0</v>
      </c>
    </row>
    <row r="3232" spans="1:11" x14ac:dyDescent="0.2">
      <c r="A3232" t="s">
        <v>2195</v>
      </c>
      <c r="B3232" t="s">
        <v>2196</v>
      </c>
      <c r="C3232" t="s">
        <v>2174</v>
      </c>
      <c r="D3232" t="s">
        <v>98</v>
      </c>
      <c r="E3232">
        <v>99.99</v>
      </c>
      <c r="F3232">
        <v>0</v>
      </c>
      <c r="H3232" t="s">
        <v>8</v>
      </c>
      <c r="I3232">
        <v>0</v>
      </c>
      <c r="J3232">
        <v>0</v>
      </c>
      <c r="K3232">
        <v>0</v>
      </c>
    </row>
    <row r="3233" spans="1:11" x14ac:dyDescent="0.2">
      <c r="A3233" t="s">
        <v>4091</v>
      </c>
      <c r="B3233" t="s">
        <v>4092</v>
      </c>
      <c r="C3233" t="s">
        <v>3929</v>
      </c>
      <c r="D3233" t="s">
        <v>105</v>
      </c>
      <c r="E3233">
        <v>159.99</v>
      </c>
      <c r="F3233">
        <v>0</v>
      </c>
      <c r="G3233">
        <v>25</v>
      </c>
      <c r="H3233" t="s">
        <v>8</v>
      </c>
      <c r="I3233">
        <v>0</v>
      </c>
      <c r="J3233">
        <v>0</v>
      </c>
      <c r="K3233">
        <v>0</v>
      </c>
    </row>
    <row r="3234" spans="1:11" x14ac:dyDescent="0.2">
      <c r="A3234" t="s">
        <v>2213</v>
      </c>
      <c r="B3234" t="s">
        <v>2214</v>
      </c>
      <c r="C3234" t="s">
        <v>2174</v>
      </c>
      <c r="D3234" t="s">
        <v>98</v>
      </c>
      <c r="E3234">
        <v>99.99</v>
      </c>
      <c r="F3234">
        <v>0</v>
      </c>
      <c r="H3234" t="s">
        <v>8</v>
      </c>
      <c r="I3234">
        <v>0</v>
      </c>
      <c r="J3234">
        <v>0</v>
      </c>
      <c r="K3234">
        <v>0</v>
      </c>
    </row>
    <row r="3235" spans="1:11" x14ac:dyDescent="0.2">
      <c r="A3235" t="s">
        <v>5461</v>
      </c>
      <c r="B3235" t="s">
        <v>5462</v>
      </c>
      <c r="C3235" t="s">
        <v>3929</v>
      </c>
      <c r="D3235" t="s">
        <v>98</v>
      </c>
      <c r="E3235">
        <v>89.99</v>
      </c>
      <c r="F3235">
        <v>0</v>
      </c>
      <c r="H3235" t="s">
        <v>8</v>
      </c>
      <c r="I3235">
        <v>0</v>
      </c>
      <c r="J3235">
        <v>0</v>
      </c>
      <c r="K3235">
        <v>0</v>
      </c>
    </row>
    <row r="3236" spans="1:11" x14ac:dyDescent="0.2">
      <c r="A3236" t="s">
        <v>2189</v>
      </c>
      <c r="B3236" t="s">
        <v>2190</v>
      </c>
      <c r="C3236" t="s">
        <v>2174</v>
      </c>
      <c r="D3236" t="s">
        <v>98</v>
      </c>
      <c r="E3236">
        <v>99.99</v>
      </c>
      <c r="F3236">
        <v>0</v>
      </c>
      <c r="H3236" t="s">
        <v>8</v>
      </c>
      <c r="I3236">
        <v>0</v>
      </c>
      <c r="J3236">
        <v>0</v>
      </c>
      <c r="K3236">
        <v>0</v>
      </c>
    </row>
    <row r="3237" spans="1:11" x14ac:dyDescent="0.2">
      <c r="A3237" t="s">
        <v>2211</v>
      </c>
      <c r="B3237" t="s">
        <v>2212</v>
      </c>
      <c r="C3237" t="s">
        <v>2174</v>
      </c>
      <c r="D3237" t="s">
        <v>98</v>
      </c>
      <c r="E3237">
        <v>99.99</v>
      </c>
      <c r="F3237">
        <v>0</v>
      </c>
      <c r="H3237" t="s">
        <v>8</v>
      </c>
      <c r="I3237">
        <v>0</v>
      </c>
      <c r="J3237">
        <v>0</v>
      </c>
      <c r="K3237">
        <v>0</v>
      </c>
    </row>
    <row r="3238" spans="1:11" x14ac:dyDescent="0.2">
      <c r="A3238" t="s">
        <v>5520</v>
      </c>
      <c r="B3238" t="s">
        <v>5521</v>
      </c>
      <c r="C3238" t="s">
        <v>3929</v>
      </c>
      <c r="D3238" t="s">
        <v>138</v>
      </c>
      <c r="E3238">
        <v>89.99</v>
      </c>
      <c r="F3238">
        <v>89.99</v>
      </c>
      <c r="H3238" t="s">
        <v>8</v>
      </c>
      <c r="I3238">
        <v>0.16666666666666666</v>
      </c>
      <c r="J3238">
        <v>0</v>
      </c>
      <c r="K3238">
        <v>0</v>
      </c>
    </row>
    <row r="3239" spans="1:11" x14ac:dyDescent="0.2">
      <c r="A3239" t="s">
        <v>5524</v>
      </c>
      <c r="B3239" t="s">
        <v>5525</v>
      </c>
      <c r="C3239" t="s">
        <v>2174</v>
      </c>
      <c r="D3239" t="s">
        <v>98</v>
      </c>
      <c r="E3239">
        <v>99.99</v>
      </c>
      <c r="F3239">
        <v>0</v>
      </c>
      <c r="H3239" t="s">
        <v>8</v>
      </c>
      <c r="I3239">
        <v>0</v>
      </c>
      <c r="J3239">
        <v>0</v>
      </c>
      <c r="K3239">
        <v>0</v>
      </c>
    </row>
    <row r="3240" spans="1:11" x14ac:dyDescent="0.2">
      <c r="A3240" t="s">
        <v>5516</v>
      </c>
      <c r="B3240" t="s">
        <v>5517</v>
      </c>
      <c r="C3240" t="s">
        <v>3929</v>
      </c>
      <c r="D3240" t="s">
        <v>98</v>
      </c>
      <c r="E3240">
        <v>19.989999999999998</v>
      </c>
      <c r="F3240">
        <v>0</v>
      </c>
      <c r="H3240" t="s">
        <v>8</v>
      </c>
      <c r="I3240">
        <v>0</v>
      </c>
      <c r="J3240">
        <v>0</v>
      </c>
      <c r="K3240">
        <v>0</v>
      </c>
    </row>
    <row r="3241" spans="1:11" x14ac:dyDescent="0.2">
      <c r="A3241" t="s">
        <v>2177</v>
      </c>
      <c r="B3241" t="s">
        <v>2178</v>
      </c>
      <c r="C3241" t="s">
        <v>2174</v>
      </c>
      <c r="D3241" t="s">
        <v>98</v>
      </c>
      <c r="E3241">
        <v>69.989999999999995</v>
      </c>
      <c r="F3241">
        <v>0</v>
      </c>
      <c r="H3241" t="s">
        <v>8</v>
      </c>
      <c r="I3241">
        <v>0</v>
      </c>
      <c r="J3241">
        <v>0</v>
      </c>
      <c r="K3241">
        <v>0</v>
      </c>
    </row>
    <row r="3242" spans="1:11" x14ac:dyDescent="0.2">
      <c r="A3242" t="s">
        <v>2175</v>
      </c>
      <c r="B3242" t="s">
        <v>2176</v>
      </c>
      <c r="C3242" t="s">
        <v>2174</v>
      </c>
      <c r="D3242" t="s">
        <v>98</v>
      </c>
      <c r="E3242">
        <v>69.989999999999995</v>
      </c>
      <c r="F3242">
        <v>0</v>
      </c>
      <c r="H3242" t="s">
        <v>8</v>
      </c>
      <c r="I3242">
        <v>0</v>
      </c>
      <c r="J3242">
        <v>0</v>
      </c>
      <c r="K3242">
        <v>0</v>
      </c>
    </row>
    <row r="3243" spans="1:11" x14ac:dyDescent="0.2">
      <c r="A3243" t="s">
        <v>4095</v>
      </c>
      <c r="B3243" t="s">
        <v>4096</v>
      </c>
      <c r="C3243" t="s">
        <v>3929</v>
      </c>
      <c r="D3243" t="s">
        <v>98</v>
      </c>
      <c r="E3243">
        <v>99.99</v>
      </c>
      <c r="F3243">
        <v>99.99</v>
      </c>
      <c r="H3243" t="s">
        <v>8</v>
      </c>
      <c r="I3243">
        <v>0.5</v>
      </c>
      <c r="J3243">
        <v>18</v>
      </c>
      <c r="K3243">
        <v>9</v>
      </c>
    </row>
    <row r="3244" spans="1:11" x14ac:dyDescent="0.2">
      <c r="A3244" t="s">
        <v>5507</v>
      </c>
      <c r="B3244" t="s">
        <v>5508</v>
      </c>
      <c r="C3244" t="s">
        <v>5509</v>
      </c>
      <c r="D3244" t="s">
        <v>98</v>
      </c>
      <c r="E3244">
        <v>19.989999999999998</v>
      </c>
      <c r="F3244">
        <v>0</v>
      </c>
      <c r="H3244" t="s">
        <v>8</v>
      </c>
      <c r="I3244">
        <v>0</v>
      </c>
      <c r="J3244">
        <v>0</v>
      </c>
      <c r="K3244">
        <v>0</v>
      </c>
    </row>
    <row r="3245" spans="1:11" x14ac:dyDescent="0.2">
      <c r="A3245" t="s">
        <v>5403</v>
      </c>
      <c r="B3245" t="s">
        <v>5404</v>
      </c>
      <c r="C3245" t="s">
        <v>5388</v>
      </c>
      <c r="D3245" t="s">
        <v>98</v>
      </c>
      <c r="E3245">
        <v>5599.99</v>
      </c>
      <c r="F3245">
        <v>0</v>
      </c>
      <c r="H3245" t="s">
        <v>8</v>
      </c>
      <c r="I3245">
        <v>0</v>
      </c>
      <c r="J3245">
        <v>0</v>
      </c>
      <c r="K3245">
        <v>0</v>
      </c>
    </row>
    <row r="3246" spans="1:11" x14ac:dyDescent="0.2">
      <c r="A3246" t="s">
        <v>4107</v>
      </c>
      <c r="B3246" t="s">
        <v>4108</v>
      </c>
      <c r="C3246" t="s">
        <v>3929</v>
      </c>
      <c r="D3246" t="s">
        <v>138</v>
      </c>
      <c r="E3246">
        <v>119.99</v>
      </c>
      <c r="F3246">
        <v>0</v>
      </c>
      <c r="H3246" t="s">
        <v>8</v>
      </c>
      <c r="I3246">
        <v>0.66666666666666663</v>
      </c>
      <c r="J3246">
        <v>33</v>
      </c>
      <c r="K3246">
        <v>22</v>
      </c>
    </row>
    <row r="3247" spans="1:11" x14ac:dyDescent="0.2">
      <c r="A3247" t="s">
        <v>5201</v>
      </c>
      <c r="B3247" t="s">
        <v>5202</v>
      </c>
      <c r="C3247" t="s">
        <v>904</v>
      </c>
      <c r="D3247" t="s">
        <v>98</v>
      </c>
      <c r="E3247">
        <v>29.99</v>
      </c>
      <c r="F3247">
        <v>0</v>
      </c>
      <c r="H3247" t="s">
        <v>8</v>
      </c>
      <c r="I3247">
        <v>0</v>
      </c>
      <c r="J3247">
        <v>0</v>
      </c>
      <c r="K3247">
        <v>0</v>
      </c>
    </row>
    <row r="3248" spans="1:11" x14ac:dyDescent="0.2">
      <c r="A3248" t="s">
        <v>5355</v>
      </c>
      <c r="B3248" t="s">
        <v>5356</v>
      </c>
      <c r="C3248" t="s">
        <v>874</v>
      </c>
      <c r="D3248" t="s">
        <v>98</v>
      </c>
      <c r="E3248">
        <v>19.989999999999998</v>
      </c>
      <c r="F3248">
        <v>0</v>
      </c>
      <c r="H3248" t="s">
        <v>8</v>
      </c>
      <c r="I3248">
        <v>0</v>
      </c>
      <c r="J3248">
        <v>0</v>
      </c>
      <c r="K3248">
        <v>0</v>
      </c>
    </row>
    <row r="3249" spans="1:11" x14ac:dyDescent="0.2">
      <c r="A3249" t="s">
        <v>5110</v>
      </c>
      <c r="B3249" t="s">
        <v>5111</v>
      </c>
      <c r="C3249" t="s">
        <v>3929</v>
      </c>
      <c r="D3249" t="s">
        <v>98</v>
      </c>
      <c r="E3249">
        <v>59.99</v>
      </c>
      <c r="F3249">
        <v>0</v>
      </c>
      <c r="H3249" t="s">
        <v>8</v>
      </c>
      <c r="I3249">
        <v>0</v>
      </c>
      <c r="J3249">
        <v>0</v>
      </c>
      <c r="K3249">
        <v>0</v>
      </c>
    </row>
    <row r="3250" spans="1:11" x14ac:dyDescent="0.2">
      <c r="A3250" t="s">
        <v>5288</v>
      </c>
      <c r="B3250" t="s">
        <v>5289</v>
      </c>
      <c r="C3250" t="s">
        <v>874</v>
      </c>
      <c r="D3250" t="s">
        <v>98</v>
      </c>
      <c r="E3250">
        <v>39.99</v>
      </c>
      <c r="F3250">
        <v>0</v>
      </c>
      <c r="H3250" t="s">
        <v>8</v>
      </c>
      <c r="I3250">
        <v>0</v>
      </c>
      <c r="J3250">
        <v>0</v>
      </c>
      <c r="K3250">
        <v>0</v>
      </c>
    </row>
    <row r="3251" spans="1:11" x14ac:dyDescent="0.2">
      <c r="A3251" t="s">
        <v>5722</v>
      </c>
      <c r="B3251" t="s">
        <v>5723</v>
      </c>
      <c r="C3251" t="s">
        <v>582</v>
      </c>
      <c r="D3251" t="s">
        <v>98</v>
      </c>
      <c r="E3251">
        <v>129.99</v>
      </c>
      <c r="F3251">
        <v>0</v>
      </c>
      <c r="H3251" t="s">
        <v>8</v>
      </c>
      <c r="I3251">
        <v>0</v>
      </c>
      <c r="J3251">
        <v>0</v>
      </c>
      <c r="K3251">
        <v>0</v>
      </c>
    </row>
    <row r="3252" spans="1:11" x14ac:dyDescent="0.2">
      <c r="A3252" t="s">
        <v>5272</v>
      </c>
      <c r="B3252" t="s">
        <v>5273</v>
      </c>
      <c r="C3252" t="s">
        <v>582</v>
      </c>
      <c r="D3252" t="s">
        <v>98</v>
      </c>
      <c r="E3252">
        <v>189.99</v>
      </c>
      <c r="F3252">
        <v>0</v>
      </c>
      <c r="H3252" t="s">
        <v>8</v>
      </c>
      <c r="I3252">
        <v>0</v>
      </c>
      <c r="J3252">
        <v>0</v>
      </c>
      <c r="K3252">
        <v>0</v>
      </c>
    </row>
    <row r="3253" spans="1:11" x14ac:dyDescent="0.2">
      <c r="A3253" t="s">
        <v>5280</v>
      </c>
      <c r="B3253" t="s">
        <v>5281</v>
      </c>
      <c r="C3253" t="s">
        <v>582</v>
      </c>
      <c r="D3253" t="s">
        <v>98</v>
      </c>
      <c r="E3253">
        <v>179.99</v>
      </c>
      <c r="F3253">
        <v>0</v>
      </c>
      <c r="H3253" t="s">
        <v>8</v>
      </c>
      <c r="I3253">
        <v>0</v>
      </c>
      <c r="J3253">
        <v>0</v>
      </c>
      <c r="K3253">
        <v>0</v>
      </c>
    </row>
    <row r="3254" spans="1:11" x14ac:dyDescent="0.2">
      <c r="A3254" t="s">
        <v>5268</v>
      </c>
      <c r="B3254" t="s">
        <v>5269</v>
      </c>
      <c r="C3254" t="s">
        <v>582</v>
      </c>
      <c r="D3254" t="s">
        <v>98</v>
      </c>
      <c r="E3254">
        <v>39.99</v>
      </c>
      <c r="F3254">
        <v>0</v>
      </c>
      <c r="H3254" t="s">
        <v>8</v>
      </c>
      <c r="I3254">
        <v>0</v>
      </c>
      <c r="J3254">
        <v>0</v>
      </c>
      <c r="K3254">
        <v>0</v>
      </c>
    </row>
    <row r="3255" spans="1:11" x14ac:dyDescent="0.2">
      <c r="A3255" t="s">
        <v>5700</v>
      </c>
      <c r="B3255" t="s">
        <v>5701</v>
      </c>
      <c r="C3255" t="s">
        <v>582</v>
      </c>
      <c r="D3255" t="s">
        <v>98</v>
      </c>
      <c r="E3255">
        <v>59.99</v>
      </c>
      <c r="F3255">
        <v>0</v>
      </c>
      <c r="H3255" t="s">
        <v>8</v>
      </c>
      <c r="I3255">
        <v>0</v>
      </c>
      <c r="J3255">
        <v>0</v>
      </c>
      <c r="K3255">
        <v>0</v>
      </c>
    </row>
    <row r="3256" spans="1:11" x14ac:dyDescent="0.2">
      <c r="A3256" t="s">
        <v>5264</v>
      </c>
      <c r="B3256" t="s">
        <v>5265</v>
      </c>
      <c r="C3256" t="s">
        <v>582</v>
      </c>
      <c r="D3256" t="s">
        <v>98</v>
      </c>
      <c r="E3256">
        <v>59.99</v>
      </c>
      <c r="F3256">
        <v>0</v>
      </c>
      <c r="H3256" t="s">
        <v>8</v>
      </c>
      <c r="I3256">
        <v>0</v>
      </c>
      <c r="J3256">
        <v>0</v>
      </c>
      <c r="K3256">
        <v>0</v>
      </c>
    </row>
    <row r="3257" spans="1:11" x14ac:dyDescent="0.2">
      <c r="A3257" t="s">
        <v>5724</v>
      </c>
      <c r="B3257" t="s">
        <v>5725</v>
      </c>
      <c r="C3257" t="s">
        <v>582</v>
      </c>
      <c r="D3257" t="s">
        <v>98</v>
      </c>
      <c r="E3257">
        <v>49.99</v>
      </c>
      <c r="F3257">
        <v>0</v>
      </c>
      <c r="H3257" t="s">
        <v>8</v>
      </c>
      <c r="I3257">
        <v>0</v>
      </c>
      <c r="J3257">
        <v>0</v>
      </c>
      <c r="K3257">
        <v>0</v>
      </c>
    </row>
    <row r="3258" spans="1:11" x14ac:dyDescent="0.2">
      <c r="A3258" t="s">
        <v>5726</v>
      </c>
      <c r="B3258" t="s">
        <v>5727</v>
      </c>
      <c r="C3258" t="s">
        <v>582</v>
      </c>
      <c r="D3258" t="s">
        <v>98</v>
      </c>
      <c r="E3258">
        <v>19.989999999999998</v>
      </c>
      <c r="F3258">
        <v>0</v>
      </c>
      <c r="H3258" t="s">
        <v>8</v>
      </c>
      <c r="I3258">
        <v>0</v>
      </c>
      <c r="J3258">
        <v>0</v>
      </c>
      <c r="K3258">
        <v>0</v>
      </c>
    </row>
    <row r="3259" spans="1:11" x14ac:dyDescent="0.2">
      <c r="A3259" t="s">
        <v>5309</v>
      </c>
      <c r="B3259" t="s">
        <v>5310</v>
      </c>
      <c r="C3259" t="s">
        <v>3929</v>
      </c>
      <c r="D3259" t="s">
        <v>98</v>
      </c>
      <c r="E3259">
        <v>129.99</v>
      </c>
      <c r="F3259">
        <v>0</v>
      </c>
      <c r="H3259" t="s">
        <v>8</v>
      </c>
      <c r="I3259">
        <v>0</v>
      </c>
      <c r="J3259">
        <v>0</v>
      </c>
      <c r="K3259">
        <v>0</v>
      </c>
    </row>
    <row r="3260" spans="1:11" x14ac:dyDescent="0.2">
      <c r="A3260" t="s">
        <v>5307</v>
      </c>
      <c r="B3260" t="s">
        <v>5308</v>
      </c>
      <c r="C3260" t="s">
        <v>582</v>
      </c>
      <c r="D3260" t="s">
        <v>98</v>
      </c>
      <c r="E3260">
        <v>29.99</v>
      </c>
      <c r="F3260">
        <v>0</v>
      </c>
      <c r="H3260" t="s">
        <v>8</v>
      </c>
      <c r="I3260">
        <v>0</v>
      </c>
      <c r="J3260">
        <v>0</v>
      </c>
      <c r="K3260">
        <v>0</v>
      </c>
    </row>
    <row r="3261" spans="1:11" x14ac:dyDescent="0.2">
      <c r="A3261" t="s">
        <v>5311</v>
      </c>
      <c r="B3261" t="s">
        <v>5312</v>
      </c>
      <c r="C3261" t="s">
        <v>582</v>
      </c>
      <c r="D3261" t="s">
        <v>98</v>
      </c>
      <c r="E3261">
        <v>29.99</v>
      </c>
      <c r="F3261">
        <v>0</v>
      </c>
      <c r="H3261" t="s">
        <v>8</v>
      </c>
      <c r="I3261">
        <v>0</v>
      </c>
      <c r="J3261">
        <v>0</v>
      </c>
      <c r="K3261">
        <v>0</v>
      </c>
    </row>
    <row r="3262" spans="1:11" x14ac:dyDescent="0.2">
      <c r="A3262" t="s">
        <v>4161</v>
      </c>
      <c r="B3262" t="s">
        <v>4162</v>
      </c>
      <c r="C3262" t="s">
        <v>3929</v>
      </c>
      <c r="D3262" t="s">
        <v>105</v>
      </c>
      <c r="E3262">
        <v>139.99</v>
      </c>
      <c r="F3262">
        <v>0</v>
      </c>
      <c r="H3262" t="s">
        <v>8</v>
      </c>
      <c r="I3262">
        <v>0</v>
      </c>
      <c r="J3262">
        <v>0</v>
      </c>
      <c r="K3262">
        <v>0</v>
      </c>
    </row>
    <row r="3263" spans="1:11" x14ac:dyDescent="0.2">
      <c r="A3263" t="s">
        <v>5728</v>
      </c>
      <c r="B3263" t="s">
        <v>5729</v>
      </c>
      <c r="C3263" t="s">
        <v>582</v>
      </c>
      <c r="D3263" t="s">
        <v>98</v>
      </c>
      <c r="E3263">
        <v>29.99</v>
      </c>
      <c r="F3263">
        <v>0</v>
      </c>
      <c r="H3263" t="s">
        <v>8</v>
      </c>
      <c r="I3263">
        <v>0</v>
      </c>
      <c r="J3263">
        <v>0</v>
      </c>
      <c r="K3263">
        <v>0</v>
      </c>
    </row>
    <row r="3264" spans="1:11" x14ac:dyDescent="0.2">
      <c r="A3264" t="s">
        <v>5292</v>
      </c>
      <c r="B3264" t="s">
        <v>5293</v>
      </c>
      <c r="C3264" t="s">
        <v>582</v>
      </c>
      <c r="D3264" t="s">
        <v>98</v>
      </c>
      <c r="E3264">
        <v>69.989999999999995</v>
      </c>
      <c r="F3264">
        <v>0</v>
      </c>
      <c r="H3264" t="s">
        <v>8</v>
      </c>
      <c r="I3264">
        <v>0</v>
      </c>
      <c r="J3264">
        <v>0</v>
      </c>
      <c r="K3264">
        <v>0</v>
      </c>
    </row>
    <row r="3265" spans="1:11" x14ac:dyDescent="0.2">
      <c r="A3265" t="s">
        <v>5298</v>
      </c>
      <c r="B3265" t="s">
        <v>5299</v>
      </c>
      <c r="C3265" t="s">
        <v>582</v>
      </c>
      <c r="D3265" t="s">
        <v>98</v>
      </c>
      <c r="E3265">
        <v>39.99</v>
      </c>
      <c r="F3265">
        <v>0</v>
      </c>
      <c r="H3265" t="s">
        <v>8</v>
      </c>
      <c r="I3265">
        <v>0</v>
      </c>
      <c r="J3265">
        <v>0</v>
      </c>
      <c r="K3265">
        <v>0</v>
      </c>
    </row>
    <row r="3266" spans="1:11" x14ac:dyDescent="0.2">
      <c r="A3266" t="s">
        <v>5300</v>
      </c>
      <c r="B3266" t="s">
        <v>5301</v>
      </c>
      <c r="C3266" t="s">
        <v>582</v>
      </c>
      <c r="D3266" t="s">
        <v>98</v>
      </c>
      <c r="E3266">
        <v>19.989999999999998</v>
      </c>
      <c r="F3266">
        <v>0</v>
      </c>
      <c r="H3266" t="s">
        <v>8</v>
      </c>
      <c r="I3266">
        <v>0</v>
      </c>
      <c r="J3266">
        <v>0</v>
      </c>
      <c r="K3266">
        <v>0</v>
      </c>
    </row>
    <row r="3267" spans="1:11" x14ac:dyDescent="0.2">
      <c r="A3267" t="s">
        <v>5296</v>
      </c>
      <c r="B3267" t="s">
        <v>5297</v>
      </c>
      <c r="C3267" t="s">
        <v>582</v>
      </c>
      <c r="D3267" t="s">
        <v>98</v>
      </c>
      <c r="E3267">
        <v>24.99</v>
      </c>
      <c r="F3267">
        <v>0</v>
      </c>
      <c r="H3267" t="s">
        <v>8</v>
      </c>
      <c r="I3267">
        <v>0</v>
      </c>
      <c r="J3267">
        <v>0</v>
      </c>
      <c r="K3267">
        <v>0</v>
      </c>
    </row>
    <row r="3268" spans="1:11" x14ac:dyDescent="0.2">
      <c r="A3268" t="s">
        <v>406</v>
      </c>
      <c r="B3268" t="s">
        <v>407</v>
      </c>
      <c r="C3268" t="s">
        <v>307</v>
      </c>
      <c r="D3268" t="s">
        <v>98</v>
      </c>
      <c r="E3268">
        <v>1699.99</v>
      </c>
      <c r="F3268">
        <v>0</v>
      </c>
      <c r="H3268" t="s">
        <v>8</v>
      </c>
      <c r="I3268">
        <v>0</v>
      </c>
      <c r="J3268">
        <v>0</v>
      </c>
      <c r="K3268">
        <v>0</v>
      </c>
    </row>
    <row r="3269" spans="1:11" x14ac:dyDescent="0.2">
      <c r="A3269" t="s">
        <v>420</v>
      </c>
      <c r="B3269" t="s">
        <v>421</v>
      </c>
      <c r="C3269" t="s">
        <v>307</v>
      </c>
      <c r="D3269" t="s">
        <v>98</v>
      </c>
      <c r="E3269">
        <v>449</v>
      </c>
      <c r="F3269">
        <v>0</v>
      </c>
      <c r="H3269" t="s">
        <v>8</v>
      </c>
      <c r="I3269">
        <v>0</v>
      </c>
      <c r="J3269">
        <v>0</v>
      </c>
      <c r="K3269">
        <v>0</v>
      </c>
    </row>
    <row r="3270" spans="1:11" x14ac:dyDescent="0.2">
      <c r="A3270" t="s">
        <v>418</v>
      </c>
      <c r="B3270" t="s">
        <v>419</v>
      </c>
      <c r="C3270" t="s">
        <v>307</v>
      </c>
      <c r="D3270" t="s">
        <v>98</v>
      </c>
      <c r="E3270">
        <v>449</v>
      </c>
      <c r="F3270">
        <v>0</v>
      </c>
      <c r="H3270" t="s">
        <v>8</v>
      </c>
      <c r="I3270">
        <v>0</v>
      </c>
      <c r="J3270">
        <v>0</v>
      </c>
      <c r="K3270">
        <v>0</v>
      </c>
    </row>
    <row r="3271" spans="1:11" x14ac:dyDescent="0.2">
      <c r="A3271" t="s">
        <v>403</v>
      </c>
      <c r="B3271" t="s">
        <v>402</v>
      </c>
      <c r="C3271" t="s">
        <v>307</v>
      </c>
      <c r="D3271" t="s">
        <v>98</v>
      </c>
      <c r="E3271">
        <v>1699.99</v>
      </c>
      <c r="F3271">
        <v>0</v>
      </c>
      <c r="H3271" t="s">
        <v>8</v>
      </c>
      <c r="I3271">
        <v>0.16666666666666666</v>
      </c>
      <c r="J3271">
        <v>30</v>
      </c>
      <c r="K3271">
        <v>5</v>
      </c>
    </row>
    <row r="3272" spans="1:11" x14ac:dyDescent="0.2">
      <c r="A3272" t="s">
        <v>424</v>
      </c>
      <c r="B3272" t="s">
        <v>425</v>
      </c>
      <c r="C3272" t="s">
        <v>307</v>
      </c>
      <c r="D3272" t="s">
        <v>98</v>
      </c>
      <c r="E3272">
        <v>449</v>
      </c>
      <c r="F3272">
        <v>0</v>
      </c>
      <c r="H3272" t="s">
        <v>8</v>
      </c>
      <c r="I3272">
        <v>0</v>
      </c>
      <c r="J3272">
        <v>0</v>
      </c>
      <c r="K3272">
        <v>0</v>
      </c>
    </row>
    <row r="3273" spans="1:11" x14ac:dyDescent="0.2">
      <c r="A3273" t="s">
        <v>5378</v>
      </c>
      <c r="B3273" t="s">
        <v>5379</v>
      </c>
      <c r="C3273" t="s">
        <v>874</v>
      </c>
      <c r="D3273" t="s">
        <v>98</v>
      </c>
      <c r="E3273">
        <v>69.989999999999995</v>
      </c>
      <c r="F3273">
        <v>0</v>
      </c>
      <c r="H3273" t="s">
        <v>8</v>
      </c>
      <c r="I3273">
        <v>0</v>
      </c>
      <c r="J3273">
        <v>0</v>
      </c>
      <c r="K3273">
        <v>0</v>
      </c>
    </row>
    <row r="3274" spans="1:11" x14ac:dyDescent="0.2">
      <c r="A3274" t="s">
        <v>5219</v>
      </c>
      <c r="B3274" t="s">
        <v>5220</v>
      </c>
      <c r="C3274" t="s">
        <v>904</v>
      </c>
      <c r="D3274" t="s">
        <v>98</v>
      </c>
      <c r="E3274">
        <v>29.99</v>
      </c>
      <c r="F3274">
        <v>0</v>
      </c>
      <c r="H3274" t="s">
        <v>8</v>
      </c>
      <c r="I3274">
        <v>0</v>
      </c>
      <c r="J3274">
        <v>0</v>
      </c>
      <c r="K3274">
        <v>0</v>
      </c>
    </row>
    <row r="3275" spans="1:11" x14ac:dyDescent="0.2">
      <c r="A3275" t="s">
        <v>5345</v>
      </c>
      <c r="B3275" t="s">
        <v>5346</v>
      </c>
      <c r="C3275" t="s">
        <v>3929</v>
      </c>
      <c r="D3275" t="s">
        <v>98</v>
      </c>
      <c r="E3275">
        <v>49.99</v>
      </c>
      <c r="F3275">
        <v>0</v>
      </c>
      <c r="H3275" t="s">
        <v>8</v>
      </c>
      <c r="I3275">
        <v>0</v>
      </c>
      <c r="J3275">
        <v>0</v>
      </c>
      <c r="K3275">
        <v>0</v>
      </c>
    </row>
    <row r="3276" spans="1:11" x14ac:dyDescent="0.2">
      <c r="A3276" t="s">
        <v>5369</v>
      </c>
      <c r="B3276" t="s">
        <v>5370</v>
      </c>
      <c r="C3276" t="s">
        <v>3929</v>
      </c>
      <c r="D3276" t="s">
        <v>98</v>
      </c>
      <c r="E3276">
        <v>69.989999999999995</v>
      </c>
      <c r="F3276">
        <v>0</v>
      </c>
      <c r="H3276" t="s">
        <v>8</v>
      </c>
      <c r="I3276">
        <v>0</v>
      </c>
      <c r="J3276">
        <v>0</v>
      </c>
      <c r="K3276">
        <v>0</v>
      </c>
    </row>
    <row r="3277" spans="1:11" x14ac:dyDescent="0.2">
      <c r="A3277" t="s">
        <v>5128</v>
      </c>
      <c r="B3277" t="s">
        <v>5129</v>
      </c>
      <c r="C3277" t="s">
        <v>3929</v>
      </c>
      <c r="D3277" t="s">
        <v>138</v>
      </c>
      <c r="E3277">
        <v>129.99</v>
      </c>
      <c r="F3277">
        <v>0</v>
      </c>
      <c r="H3277" t="s">
        <v>8</v>
      </c>
      <c r="I3277">
        <v>0.5</v>
      </c>
      <c r="J3277">
        <v>0</v>
      </c>
      <c r="K3277">
        <v>0</v>
      </c>
    </row>
    <row r="3278" spans="1:11" x14ac:dyDescent="0.2">
      <c r="A3278" t="s">
        <v>5209</v>
      </c>
      <c r="B3278" t="s">
        <v>5210</v>
      </c>
      <c r="C3278" t="s">
        <v>904</v>
      </c>
      <c r="D3278" t="s">
        <v>98</v>
      </c>
      <c r="E3278">
        <v>49.99</v>
      </c>
      <c r="F3278">
        <v>0</v>
      </c>
      <c r="H3278" t="s">
        <v>8</v>
      </c>
      <c r="I3278">
        <v>0</v>
      </c>
      <c r="J3278">
        <v>0</v>
      </c>
      <c r="K3278">
        <v>0</v>
      </c>
    </row>
    <row r="3279" spans="1:11" x14ac:dyDescent="0.2">
      <c r="A3279" t="s">
        <v>5245</v>
      </c>
      <c r="B3279" t="s">
        <v>5246</v>
      </c>
      <c r="C3279" t="s">
        <v>904</v>
      </c>
      <c r="D3279" t="s">
        <v>98</v>
      </c>
      <c r="E3279">
        <v>69.989999999999995</v>
      </c>
      <c r="F3279">
        <v>0</v>
      </c>
      <c r="H3279" t="s">
        <v>8</v>
      </c>
      <c r="I3279">
        <v>0</v>
      </c>
      <c r="J3279">
        <v>0</v>
      </c>
      <c r="K3279">
        <v>0</v>
      </c>
    </row>
    <row r="3280" spans="1:11" x14ac:dyDescent="0.2">
      <c r="A3280" t="s">
        <v>5255</v>
      </c>
      <c r="B3280" t="s">
        <v>5256</v>
      </c>
      <c r="C3280" t="s">
        <v>904</v>
      </c>
      <c r="D3280" t="s">
        <v>98</v>
      </c>
      <c r="E3280">
        <v>49.99</v>
      </c>
      <c r="F3280">
        <v>0</v>
      </c>
      <c r="H3280" t="s">
        <v>8</v>
      </c>
      <c r="I3280">
        <v>0</v>
      </c>
      <c r="J3280">
        <v>0</v>
      </c>
      <c r="K3280">
        <v>0</v>
      </c>
    </row>
    <row r="3281" spans="1:11" x14ac:dyDescent="0.2">
      <c r="A3281" t="s">
        <v>4109</v>
      </c>
      <c r="B3281" t="s">
        <v>4110</v>
      </c>
      <c r="C3281" t="s">
        <v>3929</v>
      </c>
      <c r="D3281" t="s">
        <v>138</v>
      </c>
      <c r="E3281">
        <v>64.989999999999995</v>
      </c>
      <c r="F3281">
        <v>0</v>
      </c>
      <c r="H3281" t="s">
        <v>8</v>
      </c>
      <c r="I3281">
        <v>0</v>
      </c>
      <c r="J3281">
        <v>0</v>
      </c>
      <c r="K3281">
        <v>0</v>
      </c>
    </row>
    <row r="3282" spans="1:11" x14ac:dyDescent="0.2">
      <c r="A3282" t="s">
        <v>5229</v>
      </c>
      <c r="B3282" t="s">
        <v>5230</v>
      </c>
      <c r="C3282" t="s">
        <v>904</v>
      </c>
      <c r="D3282" t="s">
        <v>98</v>
      </c>
      <c r="E3282">
        <v>79.989999999999995</v>
      </c>
      <c r="F3282">
        <v>0</v>
      </c>
      <c r="H3282" t="s">
        <v>8</v>
      </c>
      <c r="I3282">
        <v>0</v>
      </c>
      <c r="J3282">
        <v>0</v>
      </c>
      <c r="K3282">
        <v>0</v>
      </c>
    </row>
    <row r="3283" spans="1:11" x14ac:dyDescent="0.2">
      <c r="A3283" t="s">
        <v>4111</v>
      </c>
      <c r="B3283" t="s">
        <v>4112</v>
      </c>
      <c r="C3283" t="s">
        <v>3929</v>
      </c>
      <c r="D3283" t="s">
        <v>105</v>
      </c>
      <c r="E3283">
        <v>89.99</v>
      </c>
      <c r="F3283">
        <v>0</v>
      </c>
      <c r="G3283">
        <v>49</v>
      </c>
      <c r="H3283" t="s">
        <v>8</v>
      </c>
      <c r="I3283">
        <v>0</v>
      </c>
      <c r="J3283">
        <v>0</v>
      </c>
      <c r="K3283">
        <v>0</v>
      </c>
    </row>
    <row r="3284" spans="1:11" x14ac:dyDescent="0.2">
      <c r="A3284" t="s">
        <v>5158</v>
      </c>
      <c r="B3284" t="s">
        <v>5159</v>
      </c>
      <c r="C3284" t="s">
        <v>904</v>
      </c>
      <c r="D3284" t="s">
        <v>98</v>
      </c>
      <c r="E3284">
        <v>59.99</v>
      </c>
      <c r="F3284">
        <v>0</v>
      </c>
      <c r="H3284" t="s">
        <v>8</v>
      </c>
      <c r="I3284">
        <v>0</v>
      </c>
      <c r="J3284">
        <v>0</v>
      </c>
      <c r="K3284">
        <v>0</v>
      </c>
    </row>
    <row r="3285" spans="1:11" x14ac:dyDescent="0.2">
      <c r="A3285" t="s">
        <v>5169</v>
      </c>
      <c r="B3285" t="s">
        <v>5170</v>
      </c>
      <c r="C3285" t="s">
        <v>904</v>
      </c>
      <c r="D3285" t="s">
        <v>98</v>
      </c>
      <c r="E3285">
        <v>59.99</v>
      </c>
      <c r="F3285">
        <v>0</v>
      </c>
      <c r="H3285" t="s">
        <v>8</v>
      </c>
      <c r="I3285">
        <v>0</v>
      </c>
      <c r="J3285">
        <v>0</v>
      </c>
      <c r="K3285">
        <v>0</v>
      </c>
    </row>
    <row r="3286" spans="1:11" x14ac:dyDescent="0.2">
      <c r="A3286" t="s">
        <v>4113</v>
      </c>
      <c r="B3286" t="s">
        <v>4114</v>
      </c>
      <c r="C3286" t="s">
        <v>3929</v>
      </c>
      <c r="D3286" t="s">
        <v>105</v>
      </c>
      <c r="E3286">
        <v>54.99</v>
      </c>
      <c r="F3286">
        <v>0</v>
      </c>
      <c r="G3286">
        <v>18</v>
      </c>
      <c r="H3286" t="s">
        <v>8</v>
      </c>
      <c r="I3286">
        <v>0</v>
      </c>
      <c r="J3286">
        <v>0</v>
      </c>
      <c r="K3286">
        <v>0</v>
      </c>
    </row>
    <row r="3287" spans="1:11" x14ac:dyDescent="0.2">
      <c r="A3287" t="s">
        <v>5136</v>
      </c>
      <c r="B3287" t="s">
        <v>5137</v>
      </c>
      <c r="C3287" t="s">
        <v>874</v>
      </c>
      <c r="D3287" t="s">
        <v>98</v>
      </c>
      <c r="E3287">
        <v>59.99</v>
      </c>
      <c r="F3287">
        <v>0</v>
      </c>
      <c r="H3287" t="s">
        <v>8</v>
      </c>
      <c r="I3287">
        <v>0</v>
      </c>
      <c r="J3287">
        <v>0</v>
      </c>
      <c r="K3287">
        <v>0</v>
      </c>
    </row>
    <row r="3288" spans="1:11" x14ac:dyDescent="0.2">
      <c r="A3288" t="s">
        <v>4115</v>
      </c>
      <c r="B3288" t="s">
        <v>4116</v>
      </c>
      <c r="C3288" t="s">
        <v>3929</v>
      </c>
      <c r="D3288" t="s">
        <v>105</v>
      </c>
      <c r="E3288">
        <v>44.99</v>
      </c>
      <c r="F3288">
        <v>0</v>
      </c>
      <c r="G3288">
        <v>2</v>
      </c>
      <c r="H3288" t="s">
        <v>8</v>
      </c>
      <c r="I3288">
        <v>0</v>
      </c>
      <c r="J3288">
        <v>0</v>
      </c>
      <c r="K3288">
        <v>0</v>
      </c>
    </row>
    <row r="3289" spans="1:11" x14ac:dyDescent="0.2">
      <c r="A3289" t="s">
        <v>5148</v>
      </c>
      <c r="B3289" t="s">
        <v>5149</v>
      </c>
      <c r="C3289" t="s">
        <v>874</v>
      </c>
      <c r="D3289" t="s">
        <v>98</v>
      </c>
      <c r="E3289">
        <v>39.99</v>
      </c>
      <c r="F3289">
        <v>0</v>
      </c>
      <c r="H3289" t="s">
        <v>8</v>
      </c>
      <c r="I3289">
        <v>0</v>
      </c>
      <c r="J3289">
        <v>0</v>
      </c>
      <c r="K3289">
        <v>0</v>
      </c>
    </row>
    <row r="3290" spans="1:11" x14ac:dyDescent="0.2">
      <c r="A3290" t="s">
        <v>5187</v>
      </c>
      <c r="B3290" t="s">
        <v>5188</v>
      </c>
      <c r="C3290" t="s">
        <v>874</v>
      </c>
      <c r="D3290" t="s">
        <v>98</v>
      </c>
      <c r="E3290">
        <v>19.989999999999998</v>
      </c>
      <c r="F3290">
        <v>0</v>
      </c>
      <c r="H3290" t="s">
        <v>8</v>
      </c>
      <c r="I3290">
        <v>0</v>
      </c>
      <c r="J3290">
        <v>0</v>
      </c>
      <c r="K3290">
        <v>0</v>
      </c>
    </row>
    <row r="3291" spans="1:11" x14ac:dyDescent="0.2">
      <c r="A3291" t="s">
        <v>4117</v>
      </c>
      <c r="B3291" t="s">
        <v>4118</v>
      </c>
      <c r="C3291" t="s">
        <v>3929</v>
      </c>
      <c r="D3291" t="s">
        <v>105</v>
      </c>
      <c r="E3291">
        <v>34.99</v>
      </c>
      <c r="F3291">
        <v>0</v>
      </c>
      <c r="G3291">
        <v>131</v>
      </c>
      <c r="H3291" t="s">
        <v>8</v>
      </c>
      <c r="I3291">
        <v>0.16666666666666666</v>
      </c>
      <c r="J3291">
        <v>78</v>
      </c>
      <c r="K3291">
        <v>13</v>
      </c>
    </row>
    <row r="3292" spans="1:11" x14ac:dyDescent="0.2">
      <c r="A3292" t="s">
        <v>5197</v>
      </c>
      <c r="B3292" t="s">
        <v>5198</v>
      </c>
      <c r="C3292" t="s">
        <v>874</v>
      </c>
      <c r="D3292" t="s">
        <v>98</v>
      </c>
      <c r="E3292">
        <v>29.99</v>
      </c>
      <c r="F3292">
        <v>0</v>
      </c>
      <c r="H3292" t="s">
        <v>8</v>
      </c>
      <c r="I3292">
        <v>0</v>
      </c>
      <c r="J3292">
        <v>0</v>
      </c>
      <c r="K3292">
        <v>0</v>
      </c>
    </row>
    <row r="3293" spans="1:11" x14ac:dyDescent="0.2">
      <c r="A3293" t="s">
        <v>4119</v>
      </c>
      <c r="B3293" t="s">
        <v>4120</v>
      </c>
      <c r="C3293" t="s">
        <v>3929</v>
      </c>
      <c r="D3293" t="s">
        <v>105</v>
      </c>
      <c r="E3293">
        <v>34.99</v>
      </c>
      <c r="F3293">
        <v>0</v>
      </c>
      <c r="G3293">
        <v>57</v>
      </c>
      <c r="H3293" t="s">
        <v>8</v>
      </c>
      <c r="I3293">
        <v>0</v>
      </c>
      <c r="J3293">
        <v>0</v>
      </c>
      <c r="K3293">
        <v>0</v>
      </c>
    </row>
    <row r="3294" spans="1:11" x14ac:dyDescent="0.2">
      <c r="A3294" t="s">
        <v>5183</v>
      </c>
      <c r="B3294" t="s">
        <v>5184</v>
      </c>
      <c r="C3294" t="s">
        <v>874</v>
      </c>
      <c r="D3294" t="s">
        <v>98</v>
      </c>
      <c r="E3294">
        <v>29.99</v>
      </c>
      <c r="F3294">
        <v>0</v>
      </c>
      <c r="H3294" t="s">
        <v>8</v>
      </c>
      <c r="I3294">
        <v>0</v>
      </c>
      <c r="J3294">
        <v>0</v>
      </c>
      <c r="K3294">
        <v>0</v>
      </c>
    </row>
    <row r="3295" spans="1:11" x14ac:dyDescent="0.2">
      <c r="A3295" t="s">
        <v>5185</v>
      </c>
      <c r="B3295" t="s">
        <v>5186</v>
      </c>
      <c r="C3295" t="s">
        <v>874</v>
      </c>
      <c r="D3295" t="s">
        <v>98</v>
      </c>
      <c r="E3295">
        <v>59.99</v>
      </c>
      <c r="F3295">
        <v>0</v>
      </c>
      <c r="H3295" t="s">
        <v>8</v>
      </c>
      <c r="I3295">
        <v>0</v>
      </c>
      <c r="J3295">
        <v>0</v>
      </c>
      <c r="K3295">
        <v>0</v>
      </c>
    </row>
    <row r="3296" spans="1:11" x14ac:dyDescent="0.2">
      <c r="A3296" t="s">
        <v>5337</v>
      </c>
      <c r="B3296" t="s">
        <v>5338</v>
      </c>
      <c r="C3296" t="s">
        <v>874</v>
      </c>
      <c r="D3296" t="s">
        <v>98</v>
      </c>
      <c r="E3296">
        <v>119.99</v>
      </c>
      <c r="F3296">
        <v>0</v>
      </c>
      <c r="H3296" t="s">
        <v>8</v>
      </c>
      <c r="I3296">
        <v>0</v>
      </c>
      <c r="J3296">
        <v>0</v>
      </c>
      <c r="K3296">
        <v>0</v>
      </c>
    </row>
    <row r="3297" spans="1:11" x14ac:dyDescent="0.2">
      <c r="A3297" t="s">
        <v>4123</v>
      </c>
      <c r="B3297" t="s">
        <v>4124</v>
      </c>
      <c r="C3297" t="s">
        <v>3929</v>
      </c>
      <c r="D3297" t="s">
        <v>105</v>
      </c>
      <c r="E3297">
        <v>29.99</v>
      </c>
      <c r="F3297">
        <v>0</v>
      </c>
      <c r="G3297">
        <v>3</v>
      </c>
      <c r="H3297" t="s">
        <v>8</v>
      </c>
      <c r="I3297">
        <v>0</v>
      </c>
      <c r="J3297">
        <v>0</v>
      </c>
      <c r="K3297">
        <v>0</v>
      </c>
    </row>
    <row r="3298" spans="1:11" x14ac:dyDescent="0.2">
      <c r="A3298" t="s">
        <v>5313</v>
      </c>
      <c r="B3298" t="s">
        <v>5314</v>
      </c>
      <c r="C3298" t="s">
        <v>874</v>
      </c>
      <c r="D3298" t="s">
        <v>98</v>
      </c>
      <c r="E3298">
        <v>39.99</v>
      </c>
      <c r="F3298">
        <v>0</v>
      </c>
      <c r="H3298" t="s">
        <v>8</v>
      </c>
      <c r="I3298">
        <v>0</v>
      </c>
      <c r="J3298">
        <v>0</v>
      </c>
      <c r="K3298">
        <v>0</v>
      </c>
    </row>
    <row r="3299" spans="1:11" x14ac:dyDescent="0.2">
      <c r="A3299" t="s">
        <v>5323</v>
      </c>
      <c r="B3299" t="s">
        <v>5324</v>
      </c>
      <c r="C3299" t="s">
        <v>874</v>
      </c>
      <c r="D3299" t="s">
        <v>98</v>
      </c>
      <c r="E3299">
        <v>79.989999999999995</v>
      </c>
      <c r="F3299">
        <v>0</v>
      </c>
      <c r="H3299" t="s">
        <v>8</v>
      </c>
      <c r="I3299">
        <v>0</v>
      </c>
      <c r="J3299">
        <v>0</v>
      </c>
      <c r="K3299">
        <v>0</v>
      </c>
    </row>
    <row r="3300" spans="1:11" x14ac:dyDescent="0.2">
      <c r="A3300" t="s">
        <v>5365</v>
      </c>
      <c r="B3300" t="s">
        <v>5366</v>
      </c>
      <c r="C3300" t="s">
        <v>874</v>
      </c>
      <c r="D3300" t="s">
        <v>98</v>
      </c>
      <c r="E3300">
        <v>79.989999999999995</v>
      </c>
      <c r="F3300">
        <v>0</v>
      </c>
      <c r="H3300" t="s">
        <v>8</v>
      </c>
      <c r="I3300">
        <v>0</v>
      </c>
      <c r="J3300">
        <v>0</v>
      </c>
      <c r="K3300">
        <v>0</v>
      </c>
    </row>
    <row r="3301" spans="1:11" x14ac:dyDescent="0.2">
      <c r="A3301" t="s">
        <v>5144</v>
      </c>
      <c r="B3301" t="s">
        <v>5145</v>
      </c>
      <c r="C3301" t="s">
        <v>3575</v>
      </c>
      <c r="D3301" t="s">
        <v>98</v>
      </c>
      <c r="E3301">
        <v>19.989999999999998</v>
      </c>
      <c r="F3301">
        <v>0</v>
      </c>
      <c r="H3301" t="s">
        <v>8</v>
      </c>
      <c r="I3301">
        <v>0</v>
      </c>
      <c r="J3301">
        <v>0</v>
      </c>
      <c r="K3301">
        <v>0</v>
      </c>
    </row>
    <row r="3302" spans="1:11" x14ac:dyDescent="0.2">
      <c r="A3302" t="s">
        <v>4253</v>
      </c>
      <c r="B3302" t="s">
        <v>4254</v>
      </c>
      <c r="C3302" t="s">
        <v>4230</v>
      </c>
      <c r="D3302" t="s">
        <v>105</v>
      </c>
      <c r="E3302">
        <v>29.95</v>
      </c>
      <c r="F3302">
        <v>0</v>
      </c>
      <c r="H3302" t="s">
        <v>72</v>
      </c>
      <c r="I3302">
        <v>0.83333333333333337</v>
      </c>
      <c r="J3302">
        <v>7</v>
      </c>
      <c r="K3302">
        <v>6</v>
      </c>
    </row>
    <row r="3303" spans="1:11" x14ac:dyDescent="0.2">
      <c r="A3303" t="s">
        <v>4273</v>
      </c>
      <c r="B3303" t="s">
        <v>4274</v>
      </c>
      <c r="C3303" t="s">
        <v>4230</v>
      </c>
      <c r="D3303" t="s">
        <v>105</v>
      </c>
      <c r="E3303">
        <v>14.95</v>
      </c>
      <c r="F3303">
        <v>0</v>
      </c>
      <c r="H3303" t="s">
        <v>72</v>
      </c>
      <c r="I3303">
        <v>0.16666666666666666</v>
      </c>
      <c r="J3303">
        <v>-18</v>
      </c>
      <c r="K3303">
        <v>-3</v>
      </c>
    </row>
    <row r="3304" spans="1:11" x14ac:dyDescent="0.2">
      <c r="A3304" t="s">
        <v>5606</v>
      </c>
      <c r="B3304" t="s">
        <v>5607</v>
      </c>
      <c r="C3304" t="s">
        <v>3929</v>
      </c>
      <c r="D3304" t="s">
        <v>138</v>
      </c>
      <c r="E3304">
        <v>169.99</v>
      </c>
      <c r="F3304">
        <v>339.98</v>
      </c>
      <c r="G3304">
        <v>2</v>
      </c>
      <c r="H3304" t="s">
        <v>8</v>
      </c>
      <c r="I3304">
        <v>2</v>
      </c>
      <c r="J3304">
        <v>14</v>
      </c>
      <c r="K3304">
        <v>27</v>
      </c>
    </row>
    <row r="3305" spans="1:11" x14ac:dyDescent="0.2">
      <c r="K3305">
        <v>39970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4481-3805-4D53-8EAE-C43377861F57}">
  <dimension ref="A1:H1501"/>
  <sheetViews>
    <sheetView workbookViewId="0"/>
  </sheetViews>
  <sheetFormatPr baseColWidth="10" defaultColWidth="8.83203125" defaultRowHeight="16" x14ac:dyDescent="0.2"/>
  <cols>
    <col min="1" max="1" width="22" bestFit="1" customWidth="1"/>
    <col min="2" max="2" width="75" bestFit="1" customWidth="1"/>
    <col min="3" max="3" width="13.33203125" bestFit="1" customWidth="1"/>
    <col min="4" max="4" width="18.6640625" bestFit="1" customWidth="1"/>
    <col min="5" max="5" width="15.6640625" bestFit="1" customWidth="1"/>
    <col min="6" max="6" width="12.83203125" bestFit="1" customWidth="1"/>
    <col min="7" max="7" width="12.33203125" bestFit="1" customWidth="1"/>
    <col min="8" max="8" width="11.6640625" bestFit="1" customWidth="1"/>
    <col min="9" max="9" width="11.33203125" bestFit="1" customWidth="1"/>
    <col min="10" max="10" width="18" bestFit="1" customWidth="1"/>
    <col min="11" max="11" width="32.1640625" bestFit="1" customWidth="1"/>
    <col min="12" max="12" width="12.6640625" bestFit="1" customWidth="1"/>
    <col min="13" max="13" width="11.83203125" bestFit="1" customWidth="1"/>
    <col min="14" max="14" width="22.1640625" bestFit="1" customWidth="1"/>
    <col min="15" max="15" width="74.83203125" bestFit="1" customWidth="1"/>
    <col min="16" max="16" width="13.6640625" bestFit="1" customWidth="1"/>
    <col min="17" max="17" width="19" bestFit="1" customWidth="1"/>
    <col min="18" max="18" width="11.33203125" bestFit="1" customWidth="1"/>
    <col min="19" max="19" width="15.83203125" bestFit="1" customWidth="1"/>
    <col min="20" max="20" width="29.83203125" bestFit="1" customWidth="1"/>
    <col min="21" max="21" width="10.33203125" bestFit="1" customWidth="1"/>
    <col min="22" max="22" width="10.1640625" bestFit="1" customWidth="1"/>
    <col min="23" max="23" width="15.83203125" bestFit="1" customWidth="1"/>
    <col min="24" max="24" width="29.83203125" bestFit="1" customWidth="1"/>
    <col min="25" max="26" width="11.1640625" bestFit="1" customWidth="1"/>
    <col min="27" max="27" width="15.83203125" bestFit="1" customWidth="1"/>
    <col min="28" max="28" width="29.83203125" bestFit="1" customWidth="1"/>
    <col min="29" max="30" width="11.1640625" bestFit="1" customWidth="1"/>
    <col min="31" max="31" width="15.83203125" bestFit="1" customWidth="1"/>
    <col min="32" max="32" width="29.83203125" bestFit="1" customWidth="1"/>
    <col min="33" max="34" width="11.1640625" bestFit="1" customWidth="1"/>
    <col min="35" max="35" width="15.83203125" bestFit="1" customWidth="1"/>
    <col min="36" max="36" width="29.83203125" bestFit="1" customWidth="1"/>
    <col min="37" max="38" width="11.1640625" bestFit="1" customWidth="1"/>
    <col min="39" max="39" width="15.83203125" bestFit="1" customWidth="1"/>
    <col min="40" max="40" width="29.83203125" bestFit="1" customWidth="1"/>
    <col min="41" max="42" width="11.1640625" bestFit="1" customWidth="1"/>
    <col min="43" max="43" width="15.83203125" bestFit="1" customWidth="1"/>
    <col min="44" max="44" width="29.83203125" bestFit="1" customWidth="1"/>
    <col min="45" max="46" width="11.1640625" bestFit="1" customWidth="1"/>
    <col min="47" max="47" width="15.83203125" bestFit="1" customWidth="1"/>
    <col min="48" max="48" width="29.83203125" bestFit="1" customWidth="1"/>
    <col min="49" max="50" width="11.1640625" bestFit="1" customWidth="1"/>
    <col min="51" max="51" width="15.83203125" bestFit="1" customWidth="1"/>
    <col min="52" max="52" width="29.83203125" bestFit="1" customWidth="1"/>
    <col min="53" max="54" width="11.1640625" bestFit="1" customWidth="1"/>
    <col min="55" max="55" width="15.83203125" bestFit="1" customWidth="1"/>
    <col min="56" max="56" width="29.83203125" bestFit="1" customWidth="1"/>
    <col min="57" max="58" width="11.1640625" bestFit="1" customWidth="1"/>
    <col min="59" max="59" width="15.83203125" bestFit="1" customWidth="1"/>
    <col min="60" max="60" width="29.83203125" bestFit="1" customWidth="1"/>
    <col min="61" max="62" width="11.1640625" bestFit="1" customWidth="1"/>
    <col min="63" max="63" width="15.83203125" bestFit="1" customWidth="1"/>
    <col min="64" max="64" width="29.83203125" bestFit="1" customWidth="1"/>
    <col min="65" max="66" width="11.1640625" bestFit="1" customWidth="1"/>
    <col min="67" max="67" width="15.83203125" bestFit="1" customWidth="1"/>
    <col min="68" max="68" width="29.83203125" bestFit="1" customWidth="1"/>
    <col min="69" max="70" width="11.1640625" bestFit="1" customWidth="1"/>
    <col min="71" max="71" width="15.83203125" bestFit="1" customWidth="1"/>
    <col min="72" max="72" width="29.83203125" bestFit="1" customWidth="1"/>
    <col min="73" max="74" width="11.1640625" bestFit="1" customWidth="1"/>
    <col min="75" max="75" width="15.83203125" bestFit="1" customWidth="1"/>
    <col min="76" max="76" width="29.83203125" bestFit="1" customWidth="1"/>
    <col min="77" max="78" width="11.1640625" bestFit="1" customWidth="1"/>
    <col min="79" max="79" width="15.83203125" bestFit="1" customWidth="1"/>
    <col min="80" max="80" width="29.83203125" bestFit="1" customWidth="1"/>
    <col min="81" max="82" width="11.1640625" bestFit="1" customWidth="1"/>
    <col min="83" max="83" width="15.83203125" bestFit="1" customWidth="1"/>
    <col min="84" max="84" width="29.83203125" bestFit="1" customWidth="1"/>
    <col min="85" max="86" width="11.1640625" bestFit="1" customWidth="1"/>
    <col min="87" max="87" width="15.83203125" bestFit="1" customWidth="1"/>
    <col min="88" max="88" width="29.83203125" bestFit="1" customWidth="1"/>
    <col min="89" max="90" width="11.1640625" bestFit="1" customWidth="1"/>
    <col min="91" max="91" width="15.83203125" bestFit="1" customWidth="1"/>
    <col min="92" max="92" width="29.83203125" bestFit="1" customWidth="1"/>
    <col min="93" max="94" width="11.1640625" bestFit="1" customWidth="1"/>
    <col min="95" max="95" width="15.83203125" bestFit="1" customWidth="1"/>
    <col min="96" max="96" width="29.83203125" bestFit="1" customWidth="1"/>
    <col min="97" max="98" width="11.1640625" bestFit="1" customWidth="1"/>
    <col min="99" max="99" width="15.83203125" bestFit="1" customWidth="1"/>
    <col min="100" max="100" width="29.83203125" bestFit="1" customWidth="1"/>
    <col min="101" max="102" width="11.1640625" bestFit="1" customWidth="1"/>
    <col min="103" max="103" width="15.83203125" bestFit="1" customWidth="1"/>
    <col min="104" max="104" width="29.83203125" bestFit="1" customWidth="1"/>
    <col min="105" max="106" width="11.1640625" bestFit="1" customWidth="1"/>
    <col min="107" max="107" width="15.83203125" bestFit="1" customWidth="1"/>
    <col min="108" max="108" width="29.83203125" bestFit="1" customWidth="1"/>
    <col min="109" max="110" width="11.1640625" bestFit="1" customWidth="1"/>
    <col min="111" max="111" width="15.83203125" bestFit="1" customWidth="1"/>
    <col min="112" max="112" width="29.83203125" bestFit="1" customWidth="1"/>
    <col min="113" max="114" width="12.1640625" bestFit="1" customWidth="1"/>
    <col min="115" max="115" width="15.83203125" bestFit="1" customWidth="1"/>
    <col min="116" max="116" width="29.83203125" bestFit="1" customWidth="1"/>
    <col min="117" max="118" width="12.1640625" bestFit="1" customWidth="1"/>
    <col min="119" max="119" width="15.83203125" bestFit="1" customWidth="1"/>
    <col min="120" max="120" width="29.83203125" bestFit="1" customWidth="1"/>
    <col min="121" max="122" width="12.1640625" bestFit="1" customWidth="1"/>
    <col min="123" max="123" width="15.83203125" bestFit="1" customWidth="1"/>
    <col min="124" max="124" width="29.83203125" bestFit="1" customWidth="1"/>
    <col min="125" max="126" width="12.1640625" bestFit="1" customWidth="1"/>
    <col min="127" max="127" width="15.83203125" bestFit="1" customWidth="1"/>
    <col min="128" max="128" width="29.83203125" bestFit="1" customWidth="1"/>
    <col min="129" max="130" width="12.1640625" bestFit="1" customWidth="1"/>
    <col min="131" max="131" width="15.83203125" bestFit="1" customWidth="1"/>
    <col min="132" max="132" width="29.83203125" bestFit="1" customWidth="1"/>
    <col min="133" max="134" width="12.1640625" bestFit="1" customWidth="1"/>
    <col min="135" max="135" width="15.83203125" bestFit="1" customWidth="1"/>
    <col min="136" max="136" width="29.83203125" bestFit="1" customWidth="1"/>
    <col min="137" max="138" width="12.1640625" bestFit="1" customWidth="1"/>
    <col min="139" max="139" width="15.83203125" bestFit="1" customWidth="1"/>
    <col min="140" max="140" width="29.83203125" bestFit="1" customWidth="1"/>
    <col min="141" max="142" width="12.1640625" bestFit="1" customWidth="1"/>
    <col min="143" max="143" width="15.83203125" bestFit="1" customWidth="1"/>
    <col min="144" max="144" width="29.83203125" bestFit="1" customWidth="1"/>
    <col min="145" max="146" width="12.1640625" bestFit="1" customWidth="1"/>
    <col min="147" max="147" width="15.83203125" bestFit="1" customWidth="1"/>
    <col min="148" max="148" width="29.83203125" bestFit="1" customWidth="1"/>
    <col min="149" max="150" width="12.1640625" bestFit="1" customWidth="1"/>
    <col min="151" max="151" width="15.83203125" bestFit="1" customWidth="1"/>
    <col min="152" max="152" width="29.83203125" bestFit="1" customWidth="1"/>
    <col min="153" max="154" width="12.1640625" bestFit="1" customWidth="1"/>
    <col min="155" max="155" width="15.83203125" bestFit="1" customWidth="1"/>
    <col min="156" max="156" width="29.83203125" bestFit="1" customWidth="1"/>
    <col min="157" max="158" width="12.1640625" bestFit="1" customWidth="1"/>
    <col min="159" max="159" width="15.83203125" bestFit="1" customWidth="1"/>
    <col min="160" max="160" width="29.83203125" bestFit="1" customWidth="1"/>
    <col min="161" max="162" width="12.1640625" bestFit="1" customWidth="1"/>
    <col min="163" max="163" width="15.83203125" bestFit="1" customWidth="1"/>
    <col min="164" max="164" width="29.83203125" bestFit="1" customWidth="1"/>
    <col min="165" max="166" width="12.1640625" bestFit="1" customWidth="1"/>
    <col min="167" max="167" width="15.83203125" bestFit="1" customWidth="1"/>
    <col min="168" max="168" width="29.83203125" bestFit="1" customWidth="1"/>
    <col min="169" max="170" width="12.1640625" bestFit="1" customWidth="1"/>
    <col min="171" max="171" width="15.83203125" bestFit="1" customWidth="1"/>
    <col min="172" max="172" width="29.83203125" bestFit="1" customWidth="1"/>
    <col min="173" max="174" width="12.1640625" bestFit="1" customWidth="1"/>
    <col min="175" max="175" width="15.83203125" bestFit="1" customWidth="1"/>
    <col min="176" max="176" width="29.83203125" bestFit="1" customWidth="1"/>
    <col min="177" max="178" width="12.1640625" bestFit="1" customWidth="1"/>
    <col min="179" max="179" width="15.83203125" bestFit="1" customWidth="1"/>
    <col min="180" max="180" width="29.83203125" bestFit="1" customWidth="1"/>
    <col min="181" max="182" width="12.1640625" bestFit="1" customWidth="1"/>
    <col min="183" max="183" width="15.83203125" bestFit="1" customWidth="1"/>
    <col min="184" max="184" width="29.83203125" bestFit="1" customWidth="1"/>
    <col min="185" max="186" width="12.1640625" bestFit="1" customWidth="1"/>
    <col min="187" max="187" width="15.83203125" bestFit="1" customWidth="1"/>
    <col min="188" max="188" width="29.83203125" bestFit="1" customWidth="1"/>
    <col min="189" max="190" width="12.1640625" bestFit="1" customWidth="1"/>
    <col min="191" max="191" width="15.83203125" bestFit="1" customWidth="1"/>
    <col min="192" max="192" width="29.83203125" bestFit="1" customWidth="1"/>
    <col min="193" max="194" width="12.1640625" bestFit="1" customWidth="1"/>
    <col min="195" max="195" width="15.83203125" bestFit="1" customWidth="1"/>
    <col min="196" max="196" width="29.83203125" bestFit="1" customWidth="1"/>
    <col min="197" max="198" width="12.1640625" bestFit="1" customWidth="1"/>
    <col min="199" max="199" width="15.83203125" bestFit="1" customWidth="1"/>
    <col min="200" max="200" width="29.83203125" bestFit="1" customWidth="1"/>
    <col min="201" max="202" width="12.1640625" bestFit="1" customWidth="1"/>
    <col min="203" max="203" width="15.83203125" bestFit="1" customWidth="1"/>
    <col min="204" max="204" width="29.83203125" bestFit="1" customWidth="1"/>
    <col min="205" max="206" width="12.1640625" bestFit="1" customWidth="1"/>
    <col min="207" max="207" width="15.83203125" bestFit="1" customWidth="1"/>
    <col min="208" max="208" width="29.83203125" bestFit="1" customWidth="1"/>
    <col min="209" max="210" width="12.1640625" bestFit="1" customWidth="1"/>
    <col min="211" max="211" width="15.83203125" bestFit="1" customWidth="1"/>
    <col min="212" max="212" width="29.83203125" bestFit="1" customWidth="1"/>
    <col min="213" max="214" width="12.1640625" bestFit="1" customWidth="1"/>
    <col min="215" max="215" width="15.83203125" bestFit="1" customWidth="1"/>
    <col min="216" max="216" width="29.83203125" bestFit="1" customWidth="1"/>
    <col min="217" max="218" width="12.1640625" bestFit="1" customWidth="1"/>
    <col min="219" max="219" width="15.83203125" bestFit="1" customWidth="1"/>
    <col min="220" max="220" width="29.83203125" bestFit="1" customWidth="1"/>
    <col min="221" max="222" width="12.1640625" bestFit="1" customWidth="1"/>
    <col min="223" max="223" width="15.83203125" bestFit="1" customWidth="1"/>
    <col min="224" max="224" width="29.83203125" bestFit="1" customWidth="1"/>
    <col min="225" max="226" width="12.1640625" bestFit="1" customWidth="1"/>
    <col min="227" max="227" width="15.83203125" bestFit="1" customWidth="1"/>
    <col min="228" max="228" width="29.83203125" bestFit="1" customWidth="1"/>
    <col min="229" max="230" width="12.1640625" bestFit="1" customWidth="1"/>
    <col min="231" max="231" width="15.83203125" bestFit="1" customWidth="1"/>
    <col min="232" max="232" width="29.83203125" bestFit="1" customWidth="1"/>
    <col min="233" max="234" width="12.1640625" bestFit="1" customWidth="1"/>
    <col min="235" max="235" width="15.83203125" bestFit="1" customWidth="1"/>
    <col min="236" max="236" width="29.83203125" bestFit="1" customWidth="1"/>
    <col min="237" max="238" width="12.1640625" bestFit="1" customWidth="1"/>
    <col min="239" max="239" width="15.83203125" bestFit="1" customWidth="1"/>
    <col min="240" max="240" width="29.83203125" bestFit="1" customWidth="1"/>
    <col min="241" max="242" width="12.1640625" bestFit="1" customWidth="1"/>
    <col min="243" max="243" width="15.83203125" bestFit="1" customWidth="1"/>
    <col min="244" max="244" width="29.83203125" bestFit="1" customWidth="1"/>
    <col min="245" max="246" width="12.1640625" bestFit="1" customWidth="1"/>
    <col min="247" max="247" width="15.83203125" bestFit="1" customWidth="1"/>
    <col min="248" max="248" width="29.83203125" bestFit="1" customWidth="1"/>
    <col min="249" max="250" width="12.1640625" bestFit="1" customWidth="1"/>
    <col min="251" max="251" width="15.83203125" bestFit="1" customWidth="1"/>
    <col min="252" max="252" width="29.83203125" bestFit="1" customWidth="1"/>
    <col min="253" max="254" width="12.1640625" bestFit="1" customWidth="1"/>
    <col min="255" max="255" width="15.83203125" bestFit="1" customWidth="1"/>
    <col min="256" max="256" width="29.83203125" bestFit="1" customWidth="1"/>
    <col min="257" max="258" width="12.1640625" bestFit="1" customWidth="1"/>
    <col min="259" max="259" width="15.83203125" bestFit="1" customWidth="1"/>
    <col min="260" max="260" width="29.83203125" bestFit="1" customWidth="1"/>
    <col min="261" max="262" width="12.1640625" bestFit="1" customWidth="1"/>
    <col min="263" max="263" width="15.83203125" bestFit="1" customWidth="1"/>
    <col min="264" max="264" width="29.83203125" bestFit="1" customWidth="1"/>
    <col min="265" max="266" width="12.1640625" bestFit="1" customWidth="1"/>
    <col min="267" max="267" width="15.83203125" bestFit="1" customWidth="1"/>
    <col min="268" max="268" width="29.83203125" bestFit="1" customWidth="1"/>
    <col min="269" max="270" width="12.1640625" bestFit="1" customWidth="1"/>
    <col min="271" max="271" width="15.83203125" bestFit="1" customWidth="1"/>
    <col min="272" max="272" width="29.83203125" bestFit="1" customWidth="1"/>
    <col min="273" max="274" width="12.1640625" bestFit="1" customWidth="1"/>
    <col min="275" max="275" width="15.83203125" bestFit="1" customWidth="1"/>
    <col min="276" max="276" width="29.83203125" bestFit="1" customWidth="1"/>
    <col min="277" max="278" width="12.1640625" bestFit="1" customWidth="1"/>
    <col min="279" max="279" width="15.83203125" bestFit="1" customWidth="1"/>
    <col min="280" max="280" width="29.83203125" bestFit="1" customWidth="1"/>
    <col min="281" max="282" width="12.1640625" bestFit="1" customWidth="1"/>
    <col min="283" max="283" width="15.83203125" bestFit="1" customWidth="1"/>
    <col min="284" max="284" width="29.83203125" bestFit="1" customWidth="1"/>
    <col min="285" max="286" width="12.1640625" bestFit="1" customWidth="1"/>
    <col min="287" max="287" width="15.83203125" bestFit="1" customWidth="1"/>
    <col min="288" max="288" width="29.83203125" bestFit="1" customWidth="1"/>
    <col min="289" max="290" width="12.1640625" bestFit="1" customWidth="1"/>
    <col min="291" max="291" width="15.83203125" bestFit="1" customWidth="1"/>
    <col min="292" max="292" width="29.83203125" bestFit="1" customWidth="1"/>
    <col min="293" max="294" width="12.1640625" bestFit="1" customWidth="1"/>
    <col min="295" max="295" width="15.83203125" bestFit="1" customWidth="1"/>
    <col min="296" max="296" width="29.83203125" bestFit="1" customWidth="1"/>
    <col min="297" max="298" width="12.1640625" bestFit="1" customWidth="1"/>
    <col min="299" max="299" width="15.83203125" bestFit="1" customWidth="1"/>
    <col min="300" max="300" width="29.83203125" bestFit="1" customWidth="1"/>
    <col min="301" max="302" width="12.1640625" bestFit="1" customWidth="1"/>
    <col min="303" max="303" width="15.83203125" bestFit="1" customWidth="1"/>
    <col min="304" max="304" width="29.83203125" bestFit="1" customWidth="1"/>
    <col min="305" max="306" width="12.1640625" bestFit="1" customWidth="1"/>
    <col min="307" max="307" width="15.83203125" bestFit="1" customWidth="1"/>
    <col min="308" max="308" width="29.83203125" bestFit="1" customWidth="1"/>
    <col min="309" max="310" width="12.1640625" bestFit="1" customWidth="1"/>
    <col min="311" max="311" width="15.83203125" bestFit="1" customWidth="1"/>
    <col min="312" max="312" width="29.83203125" bestFit="1" customWidth="1"/>
    <col min="313" max="314" width="12.1640625" bestFit="1" customWidth="1"/>
    <col min="315" max="315" width="15.83203125" bestFit="1" customWidth="1"/>
    <col min="316" max="316" width="29.83203125" bestFit="1" customWidth="1"/>
    <col min="317" max="318" width="12.1640625" bestFit="1" customWidth="1"/>
    <col min="319" max="319" width="15.83203125" bestFit="1" customWidth="1"/>
    <col min="320" max="320" width="29.83203125" bestFit="1" customWidth="1"/>
    <col min="321" max="322" width="12.1640625" bestFit="1" customWidth="1"/>
    <col min="323" max="323" width="15.83203125" bestFit="1" customWidth="1"/>
    <col min="324" max="324" width="29.83203125" bestFit="1" customWidth="1"/>
    <col min="325" max="326" width="12.1640625" bestFit="1" customWidth="1"/>
    <col min="327" max="327" width="15.83203125" bestFit="1" customWidth="1"/>
    <col min="328" max="328" width="29.83203125" bestFit="1" customWidth="1"/>
    <col min="329" max="330" width="12.1640625" bestFit="1" customWidth="1"/>
    <col min="331" max="331" width="15.83203125" bestFit="1" customWidth="1"/>
    <col min="332" max="332" width="29.83203125" bestFit="1" customWidth="1"/>
    <col min="333" max="334" width="12.1640625" bestFit="1" customWidth="1"/>
    <col min="335" max="335" width="15.83203125" bestFit="1" customWidth="1"/>
    <col min="336" max="336" width="29.83203125" bestFit="1" customWidth="1"/>
    <col min="337" max="338" width="12.1640625" bestFit="1" customWidth="1"/>
    <col min="339" max="339" width="15.83203125" bestFit="1" customWidth="1"/>
    <col min="340" max="340" width="29.83203125" bestFit="1" customWidth="1"/>
    <col min="341" max="342" width="12.1640625" bestFit="1" customWidth="1"/>
    <col min="343" max="343" width="15.83203125" bestFit="1" customWidth="1"/>
    <col min="344" max="344" width="29.83203125" bestFit="1" customWidth="1"/>
    <col min="345" max="346" width="12.1640625" bestFit="1" customWidth="1"/>
    <col min="347" max="347" width="15.83203125" bestFit="1" customWidth="1"/>
    <col min="348" max="348" width="29.83203125" bestFit="1" customWidth="1"/>
    <col min="349" max="350" width="12.1640625" bestFit="1" customWidth="1"/>
    <col min="351" max="351" width="15.83203125" bestFit="1" customWidth="1"/>
    <col min="352" max="352" width="29.83203125" bestFit="1" customWidth="1"/>
    <col min="353" max="354" width="12.1640625" bestFit="1" customWidth="1"/>
    <col min="355" max="355" width="15.83203125" bestFit="1" customWidth="1"/>
    <col min="356" max="356" width="29.83203125" bestFit="1" customWidth="1"/>
    <col min="357" max="358" width="12.1640625" bestFit="1" customWidth="1"/>
    <col min="359" max="359" width="15.83203125" bestFit="1" customWidth="1"/>
    <col min="360" max="360" width="29.83203125" bestFit="1" customWidth="1"/>
    <col min="361" max="362" width="12.1640625" bestFit="1" customWidth="1"/>
    <col min="363" max="363" width="15.83203125" bestFit="1" customWidth="1"/>
    <col min="364" max="364" width="29.83203125" bestFit="1" customWidth="1"/>
    <col min="365" max="366" width="12.1640625" bestFit="1" customWidth="1"/>
    <col min="367" max="367" width="15.83203125" bestFit="1" customWidth="1"/>
    <col min="368" max="368" width="29.83203125" bestFit="1" customWidth="1"/>
    <col min="369" max="370" width="12.1640625" bestFit="1" customWidth="1"/>
    <col min="371" max="371" width="15.83203125" bestFit="1" customWidth="1"/>
    <col min="372" max="372" width="29.83203125" bestFit="1" customWidth="1"/>
    <col min="373" max="374" width="12.1640625" bestFit="1" customWidth="1"/>
    <col min="375" max="375" width="15.83203125" bestFit="1" customWidth="1"/>
    <col min="376" max="376" width="29.83203125" bestFit="1" customWidth="1"/>
    <col min="377" max="378" width="12.1640625" bestFit="1" customWidth="1"/>
    <col min="379" max="379" width="15.83203125" bestFit="1" customWidth="1"/>
    <col min="380" max="380" width="29.83203125" bestFit="1" customWidth="1"/>
    <col min="381" max="382" width="12.1640625" bestFit="1" customWidth="1"/>
    <col min="383" max="383" width="15.83203125" bestFit="1" customWidth="1"/>
    <col min="384" max="384" width="29.83203125" bestFit="1" customWidth="1"/>
    <col min="385" max="386" width="12.1640625" bestFit="1" customWidth="1"/>
    <col min="387" max="387" width="15.83203125" bestFit="1" customWidth="1"/>
    <col min="388" max="388" width="29.83203125" bestFit="1" customWidth="1"/>
    <col min="389" max="390" width="12.1640625" bestFit="1" customWidth="1"/>
    <col min="391" max="391" width="15.83203125" bestFit="1" customWidth="1"/>
    <col min="392" max="392" width="29.83203125" bestFit="1" customWidth="1"/>
    <col min="393" max="394" width="12.1640625" bestFit="1" customWidth="1"/>
    <col min="395" max="395" width="15.83203125" bestFit="1" customWidth="1"/>
    <col min="396" max="396" width="29.83203125" bestFit="1" customWidth="1"/>
    <col min="397" max="398" width="12.1640625" bestFit="1" customWidth="1"/>
    <col min="399" max="399" width="20.33203125" bestFit="1" customWidth="1"/>
    <col min="400" max="400" width="34.33203125" bestFit="1" customWidth="1"/>
    <col min="401" max="401" width="14.83203125" bestFit="1" customWidth="1"/>
    <col min="402" max="402" width="14.1640625" bestFit="1" customWidth="1"/>
  </cols>
  <sheetData>
    <row r="1" spans="1:8" x14ac:dyDescent="0.2">
      <c r="A1" t="s">
        <v>6</v>
      </c>
      <c r="B1" t="s">
        <v>82</v>
      </c>
      <c r="C1" t="s">
        <v>3</v>
      </c>
      <c r="D1" t="s">
        <v>5061</v>
      </c>
      <c r="E1" t="s">
        <v>13</v>
      </c>
      <c r="F1" t="s">
        <v>5059</v>
      </c>
      <c r="G1" t="s">
        <v>5062</v>
      </c>
      <c r="H1" t="s">
        <v>6204</v>
      </c>
    </row>
    <row r="2" spans="1:8" x14ac:dyDescent="0.2">
      <c r="A2" s="127" t="s">
        <v>1622</v>
      </c>
      <c r="B2" s="127" t="s">
        <v>1623</v>
      </c>
      <c r="C2" s="127" t="s">
        <v>1160</v>
      </c>
      <c r="D2" s="127" t="s">
        <v>72</v>
      </c>
      <c r="E2" t="s">
        <v>6205</v>
      </c>
    </row>
    <row r="3" spans="1:8" x14ac:dyDescent="0.2">
      <c r="A3" s="127" t="s">
        <v>1275</v>
      </c>
      <c r="B3" s="127" t="s">
        <v>1276</v>
      </c>
      <c r="C3" s="127" t="s">
        <v>1160</v>
      </c>
      <c r="D3" s="127" t="s">
        <v>72</v>
      </c>
      <c r="E3" t="s">
        <v>6206</v>
      </c>
    </row>
    <row r="4" spans="1:8" x14ac:dyDescent="0.2">
      <c r="A4" s="127" t="s">
        <v>1275</v>
      </c>
      <c r="B4" s="127" t="s">
        <v>1276</v>
      </c>
      <c r="C4" s="127" t="s">
        <v>1160</v>
      </c>
      <c r="D4" s="127" t="s">
        <v>72</v>
      </c>
      <c r="E4" t="s">
        <v>6207</v>
      </c>
    </row>
    <row r="5" spans="1:8" x14ac:dyDescent="0.2">
      <c r="A5" s="127" t="s">
        <v>1199</v>
      </c>
      <c r="B5" s="127" t="s">
        <v>1200</v>
      </c>
      <c r="C5" s="127" t="s">
        <v>1160</v>
      </c>
      <c r="D5" s="127" t="s">
        <v>72</v>
      </c>
      <c r="E5" t="s">
        <v>6208</v>
      </c>
    </row>
    <row r="6" spans="1:8" x14ac:dyDescent="0.2">
      <c r="A6" s="127" t="s">
        <v>1603</v>
      </c>
      <c r="B6" s="127" t="s">
        <v>5796</v>
      </c>
      <c r="C6" s="127" t="s">
        <v>1160</v>
      </c>
      <c r="D6" s="127" t="s">
        <v>72</v>
      </c>
      <c r="E6" t="s">
        <v>6209</v>
      </c>
    </row>
    <row r="7" spans="1:8" x14ac:dyDescent="0.2">
      <c r="A7" s="127" t="s">
        <v>3287</v>
      </c>
      <c r="B7" s="127" t="s">
        <v>3288</v>
      </c>
      <c r="C7" s="127" t="s">
        <v>3221</v>
      </c>
      <c r="D7" s="127" t="s">
        <v>70</v>
      </c>
      <c r="E7" t="s">
        <v>7473</v>
      </c>
    </row>
    <row r="8" spans="1:8" x14ac:dyDescent="0.2">
      <c r="A8" s="127" t="s">
        <v>3287</v>
      </c>
      <c r="B8" s="127" t="s">
        <v>3288</v>
      </c>
      <c r="C8" s="127" t="s">
        <v>3221</v>
      </c>
      <c r="D8" s="127" t="s">
        <v>72</v>
      </c>
      <c r="E8" t="s">
        <v>7474</v>
      </c>
      <c r="F8">
        <v>2999</v>
      </c>
      <c r="G8">
        <v>1.3333333333333333</v>
      </c>
      <c r="H8">
        <v>35.25</v>
      </c>
    </row>
    <row r="9" spans="1:8" x14ac:dyDescent="0.2">
      <c r="A9" s="127" t="s">
        <v>3260</v>
      </c>
      <c r="B9" s="127" t="s">
        <v>3261</v>
      </c>
      <c r="C9" s="127" t="s">
        <v>3221</v>
      </c>
      <c r="D9" s="127" t="s">
        <v>72</v>
      </c>
      <c r="E9" t="s">
        <v>7477</v>
      </c>
      <c r="F9">
        <v>12593</v>
      </c>
      <c r="G9">
        <v>6.666666666666667</v>
      </c>
      <c r="H9">
        <v>12.75</v>
      </c>
    </row>
    <row r="10" spans="1:8" x14ac:dyDescent="0.2">
      <c r="A10" s="127" t="s">
        <v>3239</v>
      </c>
      <c r="B10" s="127" t="s">
        <v>3240</v>
      </c>
      <c r="C10" s="127" t="s">
        <v>3221</v>
      </c>
      <c r="D10" s="127" t="s">
        <v>70</v>
      </c>
      <c r="E10" t="s">
        <v>7478</v>
      </c>
      <c r="F10">
        <v>5495</v>
      </c>
      <c r="G10">
        <v>3.6666666666666665</v>
      </c>
      <c r="H10">
        <v>7.0909090909090908</v>
      </c>
    </row>
    <row r="11" spans="1:8" x14ac:dyDescent="0.2">
      <c r="A11" s="127" t="s">
        <v>3239</v>
      </c>
      <c r="B11" s="127" t="s">
        <v>3240</v>
      </c>
      <c r="C11" s="127" t="s">
        <v>3221</v>
      </c>
      <c r="D11" s="127" t="s">
        <v>72</v>
      </c>
      <c r="E11" t="s">
        <v>7479</v>
      </c>
      <c r="F11">
        <v>4396</v>
      </c>
      <c r="G11">
        <v>11.833333333333334</v>
      </c>
      <c r="H11">
        <v>2.788732394366197</v>
      </c>
    </row>
    <row r="12" spans="1:8" x14ac:dyDescent="0.2">
      <c r="A12" s="127" t="s">
        <v>3239</v>
      </c>
      <c r="B12" s="127" t="s">
        <v>3240</v>
      </c>
      <c r="C12" s="127" t="s">
        <v>3221</v>
      </c>
      <c r="D12" s="127" t="s">
        <v>72</v>
      </c>
      <c r="E12" t="s">
        <v>7480</v>
      </c>
      <c r="F12">
        <v>0</v>
      </c>
      <c r="G12">
        <v>0</v>
      </c>
      <c r="H12">
        <v>0</v>
      </c>
    </row>
    <row r="13" spans="1:8" x14ac:dyDescent="0.2">
      <c r="A13" s="127" t="s">
        <v>3264</v>
      </c>
      <c r="B13" s="127" t="s">
        <v>3265</v>
      </c>
      <c r="C13" s="127" t="s">
        <v>3221</v>
      </c>
      <c r="D13" s="127" t="s">
        <v>72</v>
      </c>
      <c r="E13" t="s">
        <v>6210</v>
      </c>
      <c r="F13">
        <v>4798</v>
      </c>
      <c r="G13">
        <v>0.66666666666666663</v>
      </c>
      <c r="H13">
        <v>-3</v>
      </c>
    </row>
    <row r="14" spans="1:8" x14ac:dyDescent="0.2">
      <c r="A14" s="127" t="s">
        <v>3266</v>
      </c>
      <c r="B14" s="127" t="s">
        <v>3267</v>
      </c>
      <c r="C14" s="127" t="s">
        <v>3221</v>
      </c>
      <c r="D14" s="127" t="s">
        <v>70</v>
      </c>
      <c r="E14" t="s">
        <v>7481</v>
      </c>
    </row>
    <row r="15" spans="1:8" x14ac:dyDescent="0.2">
      <c r="A15" s="127" t="s">
        <v>3266</v>
      </c>
      <c r="B15" s="127" t="s">
        <v>3267</v>
      </c>
      <c r="C15" s="127" t="s">
        <v>3221</v>
      </c>
      <c r="D15" s="127" t="s">
        <v>72</v>
      </c>
      <c r="E15" t="s">
        <v>7482</v>
      </c>
      <c r="F15">
        <v>2099</v>
      </c>
      <c r="G15">
        <v>0.33333333333333331</v>
      </c>
      <c r="H15">
        <v>-3</v>
      </c>
    </row>
    <row r="16" spans="1:8" x14ac:dyDescent="0.2">
      <c r="A16" s="127" t="s">
        <v>2183</v>
      </c>
      <c r="B16" s="127" t="s">
        <v>5801</v>
      </c>
      <c r="C16" s="127" t="s">
        <v>2174</v>
      </c>
      <c r="D16" s="127" t="s">
        <v>72</v>
      </c>
      <c r="E16" t="s">
        <v>6211</v>
      </c>
      <c r="F16">
        <v>0</v>
      </c>
      <c r="G16">
        <v>0</v>
      </c>
      <c r="H16">
        <v>0</v>
      </c>
    </row>
    <row r="17" spans="1:8" x14ac:dyDescent="0.2">
      <c r="A17" s="127" t="s">
        <v>2199</v>
      </c>
      <c r="B17" s="127" t="s">
        <v>2200</v>
      </c>
      <c r="C17" s="127" t="s">
        <v>2174</v>
      </c>
      <c r="D17" s="127" t="s">
        <v>73</v>
      </c>
    </row>
    <row r="18" spans="1:8" x14ac:dyDescent="0.2">
      <c r="A18" s="127" t="s">
        <v>2213</v>
      </c>
      <c r="B18" s="127" t="s">
        <v>2214</v>
      </c>
      <c r="C18" s="127" t="s">
        <v>2174</v>
      </c>
      <c r="D18" s="127" t="s">
        <v>72</v>
      </c>
      <c r="E18" t="s">
        <v>6212</v>
      </c>
      <c r="F18">
        <v>0</v>
      </c>
      <c r="G18">
        <v>0</v>
      </c>
      <c r="H18">
        <v>0</v>
      </c>
    </row>
    <row r="19" spans="1:8" x14ac:dyDescent="0.2">
      <c r="A19" s="127" t="s">
        <v>2187</v>
      </c>
      <c r="B19" s="127" t="s">
        <v>2188</v>
      </c>
      <c r="C19" s="127" t="s">
        <v>2174</v>
      </c>
      <c r="D19" s="127" t="s">
        <v>72</v>
      </c>
      <c r="E19" t="s">
        <v>6213</v>
      </c>
      <c r="F19">
        <v>0</v>
      </c>
      <c r="G19">
        <v>0</v>
      </c>
      <c r="H19">
        <v>0</v>
      </c>
    </row>
    <row r="20" spans="1:8" x14ac:dyDescent="0.2">
      <c r="A20" s="127" t="s">
        <v>2205</v>
      </c>
      <c r="B20" s="127" t="s">
        <v>6034</v>
      </c>
      <c r="C20" s="127" t="s">
        <v>2174</v>
      </c>
      <c r="D20" s="127" t="s">
        <v>72</v>
      </c>
      <c r="E20" t="s">
        <v>6214</v>
      </c>
    </row>
    <row r="21" spans="1:8" x14ac:dyDescent="0.2">
      <c r="A21" s="127" t="s">
        <v>2207</v>
      </c>
      <c r="B21" s="127" t="s">
        <v>2208</v>
      </c>
      <c r="C21" s="127" t="s">
        <v>2174</v>
      </c>
      <c r="D21" s="127" t="s">
        <v>73</v>
      </c>
    </row>
    <row r="22" spans="1:8" x14ac:dyDescent="0.2">
      <c r="A22" s="127" t="s">
        <v>5375</v>
      </c>
      <c r="B22" s="127" t="s">
        <v>4436</v>
      </c>
      <c r="C22" s="127" t="s">
        <v>4435</v>
      </c>
      <c r="D22" s="127" t="s">
        <v>72</v>
      </c>
      <c r="E22" t="s">
        <v>6215</v>
      </c>
      <c r="F22">
        <v>0</v>
      </c>
      <c r="G22">
        <v>0</v>
      </c>
      <c r="H22">
        <v>0</v>
      </c>
    </row>
    <row r="23" spans="1:8" x14ac:dyDescent="0.2">
      <c r="A23" s="127" t="s">
        <v>3129</v>
      </c>
      <c r="B23" s="127" t="s">
        <v>3130</v>
      </c>
      <c r="C23" s="127" t="s">
        <v>3122</v>
      </c>
      <c r="D23" s="127" t="s">
        <v>72</v>
      </c>
      <c r="E23" t="s">
        <v>6216</v>
      </c>
    </row>
    <row r="24" spans="1:8" x14ac:dyDescent="0.2">
      <c r="A24" s="127" t="s">
        <v>3131</v>
      </c>
      <c r="B24" s="127" t="s">
        <v>3132</v>
      </c>
      <c r="C24" s="127" t="s">
        <v>3122</v>
      </c>
      <c r="D24" s="127" t="s">
        <v>72</v>
      </c>
      <c r="E24" t="s">
        <v>6217</v>
      </c>
      <c r="F24">
        <v>0</v>
      </c>
      <c r="G24">
        <v>0</v>
      </c>
      <c r="H24">
        <v>0</v>
      </c>
    </row>
    <row r="25" spans="1:8" x14ac:dyDescent="0.2">
      <c r="A25" s="127" t="s">
        <v>3125</v>
      </c>
      <c r="B25" s="127" t="s">
        <v>3126</v>
      </c>
      <c r="C25" s="127" t="s">
        <v>3122</v>
      </c>
      <c r="D25" s="127" t="s">
        <v>72</v>
      </c>
      <c r="E25" t="s">
        <v>6218</v>
      </c>
      <c r="F25">
        <v>0</v>
      </c>
      <c r="G25">
        <v>0</v>
      </c>
      <c r="H25">
        <v>0</v>
      </c>
    </row>
    <row r="26" spans="1:8" x14ac:dyDescent="0.2">
      <c r="A26" s="127" t="s">
        <v>3123</v>
      </c>
      <c r="B26" s="127" t="s">
        <v>3124</v>
      </c>
      <c r="C26" s="127" t="s">
        <v>3122</v>
      </c>
      <c r="D26" s="127" t="s">
        <v>72</v>
      </c>
      <c r="E26" t="s">
        <v>6219</v>
      </c>
      <c r="F26">
        <v>0</v>
      </c>
      <c r="G26">
        <v>0</v>
      </c>
      <c r="H26">
        <v>0</v>
      </c>
    </row>
    <row r="27" spans="1:8" x14ac:dyDescent="0.2">
      <c r="A27" s="127" t="s">
        <v>3127</v>
      </c>
      <c r="B27" s="127" t="s">
        <v>3128</v>
      </c>
      <c r="C27" s="127" t="s">
        <v>3122</v>
      </c>
      <c r="D27" s="127" t="s">
        <v>72</v>
      </c>
      <c r="E27" t="s">
        <v>6220</v>
      </c>
      <c r="F27">
        <v>0</v>
      </c>
      <c r="G27">
        <v>0</v>
      </c>
      <c r="H27">
        <v>0</v>
      </c>
    </row>
    <row r="28" spans="1:8" x14ac:dyDescent="0.2">
      <c r="A28" s="127" t="s">
        <v>474</v>
      </c>
      <c r="B28" s="127" t="s">
        <v>475</v>
      </c>
      <c r="C28" s="127" t="s">
        <v>436</v>
      </c>
      <c r="D28" s="127" t="s">
        <v>70</v>
      </c>
      <c r="E28" t="s">
        <v>6221</v>
      </c>
      <c r="F28">
        <v>170</v>
      </c>
      <c r="G28">
        <v>2.6666666666666665</v>
      </c>
      <c r="H28">
        <v>11.625</v>
      </c>
    </row>
    <row r="29" spans="1:8" x14ac:dyDescent="0.2">
      <c r="A29" s="127" t="s">
        <v>6222</v>
      </c>
      <c r="B29" s="127" t="s">
        <v>7483</v>
      </c>
      <c r="C29" s="127" t="s">
        <v>3221</v>
      </c>
      <c r="D29" s="127" t="s">
        <v>70</v>
      </c>
      <c r="E29" t="s">
        <v>7484</v>
      </c>
      <c r="F29">
        <v>0</v>
      </c>
      <c r="G29">
        <v>0</v>
      </c>
      <c r="H29">
        <v>0</v>
      </c>
    </row>
    <row r="30" spans="1:8" x14ac:dyDescent="0.2">
      <c r="A30" s="127" t="s">
        <v>6225</v>
      </c>
      <c r="B30" s="127" t="s">
        <v>7487</v>
      </c>
      <c r="C30" s="127" t="s">
        <v>3221</v>
      </c>
      <c r="D30" s="127" t="s">
        <v>72</v>
      </c>
      <c r="E30" t="s">
        <v>7488</v>
      </c>
      <c r="F30">
        <v>0</v>
      </c>
      <c r="G30">
        <v>0.33333333333333331</v>
      </c>
      <c r="H30">
        <v>-6</v>
      </c>
    </row>
    <row r="31" spans="1:8" x14ac:dyDescent="0.2">
      <c r="A31" s="127" t="s">
        <v>5185</v>
      </c>
      <c r="B31" s="127" t="s">
        <v>5186</v>
      </c>
      <c r="C31" s="127" t="s">
        <v>874</v>
      </c>
      <c r="D31" s="127" t="s">
        <v>72</v>
      </c>
      <c r="E31" t="s">
        <v>6254</v>
      </c>
      <c r="F31">
        <v>0</v>
      </c>
      <c r="G31">
        <v>0</v>
      </c>
      <c r="H31">
        <v>0</v>
      </c>
    </row>
    <row r="32" spans="1:8" x14ac:dyDescent="0.2">
      <c r="A32" s="127" t="s">
        <v>570</v>
      </c>
      <c r="B32" s="127" t="s">
        <v>571</v>
      </c>
      <c r="C32" s="127" t="s">
        <v>436</v>
      </c>
      <c r="D32" s="127" t="s">
        <v>70</v>
      </c>
      <c r="E32" t="s">
        <v>6255</v>
      </c>
      <c r="F32">
        <v>200</v>
      </c>
      <c r="G32">
        <v>11.5</v>
      </c>
      <c r="H32">
        <v>16.347826086956523</v>
      </c>
    </row>
    <row r="33" spans="1:8" x14ac:dyDescent="0.2">
      <c r="A33" s="127" t="s">
        <v>544</v>
      </c>
      <c r="B33" s="127" t="s">
        <v>545</v>
      </c>
      <c r="C33" s="127" t="s">
        <v>436</v>
      </c>
      <c r="D33" s="127" t="s">
        <v>70</v>
      </c>
      <c r="E33" t="s">
        <v>6256</v>
      </c>
      <c r="F33">
        <v>55</v>
      </c>
      <c r="G33">
        <v>1.3333333333333333</v>
      </c>
      <c r="H33">
        <v>72</v>
      </c>
    </row>
    <row r="34" spans="1:8" x14ac:dyDescent="0.2">
      <c r="A34" s="127" t="s">
        <v>550</v>
      </c>
      <c r="B34" s="127" t="s">
        <v>551</v>
      </c>
      <c r="C34" s="127" t="s">
        <v>436</v>
      </c>
      <c r="D34" s="127" t="s">
        <v>70</v>
      </c>
      <c r="E34" t="s">
        <v>6257</v>
      </c>
      <c r="F34">
        <v>120</v>
      </c>
      <c r="G34">
        <v>1.6666666666666667</v>
      </c>
      <c r="H34">
        <v>54</v>
      </c>
    </row>
    <row r="35" spans="1:8" x14ac:dyDescent="0.2">
      <c r="A35" s="127" t="s">
        <v>2224</v>
      </c>
      <c r="B35" s="127" t="s">
        <v>2225</v>
      </c>
      <c r="C35" s="127" t="s">
        <v>2215</v>
      </c>
      <c r="D35" s="127" t="s">
        <v>8</v>
      </c>
      <c r="G35">
        <v>0.33333333333333331</v>
      </c>
      <c r="H35">
        <v>186</v>
      </c>
    </row>
    <row r="36" spans="1:8" x14ac:dyDescent="0.2">
      <c r="A36" s="127" t="s">
        <v>2224</v>
      </c>
      <c r="B36" s="127" t="s">
        <v>2225</v>
      </c>
      <c r="C36" s="127" t="s">
        <v>2215</v>
      </c>
      <c r="D36" s="127" t="s">
        <v>72</v>
      </c>
      <c r="E36" t="s">
        <v>6258</v>
      </c>
      <c r="F36">
        <v>0</v>
      </c>
      <c r="G36">
        <v>0.5</v>
      </c>
      <c r="H36">
        <v>54</v>
      </c>
    </row>
    <row r="37" spans="1:8" x14ac:dyDescent="0.2">
      <c r="A37" s="127" t="s">
        <v>2226</v>
      </c>
      <c r="B37" s="127" t="s">
        <v>2227</v>
      </c>
      <c r="C37" s="127" t="s">
        <v>2215</v>
      </c>
      <c r="D37" s="127" t="s">
        <v>8</v>
      </c>
      <c r="H37">
        <v>0</v>
      </c>
    </row>
    <row r="38" spans="1:8" x14ac:dyDescent="0.2">
      <c r="A38" s="127" t="s">
        <v>2226</v>
      </c>
      <c r="B38" s="127" t="s">
        <v>2227</v>
      </c>
      <c r="C38" s="127" t="s">
        <v>2215</v>
      </c>
      <c r="D38" s="127" t="s">
        <v>72</v>
      </c>
      <c r="E38" t="s">
        <v>6259</v>
      </c>
      <c r="F38">
        <v>0</v>
      </c>
      <c r="G38">
        <v>0</v>
      </c>
      <c r="H38">
        <v>0</v>
      </c>
    </row>
    <row r="39" spans="1:8" x14ac:dyDescent="0.2">
      <c r="A39" s="127" t="s">
        <v>2222</v>
      </c>
      <c r="B39" s="127" t="s">
        <v>2223</v>
      </c>
      <c r="C39" s="127" t="s">
        <v>2215</v>
      </c>
      <c r="D39" s="127" t="s">
        <v>8</v>
      </c>
      <c r="G39">
        <v>0.66666666666666663</v>
      </c>
      <c r="H39">
        <v>97.5</v>
      </c>
    </row>
    <row r="40" spans="1:8" x14ac:dyDescent="0.2">
      <c r="A40" s="127" t="s">
        <v>2222</v>
      </c>
      <c r="B40" s="127" t="s">
        <v>2223</v>
      </c>
      <c r="C40" s="127" t="s">
        <v>2215</v>
      </c>
      <c r="D40" s="127" t="s">
        <v>72</v>
      </c>
      <c r="E40" t="s">
        <v>6260</v>
      </c>
      <c r="F40">
        <v>0</v>
      </c>
      <c r="G40">
        <v>0.33333333333333331</v>
      </c>
      <c r="H40">
        <v>75</v>
      </c>
    </row>
    <row r="41" spans="1:8" x14ac:dyDescent="0.2">
      <c r="A41" s="127" t="s">
        <v>2228</v>
      </c>
      <c r="B41" s="127" t="s">
        <v>2229</v>
      </c>
      <c r="C41" s="127" t="s">
        <v>2215</v>
      </c>
      <c r="D41" s="127" t="s">
        <v>72</v>
      </c>
      <c r="E41" t="s">
        <v>6261</v>
      </c>
      <c r="F41">
        <v>0</v>
      </c>
      <c r="G41">
        <v>0</v>
      </c>
      <c r="H41">
        <v>0</v>
      </c>
    </row>
    <row r="42" spans="1:8" x14ac:dyDescent="0.2">
      <c r="A42" s="127" t="s">
        <v>7501</v>
      </c>
      <c r="B42" s="127" t="s">
        <v>7502</v>
      </c>
      <c r="C42" s="127" t="s">
        <v>2215</v>
      </c>
      <c r="D42" s="127" t="s">
        <v>8</v>
      </c>
      <c r="F42">
        <v>6392</v>
      </c>
      <c r="G42">
        <v>2</v>
      </c>
      <c r="H42">
        <v>48</v>
      </c>
    </row>
    <row r="43" spans="1:8" x14ac:dyDescent="0.2">
      <c r="A43" s="127" t="s">
        <v>7501</v>
      </c>
      <c r="B43" s="127" t="s">
        <v>7502</v>
      </c>
      <c r="C43" s="127" t="s">
        <v>2215</v>
      </c>
      <c r="D43" s="127" t="s">
        <v>70</v>
      </c>
      <c r="E43" t="s">
        <v>7503</v>
      </c>
      <c r="F43">
        <v>6392</v>
      </c>
      <c r="G43">
        <v>2.8333333333333335</v>
      </c>
      <c r="H43">
        <v>15.176470588235293</v>
      </c>
    </row>
    <row r="44" spans="1:8" x14ac:dyDescent="0.2">
      <c r="A44" s="127" t="s">
        <v>7501</v>
      </c>
      <c r="B44" s="127" t="s">
        <v>7502</v>
      </c>
      <c r="C44" s="127" t="s">
        <v>2215</v>
      </c>
      <c r="D44" s="127" t="s">
        <v>72</v>
      </c>
      <c r="E44" t="s">
        <v>7504</v>
      </c>
      <c r="F44">
        <v>14382</v>
      </c>
      <c r="G44">
        <v>6.166666666666667</v>
      </c>
      <c r="H44">
        <v>33.081081081081081</v>
      </c>
    </row>
    <row r="45" spans="1:8" x14ac:dyDescent="0.2">
      <c r="A45" s="127" t="s">
        <v>7505</v>
      </c>
      <c r="B45" s="127" t="s">
        <v>7506</v>
      </c>
      <c r="C45" s="127" t="s">
        <v>2215</v>
      </c>
      <c r="D45" s="127" t="s">
        <v>8</v>
      </c>
      <c r="H45">
        <v>0</v>
      </c>
    </row>
    <row r="46" spans="1:8" x14ac:dyDescent="0.2">
      <c r="A46" s="127" t="s">
        <v>7505</v>
      </c>
      <c r="B46" s="127" t="s">
        <v>7506</v>
      </c>
      <c r="C46" s="127" t="s">
        <v>2215</v>
      </c>
      <c r="D46" s="127" t="s">
        <v>70</v>
      </c>
      <c r="E46" t="s">
        <v>7507</v>
      </c>
      <c r="F46">
        <v>0</v>
      </c>
      <c r="G46">
        <v>0</v>
      </c>
      <c r="H46">
        <v>0</v>
      </c>
    </row>
    <row r="47" spans="1:8" x14ac:dyDescent="0.2">
      <c r="A47" s="127" t="s">
        <v>7508</v>
      </c>
      <c r="B47" s="127" t="s">
        <v>7509</v>
      </c>
      <c r="C47" s="127" t="s">
        <v>2215</v>
      </c>
      <c r="D47" s="127" t="s">
        <v>8</v>
      </c>
      <c r="F47">
        <v>7191</v>
      </c>
      <c r="G47">
        <v>1.8333333333333333</v>
      </c>
      <c r="H47">
        <v>33.272727272727273</v>
      </c>
    </row>
    <row r="48" spans="1:8" x14ac:dyDescent="0.2">
      <c r="A48" s="127" t="s">
        <v>7508</v>
      </c>
      <c r="B48" s="127" t="s">
        <v>7509</v>
      </c>
      <c r="C48" s="127" t="s">
        <v>2215</v>
      </c>
      <c r="D48" s="127" t="s">
        <v>70</v>
      </c>
      <c r="E48" t="s">
        <v>7510</v>
      </c>
      <c r="F48">
        <v>4794</v>
      </c>
      <c r="G48">
        <v>1.8333333333333333</v>
      </c>
      <c r="H48">
        <v>22.90909090909091</v>
      </c>
    </row>
    <row r="49" spans="1:8" x14ac:dyDescent="0.2">
      <c r="A49" s="127" t="s">
        <v>7508</v>
      </c>
      <c r="B49" s="127" t="s">
        <v>7509</v>
      </c>
      <c r="C49" s="127" t="s">
        <v>2215</v>
      </c>
      <c r="D49" s="127" t="s">
        <v>72</v>
      </c>
      <c r="E49" t="s">
        <v>7511</v>
      </c>
      <c r="F49">
        <v>3196</v>
      </c>
      <c r="G49">
        <v>2.1666666666666665</v>
      </c>
      <c r="H49">
        <v>29.53846153846154</v>
      </c>
    </row>
    <row r="50" spans="1:8" x14ac:dyDescent="0.2">
      <c r="A50" s="127" t="s">
        <v>7512</v>
      </c>
      <c r="B50" s="127" t="s">
        <v>7513</v>
      </c>
      <c r="C50" s="127" t="s">
        <v>2215</v>
      </c>
      <c r="D50" s="127" t="s">
        <v>72</v>
      </c>
      <c r="E50" t="s">
        <v>7514</v>
      </c>
      <c r="F50">
        <v>15980</v>
      </c>
      <c r="G50">
        <v>7.833333333333333</v>
      </c>
      <c r="H50">
        <v>25.276595744680851</v>
      </c>
    </row>
    <row r="51" spans="1:8" x14ac:dyDescent="0.2">
      <c r="A51" s="127" t="s">
        <v>2216</v>
      </c>
      <c r="B51" s="127" t="s">
        <v>2217</v>
      </c>
      <c r="C51" s="127" t="s">
        <v>2215</v>
      </c>
      <c r="D51" s="127" t="s">
        <v>8</v>
      </c>
      <c r="F51">
        <v>1099</v>
      </c>
      <c r="G51">
        <v>1.1666666666666667</v>
      </c>
      <c r="H51">
        <v>58.285714285714285</v>
      </c>
    </row>
    <row r="52" spans="1:8" x14ac:dyDescent="0.2">
      <c r="A52" s="127" t="s">
        <v>2216</v>
      </c>
      <c r="B52" s="127" t="s">
        <v>2217</v>
      </c>
      <c r="C52" s="127" t="s">
        <v>2215</v>
      </c>
      <c r="D52" s="127" t="s">
        <v>72</v>
      </c>
      <c r="E52" t="s">
        <v>6262</v>
      </c>
      <c r="F52">
        <v>3297</v>
      </c>
      <c r="G52">
        <v>3</v>
      </c>
      <c r="H52">
        <v>38</v>
      </c>
    </row>
    <row r="53" spans="1:8" x14ac:dyDescent="0.2">
      <c r="A53" s="127" t="s">
        <v>2218</v>
      </c>
      <c r="B53" s="127" t="s">
        <v>2219</v>
      </c>
      <c r="C53" s="127" t="s">
        <v>2215</v>
      </c>
      <c r="D53" s="127" t="s">
        <v>8</v>
      </c>
      <c r="F53">
        <v>1099</v>
      </c>
      <c r="G53">
        <v>2.1666666666666665</v>
      </c>
      <c r="H53">
        <v>27.692307692307693</v>
      </c>
    </row>
    <row r="54" spans="1:8" x14ac:dyDescent="0.2">
      <c r="A54" s="127" t="s">
        <v>2218</v>
      </c>
      <c r="B54" s="127" t="s">
        <v>2219</v>
      </c>
      <c r="C54" s="127" t="s">
        <v>2215</v>
      </c>
      <c r="D54" s="127" t="s">
        <v>72</v>
      </c>
      <c r="E54" t="s">
        <v>6263</v>
      </c>
      <c r="F54">
        <v>4396</v>
      </c>
      <c r="G54">
        <v>3.8333333333333335</v>
      </c>
      <c r="H54">
        <v>18.521739130434781</v>
      </c>
    </row>
    <row r="55" spans="1:8" x14ac:dyDescent="0.2">
      <c r="A55" s="127" t="s">
        <v>2220</v>
      </c>
      <c r="B55" s="127" t="s">
        <v>2221</v>
      </c>
      <c r="C55" s="127" t="s">
        <v>2215</v>
      </c>
      <c r="D55" s="127" t="s">
        <v>8</v>
      </c>
      <c r="H55">
        <v>0</v>
      </c>
    </row>
    <row r="56" spans="1:8" x14ac:dyDescent="0.2">
      <c r="A56" s="127" t="s">
        <v>2220</v>
      </c>
      <c r="B56" s="127" t="s">
        <v>2221</v>
      </c>
      <c r="C56" s="127" t="s">
        <v>2215</v>
      </c>
      <c r="D56" s="127" t="s">
        <v>72</v>
      </c>
      <c r="E56" t="s">
        <v>6264</v>
      </c>
      <c r="F56">
        <v>0</v>
      </c>
      <c r="G56">
        <v>0</v>
      </c>
      <c r="H56">
        <v>0</v>
      </c>
    </row>
    <row r="57" spans="1:8" x14ac:dyDescent="0.2">
      <c r="A57" s="127" t="s">
        <v>7515</v>
      </c>
      <c r="B57" s="127" t="s">
        <v>7516</v>
      </c>
      <c r="C57" s="127" t="s">
        <v>2215</v>
      </c>
      <c r="D57" s="127" t="s">
        <v>8</v>
      </c>
      <c r="F57">
        <v>0</v>
      </c>
      <c r="G57">
        <v>0</v>
      </c>
      <c r="H57">
        <v>0</v>
      </c>
    </row>
    <row r="58" spans="1:8" x14ac:dyDescent="0.2">
      <c r="A58" s="127" t="s">
        <v>7515</v>
      </c>
      <c r="B58" s="127" t="s">
        <v>7516</v>
      </c>
      <c r="C58" s="127" t="s">
        <v>2215</v>
      </c>
      <c r="D58" s="127" t="s">
        <v>70</v>
      </c>
      <c r="E58" t="s">
        <v>7517</v>
      </c>
      <c r="F58">
        <v>2399</v>
      </c>
      <c r="G58">
        <v>0.16666666666666666</v>
      </c>
      <c r="H58">
        <v>186</v>
      </c>
    </row>
    <row r="59" spans="1:8" x14ac:dyDescent="0.2">
      <c r="A59" s="127" t="s">
        <v>7515</v>
      </c>
      <c r="B59" s="127" t="s">
        <v>7516</v>
      </c>
      <c r="C59" s="127" t="s">
        <v>2215</v>
      </c>
      <c r="D59" s="127" t="s">
        <v>72</v>
      </c>
      <c r="E59" t="s">
        <v>7518</v>
      </c>
      <c r="F59">
        <v>0</v>
      </c>
      <c r="G59">
        <v>0.16666666666666666</v>
      </c>
      <c r="H59">
        <v>522</v>
      </c>
    </row>
    <row r="60" spans="1:8" x14ac:dyDescent="0.2">
      <c r="A60" s="127" t="s">
        <v>7519</v>
      </c>
      <c r="B60" s="127" t="s">
        <v>7520</v>
      </c>
      <c r="C60" s="127" t="s">
        <v>2215</v>
      </c>
      <c r="D60" s="127" t="s">
        <v>8</v>
      </c>
      <c r="H60">
        <v>0</v>
      </c>
    </row>
    <row r="61" spans="1:8" x14ac:dyDescent="0.2">
      <c r="A61" s="127" t="s">
        <v>7519</v>
      </c>
      <c r="B61" s="127" t="s">
        <v>7520</v>
      </c>
      <c r="C61" s="127" t="s">
        <v>2215</v>
      </c>
      <c r="D61" s="127" t="s">
        <v>70</v>
      </c>
      <c r="E61" t="s">
        <v>7521</v>
      </c>
      <c r="F61">
        <v>0</v>
      </c>
      <c r="G61">
        <v>0</v>
      </c>
      <c r="H61">
        <v>0</v>
      </c>
    </row>
    <row r="62" spans="1:8" x14ac:dyDescent="0.2">
      <c r="A62" s="127" t="s">
        <v>7522</v>
      </c>
      <c r="B62" s="127" t="s">
        <v>7523</v>
      </c>
      <c r="C62" s="127" t="s">
        <v>2215</v>
      </c>
      <c r="D62" s="127" t="s">
        <v>8</v>
      </c>
      <c r="G62">
        <v>0.16666666666666666</v>
      </c>
      <c r="H62">
        <v>426</v>
      </c>
    </row>
    <row r="63" spans="1:8" x14ac:dyDescent="0.2">
      <c r="A63" s="127" t="s">
        <v>7522</v>
      </c>
      <c r="B63" s="127" t="s">
        <v>7523</v>
      </c>
      <c r="C63" s="127" t="s">
        <v>2215</v>
      </c>
      <c r="D63" s="127" t="s">
        <v>72</v>
      </c>
      <c r="E63" t="s">
        <v>7524</v>
      </c>
      <c r="F63">
        <v>2399</v>
      </c>
      <c r="G63">
        <v>0.16666666666666666</v>
      </c>
      <c r="H63">
        <v>216</v>
      </c>
    </row>
    <row r="64" spans="1:8" x14ac:dyDescent="0.2">
      <c r="A64" s="127" t="s">
        <v>7525</v>
      </c>
      <c r="B64" s="127" t="s">
        <v>7526</v>
      </c>
      <c r="C64" s="127" t="s">
        <v>2215</v>
      </c>
      <c r="D64" s="127" t="s">
        <v>8</v>
      </c>
      <c r="G64">
        <v>0.16666666666666666</v>
      </c>
      <c r="H64">
        <v>426</v>
      </c>
    </row>
    <row r="65" spans="1:8" x14ac:dyDescent="0.2">
      <c r="A65" s="127" t="s">
        <v>7525</v>
      </c>
      <c r="B65" s="127" t="s">
        <v>7526</v>
      </c>
      <c r="C65" s="127" t="s">
        <v>2215</v>
      </c>
      <c r="D65" s="127" t="s">
        <v>70</v>
      </c>
      <c r="E65" t="s">
        <v>7527</v>
      </c>
      <c r="F65">
        <v>0</v>
      </c>
      <c r="G65">
        <v>0</v>
      </c>
      <c r="H65">
        <v>0</v>
      </c>
    </row>
    <row r="66" spans="1:8" x14ac:dyDescent="0.2">
      <c r="A66" s="127" t="s">
        <v>7525</v>
      </c>
      <c r="B66" s="127" t="s">
        <v>7526</v>
      </c>
      <c r="C66" s="127" t="s">
        <v>2215</v>
      </c>
      <c r="D66" s="127" t="s">
        <v>72</v>
      </c>
      <c r="E66" t="s">
        <v>7528</v>
      </c>
      <c r="F66">
        <v>0</v>
      </c>
      <c r="G66">
        <v>0.16666666666666666</v>
      </c>
      <c r="H66">
        <v>216</v>
      </c>
    </row>
    <row r="67" spans="1:8" x14ac:dyDescent="0.2">
      <c r="A67" s="127" t="s">
        <v>2232</v>
      </c>
      <c r="B67" s="127" t="s">
        <v>2233</v>
      </c>
      <c r="C67" s="127" t="s">
        <v>2215</v>
      </c>
      <c r="D67" s="127" t="s">
        <v>8</v>
      </c>
      <c r="H67">
        <v>0</v>
      </c>
    </row>
    <row r="68" spans="1:8" x14ac:dyDescent="0.2">
      <c r="A68" s="127" t="s">
        <v>2230</v>
      </c>
      <c r="B68" s="127" t="s">
        <v>2231</v>
      </c>
      <c r="C68" s="127" t="s">
        <v>2215</v>
      </c>
      <c r="D68" s="127" t="s">
        <v>8</v>
      </c>
      <c r="F68">
        <v>1298</v>
      </c>
      <c r="G68">
        <v>5.333333333333333</v>
      </c>
      <c r="H68">
        <v>10.3125</v>
      </c>
    </row>
    <row r="69" spans="1:8" x14ac:dyDescent="0.2">
      <c r="A69" s="127" t="s">
        <v>2230</v>
      </c>
      <c r="B69" s="127" t="s">
        <v>2231</v>
      </c>
      <c r="C69" s="127" t="s">
        <v>2215</v>
      </c>
      <c r="D69" s="127" t="s">
        <v>72</v>
      </c>
      <c r="E69" t="s">
        <v>6265</v>
      </c>
      <c r="F69">
        <v>0</v>
      </c>
      <c r="G69">
        <v>0.33333333333333331</v>
      </c>
      <c r="H69">
        <v>9</v>
      </c>
    </row>
    <row r="70" spans="1:8" x14ac:dyDescent="0.2">
      <c r="A70" s="127" t="s">
        <v>2234</v>
      </c>
      <c r="B70" s="127" t="s">
        <v>2235</v>
      </c>
      <c r="C70" s="127" t="s">
        <v>2215</v>
      </c>
      <c r="D70" s="127" t="s">
        <v>8</v>
      </c>
      <c r="F70">
        <v>299</v>
      </c>
      <c r="G70">
        <v>0.66666666666666663</v>
      </c>
      <c r="H70">
        <v>109.5</v>
      </c>
    </row>
    <row r="71" spans="1:8" x14ac:dyDescent="0.2">
      <c r="A71" s="127" t="s">
        <v>2234</v>
      </c>
      <c r="B71" s="127" t="s">
        <v>2235</v>
      </c>
      <c r="C71" s="127" t="s">
        <v>2215</v>
      </c>
      <c r="D71" s="127" t="s">
        <v>72</v>
      </c>
      <c r="E71" t="s">
        <v>6266</v>
      </c>
      <c r="F71">
        <v>0</v>
      </c>
      <c r="G71">
        <v>0.33333333333333331</v>
      </c>
      <c r="H71">
        <v>9</v>
      </c>
    </row>
    <row r="72" spans="1:8" x14ac:dyDescent="0.2">
      <c r="A72" s="127" t="s">
        <v>2236</v>
      </c>
      <c r="B72" s="127" t="s">
        <v>2237</v>
      </c>
      <c r="C72" s="127" t="s">
        <v>2215</v>
      </c>
      <c r="D72" s="127" t="s">
        <v>8</v>
      </c>
      <c r="H72">
        <v>0</v>
      </c>
    </row>
    <row r="73" spans="1:8" x14ac:dyDescent="0.2">
      <c r="A73" s="127" t="s">
        <v>7529</v>
      </c>
      <c r="B73" s="127" t="s">
        <v>7530</v>
      </c>
      <c r="C73" s="127" t="s">
        <v>2215</v>
      </c>
      <c r="D73" s="127" t="s">
        <v>72</v>
      </c>
      <c r="E73" t="s">
        <v>7531</v>
      </c>
      <c r="F73">
        <v>0</v>
      </c>
      <c r="G73">
        <v>0</v>
      </c>
      <c r="H73">
        <v>0</v>
      </c>
    </row>
    <row r="74" spans="1:8" x14ac:dyDescent="0.2">
      <c r="A74" s="127" t="s">
        <v>7805</v>
      </c>
      <c r="B74" s="127" t="s">
        <v>7806</v>
      </c>
      <c r="C74" s="127" t="s">
        <v>2238</v>
      </c>
      <c r="D74" s="127" t="s">
        <v>8</v>
      </c>
      <c r="H74">
        <v>0</v>
      </c>
    </row>
    <row r="75" spans="1:8" x14ac:dyDescent="0.2">
      <c r="A75" s="127" t="s">
        <v>7805</v>
      </c>
      <c r="B75" s="127" t="s">
        <v>7806</v>
      </c>
      <c r="C75" s="127" t="s">
        <v>2238</v>
      </c>
      <c r="D75" s="127" t="s">
        <v>72</v>
      </c>
      <c r="E75" t="s">
        <v>7821</v>
      </c>
      <c r="F75">
        <v>0</v>
      </c>
      <c r="G75">
        <v>0</v>
      </c>
      <c r="H75">
        <v>0</v>
      </c>
    </row>
    <row r="76" spans="1:8" x14ac:dyDescent="0.2">
      <c r="A76" s="127" t="s">
        <v>7801</v>
      </c>
      <c r="B76" s="127" t="s">
        <v>7802</v>
      </c>
      <c r="C76" s="127" t="s">
        <v>2238</v>
      </c>
      <c r="D76" s="127" t="s">
        <v>8</v>
      </c>
      <c r="H76">
        <v>0</v>
      </c>
    </row>
    <row r="77" spans="1:8" x14ac:dyDescent="0.2">
      <c r="A77" s="127" t="s">
        <v>7801</v>
      </c>
      <c r="B77" s="127" t="s">
        <v>7802</v>
      </c>
      <c r="C77" s="127" t="s">
        <v>2238</v>
      </c>
      <c r="D77" s="127" t="s">
        <v>72</v>
      </c>
      <c r="E77" t="s">
        <v>7822</v>
      </c>
      <c r="F77">
        <v>0</v>
      </c>
      <c r="G77">
        <v>0</v>
      </c>
      <c r="H77">
        <v>0</v>
      </c>
    </row>
    <row r="78" spans="1:8" x14ac:dyDescent="0.2">
      <c r="A78" s="127" t="s">
        <v>5764</v>
      </c>
      <c r="B78" s="127" t="s">
        <v>2248</v>
      </c>
      <c r="C78" s="127" t="s">
        <v>2238</v>
      </c>
      <c r="D78" s="127" t="s">
        <v>8</v>
      </c>
      <c r="G78">
        <v>0.16666666666666666</v>
      </c>
      <c r="H78">
        <v>216</v>
      </c>
    </row>
    <row r="79" spans="1:8" x14ac:dyDescent="0.2">
      <c r="A79" s="127" t="s">
        <v>5764</v>
      </c>
      <c r="B79" s="127" t="s">
        <v>2248</v>
      </c>
      <c r="C79" s="127" t="s">
        <v>2238</v>
      </c>
      <c r="D79" s="127" t="s">
        <v>70</v>
      </c>
      <c r="E79" t="s">
        <v>6267</v>
      </c>
      <c r="F79">
        <v>70</v>
      </c>
      <c r="G79">
        <v>1.5</v>
      </c>
      <c r="H79">
        <v>26</v>
      </c>
    </row>
    <row r="80" spans="1:8" x14ac:dyDescent="0.2">
      <c r="A80" s="127" t="s">
        <v>5731</v>
      </c>
      <c r="B80" s="127" t="s">
        <v>2240</v>
      </c>
      <c r="C80" s="127" t="s">
        <v>2238</v>
      </c>
      <c r="D80" s="127" t="s">
        <v>8</v>
      </c>
      <c r="F80">
        <v>110</v>
      </c>
      <c r="G80">
        <v>3.1666666666666665</v>
      </c>
      <c r="H80">
        <v>24.631578947368421</v>
      </c>
    </row>
    <row r="81" spans="1:8" x14ac:dyDescent="0.2">
      <c r="A81" s="127" t="s">
        <v>5731</v>
      </c>
      <c r="B81" s="127" t="s">
        <v>2240</v>
      </c>
      <c r="C81" s="127" t="s">
        <v>2238</v>
      </c>
      <c r="D81" s="127" t="s">
        <v>70</v>
      </c>
      <c r="E81" t="s">
        <v>6268</v>
      </c>
      <c r="F81">
        <v>880</v>
      </c>
      <c r="G81">
        <v>12.333333333333334</v>
      </c>
      <c r="H81">
        <v>11.675675675675675</v>
      </c>
    </row>
    <row r="82" spans="1:8" x14ac:dyDescent="0.2">
      <c r="A82" s="127" t="s">
        <v>5731</v>
      </c>
      <c r="B82" s="127" t="s">
        <v>2240</v>
      </c>
      <c r="C82" s="127" t="s">
        <v>2238</v>
      </c>
      <c r="D82" s="127" t="s">
        <v>72</v>
      </c>
      <c r="E82" t="s">
        <v>6269</v>
      </c>
      <c r="F82">
        <v>330</v>
      </c>
      <c r="G82">
        <v>6.5</v>
      </c>
      <c r="H82">
        <v>4.615384615384615</v>
      </c>
    </row>
    <row r="83" spans="1:8" x14ac:dyDescent="0.2">
      <c r="A83" s="127" t="s">
        <v>5769</v>
      </c>
      <c r="B83" s="127" t="s">
        <v>2257</v>
      </c>
      <c r="C83" s="127" t="s">
        <v>2238</v>
      </c>
      <c r="D83" s="127" t="s">
        <v>70</v>
      </c>
      <c r="E83" t="s">
        <v>6270</v>
      </c>
      <c r="F83">
        <v>0</v>
      </c>
      <c r="G83">
        <v>1</v>
      </c>
      <c r="H83">
        <v>6</v>
      </c>
    </row>
    <row r="84" spans="1:8" x14ac:dyDescent="0.2">
      <c r="A84" s="127" t="s">
        <v>5741</v>
      </c>
      <c r="B84" s="127" t="s">
        <v>2320</v>
      </c>
      <c r="C84" s="127" t="s">
        <v>2238</v>
      </c>
      <c r="D84" s="127" t="s">
        <v>70</v>
      </c>
      <c r="E84" t="s">
        <v>6271</v>
      </c>
      <c r="F84">
        <v>550</v>
      </c>
      <c r="G84">
        <v>2.1666666666666665</v>
      </c>
      <c r="H84">
        <v>30.461538461538463</v>
      </c>
    </row>
    <row r="85" spans="1:8" x14ac:dyDescent="0.2">
      <c r="A85" s="127" t="s">
        <v>5741</v>
      </c>
      <c r="B85" s="127" t="s">
        <v>2320</v>
      </c>
      <c r="C85" s="127" t="s">
        <v>2238</v>
      </c>
      <c r="D85" s="127" t="s">
        <v>72</v>
      </c>
      <c r="E85" t="s">
        <v>7532</v>
      </c>
      <c r="F85">
        <v>1100</v>
      </c>
      <c r="G85">
        <v>2.5</v>
      </c>
      <c r="H85">
        <v>14.8</v>
      </c>
    </row>
    <row r="86" spans="1:8" x14ac:dyDescent="0.2">
      <c r="A86" s="127" t="s">
        <v>5733</v>
      </c>
      <c r="B86" s="127" t="s">
        <v>2239</v>
      </c>
      <c r="C86" s="127" t="s">
        <v>2238</v>
      </c>
      <c r="D86" s="127" t="s">
        <v>8</v>
      </c>
      <c r="G86">
        <v>0.83333333333333337</v>
      </c>
      <c r="H86">
        <v>80.399999999999991</v>
      </c>
    </row>
    <row r="87" spans="1:8" x14ac:dyDescent="0.2">
      <c r="A87" s="127" t="s">
        <v>5733</v>
      </c>
      <c r="B87" s="127" t="s">
        <v>2239</v>
      </c>
      <c r="C87" s="127" t="s">
        <v>2238</v>
      </c>
      <c r="D87" s="127" t="s">
        <v>70</v>
      </c>
      <c r="E87" t="s">
        <v>6272</v>
      </c>
      <c r="F87">
        <v>360</v>
      </c>
      <c r="G87">
        <v>6.666666666666667</v>
      </c>
      <c r="H87">
        <v>16.2</v>
      </c>
    </row>
    <row r="88" spans="1:8" x14ac:dyDescent="0.2">
      <c r="A88" s="127" t="s">
        <v>5733</v>
      </c>
      <c r="B88" s="127" t="s">
        <v>2239</v>
      </c>
      <c r="C88" s="127" t="s">
        <v>2238</v>
      </c>
      <c r="D88" s="127" t="s">
        <v>72</v>
      </c>
      <c r="E88" t="s">
        <v>6273</v>
      </c>
      <c r="F88">
        <v>120</v>
      </c>
      <c r="G88">
        <v>4</v>
      </c>
      <c r="H88">
        <v>13.5</v>
      </c>
    </row>
    <row r="89" spans="1:8" x14ac:dyDescent="0.2">
      <c r="A89" s="127" t="s">
        <v>5754</v>
      </c>
      <c r="B89" s="127" t="s">
        <v>2327</v>
      </c>
      <c r="C89" s="127" t="s">
        <v>2238</v>
      </c>
      <c r="D89" s="127" t="s">
        <v>8</v>
      </c>
      <c r="H89">
        <v>0</v>
      </c>
    </row>
    <row r="90" spans="1:8" x14ac:dyDescent="0.2">
      <c r="A90" s="127" t="s">
        <v>5754</v>
      </c>
      <c r="B90" s="127" t="s">
        <v>2327</v>
      </c>
      <c r="C90" s="127" t="s">
        <v>2238</v>
      </c>
      <c r="D90" s="127" t="s">
        <v>70</v>
      </c>
      <c r="E90" t="s">
        <v>6274</v>
      </c>
      <c r="F90">
        <v>39</v>
      </c>
      <c r="G90">
        <v>0.5</v>
      </c>
      <c r="H90">
        <v>52</v>
      </c>
    </row>
    <row r="91" spans="1:8" x14ac:dyDescent="0.2">
      <c r="A91" s="127" t="s">
        <v>5754</v>
      </c>
      <c r="B91" s="127" t="s">
        <v>2327</v>
      </c>
      <c r="C91" s="127" t="s">
        <v>2238</v>
      </c>
      <c r="D91" s="127" t="s">
        <v>72</v>
      </c>
      <c r="E91" t="s">
        <v>6275</v>
      </c>
      <c r="F91">
        <v>39</v>
      </c>
      <c r="G91">
        <v>0.33333333333333331</v>
      </c>
      <c r="H91">
        <v>51</v>
      </c>
    </row>
    <row r="92" spans="1:8" x14ac:dyDescent="0.2">
      <c r="A92" s="127" t="s">
        <v>5744</v>
      </c>
      <c r="B92" s="127" t="s">
        <v>2326</v>
      </c>
      <c r="C92" s="127" t="s">
        <v>2238</v>
      </c>
      <c r="D92" s="127" t="s">
        <v>8</v>
      </c>
      <c r="H92">
        <v>0</v>
      </c>
    </row>
    <row r="93" spans="1:8" x14ac:dyDescent="0.2">
      <c r="A93" s="127" t="s">
        <v>5744</v>
      </c>
      <c r="B93" s="127" t="s">
        <v>2326</v>
      </c>
      <c r="C93" s="127" t="s">
        <v>2238</v>
      </c>
      <c r="D93" s="127" t="s">
        <v>70</v>
      </c>
      <c r="E93" t="s">
        <v>6276</v>
      </c>
      <c r="F93">
        <v>87</v>
      </c>
      <c r="G93">
        <v>1.3333333333333333</v>
      </c>
      <c r="H93">
        <v>52.5</v>
      </c>
    </row>
    <row r="94" spans="1:8" x14ac:dyDescent="0.2">
      <c r="A94" s="127" t="s">
        <v>5744</v>
      </c>
      <c r="B94" s="127" t="s">
        <v>2326</v>
      </c>
      <c r="C94" s="127" t="s">
        <v>2238</v>
      </c>
      <c r="D94" s="127" t="s">
        <v>72</v>
      </c>
      <c r="E94" t="s">
        <v>6277</v>
      </c>
      <c r="F94">
        <v>0</v>
      </c>
      <c r="G94">
        <v>-0.16666666666666666</v>
      </c>
      <c r="H94">
        <v>-252</v>
      </c>
    </row>
    <row r="95" spans="1:8" x14ac:dyDescent="0.2">
      <c r="A95" s="127" t="s">
        <v>5777</v>
      </c>
      <c r="B95" s="127" t="s">
        <v>2277</v>
      </c>
      <c r="C95" s="127" t="s">
        <v>2238</v>
      </c>
      <c r="D95" s="127" t="s">
        <v>70</v>
      </c>
      <c r="E95" t="s">
        <v>6278</v>
      </c>
      <c r="F95">
        <v>-375</v>
      </c>
      <c r="G95">
        <v>0.16666666666666666</v>
      </c>
      <c r="H95">
        <v>96</v>
      </c>
    </row>
    <row r="96" spans="1:8" x14ac:dyDescent="0.2">
      <c r="A96" s="127" t="s">
        <v>5777</v>
      </c>
      <c r="B96" s="127" t="s">
        <v>2277</v>
      </c>
      <c r="C96" s="127" t="s">
        <v>2238</v>
      </c>
      <c r="D96" s="127" t="s">
        <v>72</v>
      </c>
    </row>
    <row r="97" spans="1:8" x14ac:dyDescent="0.2">
      <c r="A97" s="127" t="s">
        <v>5777</v>
      </c>
      <c r="B97" s="127" t="s">
        <v>2277</v>
      </c>
      <c r="C97" s="127" t="s">
        <v>2238</v>
      </c>
      <c r="D97" s="127" t="s">
        <v>72</v>
      </c>
      <c r="E97" t="s">
        <v>6279</v>
      </c>
      <c r="F97">
        <v>0</v>
      </c>
      <c r="G97">
        <v>0</v>
      </c>
      <c r="H97">
        <v>0</v>
      </c>
    </row>
    <row r="98" spans="1:8" x14ac:dyDescent="0.2">
      <c r="A98" s="127" t="s">
        <v>5732</v>
      </c>
      <c r="B98" s="127" t="s">
        <v>2321</v>
      </c>
      <c r="C98" s="127" t="s">
        <v>2238</v>
      </c>
      <c r="D98" s="127" t="s">
        <v>8</v>
      </c>
      <c r="G98">
        <v>0</v>
      </c>
      <c r="H98">
        <v>0</v>
      </c>
    </row>
    <row r="99" spans="1:8" x14ac:dyDescent="0.2">
      <c r="A99" s="127" t="s">
        <v>5732</v>
      </c>
      <c r="B99" s="127" t="s">
        <v>2321</v>
      </c>
      <c r="C99" s="127" t="s">
        <v>2238</v>
      </c>
      <c r="D99" s="127" t="s">
        <v>70</v>
      </c>
      <c r="E99" t="s">
        <v>6280</v>
      </c>
      <c r="F99">
        <v>0</v>
      </c>
      <c r="G99">
        <v>0.33333333333333331</v>
      </c>
      <c r="H99">
        <v>12</v>
      </c>
    </row>
    <row r="100" spans="1:8" x14ac:dyDescent="0.2">
      <c r="A100" s="127" t="s">
        <v>5732</v>
      </c>
      <c r="B100" s="127" t="s">
        <v>2321</v>
      </c>
      <c r="C100" s="127" t="s">
        <v>2238</v>
      </c>
      <c r="D100" s="127" t="s">
        <v>72</v>
      </c>
      <c r="E100" t="s">
        <v>6281</v>
      </c>
      <c r="F100">
        <v>0</v>
      </c>
      <c r="G100">
        <v>0</v>
      </c>
      <c r="H100">
        <v>0</v>
      </c>
    </row>
    <row r="101" spans="1:8" x14ac:dyDescent="0.2">
      <c r="A101" s="127" t="s">
        <v>5757</v>
      </c>
      <c r="B101" s="127" t="s">
        <v>2308</v>
      </c>
      <c r="C101" s="127" t="s">
        <v>2238</v>
      </c>
      <c r="D101" s="127" t="s">
        <v>70</v>
      </c>
      <c r="E101" t="s">
        <v>6282</v>
      </c>
      <c r="F101">
        <v>0</v>
      </c>
      <c r="G101">
        <v>1.8333333333333333</v>
      </c>
      <c r="H101">
        <v>0.54545454545454553</v>
      </c>
    </row>
    <row r="102" spans="1:8" x14ac:dyDescent="0.2">
      <c r="A102" s="127" t="s">
        <v>5763</v>
      </c>
      <c r="B102" s="127" t="s">
        <v>2247</v>
      </c>
      <c r="C102" s="127" t="s">
        <v>2238</v>
      </c>
      <c r="D102" s="127" t="s">
        <v>70</v>
      </c>
      <c r="E102" t="s">
        <v>6283</v>
      </c>
      <c r="F102">
        <v>0</v>
      </c>
      <c r="G102">
        <v>3.5</v>
      </c>
      <c r="H102">
        <v>1.1428571428571428</v>
      </c>
    </row>
    <row r="103" spans="1:8" x14ac:dyDescent="0.2">
      <c r="A103" s="127" t="s">
        <v>5742</v>
      </c>
      <c r="B103" s="127" t="s">
        <v>2330</v>
      </c>
      <c r="C103" s="127" t="s">
        <v>2238</v>
      </c>
      <c r="D103" s="127" t="s">
        <v>8</v>
      </c>
      <c r="G103">
        <v>0.66666666666666663</v>
      </c>
      <c r="H103">
        <v>27</v>
      </c>
    </row>
    <row r="104" spans="1:8" x14ac:dyDescent="0.2">
      <c r="A104" s="127" t="s">
        <v>5742</v>
      </c>
      <c r="B104" s="127" t="s">
        <v>2330</v>
      </c>
      <c r="C104" s="127" t="s">
        <v>2238</v>
      </c>
      <c r="D104" s="127" t="s">
        <v>70</v>
      </c>
      <c r="E104" t="s">
        <v>6284</v>
      </c>
      <c r="F104">
        <v>0</v>
      </c>
      <c r="G104">
        <v>1.3333333333333333</v>
      </c>
      <c r="H104">
        <v>7.5</v>
      </c>
    </row>
    <row r="105" spans="1:8" x14ac:dyDescent="0.2">
      <c r="A105" s="127" t="s">
        <v>5742</v>
      </c>
      <c r="B105" s="127" t="s">
        <v>2330</v>
      </c>
      <c r="C105" s="127" t="s">
        <v>2238</v>
      </c>
      <c r="D105" s="127" t="s">
        <v>72</v>
      </c>
      <c r="E105" t="s">
        <v>6285</v>
      </c>
      <c r="F105">
        <v>70</v>
      </c>
      <c r="G105">
        <v>0.16666666666666666</v>
      </c>
      <c r="H105">
        <v>12</v>
      </c>
    </row>
    <row r="106" spans="1:8" x14ac:dyDescent="0.2">
      <c r="A106" s="127" t="s">
        <v>5747</v>
      </c>
      <c r="B106" s="127" t="s">
        <v>2329</v>
      </c>
      <c r="C106" s="127" t="s">
        <v>2238</v>
      </c>
      <c r="D106" s="127" t="s">
        <v>8</v>
      </c>
      <c r="G106">
        <v>0.5</v>
      </c>
      <c r="H106">
        <v>40</v>
      </c>
    </row>
    <row r="107" spans="1:8" x14ac:dyDescent="0.2">
      <c r="A107" s="127" t="s">
        <v>5747</v>
      </c>
      <c r="B107" s="127" t="s">
        <v>2329</v>
      </c>
      <c r="C107" s="127" t="s">
        <v>2238</v>
      </c>
      <c r="D107" s="127" t="s">
        <v>70</v>
      </c>
      <c r="E107" t="s">
        <v>6286</v>
      </c>
      <c r="F107">
        <v>192</v>
      </c>
      <c r="G107">
        <v>0.83333333333333337</v>
      </c>
      <c r="H107">
        <v>28.799999999999997</v>
      </c>
    </row>
    <row r="108" spans="1:8" x14ac:dyDescent="0.2">
      <c r="A108" s="127" t="s">
        <v>5747</v>
      </c>
      <c r="B108" s="127" t="s">
        <v>2329</v>
      </c>
      <c r="C108" s="127" t="s">
        <v>2238</v>
      </c>
      <c r="D108" s="127" t="s">
        <v>72</v>
      </c>
      <c r="E108" t="s">
        <v>6287</v>
      </c>
      <c r="F108">
        <v>192</v>
      </c>
      <c r="G108">
        <v>0.16666666666666666</v>
      </c>
      <c r="H108">
        <v>60</v>
      </c>
    </row>
    <row r="109" spans="1:8" x14ac:dyDescent="0.2">
      <c r="A109" s="127" t="s">
        <v>5782</v>
      </c>
      <c r="B109" s="127" t="s">
        <v>2328</v>
      </c>
      <c r="C109" s="127" t="s">
        <v>2238</v>
      </c>
      <c r="D109" s="127" t="s">
        <v>70</v>
      </c>
      <c r="E109" t="s">
        <v>6288</v>
      </c>
      <c r="F109">
        <v>96</v>
      </c>
      <c r="G109">
        <v>0.66666666666666663</v>
      </c>
      <c r="H109">
        <v>39</v>
      </c>
    </row>
    <row r="110" spans="1:8" x14ac:dyDescent="0.2">
      <c r="A110" s="127" t="s">
        <v>5789</v>
      </c>
      <c r="B110" s="127" t="s">
        <v>2276</v>
      </c>
      <c r="C110" s="127" t="s">
        <v>2238</v>
      </c>
      <c r="D110" s="127" t="s">
        <v>72</v>
      </c>
      <c r="E110" t="s">
        <v>6289</v>
      </c>
      <c r="F110">
        <v>0</v>
      </c>
      <c r="G110">
        <v>0</v>
      </c>
      <c r="H110">
        <v>0</v>
      </c>
    </row>
    <row r="111" spans="1:8" x14ac:dyDescent="0.2">
      <c r="A111" s="127" t="s">
        <v>5743</v>
      </c>
      <c r="B111" s="127" t="s">
        <v>2278</v>
      </c>
      <c r="C111" s="127" t="s">
        <v>2238</v>
      </c>
      <c r="D111" s="127" t="s">
        <v>70</v>
      </c>
      <c r="E111" t="s">
        <v>6290</v>
      </c>
      <c r="F111">
        <v>4080</v>
      </c>
      <c r="G111">
        <v>3.6666666666666665</v>
      </c>
      <c r="H111">
        <v>12.545454545454547</v>
      </c>
    </row>
    <row r="112" spans="1:8" x14ac:dyDescent="0.2">
      <c r="A112" s="127" t="s">
        <v>5743</v>
      </c>
      <c r="B112" s="127" t="s">
        <v>2278</v>
      </c>
      <c r="C112" s="127" t="s">
        <v>2238</v>
      </c>
      <c r="D112" s="127" t="s">
        <v>72</v>
      </c>
      <c r="E112" t="s">
        <v>6291</v>
      </c>
      <c r="F112">
        <v>0</v>
      </c>
      <c r="G112">
        <v>1.3333333333333333</v>
      </c>
      <c r="H112">
        <v>1.5</v>
      </c>
    </row>
    <row r="113" spans="1:8" x14ac:dyDescent="0.2">
      <c r="A113" s="127" t="s">
        <v>5756</v>
      </c>
      <c r="B113" s="127" t="s">
        <v>2280</v>
      </c>
      <c r="C113" s="127" t="s">
        <v>2238</v>
      </c>
      <c r="D113" s="127" t="s">
        <v>70</v>
      </c>
      <c r="E113" t="s">
        <v>6292</v>
      </c>
      <c r="F113">
        <v>1260</v>
      </c>
      <c r="G113">
        <v>1</v>
      </c>
      <c r="H113">
        <v>30</v>
      </c>
    </row>
    <row r="114" spans="1:8" x14ac:dyDescent="0.2">
      <c r="A114" s="127" t="s">
        <v>5756</v>
      </c>
      <c r="B114" s="127" t="s">
        <v>2280</v>
      </c>
      <c r="C114" s="127" t="s">
        <v>2238</v>
      </c>
      <c r="D114" s="127" t="s">
        <v>72</v>
      </c>
      <c r="E114" t="s">
        <v>6293</v>
      </c>
      <c r="F114">
        <v>1260</v>
      </c>
      <c r="G114">
        <v>0.5</v>
      </c>
      <c r="H114">
        <v>40</v>
      </c>
    </row>
    <row r="115" spans="1:8" x14ac:dyDescent="0.2">
      <c r="A115" s="127" t="s">
        <v>5740</v>
      </c>
      <c r="B115" s="127" t="s">
        <v>2279</v>
      </c>
      <c r="C115" s="127" t="s">
        <v>2238</v>
      </c>
      <c r="D115" s="127" t="s">
        <v>8</v>
      </c>
      <c r="F115">
        <v>680</v>
      </c>
      <c r="G115">
        <v>0.16666666666666666</v>
      </c>
      <c r="H115">
        <v>48</v>
      </c>
    </row>
    <row r="116" spans="1:8" x14ac:dyDescent="0.2">
      <c r="A116" s="127" t="s">
        <v>5740</v>
      </c>
      <c r="B116" s="127" t="s">
        <v>2279</v>
      </c>
      <c r="C116" s="127" t="s">
        <v>2238</v>
      </c>
      <c r="D116" s="127" t="s">
        <v>70</v>
      </c>
      <c r="E116" t="s">
        <v>6294</v>
      </c>
      <c r="F116">
        <v>0</v>
      </c>
      <c r="G116">
        <v>0</v>
      </c>
      <c r="H116">
        <v>0</v>
      </c>
    </row>
    <row r="117" spans="1:8" x14ac:dyDescent="0.2">
      <c r="A117" s="127" t="s">
        <v>5740</v>
      </c>
      <c r="B117" s="127" t="s">
        <v>2279</v>
      </c>
      <c r="C117" s="127" t="s">
        <v>2238</v>
      </c>
      <c r="D117" s="127" t="s">
        <v>72</v>
      </c>
      <c r="E117" t="s">
        <v>6295</v>
      </c>
      <c r="F117">
        <v>0</v>
      </c>
      <c r="G117">
        <v>0.16666666666666666</v>
      </c>
      <c r="H117">
        <v>12</v>
      </c>
    </row>
    <row r="118" spans="1:8" x14ac:dyDescent="0.2">
      <c r="A118" s="127" t="s">
        <v>5765</v>
      </c>
      <c r="B118" s="127" t="s">
        <v>2281</v>
      </c>
      <c r="C118" s="127" t="s">
        <v>2238</v>
      </c>
      <c r="D118" s="127" t="s">
        <v>72</v>
      </c>
      <c r="E118" t="s">
        <v>6296</v>
      </c>
      <c r="F118">
        <v>0</v>
      </c>
      <c r="G118">
        <v>0.66666666666666663</v>
      </c>
      <c r="H118">
        <v>7.5</v>
      </c>
    </row>
    <row r="119" spans="1:8" x14ac:dyDescent="0.2">
      <c r="A119" s="127" t="s">
        <v>7211</v>
      </c>
      <c r="B119" s="127" t="s">
        <v>2259</v>
      </c>
      <c r="C119" s="127" t="s">
        <v>2238</v>
      </c>
      <c r="D119" s="127" t="s">
        <v>8</v>
      </c>
      <c r="F119">
        <v>60</v>
      </c>
      <c r="G119">
        <v>1.6666666666666667</v>
      </c>
      <c r="H119">
        <v>38.4</v>
      </c>
    </row>
    <row r="120" spans="1:8" x14ac:dyDescent="0.2">
      <c r="A120" s="127" t="s">
        <v>7211</v>
      </c>
      <c r="B120" s="127" t="s">
        <v>2259</v>
      </c>
      <c r="C120" s="127" t="s">
        <v>2238</v>
      </c>
      <c r="D120" s="127" t="s">
        <v>70</v>
      </c>
      <c r="E120" t="s">
        <v>7533</v>
      </c>
      <c r="F120">
        <v>220</v>
      </c>
      <c r="G120">
        <v>11.5</v>
      </c>
      <c r="H120">
        <v>12.869565217391305</v>
      </c>
    </row>
    <row r="121" spans="1:8" x14ac:dyDescent="0.2">
      <c r="A121" s="127" t="s">
        <v>5786</v>
      </c>
      <c r="B121" s="127" t="s">
        <v>2305</v>
      </c>
      <c r="C121" s="127" t="s">
        <v>2238</v>
      </c>
      <c r="D121" s="127" t="s">
        <v>70</v>
      </c>
      <c r="E121" t="s">
        <v>6297</v>
      </c>
      <c r="F121">
        <v>0</v>
      </c>
      <c r="G121">
        <v>0.33333333333333331</v>
      </c>
      <c r="H121">
        <v>3</v>
      </c>
    </row>
    <row r="122" spans="1:8" x14ac:dyDescent="0.2">
      <c r="A122" s="127" t="s">
        <v>5779</v>
      </c>
      <c r="B122" s="127" t="s">
        <v>2304</v>
      </c>
      <c r="C122" s="127" t="s">
        <v>2238</v>
      </c>
      <c r="D122" s="127" t="s">
        <v>70</v>
      </c>
      <c r="E122" t="s">
        <v>6298</v>
      </c>
    </row>
    <row r="123" spans="1:8" x14ac:dyDescent="0.2">
      <c r="A123" s="127" t="s">
        <v>5762</v>
      </c>
      <c r="B123" s="127" t="s">
        <v>2268</v>
      </c>
      <c r="C123" s="127" t="s">
        <v>2238</v>
      </c>
      <c r="D123" s="127" t="s">
        <v>8</v>
      </c>
      <c r="F123">
        <v>220</v>
      </c>
      <c r="G123">
        <v>0.66666666666666663</v>
      </c>
      <c r="H123">
        <v>57</v>
      </c>
    </row>
    <row r="124" spans="1:8" x14ac:dyDescent="0.2">
      <c r="A124" s="127" t="s">
        <v>5762</v>
      </c>
      <c r="B124" s="127" t="s">
        <v>2268</v>
      </c>
      <c r="C124" s="127" t="s">
        <v>2238</v>
      </c>
      <c r="D124" s="127" t="s">
        <v>70</v>
      </c>
      <c r="E124" t="s">
        <v>6299</v>
      </c>
      <c r="F124">
        <v>0</v>
      </c>
      <c r="G124">
        <v>0.83333333333333337</v>
      </c>
      <c r="H124">
        <v>76.8</v>
      </c>
    </row>
    <row r="125" spans="1:8" x14ac:dyDescent="0.2">
      <c r="A125" s="127" t="s">
        <v>5749</v>
      </c>
      <c r="B125" s="127" t="s">
        <v>2265</v>
      </c>
      <c r="C125" s="127" t="s">
        <v>2238</v>
      </c>
      <c r="D125" s="127" t="s">
        <v>8</v>
      </c>
      <c r="G125">
        <v>0.33333333333333331</v>
      </c>
      <c r="H125">
        <v>39</v>
      </c>
    </row>
    <row r="126" spans="1:8" x14ac:dyDescent="0.2">
      <c r="A126" s="127" t="s">
        <v>5749</v>
      </c>
      <c r="B126" s="127" t="s">
        <v>2265</v>
      </c>
      <c r="C126" s="127" t="s">
        <v>2238</v>
      </c>
      <c r="D126" s="127" t="s">
        <v>70</v>
      </c>
      <c r="E126" t="s">
        <v>6300</v>
      </c>
      <c r="F126">
        <v>280</v>
      </c>
      <c r="G126">
        <v>0.33333333333333331</v>
      </c>
      <c r="H126">
        <v>96</v>
      </c>
    </row>
    <row r="127" spans="1:8" x14ac:dyDescent="0.2">
      <c r="A127" s="127" t="s">
        <v>5749</v>
      </c>
      <c r="B127" s="127" t="s">
        <v>2265</v>
      </c>
      <c r="C127" s="127" t="s">
        <v>2238</v>
      </c>
      <c r="D127" s="127" t="s">
        <v>72</v>
      </c>
      <c r="E127" t="s">
        <v>6301</v>
      </c>
      <c r="F127">
        <v>0</v>
      </c>
      <c r="G127">
        <v>1.3333333333333333</v>
      </c>
      <c r="H127">
        <v>6</v>
      </c>
    </row>
    <row r="128" spans="1:8" x14ac:dyDescent="0.2">
      <c r="A128" s="127" t="s">
        <v>7199</v>
      </c>
      <c r="B128" s="127" t="s">
        <v>2245</v>
      </c>
      <c r="C128" s="127" t="s">
        <v>2238</v>
      </c>
      <c r="D128" s="127" t="s">
        <v>8</v>
      </c>
      <c r="H128">
        <v>0</v>
      </c>
    </row>
    <row r="129" spans="1:8" x14ac:dyDescent="0.2">
      <c r="A129" s="127" t="s">
        <v>5793</v>
      </c>
      <c r="B129" s="127" t="s">
        <v>2267</v>
      </c>
      <c r="C129" s="127" t="s">
        <v>2238</v>
      </c>
      <c r="D129" s="127" t="s">
        <v>8</v>
      </c>
      <c r="G129">
        <v>1.5</v>
      </c>
      <c r="H129">
        <v>72.666666666666671</v>
      </c>
    </row>
    <row r="130" spans="1:8" x14ac:dyDescent="0.2">
      <c r="A130" s="127" t="s">
        <v>5793</v>
      </c>
      <c r="B130" s="127" t="s">
        <v>2267</v>
      </c>
      <c r="C130" s="127" t="s">
        <v>2238</v>
      </c>
      <c r="D130" s="127" t="s">
        <v>70</v>
      </c>
      <c r="E130" t="s">
        <v>6302</v>
      </c>
    </row>
    <row r="131" spans="1:8" x14ac:dyDescent="0.2">
      <c r="A131" s="127" t="s">
        <v>5751</v>
      </c>
      <c r="B131" s="127" t="s">
        <v>2264</v>
      </c>
      <c r="C131" s="127" t="s">
        <v>2238</v>
      </c>
      <c r="D131" s="127" t="s">
        <v>70</v>
      </c>
      <c r="E131" t="s">
        <v>6303</v>
      </c>
      <c r="F131">
        <v>280</v>
      </c>
      <c r="G131">
        <v>1</v>
      </c>
      <c r="H131">
        <v>28</v>
      </c>
    </row>
    <row r="132" spans="1:8" x14ac:dyDescent="0.2">
      <c r="A132" s="127" t="s">
        <v>5751</v>
      </c>
      <c r="B132" s="127" t="s">
        <v>2264</v>
      </c>
      <c r="C132" s="127" t="s">
        <v>2238</v>
      </c>
      <c r="D132" s="127" t="s">
        <v>72</v>
      </c>
      <c r="E132" t="s">
        <v>6304</v>
      </c>
      <c r="F132">
        <v>280</v>
      </c>
      <c r="G132">
        <v>0.83333333333333337</v>
      </c>
      <c r="H132">
        <v>4.8</v>
      </c>
    </row>
    <row r="133" spans="1:8" x14ac:dyDescent="0.2">
      <c r="A133" s="127" t="s">
        <v>5750</v>
      </c>
      <c r="B133" s="127" t="s">
        <v>2263</v>
      </c>
      <c r="C133" s="127" t="s">
        <v>2238</v>
      </c>
      <c r="D133" s="127" t="s">
        <v>70</v>
      </c>
      <c r="E133" t="s">
        <v>6305</v>
      </c>
      <c r="F133">
        <v>0</v>
      </c>
      <c r="G133">
        <v>0.83333333333333337</v>
      </c>
      <c r="H133">
        <v>39.6</v>
      </c>
    </row>
    <row r="134" spans="1:8" x14ac:dyDescent="0.2">
      <c r="A134" s="127" t="s">
        <v>5750</v>
      </c>
      <c r="B134" s="127" t="s">
        <v>2263</v>
      </c>
      <c r="C134" s="127" t="s">
        <v>2238</v>
      </c>
      <c r="D134" s="127" t="s">
        <v>72</v>
      </c>
      <c r="E134" t="s">
        <v>6306</v>
      </c>
      <c r="F134">
        <v>330</v>
      </c>
      <c r="G134">
        <v>0</v>
      </c>
      <c r="H134">
        <v>0</v>
      </c>
    </row>
    <row r="135" spans="1:8" x14ac:dyDescent="0.2">
      <c r="A135" s="127" t="s">
        <v>5745</v>
      </c>
      <c r="B135" s="127" t="s">
        <v>2262</v>
      </c>
      <c r="C135" s="127" t="s">
        <v>2238</v>
      </c>
      <c r="D135" s="127" t="s">
        <v>70</v>
      </c>
      <c r="E135" t="s">
        <v>6307</v>
      </c>
      <c r="F135">
        <v>330</v>
      </c>
      <c r="G135">
        <v>0.66666666666666663</v>
      </c>
      <c r="H135">
        <v>61.5</v>
      </c>
    </row>
    <row r="136" spans="1:8" x14ac:dyDescent="0.2">
      <c r="A136" s="127" t="s">
        <v>5745</v>
      </c>
      <c r="B136" s="127" t="s">
        <v>2262</v>
      </c>
      <c r="C136" s="127" t="s">
        <v>2238</v>
      </c>
      <c r="D136" s="127" t="s">
        <v>72</v>
      </c>
      <c r="E136" t="s">
        <v>6308</v>
      </c>
      <c r="F136">
        <v>0</v>
      </c>
      <c r="G136">
        <v>0</v>
      </c>
      <c r="H136">
        <v>0</v>
      </c>
    </row>
    <row r="137" spans="1:8" x14ac:dyDescent="0.2">
      <c r="A137" s="127" t="s">
        <v>5745</v>
      </c>
      <c r="B137" s="127" t="s">
        <v>2262</v>
      </c>
      <c r="C137" s="127" t="s">
        <v>2238</v>
      </c>
      <c r="D137" s="127" t="s">
        <v>72</v>
      </c>
      <c r="E137" t="s">
        <v>6309</v>
      </c>
    </row>
    <row r="138" spans="1:8" x14ac:dyDescent="0.2">
      <c r="A138" s="127" t="s">
        <v>5761</v>
      </c>
      <c r="B138" s="127" t="s">
        <v>2242</v>
      </c>
      <c r="C138" s="127" t="s">
        <v>2238</v>
      </c>
      <c r="D138" s="127" t="s">
        <v>8</v>
      </c>
      <c r="H138">
        <v>0</v>
      </c>
    </row>
    <row r="139" spans="1:8" x14ac:dyDescent="0.2">
      <c r="A139" s="127" t="s">
        <v>5761</v>
      </c>
      <c r="B139" s="127" t="s">
        <v>2242</v>
      </c>
      <c r="C139" s="127" t="s">
        <v>2238</v>
      </c>
      <c r="D139" s="127" t="s">
        <v>70</v>
      </c>
      <c r="E139" t="s">
        <v>6310</v>
      </c>
    </row>
    <row r="140" spans="1:8" x14ac:dyDescent="0.2">
      <c r="A140" s="127" t="s">
        <v>5761</v>
      </c>
      <c r="B140" s="127" t="s">
        <v>2242</v>
      </c>
      <c r="C140" s="127" t="s">
        <v>2238</v>
      </c>
      <c r="D140" s="127" t="s">
        <v>72</v>
      </c>
      <c r="E140" t="s">
        <v>6311</v>
      </c>
      <c r="F140">
        <v>0</v>
      </c>
      <c r="G140">
        <v>0.83333333333333337</v>
      </c>
      <c r="H140">
        <v>28.799999999999997</v>
      </c>
    </row>
    <row r="141" spans="1:8" x14ac:dyDescent="0.2">
      <c r="A141" s="127" t="s">
        <v>5758</v>
      </c>
      <c r="B141" s="127" t="s">
        <v>2331</v>
      </c>
      <c r="C141" s="127" t="s">
        <v>2238</v>
      </c>
      <c r="D141" s="127" t="s">
        <v>8</v>
      </c>
      <c r="G141">
        <v>0.33333333333333331</v>
      </c>
      <c r="H141">
        <v>231</v>
      </c>
    </row>
    <row r="142" spans="1:8" x14ac:dyDescent="0.2">
      <c r="A142" s="127" t="s">
        <v>5758</v>
      </c>
      <c r="B142" s="127" t="s">
        <v>2331</v>
      </c>
      <c r="C142" s="127" t="s">
        <v>2238</v>
      </c>
      <c r="D142" s="127" t="s">
        <v>70</v>
      </c>
      <c r="E142" t="s">
        <v>6312</v>
      </c>
      <c r="F142">
        <v>372</v>
      </c>
      <c r="G142">
        <v>1.5</v>
      </c>
      <c r="H142">
        <v>26</v>
      </c>
    </row>
    <row r="143" spans="1:8" x14ac:dyDescent="0.2">
      <c r="A143" s="127" t="s">
        <v>5758</v>
      </c>
      <c r="B143" s="127" t="s">
        <v>2331</v>
      </c>
      <c r="C143" s="127" t="s">
        <v>2238</v>
      </c>
      <c r="D143" s="127" t="s">
        <v>72</v>
      </c>
      <c r="E143" t="s">
        <v>6313</v>
      </c>
      <c r="F143">
        <v>279</v>
      </c>
      <c r="G143">
        <v>1</v>
      </c>
      <c r="H143">
        <v>143</v>
      </c>
    </row>
    <row r="144" spans="1:8" x14ac:dyDescent="0.2">
      <c r="A144" s="127" t="s">
        <v>5768</v>
      </c>
      <c r="B144" s="127" t="s">
        <v>2344</v>
      </c>
      <c r="C144" s="127" t="s">
        <v>2238</v>
      </c>
      <c r="D144" s="127" t="s">
        <v>8</v>
      </c>
      <c r="H144">
        <v>0</v>
      </c>
    </row>
    <row r="145" spans="1:8" x14ac:dyDescent="0.2">
      <c r="A145" s="127" t="s">
        <v>5768</v>
      </c>
      <c r="B145" s="127" t="s">
        <v>2344</v>
      </c>
      <c r="C145" s="127" t="s">
        <v>2238</v>
      </c>
      <c r="D145" s="127" t="s">
        <v>70</v>
      </c>
      <c r="E145" t="s">
        <v>6314</v>
      </c>
      <c r="F145">
        <v>63</v>
      </c>
      <c r="G145">
        <v>2.8333333333333335</v>
      </c>
      <c r="H145">
        <v>7.4117647058823524</v>
      </c>
    </row>
    <row r="146" spans="1:8" x14ac:dyDescent="0.2">
      <c r="A146" s="127" t="s">
        <v>5755</v>
      </c>
      <c r="B146" s="127" t="s">
        <v>2342</v>
      </c>
      <c r="C146" s="127" t="s">
        <v>2238</v>
      </c>
      <c r="D146" s="127" t="s">
        <v>8</v>
      </c>
      <c r="H146">
        <v>0</v>
      </c>
    </row>
    <row r="147" spans="1:8" x14ac:dyDescent="0.2">
      <c r="A147" s="127" t="s">
        <v>5755</v>
      </c>
      <c r="B147" s="127" t="s">
        <v>2342</v>
      </c>
      <c r="C147" s="127" t="s">
        <v>2238</v>
      </c>
      <c r="D147" s="127" t="s">
        <v>70</v>
      </c>
      <c r="E147" t="s">
        <v>6315</v>
      </c>
      <c r="F147">
        <v>0</v>
      </c>
      <c r="G147">
        <v>1.6666666666666667</v>
      </c>
      <c r="H147">
        <v>18.599999999999998</v>
      </c>
    </row>
    <row r="148" spans="1:8" x14ac:dyDescent="0.2">
      <c r="A148" s="127" t="s">
        <v>5755</v>
      </c>
      <c r="B148" s="127" t="s">
        <v>2342</v>
      </c>
      <c r="C148" s="127" t="s">
        <v>2238</v>
      </c>
      <c r="D148" s="127" t="s">
        <v>72</v>
      </c>
      <c r="E148" t="s">
        <v>6316</v>
      </c>
      <c r="F148">
        <v>0</v>
      </c>
      <c r="G148">
        <v>1.3333333333333333</v>
      </c>
      <c r="H148">
        <v>87.75</v>
      </c>
    </row>
    <row r="149" spans="1:8" x14ac:dyDescent="0.2">
      <c r="A149" s="127" t="s">
        <v>5772</v>
      </c>
      <c r="B149" s="127" t="s">
        <v>2333</v>
      </c>
      <c r="C149" s="127" t="s">
        <v>2238</v>
      </c>
      <c r="D149" s="127" t="s">
        <v>8</v>
      </c>
      <c r="F149">
        <v>51</v>
      </c>
      <c r="G149">
        <v>0.16666666666666666</v>
      </c>
      <c r="H149">
        <v>288</v>
      </c>
    </row>
    <row r="150" spans="1:8" x14ac:dyDescent="0.2">
      <c r="A150" s="127" t="s">
        <v>5772</v>
      </c>
      <c r="B150" s="127" t="s">
        <v>2333</v>
      </c>
      <c r="C150" s="127" t="s">
        <v>2238</v>
      </c>
      <c r="D150" s="127" t="s">
        <v>70</v>
      </c>
      <c r="E150" t="s">
        <v>6317</v>
      </c>
      <c r="F150">
        <v>0</v>
      </c>
      <c r="G150">
        <v>0.33333333333333331</v>
      </c>
      <c r="H150">
        <v>132</v>
      </c>
    </row>
    <row r="151" spans="1:8" x14ac:dyDescent="0.2">
      <c r="A151" s="127" t="s">
        <v>5772</v>
      </c>
      <c r="B151" s="127" t="s">
        <v>2333</v>
      </c>
      <c r="C151" s="127" t="s">
        <v>2238</v>
      </c>
      <c r="D151" s="127" t="s">
        <v>72</v>
      </c>
      <c r="E151" t="s">
        <v>6318</v>
      </c>
      <c r="F151">
        <v>0</v>
      </c>
      <c r="G151">
        <v>1.1666666666666667</v>
      </c>
      <c r="H151">
        <v>94.285714285714278</v>
      </c>
    </row>
    <row r="152" spans="1:8" x14ac:dyDescent="0.2">
      <c r="A152" s="127" t="s">
        <v>5748</v>
      </c>
      <c r="B152" s="127" t="s">
        <v>2241</v>
      </c>
      <c r="C152" s="127" t="s">
        <v>2238</v>
      </c>
      <c r="D152" s="127" t="s">
        <v>8</v>
      </c>
      <c r="F152">
        <v>1640</v>
      </c>
      <c r="G152">
        <v>1.3333333333333333</v>
      </c>
      <c r="H152">
        <v>22.5</v>
      </c>
    </row>
    <row r="153" spans="1:8" x14ac:dyDescent="0.2">
      <c r="A153" s="127" t="s">
        <v>5748</v>
      </c>
      <c r="B153" s="127" t="s">
        <v>2241</v>
      </c>
      <c r="C153" s="127" t="s">
        <v>2238</v>
      </c>
      <c r="D153" s="127" t="s">
        <v>70</v>
      </c>
      <c r="E153" t="s">
        <v>6319</v>
      </c>
      <c r="F153">
        <v>0</v>
      </c>
      <c r="G153">
        <v>2.8333333333333335</v>
      </c>
      <c r="H153">
        <v>14.470588235294118</v>
      </c>
    </row>
    <row r="154" spans="1:8" x14ac:dyDescent="0.2">
      <c r="A154" s="127" t="s">
        <v>5748</v>
      </c>
      <c r="B154" s="127" t="s">
        <v>2241</v>
      </c>
      <c r="C154" s="127" t="s">
        <v>2238</v>
      </c>
      <c r="D154" s="127" t="s">
        <v>72</v>
      </c>
      <c r="E154" t="s">
        <v>6320</v>
      </c>
      <c r="F154">
        <v>0</v>
      </c>
      <c r="G154">
        <v>0.16666666666666666</v>
      </c>
      <c r="H154">
        <v>72</v>
      </c>
    </row>
    <row r="155" spans="1:8" x14ac:dyDescent="0.2">
      <c r="A155" s="127" t="s">
        <v>5746</v>
      </c>
      <c r="B155" s="127" t="s">
        <v>2299</v>
      </c>
      <c r="C155" s="127" t="s">
        <v>2238</v>
      </c>
      <c r="D155" s="127" t="s">
        <v>8</v>
      </c>
      <c r="F155">
        <v>770</v>
      </c>
      <c r="G155">
        <v>0.5</v>
      </c>
      <c r="H155">
        <v>48</v>
      </c>
    </row>
    <row r="156" spans="1:8" x14ac:dyDescent="0.2">
      <c r="A156" s="127" t="s">
        <v>5746</v>
      </c>
      <c r="B156" s="127" t="s">
        <v>2299</v>
      </c>
      <c r="C156" s="127" t="s">
        <v>2238</v>
      </c>
      <c r="D156" s="127" t="s">
        <v>70</v>
      </c>
      <c r="E156" t="s">
        <v>6321</v>
      </c>
      <c r="F156">
        <v>4620</v>
      </c>
      <c r="G156">
        <v>2.5</v>
      </c>
      <c r="H156">
        <v>27.2</v>
      </c>
    </row>
    <row r="157" spans="1:8" x14ac:dyDescent="0.2">
      <c r="A157" s="127" t="s">
        <v>5746</v>
      </c>
      <c r="B157" s="127" t="s">
        <v>2299</v>
      </c>
      <c r="C157" s="127" t="s">
        <v>2238</v>
      </c>
      <c r="D157" s="127" t="s">
        <v>72</v>
      </c>
      <c r="E157" t="s">
        <v>6322</v>
      </c>
      <c r="F157">
        <v>770</v>
      </c>
      <c r="G157">
        <v>1.8333333333333333</v>
      </c>
      <c r="H157">
        <v>19.636363636363637</v>
      </c>
    </row>
    <row r="158" spans="1:8" x14ac:dyDescent="0.2">
      <c r="A158" s="127" t="s">
        <v>5746</v>
      </c>
      <c r="B158" s="127" t="s">
        <v>2299</v>
      </c>
      <c r="C158" s="127" t="s">
        <v>2238</v>
      </c>
      <c r="D158" s="127" t="s">
        <v>72</v>
      </c>
      <c r="E158" t="s">
        <v>7534</v>
      </c>
      <c r="F158">
        <v>0</v>
      </c>
      <c r="G158">
        <v>0</v>
      </c>
      <c r="H158">
        <v>0</v>
      </c>
    </row>
    <row r="159" spans="1:8" x14ac:dyDescent="0.2">
      <c r="A159" s="127" t="s">
        <v>5797</v>
      </c>
      <c r="B159" s="127" t="s">
        <v>2348</v>
      </c>
      <c r="C159" s="127" t="s">
        <v>2238</v>
      </c>
      <c r="D159" s="127" t="s">
        <v>8</v>
      </c>
      <c r="H159">
        <v>0</v>
      </c>
    </row>
    <row r="160" spans="1:8" x14ac:dyDescent="0.2">
      <c r="A160" s="127" t="s">
        <v>5797</v>
      </c>
      <c r="B160" s="127" t="s">
        <v>2348</v>
      </c>
      <c r="C160" s="127" t="s">
        <v>2238</v>
      </c>
      <c r="D160" s="127" t="s">
        <v>70</v>
      </c>
      <c r="E160" t="s">
        <v>6323</v>
      </c>
    </row>
    <row r="161" spans="1:8" x14ac:dyDescent="0.2">
      <c r="A161" s="127" t="s">
        <v>5753</v>
      </c>
      <c r="B161" s="127" t="s">
        <v>2337</v>
      </c>
      <c r="C161" s="127" t="s">
        <v>2238</v>
      </c>
      <c r="D161" s="127" t="s">
        <v>8</v>
      </c>
      <c r="F161">
        <v>0</v>
      </c>
      <c r="G161">
        <v>0</v>
      </c>
      <c r="H161">
        <v>0</v>
      </c>
    </row>
    <row r="162" spans="1:8" x14ac:dyDescent="0.2">
      <c r="A162" s="127" t="s">
        <v>5753</v>
      </c>
      <c r="B162" s="127" t="s">
        <v>2337</v>
      </c>
      <c r="C162" s="127" t="s">
        <v>2238</v>
      </c>
      <c r="D162" s="127" t="s">
        <v>70</v>
      </c>
      <c r="E162" t="s">
        <v>6324</v>
      </c>
      <c r="F162">
        <v>630</v>
      </c>
      <c r="G162">
        <v>2.1666666666666665</v>
      </c>
      <c r="H162">
        <v>23.53846153846154</v>
      </c>
    </row>
    <row r="163" spans="1:8" x14ac:dyDescent="0.2">
      <c r="A163" s="127" t="s">
        <v>5753</v>
      </c>
      <c r="B163" s="127" t="s">
        <v>2337</v>
      </c>
      <c r="C163" s="127" t="s">
        <v>2238</v>
      </c>
      <c r="D163" s="127" t="s">
        <v>72</v>
      </c>
      <c r="E163" t="s">
        <v>6325</v>
      </c>
      <c r="F163">
        <v>0</v>
      </c>
      <c r="G163">
        <v>1.6666666666666667</v>
      </c>
      <c r="H163">
        <v>52.8</v>
      </c>
    </row>
    <row r="164" spans="1:8" x14ac:dyDescent="0.2">
      <c r="A164" s="127" t="s">
        <v>5784</v>
      </c>
      <c r="B164" s="127" t="s">
        <v>2340</v>
      </c>
      <c r="C164" s="127" t="s">
        <v>2238</v>
      </c>
      <c r="D164" s="127" t="s">
        <v>8</v>
      </c>
      <c r="F164">
        <v>0</v>
      </c>
      <c r="G164">
        <v>0</v>
      </c>
      <c r="H164">
        <v>0</v>
      </c>
    </row>
    <row r="165" spans="1:8" x14ac:dyDescent="0.2">
      <c r="A165" s="127" t="s">
        <v>5784</v>
      </c>
      <c r="B165" s="127" t="s">
        <v>2340</v>
      </c>
      <c r="C165" s="127" t="s">
        <v>2238</v>
      </c>
      <c r="D165" s="127" t="s">
        <v>70</v>
      </c>
      <c r="E165" t="s">
        <v>6326</v>
      </c>
      <c r="F165">
        <v>0</v>
      </c>
      <c r="G165">
        <v>0.16666666666666666</v>
      </c>
      <c r="H165">
        <v>252</v>
      </c>
    </row>
    <row r="166" spans="1:8" x14ac:dyDescent="0.2">
      <c r="A166" s="127" t="s">
        <v>5759</v>
      </c>
      <c r="B166" s="127" t="s">
        <v>2339</v>
      </c>
      <c r="C166" s="127" t="s">
        <v>2238</v>
      </c>
      <c r="D166" s="127" t="s">
        <v>8</v>
      </c>
      <c r="H166">
        <v>0</v>
      </c>
    </row>
    <row r="167" spans="1:8" x14ac:dyDescent="0.2">
      <c r="A167" s="127" t="s">
        <v>5759</v>
      </c>
      <c r="B167" s="127" t="s">
        <v>2339</v>
      </c>
      <c r="C167" s="127" t="s">
        <v>2238</v>
      </c>
      <c r="D167" s="127" t="s">
        <v>70</v>
      </c>
      <c r="E167" t="s">
        <v>6327</v>
      </c>
      <c r="F167">
        <v>0</v>
      </c>
      <c r="G167">
        <v>1.8333333333333333</v>
      </c>
      <c r="H167">
        <v>20.181818181818183</v>
      </c>
    </row>
    <row r="168" spans="1:8" x14ac:dyDescent="0.2">
      <c r="A168" s="127" t="s">
        <v>5778</v>
      </c>
      <c r="B168" s="127" t="s">
        <v>2351</v>
      </c>
      <c r="C168" s="127" t="s">
        <v>2238</v>
      </c>
      <c r="D168" s="127" t="s">
        <v>70</v>
      </c>
      <c r="E168" t="s">
        <v>6328</v>
      </c>
      <c r="F168">
        <v>0</v>
      </c>
      <c r="G168">
        <v>0.33333333333333331</v>
      </c>
      <c r="H168">
        <v>165</v>
      </c>
    </row>
    <row r="169" spans="1:8" x14ac:dyDescent="0.2">
      <c r="A169" s="127" t="s">
        <v>5778</v>
      </c>
      <c r="B169" s="127" t="s">
        <v>2351</v>
      </c>
      <c r="C169" s="127" t="s">
        <v>2238</v>
      </c>
      <c r="D169" s="127" t="s">
        <v>72</v>
      </c>
      <c r="E169" t="s">
        <v>6329</v>
      </c>
      <c r="F169">
        <v>369</v>
      </c>
      <c r="G169">
        <v>0.66666666666666663</v>
      </c>
      <c r="H169">
        <v>160.5</v>
      </c>
    </row>
    <row r="170" spans="1:8" x14ac:dyDescent="0.2">
      <c r="A170" s="127" t="s">
        <v>5787</v>
      </c>
      <c r="B170" s="127" t="s">
        <v>2318</v>
      </c>
      <c r="C170" s="127" t="s">
        <v>2238</v>
      </c>
      <c r="D170" s="127" t="s">
        <v>70</v>
      </c>
      <c r="E170" t="s">
        <v>6330</v>
      </c>
      <c r="F170">
        <v>0</v>
      </c>
      <c r="G170">
        <v>0.33333333333333331</v>
      </c>
      <c r="H170">
        <v>114</v>
      </c>
    </row>
    <row r="171" spans="1:8" x14ac:dyDescent="0.2">
      <c r="A171" s="127" t="s">
        <v>5788</v>
      </c>
      <c r="B171" s="127" t="s">
        <v>2298</v>
      </c>
      <c r="C171" s="127" t="s">
        <v>2238</v>
      </c>
      <c r="D171" s="127" t="s">
        <v>8</v>
      </c>
    </row>
    <row r="172" spans="1:8" x14ac:dyDescent="0.2">
      <c r="A172" s="127" t="s">
        <v>5788</v>
      </c>
      <c r="B172" s="127" t="s">
        <v>2298</v>
      </c>
      <c r="C172" s="127" t="s">
        <v>2238</v>
      </c>
      <c r="D172" s="127" t="s">
        <v>70</v>
      </c>
      <c r="E172" t="s">
        <v>7535</v>
      </c>
    </row>
    <row r="173" spans="1:8" x14ac:dyDescent="0.2">
      <c r="A173" s="127" t="s">
        <v>5788</v>
      </c>
      <c r="B173" s="127" t="s">
        <v>2298</v>
      </c>
      <c r="C173" s="127" t="s">
        <v>2238</v>
      </c>
      <c r="D173" s="127" t="s">
        <v>72</v>
      </c>
      <c r="E173" t="s">
        <v>6331</v>
      </c>
      <c r="F173">
        <v>1540</v>
      </c>
      <c r="G173">
        <v>1.3333333333333333</v>
      </c>
      <c r="H173">
        <v>2.25</v>
      </c>
    </row>
    <row r="174" spans="1:8" x14ac:dyDescent="0.2">
      <c r="A174" s="127" t="s">
        <v>5736</v>
      </c>
      <c r="B174" s="127" t="s">
        <v>2347</v>
      </c>
      <c r="C174" s="127" t="s">
        <v>2238</v>
      </c>
      <c r="D174" s="127" t="s">
        <v>8</v>
      </c>
      <c r="G174">
        <v>1.1666666666666667</v>
      </c>
      <c r="H174">
        <v>50.571428571428569</v>
      </c>
    </row>
    <row r="175" spans="1:8" x14ac:dyDescent="0.2">
      <c r="A175" s="127" t="s">
        <v>5736</v>
      </c>
      <c r="B175" s="127" t="s">
        <v>2347</v>
      </c>
      <c r="C175" s="127" t="s">
        <v>2238</v>
      </c>
      <c r="D175" s="127" t="s">
        <v>70</v>
      </c>
      <c r="E175" t="s">
        <v>6332</v>
      </c>
      <c r="F175">
        <v>0</v>
      </c>
      <c r="G175">
        <v>1.8333333333333333</v>
      </c>
      <c r="H175">
        <v>26.727272727272727</v>
      </c>
    </row>
    <row r="176" spans="1:8" x14ac:dyDescent="0.2">
      <c r="A176" s="127" t="s">
        <v>5736</v>
      </c>
      <c r="B176" s="127" t="s">
        <v>2347</v>
      </c>
      <c r="C176" s="127" t="s">
        <v>2238</v>
      </c>
      <c r="D176" s="127" t="s">
        <v>70</v>
      </c>
      <c r="E176" t="s">
        <v>6333</v>
      </c>
    </row>
    <row r="177" spans="1:8" x14ac:dyDescent="0.2">
      <c r="A177" s="127" t="s">
        <v>5736</v>
      </c>
      <c r="B177" s="127" t="s">
        <v>2347</v>
      </c>
      <c r="C177" s="127" t="s">
        <v>2238</v>
      </c>
      <c r="D177" s="127" t="s">
        <v>72</v>
      </c>
      <c r="E177" t="s">
        <v>6334</v>
      </c>
      <c r="F177">
        <v>0</v>
      </c>
      <c r="G177">
        <v>2.1666666666666665</v>
      </c>
      <c r="H177">
        <v>19.384615384615387</v>
      </c>
    </row>
    <row r="178" spans="1:8" x14ac:dyDescent="0.2">
      <c r="A178" s="127" t="s">
        <v>5734</v>
      </c>
      <c r="B178" s="127" t="s">
        <v>2336</v>
      </c>
      <c r="C178" s="127" t="s">
        <v>2238</v>
      </c>
      <c r="D178" s="127" t="s">
        <v>8</v>
      </c>
      <c r="F178">
        <v>4960</v>
      </c>
      <c r="G178">
        <v>8</v>
      </c>
      <c r="H178">
        <v>5.875</v>
      </c>
    </row>
    <row r="179" spans="1:8" x14ac:dyDescent="0.2">
      <c r="A179" s="127" t="s">
        <v>5734</v>
      </c>
      <c r="B179" s="127" t="s">
        <v>2336</v>
      </c>
      <c r="C179" s="127" t="s">
        <v>2238</v>
      </c>
      <c r="D179" s="127" t="s">
        <v>70</v>
      </c>
      <c r="E179" t="s">
        <v>6335</v>
      </c>
      <c r="F179">
        <v>14880</v>
      </c>
      <c r="G179">
        <v>12.666666666666666</v>
      </c>
      <c r="H179">
        <v>9</v>
      </c>
    </row>
    <row r="180" spans="1:8" x14ac:dyDescent="0.2">
      <c r="A180" s="127" t="s">
        <v>5734</v>
      </c>
      <c r="B180" s="127" t="s">
        <v>2336</v>
      </c>
      <c r="C180" s="127" t="s">
        <v>2238</v>
      </c>
      <c r="D180" s="127" t="s">
        <v>72</v>
      </c>
      <c r="E180" t="s">
        <v>6336</v>
      </c>
      <c r="F180">
        <v>9920</v>
      </c>
      <c r="G180">
        <v>3.8333333333333335</v>
      </c>
      <c r="H180">
        <v>13.826086956521738</v>
      </c>
    </row>
    <row r="181" spans="1:8" x14ac:dyDescent="0.2">
      <c r="A181" s="127" t="s">
        <v>5734</v>
      </c>
      <c r="B181" s="127" t="s">
        <v>2336</v>
      </c>
      <c r="C181" s="127" t="s">
        <v>2238</v>
      </c>
      <c r="D181" s="127" t="s">
        <v>72</v>
      </c>
      <c r="E181" t="s">
        <v>7536</v>
      </c>
      <c r="F181">
        <v>0</v>
      </c>
      <c r="G181">
        <v>0</v>
      </c>
      <c r="H181">
        <v>0</v>
      </c>
    </row>
    <row r="182" spans="1:8" x14ac:dyDescent="0.2">
      <c r="A182" s="127" t="s">
        <v>5774</v>
      </c>
      <c r="B182" s="127" t="s">
        <v>2322</v>
      </c>
      <c r="C182" s="127" t="s">
        <v>2238</v>
      </c>
      <c r="D182" s="127" t="s">
        <v>8</v>
      </c>
      <c r="F182">
        <v>2100</v>
      </c>
      <c r="G182">
        <v>2.1666666666666665</v>
      </c>
      <c r="H182">
        <v>25.384615384615387</v>
      </c>
    </row>
    <row r="183" spans="1:8" x14ac:dyDescent="0.2">
      <c r="A183" s="127" t="s">
        <v>5774</v>
      </c>
      <c r="B183" s="127" t="s">
        <v>2322</v>
      </c>
      <c r="C183" s="127" t="s">
        <v>2238</v>
      </c>
      <c r="D183" s="127" t="s">
        <v>70</v>
      </c>
      <c r="E183" t="s">
        <v>6337</v>
      </c>
      <c r="F183">
        <v>9100</v>
      </c>
      <c r="G183">
        <v>6.166666666666667</v>
      </c>
      <c r="H183">
        <v>8.5945945945945947</v>
      </c>
    </row>
    <row r="184" spans="1:8" x14ac:dyDescent="0.2">
      <c r="A184" s="127" t="s">
        <v>5774</v>
      </c>
      <c r="B184" s="127" t="s">
        <v>2322</v>
      </c>
      <c r="C184" s="127" t="s">
        <v>2238</v>
      </c>
      <c r="D184" s="127" t="s">
        <v>72</v>
      </c>
      <c r="E184" t="s">
        <v>7537</v>
      </c>
      <c r="F184">
        <v>2100</v>
      </c>
      <c r="G184">
        <v>3</v>
      </c>
      <c r="H184">
        <v>12.333333333333334</v>
      </c>
    </row>
    <row r="185" spans="1:8" x14ac:dyDescent="0.2">
      <c r="A185" s="127" t="s">
        <v>6036</v>
      </c>
      <c r="B185" s="127" t="s">
        <v>2243</v>
      </c>
      <c r="C185" s="127" t="s">
        <v>2238</v>
      </c>
      <c r="D185" s="127" t="s">
        <v>8</v>
      </c>
      <c r="G185">
        <v>0.5</v>
      </c>
      <c r="H185">
        <v>24</v>
      </c>
    </row>
    <row r="186" spans="1:8" x14ac:dyDescent="0.2">
      <c r="A186" s="127" t="s">
        <v>5770</v>
      </c>
      <c r="B186" s="127" t="s">
        <v>2315</v>
      </c>
      <c r="C186" s="127" t="s">
        <v>2238</v>
      </c>
      <c r="D186" s="127" t="s">
        <v>70</v>
      </c>
      <c r="E186" t="s">
        <v>6338</v>
      </c>
      <c r="F186">
        <v>0</v>
      </c>
      <c r="G186">
        <v>1.3333333333333333</v>
      </c>
      <c r="H186">
        <v>35.25</v>
      </c>
    </row>
    <row r="187" spans="1:8" x14ac:dyDescent="0.2">
      <c r="A187" s="127" t="s">
        <v>5766</v>
      </c>
      <c r="B187" s="127" t="s">
        <v>2261</v>
      </c>
      <c r="C187" s="127" t="s">
        <v>2238</v>
      </c>
      <c r="D187" s="127" t="s">
        <v>70</v>
      </c>
      <c r="E187" t="s">
        <v>6339</v>
      </c>
      <c r="F187">
        <v>250</v>
      </c>
      <c r="G187">
        <v>1.5</v>
      </c>
      <c r="H187">
        <v>32</v>
      </c>
    </row>
    <row r="188" spans="1:8" x14ac:dyDescent="0.2">
      <c r="A188" s="127" t="s">
        <v>5791</v>
      </c>
      <c r="B188" s="127" t="s">
        <v>2260</v>
      </c>
      <c r="C188" s="127" t="s">
        <v>2238</v>
      </c>
      <c r="D188" s="127" t="s">
        <v>70</v>
      </c>
      <c r="E188" t="s">
        <v>6340</v>
      </c>
    </row>
    <row r="189" spans="1:8" x14ac:dyDescent="0.2">
      <c r="A189" s="127" t="s">
        <v>5760</v>
      </c>
      <c r="B189" s="127" t="s">
        <v>2306</v>
      </c>
      <c r="C189" s="127" t="s">
        <v>2238</v>
      </c>
      <c r="D189" s="127" t="s">
        <v>70</v>
      </c>
      <c r="E189" t="s">
        <v>6341</v>
      </c>
      <c r="F189">
        <v>600</v>
      </c>
      <c r="G189">
        <v>4</v>
      </c>
      <c r="H189">
        <v>12</v>
      </c>
    </row>
    <row r="190" spans="1:8" x14ac:dyDescent="0.2">
      <c r="A190" s="127" t="s">
        <v>5771</v>
      </c>
      <c r="B190" s="127" t="s">
        <v>2307</v>
      </c>
      <c r="C190" s="127" t="s">
        <v>2238</v>
      </c>
      <c r="D190" s="127" t="s">
        <v>8</v>
      </c>
      <c r="G190">
        <v>0.16666666666666666</v>
      </c>
      <c r="H190">
        <v>216</v>
      </c>
    </row>
    <row r="191" spans="1:8" x14ac:dyDescent="0.2">
      <c r="A191" s="127" t="s">
        <v>5771</v>
      </c>
      <c r="B191" s="127" t="s">
        <v>2307</v>
      </c>
      <c r="C191" s="127" t="s">
        <v>2238</v>
      </c>
      <c r="D191" s="127" t="s">
        <v>70</v>
      </c>
      <c r="E191" t="s">
        <v>6342</v>
      </c>
      <c r="F191">
        <v>106</v>
      </c>
      <c r="G191">
        <v>1.6666666666666667</v>
      </c>
      <c r="H191">
        <v>35.4</v>
      </c>
    </row>
    <row r="192" spans="1:8" x14ac:dyDescent="0.2">
      <c r="A192" s="127" t="s">
        <v>5773</v>
      </c>
      <c r="B192" s="127" t="s">
        <v>2349</v>
      </c>
      <c r="C192" s="127" t="s">
        <v>2238</v>
      </c>
      <c r="D192" s="127" t="s">
        <v>70</v>
      </c>
      <c r="E192" t="s">
        <v>6343</v>
      </c>
      <c r="F192">
        <v>0</v>
      </c>
      <c r="G192">
        <v>0.5</v>
      </c>
      <c r="H192">
        <v>4</v>
      </c>
    </row>
    <row r="193" spans="1:8" x14ac:dyDescent="0.2">
      <c r="A193" s="127" t="s">
        <v>7269</v>
      </c>
      <c r="B193" s="127" t="s">
        <v>2324</v>
      </c>
      <c r="C193" s="127" t="s">
        <v>2238</v>
      </c>
      <c r="D193" s="127" t="s">
        <v>70</v>
      </c>
      <c r="E193" t="s">
        <v>7538</v>
      </c>
      <c r="F193">
        <v>770</v>
      </c>
      <c r="G193">
        <v>0.66666666666666663</v>
      </c>
      <c r="H193">
        <v>0</v>
      </c>
    </row>
    <row r="194" spans="1:8" x14ac:dyDescent="0.2">
      <c r="A194" s="127" t="s">
        <v>5783</v>
      </c>
      <c r="B194" s="127" t="s">
        <v>2285</v>
      </c>
      <c r="C194" s="127" t="s">
        <v>2238</v>
      </c>
      <c r="D194" s="127" t="s">
        <v>8</v>
      </c>
      <c r="H194">
        <v>0</v>
      </c>
    </row>
    <row r="195" spans="1:8" x14ac:dyDescent="0.2">
      <c r="A195" s="127" t="s">
        <v>5783</v>
      </c>
      <c r="B195" s="127" t="s">
        <v>2285</v>
      </c>
      <c r="C195" s="127" t="s">
        <v>2238</v>
      </c>
      <c r="D195" s="127" t="s">
        <v>70</v>
      </c>
      <c r="E195" t="s">
        <v>6344</v>
      </c>
      <c r="F195">
        <v>1700</v>
      </c>
      <c r="G195">
        <v>2.5</v>
      </c>
      <c r="H195">
        <v>10</v>
      </c>
    </row>
    <row r="196" spans="1:8" x14ac:dyDescent="0.2">
      <c r="A196" s="127" t="s">
        <v>5783</v>
      </c>
      <c r="B196" s="127" t="s">
        <v>2285</v>
      </c>
      <c r="C196" s="127" t="s">
        <v>2238</v>
      </c>
      <c r="D196" s="127" t="s">
        <v>72</v>
      </c>
      <c r="E196" t="s">
        <v>6345</v>
      </c>
      <c r="F196">
        <v>0</v>
      </c>
      <c r="G196">
        <v>0</v>
      </c>
      <c r="H196">
        <v>0</v>
      </c>
    </row>
    <row r="197" spans="1:8" x14ac:dyDescent="0.2">
      <c r="A197" s="127" t="s">
        <v>5776</v>
      </c>
      <c r="B197" s="127" t="s">
        <v>2286</v>
      </c>
      <c r="C197" s="127" t="s">
        <v>2238</v>
      </c>
      <c r="D197" s="127" t="s">
        <v>8</v>
      </c>
      <c r="H197">
        <v>0</v>
      </c>
    </row>
    <row r="198" spans="1:8" x14ac:dyDescent="0.2">
      <c r="A198" s="127" t="s">
        <v>5776</v>
      </c>
      <c r="B198" s="127" t="s">
        <v>2286</v>
      </c>
      <c r="C198" s="127" t="s">
        <v>2238</v>
      </c>
      <c r="D198" s="127" t="s">
        <v>70</v>
      </c>
      <c r="E198" t="s">
        <v>6346</v>
      </c>
      <c r="F198">
        <v>1700</v>
      </c>
      <c r="G198">
        <v>1.1666666666666667</v>
      </c>
      <c r="H198">
        <v>12</v>
      </c>
    </row>
    <row r="199" spans="1:8" x14ac:dyDescent="0.2">
      <c r="A199" s="127" t="s">
        <v>5776</v>
      </c>
      <c r="B199" s="127" t="s">
        <v>2286</v>
      </c>
      <c r="C199" s="127" t="s">
        <v>2238</v>
      </c>
      <c r="D199" s="127" t="s">
        <v>72</v>
      </c>
      <c r="E199" t="s">
        <v>6347</v>
      </c>
      <c r="F199">
        <v>0</v>
      </c>
      <c r="G199">
        <v>0</v>
      </c>
      <c r="H199">
        <v>0</v>
      </c>
    </row>
    <row r="200" spans="1:8" x14ac:dyDescent="0.2">
      <c r="A200" s="127" t="s">
        <v>7788</v>
      </c>
      <c r="B200" s="127" t="s">
        <v>7789</v>
      </c>
      <c r="C200" s="127" t="s">
        <v>2238</v>
      </c>
      <c r="D200" s="127" t="s">
        <v>8</v>
      </c>
      <c r="H200">
        <v>0</v>
      </c>
    </row>
    <row r="201" spans="1:8" x14ac:dyDescent="0.2">
      <c r="A201" s="127" t="s">
        <v>7791</v>
      </c>
      <c r="B201" s="127" t="s">
        <v>7792</v>
      </c>
      <c r="C201" s="127" t="s">
        <v>2238</v>
      </c>
      <c r="D201" s="127" t="s">
        <v>8</v>
      </c>
      <c r="H201">
        <v>0</v>
      </c>
    </row>
    <row r="202" spans="1:8" x14ac:dyDescent="0.2">
      <c r="A202" s="127" t="s">
        <v>5802</v>
      </c>
      <c r="B202" s="127" t="s">
        <v>164</v>
      </c>
      <c r="C202" s="127" t="s">
        <v>160</v>
      </c>
      <c r="D202" s="127" t="s">
        <v>8</v>
      </c>
      <c r="H202">
        <v>0</v>
      </c>
    </row>
    <row r="203" spans="1:8" x14ac:dyDescent="0.2">
      <c r="A203" s="127" t="s">
        <v>5802</v>
      </c>
      <c r="B203" s="127" t="s">
        <v>164</v>
      </c>
      <c r="C203" s="127" t="s">
        <v>160</v>
      </c>
      <c r="D203" s="127" t="s">
        <v>70</v>
      </c>
      <c r="E203" t="s">
        <v>6348</v>
      </c>
      <c r="F203">
        <v>0</v>
      </c>
      <c r="G203">
        <v>0</v>
      </c>
      <c r="H203">
        <v>0</v>
      </c>
    </row>
    <row r="204" spans="1:8" x14ac:dyDescent="0.2">
      <c r="A204" s="127" t="s">
        <v>5802</v>
      </c>
      <c r="B204" s="127" t="s">
        <v>164</v>
      </c>
      <c r="C204" s="127" t="s">
        <v>160</v>
      </c>
      <c r="D204" s="127" t="s">
        <v>72</v>
      </c>
      <c r="E204" t="s">
        <v>6349</v>
      </c>
      <c r="F204">
        <v>0</v>
      </c>
      <c r="G204">
        <v>0</v>
      </c>
      <c r="H204">
        <v>0</v>
      </c>
    </row>
    <row r="205" spans="1:8" x14ac:dyDescent="0.2">
      <c r="A205" s="127" t="s">
        <v>5794</v>
      </c>
      <c r="B205" s="127" t="s">
        <v>162</v>
      </c>
      <c r="C205" s="127" t="s">
        <v>160</v>
      </c>
      <c r="D205" s="127" t="s">
        <v>8</v>
      </c>
      <c r="G205">
        <v>0</v>
      </c>
      <c r="H205">
        <v>0</v>
      </c>
    </row>
    <row r="206" spans="1:8" x14ac:dyDescent="0.2">
      <c r="A206" s="127" t="s">
        <v>5794</v>
      </c>
      <c r="B206" s="127" t="s">
        <v>162</v>
      </c>
      <c r="C206" s="127" t="s">
        <v>160</v>
      </c>
      <c r="D206" s="127" t="s">
        <v>70</v>
      </c>
      <c r="E206" t="s">
        <v>6350</v>
      </c>
      <c r="F206">
        <v>0</v>
      </c>
      <c r="G206">
        <v>0</v>
      </c>
      <c r="H206">
        <v>0</v>
      </c>
    </row>
    <row r="207" spans="1:8" x14ac:dyDescent="0.2">
      <c r="A207" s="127" t="s">
        <v>5794</v>
      </c>
      <c r="B207" s="127" t="s">
        <v>162</v>
      </c>
      <c r="C207" s="127" t="s">
        <v>160</v>
      </c>
      <c r="D207" s="127" t="s">
        <v>72</v>
      </c>
      <c r="E207" t="s">
        <v>6351</v>
      </c>
      <c r="F207">
        <v>0</v>
      </c>
      <c r="G207">
        <v>0</v>
      </c>
      <c r="H207">
        <v>0</v>
      </c>
    </row>
    <row r="208" spans="1:8" x14ac:dyDescent="0.2">
      <c r="A208" s="127" t="s">
        <v>5790</v>
      </c>
      <c r="B208" s="127" t="s">
        <v>163</v>
      </c>
      <c r="C208" s="127" t="s">
        <v>160</v>
      </c>
      <c r="D208" s="127" t="s">
        <v>8</v>
      </c>
      <c r="H208">
        <v>0</v>
      </c>
    </row>
    <row r="209" spans="1:8" x14ac:dyDescent="0.2">
      <c r="A209" s="127" t="s">
        <v>5790</v>
      </c>
      <c r="B209" s="127" t="s">
        <v>163</v>
      </c>
      <c r="C209" s="127" t="s">
        <v>160</v>
      </c>
      <c r="D209" s="127" t="s">
        <v>70</v>
      </c>
      <c r="E209" t="s">
        <v>6352</v>
      </c>
      <c r="F209">
        <v>0</v>
      </c>
      <c r="G209">
        <v>0</v>
      </c>
      <c r="H209">
        <v>0</v>
      </c>
    </row>
    <row r="210" spans="1:8" x14ac:dyDescent="0.2">
      <c r="A210" s="127" t="s">
        <v>5790</v>
      </c>
      <c r="B210" s="127" t="s">
        <v>163</v>
      </c>
      <c r="C210" s="127" t="s">
        <v>160</v>
      </c>
      <c r="D210" s="127" t="s">
        <v>72</v>
      </c>
      <c r="E210" t="s">
        <v>6353</v>
      </c>
      <c r="F210">
        <v>0</v>
      </c>
      <c r="G210">
        <v>0</v>
      </c>
      <c r="H210">
        <v>0</v>
      </c>
    </row>
    <row r="211" spans="1:8" x14ac:dyDescent="0.2">
      <c r="A211" s="127" t="s">
        <v>5634</v>
      </c>
      <c r="B211" s="127" t="s">
        <v>5635</v>
      </c>
      <c r="C211" s="127" t="s">
        <v>3182</v>
      </c>
      <c r="D211" s="127" t="s">
        <v>72</v>
      </c>
      <c r="E211" t="s">
        <v>6354</v>
      </c>
    </row>
    <row r="212" spans="1:8" x14ac:dyDescent="0.2">
      <c r="A212" s="127" t="s">
        <v>3589</v>
      </c>
      <c r="B212" s="127" t="s">
        <v>3590</v>
      </c>
      <c r="C212" s="127" t="s">
        <v>3582</v>
      </c>
      <c r="D212" s="127" t="s">
        <v>8</v>
      </c>
    </row>
    <row r="213" spans="1:8" x14ac:dyDescent="0.2">
      <c r="A213" s="127" t="s">
        <v>3589</v>
      </c>
      <c r="B213" s="127" t="s">
        <v>3590</v>
      </c>
      <c r="C213" s="127" t="s">
        <v>3582</v>
      </c>
      <c r="D213" s="127" t="s">
        <v>73</v>
      </c>
    </row>
    <row r="214" spans="1:8" x14ac:dyDescent="0.2">
      <c r="A214" s="127" t="s">
        <v>3587</v>
      </c>
      <c r="B214" s="127" t="s">
        <v>3588</v>
      </c>
      <c r="C214" s="127" t="s">
        <v>3582</v>
      </c>
      <c r="D214" s="127" t="s">
        <v>8</v>
      </c>
    </row>
    <row r="215" spans="1:8" x14ac:dyDescent="0.2">
      <c r="A215" s="127" t="s">
        <v>3587</v>
      </c>
      <c r="B215" s="127" t="s">
        <v>3588</v>
      </c>
      <c r="C215" s="127" t="s">
        <v>3582</v>
      </c>
      <c r="D215" s="127" t="s">
        <v>72</v>
      </c>
      <c r="E215" t="s">
        <v>6355</v>
      </c>
      <c r="F215">
        <v>0</v>
      </c>
      <c r="G215">
        <v>0</v>
      </c>
      <c r="H215">
        <v>0</v>
      </c>
    </row>
    <row r="216" spans="1:8" x14ac:dyDescent="0.2">
      <c r="A216" s="127" t="s">
        <v>3587</v>
      </c>
      <c r="B216" s="127" t="s">
        <v>3588</v>
      </c>
      <c r="C216" s="127" t="s">
        <v>3582</v>
      </c>
      <c r="D216" s="127" t="s">
        <v>72</v>
      </c>
      <c r="E216" t="s">
        <v>6356</v>
      </c>
    </row>
    <row r="217" spans="1:8" x14ac:dyDescent="0.2">
      <c r="A217" s="127" t="s">
        <v>3585</v>
      </c>
      <c r="B217" s="127" t="s">
        <v>3586</v>
      </c>
      <c r="C217" s="127" t="s">
        <v>3582</v>
      </c>
      <c r="D217" s="127" t="s">
        <v>8</v>
      </c>
    </row>
    <row r="218" spans="1:8" x14ac:dyDescent="0.2">
      <c r="A218" s="127" t="s">
        <v>3585</v>
      </c>
      <c r="B218" s="127" t="s">
        <v>3586</v>
      </c>
      <c r="C218" s="127" t="s">
        <v>3582</v>
      </c>
      <c r="D218" s="127" t="s">
        <v>70</v>
      </c>
      <c r="E218" t="s">
        <v>6357</v>
      </c>
    </row>
    <row r="219" spans="1:8" x14ac:dyDescent="0.2">
      <c r="A219" s="127" t="s">
        <v>3585</v>
      </c>
      <c r="B219" s="127" t="s">
        <v>3586</v>
      </c>
      <c r="C219" s="127" t="s">
        <v>3582</v>
      </c>
      <c r="D219" s="127" t="s">
        <v>72</v>
      </c>
      <c r="E219" t="s">
        <v>6358</v>
      </c>
      <c r="F219">
        <v>0</v>
      </c>
      <c r="G219">
        <v>0</v>
      </c>
      <c r="H219">
        <v>0</v>
      </c>
    </row>
    <row r="220" spans="1:8" x14ac:dyDescent="0.2">
      <c r="A220" s="127" t="s">
        <v>3595</v>
      </c>
      <c r="B220" s="127" t="s">
        <v>3596</v>
      </c>
      <c r="C220" s="127" t="s">
        <v>3582</v>
      </c>
      <c r="D220" s="127" t="s">
        <v>73</v>
      </c>
    </row>
    <row r="221" spans="1:8" x14ac:dyDescent="0.2">
      <c r="A221" s="127" t="s">
        <v>3583</v>
      </c>
      <c r="B221" s="127" t="s">
        <v>3584</v>
      </c>
      <c r="C221" s="127" t="s">
        <v>3582</v>
      </c>
      <c r="D221" s="127" t="s">
        <v>8</v>
      </c>
      <c r="H221">
        <v>0</v>
      </c>
    </row>
    <row r="222" spans="1:8" x14ac:dyDescent="0.2">
      <c r="A222" s="127" t="s">
        <v>5431</v>
      </c>
      <c r="B222" s="127" t="s">
        <v>5432</v>
      </c>
      <c r="C222" s="127" t="s">
        <v>3582</v>
      </c>
      <c r="D222" s="127" t="s">
        <v>72</v>
      </c>
      <c r="E222" t="s">
        <v>6359</v>
      </c>
    </row>
    <row r="223" spans="1:8" x14ac:dyDescent="0.2">
      <c r="A223" s="127" t="s">
        <v>5441</v>
      </c>
      <c r="B223" s="127" t="s">
        <v>5442</v>
      </c>
      <c r="C223" s="127" t="s">
        <v>3582</v>
      </c>
      <c r="D223" s="127" t="s">
        <v>8</v>
      </c>
    </row>
    <row r="224" spans="1:8" x14ac:dyDescent="0.2">
      <c r="A224" s="127" t="s">
        <v>5441</v>
      </c>
      <c r="B224" s="127" t="s">
        <v>5442</v>
      </c>
      <c r="C224" s="127" t="s">
        <v>3582</v>
      </c>
      <c r="D224" s="127" t="s">
        <v>72</v>
      </c>
      <c r="E224" t="s">
        <v>6360</v>
      </c>
      <c r="F224">
        <v>0</v>
      </c>
      <c r="G224">
        <v>0</v>
      </c>
      <c r="H224">
        <v>0</v>
      </c>
    </row>
    <row r="225" spans="1:8" x14ac:dyDescent="0.2">
      <c r="A225" s="127" t="s">
        <v>5419</v>
      </c>
      <c r="B225" s="127" t="s">
        <v>5420</v>
      </c>
      <c r="C225" s="127" t="s">
        <v>3582</v>
      </c>
      <c r="D225" s="127" t="s">
        <v>8</v>
      </c>
    </row>
    <row r="226" spans="1:8" x14ac:dyDescent="0.2">
      <c r="A226" s="127" t="s">
        <v>5419</v>
      </c>
      <c r="B226" s="127" t="s">
        <v>5420</v>
      </c>
      <c r="C226" s="127" t="s">
        <v>3582</v>
      </c>
      <c r="D226" s="127" t="s">
        <v>73</v>
      </c>
    </row>
    <row r="227" spans="1:8" x14ac:dyDescent="0.2">
      <c r="A227" s="127" t="s">
        <v>5384</v>
      </c>
      <c r="B227" s="127" t="s">
        <v>5385</v>
      </c>
      <c r="C227" s="127" t="s">
        <v>3582</v>
      </c>
      <c r="D227" s="127" t="s">
        <v>8</v>
      </c>
    </row>
    <row r="228" spans="1:8" x14ac:dyDescent="0.2">
      <c r="A228" s="127" t="s">
        <v>5382</v>
      </c>
      <c r="B228" s="127" t="s">
        <v>5383</v>
      </c>
      <c r="C228" s="127" t="s">
        <v>3582</v>
      </c>
      <c r="D228" s="127" t="s">
        <v>8</v>
      </c>
    </row>
    <row r="229" spans="1:8" x14ac:dyDescent="0.2">
      <c r="A229" s="127" t="s">
        <v>5413</v>
      </c>
      <c r="B229" s="127" t="s">
        <v>5414</v>
      </c>
      <c r="C229" s="127" t="s">
        <v>3582</v>
      </c>
      <c r="D229" s="127" t="s">
        <v>72</v>
      </c>
      <c r="E229" t="s">
        <v>6361</v>
      </c>
    </row>
    <row r="230" spans="1:8" x14ac:dyDescent="0.2">
      <c r="A230" s="127" t="s">
        <v>4296</v>
      </c>
      <c r="B230" s="127" t="s">
        <v>4297</v>
      </c>
      <c r="C230" s="127" t="s">
        <v>4283</v>
      </c>
      <c r="D230" s="127" t="s">
        <v>73</v>
      </c>
      <c r="F230">
        <v>430</v>
      </c>
      <c r="G230">
        <v>1</v>
      </c>
      <c r="H230">
        <v>8</v>
      </c>
    </row>
    <row r="231" spans="1:8" x14ac:dyDescent="0.2">
      <c r="A231" s="127" t="s">
        <v>4300</v>
      </c>
      <c r="B231" s="127" t="s">
        <v>4301</v>
      </c>
      <c r="C231" s="127" t="s">
        <v>4283</v>
      </c>
      <c r="D231" s="127" t="s">
        <v>72</v>
      </c>
      <c r="E231" t="s">
        <v>6362</v>
      </c>
    </row>
    <row r="232" spans="1:8" x14ac:dyDescent="0.2">
      <c r="A232" s="127" t="s">
        <v>4300</v>
      </c>
      <c r="B232" s="127" t="s">
        <v>4301</v>
      </c>
      <c r="C232" s="127" t="s">
        <v>4283</v>
      </c>
      <c r="D232" s="127" t="s">
        <v>73</v>
      </c>
    </row>
    <row r="233" spans="1:8" x14ac:dyDescent="0.2">
      <c r="A233" s="127" t="s">
        <v>4340</v>
      </c>
      <c r="B233" s="127" t="s">
        <v>4341</v>
      </c>
      <c r="C233" s="127" t="s">
        <v>4283</v>
      </c>
      <c r="D233" s="127" t="s">
        <v>73</v>
      </c>
      <c r="F233">
        <v>0</v>
      </c>
      <c r="G233">
        <v>0</v>
      </c>
      <c r="H233">
        <v>0</v>
      </c>
    </row>
    <row r="234" spans="1:8" x14ac:dyDescent="0.2">
      <c r="A234" s="127" t="s">
        <v>4336</v>
      </c>
      <c r="B234" s="127" t="s">
        <v>4337</v>
      </c>
      <c r="C234" s="127" t="s">
        <v>4283</v>
      </c>
      <c r="D234" s="127" t="s">
        <v>73</v>
      </c>
    </row>
    <row r="235" spans="1:8" x14ac:dyDescent="0.2">
      <c r="A235" s="127" t="s">
        <v>4316</v>
      </c>
      <c r="B235" s="127" t="s">
        <v>4317</v>
      </c>
      <c r="C235" s="127" t="s">
        <v>4283</v>
      </c>
      <c r="D235" s="127" t="s">
        <v>73</v>
      </c>
      <c r="F235">
        <v>1000</v>
      </c>
      <c r="G235">
        <v>0.66666666666666663</v>
      </c>
      <c r="H235">
        <v>0</v>
      </c>
    </row>
    <row r="236" spans="1:8" x14ac:dyDescent="0.2">
      <c r="A236" s="127" t="s">
        <v>4322</v>
      </c>
      <c r="B236" s="127" t="s">
        <v>4323</v>
      </c>
      <c r="C236" s="127" t="s">
        <v>4283</v>
      </c>
      <c r="D236" s="127" t="s">
        <v>73</v>
      </c>
      <c r="F236">
        <v>0</v>
      </c>
      <c r="G236">
        <v>0</v>
      </c>
      <c r="H236">
        <v>0</v>
      </c>
    </row>
    <row r="237" spans="1:8" x14ac:dyDescent="0.2">
      <c r="A237" s="127" t="s">
        <v>4318</v>
      </c>
      <c r="B237" s="127" t="s">
        <v>4319</v>
      </c>
      <c r="C237" s="127" t="s">
        <v>4283</v>
      </c>
      <c r="D237" s="127" t="s">
        <v>73</v>
      </c>
      <c r="F237">
        <v>0</v>
      </c>
      <c r="G237">
        <v>0</v>
      </c>
      <c r="H237">
        <v>0</v>
      </c>
    </row>
    <row r="238" spans="1:8" x14ac:dyDescent="0.2">
      <c r="A238" s="127" t="s">
        <v>4308</v>
      </c>
      <c r="B238" s="127" t="s">
        <v>4309</v>
      </c>
      <c r="C238" s="127" t="s">
        <v>4283</v>
      </c>
      <c r="D238" s="127" t="s">
        <v>72</v>
      </c>
      <c r="E238" t="s">
        <v>6363</v>
      </c>
    </row>
    <row r="239" spans="1:8" x14ac:dyDescent="0.2">
      <c r="A239" s="127" t="s">
        <v>5632</v>
      </c>
      <c r="B239" s="127" t="s">
        <v>5633</v>
      </c>
      <c r="C239" s="127" t="s">
        <v>3188</v>
      </c>
      <c r="D239" s="127" t="s">
        <v>70</v>
      </c>
      <c r="E239" t="s">
        <v>6364</v>
      </c>
    </row>
    <row r="240" spans="1:8" x14ac:dyDescent="0.2">
      <c r="A240" s="127" t="s">
        <v>5373</v>
      </c>
      <c r="B240" s="127" t="s">
        <v>5374</v>
      </c>
      <c r="C240" s="127" t="s">
        <v>3188</v>
      </c>
      <c r="D240" s="127" t="s">
        <v>70</v>
      </c>
      <c r="E240" t="s">
        <v>6365</v>
      </c>
      <c r="F240">
        <v>0</v>
      </c>
      <c r="G240">
        <v>0</v>
      </c>
      <c r="H240">
        <v>0</v>
      </c>
    </row>
    <row r="241" spans="1:8" x14ac:dyDescent="0.2">
      <c r="A241" s="127" t="s">
        <v>5373</v>
      </c>
      <c r="B241" s="127" t="s">
        <v>5374</v>
      </c>
      <c r="C241" s="127" t="s">
        <v>3188</v>
      </c>
      <c r="D241" s="127" t="s">
        <v>72</v>
      </c>
      <c r="E241" t="s">
        <v>6366</v>
      </c>
    </row>
    <row r="242" spans="1:8" x14ac:dyDescent="0.2">
      <c r="A242" s="127" t="s">
        <v>426</v>
      </c>
      <c r="B242" s="127" t="s">
        <v>427</v>
      </c>
      <c r="C242" s="127" t="s">
        <v>307</v>
      </c>
      <c r="D242" s="127" t="s">
        <v>73</v>
      </c>
    </row>
    <row r="243" spans="1:8" x14ac:dyDescent="0.2">
      <c r="A243" s="127" t="s">
        <v>428</v>
      </c>
      <c r="B243" s="127" t="s">
        <v>429</v>
      </c>
      <c r="C243" s="127" t="s">
        <v>307</v>
      </c>
      <c r="D243" s="127" t="s">
        <v>73</v>
      </c>
    </row>
    <row r="244" spans="1:8" x14ac:dyDescent="0.2">
      <c r="A244" s="127" t="s">
        <v>430</v>
      </c>
      <c r="B244" s="127" t="s">
        <v>431</v>
      </c>
      <c r="C244" s="127" t="s">
        <v>307</v>
      </c>
      <c r="D244" s="127" t="s">
        <v>73</v>
      </c>
    </row>
    <row r="245" spans="1:8" x14ac:dyDescent="0.2">
      <c r="A245" s="127" t="s">
        <v>388</v>
      </c>
      <c r="B245" s="127" t="s">
        <v>389</v>
      </c>
      <c r="C245" s="127" t="s">
        <v>307</v>
      </c>
      <c r="D245" s="127" t="s">
        <v>73</v>
      </c>
    </row>
    <row r="246" spans="1:8" x14ac:dyDescent="0.2">
      <c r="A246" s="127" t="s">
        <v>346</v>
      </c>
      <c r="B246" s="127" t="s">
        <v>347</v>
      </c>
      <c r="C246" s="127" t="s">
        <v>307</v>
      </c>
      <c r="D246" s="127" t="s">
        <v>73</v>
      </c>
    </row>
    <row r="247" spans="1:8" x14ac:dyDescent="0.2">
      <c r="A247" s="127" t="s">
        <v>384</v>
      </c>
      <c r="B247" s="127" t="s">
        <v>385</v>
      </c>
      <c r="C247" s="127" t="s">
        <v>307</v>
      </c>
      <c r="D247" s="127" t="s">
        <v>73</v>
      </c>
    </row>
    <row r="248" spans="1:8" x14ac:dyDescent="0.2">
      <c r="A248" s="127" t="s">
        <v>5284</v>
      </c>
      <c r="B248" s="127" t="s">
        <v>5285</v>
      </c>
      <c r="C248" s="127" t="s">
        <v>4283</v>
      </c>
      <c r="D248" s="127" t="s">
        <v>73</v>
      </c>
    </row>
    <row r="249" spans="1:8" x14ac:dyDescent="0.2">
      <c r="A249" s="127" t="s">
        <v>5282</v>
      </c>
      <c r="B249" s="127" t="s">
        <v>5283</v>
      </c>
      <c r="C249" s="127" t="s">
        <v>4283</v>
      </c>
      <c r="D249" s="127" t="s">
        <v>73</v>
      </c>
    </row>
    <row r="250" spans="1:8" x14ac:dyDescent="0.2">
      <c r="A250" s="127" t="s">
        <v>5276</v>
      </c>
      <c r="B250" s="127" t="s">
        <v>5277</v>
      </c>
      <c r="C250" s="127" t="s">
        <v>4283</v>
      </c>
      <c r="D250" s="127" t="s">
        <v>73</v>
      </c>
    </row>
    <row r="251" spans="1:8" x14ac:dyDescent="0.2">
      <c r="A251" s="127" t="s">
        <v>5666</v>
      </c>
      <c r="B251" s="127" t="s">
        <v>5667</v>
      </c>
      <c r="C251" s="127" t="s">
        <v>95</v>
      </c>
      <c r="D251" s="127" t="s">
        <v>72</v>
      </c>
      <c r="E251" t="s">
        <v>6367</v>
      </c>
    </row>
    <row r="252" spans="1:8" x14ac:dyDescent="0.2">
      <c r="A252" s="127" t="s">
        <v>6368</v>
      </c>
      <c r="B252" s="127" t="s">
        <v>6369</v>
      </c>
      <c r="C252" s="127" t="s">
        <v>95</v>
      </c>
      <c r="D252" s="127" t="s">
        <v>72</v>
      </c>
      <c r="E252" t="s">
        <v>6370</v>
      </c>
    </row>
    <row r="253" spans="1:8" x14ac:dyDescent="0.2">
      <c r="A253" s="127" t="s">
        <v>5803</v>
      </c>
      <c r="B253" s="127" t="s">
        <v>5804</v>
      </c>
      <c r="C253" s="127" t="s">
        <v>95</v>
      </c>
      <c r="D253" s="127" t="s">
        <v>72</v>
      </c>
      <c r="E253" t="s">
        <v>6371</v>
      </c>
    </row>
    <row r="254" spans="1:8" x14ac:dyDescent="0.2">
      <c r="A254" s="127" t="s">
        <v>110</v>
      </c>
      <c r="B254" s="127" t="s">
        <v>111</v>
      </c>
      <c r="C254" s="127" t="s">
        <v>95</v>
      </c>
      <c r="D254" s="127" t="s">
        <v>8</v>
      </c>
      <c r="F254">
        <v>215</v>
      </c>
      <c r="G254">
        <v>7.5</v>
      </c>
      <c r="H254">
        <v>5.333333333333333</v>
      </c>
    </row>
    <row r="255" spans="1:8" x14ac:dyDescent="0.2">
      <c r="A255" s="127" t="s">
        <v>110</v>
      </c>
      <c r="B255" s="127" t="s">
        <v>111</v>
      </c>
      <c r="C255" s="127" t="s">
        <v>95</v>
      </c>
      <c r="D255" s="127" t="s">
        <v>72</v>
      </c>
      <c r="E255" t="s">
        <v>6372</v>
      </c>
      <c r="F255">
        <v>301</v>
      </c>
      <c r="G255">
        <v>12.166666666666666</v>
      </c>
      <c r="H255">
        <v>2.0547945205479454</v>
      </c>
    </row>
    <row r="256" spans="1:8" x14ac:dyDescent="0.2">
      <c r="A256" s="127" t="s">
        <v>110</v>
      </c>
      <c r="B256" s="127" t="s">
        <v>111</v>
      </c>
      <c r="C256" s="127" t="s">
        <v>95</v>
      </c>
      <c r="D256" s="127" t="s">
        <v>73</v>
      </c>
      <c r="F256">
        <v>688</v>
      </c>
      <c r="G256">
        <v>18.5</v>
      </c>
      <c r="H256">
        <v>2.0540540540540539</v>
      </c>
    </row>
    <row r="257" spans="1:8" x14ac:dyDescent="0.2">
      <c r="A257" s="127" t="s">
        <v>103</v>
      </c>
      <c r="B257" s="127" t="s">
        <v>104</v>
      </c>
      <c r="C257" s="127" t="s">
        <v>95</v>
      </c>
      <c r="D257" s="127" t="s">
        <v>8</v>
      </c>
      <c r="F257">
        <v>120</v>
      </c>
      <c r="G257">
        <v>5.666666666666667</v>
      </c>
      <c r="H257">
        <v>10.235294117647058</v>
      </c>
    </row>
    <row r="258" spans="1:8" x14ac:dyDescent="0.2">
      <c r="A258" s="127" t="s">
        <v>103</v>
      </c>
      <c r="B258" s="127" t="s">
        <v>104</v>
      </c>
      <c r="C258" s="127" t="s">
        <v>95</v>
      </c>
      <c r="D258" s="127" t="s">
        <v>72</v>
      </c>
      <c r="E258" t="s">
        <v>6373</v>
      </c>
      <c r="F258">
        <v>540</v>
      </c>
      <c r="G258">
        <v>10.833333333333334</v>
      </c>
      <c r="H258">
        <v>5.0769230769230766</v>
      </c>
    </row>
    <row r="259" spans="1:8" x14ac:dyDescent="0.2">
      <c r="A259" s="127" t="s">
        <v>103</v>
      </c>
      <c r="B259" s="127" t="s">
        <v>104</v>
      </c>
      <c r="C259" s="127" t="s">
        <v>95</v>
      </c>
      <c r="D259" s="127" t="s">
        <v>73</v>
      </c>
      <c r="F259">
        <v>180</v>
      </c>
      <c r="G259">
        <v>9.3333333333333339</v>
      </c>
      <c r="H259">
        <v>15.428571428571427</v>
      </c>
    </row>
    <row r="260" spans="1:8" x14ac:dyDescent="0.2">
      <c r="A260" s="127" t="s">
        <v>106</v>
      </c>
      <c r="B260" s="127" t="s">
        <v>107</v>
      </c>
      <c r="C260" s="127" t="s">
        <v>95</v>
      </c>
      <c r="D260" s="127" t="s">
        <v>72</v>
      </c>
      <c r="E260" t="s">
        <v>6374</v>
      </c>
    </row>
    <row r="261" spans="1:8" x14ac:dyDescent="0.2">
      <c r="A261" s="127" t="s">
        <v>112</v>
      </c>
      <c r="B261" s="127" t="s">
        <v>113</v>
      </c>
      <c r="C261" s="127" t="s">
        <v>95</v>
      </c>
      <c r="D261" s="127" t="s">
        <v>72</v>
      </c>
      <c r="E261" t="s">
        <v>6375</v>
      </c>
    </row>
    <row r="262" spans="1:8" x14ac:dyDescent="0.2">
      <c r="A262" s="127" t="s">
        <v>5664</v>
      </c>
      <c r="B262" s="127" t="s">
        <v>5665</v>
      </c>
      <c r="C262" s="127" t="s">
        <v>95</v>
      </c>
      <c r="D262" s="127" t="s">
        <v>72</v>
      </c>
      <c r="E262" t="s">
        <v>6376</v>
      </c>
    </row>
    <row r="263" spans="1:8" x14ac:dyDescent="0.2">
      <c r="A263" s="127" t="s">
        <v>116</v>
      </c>
      <c r="B263" s="127" t="s">
        <v>117</v>
      </c>
      <c r="C263" s="127" t="s">
        <v>95</v>
      </c>
      <c r="D263" s="127" t="s">
        <v>73</v>
      </c>
    </row>
    <row r="264" spans="1:8" x14ac:dyDescent="0.2">
      <c r="A264" s="127" t="s">
        <v>122</v>
      </c>
      <c r="B264" s="127" t="s">
        <v>123</v>
      </c>
      <c r="C264" s="127" t="s">
        <v>95</v>
      </c>
      <c r="D264" s="127" t="s">
        <v>73</v>
      </c>
    </row>
    <row r="265" spans="1:8" x14ac:dyDescent="0.2">
      <c r="A265" s="127" t="s">
        <v>118</v>
      </c>
      <c r="B265" s="127" t="s">
        <v>119</v>
      </c>
      <c r="C265" s="127" t="s">
        <v>95</v>
      </c>
      <c r="D265" s="127" t="s">
        <v>8</v>
      </c>
    </row>
    <row r="266" spans="1:8" x14ac:dyDescent="0.2">
      <c r="A266" s="127" t="s">
        <v>118</v>
      </c>
      <c r="B266" s="127" t="s">
        <v>119</v>
      </c>
      <c r="C266" s="127" t="s">
        <v>95</v>
      </c>
      <c r="D266" s="127" t="s">
        <v>72</v>
      </c>
      <c r="E266" t="s">
        <v>6377</v>
      </c>
      <c r="F266">
        <v>0</v>
      </c>
      <c r="G266">
        <v>0</v>
      </c>
      <c r="H266">
        <v>0</v>
      </c>
    </row>
    <row r="267" spans="1:8" x14ac:dyDescent="0.2">
      <c r="A267" s="127" t="s">
        <v>120</v>
      </c>
      <c r="B267" s="127" t="s">
        <v>121</v>
      </c>
      <c r="C267" s="127" t="s">
        <v>95</v>
      </c>
      <c r="D267" s="127" t="s">
        <v>8</v>
      </c>
      <c r="H267">
        <v>0</v>
      </c>
    </row>
    <row r="268" spans="1:8" x14ac:dyDescent="0.2">
      <c r="A268" s="127" t="s">
        <v>120</v>
      </c>
      <c r="B268" s="127" t="s">
        <v>121</v>
      </c>
      <c r="C268" s="127" t="s">
        <v>95</v>
      </c>
      <c r="D268" s="127" t="s">
        <v>72</v>
      </c>
      <c r="E268" t="s">
        <v>6378</v>
      </c>
    </row>
    <row r="269" spans="1:8" x14ac:dyDescent="0.2">
      <c r="A269" s="127" t="s">
        <v>124</v>
      </c>
      <c r="B269" s="127" t="s">
        <v>125</v>
      </c>
      <c r="C269" s="127" t="s">
        <v>95</v>
      </c>
      <c r="D269" s="127" t="s">
        <v>8</v>
      </c>
      <c r="F269">
        <v>252</v>
      </c>
      <c r="G269">
        <v>4.333333333333333</v>
      </c>
      <c r="H269">
        <v>12.230769230769232</v>
      </c>
    </row>
    <row r="270" spans="1:8" x14ac:dyDescent="0.2">
      <c r="A270" s="127" t="s">
        <v>124</v>
      </c>
      <c r="B270" s="127" t="s">
        <v>125</v>
      </c>
      <c r="C270" s="127" t="s">
        <v>95</v>
      </c>
      <c r="D270" s="127" t="s">
        <v>72</v>
      </c>
      <c r="E270" t="s">
        <v>6379</v>
      </c>
    </row>
    <row r="271" spans="1:8" x14ac:dyDescent="0.2">
      <c r="A271" s="127" t="s">
        <v>124</v>
      </c>
      <c r="B271" s="127" t="s">
        <v>125</v>
      </c>
      <c r="C271" s="127" t="s">
        <v>95</v>
      </c>
      <c r="D271" s="127" t="s">
        <v>73</v>
      </c>
      <c r="F271">
        <v>63</v>
      </c>
      <c r="G271">
        <v>5</v>
      </c>
      <c r="H271">
        <v>14.6</v>
      </c>
    </row>
    <row r="272" spans="1:8" x14ac:dyDescent="0.2">
      <c r="A272" s="127" t="s">
        <v>141</v>
      </c>
      <c r="B272" s="127" t="s">
        <v>142</v>
      </c>
      <c r="C272" s="127" t="s">
        <v>95</v>
      </c>
      <c r="D272" s="127" t="s">
        <v>73</v>
      </c>
      <c r="F272">
        <v>0</v>
      </c>
      <c r="G272">
        <v>0</v>
      </c>
      <c r="H272">
        <v>0</v>
      </c>
    </row>
    <row r="273" spans="1:8" x14ac:dyDescent="0.2">
      <c r="A273" s="127" t="s">
        <v>145</v>
      </c>
      <c r="B273" s="127" t="s">
        <v>146</v>
      </c>
      <c r="C273" s="127" t="s">
        <v>95</v>
      </c>
      <c r="D273" s="127" t="s">
        <v>73</v>
      </c>
      <c r="F273">
        <v>0</v>
      </c>
      <c r="G273">
        <v>0.33333333333333331</v>
      </c>
      <c r="H273">
        <v>51</v>
      </c>
    </row>
    <row r="274" spans="1:8" x14ac:dyDescent="0.2">
      <c r="A274" s="127" t="s">
        <v>132</v>
      </c>
      <c r="B274" s="127" t="s">
        <v>133</v>
      </c>
      <c r="C274" s="127" t="s">
        <v>95</v>
      </c>
      <c r="D274" s="127" t="s">
        <v>73</v>
      </c>
    </row>
    <row r="275" spans="1:8" x14ac:dyDescent="0.2">
      <c r="A275" s="127" t="s">
        <v>136</v>
      </c>
      <c r="B275" s="127" t="s">
        <v>137</v>
      </c>
      <c r="C275" s="127" t="s">
        <v>95</v>
      </c>
      <c r="D275" s="127" t="s">
        <v>73</v>
      </c>
      <c r="F275">
        <v>80</v>
      </c>
      <c r="G275">
        <v>3.5</v>
      </c>
      <c r="H275">
        <v>0</v>
      </c>
    </row>
    <row r="276" spans="1:8" x14ac:dyDescent="0.2">
      <c r="A276" s="127" t="s">
        <v>134</v>
      </c>
      <c r="B276" s="127" t="s">
        <v>135</v>
      </c>
      <c r="C276" s="127" t="s">
        <v>95</v>
      </c>
      <c r="D276" s="127" t="s">
        <v>73</v>
      </c>
    </row>
    <row r="277" spans="1:8" x14ac:dyDescent="0.2">
      <c r="A277" s="127" t="s">
        <v>139</v>
      </c>
      <c r="B277" s="127" t="s">
        <v>140</v>
      </c>
      <c r="C277" s="127" t="s">
        <v>95</v>
      </c>
      <c r="D277" s="127" t="s">
        <v>73</v>
      </c>
    </row>
    <row r="278" spans="1:8" x14ac:dyDescent="0.2">
      <c r="A278" s="127" t="s">
        <v>3134</v>
      </c>
      <c r="B278" s="127" t="s">
        <v>3135</v>
      </c>
      <c r="C278" s="127" t="s">
        <v>3133</v>
      </c>
      <c r="D278" s="127" t="s">
        <v>73</v>
      </c>
    </row>
    <row r="279" spans="1:8" x14ac:dyDescent="0.2">
      <c r="A279" s="127" t="s">
        <v>3136</v>
      </c>
      <c r="B279" s="127" t="s">
        <v>3137</v>
      </c>
      <c r="C279" s="127" t="s">
        <v>3133</v>
      </c>
      <c r="D279" s="127" t="s">
        <v>73</v>
      </c>
      <c r="F279">
        <v>0</v>
      </c>
      <c r="G279">
        <v>1.3333333333333333</v>
      </c>
      <c r="H279">
        <v>14.25</v>
      </c>
    </row>
    <row r="280" spans="1:8" x14ac:dyDescent="0.2">
      <c r="A280" s="127" t="s">
        <v>3138</v>
      </c>
      <c r="B280" s="127" t="s">
        <v>3139</v>
      </c>
      <c r="C280" s="127" t="s">
        <v>3133</v>
      </c>
      <c r="D280" s="127" t="s">
        <v>73</v>
      </c>
      <c r="F280">
        <v>224</v>
      </c>
      <c r="G280">
        <v>1.3333333333333333</v>
      </c>
      <c r="H280">
        <v>0</v>
      </c>
    </row>
    <row r="281" spans="1:8" x14ac:dyDescent="0.2">
      <c r="A281" s="127" t="s">
        <v>293</v>
      </c>
      <c r="B281" s="127" t="s">
        <v>294</v>
      </c>
      <c r="C281" s="127" t="s">
        <v>288</v>
      </c>
      <c r="D281" s="127" t="s">
        <v>8</v>
      </c>
      <c r="G281">
        <v>0.5</v>
      </c>
      <c r="H281">
        <v>6</v>
      </c>
    </row>
    <row r="282" spans="1:8" x14ac:dyDescent="0.2">
      <c r="A282" s="127" t="s">
        <v>293</v>
      </c>
      <c r="B282" s="127" t="s">
        <v>294</v>
      </c>
      <c r="C282" s="127" t="s">
        <v>288</v>
      </c>
      <c r="D282" s="127" t="s">
        <v>5730</v>
      </c>
      <c r="F282">
        <v>0</v>
      </c>
      <c r="G282">
        <v>0.33333333333333331</v>
      </c>
      <c r="H282">
        <v>24</v>
      </c>
    </row>
    <row r="283" spans="1:8" x14ac:dyDescent="0.2">
      <c r="A283" s="127" t="s">
        <v>293</v>
      </c>
      <c r="B283" s="127" t="s">
        <v>294</v>
      </c>
      <c r="C283" s="127" t="s">
        <v>288</v>
      </c>
      <c r="D283" s="127" t="s">
        <v>70</v>
      </c>
      <c r="E283" t="s">
        <v>6380</v>
      </c>
    </row>
    <row r="284" spans="1:8" x14ac:dyDescent="0.2">
      <c r="A284" s="127" t="s">
        <v>293</v>
      </c>
      <c r="B284" s="127" t="s">
        <v>294</v>
      </c>
      <c r="C284" s="127" t="s">
        <v>288</v>
      </c>
      <c r="D284" s="127" t="s">
        <v>72</v>
      </c>
      <c r="E284" t="s">
        <v>6381</v>
      </c>
      <c r="F284">
        <v>0</v>
      </c>
      <c r="G284">
        <v>0</v>
      </c>
      <c r="H284">
        <v>0</v>
      </c>
    </row>
    <row r="285" spans="1:8" x14ac:dyDescent="0.2">
      <c r="A285" s="127" t="s">
        <v>293</v>
      </c>
      <c r="B285" s="127" t="s">
        <v>294</v>
      </c>
      <c r="C285" s="127" t="s">
        <v>288</v>
      </c>
      <c r="D285" s="127" t="s">
        <v>73</v>
      </c>
    </row>
    <row r="286" spans="1:8" x14ac:dyDescent="0.2">
      <c r="A286" s="127" t="s">
        <v>297</v>
      </c>
      <c r="B286" s="127" t="s">
        <v>298</v>
      </c>
      <c r="C286" s="127" t="s">
        <v>288</v>
      </c>
      <c r="D286" s="127" t="s">
        <v>8</v>
      </c>
      <c r="H286">
        <v>0</v>
      </c>
    </row>
    <row r="287" spans="1:8" x14ac:dyDescent="0.2">
      <c r="A287" s="127" t="s">
        <v>297</v>
      </c>
      <c r="B287" s="127" t="s">
        <v>298</v>
      </c>
      <c r="C287" s="127" t="s">
        <v>288</v>
      </c>
      <c r="D287" s="127" t="s">
        <v>70</v>
      </c>
      <c r="E287" t="s">
        <v>6382</v>
      </c>
    </row>
    <row r="288" spans="1:8" x14ac:dyDescent="0.2">
      <c r="A288" s="127" t="s">
        <v>297</v>
      </c>
      <c r="B288" s="127" t="s">
        <v>298</v>
      </c>
      <c r="C288" s="127" t="s">
        <v>288</v>
      </c>
      <c r="D288" s="127" t="s">
        <v>72</v>
      </c>
      <c r="E288" t="s">
        <v>6383</v>
      </c>
      <c r="F288">
        <v>0</v>
      </c>
      <c r="G288">
        <v>0</v>
      </c>
      <c r="H288">
        <v>0</v>
      </c>
    </row>
    <row r="289" spans="1:8" x14ac:dyDescent="0.2">
      <c r="A289" s="127" t="s">
        <v>297</v>
      </c>
      <c r="B289" s="127" t="s">
        <v>298</v>
      </c>
      <c r="C289" s="127" t="s">
        <v>288</v>
      </c>
      <c r="D289" s="127" t="s">
        <v>73</v>
      </c>
    </row>
    <row r="290" spans="1:8" x14ac:dyDescent="0.2">
      <c r="A290" s="127" t="s">
        <v>295</v>
      </c>
      <c r="B290" s="127" t="s">
        <v>296</v>
      </c>
      <c r="C290" s="127" t="s">
        <v>288</v>
      </c>
      <c r="D290" s="127" t="s">
        <v>8</v>
      </c>
    </row>
    <row r="291" spans="1:8" x14ac:dyDescent="0.2">
      <c r="A291" s="127" t="s">
        <v>295</v>
      </c>
      <c r="B291" s="127" t="s">
        <v>296</v>
      </c>
      <c r="C291" s="127" t="s">
        <v>288</v>
      </c>
      <c r="D291" s="127" t="s">
        <v>70</v>
      </c>
      <c r="E291" t="s">
        <v>6384</v>
      </c>
    </row>
    <row r="292" spans="1:8" x14ac:dyDescent="0.2">
      <c r="A292" s="127" t="s">
        <v>295</v>
      </c>
      <c r="B292" s="127" t="s">
        <v>296</v>
      </c>
      <c r="C292" s="127" t="s">
        <v>288</v>
      </c>
      <c r="D292" s="127" t="s">
        <v>72</v>
      </c>
      <c r="E292" t="s">
        <v>6385</v>
      </c>
    </row>
    <row r="293" spans="1:8" x14ac:dyDescent="0.2">
      <c r="A293" s="127" t="s">
        <v>295</v>
      </c>
      <c r="B293" s="127" t="s">
        <v>296</v>
      </c>
      <c r="C293" s="127" t="s">
        <v>288</v>
      </c>
      <c r="D293" s="127" t="s">
        <v>73</v>
      </c>
    </row>
    <row r="294" spans="1:8" x14ac:dyDescent="0.2">
      <c r="A294" s="127" t="s">
        <v>291</v>
      </c>
      <c r="B294" s="127" t="s">
        <v>292</v>
      </c>
      <c r="C294" s="127" t="s">
        <v>288</v>
      </c>
      <c r="D294" s="127" t="s">
        <v>8</v>
      </c>
      <c r="H294">
        <v>0</v>
      </c>
    </row>
    <row r="295" spans="1:8" x14ac:dyDescent="0.2">
      <c r="A295" s="127" t="s">
        <v>291</v>
      </c>
      <c r="B295" s="127" t="s">
        <v>292</v>
      </c>
      <c r="C295" s="127" t="s">
        <v>288</v>
      </c>
      <c r="D295" s="127" t="s">
        <v>70</v>
      </c>
      <c r="E295" t="s">
        <v>6386</v>
      </c>
      <c r="F295">
        <v>0</v>
      </c>
      <c r="G295">
        <v>-0.16666666666666666</v>
      </c>
      <c r="H295">
        <v>-12</v>
      </c>
    </row>
    <row r="296" spans="1:8" x14ac:dyDescent="0.2">
      <c r="A296" s="127" t="s">
        <v>291</v>
      </c>
      <c r="B296" s="127" t="s">
        <v>292</v>
      </c>
      <c r="C296" s="127" t="s">
        <v>288</v>
      </c>
      <c r="D296" s="127" t="s">
        <v>73</v>
      </c>
    </row>
    <row r="297" spans="1:8" x14ac:dyDescent="0.2">
      <c r="A297" s="127" t="s">
        <v>301</v>
      </c>
      <c r="B297" s="127" t="s">
        <v>302</v>
      </c>
      <c r="C297" s="127" t="s">
        <v>288</v>
      </c>
      <c r="D297" s="127" t="s">
        <v>8</v>
      </c>
      <c r="H297">
        <v>0</v>
      </c>
    </row>
    <row r="298" spans="1:8" x14ac:dyDescent="0.2">
      <c r="A298" s="127" t="s">
        <v>301</v>
      </c>
      <c r="B298" s="127" t="s">
        <v>302</v>
      </c>
      <c r="C298" s="127" t="s">
        <v>288</v>
      </c>
      <c r="D298" s="127" t="s">
        <v>70</v>
      </c>
      <c r="E298" t="s">
        <v>6387</v>
      </c>
      <c r="F298">
        <v>0</v>
      </c>
      <c r="G298">
        <v>0</v>
      </c>
      <c r="H298">
        <v>0</v>
      </c>
    </row>
    <row r="299" spans="1:8" x14ac:dyDescent="0.2">
      <c r="A299" s="127" t="s">
        <v>301</v>
      </c>
      <c r="B299" s="127" t="s">
        <v>302</v>
      </c>
      <c r="C299" s="127" t="s">
        <v>288</v>
      </c>
      <c r="D299" s="127" t="s">
        <v>73</v>
      </c>
    </row>
    <row r="300" spans="1:8" x14ac:dyDescent="0.2">
      <c r="A300" s="127" t="s">
        <v>299</v>
      </c>
      <c r="B300" s="127" t="s">
        <v>300</v>
      </c>
      <c r="C300" s="127" t="s">
        <v>288</v>
      </c>
      <c r="D300" s="127" t="s">
        <v>8</v>
      </c>
      <c r="H300">
        <v>0</v>
      </c>
    </row>
    <row r="301" spans="1:8" x14ac:dyDescent="0.2">
      <c r="A301" s="127" t="s">
        <v>299</v>
      </c>
      <c r="B301" s="127" t="s">
        <v>300</v>
      </c>
      <c r="C301" s="127" t="s">
        <v>288</v>
      </c>
      <c r="D301" s="127" t="s">
        <v>70</v>
      </c>
      <c r="E301" t="s">
        <v>6388</v>
      </c>
    </row>
    <row r="302" spans="1:8" x14ac:dyDescent="0.2">
      <c r="A302" s="127" t="s">
        <v>299</v>
      </c>
      <c r="B302" s="127" t="s">
        <v>300</v>
      </c>
      <c r="C302" s="127" t="s">
        <v>288</v>
      </c>
      <c r="D302" s="127" t="s">
        <v>72</v>
      </c>
      <c r="E302" t="s">
        <v>6389</v>
      </c>
    </row>
    <row r="303" spans="1:8" x14ac:dyDescent="0.2">
      <c r="A303" s="127" t="s">
        <v>299</v>
      </c>
      <c r="B303" s="127" t="s">
        <v>300</v>
      </c>
      <c r="C303" s="127" t="s">
        <v>288</v>
      </c>
      <c r="D303" s="127" t="s">
        <v>73</v>
      </c>
    </row>
    <row r="304" spans="1:8" x14ac:dyDescent="0.2">
      <c r="A304" s="127" t="s">
        <v>2177</v>
      </c>
      <c r="B304" s="127" t="s">
        <v>2178</v>
      </c>
      <c r="C304" s="127" t="s">
        <v>2174</v>
      </c>
      <c r="D304" s="127" t="s">
        <v>72</v>
      </c>
      <c r="E304" t="s">
        <v>6390</v>
      </c>
      <c r="F304">
        <v>0</v>
      </c>
      <c r="G304">
        <v>0</v>
      </c>
      <c r="H304">
        <v>0</v>
      </c>
    </row>
    <row r="305" spans="1:8" x14ac:dyDescent="0.2">
      <c r="A305" s="127" t="s">
        <v>5433</v>
      </c>
      <c r="B305" s="127" t="s">
        <v>5434</v>
      </c>
      <c r="C305" s="127" t="s">
        <v>904</v>
      </c>
      <c r="D305" s="127" t="s">
        <v>72</v>
      </c>
      <c r="E305" t="s">
        <v>6391</v>
      </c>
    </row>
    <row r="306" spans="1:8" x14ac:dyDescent="0.2">
      <c r="A306" s="127" t="s">
        <v>3146</v>
      </c>
      <c r="B306" s="127" t="s">
        <v>3147</v>
      </c>
      <c r="C306" s="127" t="s">
        <v>3133</v>
      </c>
      <c r="D306" s="127" t="s">
        <v>5730</v>
      </c>
    </row>
    <row r="307" spans="1:8" x14ac:dyDescent="0.2">
      <c r="A307" s="127" t="s">
        <v>912</v>
      </c>
      <c r="B307" s="127" t="s">
        <v>913</v>
      </c>
      <c r="C307" s="127" t="s">
        <v>911</v>
      </c>
      <c r="D307" s="127" t="s">
        <v>70</v>
      </c>
      <c r="E307" t="s">
        <v>6392</v>
      </c>
      <c r="F307">
        <v>0</v>
      </c>
      <c r="G307">
        <v>0</v>
      </c>
      <c r="H307">
        <v>0</v>
      </c>
    </row>
    <row r="308" spans="1:8" x14ac:dyDescent="0.2">
      <c r="A308" s="127" t="s">
        <v>944</v>
      </c>
      <c r="B308" s="127" t="s">
        <v>945</v>
      </c>
      <c r="C308" s="127" t="s">
        <v>911</v>
      </c>
      <c r="D308" s="127" t="s">
        <v>72</v>
      </c>
      <c r="E308" t="s">
        <v>6393</v>
      </c>
    </row>
    <row r="309" spans="1:8" x14ac:dyDescent="0.2">
      <c r="A309" s="127" t="s">
        <v>942</v>
      </c>
      <c r="B309" s="127" t="s">
        <v>943</v>
      </c>
      <c r="C309" s="127" t="s">
        <v>911</v>
      </c>
      <c r="D309" s="127" t="s">
        <v>72</v>
      </c>
      <c r="E309" t="s">
        <v>6394</v>
      </c>
    </row>
    <row r="310" spans="1:8" x14ac:dyDescent="0.2">
      <c r="A310" s="127" t="s">
        <v>946</v>
      </c>
      <c r="B310" s="127" t="s">
        <v>947</v>
      </c>
      <c r="C310" s="127" t="s">
        <v>911</v>
      </c>
      <c r="D310" s="127" t="s">
        <v>72</v>
      </c>
      <c r="E310" t="s">
        <v>6395</v>
      </c>
      <c r="F310">
        <v>0</v>
      </c>
      <c r="G310">
        <v>0</v>
      </c>
      <c r="H310">
        <v>0</v>
      </c>
    </row>
    <row r="311" spans="1:8" x14ac:dyDescent="0.2">
      <c r="A311" s="127" t="s">
        <v>948</v>
      </c>
      <c r="B311" s="127" t="s">
        <v>949</v>
      </c>
      <c r="C311" s="127" t="s">
        <v>911</v>
      </c>
      <c r="D311" s="127" t="s">
        <v>72</v>
      </c>
      <c r="E311" t="s">
        <v>6396</v>
      </c>
    </row>
    <row r="312" spans="1:8" x14ac:dyDescent="0.2">
      <c r="A312" s="127" t="s">
        <v>956</v>
      </c>
      <c r="B312" s="127" t="s">
        <v>957</v>
      </c>
      <c r="C312" s="127" t="s">
        <v>911</v>
      </c>
      <c r="D312" s="127" t="s">
        <v>8</v>
      </c>
    </row>
    <row r="313" spans="1:8" x14ac:dyDescent="0.2">
      <c r="A313" s="127" t="s">
        <v>956</v>
      </c>
      <c r="B313" s="127" t="s">
        <v>957</v>
      </c>
      <c r="C313" s="127" t="s">
        <v>911</v>
      </c>
      <c r="D313" s="127" t="s">
        <v>72</v>
      </c>
      <c r="E313" t="s">
        <v>6397</v>
      </c>
    </row>
    <row r="314" spans="1:8" x14ac:dyDescent="0.2">
      <c r="A314" s="127" t="s">
        <v>956</v>
      </c>
      <c r="B314" s="127" t="s">
        <v>957</v>
      </c>
      <c r="C314" s="127" t="s">
        <v>911</v>
      </c>
      <c r="D314" s="127" t="s">
        <v>73</v>
      </c>
    </row>
    <row r="315" spans="1:8" x14ac:dyDescent="0.2">
      <c r="A315" s="127" t="s">
        <v>958</v>
      </c>
      <c r="B315" s="127" t="s">
        <v>959</v>
      </c>
      <c r="C315" s="127" t="s">
        <v>911</v>
      </c>
      <c r="D315" s="127" t="s">
        <v>8</v>
      </c>
    </row>
    <row r="316" spans="1:8" x14ac:dyDescent="0.2">
      <c r="A316" s="127" t="s">
        <v>958</v>
      </c>
      <c r="B316" s="127" t="s">
        <v>959</v>
      </c>
      <c r="C316" s="127" t="s">
        <v>911</v>
      </c>
      <c r="D316" s="127" t="s">
        <v>72</v>
      </c>
      <c r="E316" t="s">
        <v>6398</v>
      </c>
    </row>
    <row r="317" spans="1:8" x14ac:dyDescent="0.2">
      <c r="A317" s="127" t="s">
        <v>958</v>
      </c>
      <c r="B317" s="127" t="s">
        <v>959</v>
      </c>
      <c r="C317" s="127" t="s">
        <v>911</v>
      </c>
      <c r="D317" s="127" t="s">
        <v>73</v>
      </c>
    </row>
    <row r="318" spans="1:8" x14ac:dyDescent="0.2">
      <c r="A318" s="127" t="s">
        <v>954</v>
      </c>
      <c r="B318" s="127" t="s">
        <v>955</v>
      </c>
      <c r="C318" s="127" t="s">
        <v>911</v>
      </c>
      <c r="D318" s="127" t="s">
        <v>8</v>
      </c>
      <c r="H318">
        <v>0</v>
      </c>
    </row>
    <row r="319" spans="1:8" x14ac:dyDescent="0.2">
      <c r="A319" s="127" t="s">
        <v>954</v>
      </c>
      <c r="B319" s="127" t="s">
        <v>955</v>
      </c>
      <c r="C319" s="127" t="s">
        <v>911</v>
      </c>
      <c r="D319" s="127" t="s">
        <v>72</v>
      </c>
      <c r="E319" t="s">
        <v>6399</v>
      </c>
      <c r="F319">
        <v>0</v>
      </c>
      <c r="G319">
        <v>0</v>
      </c>
      <c r="H319">
        <v>0</v>
      </c>
    </row>
    <row r="320" spans="1:8" x14ac:dyDescent="0.2">
      <c r="A320" s="127" t="s">
        <v>954</v>
      </c>
      <c r="B320" s="127" t="s">
        <v>955</v>
      </c>
      <c r="C320" s="127" t="s">
        <v>911</v>
      </c>
      <c r="D320" s="127" t="s">
        <v>73</v>
      </c>
    </row>
    <row r="321" spans="1:8" x14ac:dyDescent="0.2">
      <c r="A321" s="127" t="s">
        <v>918</v>
      </c>
      <c r="B321" s="127" t="s">
        <v>919</v>
      </c>
      <c r="C321" s="127" t="s">
        <v>911</v>
      </c>
      <c r="D321" s="127" t="s">
        <v>8</v>
      </c>
      <c r="H321">
        <v>0</v>
      </c>
    </row>
    <row r="322" spans="1:8" x14ac:dyDescent="0.2">
      <c r="A322" s="127" t="s">
        <v>918</v>
      </c>
      <c r="B322" s="127" t="s">
        <v>919</v>
      </c>
      <c r="C322" s="127" t="s">
        <v>911</v>
      </c>
      <c r="D322" s="127" t="s">
        <v>70</v>
      </c>
      <c r="E322" t="s">
        <v>6400</v>
      </c>
    </row>
    <row r="323" spans="1:8" x14ac:dyDescent="0.2">
      <c r="A323" s="127" t="s">
        <v>918</v>
      </c>
      <c r="B323" s="127" t="s">
        <v>919</v>
      </c>
      <c r="C323" s="127" t="s">
        <v>911</v>
      </c>
      <c r="D323" s="127" t="s">
        <v>72</v>
      </c>
      <c r="E323" t="s">
        <v>6401</v>
      </c>
      <c r="F323">
        <v>0</v>
      </c>
      <c r="G323">
        <v>0</v>
      </c>
      <c r="H323">
        <v>0</v>
      </c>
    </row>
    <row r="324" spans="1:8" x14ac:dyDescent="0.2">
      <c r="A324" s="127" t="s">
        <v>918</v>
      </c>
      <c r="B324" s="127" t="s">
        <v>919</v>
      </c>
      <c r="C324" s="127" t="s">
        <v>911</v>
      </c>
      <c r="D324" s="127" t="s">
        <v>73</v>
      </c>
    </row>
    <row r="325" spans="1:8" x14ac:dyDescent="0.2">
      <c r="A325" s="127" t="s">
        <v>920</v>
      </c>
      <c r="B325" s="127" t="s">
        <v>921</v>
      </c>
      <c r="C325" s="127" t="s">
        <v>911</v>
      </c>
      <c r="D325" s="127" t="s">
        <v>8</v>
      </c>
      <c r="H325">
        <v>0</v>
      </c>
    </row>
    <row r="326" spans="1:8" x14ac:dyDescent="0.2">
      <c r="A326" s="127" t="s">
        <v>920</v>
      </c>
      <c r="B326" s="127" t="s">
        <v>921</v>
      </c>
      <c r="C326" s="127" t="s">
        <v>911</v>
      </c>
      <c r="D326" s="127" t="s">
        <v>72</v>
      </c>
      <c r="E326" t="s">
        <v>6402</v>
      </c>
    </row>
    <row r="327" spans="1:8" x14ac:dyDescent="0.2">
      <c r="A327" s="127" t="s">
        <v>920</v>
      </c>
      <c r="B327" s="127" t="s">
        <v>921</v>
      </c>
      <c r="C327" s="127" t="s">
        <v>911</v>
      </c>
      <c r="D327" s="127" t="s">
        <v>73</v>
      </c>
    </row>
    <row r="328" spans="1:8" x14ac:dyDescent="0.2">
      <c r="A328" s="127" t="s">
        <v>5259</v>
      </c>
      <c r="B328" s="127" t="s">
        <v>5260</v>
      </c>
      <c r="C328" s="127" t="s">
        <v>4283</v>
      </c>
      <c r="D328" s="127" t="s">
        <v>73</v>
      </c>
    </row>
    <row r="329" spans="1:8" x14ac:dyDescent="0.2">
      <c r="A329" s="127" t="s">
        <v>5688</v>
      </c>
      <c r="B329" s="127" t="s">
        <v>5689</v>
      </c>
      <c r="C329" s="127" t="s">
        <v>4283</v>
      </c>
      <c r="D329" s="127" t="s">
        <v>73</v>
      </c>
    </row>
    <row r="330" spans="1:8" x14ac:dyDescent="0.2">
      <c r="A330" s="127" t="s">
        <v>5361</v>
      </c>
      <c r="B330" s="127" t="s">
        <v>5362</v>
      </c>
      <c r="C330" s="127" t="s">
        <v>2174</v>
      </c>
      <c r="D330" s="127" t="s">
        <v>73</v>
      </c>
    </row>
    <row r="331" spans="1:8" x14ac:dyDescent="0.2">
      <c r="A331" s="127" t="s">
        <v>2195</v>
      </c>
      <c r="B331" s="127" t="s">
        <v>2196</v>
      </c>
      <c r="C331" s="127" t="s">
        <v>2174</v>
      </c>
      <c r="D331" s="127" t="s">
        <v>72</v>
      </c>
      <c r="E331" t="s">
        <v>6403</v>
      </c>
      <c r="F331">
        <v>0</v>
      </c>
      <c r="G331">
        <v>0</v>
      </c>
      <c r="H331">
        <v>0</v>
      </c>
    </row>
    <row r="332" spans="1:8" x14ac:dyDescent="0.2">
      <c r="A332" s="127" t="s">
        <v>2191</v>
      </c>
      <c r="B332" s="127" t="s">
        <v>2192</v>
      </c>
      <c r="C332" s="127" t="s">
        <v>2174</v>
      </c>
      <c r="D332" s="127" t="s">
        <v>72</v>
      </c>
      <c r="E332" t="s">
        <v>6404</v>
      </c>
      <c r="F332">
        <v>0</v>
      </c>
      <c r="G332">
        <v>0</v>
      </c>
      <c r="H332">
        <v>0</v>
      </c>
    </row>
    <row r="333" spans="1:8" x14ac:dyDescent="0.2">
      <c r="A333" s="127" t="s">
        <v>811</v>
      </c>
      <c r="B333" s="127" t="s">
        <v>812</v>
      </c>
      <c r="C333" s="127" t="s">
        <v>582</v>
      </c>
      <c r="D333" s="127" t="s">
        <v>70</v>
      </c>
      <c r="E333" t="s">
        <v>6405</v>
      </c>
      <c r="F333">
        <v>0</v>
      </c>
      <c r="G333">
        <v>4.5</v>
      </c>
      <c r="H333">
        <v>5.1111111111111107</v>
      </c>
    </row>
    <row r="334" spans="1:8" x14ac:dyDescent="0.2">
      <c r="A334" s="127" t="s">
        <v>680</v>
      </c>
      <c r="B334" s="127" t="s">
        <v>681</v>
      </c>
      <c r="C334" s="127" t="s">
        <v>582</v>
      </c>
      <c r="D334" s="127" t="s">
        <v>70</v>
      </c>
      <c r="E334" t="s">
        <v>6406</v>
      </c>
      <c r="F334">
        <v>90</v>
      </c>
      <c r="G334">
        <v>4</v>
      </c>
      <c r="H334">
        <v>18.25</v>
      </c>
    </row>
    <row r="335" spans="1:8" x14ac:dyDescent="0.2">
      <c r="A335" s="127" t="s">
        <v>676</v>
      </c>
      <c r="B335" s="127" t="s">
        <v>677</v>
      </c>
      <c r="C335" s="127" t="s">
        <v>582</v>
      </c>
      <c r="D335" s="127" t="s">
        <v>70</v>
      </c>
      <c r="E335" t="s">
        <v>6407</v>
      </c>
      <c r="F335">
        <v>250</v>
      </c>
      <c r="G335">
        <v>2.3333333333333335</v>
      </c>
      <c r="H335">
        <v>29.142857142857142</v>
      </c>
    </row>
    <row r="336" spans="1:8" x14ac:dyDescent="0.2">
      <c r="A336" s="127" t="s">
        <v>676</v>
      </c>
      <c r="B336" s="127" t="s">
        <v>677</v>
      </c>
      <c r="C336" s="127" t="s">
        <v>582</v>
      </c>
      <c r="D336" s="127" t="s">
        <v>73</v>
      </c>
      <c r="F336">
        <v>50</v>
      </c>
      <c r="G336">
        <v>0.16666666666666666</v>
      </c>
      <c r="H336">
        <v>234</v>
      </c>
    </row>
    <row r="337" spans="1:8" x14ac:dyDescent="0.2">
      <c r="A337" s="127" t="s">
        <v>678</v>
      </c>
      <c r="B337" s="127" t="s">
        <v>679</v>
      </c>
      <c r="C337" s="127" t="s">
        <v>582</v>
      </c>
      <c r="D337" s="127" t="s">
        <v>70</v>
      </c>
      <c r="E337" t="s">
        <v>6408</v>
      </c>
      <c r="F337">
        <v>180</v>
      </c>
      <c r="G337">
        <v>2.3333333333333335</v>
      </c>
      <c r="H337">
        <v>27.857142857142854</v>
      </c>
    </row>
    <row r="338" spans="1:8" x14ac:dyDescent="0.2">
      <c r="A338" s="127" t="s">
        <v>790</v>
      </c>
      <c r="B338" s="127" t="s">
        <v>791</v>
      </c>
      <c r="C338" s="127" t="s">
        <v>582</v>
      </c>
      <c r="D338" s="127" t="s">
        <v>8</v>
      </c>
      <c r="H338">
        <v>0</v>
      </c>
    </row>
    <row r="339" spans="1:8" x14ac:dyDescent="0.2">
      <c r="A339" s="127" t="s">
        <v>790</v>
      </c>
      <c r="B339" s="127" t="s">
        <v>791</v>
      </c>
      <c r="C339" s="127" t="s">
        <v>582</v>
      </c>
      <c r="D339" s="127" t="s">
        <v>70</v>
      </c>
      <c r="E339" t="s">
        <v>6409</v>
      </c>
    </row>
    <row r="340" spans="1:8" x14ac:dyDescent="0.2">
      <c r="A340" s="127" t="s">
        <v>790</v>
      </c>
      <c r="B340" s="127" t="s">
        <v>791</v>
      </c>
      <c r="C340" s="127" t="s">
        <v>582</v>
      </c>
      <c r="D340" s="127" t="s">
        <v>72</v>
      </c>
      <c r="E340" t="s">
        <v>6410</v>
      </c>
      <c r="F340">
        <v>0</v>
      </c>
      <c r="G340">
        <v>0</v>
      </c>
      <c r="H340">
        <v>0</v>
      </c>
    </row>
    <row r="341" spans="1:8" x14ac:dyDescent="0.2">
      <c r="A341" s="127" t="s">
        <v>790</v>
      </c>
      <c r="B341" s="127" t="s">
        <v>791</v>
      </c>
      <c r="C341" s="127" t="s">
        <v>582</v>
      </c>
      <c r="D341" s="127" t="s">
        <v>73</v>
      </c>
    </row>
    <row r="342" spans="1:8" x14ac:dyDescent="0.2">
      <c r="A342" s="127" t="s">
        <v>792</v>
      </c>
      <c r="B342" s="127" t="s">
        <v>793</v>
      </c>
      <c r="C342" s="127" t="s">
        <v>582</v>
      </c>
      <c r="D342" s="127" t="s">
        <v>70</v>
      </c>
      <c r="E342" t="s">
        <v>6411</v>
      </c>
    </row>
    <row r="343" spans="1:8" x14ac:dyDescent="0.2">
      <c r="A343" s="127" t="s">
        <v>792</v>
      </c>
      <c r="B343" s="127" t="s">
        <v>793</v>
      </c>
      <c r="C343" s="127" t="s">
        <v>582</v>
      </c>
      <c r="D343" s="127" t="s">
        <v>73</v>
      </c>
    </row>
    <row r="344" spans="1:8" x14ac:dyDescent="0.2">
      <c r="A344" s="127" t="s">
        <v>607</v>
      </c>
      <c r="B344" s="127" t="s">
        <v>608</v>
      </c>
      <c r="C344" s="127" t="s">
        <v>582</v>
      </c>
      <c r="D344" s="127" t="s">
        <v>70</v>
      </c>
      <c r="E344" t="s">
        <v>6412</v>
      </c>
    </row>
    <row r="345" spans="1:8" x14ac:dyDescent="0.2">
      <c r="A345" s="127" t="s">
        <v>738</v>
      </c>
      <c r="B345" s="127" t="s">
        <v>739</v>
      </c>
      <c r="C345" s="127" t="s">
        <v>582</v>
      </c>
      <c r="D345" s="127" t="s">
        <v>8</v>
      </c>
      <c r="G345">
        <v>0.5</v>
      </c>
      <c r="H345">
        <v>6</v>
      </c>
    </row>
    <row r="346" spans="1:8" x14ac:dyDescent="0.2">
      <c r="A346" s="127" t="s">
        <v>738</v>
      </c>
      <c r="B346" s="127" t="s">
        <v>739</v>
      </c>
      <c r="C346" s="127" t="s">
        <v>582</v>
      </c>
      <c r="D346" s="127" t="s">
        <v>70</v>
      </c>
      <c r="E346" t="s">
        <v>6413</v>
      </c>
      <c r="F346">
        <v>0</v>
      </c>
      <c r="G346">
        <v>0.16666666666666666</v>
      </c>
      <c r="H346">
        <v>6</v>
      </c>
    </row>
    <row r="347" spans="1:8" x14ac:dyDescent="0.2">
      <c r="A347" s="127" t="s">
        <v>738</v>
      </c>
      <c r="B347" s="127" t="s">
        <v>739</v>
      </c>
      <c r="C347" s="127" t="s">
        <v>582</v>
      </c>
      <c r="D347" s="127" t="s">
        <v>73</v>
      </c>
    </row>
    <row r="348" spans="1:8" x14ac:dyDescent="0.2">
      <c r="A348" s="127" t="s">
        <v>740</v>
      </c>
      <c r="B348" s="127" t="s">
        <v>741</v>
      </c>
      <c r="C348" s="127" t="s">
        <v>582</v>
      </c>
      <c r="D348" s="127" t="s">
        <v>8</v>
      </c>
    </row>
    <row r="349" spans="1:8" x14ac:dyDescent="0.2">
      <c r="A349" s="127" t="s">
        <v>740</v>
      </c>
      <c r="B349" s="127" t="s">
        <v>741</v>
      </c>
      <c r="C349" s="127" t="s">
        <v>582</v>
      </c>
      <c r="D349" s="127" t="s">
        <v>70</v>
      </c>
      <c r="E349" t="s">
        <v>6414</v>
      </c>
      <c r="F349">
        <v>0</v>
      </c>
      <c r="G349">
        <v>0.16666666666666666</v>
      </c>
      <c r="H349">
        <v>6</v>
      </c>
    </row>
    <row r="350" spans="1:8" x14ac:dyDescent="0.2">
      <c r="A350" s="127" t="s">
        <v>740</v>
      </c>
      <c r="B350" s="127" t="s">
        <v>741</v>
      </c>
      <c r="C350" s="127" t="s">
        <v>582</v>
      </c>
      <c r="D350" s="127" t="s">
        <v>73</v>
      </c>
    </row>
    <row r="351" spans="1:8" x14ac:dyDescent="0.2">
      <c r="A351" s="127" t="s">
        <v>805</v>
      </c>
      <c r="B351" s="127" t="s">
        <v>806</v>
      </c>
      <c r="C351" s="127" t="s">
        <v>582</v>
      </c>
      <c r="D351" s="127" t="s">
        <v>72</v>
      </c>
      <c r="E351" t="s">
        <v>6415</v>
      </c>
      <c r="F351">
        <v>0</v>
      </c>
      <c r="G351">
        <v>0</v>
      </c>
      <c r="H351">
        <v>0</v>
      </c>
    </row>
    <row r="352" spans="1:8" x14ac:dyDescent="0.2">
      <c r="A352" s="127" t="s">
        <v>805</v>
      </c>
      <c r="B352" s="127" t="s">
        <v>806</v>
      </c>
      <c r="C352" s="127" t="s">
        <v>582</v>
      </c>
      <c r="D352" s="127" t="s">
        <v>73</v>
      </c>
    </row>
    <row r="353" spans="1:8" x14ac:dyDescent="0.2">
      <c r="A353" s="127" t="s">
        <v>807</v>
      </c>
      <c r="B353" s="127" t="s">
        <v>808</v>
      </c>
      <c r="C353" s="127" t="s">
        <v>582</v>
      </c>
      <c r="D353" s="127" t="s">
        <v>72</v>
      </c>
      <c r="E353" t="s">
        <v>6416</v>
      </c>
      <c r="F353">
        <v>0</v>
      </c>
      <c r="G353">
        <v>0.33333333333333331</v>
      </c>
      <c r="H353">
        <v>15</v>
      </c>
    </row>
    <row r="354" spans="1:8" x14ac:dyDescent="0.2">
      <c r="A354" s="127" t="s">
        <v>807</v>
      </c>
      <c r="B354" s="127" t="s">
        <v>808</v>
      </c>
      <c r="C354" s="127" t="s">
        <v>582</v>
      </c>
      <c r="D354" s="127" t="s">
        <v>73</v>
      </c>
    </row>
    <row r="355" spans="1:8" x14ac:dyDescent="0.2">
      <c r="A355" s="127" t="s">
        <v>809</v>
      </c>
      <c r="B355" s="127" t="s">
        <v>810</v>
      </c>
      <c r="C355" s="127" t="s">
        <v>582</v>
      </c>
      <c r="D355" s="127" t="s">
        <v>73</v>
      </c>
    </row>
    <row r="356" spans="1:8" x14ac:dyDescent="0.2">
      <c r="A356" s="127" t="s">
        <v>674</v>
      </c>
      <c r="B356" s="127" t="s">
        <v>675</v>
      </c>
      <c r="C356" s="127" t="s">
        <v>582</v>
      </c>
      <c r="D356" s="127" t="s">
        <v>70</v>
      </c>
      <c r="E356" t="s">
        <v>6417</v>
      </c>
      <c r="F356">
        <v>92</v>
      </c>
      <c r="G356">
        <v>3.1666666666666665</v>
      </c>
      <c r="H356">
        <v>18.315789473684212</v>
      </c>
    </row>
    <row r="357" spans="1:8" x14ac:dyDescent="0.2">
      <c r="A357" s="127" t="s">
        <v>672</v>
      </c>
      <c r="B357" s="127" t="s">
        <v>673</v>
      </c>
      <c r="C357" s="127" t="s">
        <v>582</v>
      </c>
      <c r="D357" s="127" t="s">
        <v>70</v>
      </c>
      <c r="E357" t="s">
        <v>6418</v>
      </c>
      <c r="F357">
        <v>336</v>
      </c>
      <c r="G357">
        <v>11.666666666666666</v>
      </c>
      <c r="H357">
        <v>10.457142857142857</v>
      </c>
    </row>
    <row r="358" spans="1:8" x14ac:dyDescent="0.2">
      <c r="A358" s="127" t="s">
        <v>672</v>
      </c>
      <c r="B358" s="127" t="s">
        <v>673</v>
      </c>
      <c r="C358" s="127" t="s">
        <v>582</v>
      </c>
      <c r="D358" s="127" t="s">
        <v>73</v>
      </c>
    </row>
    <row r="359" spans="1:8" x14ac:dyDescent="0.2">
      <c r="A359" s="127" t="s">
        <v>732</v>
      </c>
      <c r="B359" s="127" t="s">
        <v>733</v>
      </c>
      <c r="C359" s="127" t="s">
        <v>582</v>
      </c>
      <c r="D359" s="127" t="s">
        <v>8</v>
      </c>
      <c r="F359">
        <v>165</v>
      </c>
      <c r="G359">
        <v>4.5</v>
      </c>
      <c r="H359">
        <v>11.777777777777779</v>
      </c>
    </row>
    <row r="360" spans="1:8" x14ac:dyDescent="0.2">
      <c r="A360" s="127" t="s">
        <v>732</v>
      </c>
      <c r="B360" s="127" t="s">
        <v>733</v>
      </c>
      <c r="C360" s="127" t="s">
        <v>582</v>
      </c>
      <c r="D360" s="127" t="s">
        <v>70</v>
      </c>
      <c r="E360" t="s">
        <v>6419</v>
      </c>
      <c r="F360">
        <v>1980</v>
      </c>
      <c r="G360">
        <v>33.666666666666664</v>
      </c>
      <c r="H360">
        <v>4.9900990099009901</v>
      </c>
    </row>
    <row r="361" spans="1:8" x14ac:dyDescent="0.2">
      <c r="A361" s="127" t="s">
        <v>732</v>
      </c>
      <c r="B361" s="127" t="s">
        <v>733</v>
      </c>
      <c r="C361" s="127" t="s">
        <v>582</v>
      </c>
      <c r="D361" s="127" t="s">
        <v>72</v>
      </c>
      <c r="E361" t="s">
        <v>6420</v>
      </c>
      <c r="F361">
        <v>4015</v>
      </c>
      <c r="G361">
        <v>53.833333333333336</v>
      </c>
      <c r="H361">
        <v>4.4210526315789469</v>
      </c>
    </row>
    <row r="362" spans="1:8" x14ac:dyDescent="0.2">
      <c r="A362" s="127" t="s">
        <v>732</v>
      </c>
      <c r="B362" s="127" t="s">
        <v>733</v>
      </c>
      <c r="C362" s="127" t="s">
        <v>582</v>
      </c>
      <c r="D362" s="127" t="s">
        <v>73</v>
      </c>
    </row>
    <row r="363" spans="1:8" x14ac:dyDescent="0.2">
      <c r="A363" s="127" t="s">
        <v>734</v>
      </c>
      <c r="B363" s="127" t="s">
        <v>735</v>
      </c>
      <c r="C363" s="127" t="s">
        <v>582</v>
      </c>
      <c r="D363" s="127" t="s">
        <v>8</v>
      </c>
      <c r="F363">
        <v>130</v>
      </c>
      <c r="G363">
        <v>1.3333333333333333</v>
      </c>
      <c r="H363">
        <v>43.5</v>
      </c>
    </row>
    <row r="364" spans="1:8" x14ac:dyDescent="0.2">
      <c r="A364" s="127" t="s">
        <v>734</v>
      </c>
      <c r="B364" s="127" t="s">
        <v>735</v>
      </c>
      <c r="C364" s="127" t="s">
        <v>582</v>
      </c>
      <c r="D364" s="127" t="s">
        <v>70</v>
      </c>
      <c r="E364" t="s">
        <v>6421</v>
      </c>
      <c r="F364">
        <v>650</v>
      </c>
      <c r="G364">
        <v>8</v>
      </c>
      <c r="H364">
        <v>10.125</v>
      </c>
    </row>
    <row r="365" spans="1:8" x14ac:dyDescent="0.2">
      <c r="A365" s="127" t="s">
        <v>734</v>
      </c>
      <c r="B365" s="127" t="s">
        <v>735</v>
      </c>
      <c r="C365" s="127" t="s">
        <v>582</v>
      </c>
      <c r="D365" s="127" t="s">
        <v>72</v>
      </c>
      <c r="E365" t="s">
        <v>6422</v>
      </c>
      <c r="F365">
        <v>1625</v>
      </c>
      <c r="G365">
        <v>32.5</v>
      </c>
      <c r="H365">
        <v>5.8461538461538458</v>
      </c>
    </row>
    <row r="366" spans="1:8" x14ac:dyDescent="0.2">
      <c r="A366" s="127" t="s">
        <v>734</v>
      </c>
      <c r="B366" s="127" t="s">
        <v>735</v>
      </c>
      <c r="C366" s="127" t="s">
        <v>582</v>
      </c>
      <c r="D366" s="127" t="s">
        <v>73</v>
      </c>
      <c r="F366">
        <v>130</v>
      </c>
      <c r="G366">
        <v>7.166666666666667</v>
      </c>
      <c r="H366">
        <v>6.4186046511627906</v>
      </c>
    </row>
    <row r="367" spans="1:8" x14ac:dyDescent="0.2">
      <c r="A367" s="127" t="s">
        <v>668</v>
      </c>
      <c r="B367" s="127" t="s">
        <v>669</v>
      </c>
      <c r="C367" s="127" t="s">
        <v>582</v>
      </c>
      <c r="D367" s="127" t="s">
        <v>8</v>
      </c>
      <c r="G367">
        <v>2.1666666666666665</v>
      </c>
      <c r="H367">
        <v>27.230769230769234</v>
      </c>
    </row>
    <row r="368" spans="1:8" x14ac:dyDescent="0.2">
      <c r="A368" s="127" t="s">
        <v>668</v>
      </c>
      <c r="B368" s="127" t="s">
        <v>669</v>
      </c>
      <c r="C368" s="127" t="s">
        <v>582</v>
      </c>
      <c r="D368" s="127" t="s">
        <v>70</v>
      </c>
      <c r="E368" t="s">
        <v>6423</v>
      </c>
      <c r="F368">
        <v>135</v>
      </c>
      <c r="G368">
        <v>3.8333333333333335</v>
      </c>
      <c r="H368">
        <v>18.260869565217391</v>
      </c>
    </row>
    <row r="369" spans="1:8" x14ac:dyDescent="0.2">
      <c r="A369" s="127" t="s">
        <v>668</v>
      </c>
      <c r="B369" s="127" t="s">
        <v>669</v>
      </c>
      <c r="C369" s="127" t="s">
        <v>582</v>
      </c>
      <c r="D369" s="127" t="s">
        <v>72</v>
      </c>
      <c r="E369" t="s">
        <v>6424</v>
      </c>
      <c r="F369">
        <v>729</v>
      </c>
      <c r="G369">
        <v>31.166666666666668</v>
      </c>
      <c r="H369">
        <v>6.1283422459893044</v>
      </c>
    </row>
    <row r="370" spans="1:8" x14ac:dyDescent="0.2">
      <c r="A370" s="127" t="s">
        <v>668</v>
      </c>
      <c r="B370" s="127" t="s">
        <v>669</v>
      </c>
      <c r="C370" s="127" t="s">
        <v>582</v>
      </c>
      <c r="D370" s="127" t="s">
        <v>73</v>
      </c>
      <c r="F370">
        <v>54</v>
      </c>
      <c r="G370">
        <v>1.6666666666666667</v>
      </c>
      <c r="H370">
        <v>45</v>
      </c>
    </row>
    <row r="371" spans="1:8" x14ac:dyDescent="0.2">
      <c r="A371" s="127" t="s">
        <v>670</v>
      </c>
      <c r="B371" s="127" t="s">
        <v>671</v>
      </c>
      <c r="C371" s="127" t="s">
        <v>582</v>
      </c>
      <c r="D371" s="127" t="s">
        <v>8</v>
      </c>
      <c r="F371">
        <v>32</v>
      </c>
      <c r="G371">
        <v>1.5</v>
      </c>
      <c r="H371">
        <v>42.666666666666664</v>
      </c>
    </row>
    <row r="372" spans="1:8" x14ac:dyDescent="0.2">
      <c r="A372" s="127" t="s">
        <v>670</v>
      </c>
      <c r="B372" s="127" t="s">
        <v>671</v>
      </c>
      <c r="C372" s="127" t="s">
        <v>582</v>
      </c>
      <c r="D372" s="127" t="s">
        <v>70</v>
      </c>
      <c r="E372" t="s">
        <v>6425</v>
      </c>
      <c r="F372">
        <v>32</v>
      </c>
      <c r="G372">
        <v>2.1666666666666665</v>
      </c>
      <c r="H372">
        <v>26.76923076923077</v>
      </c>
    </row>
    <row r="373" spans="1:8" x14ac:dyDescent="0.2">
      <c r="A373" s="127" t="s">
        <v>670</v>
      </c>
      <c r="B373" s="127" t="s">
        <v>671</v>
      </c>
      <c r="C373" s="127" t="s">
        <v>582</v>
      </c>
      <c r="D373" s="127" t="s">
        <v>72</v>
      </c>
      <c r="E373" t="s">
        <v>6426</v>
      </c>
      <c r="F373">
        <v>192</v>
      </c>
      <c r="G373">
        <v>14.833333333333334</v>
      </c>
      <c r="H373">
        <v>13.685393258426966</v>
      </c>
    </row>
    <row r="374" spans="1:8" x14ac:dyDescent="0.2">
      <c r="A374" s="127" t="s">
        <v>670</v>
      </c>
      <c r="B374" s="127" t="s">
        <v>671</v>
      </c>
      <c r="C374" s="127" t="s">
        <v>582</v>
      </c>
      <c r="D374" s="127" t="s">
        <v>73</v>
      </c>
      <c r="F374">
        <v>32</v>
      </c>
      <c r="G374">
        <v>1.5</v>
      </c>
      <c r="H374">
        <v>68</v>
      </c>
    </row>
    <row r="375" spans="1:8" x14ac:dyDescent="0.2">
      <c r="A375" s="127" t="s">
        <v>728</v>
      </c>
      <c r="B375" s="127" t="s">
        <v>729</v>
      </c>
      <c r="C375" s="127" t="s">
        <v>582</v>
      </c>
      <c r="D375" s="127" t="s">
        <v>70</v>
      </c>
      <c r="E375" t="s">
        <v>7539</v>
      </c>
      <c r="F375">
        <v>385</v>
      </c>
      <c r="G375">
        <v>4.166666666666667</v>
      </c>
      <c r="H375">
        <v>12.239999999999998</v>
      </c>
    </row>
    <row r="376" spans="1:8" x14ac:dyDescent="0.2">
      <c r="A376" s="127" t="s">
        <v>728</v>
      </c>
      <c r="B376" s="127" t="s">
        <v>729</v>
      </c>
      <c r="C376" s="127" t="s">
        <v>582</v>
      </c>
      <c r="D376" s="127" t="s">
        <v>73</v>
      </c>
      <c r="F376">
        <v>385</v>
      </c>
      <c r="G376">
        <v>4</v>
      </c>
      <c r="H376">
        <v>32.5</v>
      </c>
    </row>
    <row r="377" spans="1:8" x14ac:dyDescent="0.2">
      <c r="A377" s="127" t="s">
        <v>744</v>
      </c>
      <c r="B377" s="127" t="s">
        <v>745</v>
      </c>
      <c r="C377" s="127" t="s">
        <v>582</v>
      </c>
      <c r="D377" s="127" t="s">
        <v>72</v>
      </c>
      <c r="E377" t="s">
        <v>7540</v>
      </c>
      <c r="F377">
        <v>420</v>
      </c>
      <c r="G377">
        <v>2</v>
      </c>
      <c r="H377">
        <v>28.5</v>
      </c>
    </row>
    <row r="378" spans="1:8" x14ac:dyDescent="0.2">
      <c r="A378" s="127" t="s">
        <v>7039</v>
      </c>
      <c r="B378" s="127" t="s">
        <v>7040</v>
      </c>
      <c r="C378" s="127" t="s">
        <v>582</v>
      </c>
      <c r="D378" s="127" t="s">
        <v>72</v>
      </c>
      <c r="E378" t="s">
        <v>7541</v>
      </c>
      <c r="F378">
        <v>630</v>
      </c>
      <c r="G378">
        <v>4.666666666666667</v>
      </c>
      <c r="H378">
        <v>12.428571428571427</v>
      </c>
    </row>
    <row r="379" spans="1:8" x14ac:dyDescent="0.2">
      <c r="A379" s="127" t="s">
        <v>7029</v>
      </c>
      <c r="B379" s="127" t="s">
        <v>7030</v>
      </c>
      <c r="C379" s="127" t="s">
        <v>582</v>
      </c>
      <c r="D379" s="127" t="s">
        <v>72</v>
      </c>
      <c r="E379" t="s">
        <v>7542</v>
      </c>
      <c r="F379">
        <v>300</v>
      </c>
      <c r="G379">
        <v>3.3333333333333335</v>
      </c>
      <c r="H379">
        <v>23.4</v>
      </c>
    </row>
    <row r="380" spans="1:8" x14ac:dyDescent="0.2">
      <c r="A380" s="127" t="s">
        <v>7031</v>
      </c>
      <c r="B380" s="127" t="s">
        <v>7032</v>
      </c>
      <c r="C380" s="127" t="s">
        <v>582</v>
      </c>
      <c r="D380" s="127" t="s">
        <v>72</v>
      </c>
      <c r="E380" t="s">
        <v>7543</v>
      </c>
      <c r="F380">
        <v>105</v>
      </c>
      <c r="G380">
        <v>2</v>
      </c>
      <c r="H380">
        <v>37</v>
      </c>
    </row>
    <row r="381" spans="1:8" x14ac:dyDescent="0.2">
      <c r="A381" s="127" t="s">
        <v>7035</v>
      </c>
      <c r="B381" s="127" t="s">
        <v>7036</v>
      </c>
      <c r="C381" s="127" t="s">
        <v>582</v>
      </c>
      <c r="D381" s="127" t="s">
        <v>72</v>
      </c>
      <c r="E381" t="s">
        <v>7544</v>
      </c>
      <c r="F381">
        <v>180</v>
      </c>
      <c r="G381">
        <v>2.1666666666666665</v>
      </c>
      <c r="H381">
        <v>30.000000000000004</v>
      </c>
    </row>
    <row r="382" spans="1:8" x14ac:dyDescent="0.2">
      <c r="A382" s="127" t="s">
        <v>742</v>
      </c>
      <c r="B382" s="127" t="s">
        <v>743</v>
      </c>
      <c r="C382" s="127" t="s">
        <v>582</v>
      </c>
      <c r="D382" s="127" t="s">
        <v>72</v>
      </c>
      <c r="E382" t="s">
        <v>7545</v>
      </c>
      <c r="F382">
        <v>630</v>
      </c>
      <c r="G382">
        <v>7.666666666666667</v>
      </c>
      <c r="H382">
        <v>7.9565217391304346</v>
      </c>
    </row>
    <row r="383" spans="1:8" x14ac:dyDescent="0.2">
      <c r="A383" s="127" t="s">
        <v>7033</v>
      </c>
      <c r="B383" s="127" t="s">
        <v>7034</v>
      </c>
      <c r="C383" s="127" t="s">
        <v>582</v>
      </c>
      <c r="D383" s="127" t="s">
        <v>72</v>
      </c>
      <c r="E383" t="s">
        <v>7546</v>
      </c>
      <c r="F383">
        <v>405</v>
      </c>
      <c r="G383">
        <v>1.6666666666666667</v>
      </c>
      <c r="H383">
        <v>40.199999999999996</v>
      </c>
    </row>
    <row r="384" spans="1:8" x14ac:dyDescent="0.2">
      <c r="A384" s="127" t="s">
        <v>597</v>
      </c>
      <c r="B384" s="127" t="s">
        <v>598</v>
      </c>
      <c r="C384" s="127" t="s">
        <v>582</v>
      </c>
      <c r="D384" s="127" t="s">
        <v>70</v>
      </c>
      <c r="E384" t="s">
        <v>6427</v>
      </c>
      <c r="F384">
        <v>100</v>
      </c>
      <c r="G384">
        <v>1</v>
      </c>
      <c r="H384">
        <v>52</v>
      </c>
    </row>
    <row r="385" spans="1:8" x14ac:dyDescent="0.2">
      <c r="A385" s="127" t="s">
        <v>597</v>
      </c>
      <c r="B385" s="127" t="s">
        <v>598</v>
      </c>
      <c r="C385" s="127" t="s">
        <v>582</v>
      </c>
      <c r="D385" s="127" t="s">
        <v>73</v>
      </c>
    </row>
    <row r="386" spans="1:8" x14ac:dyDescent="0.2">
      <c r="A386" s="127" t="s">
        <v>654</v>
      </c>
      <c r="B386" s="127" t="s">
        <v>655</v>
      </c>
      <c r="C386" s="127" t="s">
        <v>582</v>
      </c>
      <c r="D386" s="127" t="s">
        <v>70</v>
      </c>
      <c r="E386" t="s">
        <v>6428</v>
      </c>
      <c r="F386">
        <v>450</v>
      </c>
      <c r="G386">
        <v>8</v>
      </c>
      <c r="H386">
        <v>8.125</v>
      </c>
    </row>
    <row r="387" spans="1:8" x14ac:dyDescent="0.2">
      <c r="A387" s="127" t="s">
        <v>654</v>
      </c>
      <c r="B387" s="127" t="s">
        <v>655</v>
      </c>
      <c r="C387" s="127" t="s">
        <v>582</v>
      </c>
      <c r="D387" s="127" t="s">
        <v>72</v>
      </c>
      <c r="E387" t="s">
        <v>6429</v>
      </c>
      <c r="F387">
        <v>540</v>
      </c>
      <c r="G387">
        <v>8.6666666666666661</v>
      </c>
      <c r="H387">
        <v>12.115384615384617</v>
      </c>
    </row>
    <row r="388" spans="1:8" x14ac:dyDescent="0.2">
      <c r="A388" s="127" t="s">
        <v>656</v>
      </c>
      <c r="B388" s="127" t="s">
        <v>657</v>
      </c>
      <c r="C388" s="127" t="s">
        <v>582</v>
      </c>
      <c r="D388" s="127" t="s">
        <v>70</v>
      </c>
      <c r="E388" t="s">
        <v>6430</v>
      </c>
      <c r="F388">
        <v>1260</v>
      </c>
      <c r="G388">
        <v>8.6666666666666661</v>
      </c>
      <c r="H388">
        <v>7.6153846153846159</v>
      </c>
    </row>
    <row r="389" spans="1:8" x14ac:dyDescent="0.2">
      <c r="A389" s="127" t="s">
        <v>656</v>
      </c>
      <c r="B389" s="127" t="s">
        <v>657</v>
      </c>
      <c r="C389" s="127" t="s">
        <v>582</v>
      </c>
      <c r="D389" s="127" t="s">
        <v>72</v>
      </c>
      <c r="E389" t="s">
        <v>6431</v>
      </c>
      <c r="F389">
        <v>990</v>
      </c>
      <c r="G389">
        <v>7.166666666666667</v>
      </c>
      <c r="H389">
        <v>10.186046511627907</v>
      </c>
    </row>
    <row r="390" spans="1:8" x14ac:dyDescent="0.2">
      <c r="A390" s="127" t="s">
        <v>656</v>
      </c>
      <c r="B390" s="127" t="s">
        <v>657</v>
      </c>
      <c r="C390" s="127" t="s">
        <v>582</v>
      </c>
      <c r="D390" s="127" t="s">
        <v>73</v>
      </c>
    </row>
    <row r="391" spans="1:8" x14ac:dyDescent="0.2">
      <c r="A391" s="127" t="s">
        <v>636</v>
      </c>
      <c r="B391" s="127" t="s">
        <v>637</v>
      </c>
      <c r="C391" s="127" t="s">
        <v>582</v>
      </c>
      <c r="D391" s="127" t="s">
        <v>70</v>
      </c>
      <c r="E391" t="s">
        <v>6432</v>
      </c>
      <c r="F391">
        <v>390</v>
      </c>
      <c r="G391">
        <v>2.6666666666666665</v>
      </c>
      <c r="H391">
        <v>18.75</v>
      </c>
    </row>
    <row r="392" spans="1:8" x14ac:dyDescent="0.2">
      <c r="A392" s="127" t="s">
        <v>599</v>
      </c>
      <c r="B392" s="127" t="s">
        <v>600</v>
      </c>
      <c r="C392" s="127" t="s">
        <v>582</v>
      </c>
      <c r="D392" s="127" t="s">
        <v>70</v>
      </c>
      <c r="E392" t="s">
        <v>6433</v>
      </c>
      <c r="F392">
        <v>280</v>
      </c>
      <c r="G392">
        <v>1.5</v>
      </c>
      <c r="H392">
        <v>28</v>
      </c>
    </row>
    <row r="393" spans="1:8" x14ac:dyDescent="0.2">
      <c r="A393" s="127" t="s">
        <v>599</v>
      </c>
      <c r="B393" s="127" t="s">
        <v>600</v>
      </c>
      <c r="C393" s="127" t="s">
        <v>582</v>
      </c>
      <c r="D393" s="127" t="s">
        <v>73</v>
      </c>
      <c r="F393">
        <v>140</v>
      </c>
      <c r="G393">
        <v>0.5</v>
      </c>
      <c r="H393">
        <v>0</v>
      </c>
    </row>
    <row r="394" spans="1:8" x14ac:dyDescent="0.2">
      <c r="A394" s="127" t="s">
        <v>652</v>
      </c>
      <c r="B394" s="127" t="s">
        <v>653</v>
      </c>
      <c r="C394" s="127" t="s">
        <v>582</v>
      </c>
      <c r="D394" s="127" t="s">
        <v>70</v>
      </c>
      <c r="E394" t="s">
        <v>6434</v>
      </c>
      <c r="F394">
        <v>1560</v>
      </c>
      <c r="G394">
        <v>12.666666666666666</v>
      </c>
      <c r="H394">
        <v>9.7894736842105274</v>
      </c>
    </row>
    <row r="395" spans="1:8" x14ac:dyDescent="0.2">
      <c r="A395" s="127" t="s">
        <v>652</v>
      </c>
      <c r="B395" s="127" t="s">
        <v>653</v>
      </c>
      <c r="C395" s="127" t="s">
        <v>582</v>
      </c>
      <c r="D395" s="127" t="s">
        <v>72</v>
      </c>
      <c r="E395" t="s">
        <v>6435</v>
      </c>
      <c r="F395">
        <v>2520</v>
      </c>
      <c r="G395">
        <v>21.833333333333332</v>
      </c>
      <c r="H395">
        <v>6.6870229007633588</v>
      </c>
    </row>
    <row r="396" spans="1:8" x14ac:dyDescent="0.2">
      <c r="A396" s="127" t="s">
        <v>652</v>
      </c>
      <c r="B396" s="127" t="s">
        <v>653</v>
      </c>
      <c r="C396" s="127" t="s">
        <v>582</v>
      </c>
      <c r="D396" s="127" t="s">
        <v>73</v>
      </c>
      <c r="F396">
        <v>0</v>
      </c>
      <c r="G396">
        <v>1.5</v>
      </c>
      <c r="H396">
        <v>46.666666666666664</v>
      </c>
    </row>
    <row r="397" spans="1:8" x14ac:dyDescent="0.2">
      <c r="A397" s="127" t="s">
        <v>634</v>
      </c>
      <c r="B397" s="127" t="s">
        <v>635</v>
      </c>
      <c r="C397" s="127" t="s">
        <v>582</v>
      </c>
      <c r="D397" s="127" t="s">
        <v>70</v>
      </c>
      <c r="E397" t="s">
        <v>6436</v>
      </c>
      <c r="F397">
        <v>900</v>
      </c>
      <c r="G397">
        <v>5.166666666666667</v>
      </c>
      <c r="H397">
        <v>15.677419354838708</v>
      </c>
    </row>
    <row r="398" spans="1:8" x14ac:dyDescent="0.2">
      <c r="A398" s="127" t="s">
        <v>634</v>
      </c>
      <c r="B398" s="127" t="s">
        <v>635</v>
      </c>
      <c r="C398" s="127" t="s">
        <v>582</v>
      </c>
      <c r="D398" s="127" t="s">
        <v>72</v>
      </c>
      <c r="E398" t="s">
        <v>6437</v>
      </c>
      <c r="F398">
        <v>1650</v>
      </c>
      <c r="G398">
        <v>8</v>
      </c>
      <c r="H398">
        <v>18.25</v>
      </c>
    </row>
    <row r="399" spans="1:8" x14ac:dyDescent="0.2">
      <c r="A399" s="127" t="s">
        <v>634</v>
      </c>
      <c r="B399" s="127" t="s">
        <v>635</v>
      </c>
      <c r="C399" s="127" t="s">
        <v>582</v>
      </c>
      <c r="D399" s="127" t="s">
        <v>73</v>
      </c>
      <c r="F399">
        <v>0</v>
      </c>
      <c r="G399">
        <v>0</v>
      </c>
      <c r="H399">
        <v>0</v>
      </c>
    </row>
    <row r="400" spans="1:8" x14ac:dyDescent="0.2">
      <c r="A400" s="127" t="s">
        <v>5604</v>
      </c>
      <c r="B400" s="127" t="s">
        <v>5605</v>
      </c>
      <c r="C400" s="127" t="s">
        <v>582</v>
      </c>
      <c r="D400" s="127" t="s">
        <v>72</v>
      </c>
      <c r="E400" t="s">
        <v>6438</v>
      </c>
    </row>
    <row r="401" spans="1:8" x14ac:dyDescent="0.2">
      <c r="A401" s="127" t="s">
        <v>5292</v>
      </c>
      <c r="B401" s="127" t="s">
        <v>5293</v>
      </c>
      <c r="C401" s="127" t="s">
        <v>582</v>
      </c>
      <c r="D401" s="127" t="s">
        <v>8</v>
      </c>
      <c r="H401">
        <v>0</v>
      </c>
    </row>
    <row r="402" spans="1:8" x14ac:dyDescent="0.2">
      <c r="A402" s="127" t="s">
        <v>589</v>
      </c>
      <c r="B402" s="127" t="s">
        <v>590</v>
      </c>
      <c r="C402" s="127" t="s">
        <v>582</v>
      </c>
      <c r="D402" s="127" t="s">
        <v>73</v>
      </c>
      <c r="F402">
        <v>70</v>
      </c>
      <c r="G402">
        <v>1.3333333333333333</v>
      </c>
      <c r="H402">
        <v>86.25</v>
      </c>
    </row>
    <row r="403" spans="1:8" x14ac:dyDescent="0.2">
      <c r="A403" s="127" t="s">
        <v>583</v>
      </c>
      <c r="B403" s="127" t="s">
        <v>584</v>
      </c>
      <c r="C403" s="127" t="s">
        <v>582</v>
      </c>
      <c r="D403" s="127" t="s">
        <v>73</v>
      </c>
      <c r="F403">
        <v>280</v>
      </c>
      <c r="G403">
        <v>2.3333333333333335</v>
      </c>
      <c r="H403">
        <v>18</v>
      </c>
    </row>
    <row r="404" spans="1:8" x14ac:dyDescent="0.2">
      <c r="A404" s="127" t="s">
        <v>591</v>
      </c>
      <c r="B404" s="127" t="s">
        <v>592</v>
      </c>
      <c r="C404" s="127" t="s">
        <v>582</v>
      </c>
      <c r="D404" s="127" t="s">
        <v>73</v>
      </c>
      <c r="F404">
        <v>280</v>
      </c>
      <c r="G404">
        <v>1</v>
      </c>
      <c r="H404">
        <v>52</v>
      </c>
    </row>
    <row r="405" spans="1:8" x14ac:dyDescent="0.2">
      <c r="A405" s="127" t="s">
        <v>587</v>
      </c>
      <c r="B405" s="127" t="s">
        <v>588</v>
      </c>
      <c r="C405" s="127" t="s">
        <v>582</v>
      </c>
      <c r="D405" s="127" t="s">
        <v>73</v>
      </c>
      <c r="F405">
        <v>70</v>
      </c>
      <c r="G405">
        <v>2.1666666666666665</v>
      </c>
      <c r="H405">
        <v>21.692307692307693</v>
      </c>
    </row>
    <row r="406" spans="1:8" x14ac:dyDescent="0.2">
      <c r="A406" s="127" t="s">
        <v>585</v>
      </c>
      <c r="B406" s="127" t="s">
        <v>586</v>
      </c>
      <c r="C406" s="127" t="s">
        <v>582</v>
      </c>
      <c r="D406" s="127" t="s">
        <v>73</v>
      </c>
      <c r="F406">
        <v>0</v>
      </c>
      <c r="G406">
        <v>0.83333333333333337</v>
      </c>
      <c r="H406">
        <v>20.399999999999999</v>
      </c>
    </row>
    <row r="407" spans="1:8" x14ac:dyDescent="0.2">
      <c r="A407" s="127" t="s">
        <v>620</v>
      </c>
      <c r="B407" s="127" t="s">
        <v>621</v>
      </c>
      <c r="C407" s="127" t="s">
        <v>582</v>
      </c>
      <c r="D407" s="127" t="s">
        <v>73</v>
      </c>
      <c r="F407">
        <v>840</v>
      </c>
      <c r="G407">
        <v>7.666666666666667</v>
      </c>
      <c r="H407">
        <v>19.304347826086957</v>
      </c>
    </row>
    <row r="408" spans="1:8" x14ac:dyDescent="0.2">
      <c r="A408" s="127" t="s">
        <v>5602</v>
      </c>
      <c r="B408" s="127" t="s">
        <v>5603</v>
      </c>
      <c r="C408" s="127" t="s">
        <v>582</v>
      </c>
      <c r="D408" s="127" t="s">
        <v>73</v>
      </c>
    </row>
    <row r="409" spans="1:8" x14ac:dyDescent="0.2">
      <c r="A409" s="127" t="s">
        <v>5094</v>
      </c>
      <c r="B409" s="127" t="s">
        <v>5095</v>
      </c>
      <c r="C409" s="127" t="s">
        <v>582</v>
      </c>
      <c r="D409" s="127" t="s">
        <v>73</v>
      </c>
    </row>
    <row r="410" spans="1:8" x14ac:dyDescent="0.2">
      <c r="A410" s="127" t="s">
        <v>5257</v>
      </c>
      <c r="B410" s="127" t="s">
        <v>5258</v>
      </c>
      <c r="C410" s="127" t="s">
        <v>582</v>
      </c>
      <c r="D410" s="127" t="s">
        <v>70</v>
      </c>
      <c r="E410" t="s">
        <v>6439</v>
      </c>
      <c r="F410">
        <v>0</v>
      </c>
      <c r="G410">
        <v>0</v>
      </c>
      <c r="H410">
        <v>0</v>
      </c>
    </row>
    <row r="411" spans="1:8" x14ac:dyDescent="0.2">
      <c r="A411" s="127" t="s">
        <v>5257</v>
      </c>
      <c r="B411" s="127" t="s">
        <v>5258</v>
      </c>
      <c r="C411" s="127" t="s">
        <v>582</v>
      </c>
      <c r="D411" s="127" t="s">
        <v>73</v>
      </c>
    </row>
    <row r="412" spans="1:8" x14ac:dyDescent="0.2">
      <c r="A412" s="127" t="s">
        <v>5241</v>
      </c>
      <c r="B412" s="127" t="s">
        <v>5242</v>
      </c>
      <c r="C412" s="127" t="s">
        <v>582</v>
      </c>
      <c r="D412" s="127" t="s">
        <v>73</v>
      </c>
    </row>
    <row r="413" spans="1:8" x14ac:dyDescent="0.2">
      <c r="A413" s="127" t="s">
        <v>754</v>
      </c>
      <c r="B413" s="127" t="s">
        <v>755</v>
      </c>
      <c r="C413" s="127" t="s">
        <v>582</v>
      </c>
      <c r="D413" s="127" t="s">
        <v>73</v>
      </c>
    </row>
    <row r="414" spans="1:8" x14ac:dyDescent="0.2">
      <c r="A414" s="127" t="s">
        <v>5311</v>
      </c>
      <c r="B414" s="127" t="s">
        <v>5312</v>
      </c>
      <c r="C414" s="127" t="s">
        <v>582</v>
      </c>
      <c r="D414" s="127" t="s">
        <v>8</v>
      </c>
    </row>
    <row r="415" spans="1:8" x14ac:dyDescent="0.2">
      <c r="A415" s="127" t="s">
        <v>5305</v>
      </c>
      <c r="B415" s="127" t="s">
        <v>5306</v>
      </c>
      <c r="C415" s="127" t="s">
        <v>582</v>
      </c>
      <c r="D415" s="127" t="s">
        <v>73</v>
      </c>
      <c r="F415">
        <v>0</v>
      </c>
      <c r="G415">
        <v>0</v>
      </c>
      <c r="H415">
        <v>0</v>
      </c>
    </row>
    <row r="416" spans="1:8" x14ac:dyDescent="0.2">
      <c r="A416" s="127" t="s">
        <v>750</v>
      </c>
      <c r="B416" s="127" t="s">
        <v>751</v>
      </c>
      <c r="C416" s="127" t="s">
        <v>582</v>
      </c>
      <c r="D416" s="127" t="s">
        <v>73</v>
      </c>
      <c r="F416">
        <v>0</v>
      </c>
      <c r="G416">
        <v>2.3333333333333335</v>
      </c>
      <c r="H416">
        <v>21.428571428571427</v>
      </c>
    </row>
    <row r="417" spans="1:8" x14ac:dyDescent="0.2">
      <c r="A417" s="127" t="s">
        <v>760</v>
      </c>
      <c r="B417" s="127" t="s">
        <v>761</v>
      </c>
      <c r="C417" s="127" t="s">
        <v>582</v>
      </c>
      <c r="D417" s="127" t="s">
        <v>73</v>
      </c>
      <c r="F417">
        <v>240</v>
      </c>
      <c r="G417">
        <v>1.6666666666666667</v>
      </c>
      <c r="H417">
        <v>31.799999999999997</v>
      </c>
    </row>
    <row r="418" spans="1:8" x14ac:dyDescent="0.2">
      <c r="A418" s="127" t="s">
        <v>766</v>
      </c>
      <c r="B418" s="127" t="s">
        <v>767</v>
      </c>
      <c r="C418" s="127" t="s">
        <v>582</v>
      </c>
      <c r="D418" s="127" t="s">
        <v>73</v>
      </c>
      <c r="F418">
        <v>60</v>
      </c>
      <c r="G418">
        <v>1.8333333333333333</v>
      </c>
      <c r="H418">
        <v>46.363636363636367</v>
      </c>
    </row>
    <row r="419" spans="1:8" x14ac:dyDescent="0.2">
      <c r="A419" s="127" t="s">
        <v>764</v>
      </c>
      <c r="B419" s="127" t="s">
        <v>765</v>
      </c>
      <c r="C419" s="127" t="s">
        <v>582</v>
      </c>
      <c r="D419" s="127" t="s">
        <v>70</v>
      </c>
      <c r="E419" t="s">
        <v>6440</v>
      </c>
      <c r="F419">
        <v>480</v>
      </c>
      <c r="G419">
        <v>6.833333333333333</v>
      </c>
      <c r="H419">
        <v>25.317073170731707</v>
      </c>
    </row>
    <row r="420" spans="1:8" x14ac:dyDescent="0.2">
      <c r="A420" s="127" t="s">
        <v>764</v>
      </c>
      <c r="B420" s="127" t="s">
        <v>765</v>
      </c>
      <c r="C420" s="127" t="s">
        <v>582</v>
      </c>
      <c r="D420" s="127" t="s">
        <v>73</v>
      </c>
      <c r="F420">
        <v>180</v>
      </c>
      <c r="G420">
        <v>1.1666666666666667</v>
      </c>
      <c r="H420">
        <v>18.857142857142858</v>
      </c>
    </row>
    <row r="421" spans="1:8" x14ac:dyDescent="0.2">
      <c r="A421" s="127" t="s">
        <v>762</v>
      </c>
      <c r="B421" s="127" t="s">
        <v>763</v>
      </c>
      <c r="C421" s="127" t="s">
        <v>582</v>
      </c>
      <c r="D421" s="127" t="s">
        <v>70</v>
      </c>
      <c r="E421" t="s">
        <v>6441</v>
      </c>
      <c r="F421">
        <v>420</v>
      </c>
      <c r="G421">
        <v>5.666666666666667</v>
      </c>
      <c r="H421">
        <v>36.529411764705877</v>
      </c>
    </row>
    <row r="422" spans="1:8" x14ac:dyDescent="0.2">
      <c r="A422" s="127" t="s">
        <v>762</v>
      </c>
      <c r="B422" s="127" t="s">
        <v>763</v>
      </c>
      <c r="C422" s="127" t="s">
        <v>582</v>
      </c>
      <c r="D422" s="127" t="s">
        <v>73</v>
      </c>
      <c r="F422">
        <v>60</v>
      </c>
      <c r="G422">
        <v>0.83333333333333337</v>
      </c>
      <c r="H422">
        <v>78</v>
      </c>
    </row>
    <row r="423" spans="1:8" x14ac:dyDescent="0.2">
      <c r="A423" s="127" t="s">
        <v>756</v>
      </c>
      <c r="B423" s="127" t="s">
        <v>757</v>
      </c>
      <c r="C423" s="127" t="s">
        <v>582</v>
      </c>
      <c r="D423" s="127" t="s">
        <v>73</v>
      </c>
      <c r="F423">
        <v>200</v>
      </c>
      <c r="G423">
        <v>20.333333333333332</v>
      </c>
      <c r="H423">
        <v>9</v>
      </c>
    </row>
    <row r="424" spans="1:8" x14ac:dyDescent="0.2">
      <c r="A424" s="127" t="s">
        <v>758</v>
      </c>
      <c r="B424" s="127" t="s">
        <v>759</v>
      </c>
      <c r="C424" s="127" t="s">
        <v>582</v>
      </c>
      <c r="D424" s="127" t="s">
        <v>73</v>
      </c>
      <c r="F424">
        <v>320</v>
      </c>
      <c r="G424">
        <v>6.833333333333333</v>
      </c>
      <c r="H424">
        <v>82.390243902439025</v>
      </c>
    </row>
    <row r="425" spans="1:8" x14ac:dyDescent="0.2">
      <c r="A425" s="127" t="s">
        <v>752</v>
      </c>
      <c r="B425" s="127" t="s">
        <v>753</v>
      </c>
      <c r="C425" s="127" t="s">
        <v>582</v>
      </c>
      <c r="D425" s="127" t="s">
        <v>73</v>
      </c>
      <c r="F425">
        <v>-130</v>
      </c>
      <c r="G425">
        <v>1.3333333333333333</v>
      </c>
      <c r="H425">
        <v>24.75</v>
      </c>
    </row>
    <row r="426" spans="1:8" x14ac:dyDescent="0.2">
      <c r="A426" s="127" t="s">
        <v>778</v>
      </c>
      <c r="B426" s="127" t="s">
        <v>779</v>
      </c>
      <c r="C426" s="127" t="s">
        <v>582</v>
      </c>
      <c r="D426" s="127" t="s">
        <v>5730</v>
      </c>
      <c r="F426">
        <v>0</v>
      </c>
      <c r="G426">
        <v>0.16666666666666666</v>
      </c>
      <c r="H426">
        <v>12</v>
      </c>
    </row>
    <row r="427" spans="1:8" x14ac:dyDescent="0.2">
      <c r="A427" s="127" t="s">
        <v>778</v>
      </c>
      <c r="B427" s="127" t="s">
        <v>779</v>
      </c>
      <c r="C427" s="127" t="s">
        <v>582</v>
      </c>
      <c r="D427" s="127" t="s">
        <v>70</v>
      </c>
      <c r="E427" t="s">
        <v>6442</v>
      </c>
      <c r="F427">
        <v>120</v>
      </c>
      <c r="G427">
        <v>1.3333333333333333</v>
      </c>
      <c r="H427">
        <v>1.5</v>
      </c>
    </row>
    <row r="428" spans="1:8" x14ac:dyDescent="0.2">
      <c r="A428" s="127" t="s">
        <v>778</v>
      </c>
      <c r="B428" s="127" t="s">
        <v>779</v>
      </c>
      <c r="C428" s="127" t="s">
        <v>582</v>
      </c>
      <c r="D428" s="127" t="s">
        <v>73</v>
      </c>
      <c r="F428">
        <v>540</v>
      </c>
      <c r="G428">
        <v>11.5</v>
      </c>
      <c r="H428">
        <v>0.78260869565217395</v>
      </c>
    </row>
    <row r="429" spans="1:8" x14ac:dyDescent="0.2">
      <c r="A429" s="127" t="s">
        <v>776</v>
      </c>
      <c r="B429" s="127" t="s">
        <v>777</v>
      </c>
      <c r="C429" s="127" t="s">
        <v>582</v>
      </c>
      <c r="D429" s="127" t="s">
        <v>8</v>
      </c>
      <c r="H429">
        <v>0</v>
      </c>
    </row>
    <row r="430" spans="1:8" x14ac:dyDescent="0.2">
      <c r="A430" s="127" t="s">
        <v>776</v>
      </c>
      <c r="B430" s="127" t="s">
        <v>777</v>
      </c>
      <c r="C430" s="127" t="s">
        <v>582</v>
      </c>
      <c r="D430" s="127" t="s">
        <v>5730</v>
      </c>
      <c r="F430">
        <v>0</v>
      </c>
      <c r="G430">
        <v>0</v>
      </c>
      <c r="H430">
        <v>0</v>
      </c>
    </row>
    <row r="431" spans="1:8" x14ac:dyDescent="0.2">
      <c r="A431" s="127" t="s">
        <v>776</v>
      </c>
      <c r="B431" s="127" t="s">
        <v>777</v>
      </c>
      <c r="C431" s="127" t="s">
        <v>582</v>
      </c>
      <c r="D431" s="127" t="s">
        <v>70</v>
      </c>
      <c r="E431" t="s">
        <v>6443</v>
      </c>
      <c r="F431">
        <v>630</v>
      </c>
      <c r="G431">
        <v>3.5</v>
      </c>
      <c r="H431">
        <v>16.857142857142858</v>
      </c>
    </row>
    <row r="432" spans="1:8" x14ac:dyDescent="0.2">
      <c r="A432" s="127" t="s">
        <v>776</v>
      </c>
      <c r="B432" s="127" t="s">
        <v>777</v>
      </c>
      <c r="C432" s="127" t="s">
        <v>582</v>
      </c>
      <c r="D432" s="127" t="s">
        <v>73</v>
      </c>
      <c r="F432">
        <v>1190</v>
      </c>
      <c r="G432">
        <v>9.3333333333333339</v>
      </c>
      <c r="H432">
        <v>5.6785714285714279</v>
      </c>
    </row>
    <row r="433" spans="1:8" x14ac:dyDescent="0.2">
      <c r="A433" s="127" t="s">
        <v>774</v>
      </c>
      <c r="B433" s="127" t="s">
        <v>775</v>
      </c>
      <c r="C433" s="127" t="s">
        <v>582</v>
      </c>
      <c r="D433" s="127" t="s">
        <v>8</v>
      </c>
      <c r="G433">
        <v>0.16666666666666666</v>
      </c>
      <c r="H433">
        <v>60</v>
      </c>
    </row>
    <row r="434" spans="1:8" x14ac:dyDescent="0.2">
      <c r="A434" s="127" t="s">
        <v>774</v>
      </c>
      <c r="B434" s="127" t="s">
        <v>775</v>
      </c>
      <c r="C434" s="127" t="s">
        <v>582</v>
      </c>
      <c r="D434" s="127" t="s">
        <v>73</v>
      </c>
      <c r="F434">
        <v>100</v>
      </c>
      <c r="G434">
        <v>2</v>
      </c>
      <c r="H434">
        <v>3</v>
      </c>
    </row>
    <row r="435" spans="1:8" x14ac:dyDescent="0.2">
      <c r="A435" s="127" t="s">
        <v>823</v>
      </c>
      <c r="B435" s="127" t="s">
        <v>824</v>
      </c>
      <c r="C435" s="127" t="s">
        <v>582</v>
      </c>
      <c r="D435" s="127" t="s">
        <v>8</v>
      </c>
      <c r="H435">
        <v>0</v>
      </c>
    </row>
    <row r="436" spans="1:8" x14ac:dyDescent="0.2">
      <c r="A436" s="127" t="s">
        <v>823</v>
      </c>
      <c r="B436" s="127" t="s">
        <v>824</v>
      </c>
      <c r="C436" s="127" t="s">
        <v>582</v>
      </c>
      <c r="D436" s="127" t="s">
        <v>70</v>
      </c>
      <c r="E436" t="s">
        <v>6444</v>
      </c>
    </row>
    <row r="437" spans="1:8" x14ac:dyDescent="0.2">
      <c r="A437" s="127" t="s">
        <v>823</v>
      </c>
      <c r="B437" s="127" t="s">
        <v>824</v>
      </c>
      <c r="C437" s="127" t="s">
        <v>582</v>
      </c>
      <c r="D437" s="127" t="s">
        <v>72</v>
      </c>
      <c r="E437" t="s">
        <v>6445</v>
      </c>
      <c r="F437">
        <v>0</v>
      </c>
      <c r="G437">
        <v>0</v>
      </c>
      <c r="H437">
        <v>0</v>
      </c>
    </row>
    <row r="438" spans="1:8" x14ac:dyDescent="0.2">
      <c r="A438" s="127" t="s">
        <v>823</v>
      </c>
      <c r="B438" s="127" t="s">
        <v>824</v>
      </c>
      <c r="C438" s="127" t="s">
        <v>582</v>
      </c>
      <c r="D438" s="127" t="s">
        <v>73</v>
      </c>
    </row>
    <row r="439" spans="1:8" x14ac:dyDescent="0.2">
      <c r="A439" s="127" t="s">
        <v>5546</v>
      </c>
      <c r="B439" s="127" t="s">
        <v>5547</v>
      </c>
      <c r="C439" s="127" t="s">
        <v>582</v>
      </c>
      <c r="D439" s="127" t="s">
        <v>8</v>
      </c>
      <c r="H439">
        <v>0</v>
      </c>
    </row>
    <row r="440" spans="1:8" x14ac:dyDescent="0.2">
      <c r="A440" s="127" t="s">
        <v>5546</v>
      </c>
      <c r="B440" s="127" t="s">
        <v>5547</v>
      </c>
      <c r="C440" s="127" t="s">
        <v>582</v>
      </c>
      <c r="D440" s="127" t="s">
        <v>70</v>
      </c>
      <c r="E440" t="s">
        <v>6446</v>
      </c>
    </row>
    <row r="441" spans="1:8" x14ac:dyDescent="0.2">
      <c r="A441" s="127" t="s">
        <v>5546</v>
      </c>
      <c r="B441" s="127" t="s">
        <v>5547</v>
      </c>
      <c r="C441" s="127" t="s">
        <v>582</v>
      </c>
      <c r="D441" s="127" t="s">
        <v>72</v>
      </c>
      <c r="E441" t="s">
        <v>6447</v>
      </c>
      <c r="F441">
        <v>90</v>
      </c>
      <c r="G441">
        <v>0.16666666666666666</v>
      </c>
      <c r="H441">
        <v>6</v>
      </c>
    </row>
    <row r="442" spans="1:8" x14ac:dyDescent="0.2">
      <c r="A442" s="127" t="s">
        <v>5546</v>
      </c>
      <c r="B442" s="127" t="s">
        <v>5547</v>
      </c>
      <c r="C442" s="127" t="s">
        <v>582</v>
      </c>
      <c r="D442" s="127" t="s">
        <v>73</v>
      </c>
    </row>
    <row r="443" spans="1:8" x14ac:dyDescent="0.2">
      <c r="A443" s="127" t="s">
        <v>613</v>
      </c>
      <c r="B443" s="127" t="s">
        <v>614</v>
      </c>
      <c r="C443" s="127" t="s">
        <v>582</v>
      </c>
      <c r="D443" s="127" t="s">
        <v>8</v>
      </c>
      <c r="F443">
        <v>120</v>
      </c>
      <c r="G443">
        <v>2.6666666666666665</v>
      </c>
      <c r="H443">
        <v>28.875</v>
      </c>
    </row>
    <row r="444" spans="1:8" x14ac:dyDescent="0.2">
      <c r="A444" s="127" t="s">
        <v>613</v>
      </c>
      <c r="B444" s="127" t="s">
        <v>614</v>
      </c>
      <c r="C444" s="127" t="s">
        <v>582</v>
      </c>
      <c r="D444" s="127" t="s">
        <v>5730</v>
      </c>
      <c r="F444">
        <v>0</v>
      </c>
      <c r="G444">
        <v>0</v>
      </c>
      <c r="H444">
        <v>0</v>
      </c>
    </row>
    <row r="445" spans="1:8" x14ac:dyDescent="0.2">
      <c r="A445" s="127" t="s">
        <v>613</v>
      </c>
      <c r="B445" s="127" t="s">
        <v>614</v>
      </c>
      <c r="C445" s="127" t="s">
        <v>582</v>
      </c>
      <c r="D445" s="127" t="s">
        <v>70</v>
      </c>
      <c r="E445" t="s">
        <v>6448</v>
      </c>
      <c r="F445">
        <v>360</v>
      </c>
      <c r="G445">
        <v>2.6666666666666665</v>
      </c>
      <c r="H445">
        <v>19.125</v>
      </c>
    </row>
    <row r="446" spans="1:8" x14ac:dyDescent="0.2">
      <c r="A446" s="127" t="s">
        <v>613</v>
      </c>
      <c r="B446" s="127" t="s">
        <v>614</v>
      </c>
      <c r="C446" s="127" t="s">
        <v>582</v>
      </c>
      <c r="D446" s="127" t="s">
        <v>72</v>
      </c>
      <c r="E446" t="s">
        <v>6449</v>
      </c>
      <c r="F446">
        <v>1200</v>
      </c>
      <c r="G446">
        <v>8.8333333333333339</v>
      </c>
      <c r="H446">
        <v>6.3396226415094334</v>
      </c>
    </row>
    <row r="447" spans="1:8" x14ac:dyDescent="0.2">
      <c r="A447" s="127" t="s">
        <v>613</v>
      </c>
      <c r="B447" s="127" t="s">
        <v>614</v>
      </c>
      <c r="C447" s="127" t="s">
        <v>582</v>
      </c>
      <c r="D447" s="127" t="s">
        <v>73</v>
      </c>
      <c r="F447">
        <v>720</v>
      </c>
      <c r="G447">
        <v>7.666666666666667</v>
      </c>
      <c r="H447">
        <v>2.2173913043478262</v>
      </c>
    </row>
    <row r="448" spans="1:8" x14ac:dyDescent="0.2">
      <c r="A448" s="127" t="s">
        <v>611</v>
      </c>
      <c r="B448" s="127" t="s">
        <v>612</v>
      </c>
      <c r="C448" s="127" t="s">
        <v>582</v>
      </c>
      <c r="D448" s="127" t="s">
        <v>8</v>
      </c>
      <c r="F448">
        <v>90</v>
      </c>
      <c r="G448">
        <v>1.5</v>
      </c>
      <c r="H448">
        <v>38.666666666666664</v>
      </c>
    </row>
    <row r="449" spans="1:8" x14ac:dyDescent="0.2">
      <c r="A449" s="127" t="s">
        <v>611</v>
      </c>
      <c r="B449" s="127" t="s">
        <v>612</v>
      </c>
      <c r="C449" s="127" t="s">
        <v>582</v>
      </c>
      <c r="D449" s="127" t="s">
        <v>5730</v>
      </c>
      <c r="F449">
        <v>0</v>
      </c>
      <c r="G449">
        <v>0</v>
      </c>
      <c r="H449">
        <v>0</v>
      </c>
    </row>
    <row r="450" spans="1:8" x14ac:dyDescent="0.2">
      <c r="A450" s="127" t="s">
        <v>611</v>
      </c>
      <c r="B450" s="127" t="s">
        <v>612</v>
      </c>
      <c r="C450" s="127" t="s">
        <v>582</v>
      </c>
      <c r="D450" s="127" t="s">
        <v>70</v>
      </c>
      <c r="E450" t="s">
        <v>6450</v>
      </c>
    </row>
    <row r="451" spans="1:8" x14ac:dyDescent="0.2">
      <c r="A451" s="127" t="s">
        <v>611</v>
      </c>
      <c r="B451" s="127" t="s">
        <v>612</v>
      </c>
      <c r="C451" s="127" t="s">
        <v>582</v>
      </c>
      <c r="D451" s="127" t="s">
        <v>72</v>
      </c>
      <c r="E451" t="s">
        <v>6451</v>
      </c>
      <c r="F451">
        <v>1080</v>
      </c>
      <c r="G451">
        <v>10.5</v>
      </c>
      <c r="H451">
        <v>12.095238095238095</v>
      </c>
    </row>
    <row r="452" spans="1:8" x14ac:dyDescent="0.2">
      <c r="A452" s="127" t="s">
        <v>611</v>
      </c>
      <c r="B452" s="127" t="s">
        <v>612</v>
      </c>
      <c r="C452" s="127" t="s">
        <v>582</v>
      </c>
      <c r="D452" s="127" t="s">
        <v>73</v>
      </c>
      <c r="F452">
        <v>90</v>
      </c>
      <c r="G452">
        <v>1</v>
      </c>
      <c r="H452">
        <v>21</v>
      </c>
    </row>
    <row r="453" spans="1:8" x14ac:dyDescent="0.2">
      <c r="A453" s="127" t="s">
        <v>609</v>
      </c>
      <c r="B453" s="127" t="s">
        <v>610</v>
      </c>
      <c r="C453" s="127" t="s">
        <v>582</v>
      </c>
      <c r="D453" s="127" t="s">
        <v>70</v>
      </c>
      <c r="E453" t="s">
        <v>6452</v>
      </c>
      <c r="F453">
        <v>750</v>
      </c>
      <c r="G453">
        <v>3.3333333333333335</v>
      </c>
      <c r="H453">
        <v>12</v>
      </c>
    </row>
    <row r="454" spans="1:8" x14ac:dyDescent="0.2">
      <c r="A454" s="127" t="s">
        <v>609</v>
      </c>
      <c r="B454" s="127" t="s">
        <v>610</v>
      </c>
      <c r="C454" s="127" t="s">
        <v>582</v>
      </c>
      <c r="D454" s="127" t="s">
        <v>73</v>
      </c>
      <c r="F454">
        <v>300</v>
      </c>
      <c r="G454">
        <v>0.33333333333333331</v>
      </c>
      <c r="H454">
        <v>294</v>
      </c>
    </row>
    <row r="455" spans="1:8" x14ac:dyDescent="0.2">
      <c r="A455" s="127" t="s">
        <v>615</v>
      </c>
      <c r="B455" s="127" t="s">
        <v>616</v>
      </c>
      <c r="C455" s="127" t="s">
        <v>582</v>
      </c>
      <c r="D455" s="127" t="s">
        <v>70</v>
      </c>
      <c r="E455" t="s">
        <v>7547</v>
      </c>
      <c r="F455">
        <v>240</v>
      </c>
      <c r="G455">
        <v>2.5</v>
      </c>
      <c r="H455">
        <v>16.399999999999999</v>
      </c>
    </row>
    <row r="456" spans="1:8" x14ac:dyDescent="0.2">
      <c r="A456" s="127" t="s">
        <v>615</v>
      </c>
      <c r="B456" s="127" t="s">
        <v>616</v>
      </c>
      <c r="C456" s="127" t="s">
        <v>582</v>
      </c>
      <c r="D456" s="127" t="s">
        <v>72</v>
      </c>
      <c r="E456" t="s">
        <v>6453</v>
      </c>
      <c r="F456">
        <v>480</v>
      </c>
      <c r="G456">
        <v>5.833333333333333</v>
      </c>
      <c r="H456">
        <v>23.828571428571429</v>
      </c>
    </row>
    <row r="457" spans="1:8" x14ac:dyDescent="0.2">
      <c r="A457" s="127" t="s">
        <v>617</v>
      </c>
      <c r="B457" s="127" t="s">
        <v>618</v>
      </c>
      <c r="C457" s="127" t="s">
        <v>582</v>
      </c>
      <c r="D457" s="127" t="s">
        <v>72</v>
      </c>
      <c r="E457" t="s">
        <v>6454</v>
      </c>
      <c r="F457">
        <v>400</v>
      </c>
      <c r="G457">
        <v>4.833333333333333</v>
      </c>
      <c r="H457">
        <v>22.965517241379313</v>
      </c>
    </row>
    <row r="458" spans="1:8" x14ac:dyDescent="0.2">
      <c r="A458" s="127" t="s">
        <v>617</v>
      </c>
      <c r="B458" s="127" t="s">
        <v>618</v>
      </c>
      <c r="C458" s="127" t="s">
        <v>582</v>
      </c>
      <c r="D458" s="127" t="s">
        <v>73</v>
      </c>
      <c r="F458">
        <v>0</v>
      </c>
      <c r="G458">
        <v>0</v>
      </c>
      <c r="H458">
        <v>0</v>
      </c>
    </row>
    <row r="459" spans="1:8" x14ac:dyDescent="0.2">
      <c r="A459" s="127" t="s">
        <v>5280</v>
      </c>
      <c r="B459" s="127" t="s">
        <v>5281</v>
      </c>
      <c r="C459" s="127" t="s">
        <v>582</v>
      </c>
      <c r="D459" s="127" t="s">
        <v>72</v>
      </c>
      <c r="E459" t="s">
        <v>6455</v>
      </c>
    </row>
    <row r="460" spans="1:8" x14ac:dyDescent="0.2">
      <c r="A460" s="127" t="s">
        <v>736</v>
      </c>
      <c r="B460" s="127" t="s">
        <v>737</v>
      </c>
      <c r="C460" s="127" t="s">
        <v>582</v>
      </c>
      <c r="D460" s="127" t="s">
        <v>8</v>
      </c>
      <c r="F460">
        <v>180</v>
      </c>
      <c r="G460">
        <v>2.6666666666666665</v>
      </c>
      <c r="H460">
        <v>21</v>
      </c>
    </row>
    <row r="461" spans="1:8" x14ac:dyDescent="0.2">
      <c r="A461" s="127" t="s">
        <v>736</v>
      </c>
      <c r="B461" s="127" t="s">
        <v>737</v>
      </c>
      <c r="C461" s="127" t="s">
        <v>582</v>
      </c>
      <c r="D461" s="127" t="s">
        <v>70</v>
      </c>
      <c r="E461" t="s">
        <v>6456</v>
      </c>
      <c r="F461">
        <v>210</v>
      </c>
      <c r="G461">
        <v>6.5</v>
      </c>
      <c r="H461">
        <v>14</v>
      </c>
    </row>
    <row r="462" spans="1:8" x14ac:dyDescent="0.2">
      <c r="A462" s="127" t="s">
        <v>736</v>
      </c>
      <c r="B462" s="127" t="s">
        <v>737</v>
      </c>
      <c r="C462" s="127" t="s">
        <v>582</v>
      </c>
      <c r="D462" s="127" t="s">
        <v>72</v>
      </c>
      <c r="E462" t="s">
        <v>6457</v>
      </c>
      <c r="F462">
        <v>810</v>
      </c>
      <c r="G462">
        <v>17.833333333333332</v>
      </c>
      <c r="H462">
        <v>14.242990654205608</v>
      </c>
    </row>
    <row r="463" spans="1:8" x14ac:dyDescent="0.2">
      <c r="A463" s="127" t="s">
        <v>736</v>
      </c>
      <c r="B463" s="127" t="s">
        <v>737</v>
      </c>
      <c r="C463" s="127" t="s">
        <v>582</v>
      </c>
      <c r="D463" s="127" t="s">
        <v>73</v>
      </c>
      <c r="F463">
        <v>60</v>
      </c>
      <c r="G463">
        <v>2.6666666666666665</v>
      </c>
      <c r="H463">
        <v>15.75</v>
      </c>
    </row>
    <row r="464" spans="1:8" x14ac:dyDescent="0.2">
      <c r="A464" s="127" t="s">
        <v>648</v>
      </c>
      <c r="B464" s="127" t="s">
        <v>649</v>
      </c>
      <c r="C464" s="127" t="s">
        <v>582</v>
      </c>
      <c r="D464" s="127" t="s">
        <v>8</v>
      </c>
      <c r="G464">
        <v>5.333333333333333</v>
      </c>
      <c r="H464">
        <v>13.3125</v>
      </c>
    </row>
    <row r="465" spans="1:8" x14ac:dyDescent="0.2">
      <c r="A465" s="127" t="s">
        <v>648</v>
      </c>
      <c r="B465" s="127" t="s">
        <v>649</v>
      </c>
      <c r="C465" s="127" t="s">
        <v>582</v>
      </c>
      <c r="D465" s="127" t="s">
        <v>5730</v>
      </c>
    </row>
    <row r="466" spans="1:8" x14ac:dyDescent="0.2">
      <c r="A466" s="127" t="s">
        <v>648</v>
      </c>
      <c r="B466" s="127" t="s">
        <v>649</v>
      </c>
      <c r="C466" s="127" t="s">
        <v>582</v>
      </c>
      <c r="D466" s="127" t="s">
        <v>70</v>
      </c>
      <c r="E466" t="s">
        <v>6458</v>
      </c>
      <c r="F466">
        <v>420</v>
      </c>
      <c r="G466">
        <v>9.1666666666666661</v>
      </c>
      <c r="H466">
        <v>10.581818181818182</v>
      </c>
    </row>
    <row r="467" spans="1:8" x14ac:dyDescent="0.2">
      <c r="A467" s="127" t="s">
        <v>648</v>
      </c>
      <c r="B467" s="127" t="s">
        <v>649</v>
      </c>
      <c r="C467" s="127" t="s">
        <v>582</v>
      </c>
      <c r="D467" s="127" t="s">
        <v>72</v>
      </c>
      <c r="E467" t="s">
        <v>6459</v>
      </c>
      <c r="F467">
        <v>1470</v>
      </c>
      <c r="G467">
        <v>18.333333333333332</v>
      </c>
      <c r="H467">
        <v>10.472727272727273</v>
      </c>
    </row>
    <row r="468" spans="1:8" x14ac:dyDescent="0.2">
      <c r="A468" s="127" t="s">
        <v>648</v>
      </c>
      <c r="B468" s="127" t="s">
        <v>649</v>
      </c>
      <c r="C468" s="127" t="s">
        <v>582</v>
      </c>
      <c r="D468" s="127" t="s">
        <v>73</v>
      </c>
      <c r="F468">
        <v>70</v>
      </c>
      <c r="G468">
        <v>2.1666666666666665</v>
      </c>
      <c r="H468">
        <v>24.461538461538463</v>
      </c>
    </row>
    <row r="469" spans="1:8" x14ac:dyDescent="0.2">
      <c r="A469" s="127" t="s">
        <v>716</v>
      </c>
      <c r="B469" s="127" t="s">
        <v>717</v>
      </c>
      <c r="C469" s="127" t="s">
        <v>582</v>
      </c>
      <c r="D469" s="127" t="s">
        <v>8</v>
      </c>
      <c r="F469">
        <v>100</v>
      </c>
      <c r="G469">
        <v>2</v>
      </c>
      <c r="H469">
        <v>29.5</v>
      </c>
    </row>
    <row r="470" spans="1:8" x14ac:dyDescent="0.2">
      <c r="A470" s="127" t="s">
        <v>716</v>
      </c>
      <c r="B470" s="127" t="s">
        <v>717</v>
      </c>
      <c r="C470" s="127" t="s">
        <v>582</v>
      </c>
      <c r="D470" s="127" t="s">
        <v>5730</v>
      </c>
      <c r="F470">
        <v>0</v>
      </c>
      <c r="G470">
        <v>0.16666666666666666</v>
      </c>
      <c r="H470">
        <v>48</v>
      </c>
    </row>
    <row r="471" spans="1:8" x14ac:dyDescent="0.2">
      <c r="A471" s="127" t="s">
        <v>716</v>
      </c>
      <c r="B471" s="127" t="s">
        <v>717</v>
      </c>
      <c r="C471" s="127" t="s">
        <v>582</v>
      </c>
      <c r="D471" s="127" t="s">
        <v>70</v>
      </c>
      <c r="E471" t="s">
        <v>6460</v>
      </c>
      <c r="F471">
        <v>450</v>
      </c>
      <c r="G471">
        <v>5.5</v>
      </c>
      <c r="H471">
        <v>11.636363636363637</v>
      </c>
    </row>
    <row r="472" spans="1:8" x14ac:dyDescent="0.2">
      <c r="A472" s="127" t="s">
        <v>716</v>
      </c>
      <c r="B472" s="127" t="s">
        <v>717</v>
      </c>
      <c r="C472" s="127" t="s">
        <v>582</v>
      </c>
      <c r="D472" s="127" t="s">
        <v>72</v>
      </c>
      <c r="E472" t="s">
        <v>6461</v>
      </c>
      <c r="F472">
        <v>650</v>
      </c>
      <c r="G472">
        <v>9.1666666666666661</v>
      </c>
      <c r="H472">
        <v>21.490909090909092</v>
      </c>
    </row>
    <row r="473" spans="1:8" x14ac:dyDescent="0.2">
      <c r="A473" s="127" t="s">
        <v>716</v>
      </c>
      <c r="B473" s="127" t="s">
        <v>717</v>
      </c>
      <c r="C473" s="127" t="s">
        <v>582</v>
      </c>
      <c r="D473" s="127" t="s">
        <v>73</v>
      </c>
      <c r="F473">
        <v>200</v>
      </c>
      <c r="G473">
        <v>4.5</v>
      </c>
      <c r="H473">
        <v>8.4444444444444446</v>
      </c>
    </row>
    <row r="474" spans="1:8" x14ac:dyDescent="0.2">
      <c r="A474" s="127" t="s">
        <v>704</v>
      </c>
      <c r="B474" s="127" t="s">
        <v>705</v>
      </c>
      <c r="C474" s="127" t="s">
        <v>582</v>
      </c>
      <c r="D474" s="127" t="s">
        <v>8</v>
      </c>
      <c r="F474">
        <v>40</v>
      </c>
      <c r="G474">
        <v>1.8333333333333333</v>
      </c>
      <c r="H474">
        <v>34.909090909090914</v>
      </c>
    </row>
    <row r="475" spans="1:8" x14ac:dyDescent="0.2">
      <c r="A475" s="127" t="s">
        <v>704</v>
      </c>
      <c r="B475" s="127" t="s">
        <v>705</v>
      </c>
      <c r="C475" s="127" t="s">
        <v>582</v>
      </c>
      <c r="D475" s="127" t="s">
        <v>5730</v>
      </c>
      <c r="F475">
        <v>0</v>
      </c>
      <c r="G475">
        <v>0</v>
      </c>
      <c r="H475">
        <v>0</v>
      </c>
    </row>
    <row r="476" spans="1:8" x14ac:dyDescent="0.2">
      <c r="A476" s="127" t="s">
        <v>704</v>
      </c>
      <c r="B476" s="127" t="s">
        <v>705</v>
      </c>
      <c r="C476" s="127" t="s">
        <v>582</v>
      </c>
      <c r="D476" s="127" t="s">
        <v>70</v>
      </c>
      <c r="E476" t="s">
        <v>6462</v>
      </c>
      <c r="F476">
        <v>40</v>
      </c>
      <c r="G476">
        <v>3.6666666666666665</v>
      </c>
      <c r="H476">
        <v>10.90909090909091</v>
      </c>
    </row>
    <row r="477" spans="1:8" x14ac:dyDescent="0.2">
      <c r="A477" s="127" t="s">
        <v>704</v>
      </c>
      <c r="B477" s="127" t="s">
        <v>705</v>
      </c>
      <c r="C477" s="127" t="s">
        <v>582</v>
      </c>
      <c r="D477" s="127" t="s">
        <v>72</v>
      </c>
      <c r="E477" t="s">
        <v>6463</v>
      </c>
      <c r="F477">
        <v>320</v>
      </c>
      <c r="G477">
        <v>8.3333333333333339</v>
      </c>
      <c r="H477">
        <v>23.639999999999997</v>
      </c>
    </row>
    <row r="478" spans="1:8" x14ac:dyDescent="0.2">
      <c r="A478" s="127" t="s">
        <v>704</v>
      </c>
      <c r="B478" s="127" t="s">
        <v>705</v>
      </c>
      <c r="C478" s="127" t="s">
        <v>582</v>
      </c>
      <c r="D478" s="127" t="s">
        <v>73</v>
      </c>
      <c r="F478">
        <v>80</v>
      </c>
      <c r="G478">
        <v>2.6666666666666665</v>
      </c>
      <c r="H478">
        <v>21</v>
      </c>
    </row>
    <row r="479" spans="1:8" x14ac:dyDescent="0.2">
      <c r="A479" s="127" t="s">
        <v>694</v>
      </c>
      <c r="B479" s="127" t="s">
        <v>695</v>
      </c>
      <c r="C479" s="127" t="s">
        <v>582</v>
      </c>
      <c r="D479" s="127" t="s">
        <v>8</v>
      </c>
      <c r="F479">
        <v>135</v>
      </c>
      <c r="G479">
        <v>1.8333333333333333</v>
      </c>
      <c r="H479">
        <v>32.18181818181818</v>
      </c>
    </row>
    <row r="480" spans="1:8" x14ac:dyDescent="0.2">
      <c r="A480" s="127" t="s">
        <v>694</v>
      </c>
      <c r="B480" s="127" t="s">
        <v>695</v>
      </c>
      <c r="C480" s="127" t="s">
        <v>582</v>
      </c>
      <c r="D480" s="127" t="s">
        <v>5730</v>
      </c>
      <c r="F480">
        <v>0</v>
      </c>
      <c r="G480">
        <v>0</v>
      </c>
      <c r="H480">
        <v>0</v>
      </c>
    </row>
    <row r="481" spans="1:8" x14ac:dyDescent="0.2">
      <c r="A481" s="127" t="s">
        <v>694</v>
      </c>
      <c r="B481" s="127" t="s">
        <v>695</v>
      </c>
      <c r="C481" s="127" t="s">
        <v>582</v>
      </c>
      <c r="D481" s="127" t="s">
        <v>70</v>
      </c>
      <c r="E481" t="s">
        <v>6464</v>
      </c>
      <c r="F481">
        <v>405</v>
      </c>
      <c r="G481">
        <v>5.666666666666667</v>
      </c>
      <c r="H481">
        <v>12</v>
      </c>
    </row>
    <row r="482" spans="1:8" x14ac:dyDescent="0.2">
      <c r="A482" s="127" t="s">
        <v>694</v>
      </c>
      <c r="B482" s="127" t="s">
        <v>695</v>
      </c>
      <c r="C482" s="127" t="s">
        <v>582</v>
      </c>
      <c r="D482" s="127" t="s">
        <v>72</v>
      </c>
      <c r="E482" t="s">
        <v>6465</v>
      </c>
      <c r="F482">
        <v>630</v>
      </c>
      <c r="G482">
        <v>13.166666666666666</v>
      </c>
      <c r="H482">
        <v>15.113924050632912</v>
      </c>
    </row>
    <row r="483" spans="1:8" x14ac:dyDescent="0.2">
      <c r="A483" s="127" t="s">
        <v>694</v>
      </c>
      <c r="B483" s="127" t="s">
        <v>695</v>
      </c>
      <c r="C483" s="127" t="s">
        <v>582</v>
      </c>
      <c r="D483" s="127" t="s">
        <v>73</v>
      </c>
      <c r="F483">
        <v>135</v>
      </c>
      <c r="G483">
        <v>4.666666666666667</v>
      </c>
      <c r="H483">
        <v>10.285714285714285</v>
      </c>
    </row>
    <row r="484" spans="1:8" x14ac:dyDescent="0.2">
      <c r="A484" s="127" t="s">
        <v>722</v>
      </c>
      <c r="B484" s="127" t="s">
        <v>723</v>
      </c>
      <c r="C484" s="127" t="s">
        <v>582</v>
      </c>
      <c r="D484" s="127" t="s">
        <v>8</v>
      </c>
      <c r="F484">
        <v>240</v>
      </c>
      <c r="G484">
        <v>3.3333333333333335</v>
      </c>
      <c r="H484">
        <v>16.8</v>
      </c>
    </row>
    <row r="485" spans="1:8" x14ac:dyDescent="0.2">
      <c r="A485" s="127" t="s">
        <v>722</v>
      </c>
      <c r="B485" s="127" t="s">
        <v>723</v>
      </c>
      <c r="C485" s="127" t="s">
        <v>582</v>
      </c>
      <c r="D485" s="127" t="s">
        <v>70</v>
      </c>
      <c r="E485" t="s">
        <v>6466</v>
      </c>
      <c r="F485">
        <v>720</v>
      </c>
      <c r="G485">
        <v>9</v>
      </c>
      <c r="H485">
        <v>7.8888888888888893</v>
      </c>
    </row>
    <row r="486" spans="1:8" x14ac:dyDescent="0.2">
      <c r="A486" s="127" t="s">
        <v>722</v>
      </c>
      <c r="B486" s="127" t="s">
        <v>723</v>
      </c>
      <c r="C486" s="127" t="s">
        <v>582</v>
      </c>
      <c r="D486" s="127" t="s">
        <v>72</v>
      </c>
      <c r="E486" t="s">
        <v>6467</v>
      </c>
      <c r="F486">
        <v>2100</v>
      </c>
      <c r="G486">
        <v>28.333333333333332</v>
      </c>
      <c r="H486">
        <v>6.2117647058823531</v>
      </c>
    </row>
    <row r="487" spans="1:8" x14ac:dyDescent="0.2">
      <c r="A487" s="127" t="s">
        <v>722</v>
      </c>
      <c r="B487" s="127" t="s">
        <v>723</v>
      </c>
      <c r="C487" s="127" t="s">
        <v>582</v>
      </c>
      <c r="D487" s="127" t="s">
        <v>73</v>
      </c>
      <c r="F487">
        <v>0</v>
      </c>
      <c r="G487">
        <v>4</v>
      </c>
      <c r="H487">
        <v>13.5</v>
      </c>
    </row>
    <row r="488" spans="1:8" x14ac:dyDescent="0.2">
      <c r="A488" s="127" t="s">
        <v>730</v>
      </c>
      <c r="B488" s="127" t="s">
        <v>731</v>
      </c>
      <c r="C488" s="127" t="s">
        <v>582</v>
      </c>
      <c r="D488" s="127" t="s">
        <v>8</v>
      </c>
      <c r="G488">
        <v>0.66666666666666663</v>
      </c>
      <c r="H488">
        <v>93</v>
      </c>
    </row>
    <row r="489" spans="1:8" x14ac:dyDescent="0.2">
      <c r="A489" s="127" t="s">
        <v>730</v>
      </c>
      <c r="B489" s="127" t="s">
        <v>731</v>
      </c>
      <c r="C489" s="127" t="s">
        <v>582</v>
      </c>
      <c r="D489" s="127" t="s">
        <v>70</v>
      </c>
      <c r="E489" t="s">
        <v>6468</v>
      </c>
      <c r="F489">
        <v>180</v>
      </c>
      <c r="G489">
        <v>2.5</v>
      </c>
      <c r="H489">
        <v>27.2</v>
      </c>
    </row>
    <row r="490" spans="1:8" x14ac:dyDescent="0.2">
      <c r="A490" s="127" t="s">
        <v>730</v>
      </c>
      <c r="B490" s="127" t="s">
        <v>731</v>
      </c>
      <c r="C490" s="127" t="s">
        <v>582</v>
      </c>
      <c r="D490" s="127" t="s">
        <v>72</v>
      </c>
      <c r="E490" t="s">
        <v>6469</v>
      </c>
      <c r="F490">
        <v>1320</v>
      </c>
      <c r="G490">
        <v>15</v>
      </c>
      <c r="H490">
        <v>12.533333333333333</v>
      </c>
    </row>
    <row r="491" spans="1:8" x14ac:dyDescent="0.2">
      <c r="A491" s="127" t="s">
        <v>730</v>
      </c>
      <c r="B491" s="127" t="s">
        <v>731</v>
      </c>
      <c r="C491" s="127" t="s">
        <v>582</v>
      </c>
      <c r="D491" s="127" t="s">
        <v>73</v>
      </c>
      <c r="F491">
        <v>120</v>
      </c>
      <c r="G491">
        <v>4.333333333333333</v>
      </c>
      <c r="H491">
        <v>8.5384615384615383</v>
      </c>
    </row>
    <row r="492" spans="1:8" x14ac:dyDescent="0.2">
      <c r="A492" s="127" t="s">
        <v>632</v>
      </c>
      <c r="B492" s="127" t="s">
        <v>633</v>
      </c>
      <c r="C492" s="127" t="s">
        <v>582</v>
      </c>
      <c r="D492" s="127" t="s">
        <v>8</v>
      </c>
    </row>
    <row r="493" spans="1:8" x14ac:dyDescent="0.2">
      <c r="A493" s="127" t="s">
        <v>632</v>
      </c>
      <c r="B493" s="127" t="s">
        <v>633</v>
      </c>
      <c r="C493" s="127" t="s">
        <v>582</v>
      </c>
      <c r="D493" s="127" t="s">
        <v>5730</v>
      </c>
      <c r="F493">
        <v>0</v>
      </c>
      <c r="G493">
        <v>0</v>
      </c>
      <c r="H493">
        <v>0</v>
      </c>
    </row>
    <row r="494" spans="1:8" x14ac:dyDescent="0.2">
      <c r="A494" s="127" t="s">
        <v>632</v>
      </c>
      <c r="B494" s="127" t="s">
        <v>633</v>
      </c>
      <c r="C494" s="127" t="s">
        <v>582</v>
      </c>
      <c r="D494" s="127" t="s">
        <v>70</v>
      </c>
      <c r="E494" t="s">
        <v>6470</v>
      </c>
    </row>
    <row r="495" spans="1:8" x14ac:dyDescent="0.2">
      <c r="A495" s="127" t="s">
        <v>632</v>
      </c>
      <c r="B495" s="127" t="s">
        <v>633</v>
      </c>
      <c r="C495" s="127" t="s">
        <v>582</v>
      </c>
      <c r="D495" s="127" t="s">
        <v>72</v>
      </c>
      <c r="E495" t="s">
        <v>6471</v>
      </c>
    </row>
    <row r="496" spans="1:8" x14ac:dyDescent="0.2">
      <c r="A496" s="127" t="s">
        <v>632</v>
      </c>
      <c r="B496" s="127" t="s">
        <v>633</v>
      </c>
      <c r="C496" s="127" t="s">
        <v>582</v>
      </c>
      <c r="D496" s="127" t="s">
        <v>73</v>
      </c>
    </row>
    <row r="497" spans="1:8" x14ac:dyDescent="0.2">
      <c r="A497" s="127" t="s">
        <v>638</v>
      </c>
      <c r="B497" s="127" t="s">
        <v>639</v>
      </c>
      <c r="C497" s="127" t="s">
        <v>582</v>
      </c>
      <c r="D497" s="127" t="s">
        <v>8</v>
      </c>
    </row>
    <row r="498" spans="1:8" x14ac:dyDescent="0.2">
      <c r="A498" s="127" t="s">
        <v>638</v>
      </c>
      <c r="B498" s="127" t="s">
        <v>639</v>
      </c>
      <c r="C498" s="127" t="s">
        <v>582</v>
      </c>
      <c r="D498" s="127" t="s">
        <v>70</v>
      </c>
      <c r="E498" t="s">
        <v>6472</v>
      </c>
    </row>
    <row r="499" spans="1:8" x14ac:dyDescent="0.2">
      <c r="A499" s="127" t="s">
        <v>638</v>
      </c>
      <c r="B499" s="127" t="s">
        <v>639</v>
      </c>
      <c r="C499" s="127" t="s">
        <v>582</v>
      </c>
      <c r="D499" s="127" t="s">
        <v>72</v>
      </c>
      <c r="E499" t="s">
        <v>6473</v>
      </c>
    </row>
    <row r="500" spans="1:8" x14ac:dyDescent="0.2">
      <c r="A500" s="127" t="s">
        <v>638</v>
      </c>
      <c r="B500" s="127" t="s">
        <v>639</v>
      </c>
      <c r="C500" s="127" t="s">
        <v>582</v>
      </c>
      <c r="D500" s="127" t="s">
        <v>73</v>
      </c>
    </row>
    <row r="501" spans="1:8" x14ac:dyDescent="0.2">
      <c r="A501" s="127" t="s">
        <v>650</v>
      </c>
      <c r="B501" s="127" t="s">
        <v>651</v>
      </c>
      <c r="C501" s="127" t="s">
        <v>582</v>
      </c>
      <c r="D501" s="127" t="s">
        <v>8</v>
      </c>
      <c r="F501">
        <v>480</v>
      </c>
      <c r="G501">
        <v>2.6666666666666665</v>
      </c>
      <c r="H501">
        <v>21.75</v>
      </c>
    </row>
    <row r="502" spans="1:8" x14ac:dyDescent="0.2">
      <c r="A502" s="127" t="s">
        <v>650</v>
      </c>
      <c r="B502" s="127" t="s">
        <v>651</v>
      </c>
      <c r="C502" s="127" t="s">
        <v>582</v>
      </c>
      <c r="D502" s="127" t="s">
        <v>5730</v>
      </c>
    </row>
    <row r="503" spans="1:8" x14ac:dyDescent="0.2">
      <c r="A503" s="127" t="s">
        <v>650</v>
      </c>
      <c r="B503" s="127" t="s">
        <v>651</v>
      </c>
      <c r="C503" s="127" t="s">
        <v>582</v>
      </c>
      <c r="D503" s="127" t="s">
        <v>70</v>
      </c>
      <c r="E503" t="s">
        <v>6474</v>
      </c>
      <c r="F503">
        <v>720</v>
      </c>
      <c r="G503">
        <v>3.8333333333333335</v>
      </c>
      <c r="H503">
        <v>18.521739130434781</v>
      </c>
    </row>
    <row r="504" spans="1:8" x14ac:dyDescent="0.2">
      <c r="A504" s="127" t="s">
        <v>650</v>
      </c>
      <c r="B504" s="127" t="s">
        <v>651</v>
      </c>
      <c r="C504" s="127" t="s">
        <v>582</v>
      </c>
      <c r="D504" s="127" t="s">
        <v>72</v>
      </c>
      <c r="E504" t="s">
        <v>6475</v>
      </c>
      <c r="F504">
        <v>1680</v>
      </c>
      <c r="G504">
        <v>14.166666666666666</v>
      </c>
      <c r="H504">
        <v>13.623529411764707</v>
      </c>
    </row>
    <row r="505" spans="1:8" x14ac:dyDescent="0.2">
      <c r="A505" s="127" t="s">
        <v>650</v>
      </c>
      <c r="B505" s="127" t="s">
        <v>651</v>
      </c>
      <c r="C505" s="127" t="s">
        <v>582</v>
      </c>
      <c r="D505" s="127" t="s">
        <v>73</v>
      </c>
      <c r="F505">
        <v>360</v>
      </c>
      <c r="G505">
        <v>2.6666666666666665</v>
      </c>
      <c r="H505">
        <v>24.75</v>
      </c>
    </row>
    <row r="506" spans="1:8" x14ac:dyDescent="0.2">
      <c r="A506" s="127" t="s">
        <v>605</v>
      </c>
      <c r="B506" s="127" t="s">
        <v>606</v>
      </c>
      <c r="C506" s="127" t="s">
        <v>582</v>
      </c>
      <c r="D506" s="127" t="s">
        <v>8</v>
      </c>
      <c r="F506">
        <v>600</v>
      </c>
      <c r="G506">
        <v>3.6666666666666665</v>
      </c>
      <c r="H506">
        <v>15</v>
      </c>
    </row>
    <row r="507" spans="1:8" x14ac:dyDescent="0.2">
      <c r="A507" s="127" t="s">
        <v>605</v>
      </c>
      <c r="B507" s="127" t="s">
        <v>606</v>
      </c>
      <c r="C507" s="127" t="s">
        <v>582</v>
      </c>
      <c r="D507" s="127" t="s">
        <v>5730</v>
      </c>
      <c r="F507">
        <v>0</v>
      </c>
      <c r="G507">
        <v>0</v>
      </c>
      <c r="H507">
        <v>0</v>
      </c>
    </row>
    <row r="508" spans="1:8" x14ac:dyDescent="0.2">
      <c r="A508" s="127" t="s">
        <v>605</v>
      </c>
      <c r="B508" s="127" t="s">
        <v>606</v>
      </c>
      <c r="C508" s="127" t="s">
        <v>582</v>
      </c>
      <c r="D508" s="127" t="s">
        <v>70</v>
      </c>
      <c r="E508" t="s">
        <v>6476</v>
      </c>
      <c r="F508">
        <v>600</v>
      </c>
      <c r="G508">
        <v>2.1666666666666665</v>
      </c>
      <c r="H508">
        <v>20.76923076923077</v>
      </c>
    </row>
    <row r="509" spans="1:8" x14ac:dyDescent="0.2">
      <c r="A509" s="127" t="s">
        <v>605</v>
      </c>
      <c r="B509" s="127" t="s">
        <v>606</v>
      </c>
      <c r="C509" s="127" t="s">
        <v>582</v>
      </c>
      <c r="D509" s="127" t="s">
        <v>72</v>
      </c>
      <c r="E509" t="s">
        <v>6477</v>
      </c>
      <c r="F509">
        <v>4400</v>
      </c>
      <c r="G509">
        <v>22.166666666666668</v>
      </c>
      <c r="H509">
        <v>9.2481203007518786</v>
      </c>
    </row>
    <row r="510" spans="1:8" x14ac:dyDescent="0.2">
      <c r="A510" s="127" t="s">
        <v>605</v>
      </c>
      <c r="B510" s="127" t="s">
        <v>606</v>
      </c>
      <c r="C510" s="127" t="s">
        <v>582</v>
      </c>
      <c r="D510" s="127" t="s">
        <v>73</v>
      </c>
      <c r="F510">
        <v>0</v>
      </c>
      <c r="G510">
        <v>0.83333333333333337</v>
      </c>
      <c r="H510">
        <v>55.199999999999996</v>
      </c>
    </row>
    <row r="511" spans="1:8" x14ac:dyDescent="0.2">
      <c r="A511" s="127" t="s">
        <v>603</v>
      </c>
      <c r="B511" s="127" t="s">
        <v>5798</v>
      </c>
      <c r="C511" s="127" t="s">
        <v>582</v>
      </c>
      <c r="D511" s="127" t="s">
        <v>72</v>
      </c>
      <c r="E511" t="s">
        <v>6478</v>
      </c>
    </row>
    <row r="512" spans="1:8" x14ac:dyDescent="0.2">
      <c r="A512" s="127" t="s">
        <v>603</v>
      </c>
      <c r="B512" s="127" t="s">
        <v>5798</v>
      </c>
      <c r="C512" s="127" t="s">
        <v>582</v>
      </c>
      <c r="D512" s="127" t="s">
        <v>73</v>
      </c>
    </row>
    <row r="513" spans="1:8" x14ac:dyDescent="0.2">
      <c r="A513" s="127" t="s">
        <v>688</v>
      </c>
      <c r="B513" s="127" t="s">
        <v>689</v>
      </c>
      <c r="C513" s="127" t="s">
        <v>582</v>
      </c>
      <c r="D513" s="127" t="s">
        <v>5730</v>
      </c>
      <c r="F513">
        <v>0</v>
      </c>
      <c r="G513">
        <v>0.16666666666666666</v>
      </c>
      <c r="H513">
        <v>42</v>
      </c>
    </row>
    <row r="514" spans="1:8" x14ac:dyDescent="0.2">
      <c r="A514" s="127" t="s">
        <v>688</v>
      </c>
      <c r="B514" s="127" t="s">
        <v>689</v>
      </c>
      <c r="C514" s="127" t="s">
        <v>582</v>
      </c>
      <c r="D514" s="127" t="s">
        <v>70</v>
      </c>
      <c r="E514" t="s">
        <v>7548</v>
      </c>
      <c r="F514">
        <v>90</v>
      </c>
      <c r="G514">
        <v>3.5</v>
      </c>
      <c r="H514">
        <v>12.285714285714286</v>
      </c>
    </row>
    <row r="515" spans="1:8" x14ac:dyDescent="0.2">
      <c r="A515" s="127" t="s">
        <v>688</v>
      </c>
      <c r="B515" s="127" t="s">
        <v>689</v>
      </c>
      <c r="C515" s="127" t="s">
        <v>582</v>
      </c>
      <c r="D515" s="127" t="s">
        <v>72</v>
      </c>
      <c r="E515" t="s">
        <v>6479</v>
      </c>
      <c r="F515">
        <v>675</v>
      </c>
      <c r="G515">
        <v>11.833333333333334</v>
      </c>
      <c r="H515">
        <v>17.154929577464788</v>
      </c>
    </row>
    <row r="516" spans="1:8" x14ac:dyDescent="0.2">
      <c r="A516" s="127" t="s">
        <v>688</v>
      </c>
      <c r="B516" s="127" t="s">
        <v>689</v>
      </c>
      <c r="C516" s="127" t="s">
        <v>582</v>
      </c>
      <c r="D516" s="127" t="s">
        <v>73</v>
      </c>
      <c r="F516">
        <v>180</v>
      </c>
      <c r="G516">
        <v>5.833333333333333</v>
      </c>
      <c r="H516">
        <v>6.5142857142857142</v>
      </c>
    </row>
    <row r="517" spans="1:8" x14ac:dyDescent="0.2">
      <c r="A517" s="127" t="s">
        <v>686</v>
      </c>
      <c r="B517" s="127" t="s">
        <v>687</v>
      </c>
      <c r="C517" s="127" t="s">
        <v>582</v>
      </c>
      <c r="D517" s="127" t="s">
        <v>8</v>
      </c>
      <c r="F517">
        <v>180</v>
      </c>
      <c r="G517">
        <v>3.1666666666666665</v>
      </c>
      <c r="H517">
        <v>18.315789473684212</v>
      </c>
    </row>
    <row r="518" spans="1:8" x14ac:dyDescent="0.2">
      <c r="A518" s="127" t="s">
        <v>686</v>
      </c>
      <c r="B518" s="127" t="s">
        <v>687</v>
      </c>
      <c r="C518" s="127" t="s">
        <v>582</v>
      </c>
      <c r="D518" s="127" t="s">
        <v>5730</v>
      </c>
    </row>
    <row r="519" spans="1:8" x14ac:dyDescent="0.2">
      <c r="A519" s="127" t="s">
        <v>686</v>
      </c>
      <c r="B519" s="127" t="s">
        <v>687</v>
      </c>
      <c r="C519" s="127" t="s">
        <v>582</v>
      </c>
      <c r="D519" s="127" t="s">
        <v>70</v>
      </c>
      <c r="E519" t="s">
        <v>6480</v>
      </c>
      <c r="F519">
        <v>180</v>
      </c>
      <c r="G519">
        <v>3.1666666666666665</v>
      </c>
      <c r="H519">
        <v>19.263157894736842</v>
      </c>
    </row>
    <row r="520" spans="1:8" x14ac:dyDescent="0.2">
      <c r="A520" s="127" t="s">
        <v>686</v>
      </c>
      <c r="B520" s="127" t="s">
        <v>687</v>
      </c>
      <c r="C520" s="127" t="s">
        <v>582</v>
      </c>
      <c r="D520" s="127" t="s">
        <v>72</v>
      </c>
      <c r="E520" t="s">
        <v>6481</v>
      </c>
      <c r="F520">
        <v>180</v>
      </c>
      <c r="G520">
        <v>5.5</v>
      </c>
      <c r="H520">
        <v>23.272727272727273</v>
      </c>
    </row>
    <row r="521" spans="1:8" x14ac:dyDescent="0.2">
      <c r="A521" s="127" t="s">
        <v>686</v>
      </c>
      <c r="B521" s="127" t="s">
        <v>687</v>
      </c>
      <c r="C521" s="127" t="s">
        <v>582</v>
      </c>
      <c r="D521" s="127" t="s">
        <v>73</v>
      </c>
      <c r="F521">
        <v>120</v>
      </c>
      <c r="G521">
        <v>3</v>
      </c>
      <c r="H521">
        <v>19</v>
      </c>
    </row>
    <row r="522" spans="1:8" x14ac:dyDescent="0.2">
      <c r="A522" s="127" t="s">
        <v>684</v>
      </c>
      <c r="B522" s="127" t="s">
        <v>685</v>
      </c>
      <c r="C522" s="127" t="s">
        <v>582</v>
      </c>
      <c r="D522" s="127" t="s">
        <v>70</v>
      </c>
      <c r="E522" t="s">
        <v>6482</v>
      </c>
      <c r="F522">
        <v>120</v>
      </c>
      <c r="G522">
        <v>4</v>
      </c>
      <c r="H522">
        <v>14.75</v>
      </c>
    </row>
    <row r="523" spans="1:8" x14ac:dyDescent="0.2">
      <c r="A523" s="127" t="s">
        <v>684</v>
      </c>
      <c r="B523" s="127" t="s">
        <v>685</v>
      </c>
      <c r="C523" s="127" t="s">
        <v>582</v>
      </c>
      <c r="D523" s="127" t="s">
        <v>72</v>
      </c>
      <c r="E523" t="s">
        <v>6483</v>
      </c>
      <c r="F523">
        <v>180</v>
      </c>
      <c r="G523">
        <v>3.5</v>
      </c>
      <c r="H523">
        <v>32</v>
      </c>
    </row>
    <row r="524" spans="1:8" x14ac:dyDescent="0.2">
      <c r="A524" s="127" t="s">
        <v>684</v>
      </c>
      <c r="B524" s="127" t="s">
        <v>685</v>
      </c>
      <c r="C524" s="127" t="s">
        <v>582</v>
      </c>
      <c r="D524" s="127" t="s">
        <v>73</v>
      </c>
      <c r="F524">
        <v>60</v>
      </c>
      <c r="G524">
        <v>1.5</v>
      </c>
      <c r="H524">
        <v>34</v>
      </c>
    </row>
    <row r="525" spans="1:8" x14ac:dyDescent="0.2">
      <c r="A525" s="127" t="s">
        <v>718</v>
      </c>
      <c r="B525" s="127" t="s">
        <v>719</v>
      </c>
      <c r="C525" s="127" t="s">
        <v>582</v>
      </c>
      <c r="D525" s="127" t="s">
        <v>70</v>
      </c>
      <c r="E525" t="s">
        <v>6484</v>
      </c>
      <c r="F525">
        <v>150</v>
      </c>
      <c r="G525">
        <v>2.6666666666666665</v>
      </c>
      <c r="H525">
        <v>14.625</v>
      </c>
    </row>
    <row r="526" spans="1:8" x14ac:dyDescent="0.2">
      <c r="A526" s="127" t="s">
        <v>718</v>
      </c>
      <c r="B526" s="127" t="s">
        <v>719</v>
      </c>
      <c r="C526" s="127" t="s">
        <v>582</v>
      </c>
      <c r="D526" s="127" t="s">
        <v>72</v>
      </c>
      <c r="E526" t="s">
        <v>6485</v>
      </c>
      <c r="F526">
        <v>300</v>
      </c>
      <c r="G526">
        <v>2.6666666666666665</v>
      </c>
      <c r="H526">
        <v>38.25</v>
      </c>
    </row>
    <row r="527" spans="1:8" x14ac:dyDescent="0.2">
      <c r="A527" s="127" t="s">
        <v>718</v>
      </c>
      <c r="B527" s="127" t="s">
        <v>719</v>
      </c>
      <c r="C527" s="127" t="s">
        <v>582</v>
      </c>
      <c r="D527" s="127" t="s">
        <v>73</v>
      </c>
      <c r="F527">
        <v>150</v>
      </c>
      <c r="G527">
        <v>2.6666666666666665</v>
      </c>
      <c r="H527">
        <v>22.875</v>
      </c>
    </row>
    <row r="528" spans="1:8" x14ac:dyDescent="0.2">
      <c r="A528" s="127" t="s">
        <v>696</v>
      </c>
      <c r="B528" s="127" t="s">
        <v>697</v>
      </c>
      <c r="C528" s="127" t="s">
        <v>582</v>
      </c>
      <c r="D528" s="127" t="s">
        <v>72</v>
      </c>
      <c r="E528" t="s">
        <v>6486</v>
      </c>
      <c r="F528">
        <v>90</v>
      </c>
      <c r="G528">
        <v>1.8333333333333333</v>
      </c>
      <c r="H528">
        <v>57.272727272727273</v>
      </c>
    </row>
    <row r="529" spans="1:8" x14ac:dyDescent="0.2">
      <c r="A529" s="127" t="s">
        <v>696</v>
      </c>
      <c r="B529" s="127" t="s">
        <v>697</v>
      </c>
      <c r="C529" s="127" t="s">
        <v>582</v>
      </c>
      <c r="D529" s="127" t="s">
        <v>73</v>
      </c>
      <c r="F529">
        <v>270</v>
      </c>
      <c r="G529">
        <v>1.8333333333333333</v>
      </c>
      <c r="H529">
        <v>31.636363636363637</v>
      </c>
    </row>
    <row r="530" spans="1:8" x14ac:dyDescent="0.2">
      <c r="A530" s="127" t="s">
        <v>692</v>
      </c>
      <c r="B530" s="127" t="s">
        <v>693</v>
      </c>
      <c r="C530" s="127" t="s">
        <v>582</v>
      </c>
      <c r="D530" s="127" t="s">
        <v>70</v>
      </c>
      <c r="E530" t="s">
        <v>6487</v>
      </c>
      <c r="F530">
        <v>0</v>
      </c>
      <c r="G530">
        <v>0.33333333333333331</v>
      </c>
      <c r="H530">
        <v>6</v>
      </c>
    </row>
    <row r="531" spans="1:8" x14ac:dyDescent="0.2">
      <c r="A531" s="127" t="s">
        <v>690</v>
      </c>
      <c r="B531" s="127" t="s">
        <v>691</v>
      </c>
      <c r="C531" s="127" t="s">
        <v>582</v>
      </c>
      <c r="D531" s="127" t="s">
        <v>70</v>
      </c>
      <c r="E531" t="s">
        <v>6488</v>
      </c>
      <c r="F531">
        <v>45</v>
      </c>
      <c r="G531">
        <v>1</v>
      </c>
      <c r="H531">
        <v>11</v>
      </c>
    </row>
    <row r="532" spans="1:8" x14ac:dyDescent="0.2">
      <c r="A532" s="127" t="s">
        <v>646</v>
      </c>
      <c r="B532" s="127" t="s">
        <v>647</v>
      </c>
      <c r="C532" s="127" t="s">
        <v>582</v>
      </c>
      <c r="D532" s="127" t="s">
        <v>5730</v>
      </c>
      <c r="F532">
        <v>0</v>
      </c>
      <c r="G532">
        <v>0</v>
      </c>
      <c r="H532">
        <v>0</v>
      </c>
    </row>
    <row r="533" spans="1:8" x14ac:dyDescent="0.2">
      <c r="A533" s="127" t="s">
        <v>646</v>
      </c>
      <c r="B533" s="127" t="s">
        <v>647</v>
      </c>
      <c r="C533" s="127" t="s">
        <v>582</v>
      </c>
      <c r="D533" s="127" t="s">
        <v>70</v>
      </c>
      <c r="E533" t="s">
        <v>6489</v>
      </c>
      <c r="F533">
        <v>70</v>
      </c>
      <c r="G533">
        <v>0.83333333333333337</v>
      </c>
      <c r="H533">
        <v>4.8</v>
      </c>
    </row>
    <row r="534" spans="1:8" x14ac:dyDescent="0.2">
      <c r="A534" s="127" t="s">
        <v>646</v>
      </c>
      <c r="B534" s="127" t="s">
        <v>647</v>
      </c>
      <c r="C534" s="127" t="s">
        <v>582</v>
      </c>
      <c r="D534" s="127" t="s">
        <v>72</v>
      </c>
      <c r="E534" t="s">
        <v>6490</v>
      </c>
      <c r="F534">
        <v>1540</v>
      </c>
      <c r="G534">
        <v>16.166666666666668</v>
      </c>
      <c r="H534">
        <v>7.2371134020618548</v>
      </c>
    </row>
    <row r="535" spans="1:8" x14ac:dyDescent="0.2">
      <c r="A535" s="127" t="s">
        <v>646</v>
      </c>
      <c r="B535" s="127" t="s">
        <v>647</v>
      </c>
      <c r="C535" s="127" t="s">
        <v>582</v>
      </c>
      <c r="D535" s="127" t="s">
        <v>73</v>
      </c>
      <c r="F535">
        <v>210</v>
      </c>
      <c r="G535">
        <v>3</v>
      </c>
      <c r="H535">
        <v>18</v>
      </c>
    </row>
    <row r="536" spans="1:8" x14ac:dyDescent="0.2">
      <c r="A536" s="127" t="s">
        <v>644</v>
      </c>
      <c r="B536" s="127" t="s">
        <v>645</v>
      </c>
      <c r="C536" s="127" t="s">
        <v>582</v>
      </c>
      <c r="D536" s="127" t="s">
        <v>72</v>
      </c>
      <c r="E536" t="s">
        <v>6491</v>
      </c>
      <c r="F536">
        <v>0</v>
      </c>
      <c r="G536">
        <v>0</v>
      </c>
      <c r="H536">
        <v>0</v>
      </c>
    </row>
    <row r="537" spans="1:8" x14ac:dyDescent="0.2">
      <c r="A537" s="127" t="s">
        <v>644</v>
      </c>
      <c r="B537" s="127" t="s">
        <v>645</v>
      </c>
      <c r="C537" s="127" t="s">
        <v>582</v>
      </c>
      <c r="D537" s="127" t="s">
        <v>73</v>
      </c>
    </row>
    <row r="538" spans="1:8" x14ac:dyDescent="0.2">
      <c r="A538" s="127" t="s">
        <v>700</v>
      </c>
      <c r="B538" s="127" t="s">
        <v>701</v>
      </c>
      <c r="C538" s="127" t="s">
        <v>582</v>
      </c>
      <c r="D538" s="127" t="s">
        <v>8</v>
      </c>
      <c r="F538">
        <v>240</v>
      </c>
      <c r="G538">
        <v>3.1666666666666665</v>
      </c>
      <c r="H538">
        <v>18.631578947368421</v>
      </c>
    </row>
    <row r="539" spans="1:8" x14ac:dyDescent="0.2">
      <c r="A539" s="127" t="s">
        <v>700</v>
      </c>
      <c r="B539" s="127" t="s">
        <v>701</v>
      </c>
      <c r="C539" s="127" t="s">
        <v>582</v>
      </c>
      <c r="D539" s="127" t="s">
        <v>70</v>
      </c>
      <c r="E539" t="s">
        <v>6492</v>
      </c>
      <c r="F539">
        <v>540</v>
      </c>
      <c r="G539">
        <v>5.833333333333333</v>
      </c>
      <c r="H539">
        <v>14.22857142857143</v>
      </c>
    </row>
    <row r="540" spans="1:8" x14ac:dyDescent="0.2">
      <c r="A540" s="127" t="s">
        <v>700</v>
      </c>
      <c r="B540" s="127" t="s">
        <v>701</v>
      </c>
      <c r="C540" s="127" t="s">
        <v>582</v>
      </c>
      <c r="D540" s="127" t="s">
        <v>72</v>
      </c>
      <c r="E540" t="s">
        <v>6493</v>
      </c>
      <c r="F540">
        <v>840</v>
      </c>
      <c r="G540">
        <v>10.833333333333334</v>
      </c>
      <c r="H540">
        <v>11.261538461538461</v>
      </c>
    </row>
    <row r="541" spans="1:8" x14ac:dyDescent="0.2">
      <c r="A541" s="127" t="s">
        <v>700</v>
      </c>
      <c r="B541" s="127" t="s">
        <v>701</v>
      </c>
      <c r="C541" s="127" t="s">
        <v>582</v>
      </c>
      <c r="D541" s="127" t="s">
        <v>73</v>
      </c>
      <c r="F541">
        <v>240</v>
      </c>
      <c r="G541">
        <v>6.666666666666667</v>
      </c>
      <c r="H541">
        <v>14.549999999999999</v>
      </c>
    </row>
    <row r="542" spans="1:8" x14ac:dyDescent="0.2">
      <c r="A542" s="127" t="s">
        <v>714</v>
      </c>
      <c r="B542" s="127" t="s">
        <v>715</v>
      </c>
      <c r="C542" s="127" t="s">
        <v>582</v>
      </c>
      <c r="D542" s="127" t="s">
        <v>72</v>
      </c>
      <c r="E542" t="s">
        <v>6494</v>
      </c>
    </row>
    <row r="543" spans="1:8" x14ac:dyDescent="0.2">
      <c r="A543" s="127" t="s">
        <v>714</v>
      </c>
      <c r="B543" s="127" t="s">
        <v>715</v>
      </c>
      <c r="C543" s="127" t="s">
        <v>582</v>
      </c>
      <c r="D543" s="127" t="s">
        <v>73</v>
      </c>
      <c r="F543">
        <v>0</v>
      </c>
      <c r="G543">
        <v>0.5</v>
      </c>
      <c r="H543">
        <v>6</v>
      </c>
    </row>
    <row r="544" spans="1:8" x14ac:dyDescent="0.2">
      <c r="A544" s="127" t="s">
        <v>712</v>
      </c>
      <c r="B544" s="127" t="s">
        <v>713</v>
      </c>
      <c r="C544" s="127" t="s">
        <v>582</v>
      </c>
      <c r="D544" s="127" t="s">
        <v>70</v>
      </c>
      <c r="E544" t="s">
        <v>6495</v>
      </c>
      <c r="F544">
        <v>0</v>
      </c>
      <c r="G544">
        <v>1.6666666666666667</v>
      </c>
      <c r="H544">
        <v>12.6</v>
      </c>
    </row>
    <row r="545" spans="1:8" x14ac:dyDescent="0.2">
      <c r="A545" s="127" t="s">
        <v>710</v>
      </c>
      <c r="B545" s="127" t="s">
        <v>711</v>
      </c>
      <c r="C545" s="127" t="s">
        <v>582</v>
      </c>
      <c r="D545" s="127" t="s">
        <v>70</v>
      </c>
      <c r="E545" t="s">
        <v>6496</v>
      </c>
      <c r="F545">
        <v>0</v>
      </c>
      <c r="G545">
        <v>1.8333333333333333</v>
      </c>
      <c r="H545">
        <v>6</v>
      </c>
    </row>
    <row r="546" spans="1:8" x14ac:dyDescent="0.2">
      <c r="A546" s="127" t="s">
        <v>724</v>
      </c>
      <c r="B546" s="127" t="s">
        <v>725</v>
      </c>
      <c r="C546" s="127" t="s">
        <v>582</v>
      </c>
      <c r="D546" s="127" t="s">
        <v>72</v>
      </c>
      <c r="E546" t="s">
        <v>6497</v>
      </c>
      <c r="F546">
        <v>150</v>
      </c>
      <c r="G546">
        <v>1</v>
      </c>
      <c r="H546">
        <v>28</v>
      </c>
    </row>
    <row r="547" spans="1:8" x14ac:dyDescent="0.2">
      <c r="A547" s="127" t="s">
        <v>724</v>
      </c>
      <c r="B547" s="127" t="s">
        <v>725</v>
      </c>
      <c r="C547" s="127" t="s">
        <v>582</v>
      </c>
      <c r="D547" s="127" t="s">
        <v>73</v>
      </c>
    </row>
    <row r="548" spans="1:8" x14ac:dyDescent="0.2">
      <c r="A548" s="127" t="s">
        <v>702</v>
      </c>
      <c r="B548" s="127" t="s">
        <v>703</v>
      </c>
      <c r="C548" s="127" t="s">
        <v>582</v>
      </c>
      <c r="D548" s="127" t="s">
        <v>8</v>
      </c>
      <c r="G548">
        <v>0.66666666666666663</v>
      </c>
      <c r="H548">
        <v>120</v>
      </c>
    </row>
    <row r="549" spans="1:8" x14ac:dyDescent="0.2">
      <c r="A549" s="127" t="s">
        <v>702</v>
      </c>
      <c r="B549" s="127" t="s">
        <v>703</v>
      </c>
      <c r="C549" s="127" t="s">
        <v>582</v>
      </c>
      <c r="D549" s="127" t="s">
        <v>70</v>
      </c>
      <c r="E549" t="s">
        <v>6498</v>
      </c>
      <c r="F549">
        <v>540</v>
      </c>
      <c r="G549">
        <v>1.6666666666666667</v>
      </c>
      <c r="H549">
        <v>24.599999999999998</v>
      </c>
    </row>
    <row r="550" spans="1:8" x14ac:dyDescent="0.2">
      <c r="A550" s="127" t="s">
        <v>702</v>
      </c>
      <c r="B550" s="127" t="s">
        <v>703</v>
      </c>
      <c r="C550" s="127" t="s">
        <v>582</v>
      </c>
      <c r="D550" s="127" t="s">
        <v>72</v>
      </c>
      <c r="E550" t="s">
        <v>6499</v>
      </c>
      <c r="F550">
        <v>540</v>
      </c>
      <c r="G550">
        <v>2.5</v>
      </c>
      <c r="H550">
        <v>44.4</v>
      </c>
    </row>
    <row r="551" spans="1:8" x14ac:dyDescent="0.2">
      <c r="A551" s="127" t="s">
        <v>702</v>
      </c>
      <c r="B551" s="127" t="s">
        <v>703</v>
      </c>
      <c r="C551" s="127" t="s">
        <v>582</v>
      </c>
      <c r="D551" s="127" t="s">
        <v>73</v>
      </c>
      <c r="F551">
        <v>180</v>
      </c>
      <c r="G551">
        <v>1.8333333333333333</v>
      </c>
      <c r="H551">
        <v>22.90909090909091</v>
      </c>
    </row>
    <row r="552" spans="1:8" x14ac:dyDescent="0.2">
      <c r="A552" s="127" t="s">
        <v>726</v>
      </c>
      <c r="B552" s="127" t="s">
        <v>727</v>
      </c>
      <c r="C552" s="127" t="s">
        <v>582</v>
      </c>
      <c r="D552" s="127" t="s">
        <v>8</v>
      </c>
      <c r="F552">
        <v>750</v>
      </c>
      <c r="G552">
        <v>2.6666666666666665</v>
      </c>
      <c r="H552">
        <v>20.25</v>
      </c>
    </row>
    <row r="553" spans="1:8" x14ac:dyDescent="0.2">
      <c r="A553" s="127" t="s">
        <v>726</v>
      </c>
      <c r="B553" s="127" t="s">
        <v>727</v>
      </c>
      <c r="C553" s="127" t="s">
        <v>582</v>
      </c>
      <c r="D553" s="127" t="s">
        <v>70</v>
      </c>
      <c r="E553" t="s">
        <v>6500</v>
      </c>
      <c r="F553">
        <v>0</v>
      </c>
      <c r="G553">
        <v>0.5</v>
      </c>
      <c r="H553">
        <v>30</v>
      </c>
    </row>
    <row r="554" spans="1:8" x14ac:dyDescent="0.2">
      <c r="A554" s="127" t="s">
        <v>726</v>
      </c>
      <c r="B554" s="127" t="s">
        <v>727</v>
      </c>
      <c r="C554" s="127" t="s">
        <v>582</v>
      </c>
      <c r="D554" s="127" t="s">
        <v>72</v>
      </c>
      <c r="E554" t="s">
        <v>6501</v>
      </c>
      <c r="F554">
        <v>750</v>
      </c>
      <c r="G554">
        <v>3.8333333333333335</v>
      </c>
      <c r="H554">
        <v>27.652173913043477</v>
      </c>
    </row>
    <row r="555" spans="1:8" x14ac:dyDescent="0.2">
      <c r="A555" s="127" t="s">
        <v>726</v>
      </c>
      <c r="B555" s="127" t="s">
        <v>727</v>
      </c>
      <c r="C555" s="127" t="s">
        <v>582</v>
      </c>
      <c r="D555" s="127" t="s">
        <v>73</v>
      </c>
      <c r="F555">
        <v>300</v>
      </c>
      <c r="G555">
        <v>12.166666666666666</v>
      </c>
      <c r="H555">
        <v>2.3013698630136989</v>
      </c>
    </row>
    <row r="556" spans="1:8" x14ac:dyDescent="0.2">
      <c r="A556" s="127" t="s">
        <v>720</v>
      </c>
      <c r="B556" s="127" t="s">
        <v>721</v>
      </c>
      <c r="C556" s="127" t="s">
        <v>582</v>
      </c>
      <c r="D556" s="127" t="s">
        <v>8</v>
      </c>
      <c r="G556">
        <v>0.66666666666666663</v>
      </c>
      <c r="H556">
        <v>103.5</v>
      </c>
    </row>
    <row r="557" spans="1:8" x14ac:dyDescent="0.2">
      <c r="A557" s="127" t="s">
        <v>720</v>
      </c>
      <c r="B557" s="127" t="s">
        <v>721</v>
      </c>
      <c r="C557" s="127" t="s">
        <v>582</v>
      </c>
      <c r="D557" s="127" t="s">
        <v>70</v>
      </c>
      <c r="E557" t="s">
        <v>6502</v>
      </c>
      <c r="F557">
        <v>140</v>
      </c>
      <c r="G557">
        <v>1.3333333333333333</v>
      </c>
      <c r="H557">
        <v>38.25</v>
      </c>
    </row>
    <row r="558" spans="1:8" x14ac:dyDescent="0.2">
      <c r="A558" s="127" t="s">
        <v>720</v>
      </c>
      <c r="B558" s="127" t="s">
        <v>721</v>
      </c>
      <c r="C558" s="127" t="s">
        <v>582</v>
      </c>
      <c r="D558" s="127" t="s">
        <v>72</v>
      </c>
      <c r="E558" t="s">
        <v>6503</v>
      </c>
      <c r="F558">
        <v>70</v>
      </c>
      <c r="G558">
        <v>2.8333333333333335</v>
      </c>
      <c r="H558">
        <v>47.294117647058819</v>
      </c>
    </row>
    <row r="559" spans="1:8" x14ac:dyDescent="0.2">
      <c r="A559" s="127" t="s">
        <v>720</v>
      </c>
      <c r="B559" s="127" t="s">
        <v>721</v>
      </c>
      <c r="C559" s="127" t="s">
        <v>582</v>
      </c>
      <c r="D559" s="127" t="s">
        <v>73</v>
      </c>
      <c r="F559">
        <v>140</v>
      </c>
      <c r="G559">
        <v>3.1666666666666665</v>
      </c>
      <c r="H559">
        <v>12.947368421052632</v>
      </c>
    </row>
    <row r="560" spans="1:8" x14ac:dyDescent="0.2">
      <c r="A560" s="127" t="s">
        <v>698</v>
      </c>
      <c r="B560" s="127" t="s">
        <v>699</v>
      </c>
      <c r="C560" s="127" t="s">
        <v>582</v>
      </c>
      <c r="D560" s="127" t="s">
        <v>70</v>
      </c>
      <c r="E560" t="s">
        <v>6504</v>
      </c>
      <c r="F560">
        <v>300</v>
      </c>
      <c r="G560">
        <v>3.5</v>
      </c>
      <c r="H560">
        <v>12.571428571428571</v>
      </c>
    </row>
    <row r="561" spans="1:8" x14ac:dyDescent="0.2">
      <c r="A561" s="127" t="s">
        <v>698</v>
      </c>
      <c r="B561" s="127" t="s">
        <v>699</v>
      </c>
      <c r="C561" s="127" t="s">
        <v>582</v>
      </c>
      <c r="D561" s="127" t="s">
        <v>73</v>
      </c>
      <c r="F561">
        <v>180</v>
      </c>
      <c r="G561">
        <v>4.666666666666667</v>
      </c>
      <c r="H561">
        <v>4.9285714285714279</v>
      </c>
    </row>
    <row r="562" spans="1:8" x14ac:dyDescent="0.2">
      <c r="A562" s="127" t="s">
        <v>782</v>
      </c>
      <c r="B562" s="127" t="s">
        <v>783</v>
      </c>
      <c r="C562" s="127" t="s">
        <v>582</v>
      </c>
      <c r="D562" s="127" t="s">
        <v>8</v>
      </c>
      <c r="F562">
        <v>25</v>
      </c>
      <c r="G562">
        <v>3.6666666666666665</v>
      </c>
      <c r="H562">
        <v>19.90909090909091</v>
      </c>
    </row>
    <row r="563" spans="1:8" x14ac:dyDescent="0.2">
      <c r="A563" s="127" t="s">
        <v>782</v>
      </c>
      <c r="B563" s="127" t="s">
        <v>783</v>
      </c>
      <c r="C563" s="127" t="s">
        <v>582</v>
      </c>
      <c r="D563" s="127" t="s">
        <v>5730</v>
      </c>
      <c r="F563">
        <v>25</v>
      </c>
      <c r="G563">
        <v>0.66666666666666663</v>
      </c>
      <c r="H563">
        <v>15</v>
      </c>
    </row>
    <row r="564" spans="1:8" x14ac:dyDescent="0.2">
      <c r="A564" s="127" t="s">
        <v>782</v>
      </c>
      <c r="B564" s="127" t="s">
        <v>783</v>
      </c>
      <c r="C564" s="127" t="s">
        <v>582</v>
      </c>
      <c r="D564" s="127" t="s">
        <v>70</v>
      </c>
      <c r="E564" t="s">
        <v>6505</v>
      </c>
      <c r="F564">
        <v>600</v>
      </c>
      <c r="G564">
        <v>27.5</v>
      </c>
      <c r="H564">
        <v>7.9636363636363638</v>
      </c>
    </row>
    <row r="565" spans="1:8" x14ac:dyDescent="0.2">
      <c r="A565" s="127" t="s">
        <v>782</v>
      </c>
      <c r="B565" s="127" t="s">
        <v>783</v>
      </c>
      <c r="C565" s="127" t="s">
        <v>582</v>
      </c>
      <c r="D565" s="127" t="s">
        <v>72</v>
      </c>
      <c r="E565" t="s">
        <v>6506</v>
      </c>
      <c r="F565">
        <v>1100</v>
      </c>
      <c r="G565">
        <v>40.833333333333336</v>
      </c>
      <c r="H565">
        <v>6</v>
      </c>
    </row>
    <row r="566" spans="1:8" x14ac:dyDescent="0.2">
      <c r="A566" s="127" t="s">
        <v>782</v>
      </c>
      <c r="B566" s="127" t="s">
        <v>783</v>
      </c>
      <c r="C566" s="127" t="s">
        <v>582</v>
      </c>
      <c r="D566" s="127" t="s">
        <v>73</v>
      </c>
      <c r="F566">
        <v>100</v>
      </c>
      <c r="G566">
        <v>4.666666666666667</v>
      </c>
      <c r="H566">
        <v>11.571428571428571</v>
      </c>
    </row>
    <row r="567" spans="1:8" x14ac:dyDescent="0.2">
      <c r="A567" s="127" t="s">
        <v>30</v>
      </c>
      <c r="B567" s="127" t="s">
        <v>802</v>
      </c>
      <c r="C567" s="127" t="s">
        <v>582</v>
      </c>
      <c r="D567" s="127" t="s">
        <v>8</v>
      </c>
      <c r="F567">
        <v>175</v>
      </c>
      <c r="G567">
        <v>7.833333333333333</v>
      </c>
      <c r="H567">
        <v>6.2553191489361701</v>
      </c>
    </row>
    <row r="568" spans="1:8" x14ac:dyDescent="0.2">
      <c r="A568" s="127" t="s">
        <v>30</v>
      </c>
      <c r="B568" s="127" t="s">
        <v>802</v>
      </c>
      <c r="C568" s="127" t="s">
        <v>582</v>
      </c>
      <c r="D568" s="127" t="s">
        <v>5730</v>
      </c>
      <c r="F568">
        <v>50</v>
      </c>
      <c r="G568">
        <v>1.3333333333333333</v>
      </c>
      <c r="H568">
        <v>7.5</v>
      </c>
    </row>
    <row r="569" spans="1:8" x14ac:dyDescent="0.2">
      <c r="A569" s="127" t="s">
        <v>30</v>
      </c>
      <c r="B569" s="127" t="s">
        <v>802</v>
      </c>
      <c r="C569" s="127" t="s">
        <v>582</v>
      </c>
      <c r="D569" s="127" t="s">
        <v>70</v>
      </c>
      <c r="E569" t="s">
        <v>6507</v>
      </c>
      <c r="F569">
        <v>1050</v>
      </c>
      <c r="G569">
        <v>38.166666666666664</v>
      </c>
      <c r="H569">
        <v>6.9170305676855897</v>
      </c>
    </row>
    <row r="570" spans="1:8" x14ac:dyDescent="0.2">
      <c r="A570" s="127" t="s">
        <v>30</v>
      </c>
      <c r="B570" s="127" t="s">
        <v>802</v>
      </c>
      <c r="C570" s="127" t="s">
        <v>582</v>
      </c>
      <c r="D570" s="127" t="s">
        <v>72</v>
      </c>
      <c r="E570" t="s">
        <v>6508</v>
      </c>
      <c r="F570">
        <v>1225</v>
      </c>
      <c r="G570">
        <v>48.833333333333336</v>
      </c>
      <c r="H570">
        <v>5.6928327645051189</v>
      </c>
    </row>
    <row r="571" spans="1:8" x14ac:dyDescent="0.2">
      <c r="A571" s="127" t="s">
        <v>30</v>
      </c>
      <c r="B571" s="127" t="s">
        <v>802</v>
      </c>
      <c r="C571" s="127" t="s">
        <v>582</v>
      </c>
      <c r="D571" s="127" t="s">
        <v>73</v>
      </c>
      <c r="F571">
        <v>350</v>
      </c>
      <c r="G571">
        <v>13</v>
      </c>
      <c r="H571">
        <v>1.8461538461538463</v>
      </c>
    </row>
    <row r="572" spans="1:8" x14ac:dyDescent="0.2">
      <c r="A572" s="127" t="s">
        <v>786</v>
      </c>
      <c r="B572" s="127" t="s">
        <v>787</v>
      </c>
      <c r="C572" s="127" t="s">
        <v>582</v>
      </c>
      <c r="D572" s="127" t="s">
        <v>8</v>
      </c>
      <c r="F572">
        <v>225</v>
      </c>
      <c r="G572">
        <v>4.833333333333333</v>
      </c>
      <c r="H572">
        <v>14.275862068965518</v>
      </c>
    </row>
    <row r="573" spans="1:8" x14ac:dyDescent="0.2">
      <c r="A573" s="127" t="s">
        <v>786</v>
      </c>
      <c r="B573" s="127" t="s">
        <v>787</v>
      </c>
      <c r="C573" s="127" t="s">
        <v>582</v>
      </c>
      <c r="D573" s="127" t="s">
        <v>5730</v>
      </c>
      <c r="F573">
        <v>0</v>
      </c>
      <c r="G573">
        <v>0.33333333333333331</v>
      </c>
      <c r="H573">
        <v>24</v>
      </c>
    </row>
    <row r="574" spans="1:8" x14ac:dyDescent="0.2">
      <c r="A574" s="127" t="s">
        <v>786</v>
      </c>
      <c r="B574" s="127" t="s">
        <v>787</v>
      </c>
      <c r="C574" s="127" t="s">
        <v>582</v>
      </c>
      <c r="D574" s="127" t="s">
        <v>70</v>
      </c>
      <c r="E574" t="s">
        <v>6509</v>
      </c>
      <c r="F574">
        <v>900</v>
      </c>
      <c r="G574">
        <v>13.5</v>
      </c>
      <c r="H574">
        <v>11.037037037037036</v>
      </c>
    </row>
    <row r="575" spans="1:8" x14ac:dyDescent="0.2">
      <c r="A575" s="127" t="s">
        <v>786</v>
      </c>
      <c r="B575" s="127" t="s">
        <v>787</v>
      </c>
      <c r="C575" s="127" t="s">
        <v>582</v>
      </c>
      <c r="D575" s="127" t="s">
        <v>72</v>
      </c>
      <c r="E575" t="s">
        <v>6510</v>
      </c>
      <c r="F575">
        <v>2520</v>
      </c>
      <c r="G575">
        <v>49.833333333333336</v>
      </c>
      <c r="H575">
        <v>5.1371237458193981</v>
      </c>
    </row>
    <row r="576" spans="1:8" x14ac:dyDescent="0.2">
      <c r="A576" s="127" t="s">
        <v>786</v>
      </c>
      <c r="B576" s="127" t="s">
        <v>787</v>
      </c>
      <c r="C576" s="127" t="s">
        <v>582</v>
      </c>
      <c r="D576" s="127" t="s">
        <v>73</v>
      </c>
      <c r="F576">
        <v>90</v>
      </c>
      <c r="G576">
        <v>2.1666666666666665</v>
      </c>
      <c r="H576">
        <v>30.923076923076927</v>
      </c>
    </row>
    <row r="577" spans="1:8" x14ac:dyDescent="0.2">
      <c r="A577" s="127" t="s">
        <v>788</v>
      </c>
      <c r="B577" s="127" t="s">
        <v>789</v>
      </c>
      <c r="C577" s="127" t="s">
        <v>582</v>
      </c>
      <c r="D577" s="127" t="s">
        <v>8</v>
      </c>
      <c r="F577">
        <v>80</v>
      </c>
      <c r="G577">
        <v>2.6666666666666665</v>
      </c>
      <c r="H577">
        <v>21.75</v>
      </c>
    </row>
    <row r="578" spans="1:8" x14ac:dyDescent="0.2">
      <c r="A578" s="127" t="s">
        <v>788</v>
      </c>
      <c r="B578" s="127" t="s">
        <v>789</v>
      </c>
      <c r="C578" s="127" t="s">
        <v>582</v>
      </c>
      <c r="D578" s="127" t="s">
        <v>5730</v>
      </c>
      <c r="F578">
        <v>0</v>
      </c>
      <c r="G578">
        <v>0</v>
      </c>
      <c r="H578">
        <v>0</v>
      </c>
    </row>
    <row r="579" spans="1:8" x14ac:dyDescent="0.2">
      <c r="A579" s="127" t="s">
        <v>788</v>
      </c>
      <c r="B579" s="127" t="s">
        <v>789</v>
      </c>
      <c r="C579" s="127" t="s">
        <v>582</v>
      </c>
      <c r="D579" s="127" t="s">
        <v>70</v>
      </c>
      <c r="E579" t="s">
        <v>6511</v>
      </c>
      <c r="F579">
        <v>0</v>
      </c>
      <c r="G579">
        <v>0.16666666666666666</v>
      </c>
      <c r="H579">
        <v>30</v>
      </c>
    </row>
    <row r="580" spans="1:8" x14ac:dyDescent="0.2">
      <c r="A580" s="127" t="s">
        <v>788</v>
      </c>
      <c r="B580" s="127" t="s">
        <v>789</v>
      </c>
      <c r="C580" s="127" t="s">
        <v>582</v>
      </c>
      <c r="D580" s="127" t="s">
        <v>72</v>
      </c>
      <c r="E580" t="s">
        <v>6512</v>
      </c>
      <c r="F580">
        <v>720</v>
      </c>
      <c r="G580">
        <v>21</v>
      </c>
      <c r="H580">
        <v>8.7619047619047628</v>
      </c>
    </row>
    <row r="581" spans="1:8" x14ac:dyDescent="0.2">
      <c r="A581" s="127" t="s">
        <v>788</v>
      </c>
      <c r="B581" s="127" t="s">
        <v>789</v>
      </c>
      <c r="C581" s="127" t="s">
        <v>582</v>
      </c>
      <c r="D581" s="127" t="s">
        <v>73</v>
      </c>
      <c r="F581">
        <v>0</v>
      </c>
      <c r="G581">
        <v>6.5</v>
      </c>
      <c r="H581">
        <v>6.7692307692307692</v>
      </c>
    </row>
    <row r="582" spans="1:8" x14ac:dyDescent="0.2">
      <c r="A582" s="127" t="s">
        <v>796</v>
      </c>
      <c r="B582" s="127" t="s">
        <v>797</v>
      </c>
      <c r="C582" s="127" t="s">
        <v>582</v>
      </c>
      <c r="D582" s="127" t="s">
        <v>8</v>
      </c>
      <c r="F582">
        <v>350</v>
      </c>
      <c r="G582">
        <v>11</v>
      </c>
      <c r="H582">
        <v>8.545454545454545</v>
      </c>
    </row>
    <row r="583" spans="1:8" x14ac:dyDescent="0.2">
      <c r="A583" s="127" t="s">
        <v>796</v>
      </c>
      <c r="B583" s="127" t="s">
        <v>797</v>
      </c>
      <c r="C583" s="127" t="s">
        <v>582</v>
      </c>
      <c r="D583" s="127" t="s">
        <v>5730</v>
      </c>
      <c r="F583">
        <v>0</v>
      </c>
      <c r="G583">
        <v>0.33333333333333331</v>
      </c>
      <c r="H583">
        <v>24</v>
      </c>
    </row>
    <row r="584" spans="1:8" x14ac:dyDescent="0.2">
      <c r="A584" s="127" t="s">
        <v>796</v>
      </c>
      <c r="B584" s="127" t="s">
        <v>797</v>
      </c>
      <c r="C584" s="127" t="s">
        <v>582</v>
      </c>
      <c r="D584" s="127" t="s">
        <v>70</v>
      </c>
      <c r="E584" t="s">
        <v>6513</v>
      </c>
      <c r="F584">
        <v>1610</v>
      </c>
      <c r="G584">
        <v>36.5</v>
      </c>
      <c r="H584">
        <v>7.5890410958904111</v>
      </c>
    </row>
    <row r="585" spans="1:8" x14ac:dyDescent="0.2">
      <c r="A585" s="127" t="s">
        <v>796</v>
      </c>
      <c r="B585" s="127" t="s">
        <v>797</v>
      </c>
      <c r="C585" s="127" t="s">
        <v>582</v>
      </c>
      <c r="D585" s="127" t="s">
        <v>72</v>
      </c>
      <c r="E585" t="s">
        <v>6514</v>
      </c>
      <c r="F585">
        <v>2660</v>
      </c>
      <c r="G585">
        <v>57.833333333333336</v>
      </c>
      <c r="H585">
        <v>4.2363112391930837</v>
      </c>
    </row>
    <row r="586" spans="1:8" x14ac:dyDescent="0.2">
      <c r="A586" s="127" t="s">
        <v>796</v>
      </c>
      <c r="B586" s="127" t="s">
        <v>797</v>
      </c>
      <c r="C586" s="127" t="s">
        <v>582</v>
      </c>
      <c r="D586" s="127" t="s">
        <v>73</v>
      </c>
      <c r="F586">
        <v>315</v>
      </c>
      <c r="G586">
        <v>14</v>
      </c>
      <c r="H586">
        <v>2.2857142857142856</v>
      </c>
    </row>
    <row r="587" spans="1:8" x14ac:dyDescent="0.2">
      <c r="A587" s="127" t="s">
        <v>784</v>
      </c>
      <c r="B587" s="127" t="s">
        <v>785</v>
      </c>
      <c r="C587" s="127" t="s">
        <v>582</v>
      </c>
      <c r="D587" s="127" t="s">
        <v>8</v>
      </c>
      <c r="F587">
        <v>25</v>
      </c>
      <c r="G587">
        <v>3</v>
      </c>
      <c r="H587">
        <v>27.333333333333332</v>
      </c>
    </row>
    <row r="588" spans="1:8" x14ac:dyDescent="0.2">
      <c r="A588" s="127" t="s">
        <v>784</v>
      </c>
      <c r="B588" s="127" t="s">
        <v>785</v>
      </c>
      <c r="C588" s="127" t="s">
        <v>582</v>
      </c>
      <c r="D588" s="127" t="s">
        <v>70</v>
      </c>
      <c r="E588" t="s">
        <v>6515</v>
      </c>
      <c r="F588">
        <v>0</v>
      </c>
      <c r="G588">
        <v>0.66666666666666663</v>
      </c>
      <c r="H588">
        <v>18</v>
      </c>
    </row>
    <row r="589" spans="1:8" x14ac:dyDescent="0.2">
      <c r="A589" s="127" t="s">
        <v>784</v>
      </c>
      <c r="B589" s="127" t="s">
        <v>785</v>
      </c>
      <c r="C589" s="127" t="s">
        <v>582</v>
      </c>
      <c r="D589" s="127" t="s">
        <v>72</v>
      </c>
      <c r="E589" t="s">
        <v>6516</v>
      </c>
      <c r="F589">
        <v>650</v>
      </c>
      <c r="G589">
        <v>28.666666666666668</v>
      </c>
      <c r="H589">
        <v>9.4186046511627897</v>
      </c>
    </row>
    <row r="590" spans="1:8" x14ac:dyDescent="0.2">
      <c r="A590" s="127" t="s">
        <v>784</v>
      </c>
      <c r="B590" s="127" t="s">
        <v>785</v>
      </c>
      <c r="C590" s="127" t="s">
        <v>582</v>
      </c>
      <c r="D590" s="127" t="s">
        <v>73</v>
      </c>
      <c r="F590">
        <v>175</v>
      </c>
      <c r="G590">
        <v>3.1666666666666665</v>
      </c>
      <c r="H590">
        <v>26.210526315789476</v>
      </c>
    </row>
    <row r="591" spans="1:8" x14ac:dyDescent="0.2">
      <c r="A591" s="127" t="s">
        <v>803</v>
      </c>
      <c r="B591" s="127" t="s">
        <v>804</v>
      </c>
      <c r="C591" s="127" t="s">
        <v>582</v>
      </c>
      <c r="D591" s="127" t="s">
        <v>8</v>
      </c>
      <c r="F591">
        <v>50</v>
      </c>
      <c r="G591">
        <v>7.166666666666667</v>
      </c>
      <c r="H591">
        <v>10.325581395348836</v>
      </c>
    </row>
    <row r="592" spans="1:8" x14ac:dyDescent="0.2">
      <c r="A592" s="127" t="s">
        <v>803</v>
      </c>
      <c r="B592" s="127" t="s">
        <v>804</v>
      </c>
      <c r="C592" s="127" t="s">
        <v>582</v>
      </c>
      <c r="D592" s="127" t="s">
        <v>70</v>
      </c>
      <c r="E592" t="s">
        <v>6517</v>
      </c>
      <c r="F592">
        <v>0</v>
      </c>
      <c r="G592">
        <v>1.1666666666666667</v>
      </c>
      <c r="H592">
        <v>6</v>
      </c>
    </row>
    <row r="593" spans="1:8" x14ac:dyDescent="0.2">
      <c r="A593" s="127" t="s">
        <v>803</v>
      </c>
      <c r="B593" s="127" t="s">
        <v>804</v>
      </c>
      <c r="C593" s="127" t="s">
        <v>582</v>
      </c>
      <c r="D593" s="127" t="s">
        <v>72</v>
      </c>
      <c r="E593" t="s">
        <v>6518</v>
      </c>
      <c r="F593">
        <v>1300</v>
      </c>
      <c r="G593">
        <v>43.666666666666664</v>
      </c>
      <c r="H593">
        <v>5.5190839694656493</v>
      </c>
    </row>
    <row r="594" spans="1:8" x14ac:dyDescent="0.2">
      <c r="A594" s="127" t="s">
        <v>798</v>
      </c>
      <c r="B594" s="127" t="s">
        <v>799</v>
      </c>
      <c r="C594" s="127" t="s">
        <v>582</v>
      </c>
      <c r="D594" s="127" t="s">
        <v>8</v>
      </c>
      <c r="F594">
        <v>105</v>
      </c>
      <c r="G594">
        <v>4.333333333333333</v>
      </c>
      <c r="H594">
        <v>18.230769230769234</v>
      </c>
    </row>
    <row r="595" spans="1:8" x14ac:dyDescent="0.2">
      <c r="A595" s="127" t="s">
        <v>798</v>
      </c>
      <c r="B595" s="127" t="s">
        <v>799</v>
      </c>
      <c r="C595" s="127" t="s">
        <v>582</v>
      </c>
      <c r="D595" s="127" t="s">
        <v>70</v>
      </c>
      <c r="E595" t="s">
        <v>6519</v>
      </c>
      <c r="F595">
        <v>0</v>
      </c>
      <c r="G595">
        <v>0.66666666666666663</v>
      </c>
      <c r="H595">
        <v>3</v>
      </c>
    </row>
    <row r="596" spans="1:8" x14ac:dyDescent="0.2">
      <c r="A596" s="127" t="s">
        <v>798</v>
      </c>
      <c r="B596" s="127" t="s">
        <v>799</v>
      </c>
      <c r="C596" s="127" t="s">
        <v>582</v>
      </c>
      <c r="D596" s="127" t="s">
        <v>72</v>
      </c>
      <c r="E596" t="s">
        <v>6520</v>
      </c>
      <c r="F596">
        <v>525</v>
      </c>
      <c r="G596">
        <v>24</v>
      </c>
      <c r="H596">
        <v>11.625</v>
      </c>
    </row>
    <row r="597" spans="1:8" x14ac:dyDescent="0.2">
      <c r="A597" s="127" t="s">
        <v>798</v>
      </c>
      <c r="B597" s="127" t="s">
        <v>799</v>
      </c>
      <c r="C597" s="127" t="s">
        <v>582</v>
      </c>
      <c r="D597" s="127" t="s">
        <v>73</v>
      </c>
    </row>
    <row r="598" spans="1:8" x14ac:dyDescent="0.2">
      <c r="A598" s="127" t="s">
        <v>706</v>
      </c>
      <c r="B598" s="127" t="s">
        <v>707</v>
      </c>
      <c r="C598" s="127" t="s">
        <v>582</v>
      </c>
      <c r="D598" s="127" t="s">
        <v>8</v>
      </c>
      <c r="F598">
        <v>60</v>
      </c>
      <c r="G598">
        <v>5.166666666666667</v>
      </c>
      <c r="H598">
        <v>16.64516129032258</v>
      </c>
    </row>
    <row r="599" spans="1:8" x14ac:dyDescent="0.2">
      <c r="A599" s="127" t="s">
        <v>706</v>
      </c>
      <c r="B599" s="127" t="s">
        <v>707</v>
      </c>
      <c r="C599" s="127" t="s">
        <v>582</v>
      </c>
      <c r="D599" s="127" t="s">
        <v>5730</v>
      </c>
      <c r="F599">
        <v>0</v>
      </c>
      <c r="G599">
        <v>0</v>
      </c>
      <c r="H599">
        <v>0</v>
      </c>
    </row>
    <row r="600" spans="1:8" x14ac:dyDescent="0.2">
      <c r="A600" s="127" t="s">
        <v>706</v>
      </c>
      <c r="B600" s="127" t="s">
        <v>707</v>
      </c>
      <c r="C600" s="127" t="s">
        <v>582</v>
      </c>
      <c r="D600" s="127" t="s">
        <v>72</v>
      </c>
      <c r="E600" t="s">
        <v>6521</v>
      </c>
      <c r="F600">
        <v>640</v>
      </c>
      <c r="G600">
        <v>34.833333333333336</v>
      </c>
      <c r="H600">
        <v>8.8421052631578938</v>
      </c>
    </row>
    <row r="601" spans="1:8" x14ac:dyDescent="0.2">
      <c r="A601" s="127" t="s">
        <v>706</v>
      </c>
      <c r="B601" s="127" t="s">
        <v>707</v>
      </c>
      <c r="C601" s="127" t="s">
        <v>582</v>
      </c>
      <c r="D601" s="127" t="s">
        <v>73</v>
      </c>
      <c r="F601">
        <v>40</v>
      </c>
      <c r="G601">
        <v>3.1666666666666665</v>
      </c>
      <c r="H601">
        <v>1.5789473684210527</v>
      </c>
    </row>
    <row r="602" spans="1:8" x14ac:dyDescent="0.2">
      <c r="A602" s="127" t="s">
        <v>708</v>
      </c>
      <c r="B602" s="127" t="s">
        <v>709</v>
      </c>
      <c r="C602" s="127" t="s">
        <v>582</v>
      </c>
      <c r="D602" s="127" t="s">
        <v>8</v>
      </c>
      <c r="F602">
        <v>60</v>
      </c>
      <c r="G602">
        <v>5.666666666666667</v>
      </c>
      <c r="H602">
        <v>14.647058823529411</v>
      </c>
    </row>
    <row r="603" spans="1:8" x14ac:dyDescent="0.2">
      <c r="A603" s="127" t="s">
        <v>708</v>
      </c>
      <c r="B603" s="127" t="s">
        <v>709</v>
      </c>
      <c r="C603" s="127" t="s">
        <v>582</v>
      </c>
      <c r="D603" s="127" t="s">
        <v>5730</v>
      </c>
      <c r="F603">
        <v>0</v>
      </c>
      <c r="G603">
        <v>0.16666666666666666</v>
      </c>
      <c r="H603">
        <v>60</v>
      </c>
    </row>
    <row r="604" spans="1:8" x14ac:dyDescent="0.2">
      <c r="A604" s="127" t="s">
        <v>708</v>
      </c>
      <c r="B604" s="127" t="s">
        <v>709</v>
      </c>
      <c r="C604" s="127" t="s">
        <v>582</v>
      </c>
      <c r="D604" s="127" t="s">
        <v>72</v>
      </c>
      <c r="E604" t="s">
        <v>6522</v>
      </c>
      <c r="F604">
        <v>720</v>
      </c>
      <c r="G604">
        <v>30.5</v>
      </c>
      <c r="H604">
        <v>8.6557377049180335</v>
      </c>
    </row>
    <row r="605" spans="1:8" x14ac:dyDescent="0.2">
      <c r="A605" s="127" t="s">
        <v>708</v>
      </c>
      <c r="B605" s="127" t="s">
        <v>709</v>
      </c>
      <c r="C605" s="127" t="s">
        <v>582</v>
      </c>
      <c r="D605" s="127" t="s">
        <v>73</v>
      </c>
    </row>
    <row r="606" spans="1:8" x14ac:dyDescent="0.2">
      <c r="A606" s="127" t="s">
        <v>780</v>
      </c>
      <c r="B606" s="127" t="s">
        <v>781</v>
      </c>
      <c r="C606" s="127" t="s">
        <v>582</v>
      </c>
      <c r="D606" s="127" t="s">
        <v>8</v>
      </c>
      <c r="F606">
        <v>60</v>
      </c>
      <c r="G606">
        <v>3.5</v>
      </c>
      <c r="H606">
        <v>15.142857142857142</v>
      </c>
    </row>
    <row r="607" spans="1:8" x14ac:dyDescent="0.2">
      <c r="A607" s="127" t="s">
        <v>780</v>
      </c>
      <c r="B607" s="127" t="s">
        <v>781</v>
      </c>
      <c r="C607" s="127" t="s">
        <v>582</v>
      </c>
      <c r="D607" s="127" t="s">
        <v>70</v>
      </c>
      <c r="E607" t="s">
        <v>6523</v>
      </c>
      <c r="F607">
        <v>420</v>
      </c>
      <c r="G607">
        <v>15.166666666666666</v>
      </c>
      <c r="H607">
        <v>8.8351648351648358</v>
      </c>
    </row>
    <row r="608" spans="1:8" x14ac:dyDescent="0.2">
      <c r="A608" s="127" t="s">
        <v>780</v>
      </c>
      <c r="B608" s="127" t="s">
        <v>781</v>
      </c>
      <c r="C608" s="127" t="s">
        <v>582</v>
      </c>
      <c r="D608" s="127" t="s">
        <v>72</v>
      </c>
      <c r="E608" t="s">
        <v>6524</v>
      </c>
      <c r="F608">
        <v>560</v>
      </c>
      <c r="G608">
        <v>26.333333333333332</v>
      </c>
      <c r="H608">
        <v>9.8354430379746844</v>
      </c>
    </row>
    <row r="609" spans="1:8" x14ac:dyDescent="0.2">
      <c r="A609" s="127" t="s">
        <v>780</v>
      </c>
      <c r="B609" s="127" t="s">
        <v>781</v>
      </c>
      <c r="C609" s="127" t="s">
        <v>582</v>
      </c>
      <c r="D609" s="127" t="s">
        <v>73</v>
      </c>
      <c r="F609">
        <v>40</v>
      </c>
      <c r="G609">
        <v>3.8333333333333335</v>
      </c>
      <c r="H609">
        <v>0</v>
      </c>
    </row>
    <row r="610" spans="1:8" x14ac:dyDescent="0.2">
      <c r="A610" s="127" t="s">
        <v>794</v>
      </c>
      <c r="B610" s="127" t="s">
        <v>795</v>
      </c>
      <c r="C610" s="127" t="s">
        <v>582</v>
      </c>
      <c r="D610" s="127" t="s">
        <v>8</v>
      </c>
      <c r="F610">
        <v>210</v>
      </c>
      <c r="G610">
        <v>7</v>
      </c>
      <c r="H610">
        <v>6.7142857142857144</v>
      </c>
    </row>
    <row r="611" spans="1:8" x14ac:dyDescent="0.2">
      <c r="A611" s="127" t="s">
        <v>794</v>
      </c>
      <c r="B611" s="127" t="s">
        <v>795</v>
      </c>
      <c r="C611" s="127" t="s">
        <v>582</v>
      </c>
      <c r="D611" s="127" t="s">
        <v>5730</v>
      </c>
    </row>
    <row r="612" spans="1:8" x14ac:dyDescent="0.2">
      <c r="A612" s="127" t="s">
        <v>794</v>
      </c>
      <c r="B612" s="127" t="s">
        <v>795</v>
      </c>
      <c r="C612" s="127" t="s">
        <v>582</v>
      </c>
      <c r="D612" s="127" t="s">
        <v>70</v>
      </c>
      <c r="E612" t="s">
        <v>6525</v>
      </c>
      <c r="F612">
        <v>805</v>
      </c>
      <c r="G612">
        <v>22</v>
      </c>
      <c r="H612">
        <v>7.2272727272727275</v>
      </c>
    </row>
    <row r="613" spans="1:8" x14ac:dyDescent="0.2">
      <c r="A613" s="127" t="s">
        <v>794</v>
      </c>
      <c r="B613" s="127" t="s">
        <v>795</v>
      </c>
      <c r="C613" s="127" t="s">
        <v>582</v>
      </c>
      <c r="D613" s="127" t="s">
        <v>72</v>
      </c>
      <c r="E613" t="s">
        <v>6526</v>
      </c>
      <c r="F613">
        <v>1715</v>
      </c>
      <c r="G613">
        <v>48</v>
      </c>
      <c r="H613">
        <v>5.395833333333333</v>
      </c>
    </row>
    <row r="614" spans="1:8" x14ac:dyDescent="0.2">
      <c r="A614" s="127" t="s">
        <v>800</v>
      </c>
      <c r="B614" s="127" t="s">
        <v>801</v>
      </c>
      <c r="C614" s="127" t="s">
        <v>582</v>
      </c>
      <c r="D614" s="127" t="s">
        <v>8</v>
      </c>
      <c r="F614">
        <v>75</v>
      </c>
      <c r="G614">
        <v>5</v>
      </c>
      <c r="H614">
        <v>10.6</v>
      </c>
    </row>
    <row r="615" spans="1:8" x14ac:dyDescent="0.2">
      <c r="A615" s="127" t="s">
        <v>800</v>
      </c>
      <c r="B615" s="127" t="s">
        <v>801</v>
      </c>
      <c r="C615" s="127" t="s">
        <v>582</v>
      </c>
      <c r="D615" s="127" t="s">
        <v>5730</v>
      </c>
      <c r="F615">
        <v>0</v>
      </c>
      <c r="G615">
        <v>0</v>
      </c>
      <c r="H615">
        <v>0</v>
      </c>
    </row>
    <row r="616" spans="1:8" x14ac:dyDescent="0.2">
      <c r="A616" s="127" t="s">
        <v>800</v>
      </c>
      <c r="B616" s="127" t="s">
        <v>801</v>
      </c>
      <c r="C616" s="127" t="s">
        <v>582</v>
      </c>
      <c r="D616" s="127" t="s">
        <v>70</v>
      </c>
      <c r="E616" t="s">
        <v>6527</v>
      </c>
      <c r="F616">
        <v>475</v>
      </c>
      <c r="G616">
        <v>21</v>
      </c>
      <c r="H616">
        <v>11.142857142857142</v>
      </c>
    </row>
    <row r="617" spans="1:8" x14ac:dyDescent="0.2">
      <c r="A617" s="127" t="s">
        <v>800</v>
      </c>
      <c r="B617" s="127" t="s">
        <v>801</v>
      </c>
      <c r="C617" s="127" t="s">
        <v>582</v>
      </c>
      <c r="D617" s="127" t="s">
        <v>72</v>
      </c>
      <c r="E617" t="s">
        <v>6528</v>
      </c>
      <c r="F617">
        <v>1100</v>
      </c>
      <c r="G617">
        <v>47.5</v>
      </c>
      <c r="H617">
        <v>5.8947368421052628</v>
      </c>
    </row>
    <row r="618" spans="1:8" x14ac:dyDescent="0.2">
      <c r="A618" s="127" t="s">
        <v>800</v>
      </c>
      <c r="B618" s="127" t="s">
        <v>801</v>
      </c>
      <c r="C618" s="127" t="s">
        <v>582</v>
      </c>
      <c r="D618" s="127" t="s">
        <v>73</v>
      </c>
    </row>
    <row r="619" spans="1:8" x14ac:dyDescent="0.2">
      <c r="A619" s="127" t="s">
        <v>813</v>
      </c>
      <c r="B619" s="127" t="s">
        <v>814</v>
      </c>
      <c r="C619" s="127" t="s">
        <v>582</v>
      </c>
      <c r="D619" s="127" t="s">
        <v>8</v>
      </c>
      <c r="F619">
        <v>100</v>
      </c>
      <c r="G619">
        <v>0.33333333333333331</v>
      </c>
      <c r="H619">
        <v>105</v>
      </c>
    </row>
    <row r="620" spans="1:8" x14ac:dyDescent="0.2">
      <c r="A620" s="127" t="s">
        <v>813</v>
      </c>
      <c r="B620" s="127" t="s">
        <v>814</v>
      </c>
      <c r="C620" s="127" t="s">
        <v>582</v>
      </c>
      <c r="D620" s="127" t="s">
        <v>70</v>
      </c>
      <c r="E620" t="s">
        <v>6529</v>
      </c>
      <c r="F620">
        <v>100</v>
      </c>
      <c r="G620">
        <v>2.3333333333333335</v>
      </c>
      <c r="H620">
        <v>28.285714285714285</v>
      </c>
    </row>
    <row r="621" spans="1:8" x14ac:dyDescent="0.2">
      <c r="A621" s="127" t="s">
        <v>813</v>
      </c>
      <c r="B621" s="127" t="s">
        <v>814</v>
      </c>
      <c r="C621" s="127" t="s">
        <v>582</v>
      </c>
      <c r="D621" s="127" t="s">
        <v>72</v>
      </c>
      <c r="E621" t="s">
        <v>7549</v>
      </c>
      <c r="F621">
        <v>0</v>
      </c>
      <c r="G621">
        <v>0.33333333333333331</v>
      </c>
      <c r="H621">
        <v>216</v>
      </c>
    </row>
    <row r="622" spans="1:8" x14ac:dyDescent="0.2">
      <c r="A622" s="127" t="s">
        <v>815</v>
      </c>
      <c r="B622" s="127" t="s">
        <v>816</v>
      </c>
      <c r="C622" s="127" t="s">
        <v>582</v>
      </c>
      <c r="D622" s="127" t="s">
        <v>8</v>
      </c>
      <c r="H622">
        <v>0</v>
      </c>
    </row>
    <row r="623" spans="1:8" x14ac:dyDescent="0.2">
      <c r="A623" s="127" t="s">
        <v>815</v>
      </c>
      <c r="B623" s="127" t="s">
        <v>816</v>
      </c>
      <c r="C623" s="127" t="s">
        <v>582</v>
      </c>
      <c r="D623" s="127" t="s">
        <v>70</v>
      </c>
      <c r="E623" t="s">
        <v>6530</v>
      </c>
      <c r="F623">
        <v>0</v>
      </c>
      <c r="G623">
        <v>1.3333333333333333</v>
      </c>
      <c r="H623">
        <v>51.75</v>
      </c>
    </row>
    <row r="624" spans="1:8" x14ac:dyDescent="0.2">
      <c r="A624" s="127" t="s">
        <v>815</v>
      </c>
      <c r="B624" s="127" t="s">
        <v>816</v>
      </c>
      <c r="C624" s="127" t="s">
        <v>582</v>
      </c>
      <c r="D624" s="127" t="s">
        <v>72</v>
      </c>
      <c r="E624" t="s">
        <v>7550</v>
      </c>
      <c r="F624">
        <v>240</v>
      </c>
      <c r="G624">
        <v>1</v>
      </c>
      <c r="H624">
        <v>67</v>
      </c>
    </row>
    <row r="625" spans="1:8" x14ac:dyDescent="0.2">
      <c r="A625" s="127" t="s">
        <v>817</v>
      </c>
      <c r="B625" s="127" t="s">
        <v>818</v>
      </c>
      <c r="C625" s="127" t="s">
        <v>582</v>
      </c>
      <c r="D625" s="127" t="s">
        <v>70</v>
      </c>
      <c r="E625" t="s">
        <v>7551</v>
      </c>
      <c r="F625">
        <v>300</v>
      </c>
      <c r="G625">
        <v>1.5</v>
      </c>
      <c r="H625">
        <v>33.333333333333336</v>
      </c>
    </row>
    <row r="626" spans="1:8" x14ac:dyDescent="0.2">
      <c r="A626" s="127" t="s">
        <v>817</v>
      </c>
      <c r="B626" s="127" t="s">
        <v>818</v>
      </c>
      <c r="C626" s="127" t="s">
        <v>582</v>
      </c>
      <c r="D626" s="127" t="s">
        <v>72</v>
      </c>
      <c r="E626" t="s">
        <v>7552</v>
      </c>
      <c r="F626">
        <v>150</v>
      </c>
      <c r="G626">
        <v>0.83333333333333337</v>
      </c>
      <c r="H626">
        <v>80.399999999999991</v>
      </c>
    </row>
    <row r="627" spans="1:8" x14ac:dyDescent="0.2">
      <c r="A627" s="127" t="s">
        <v>7041</v>
      </c>
      <c r="B627" s="127" t="s">
        <v>7042</v>
      </c>
      <c r="C627" s="127" t="s">
        <v>582</v>
      </c>
      <c r="D627" s="127" t="s">
        <v>72</v>
      </c>
      <c r="E627" t="s">
        <v>7553</v>
      </c>
      <c r="F627">
        <v>0</v>
      </c>
      <c r="G627">
        <v>0.5</v>
      </c>
      <c r="H627">
        <v>142</v>
      </c>
    </row>
    <row r="628" spans="1:8" x14ac:dyDescent="0.2">
      <c r="A628" s="127" t="s">
        <v>7037</v>
      </c>
      <c r="B628" s="127" t="s">
        <v>7038</v>
      </c>
      <c r="C628" s="127" t="s">
        <v>582</v>
      </c>
      <c r="D628" s="127" t="s">
        <v>72</v>
      </c>
      <c r="E628" t="s">
        <v>7554</v>
      </c>
      <c r="F628">
        <v>70</v>
      </c>
      <c r="G628">
        <v>0.83333333333333337</v>
      </c>
      <c r="H628">
        <v>79.2</v>
      </c>
    </row>
    <row r="629" spans="1:8" x14ac:dyDescent="0.2">
      <c r="A629" s="127" t="s">
        <v>7555</v>
      </c>
      <c r="B629" s="127" t="s">
        <v>7556</v>
      </c>
      <c r="C629" s="127" t="s">
        <v>582</v>
      </c>
      <c r="D629" s="127" t="s">
        <v>8</v>
      </c>
      <c r="H629">
        <v>0</v>
      </c>
    </row>
    <row r="630" spans="1:8" x14ac:dyDescent="0.2">
      <c r="A630" s="127" t="s">
        <v>7557</v>
      </c>
      <c r="B630" s="127" t="s">
        <v>7558</v>
      </c>
      <c r="C630" s="127" t="s">
        <v>582</v>
      </c>
      <c r="D630" s="127" t="s">
        <v>8</v>
      </c>
      <c r="H630">
        <v>0</v>
      </c>
    </row>
    <row r="631" spans="1:8" x14ac:dyDescent="0.2">
      <c r="A631" s="127" t="s">
        <v>772</v>
      </c>
      <c r="B631" s="127" t="s">
        <v>773</v>
      </c>
      <c r="C631" s="127" t="s">
        <v>582</v>
      </c>
      <c r="D631" s="127" t="s">
        <v>73</v>
      </c>
    </row>
    <row r="632" spans="1:8" x14ac:dyDescent="0.2">
      <c r="A632" s="127" t="s">
        <v>768</v>
      </c>
      <c r="B632" s="127" t="s">
        <v>769</v>
      </c>
      <c r="C632" s="127" t="s">
        <v>582</v>
      </c>
      <c r="D632" s="127" t="s">
        <v>73</v>
      </c>
    </row>
    <row r="633" spans="1:8" x14ac:dyDescent="0.2">
      <c r="A633" s="127" t="s">
        <v>770</v>
      </c>
      <c r="B633" s="127" t="s">
        <v>771</v>
      </c>
      <c r="C633" s="127" t="s">
        <v>582</v>
      </c>
      <c r="D633" s="127" t="s">
        <v>73</v>
      </c>
    </row>
    <row r="634" spans="1:8" x14ac:dyDescent="0.2">
      <c r="A634" s="127" t="s">
        <v>660</v>
      </c>
      <c r="B634" s="127" t="s">
        <v>661</v>
      </c>
      <c r="C634" s="127" t="s">
        <v>582</v>
      </c>
      <c r="D634" s="127" t="s">
        <v>73</v>
      </c>
    </row>
    <row r="635" spans="1:8" x14ac:dyDescent="0.2">
      <c r="A635" s="127" t="s">
        <v>662</v>
      </c>
      <c r="B635" s="127" t="s">
        <v>663</v>
      </c>
      <c r="C635" s="127" t="s">
        <v>582</v>
      </c>
      <c r="D635" s="127" t="s">
        <v>73</v>
      </c>
    </row>
    <row r="636" spans="1:8" x14ac:dyDescent="0.2">
      <c r="A636" s="127" t="s">
        <v>664</v>
      </c>
      <c r="B636" s="127" t="s">
        <v>665</v>
      </c>
      <c r="C636" s="127" t="s">
        <v>582</v>
      </c>
      <c r="D636" s="127" t="s">
        <v>73</v>
      </c>
    </row>
    <row r="637" spans="1:8" x14ac:dyDescent="0.2">
      <c r="A637" s="127" t="s">
        <v>666</v>
      </c>
      <c r="B637" s="127" t="s">
        <v>667</v>
      </c>
      <c r="C637" s="127" t="s">
        <v>582</v>
      </c>
      <c r="D637" s="127" t="s">
        <v>73</v>
      </c>
      <c r="F637">
        <v>0</v>
      </c>
      <c r="G637">
        <v>0</v>
      </c>
      <c r="H637">
        <v>0</v>
      </c>
    </row>
    <row r="638" spans="1:8" x14ac:dyDescent="0.2">
      <c r="A638" s="127" t="s">
        <v>658</v>
      </c>
      <c r="B638" s="127" t="s">
        <v>659</v>
      </c>
      <c r="C638" s="127" t="s">
        <v>582</v>
      </c>
      <c r="D638" s="127" t="s">
        <v>73</v>
      </c>
    </row>
    <row r="639" spans="1:8" x14ac:dyDescent="0.2">
      <c r="A639" s="127" t="s">
        <v>6531</v>
      </c>
      <c r="B639" s="127" t="s">
        <v>7043</v>
      </c>
      <c r="C639" s="127" t="s">
        <v>582</v>
      </c>
      <c r="D639" s="127" t="s">
        <v>73</v>
      </c>
      <c r="F639">
        <v>240</v>
      </c>
      <c r="G639">
        <v>0.5</v>
      </c>
      <c r="H639">
        <v>392</v>
      </c>
    </row>
    <row r="640" spans="1:8" x14ac:dyDescent="0.2">
      <c r="A640" s="127" t="s">
        <v>6532</v>
      </c>
      <c r="B640" s="127" t="s">
        <v>7044</v>
      </c>
      <c r="C640" s="127" t="s">
        <v>582</v>
      </c>
      <c r="D640" s="127" t="s">
        <v>73</v>
      </c>
      <c r="F640">
        <v>160</v>
      </c>
      <c r="G640">
        <v>0.33333333333333331</v>
      </c>
      <c r="H640">
        <v>291</v>
      </c>
    </row>
    <row r="641" spans="1:8" x14ac:dyDescent="0.2">
      <c r="A641" s="127" t="s">
        <v>329</v>
      </c>
      <c r="B641" s="127" t="s">
        <v>328</v>
      </c>
      <c r="C641" s="127" t="s">
        <v>307</v>
      </c>
      <c r="D641" s="127" t="s">
        <v>8</v>
      </c>
    </row>
    <row r="642" spans="1:8" x14ac:dyDescent="0.2">
      <c r="A642" s="127" t="s">
        <v>2203</v>
      </c>
      <c r="B642" s="127" t="s">
        <v>2204</v>
      </c>
      <c r="C642" s="127" t="s">
        <v>2174</v>
      </c>
      <c r="D642" s="127" t="s">
        <v>72</v>
      </c>
      <c r="E642" t="s">
        <v>6533</v>
      </c>
      <c r="F642">
        <v>0</v>
      </c>
      <c r="G642">
        <v>0</v>
      </c>
      <c r="H642">
        <v>0</v>
      </c>
    </row>
    <row r="643" spans="1:8" x14ac:dyDescent="0.2">
      <c r="A643" s="127" t="s">
        <v>370</v>
      </c>
      <c r="B643" s="127" t="s">
        <v>371</v>
      </c>
      <c r="C643" s="127" t="s">
        <v>307</v>
      </c>
      <c r="D643" s="127" t="s">
        <v>8</v>
      </c>
      <c r="H643">
        <v>0</v>
      </c>
    </row>
    <row r="644" spans="1:8" x14ac:dyDescent="0.2">
      <c r="A644" s="127" t="s">
        <v>370</v>
      </c>
      <c r="B644" s="127" t="s">
        <v>371</v>
      </c>
      <c r="C644" s="127" t="s">
        <v>307</v>
      </c>
      <c r="D644" s="127" t="s">
        <v>72</v>
      </c>
      <c r="E644" t="s">
        <v>6534</v>
      </c>
    </row>
    <row r="645" spans="1:8" x14ac:dyDescent="0.2">
      <c r="A645" s="127" t="s">
        <v>372</v>
      </c>
      <c r="B645" s="127" t="s">
        <v>373</v>
      </c>
      <c r="C645" s="127" t="s">
        <v>307</v>
      </c>
      <c r="D645" s="127" t="s">
        <v>72</v>
      </c>
      <c r="E645" t="s">
        <v>6535</v>
      </c>
      <c r="F645">
        <v>0</v>
      </c>
      <c r="G645">
        <v>0</v>
      </c>
      <c r="H645">
        <v>0</v>
      </c>
    </row>
    <row r="646" spans="1:8" x14ac:dyDescent="0.2">
      <c r="A646" s="127" t="s">
        <v>4974</v>
      </c>
      <c r="B646" s="127" t="s">
        <v>4973</v>
      </c>
      <c r="C646" s="127" t="s">
        <v>4905</v>
      </c>
      <c r="D646" s="127" t="s">
        <v>70</v>
      </c>
      <c r="E646" t="s">
        <v>6536</v>
      </c>
      <c r="F646">
        <v>0</v>
      </c>
      <c r="G646">
        <v>0.16666666666666666</v>
      </c>
      <c r="H646">
        <v>6</v>
      </c>
    </row>
    <row r="647" spans="1:8" x14ac:dyDescent="0.2">
      <c r="A647" s="127" t="s">
        <v>4971</v>
      </c>
      <c r="B647" s="127" t="s">
        <v>4970</v>
      </c>
      <c r="C647" s="127" t="s">
        <v>4905</v>
      </c>
      <c r="D647" s="127" t="s">
        <v>70</v>
      </c>
      <c r="E647" t="s">
        <v>6537</v>
      </c>
    </row>
    <row r="648" spans="1:8" x14ac:dyDescent="0.2">
      <c r="A648" s="127" t="s">
        <v>4980</v>
      </c>
      <c r="B648" s="127" t="s">
        <v>4979</v>
      </c>
      <c r="C648" s="127" t="s">
        <v>4905</v>
      </c>
      <c r="D648" s="127" t="s">
        <v>70</v>
      </c>
      <c r="E648" t="s">
        <v>6538</v>
      </c>
    </row>
    <row r="649" spans="1:8" x14ac:dyDescent="0.2">
      <c r="A649" s="127" t="s">
        <v>4953</v>
      </c>
      <c r="B649" s="127" t="s">
        <v>4952</v>
      </c>
      <c r="C649" s="127" t="s">
        <v>4905</v>
      </c>
      <c r="D649" s="127" t="s">
        <v>70</v>
      </c>
      <c r="E649" t="s">
        <v>6539</v>
      </c>
    </row>
    <row r="650" spans="1:8" x14ac:dyDescent="0.2">
      <c r="A650" s="127" t="s">
        <v>4953</v>
      </c>
      <c r="B650" s="127" t="s">
        <v>4952</v>
      </c>
      <c r="C650" s="127" t="s">
        <v>4905</v>
      </c>
      <c r="D650" s="127" t="s">
        <v>72</v>
      </c>
      <c r="E650" t="s">
        <v>6540</v>
      </c>
      <c r="F650">
        <v>0</v>
      </c>
      <c r="G650">
        <v>0</v>
      </c>
      <c r="H650">
        <v>0</v>
      </c>
    </row>
    <row r="651" spans="1:8" x14ac:dyDescent="0.2">
      <c r="A651" s="127" t="s">
        <v>4953</v>
      </c>
      <c r="B651" s="127" t="s">
        <v>4952</v>
      </c>
      <c r="C651" s="127" t="s">
        <v>4905</v>
      </c>
      <c r="D651" s="127" t="s">
        <v>72</v>
      </c>
      <c r="E651" t="s">
        <v>6541</v>
      </c>
    </row>
    <row r="652" spans="1:8" x14ac:dyDescent="0.2">
      <c r="A652" s="127" t="s">
        <v>4953</v>
      </c>
      <c r="B652" s="127" t="s">
        <v>4952</v>
      </c>
      <c r="C652" s="127" t="s">
        <v>4905</v>
      </c>
      <c r="D652" s="127" t="s">
        <v>73</v>
      </c>
      <c r="F652">
        <v>0</v>
      </c>
      <c r="G652">
        <v>0.33333333333333331</v>
      </c>
      <c r="H652">
        <v>12</v>
      </c>
    </row>
    <row r="653" spans="1:8" x14ac:dyDescent="0.2">
      <c r="A653" s="127" t="s">
        <v>4956</v>
      </c>
      <c r="B653" s="127" t="s">
        <v>4955</v>
      </c>
      <c r="C653" s="127" t="s">
        <v>4905</v>
      </c>
      <c r="D653" s="127" t="s">
        <v>5730</v>
      </c>
    </row>
    <row r="654" spans="1:8" x14ac:dyDescent="0.2">
      <c r="A654" s="127" t="s">
        <v>4956</v>
      </c>
      <c r="B654" s="127" t="s">
        <v>4955</v>
      </c>
      <c r="C654" s="127" t="s">
        <v>4905</v>
      </c>
      <c r="D654" s="127" t="s">
        <v>70</v>
      </c>
      <c r="E654" t="s">
        <v>6542</v>
      </c>
    </row>
    <row r="655" spans="1:8" x14ac:dyDescent="0.2">
      <c r="A655" s="127" t="s">
        <v>4956</v>
      </c>
      <c r="B655" s="127" t="s">
        <v>4955</v>
      </c>
      <c r="C655" s="127" t="s">
        <v>4905</v>
      </c>
      <c r="D655" s="127" t="s">
        <v>72</v>
      </c>
      <c r="E655" t="s">
        <v>6540</v>
      </c>
    </row>
    <row r="656" spans="1:8" x14ac:dyDescent="0.2">
      <c r="A656" s="127" t="s">
        <v>4956</v>
      </c>
      <c r="B656" s="127" t="s">
        <v>4955</v>
      </c>
      <c r="C656" s="127" t="s">
        <v>4905</v>
      </c>
      <c r="D656" s="127" t="s">
        <v>72</v>
      </c>
      <c r="E656" t="s">
        <v>6541</v>
      </c>
      <c r="F656">
        <v>0</v>
      </c>
      <c r="G656">
        <v>0</v>
      </c>
      <c r="H656">
        <v>0</v>
      </c>
    </row>
    <row r="657" spans="1:8" x14ac:dyDescent="0.2">
      <c r="A657" s="127" t="s">
        <v>4956</v>
      </c>
      <c r="B657" s="127" t="s">
        <v>4955</v>
      </c>
      <c r="C657" s="127" t="s">
        <v>4905</v>
      </c>
      <c r="D657" s="127" t="s">
        <v>73</v>
      </c>
      <c r="F657">
        <v>669</v>
      </c>
      <c r="G657">
        <v>0.83333333333333337</v>
      </c>
      <c r="H657">
        <v>2.4</v>
      </c>
    </row>
    <row r="658" spans="1:8" x14ac:dyDescent="0.2">
      <c r="A658" s="127" t="s">
        <v>4960</v>
      </c>
      <c r="B658" s="127" t="s">
        <v>4961</v>
      </c>
      <c r="C658" s="127" t="s">
        <v>4905</v>
      </c>
      <c r="D658" s="127" t="s">
        <v>5730</v>
      </c>
    </row>
    <row r="659" spans="1:8" x14ac:dyDescent="0.2">
      <c r="A659" s="127" t="s">
        <v>4960</v>
      </c>
      <c r="B659" s="127" t="s">
        <v>4961</v>
      </c>
      <c r="C659" s="127" t="s">
        <v>4905</v>
      </c>
      <c r="D659" s="127" t="s">
        <v>70</v>
      </c>
      <c r="E659" t="s">
        <v>6543</v>
      </c>
      <c r="F659">
        <v>0</v>
      </c>
      <c r="G659">
        <v>0.5</v>
      </c>
      <c r="H659">
        <v>2</v>
      </c>
    </row>
    <row r="660" spans="1:8" x14ac:dyDescent="0.2">
      <c r="A660" s="127" t="s">
        <v>4960</v>
      </c>
      <c r="B660" s="127" t="s">
        <v>4961</v>
      </c>
      <c r="C660" s="127" t="s">
        <v>4905</v>
      </c>
      <c r="D660" s="127" t="s">
        <v>72</v>
      </c>
      <c r="E660" t="s">
        <v>6544</v>
      </c>
    </row>
    <row r="661" spans="1:8" x14ac:dyDescent="0.2">
      <c r="A661" s="127" t="s">
        <v>4960</v>
      </c>
      <c r="B661" s="127" t="s">
        <v>4961</v>
      </c>
      <c r="C661" s="127" t="s">
        <v>4905</v>
      </c>
      <c r="D661" s="127" t="s">
        <v>72</v>
      </c>
      <c r="E661" t="s">
        <v>6545</v>
      </c>
    </row>
    <row r="662" spans="1:8" x14ac:dyDescent="0.2">
      <c r="A662" s="127" t="s">
        <v>4960</v>
      </c>
      <c r="B662" s="127" t="s">
        <v>4961</v>
      </c>
      <c r="C662" s="127" t="s">
        <v>4905</v>
      </c>
      <c r="D662" s="127" t="s">
        <v>73</v>
      </c>
      <c r="F662">
        <v>0</v>
      </c>
      <c r="G662">
        <v>0.33333333333333331</v>
      </c>
      <c r="H662">
        <v>27</v>
      </c>
    </row>
    <row r="663" spans="1:8" x14ac:dyDescent="0.2">
      <c r="A663" s="127" t="s">
        <v>4957</v>
      </c>
      <c r="B663" s="127" t="s">
        <v>4958</v>
      </c>
      <c r="C663" s="127" t="s">
        <v>4905</v>
      </c>
      <c r="D663" s="127" t="s">
        <v>5730</v>
      </c>
    </row>
    <row r="664" spans="1:8" x14ac:dyDescent="0.2">
      <c r="A664" s="127" t="s">
        <v>4957</v>
      </c>
      <c r="B664" s="127" t="s">
        <v>4958</v>
      </c>
      <c r="C664" s="127" t="s">
        <v>4905</v>
      </c>
      <c r="D664" s="127" t="s">
        <v>70</v>
      </c>
      <c r="E664" t="s">
        <v>6546</v>
      </c>
      <c r="F664">
        <v>0</v>
      </c>
      <c r="G664">
        <v>1</v>
      </c>
      <c r="H664">
        <v>1</v>
      </c>
    </row>
    <row r="665" spans="1:8" x14ac:dyDescent="0.2">
      <c r="A665" s="127" t="s">
        <v>4957</v>
      </c>
      <c r="B665" s="127" t="s">
        <v>4958</v>
      </c>
      <c r="C665" s="127" t="s">
        <v>4905</v>
      </c>
      <c r="D665" s="127" t="s">
        <v>72</v>
      </c>
      <c r="E665" t="s">
        <v>6544</v>
      </c>
      <c r="F665">
        <v>0</v>
      </c>
      <c r="G665">
        <v>0</v>
      </c>
      <c r="H665">
        <v>0</v>
      </c>
    </row>
    <row r="666" spans="1:8" x14ac:dyDescent="0.2">
      <c r="A666" s="127" t="s">
        <v>4957</v>
      </c>
      <c r="B666" s="127" t="s">
        <v>4958</v>
      </c>
      <c r="C666" s="127" t="s">
        <v>4905</v>
      </c>
      <c r="D666" s="127" t="s">
        <v>72</v>
      </c>
      <c r="E666" t="s">
        <v>6545</v>
      </c>
    </row>
    <row r="667" spans="1:8" x14ac:dyDescent="0.2">
      <c r="A667" s="127" t="s">
        <v>4957</v>
      </c>
      <c r="B667" s="127" t="s">
        <v>4958</v>
      </c>
      <c r="C667" s="127" t="s">
        <v>4905</v>
      </c>
      <c r="D667" s="127" t="s">
        <v>73</v>
      </c>
      <c r="F667">
        <v>669</v>
      </c>
      <c r="G667">
        <v>0.33333333333333331</v>
      </c>
      <c r="H667">
        <v>9</v>
      </c>
    </row>
    <row r="668" spans="1:8" x14ac:dyDescent="0.2">
      <c r="A668" s="127" t="s">
        <v>4996</v>
      </c>
      <c r="B668" s="127" t="s">
        <v>4997</v>
      </c>
      <c r="C668" s="127" t="s">
        <v>4905</v>
      </c>
      <c r="D668" s="127" t="s">
        <v>8</v>
      </c>
      <c r="H668">
        <v>0</v>
      </c>
    </row>
    <row r="669" spans="1:8" x14ac:dyDescent="0.2">
      <c r="A669" s="127" t="s">
        <v>4996</v>
      </c>
      <c r="B669" s="127" t="s">
        <v>4997</v>
      </c>
      <c r="C669" s="127" t="s">
        <v>4905</v>
      </c>
      <c r="D669" s="127" t="s">
        <v>5730</v>
      </c>
    </row>
    <row r="670" spans="1:8" x14ac:dyDescent="0.2">
      <c r="A670" s="127" t="s">
        <v>4996</v>
      </c>
      <c r="B670" s="127" t="s">
        <v>4997</v>
      </c>
      <c r="C670" s="127" t="s">
        <v>4905</v>
      </c>
      <c r="D670" s="127" t="s">
        <v>70</v>
      </c>
      <c r="E670" t="s">
        <v>6547</v>
      </c>
      <c r="F670">
        <v>0</v>
      </c>
      <c r="G670">
        <v>0.83333333333333337</v>
      </c>
      <c r="H670">
        <v>1.2</v>
      </c>
    </row>
    <row r="671" spans="1:8" x14ac:dyDescent="0.2">
      <c r="A671" s="127" t="s">
        <v>4996</v>
      </c>
      <c r="B671" s="127" t="s">
        <v>4997</v>
      </c>
      <c r="C671" s="127" t="s">
        <v>4905</v>
      </c>
      <c r="D671" s="127" t="s">
        <v>72</v>
      </c>
      <c r="E671" t="s">
        <v>6548</v>
      </c>
      <c r="F671">
        <v>0</v>
      </c>
      <c r="G671">
        <v>0</v>
      </c>
      <c r="H671">
        <v>0</v>
      </c>
    </row>
    <row r="672" spans="1:8" x14ac:dyDescent="0.2">
      <c r="A672" s="127" t="s">
        <v>4996</v>
      </c>
      <c r="B672" s="127" t="s">
        <v>4997</v>
      </c>
      <c r="C672" s="127" t="s">
        <v>4905</v>
      </c>
      <c r="D672" s="127" t="s">
        <v>73</v>
      </c>
      <c r="F672">
        <v>0</v>
      </c>
      <c r="G672">
        <v>0</v>
      </c>
      <c r="H672">
        <v>0</v>
      </c>
    </row>
    <row r="673" spans="1:8" x14ac:dyDescent="0.2">
      <c r="A673" s="127" t="s">
        <v>5001</v>
      </c>
      <c r="B673" s="127" t="s">
        <v>5000</v>
      </c>
      <c r="C673" s="127" t="s">
        <v>4905</v>
      </c>
      <c r="D673" s="127" t="s">
        <v>70</v>
      </c>
      <c r="E673" t="s">
        <v>6549</v>
      </c>
    </row>
    <row r="674" spans="1:8" x14ac:dyDescent="0.2">
      <c r="A674" s="127" t="s">
        <v>5001</v>
      </c>
      <c r="B674" s="127" t="s">
        <v>5000</v>
      </c>
      <c r="C674" s="127" t="s">
        <v>4905</v>
      </c>
      <c r="D674" s="127" t="s">
        <v>72</v>
      </c>
      <c r="E674" t="s">
        <v>6550</v>
      </c>
    </row>
    <row r="675" spans="1:8" x14ac:dyDescent="0.2">
      <c r="A675" s="127" t="s">
        <v>5001</v>
      </c>
      <c r="B675" s="127" t="s">
        <v>5000</v>
      </c>
      <c r="C675" s="127" t="s">
        <v>4905</v>
      </c>
      <c r="D675" s="127" t="s">
        <v>72</v>
      </c>
      <c r="E675" t="s">
        <v>6551</v>
      </c>
      <c r="F675">
        <v>0</v>
      </c>
      <c r="G675">
        <v>0</v>
      </c>
      <c r="H675">
        <v>0</v>
      </c>
    </row>
    <row r="676" spans="1:8" x14ac:dyDescent="0.2">
      <c r="A676" s="127" t="s">
        <v>5001</v>
      </c>
      <c r="B676" s="127" t="s">
        <v>5000</v>
      </c>
      <c r="C676" s="127" t="s">
        <v>4905</v>
      </c>
      <c r="D676" s="127" t="s">
        <v>73</v>
      </c>
      <c r="F676">
        <v>0</v>
      </c>
      <c r="G676">
        <v>0.33333333333333331</v>
      </c>
      <c r="H676">
        <v>9</v>
      </c>
    </row>
    <row r="677" spans="1:8" x14ac:dyDescent="0.2">
      <c r="A677" s="127" t="s">
        <v>4993</v>
      </c>
      <c r="B677" s="127" t="s">
        <v>4994</v>
      </c>
      <c r="C677" s="127" t="s">
        <v>4905</v>
      </c>
      <c r="D677" s="127" t="s">
        <v>8</v>
      </c>
      <c r="H677">
        <v>0</v>
      </c>
    </row>
    <row r="678" spans="1:8" x14ac:dyDescent="0.2">
      <c r="A678" s="127" t="s">
        <v>4993</v>
      </c>
      <c r="B678" s="127" t="s">
        <v>4994</v>
      </c>
      <c r="C678" s="127" t="s">
        <v>4905</v>
      </c>
      <c r="D678" s="127" t="s">
        <v>5730</v>
      </c>
    </row>
    <row r="679" spans="1:8" x14ac:dyDescent="0.2">
      <c r="A679" s="127" t="s">
        <v>4993</v>
      </c>
      <c r="B679" s="127" t="s">
        <v>4994</v>
      </c>
      <c r="C679" s="127" t="s">
        <v>4905</v>
      </c>
      <c r="D679" s="127" t="s">
        <v>70</v>
      </c>
      <c r="E679" t="s">
        <v>6552</v>
      </c>
    </row>
    <row r="680" spans="1:8" x14ac:dyDescent="0.2">
      <c r="A680" s="127" t="s">
        <v>4993</v>
      </c>
      <c r="B680" s="127" t="s">
        <v>4994</v>
      </c>
      <c r="C680" s="127" t="s">
        <v>4905</v>
      </c>
      <c r="D680" s="127" t="s">
        <v>72</v>
      </c>
      <c r="E680" t="s">
        <v>6550</v>
      </c>
      <c r="F680">
        <v>0</v>
      </c>
      <c r="G680">
        <v>0</v>
      </c>
      <c r="H680">
        <v>0</v>
      </c>
    </row>
    <row r="681" spans="1:8" x14ac:dyDescent="0.2">
      <c r="A681" s="127" t="s">
        <v>4993</v>
      </c>
      <c r="B681" s="127" t="s">
        <v>4994</v>
      </c>
      <c r="C681" s="127" t="s">
        <v>4905</v>
      </c>
      <c r="D681" s="127" t="s">
        <v>72</v>
      </c>
      <c r="E681" t="s">
        <v>6551</v>
      </c>
    </row>
    <row r="682" spans="1:8" x14ac:dyDescent="0.2">
      <c r="A682" s="127" t="s">
        <v>4993</v>
      </c>
      <c r="B682" s="127" t="s">
        <v>4994</v>
      </c>
      <c r="C682" s="127" t="s">
        <v>4905</v>
      </c>
      <c r="D682" s="127" t="s">
        <v>73</v>
      </c>
      <c r="F682">
        <v>0</v>
      </c>
      <c r="G682">
        <v>0.33333333333333331</v>
      </c>
      <c r="H682">
        <v>12</v>
      </c>
    </row>
    <row r="683" spans="1:8" x14ac:dyDescent="0.2">
      <c r="A683" s="127" t="s">
        <v>4990</v>
      </c>
      <c r="B683" s="127" t="s">
        <v>4991</v>
      </c>
      <c r="C683" s="127" t="s">
        <v>4905</v>
      </c>
      <c r="D683" s="127" t="s">
        <v>5730</v>
      </c>
    </row>
    <row r="684" spans="1:8" x14ac:dyDescent="0.2">
      <c r="A684" s="127" t="s">
        <v>4990</v>
      </c>
      <c r="B684" s="127" t="s">
        <v>4991</v>
      </c>
      <c r="C684" s="127" t="s">
        <v>4905</v>
      </c>
      <c r="D684" s="127" t="s">
        <v>70</v>
      </c>
      <c r="E684" t="s">
        <v>6553</v>
      </c>
      <c r="F684">
        <v>0</v>
      </c>
      <c r="G684">
        <v>1.1666666666666667</v>
      </c>
      <c r="H684">
        <v>0.8571428571428571</v>
      </c>
    </row>
    <row r="685" spans="1:8" x14ac:dyDescent="0.2">
      <c r="A685" s="127" t="s">
        <v>4990</v>
      </c>
      <c r="B685" s="127" t="s">
        <v>4991</v>
      </c>
      <c r="C685" s="127" t="s">
        <v>4905</v>
      </c>
      <c r="D685" s="127" t="s">
        <v>73</v>
      </c>
      <c r="F685">
        <v>479</v>
      </c>
      <c r="G685">
        <v>1.3333333333333333</v>
      </c>
      <c r="H685">
        <v>5.25</v>
      </c>
    </row>
    <row r="686" spans="1:8" x14ac:dyDescent="0.2">
      <c r="A686" s="127" t="s">
        <v>4989</v>
      </c>
      <c r="B686" s="127" t="s">
        <v>4988</v>
      </c>
      <c r="C686" s="127" t="s">
        <v>4905</v>
      </c>
      <c r="D686" s="127" t="s">
        <v>5730</v>
      </c>
    </row>
    <row r="687" spans="1:8" x14ac:dyDescent="0.2">
      <c r="A687" s="127" t="s">
        <v>4989</v>
      </c>
      <c r="B687" s="127" t="s">
        <v>4988</v>
      </c>
      <c r="C687" s="127" t="s">
        <v>4905</v>
      </c>
      <c r="D687" s="127" t="s">
        <v>70</v>
      </c>
      <c r="E687" t="s">
        <v>6554</v>
      </c>
      <c r="F687">
        <v>0</v>
      </c>
      <c r="G687">
        <v>3.1666666666666665</v>
      </c>
      <c r="H687">
        <v>0.31578947368421056</v>
      </c>
    </row>
    <row r="688" spans="1:8" x14ac:dyDescent="0.2">
      <c r="A688" s="127" t="s">
        <v>4989</v>
      </c>
      <c r="B688" s="127" t="s">
        <v>4988</v>
      </c>
      <c r="C688" s="127" t="s">
        <v>4905</v>
      </c>
      <c r="D688" s="127" t="s">
        <v>73</v>
      </c>
      <c r="F688">
        <v>0</v>
      </c>
      <c r="G688">
        <v>0</v>
      </c>
      <c r="H688">
        <v>0</v>
      </c>
    </row>
    <row r="689" spans="1:8" x14ac:dyDescent="0.2">
      <c r="A689" s="127" t="s">
        <v>4986</v>
      </c>
      <c r="B689" s="127" t="s">
        <v>4985</v>
      </c>
      <c r="C689" s="127" t="s">
        <v>4905</v>
      </c>
      <c r="D689" s="127" t="s">
        <v>5730</v>
      </c>
      <c r="F689">
        <v>0</v>
      </c>
      <c r="G689">
        <v>0</v>
      </c>
      <c r="H689">
        <v>0</v>
      </c>
    </row>
    <row r="690" spans="1:8" x14ac:dyDescent="0.2">
      <c r="A690" s="127" t="s">
        <v>4986</v>
      </c>
      <c r="B690" s="127" t="s">
        <v>4985</v>
      </c>
      <c r="C690" s="127" t="s">
        <v>4905</v>
      </c>
      <c r="D690" s="127" t="s">
        <v>70</v>
      </c>
      <c r="E690" t="s">
        <v>6555</v>
      </c>
    </row>
    <row r="691" spans="1:8" x14ac:dyDescent="0.2">
      <c r="A691" s="127" t="s">
        <v>4986</v>
      </c>
      <c r="B691" s="127" t="s">
        <v>4985</v>
      </c>
      <c r="C691" s="127" t="s">
        <v>4905</v>
      </c>
      <c r="D691" s="127" t="s">
        <v>73</v>
      </c>
      <c r="F691">
        <v>0</v>
      </c>
      <c r="G691">
        <v>0.16666666666666666</v>
      </c>
      <c r="H691">
        <v>24</v>
      </c>
    </row>
    <row r="692" spans="1:8" x14ac:dyDescent="0.2">
      <c r="A692" s="127" t="s">
        <v>2249</v>
      </c>
      <c r="B692" s="127" t="s">
        <v>2250</v>
      </c>
      <c r="C692" s="127" t="s">
        <v>2238</v>
      </c>
      <c r="D692" s="127" t="s">
        <v>72</v>
      </c>
      <c r="E692" t="s">
        <v>7559</v>
      </c>
      <c r="F692">
        <v>0</v>
      </c>
      <c r="G692">
        <v>0.16666666666666666</v>
      </c>
      <c r="H692">
        <v>90</v>
      </c>
    </row>
    <row r="693" spans="1:8" x14ac:dyDescent="0.2">
      <c r="A693" s="127" t="s">
        <v>4292</v>
      </c>
      <c r="B693" s="127" t="s">
        <v>4293</v>
      </c>
      <c r="C693" s="127" t="s">
        <v>4283</v>
      </c>
      <c r="D693" s="127" t="s">
        <v>73</v>
      </c>
      <c r="F693">
        <v>0</v>
      </c>
      <c r="G693">
        <v>0.33333333333333331</v>
      </c>
      <c r="H693">
        <v>45</v>
      </c>
    </row>
    <row r="694" spans="1:8" x14ac:dyDescent="0.2">
      <c r="A694" s="127" t="s">
        <v>3166</v>
      </c>
      <c r="B694" s="127" t="s">
        <v>3167</v>
      </c>
      <c r="C694" s="127" t="s">
        <v>3133</v>
      </c>
      <c r="D694" s="127" t="s">
        <v>73</v>
      </c>
    </row>
    <row r="695" spans="1:8" x14ac:dyDescent="0.2">
      <c r="A695" s="127" t="s">
        <v>3164</v>
      </c>
      <c r="B695" s="127" t="s">
        <v>3165</v>
      </c>
      <c r="C695" s="127" t="s">
        <v>3133</v>
      </c>
      <c r="D695" s="127" t="s">
        <v>73</v>
      </c>
    </row>
    <row r="696" spans="1:8" x14ac:dyDescent="0.2">
      <c r="A696" s="127" t="s">
        <v>3180</v>
      </c>
      <c r="B696" s="127" t="s">
        <v>3181</v>
      </c>
      <c r="C696" s="127" t="s">
        <v>3133</v>
      </c>
      <c r="D696" s="127" t="s">
        <v>73</v>
      </c>
    </row>
    <row r="697" spans="1:8" x14ac:dyDescent="0.2">
      <c r="A697" s="127" t="s">
        <v>4324</v>
      </c>
      <c r="B697" s="127" t="s">
        <v>4325</v>
      </c>
      <c r="C697" s="127" t="s">
        <v>4283</v>
      </c>
      <c r="D697" s="127" t="s">
        <v>73</v>
      </c>
      <c r="F697">
        <v>0</v>
      </c>
      <c r="G697">
        <v>3.3333333333333335</v>
      </c>
      <c r="H697">
        <v>0.3</v>
      </c>
    </row>
    <row r="698" spans="1:8" x14ac:dyDescent="0.2">
      <c r="A698" s="127" t="s">
        <v>4328</v>
      </c>
      <c r="B698" s="127" t="s">
        <v>4329</v>
      </c>
      <c r="C698" s="127" t="s">
        <v>4283</v>
      </c>
      <c r="D698" s="127" t="s">
        <v>8</v>
      </c>
      <c r="H698">
        <v>0</v>
      </c>
    </row>
    <row r="699" spans="1:8" x14ac:dyDescent="0.2">
      <c r="A699" s="127" t="s">
        <v>4328</v>
      </c>
      <c r="B699" s="127" t="s">
        <v>4329</v>
      </c>
      <c r="C699" s="127" t="s">
        <v>4283</v>
      </c>
      <c r="D699" s="127" t="s">
        <v>72</v>
      </c>
      <c r="E699" t="s">
        <v>6556</v>
      </c>
    </row>
    <row r="700" spans="1:8" x14ac:dyDescent="0.2">
      <c r="A700" s="127" t="s">
        <v>4328</v>
      </c>
      <c r="B700" s="127" t="s">
        <v>4329</v>
      </c>
      <c r="C700" s="127" t="s">
        <v>4283</v>
      </c>
      <c r="D700" s="127" t="s">
        <v>73</v>
      </c>
      <c r="F700">
        <v>180</v>
      </c>
      <c r="G700">
        <v>0.83333333333333337</v>
      </c>
      <c r="H700">
        <v>21.599999999999998</v>
      </c>
    </row>
    <row r="701" spans="1:8" x14ac:dyDescent="0.2">
      <c r="A701" s="127" t="s">
        <v>3156</v>
      </c>
      <c r="B701" s="127" t="s">
        <v>3157</v>
      </c>
      <c r="C701" s="127" t="s">
        <v>3133</v>
      </c>
      <c r="D701" s="127" t="s">
        <v>73</v>
      </c>
    </row>
    <row r="702" spans="1:8" x14ac:dyDescent="0.2">
      <c r="A702" s="127" t="s">
        <v>3160</v>
      </c>
      <c r="B702" s="127" t="s">
        <v>3161</v>
      </c>
      <c r="C702" s="127" t="s">
        <v>3133</v>
      </c>
      <c r="D702" s="127" t="s">
        <v>5730</v>
      </c>
      <c r="F702">
        <v>0</v>
      </c>
      <c r="G702">
        <v>0</v>
      </c>
      <c r="H702">
        <v>0</v>
      </c>
    </row>
    <row r="703" spans="1:8" x14ac:dyDescent="0.2">
      <c r="A703" s="127" t="s">
        <v>3160</v>
      </c>
      <c r="B703" s="127" t="s">
        <v>3161</v>
      </c>
      <c r="C703" s="127" t="s">
        <v>3133</v>
      </c>
      <c r="D703" s="127" t="s">
        <v>73</v>
      </c>
    </row>
    <row r="704" spans="1:8" x14ac:dyDescent="0.2">
      <c r="A704" s="127" t="s">
        <v>3304</v>
      </c>
      <c r="B704" s="127" t="s">
        <v>5775</v>
      </c>
      <c r="C704" s="127" t="s">
        <v>3291</v>
      </c>
      <c r="D704" s="127" t="s">
        <v>72</v>
      </c>
      <c r="E704" t="s">
        <v>6557</v>
      </c>
      <c r="F704">
        <v>0</v>
      </c>
      <c r="G704">
        <v>0</v>
      </c>
      <c r="H704">
        <v>0</v>
      </c>
    </row>
    <row r="705" spans="1:8" x14ac:dyDescent="0.2">
      <c r="A705" s="127" t="s">
        <v>3329</v>
      </c>
      <c r="B705" s="127" t="s">
        <v>3330</v>
      </c>
      <c r="C705" s="127" t="s">
        <v>3291</v>
      </c>
      <c r="D705" s="127" t="s">
        <v>72</v>
      </c>
      <c r="E705" t="s">
        <v>6558</v>
      </c>
    </row>
    <row r="706" spans="1:8" x14ac:dyDescent="0.2">
      <c r="A706" s="127" t="s">
        <v>3331</v>
      </c>
      <c r="B706" s="127" t="s">
        <v>3332</v>
      </c>
      <c r="C706" s="127" t="s">
        <v>3291</v>
      </c>
      <c r="D706" s="127" t="s">
        <v>72</v>
      </c>
      <c r="E706" t="s">
        <v>6559</v>
      </c>
    </row>
    <row r="707" spans="1:8" x14ac:dyDescent="0.2">
      <c r="A707" s="127" t="s">
        <v>3331</v>
      </c>
      <c r="B707" s="127" t="s">
        <v>3332</v>
      </c>
      <c r="C707" s="127" t="s">
        <v>3291</v>
      </c>
      <c r="D707" s="127" t="s">
        <v>73</v>
      </c>
    </row>
    <row r="708" spans="1:8" x14ac:dyDescent="0.2">
      <c r="A708" s="127" t="s">
        <v>3333</v>
      </c>
      <c r="B708" s="127" t="s">
        <v>3334</v>
      </c>
      <c r="C708" s="127" t="s">
        <v>3291</v>
      </c>
      <c r="D708" s="127" t="s">
        <v>72</v>
      </c>
      <c r="E708" t="s">
        <v>6560</v>
      </c>
    </row>
    <row r="709" spans="1:8" x14ac:dyDescent="0.2">
      <c r="A709" s="127" t="s">
        <v>3327</v>
      </c>
      <c r="B709" s="127" t="s">
        <v>3328</v>
      </c>
      <c r="C709" s="127" t="s">
        <v>3291</v>
      </c>
      <c r="D709" s="127" t="s">
        <v>72</v>
      </c>
      <c r="E709" t="s">
        <v>6561</v>
      </c>
      <c r="F709">
        <v>0</v>
      </c>
      <c r="G709">
        <v>0</v>
      </c>
      <c r="H709">
        <v>0</v>
      </c>
    </row>
    <row r="710" spans="1:8" x14ac:dyDescent="0.2">
      <c r="A710" s="127" t="s">
        <v>3343</v>
      </c>
      <c r="B710" s="127" t="s">
        <v>3344</v>
      </c>
      <c r="C710" s="127" t="s">
        <v>3291</v>
      </c>
      <c r="D710" s="127" t="s">
        <v>73</v>
      </c>
    </row>
    <row r="711" spans="1:8" x14ac:dyDescent="0.2">
      <c r="A711" s="127" t="s">
        <v>3321</v>
      </c>
      <c r="B711" s="127" t="s">
        <v>3322</v>
      </c>
      <c r="C711" s="127" t="s">
        <v>3291</v>
      </c>
      <c r="D711" s="127" t="s">
        <v>72</v>
      </c>
      <c r="E711" t="s">
        <v>6562</v>
      </c>
    </row>
    <row r="712" spans="1:8" x14ac:dyDescent="0.2">
      <c r="A712" s="127" t="s">
        <v>3325</v>
      </c>
      <c r="B712" s="127" t="s">
        <v>3326</v>
      </c>
      <c r="C712" s="127" t="s">
        <v>3291</v>
      </c>
      <c r="D712" s="127" t="s">
        <v>72</v>
      </c>
      <c r="E712" t="s">
        <v>6563</v>
      </c>
    </row>
    <row r="713" spans="1:8" x14ac:dyDescent="0.2">
      <c r="A713" s="127" t="s">
        <v>3323</v>
      </c>
      <c r="B713" s="127" t="s">
        <v>3324</v>
      </c>
      <c r="C713" s="127" t="s">
        <v>3291</v>
      </c>
      <c r="D713" s="127" t="s">
        <v>72</v>
      </c>
      <c r="E713" t="s">
        <v>6564</v>
      </c>
    </row>
    <row r="714" spans="1:8" x14ac:dyDescent="0.2">
      <c r="A714" s="127" t="s">
        <v>3307</v>
      </c>
      <c r="B714" s="127" t="s">
        <v>5795</v>
      </c>
      <c r="C714" s="127" t="s">
        <v>3291</v>
      </c>
      <c r="D714" s="127" t="s">
        <v>72</v>
      </c>
      <c r="E714" t="s">
        <v>6565</v>
      </c>
    </row>
    <row r="715" spans="1:8" x14ac:dyDescent="0.2">
      <c r="A715" s="127" t="s">
        <v>3309</v>
      </c>
      <c r="B715" s="127" t="s">
        <v>5792</v>
      </c>
      <c r="C715" s="127" t="s">
        <v>3291</v>
      </c>
      <c r="D715" s="127" t="s">
        <v>72</v>
      </c>
      <c r="E715" t="s">
        <v>6566</v>
      </c>
    </row>
    <row r="716" spans="1:8" x14ac:dyDescent="0.2">
      <c r="A716" s="127" t="s">
        <v>3311</v>
      </c>
      <c r="B716" s="127" t="s">
        <v>5781</v>
      </c>
      <c r="C716" s="127" t="s">
        <v>3291</v>
      </c>
      <c r="D716" s="127" t="s">
        <v>72</v>
      </c>
      <c r="E716" t="s">
        <v>6567</v>
      </c>
    </row>
    <row r="717" spans="1:8" x14ac:dyDescent="0.2">
      <c r="A717" s="127" t="s">
        <v>3313</v>
      </c>
      <c r="B717" s="127" t="s">
        <v>3314</v>
      </c>
      <c r="C717" s="127" t="s">
        <v>3291</v>
      </c>
      <c r="D717" s="127" t="s">
        <v>72</v>
      </c>
      <c r="E717" t="s">
        <v>6568</v>
      </c>
    </row>
    <row r="718" spans="1:8" x14ac:dyDescent="0.2">
      <c r="A718" s="127" t="s">
        <v>3298</v>
      </c>
      <c r="B718" s="127" t="s">
        <v>5785</v>
      </c>
      <c r="C718" s="127" t="s">
        <v>3291</v>
      </c>
      <c r="D718" s="127" t="s">
        <v>72</v>
      </c>
      <c r="E718" t="s">
        <v>6569</v>
      </c>
    </row>
    <row r="719" spans="1:8" x14ac:dyDescent="0.2">
      <c r="A719" s="127" t="s">
        <v>3456</v>
      </c>
      <c r="B719" s="127" t="s">
        <v>3457</v>
      </c>
      <c r="C719" s="127" t="s">
        <v>3349</v>
      </c>
      <c r="D719" s="127" t="s">
        <v>8</v>
      </c>
      <c r="G719">
        <v>1</v>
      </c>
      <c r="H719">
        <v>78</v>
      </c>
    </row>
    <row r="720" spans="1:8" x14ac:dyDescent="0.2">
      <c r="A720" s="127" t="s">
        <v>3456</v>
      </c>
      <c r="B720" s="127" t="s">
        <v>3457</v>
      </c>
      <c r="C720" s="127" t="s">
        <v>3349</v>
      </c>
      <c r="D720" s="127" t="s">
        <v>70</v>
      </c>
      <c r="E720" t="s">
        <v>6570</v>
      </c>
      <c r="F720">
        <v>0</v>
      </c>
      <c r="G720">
        <v>0</v>
      </c>
      <c r="H720">
        <v>0</v>
      </c>
    </row>
    <row r="721" spans="1:8" x14ac:dyDescent="0.2">
      <c r="A721" s="127" t="s">
        <v>3456</v>
      </c>
      <c r="B721" s="127" t="s">
        <v>3457</v>
      </c>
      <c r="C721" s="127" t="s">
        <v>3349</v>
      </c>
      <c r="D721" s="127" t="s">
        <v>72</v>
      </c>
      <c r="E721" t="s">
        <v>6571</v>
      </c>
      <c r="F721">
        <v>0</v>
      </c>
      <c r="G721">
        <v>0.5</v>
      </c>
      <c r="H721">
        <v>50</v>
      </c>
    </row>
    <row r="722" spans="1:8" x14ac:dyDescent="0.2">
      <c r="A722" s="127" t="s">
        <v>3456</v>
      </c>
      <c r="B722" s="127" t="s">
        <v>3457</v>
      </c>
      <c r="C722" s="127" t="s">
        <v>3349</v>
      </c>
      <c r="D722" s="127" t="s">
        <v>73</v>
      </c>
    </row>
    <row r="723" spans="1:8" x14ac:dyDescent="0.2">
      <c r="A723" s="127" t="s">
        <v>3356</v>
      </c>
      <c r="B723" s="127" t="s">
        <v>3357</v>
      </c>
      <c r="C723" s="127" t="s">
        <v>3349</v>
      </c>
      <c r="D723" s="127" t="s">
        <v>73</v>
      </c>
      <c r="F723">
        <v>200</v>
      </c>
      <c r="G723">
        <v>1.1666666666666667</v>
      </c>
      <c r="H723">
        <v>0</v>
      </c>
    </row>
    <row r="724" spans="1:8" x14ac:dyDescent="0.2">
      <c r="A724" s="127" t="s">
        <v>3454</v>
      </c>
      <c r="B724" s="127" t="s">
        <v>3455</v>
      </c>
      <c r="C724" s="127" t="s">
        <v>3349</v>
      </c>
      <c r="D724" s="127" t="s">
        <v>73</v>
      </c>
      <c r="F724">
        <v>340</v>
      </c>
      <c r="G724">
        <v>0.66666666666666663</v>
      </c>
      <c r="H724">
        <v>0</v>
      </c>
    </row>
    <row r="725" spans="1:8" x14ac:dyDescent="0.2">
      <c r="A725" s="127" t="s">
        <v>3492</v>
      </c>
      <c r="B725" s="127" t="s">
        <v>3493</v>
      </c>
      <c r="C725" s="127" t="s">
        <v>3349</v>
      </c>
      <c r="D725" s="127" t="s">
        <v>8</v>
      </c>
    </row>
    <row r="726" spans="1:8" x14ac:dyDescent="0.2">
      <c r="A726" s="127" t="s">
        <v>3422</v>
      </c>
      <c r="B726" s="127" t="s">
        <v>3423</v>
      </c>
      <c r="C726" s="127" t="s">
        <v>3349</v>
      </c>
      <c r="D726" s="127" t="s">
        <v>5738</v>
      </c>
      <c r="E726" t="s">
        <v>6572</v>
      </c>
      <c r="F726">
        <v>50</v>
      </c>
      <c r="G726">
        <v>2.3333333333333335</v>
      </c>
      <c r="H726">
        <v>131.14285714285714</v>
      </c>
    </row>
    <row r="727" spans="1:8" x14ac:dyDescent="0.2">
      <c r="A727" s="127" t="s">
        <v>3422</v>
      </c>
      <c r="B727" s="127" t="s">
        <v>3423</v>
      </c>
      <c r="C727" s="127" t="s">
        <v>3349</v>
      </c>
      <c r="D727" s="127" t="s">
        <v>8</v>
      </c>
      <c r="F727">
        <v>50</v>
      </c>
      <c r="G727">
        <v>1.8333333333333333</v>
      </c>
      <c r="H727">
        <v>42</v>
      </c>
    </row>
    <row r="728" spans="1:8" x14ac:dyDescent="0.2">
      <c r="A728" s="127" t="s">
        <v>3422</v>
      </c>
      <c r="B728" s="127" t="s">
        <v>3423</v>
      </c>
      <c r="C728" s="127" t="s">
        <v>3349</v>
      </c>
      <c r="D728" s="127" t="s">
        <v>5730</v>
      </c>
      <c r="F728">
        <v>0</v>
      </c>
      <c r="G728">
        <v>0</v>
      </c>
      <c r="H728">
        <v>0</v>
      </c>
    </row>
    <row r="729" spans="1:8" x14ac:dyDescent="0.2">
      <c r="A729" s="127" t="s">
        <v>3422</v>
      </c>
      <c r="B729" s="127" t="s">
        <v>3423</v>
      </c>
      <c r="C729" s="127" t="s">
        <v>3349</v>
      </c>
      <c r="D729" s="127" t="s">
        <v>72</v>
      </c>
      <c r="E729" t="s">
        <v>7560</v>
      </c>
      <c r="F729">
        <v>50</v>
      </c>
      <c r="G729">
        <v>0.83333333333333337</v>
      </c>
      <c r="H729">
        <v>26.4</v>
      </c>
    </row>
    <row r="730" spans="1:8" x14ac:dyDescent="0.2">
      <c r="A730" s="127" t="s">
        <v>3422</v>
      </c>
      <c r="B730" s="127" t="s">
        <v>3423</v>
      </c>
      <c r="C730" s="127" t="s">
        <v>3349</v>
      </c>
      <c r="D730" s="127" t="s">
        <v>73</v>
      </c>
    </row>
    <row r="731" spans="1:8" x14ac:dyDescent="0.2">
      <c r="A731" s="127" t="s">
        <v>3434</v>
      </c>
      <c r="B731" s="127" t="s">
        <v>3435</v>
      </c>
      <c r="C731" s="127" t="s">
        <v>3349</v>
      </c>
      <c r="D731" s="127" t="s">
        <v>5738</v>
      </c>
      <c r="E731" t="s">
        <v>6573</v>
      </c>
      <c r="F731">
        <v>200</v>
      </c>
      <c r="G731">
        <v>6.5</v>
      </c>
      <c r="H731">
        <v>42.153846153846153</v>
      </c>
    </row>
    <row r="732" spans="1:8" x14ac:dyDescent="0.2">
      <c r="A732" s="127" t="s">
        <v>3434</v>
      </c>
      <c r="B732" s="127" t="s">
        <v>3435</v>
      </c>
      <c r="C732" s="127" t="s">
        <v>3349</v>
      </c>
      <c r="D732" s="127" t="s">
        <v>8</v>
      </c>
      <c r="F732">
        <v>50</v>
      </c>
      <c r="G732">
        <v>1.5</v>
      </c>
      <c r="H732">
        <v>51.333333333333336</v>
      </c>
    </row>
    <row r="733" spans="1:8" x14ac:dyDescent="0.2">
      <c r="A733" s="127" t="s">
        <v>3434</v>
      </c>
      <c r="B733" s="127" t="s">
        <v>3435</v>
      </c>
      <c r="C733" s="127" t="s">
        <v>3349</v>
      </c>
      <c r="D733" s="127" t="s">
        <v>5730</v>
      </c>
      <c r="F733">
        <v>0</v>
      </c>
      <c r="G733">
        <v>0</v>
      </c>
      <c r="H733">
        <v>0</v>
      </c>
    </row>
    <row r="734" spans="1:8" x14ac:dyDescent="0.2">
      <c r="A734" s="127" t="s">
        <v>3434</v>
      </c>
      <c r="B734" s="127" t="s">
        <v>3435</v>
      </c>
      <c r="C734" s="127" t="s">
        <v>3349</v>
      </c>
      <c r="D734" s="127" t="s">
        <v>72</v>
      </c>
      <c r="E734" t="s">
        <v>7561</v>
      </c>
      <c r="F734">
        <v>0</v>
      </c>
      <c r="G734">
        <v>0.5</v>
      </c>
      <c r="H734">
        <v>48</v>
      </c>
    </row>
    <row r="735" spans="1:8" x14ac:dyDescent="0.2">
      <c r="A735" s="127" t="s">
        <v>3434</v>
      </c>
      <c r="B735" s="127" t="s">
        <v>3435</v>
      </c>
      <c r="C735" s="127" t="s">
        <v>3349</v>
      </c>
      <c r="D735" s="127" t="s">
        <v>73</v>
      </c>
    </row>
    <row r="736" spans="1:8" x14ac:dyDescent="0.2">
      <c r="A736" s="127" t="s">
        <v>3424</v>
      </c>
      <c r="B736" s="127" t="s">
        <v>3425</v>
      </c>
      <c r="C736" s="127" t="s">
        <v>3349</v>
      </c>
      <c r="D736" s="127" t="s">
        <v>8</v>
      </c>
      <c r="G736">
        <v>1.3333333333333333</v>
      </c>
      <c r="H736">
        <v>55.5</v>
      </c>
    </row>
    <row r="737" spans="1:8" x14ac:dyDescent="0.2">
      <c r="A737" s="127" t="s">
        <v>3424</v>
      </c>
      <c r="B737" s="127" t="s">
        <v>3425</v>
      </c>
      <c r="C737" s="127" t="s">
        <v>3349</v>
      </c>
      <c r="D737" s="127" t="s">
        <v>5730</v>
      </c>
      <c r="F737">
        <v>0</v>
      </c>
      <c r="G737">
        <v>0</v>
      </c>
      <c r="H737">
        <v>0</v>
      </c>
    </row>
    <row r="738" spans="1:8" x14ac:dyDescent="0.2">
      <c r="A738" s="127" t="s">
        <v>3424</v>
      </c>
      <c r="B738" s="127" t="s">
        <v>3425</v>
      </c>
      <c r="C738" s="127" t="s">
        <v>3349</v>
      </c>
      <c r="D738" s="127" t="s">
        <v>72</v>
      </c>
      <c r="E738" t="s">
        <v>7562</v>
      </c>
      <c r="F738">
        <v>180</v>
      </c>
      <c r="G738">
        <v>1</v>
      </c>
      <c r="H738">
        <v>21</v>
      </c>
    </row>
    <row r="739" spans="1:8" x14ac:dyDescent="0.2">
      <c r="A739" s="127" t="s">
        <v>3424</v>
      </c>
      <c r="B739" s="127" t="s">
        <v>3425</v>
      </c>
      <c r="C739" s="127" t="s">
        <v>3349</v>
      </c>
      <c r="D739" s="127" t="s">
        <v>73</v>
      </c>
    </row>
    <row r="740" spans="1:8" x14ac:dyDescent="0.2">
      <c r="A740" s="127" t="s">
        <v>3436</v>
      </c>
      <c r="B740" s="127" t="s">
        <v>3437</v>
      </c>
      <c r="C740" s="127" t="s">
        <v>3349</v>
      </c>
      <c r="D740" s="127" t="s">
        <v>8</v>
      </c>
      <c r="F740">
        <v>360</v>
      </c>
      <c r="G740">
        <v>2.1666666666666665</v>
      </c>
      <c r="H740">
        <v>32.307692307692307</v>
      </c>
    </row>
    <row r="741" spans="1:8" x14ac:dyDescent="0.2">
      <c r="A741" s="127" t="s">
        <v>3436</v>
      </c>
      <c r="B741" s="127" t="s">
        <v>3437</v>
      </c>
      <c r="C741" s="127" t="s">
        <v>3349</v>
      </c>
      <c r="D741" s="127" t="s">
        <v>5730</v>
      </c>
      <c r="F741">
        <v>0</v>
      </c>
      <c r="G741">
        <v>0</v>
      </c>
      <c r="H741">
        <v>0</v>
      </c>
    </row>
    <row r="742" spans="1:8" x14ac:dyDescent="0.2">
      <c r="A742" s="127" t="s">
        <v>3436</v>
      </c>
      <c r="B742" s="127" t="s">
        <v>3437</v>
      </c>
      <c r="C742" s="127" t="s">
        <v>3349</v>
      </c>
      <c r="D742" s="127" t="s">
        <v>72</v>
      </c>
      <c r="E742" t="s">
        <v>7563</v>
      </c>
      <c r="F742">
        <v>0</v>
      </c>
      <c r="G742">
        <v>0.83333333333333337</v>
      </c>
      <c r="H742">
        <v>26.4</v>
      </c>
    </row>
    <row r="743" spans="1:8" x14ac:dyDescent="0.2">
      <c r="A743" s="127" t="s">
        <v>3436</v>
      </c>
      <c r="B743" s="127" t="s">
        <v>3437</v>
      </c>
      <c r="C743" s="127" t="s">
        <v>3349</v>
      </c>
      <c r="D743" s="127" t="s">
        <v>73</v>
      </c>
      <c r="F743">
        <v>90</v>
      </c>
      <c r="G743">
        <v>0.16666666666666666</v>
      </c>
      <c r="H743">
        <v>0</v>
      </c>
    </row>
    <row r="744" spans="1:8" x14ac:dyDescent="0.2">
      <c r="A744" s="127" t="s">
        <v>3396</v>
      </c>
      <c r="B744" s="127" t="s">
        <v>3397</v>
      </c>
      <c r="C744" s="127" t="s">
        <v>3349</v>
      </c>
      <c r="D744" s="127" t="s">
        <v>72</v>
      </c>
      <c r="E744" t="s">
        <v>7564</v>
      </c>
      <c r="F744">
        <v>40</v>
      </c>
      <c r="G744">
        <v>0.16666666666666666</v>
      </c>
      <c r="H744">
        <v>342</v>
      </c>
    </row>
    <row r="745" spans="1:8" x14ac:dyDescent="0.2">
      <c r="A745" s="127" t="s">
        <v>3398</v>
      </c>
      <c r="B745" s="127" t="s">
        <v>3399</v>
      </c>
      <c r="C745" s="127" t="s">
        <v>3349</v>
      </c>
      <c r="D745" s="127" t="s">
        <v>72</v>
      </c>
      <c r="E745" t="s">
        <v>7565</v>
      </c>
      <c r="F745">
        <v>0</v>
      </c>
      <c r="G745">
        <v>0.16666666666666666</v>
      </c>
      <c r="H745">
        <v>168</v>
      </c>
    </row>
    <row r="746" spans="1:8" x14ac:dyDescent="0.2">
      <c r="A746" s="127" t="s">
        <v>6574</v>
      </c>
      <c r="B746" s="127" t="s">
        <v>6575</v>
      </c>
      <c r="C746" s="127" t="s">
        <v>3349</v>
      </c>
      <c r="D746" s="127" t="s">
        <v>73</v>
      </c>
    </row>
    <row r="747" spans="1:8" x14ac:dyDescent="0.2">
      <c r="A747" s="127" t="s">
        <v>6578</v>
      </c>
      <c r="B747" s="127" t="s">
        <v>6579</v>
      </c>
      <c r="C747" s="127" t="s">
        <v>3349</v>
      </c>
      <c r="D747" s="127" t="s">
        <v>73</v>
      </c>
    </row>
    <row r="748" spans="1:8" x14ac:dyDescent="0.2">
      <c r="A748" s="127" t="s">
        <v>3350</v>
      </c>
      <c r="B748" s="127" t="s">
        <v>3351</v>
      </c>
      <c r="C748" s="127" t="s">
        <v>3349</v>
      </c>
      <c r="D748" s="127" t="s">
        <v>8</v>
      </c>
      <c r="G748">
        <v>0.5</v>
      </c>
      <c r="H748">
        <v>92</v>
      </c>
    </row>
    <row r="749" spans="1:8" x14ac:dyDescent="0.2">
      <c r="A749" s="127" t="s">
        <v>3350</v>
      </c>
      <c r="B749" s="127" t="s">
        <v>3351</v>
      </c>
      <c r="C749" s="127" t="s">
        <v>3349</v>
      </c>
      <c r="D749" s="127" t="s">
        <v>5730</v>
      </c>
      <c r="F749">
        <v>0</v>
      </c>
      <c r="G749">
        <v>0</v>
      </c>
      <c r="H749">
        <v>0</v>
      </c>
    </row>
    <row r="750" spans="1:8" x14ac:dyDescent="0.2">
      <c r="A750" s="127" t="s">
        <v>3350</v>
      </c>
      <c r="B750" s="127" t="s">
        <v>3351</v>
      </c>
      <c r="C750" s="127" t="s">
        <v>3349</v>
      </c>
      <c r="D750" s="127" t="s">
        <v>70</v>
      </c>
      <c r="E750" t="s">
        <v>6580</v>
      </c>
      <c r="F750">
        <v>0</v>
      </c>
      <c r="G750">
        <v>0.5</v>
      </c>
      <c r="H750">
        <v>10</v>
      </c>
    </row>
    <row r="751" spans="1:8" x14ac:dyDescent="0.2">
      <c r="A751" s="127" t="s">
        <v>3362</v>
      </c>
      <c r="B751" s="127" t="s">
        <v>3363</v>
      </c>
      <c r="C751" s="127" t="s">
        <v>3349</v>
      </c>
      <c r="D751" s="127" t="s">
        <v>70</v>
      </c>
      <c r="E751" t="s">
        <v>6581</v>
      </c>
      <c r="F751">
        <v>0</v>
      </c>
      <c r="G751">
        <v>0</v>
      </c>
      <c r="H751">
        <v>0</v>
      </c>
    </row>
    <row r="752" spans="1:8" x14ac:dyDescent="0.2">
      <c r="A752" s="127" t="s">
        <v>3362</v>
      </c>
      <c r="B752" s="127" t="s">
        <v>3363</v>
      </c>
      <c r="C752" s="127" t="s">
        <v>3349</v>
      </c>
      <c r="D752" s="127" t="s">
        <v>72</v>
      </c>
      <c r="E752" t="s">
        <v>6582</v>
      </c>
      <c r="F752">
        <v>0</v>
      </c>
      <c r="G752">
        <v>0</v>
      </c>
      <c r="H752">
        <v>0</v>
      </c>
    </row>
    <row r="753" spans="1:8" x14ac:dyDescent="0.2">
      <c r="A753" s="127" t="s">
        <v>3362</v>
      </c>
      <c r="B753" s="127" t="s">
        <v>3363</v>
      </c>
      <c r="C753" s="127" t="s">
        <v>3349</v>
      </c>
      <c r="D753" s="127" t="s">
        <v>73</v>
      </c>
    </row>
    <row r="754" spans="1:8" x14ac:dyDescent="0.2">
      <c r="A754" s="127" t="s">
        <v>3368</v>
      </c>
      <c r="B754" s="127" t="s">
        <v>3369</v>
      </c>
      <c r="C754" s="127" t="s">
        <v>3349</v>
      </c>
      <c r="D754" s="127" t="s">
        <v>70</v>
      </c>
      <c r="E754" t="s">
        <v>6583</v>
      </c>
      <c r="F754">
        <v>0</v>
      </c>
      <c r="G754">
        <v>0</v>
      </c>
      <c r="H754">
        <v>0</v>
      </c>
    </row>
    <row r="755" spans="1:8" x14ac:dyDescent="0.2">
      <c r="A755" s="127" t="s">
        <v>3368</v>
      </c>
      <c r="B755" s="127" t="s">
        <v>3369</v>
      </c>
      <c r="C755" s="127" t="s">
        <v>3349</v>
      </c>
      <c r="D755" s="127" t="s">
        <v>72</v>
      </c>
      <c r="E755" t="s">
        <v>6584</v>
      </c>
      <c r="F755">
        <v>100</v>
      </c>
      <c r="G755">
        <v>0.33333333333333331</v>
      </c>
      <c r="H755">
        <v>0</v>
      </c>
    </row>
    <row r="756" spans="1:8" x14ac:dyDescent="0.2">
      <c r="A756" s="127" t="s">
        <v>3368</v>
      </c>
      <c r="B756" s="127" t="s">
        <v>3369</v>
      </c>
      <c r="C756" s="127" t="s">
        <v>3349</v>
      </c>
      <c r="D756" s="127" t="s">
        <v>73</v>
      </c>
    </row>
    <row r="757" spans="1:8" x14ac:dyDescent="0.2">
      <c r="A757" s="127" t="s">
        <v>3364</v>
      </c>
      <c r="B757" s="127" t="s">
        <v>3365</v>
      </c>
      <c r="C757" s="127" t="s">
        <v>3349</v>
      </c>
      <c r="D757" s="127" t="s">
        <v>70</v>
      </c>
      <c r="E757" t="s">
        <v>6585</v>
      </c>
      <c r="F757">
        <v>0</v>
      </c>
      <c r="G757">
        <v>0</v>
      </c>
      <c r="H757">
        <v>0</v>
      </c>
    </row>
    <row r="758" spans="1:8" x14ac:dyDescent="0.2">
      <c r="A758" s="127" t="s">
        <v>3364</v>
      </c>
      <c r="B758" s="127" t="s">
        <v>3365</v>
      </c>
      <c r="C758" s="127" t="s">
        <v>3349</v>
      </c>
      <c r="D758" s="127" t="s">
        <v>72</v>
      </c>
      <c r="E758" t="s">
        <v>6586</v>
      </c>
      <c r="F758">
        <v>0</v>
      </c>
      <c r="G758">
        <v>0.16666666666666666</v>
      </c>
      <c r="H758">
        <v>24</v>
      </c>
    </row>
    <row r="759" spans="1:8" x14ac:dyDescent="0.2">
      <c r="A759" s="127" t="s">
        <v>3364</v>
      </c>
      <c r="B759" s="127" t="s">
        <v>3365</v>
      </c>
      <c r="C759" s="127" t="s">
        <v>3349</v>
      </c>
      <c r="D759" s="127" t="s">
        <v>73</v>
      </c>
    </row>
    <row r="760" spans="1:8" x14ac:dyDescent="0.2">
      <c r="A760" s="127" t="s">
        <v>3372</v>
      </c>
      <c r="B760" s="127" t="s">
        <v>3373</v>
      </c>
      <c r="C760" s="127" t="s">
        <v>3349</v>
      </c>
      <c r="D760" s="127" t="s">
        <v>70</v>
      </c>
      <c r="E760" t="s">
        <v>6587</v>
      </c>
    </row>
    <row r="761" spans="1:8" x14ac:dyDescent="0.2">
      <c r="A761" s="127" t="s">
        <v>3372</v>
      </c>
      <c r="B761" s="127" t="s">
        <v>3373</v>
      </c>
      <c r="C761" s="127" t="s">
        <v>3349</v>
      </c>
      <c r="D761" s="127" t="s">
        <v>72</v>
      </c>
      <c r="E761" t="s">
        <v>6588</v>
      </c>
    </row>
    <row r="762" spans="1:8" x14ac:dyDescent="0.2">
      <c r="A762" s="127" t="s">
        <v>3372</v>
      </c>
      <c r="B762" s="127" t="s">
        <v>3373</v>
      </c>
      <c r="C762" s="127" t="s">
        <v>3349</v>
      </c>
      <c r="D762" s="127" t="s">
        <v>73</v>
      </c>
    </row>
    <row r="763" spans="1:8" x14ac:dyDescent="0.2">
      <c r="A763" s="127" t="s">
        <v>3366</v>
      </c>
      <c r="B763" s="127" t="s">
        <v>3367</v>
      </c>
      <c r="C763" s="127" t="s">
        <v>3349</v>
      </c>
      <c r="D763" s="127" t="s">
        <v>70</v>
      </c>
      <c r="E763" t="s">
        <v>6589</v>
      </c>
    </row>
    <row r="764" spans="1:8" x14ac:dyDescent="0.2">
      <c r="A764" s="127" t="s">
        <v>3366</v>
      </c>
      <c r="B764" s="127" t="s">
        <v>3367</v>
      </c>
      <c r="C764" s="127" t="s">
        <v>3349</v>
      </c>
      <c r="D764" s="127" t="s">
        <v>72</v>
      </c>
      <c r="E764" t="s">
        <v>6590</v>
      </c>
      <c r="F764">
        <v>0</v>
      </c>
      <c r="G764">
        <v>0</v>
      </c>
      <c r="H764">
        <v>0</v>
      </c>
    </row>
    <row r="765" spans="1:8" x14ac:dyDescent="0.2">
      <c r="A765" s="127" t="s">
        <v>3366</v>
      </c>
      <c r="B765" s="127" t="s">
        <v>3367</v>
      </c>
      <c r="C765" s="127" t="s">
        <v>3349</v>
      </c>
      <c r="D765" s="127" t="s">
        <v>73</v>
      </c>
    </row>
    <row r="766" spans="1:8" x14ac:dyDescent="0.2">
      <c r="A766" s="127" t="s">
        <v>3360</v>
      </c>
      <c r="B766" s="127" t="s">
        <v>3361</v>
      </c>
      <c r="C766" s="127" t="s">
        <v>3349</v>
      </c>
      <c r="D766" s="127" t="s">
        <v>8</v>
      </c>
    </row>
    <row r="767" spans="1:8" x14ac:dyDescent="0.2">
      <c r="A767" s="127" t="s">
        <v>3360</v>
      </c>
      <c r="B767" s="127" t="s">
        <v>3361</v>
      </c>
      <c r="C767" s="127" t="s">
        <v>3349</v>
      </c>
      <c r="D767" s="127" t="s">
        <v>70</v>
      </c>
      <c r="E767" t="s">
        <v>6591</v>
      </c>
      <c r="F767">
        <v>0</v>
      </c>
      <c r="G767">
        <v>0</v>
      </c>
      <c r="H767">
        <v>0</v>
      </c>
    </row>
    <row r="768" spans="1:8" x14ac:dyDescent="0.2">
      <c r="A768" s="127" t="s">
        <v>3360</v>
      </c>
      <c r="B768" s="127" t="s">
        <v>3361</v>
      </c>
      <c r="C768" s="127" t="s">
        <v>3349</v>
      </c>
      <c r="D768" s="127" t="s">
        <v>72</v>
      </c>
      <c r="E768" t="s">
        <v>6592</v>
      </c>
      <c r="F768">
        <v>0</v>
      </c>
      <c r="G768">
        <v>0.66666666666666663</v>
      </c>
      <c r="H768">
        <v>1.5</v>
      </c>
    </row>
    <row r="769" spans="1:8" x14ac:dyDescent="0.2">
      <c r="A769" s="127" t="s">
        <v>3360</v>
      </c>
      <c r="B769" s="127" t="s">
        <v>3361</v>
      </c>
      <c r="C769" s="127" t="s">
        <v>3349</v>
      </c>
      <c r="D769" s="127" t="s">
        <v>73</v>
      </c>
    </row>
    <row r="770" spans="1:8" x14ac:dyDescent="0.2">
      <c r="A770" s="127" t="s">
        <v>3358</v>
      </c>
      <c r="B770" s="127" t="s">
        <v>3359</v>
      </c>
      <c r="C770" s="127" t="s">
        <v>3349</v>
      </c>
      <c r="D770" s="127" t="s">
        <v>5738</v>
      </c>
      <c r="E770" t="s">
        <v>6593</v>
      </c>
      <c r="F770">
        <v>310</v>
      </c>
      <c r="G770">
        <v>0.5</v>
      </c>
      <c r="H770">
        <v>184</v>
      </c>
    </row>
    <row r="771" spans="1:8" x14ac:dyDescent="0.2">
      <c r="A771" s="127" t="s">
        <v>3358</v>
      </c>
      <c r="B771" s="127" t="s">
        <v>3359</v>
      </c>
      <c r="C771" s="127" t="s">
        <v>3349</v>
      </c>
      <c r="D771" s="127" t="s">
        <v>8</v>
      </c>
      <c r="G771">
        <v>-0.16666666666666666</v>
      </c>
      <c r="H771">
        <v>-318</v>
      </c>
    </row>
    <row r="772" spans="1:8" x14ac:dyDescent="0.2">
      <c r="A772" s="127" t="s">
        <v>3358</v>
      </c>
      <c r="B772" s="127" t="s">
        <v>3359</v>
      </c>
      <c r="C772" s="127" t="s">
        <v>3349</v>
      </c>
      <c r="D772" s="127" t="s">
        <v>70</v>
      </c>
      <c r="E772" t="s">
        <v>6594</v>
      </c>
      <c r="F772">
        <v>0</v>
      </c>
      <c r="G772">
        <v>0</v>
      </c>
      <c r="H772">
        <v>0</v>
      </c>
    </row>
    <row r="773" spans="1:8" x14ac:dyDescent="0.2">
      <c r="A773" s="127" t="s">
        <v>3358</v>
      </c>
      <c r="B773" s="127" t="s">
        <v>3359</v>
      </c>
      <c r="C773" s="127" t="s">
        <v>3349</v>
      </c>
      <c r="D773" s="127" t="s">
        <v>72</v>
      </c>
      <c r="E773" t="s">
        <v>6595</v>
      </c>
      <c r="F773">
        <v>0</v>
      </c>
      <c r="G773">
        <v>0.16666666666666666</v>
      </c>
      <c r="H773">
        <v>402</v>
      </c>
    </row>
    <row r="774" spans="1:8" x14ac:dyDescent="0.2">
      <c r="A774" s="127" t="s">
        <v>3358</v>
      </c>
      <c r="B774" s="127" t="s">
        <v>3359</v>
      </c>
      <c r="C774" s="127" t="s">
        <v>3349</v>
      </c>
      <c r="D774" s="127" t="s">
        <v>73</v>
      </c>
    </row>
    <row r="775" spans="1:8" x14ac:dyDescent="0.2">
      <c r="A775" s="127" t="s">
        <v>3374</v>
      </c>
      <c r="B775" s="127" t="s">
        <v>3375</v>
      </c>
      <c r="C775" s="127" t="s">
        <v>3349</v>
      </c>
      <c r="D775" s="127" t="s">
        <v>70</v>
      </c>
      <c r="E775" t="s">
        <v>6596</v>
      </c>
      <c r="F775">
        <v>0</v>
      </c>
      <c r="G775">
        <v>0.5</v>
      </c>
      <c r="H775">
        <v>48</v>
      </c>
    </row>
    <row r="776" spans="1:8" x14ac:dyDescent="0.2">
      <c r="A776" s="127" t="s">
        <v>3370</v>
      </c>
      <c r="B776" s="127" t="s">
        <v>3371</v>
      </c>
      <c r="C776" s="127" t="s">
        <v>3349</v>
      </c>
      <c r="D776" s="127" t="s">
        <v>8</v>
      </c>
    </row>
    <row r="777" spans="1:8" x14ac:dyDescent="0.2">
      <c r="A777" s="127" t="s">
        <v>3370</v>
      </c>
      <c r="B777" s="127" t="s">
        <v>3371</v>
      </c>
      <c r="C777" s="127" t="s">
        <v>3349</v>
      </c>
      <c r="D777" s="127" t="s">
        <v>72</v>
      </c>
      <c r="E777" t="s">
        <v>6597</v>
      </c>
      <c r="F777">
        <v>0</v>
      </c>
      <c r="G777">
        <v>0</v>
      </c>
      <c r="H777">
        <v>0</v>
      </c>
    </row>
    <row r="778" spans="1:8" x14ac:dyDescent="0.2">
      <c r="A778" s="127" t="s">
        <v>3370</v>
      </c>
      <c r="B778" s="127" t="s">
        <v>3371</v>
      </c>
      <c r="C778" s="127" t="s">
        <v>3349</v>
      </c>
      <c r="D778" s="127" t="s">
        <v>73</v>
      </c>
    </row>
    <row r="779" spans="1:8" x14ac:dyDescent="0.2">
      <c r="A779" s="127" t="s">
        <v>7360</v>
      </c>
      <c r="B779" s="127" t="s">
        <v>7361</v>
      </c>
      <c r="C779" s="127" t="s">
        <v>6677</v>
      </c>
      <c r="D779" s="127" t="s">
        <v>72</v>
      </c>
      <c r="E779" t="s">
        <v>7566</v>
      </c>
      <c r="F779">
        <v>0</v>
      </c>
      <c r="G779">
        <v>0.16666666666666666</v>
      </c>
      <c r="H779">
        <v>0</v>
      </c>
    </row>
    <row r="780" spans="1:8" x14ac:dyDescent="0.2">
      <c r="A780" s="127" t="s">
        <v>3472</v>
      </c>
      <c r="B780" s="127" t="s">
        <v>3473</v>
      </c>
      <c r="C780" s="127" t="s">
        <v>3349</v>
      </c>
      <c r="D780" s="127" t="s">
        <v>5730</v>
      </c>
    </row>
    <row r="781" spans="1:8" x14ac:dyDescent="0.2">
      <c r="A781" s="127" t="s">
        <v>3472</v>
      </c>
      <c r="B781" s="127" t="s">
        <v>3473</v>
      </c>
      <c r="C781" s="127" t="s">
        <v>3349</v>
      </c>
      <c r="D781" s="127" t="s">
        <v>73</v>
      </c>
    </row>
    <row r="782" spans="1:8" x14ac:dyDescent="0.2">
      <c r="A782" s="127" t="s">
        <v>3458</v>
      </c>
      <c r="B782" s="127" t="s">
        <v>3459</v>
      </c>
      <c r="C782" s="127" t="s">
        <v>3349</v>
      </c>
      <c r="D782" s="127" t="s">
        <v>5730</v>
      </c>
    </row>
    <row r="783" spans="1:8" x14ac:dyDescent="0.2">
      <c r="A783" s="127" t="s">
        <v>3458</v>
      </c>
      <c r="B783" s="127" t="s">
        <v>3459</v>
      </c>
      <c r="C783" s="127" t="s">
        <v>3349</v>
      </c>
      <c r="D783" s="127" t="s">
        <v>72</v>
      </c>
      <c r="E783" t="s">
        <v>6598</v>
      </c>
      <c r="F783">
        <v>0</v>
      </c>
      <c r="G783">
        <v>0</v>
      </c>
      <c r="H783">
        <v>0</v>
      </c>
    </row>
    <row r="784" spans="1:8" x14ac:dyDescent="0.2">
      <c r="A784" s="127" t="s">
        <v>3458</v>
      </c>
      <c r="B784" s="127" t="s">
        <v>3459</v>
      </c>
      <c r="C784" s="127" t="s">
        <v>3349</v>
      </c>
      <c r="D784" s="127" t="s">
        <v>73</v>
      </c>
    </row>
    <row r="785" spans="1:8" x14ac:dyDescent="0.2">
      <c r="A785" s="127" t="s">
        <v>3470</v>
      </c>
      <c r="B785" s="127" t="s">
        <v>3471</v>
      </c>
      <c r="C785" s="127" t="s">
        <v>3349</v>
      </c>
      <c r="D785" s="127" t="s">
        <v>5730</v>
      </c>
    </row>
    <row r="786" spans="1:8" x14ac:dyDescent="0.2">
      <c r="A786" s="127" t="s">
        <v>3470</v>
      </c>
      <c r="B786" s="127" t="s">
        <v>3471</v>
      </c>
      <c r="C786" s="127" t="s">
        <v>3349</v>
      </c>
      <c r="D786" s="127" t="s">
        <v>73</v>
      </c>
    </row>
    <row r="787" spans="1:8" x14ac:dyDescent="0.2">
      <c r="A787" s="127" t="s">
        <v>3460</v>
      </c>
      <c r="B787" s="127" t="s">
        <v>3461</v>
      </c>
      <c r="C787" s="127" t="s">
        <v>3349</v>
      </c>
      <c r="D787" s="127" t="s">
        <v>5730</v>
      </c>
    </row>
    <row r="788" spans="1:8" x14ac:dyDescent="0.2">
      <c r="A788" s="127" t="s">
        <v>3460</v>
      </c>
      <c r="B788" s="127" t="s">
        <v>3461</v>
      </c>
      <c r="C788" s="127" t="s">
        <v>3349</v>
      </c>
      <c r="D788" s="127" t="s">
        <v>73</v>
      </c>
    </row>
    <row r="789" spans="1:8" x14ac:dyDescent="0.2">
      <c r="A789" s="127" t="s">
        <v>3418</v>
      </c>
      <c r="B789" s="127" t="s">
        <v>3419</v>
      </c>
      <c r="C789" s="127" t="s">
        <v>3349</v>
      </c>
      <c r="D789" s="127" t="s">
        <v>8</v>
      </c>
      <c r="G789">
        <v>0.5</v>
      </c>
      <c r="H789">
        <v>50</v>
      </c>
    </row>
    <row r="790" spans="1:8" x14ac:dyDescent="0.2">
      <c r="A790" s="127" t="s">
        <v>3418</v>
      </c>
      <c r="B790" s="127" t="s">
        <v>3419</v>
      </c>
      <c r="C790" s="127" t="s">
        <v>3349</v>
      </c>
      <c r="D790" s="127" t="s">
        <v>70</v>
      </c>
      <c r="E790" t="s">
        <v>6599</v>
      </c>
    </row>
    <row r="791" spans="1:8" x14ac:dyDescent="0.2">
      <c r="A791" s="127" t="s">
        <v>3418</v>
      </c>
      <c r="B791" s="127" t="s">
        <v>3419</v>
      </c>
      <c r="C791" s="127" t="s">
        <v>3349</v>
      </c>
      <c r="D791" s="127" t="s">
        <v>72</v>
      </c>
      <c r="E791" t="s">
        <v>6600</v>
      </c>
      <c r="F791">
        <v>0</v>
      </c>
      <c r="G791">
        <v>0</v>
      </c>
      <c r="H791">
        <v>0</v>
      </c>
    </row>
    <row r="792" spans="1:8" x14ac:dyDescent="0.2">
      <c r="A792" s="127" t="s">
        <v>3418</v>
      </c>
      <c r="B792" s="127" t="s">
        <v>3419</v>
      </c>
      <c r="C792" s="127" t="s">
        <v>3349</v>
      </c>
      <c r="D792" s="127" t="s">
        <v>73</v>
      </c>
    </row>
    <row r="793" spans="1:8" x14ac:dyDescent="0.2">
      <c r="A793" s="127" t="s">
        <v>3430</v>
      </c>
      <c r="B793" s="127" t="s">
        <v>3431</v>
      </c>
      <c r="C793" s="127" t="s">
        <v>3349</v>
      </c>
      <c r="D793" s="127" t="s">
        <v>8</v>
      </c>
    </row>
    <row r="794" spans="1:8" x14ac:dyDescent="0.2">
      <c r="A794" s="127" t="s">
        <v>3430</v>
      </c>
      <c r="B794" s="127" t="s">
        <v>3431</v>
      </c>
      <c r="C794" s="127" t="s">
        <v>3349</v>
      </c>
      <c r="D794" s="127" t="s">
        <v>70</v>
      </c>
      <c r="E794" t="s">
        <v>6601</v>
      </c>
      <c r="F794">
        <v>0</v>
      </c>
      <c r="G794">
        <v>0</v>
      </c>
      <c r="H794">
        <v>0</v>
      </c>
    </row>
    <row r="795" spans="1:8" x14ac:dyDescent="0.2">
      <c r="A795" s="127" t="s">
        <v>3430</v>
      </c>
      <c r="B795" s="127" t="s">
        <v>3431</v>
      </c>
      <c r="C795" s="127" t="s">
        <v>3349</v>
      </c>
      <c r="D795" s="127" t="s">
        <v>72</v>
      </c>
      <c r="E795" t="s">
        <v>6602</v>
      </c>
      <c r="F795">
        <v>0</v>
      </c>
      <c r="G795">
        <v>0.16666666666666666</v>
      </c>
      <c r="H795">
        <v>18</v>
      </c>
    </row>
    <row r="796" spans="1:8" x14ac:dyDescent="0.2">
      <c r="A796" s="127" t="s">
        <v>3430</v>
      </c>
      <c r="B796" s="127" t="s">
        <v>3431</v>
      </c>
      <c r="C796" s="127" t="s">
        <v>3349</v>
      </c>
      <c r="D796" s="127" t="s">
        <v>73</v>
      </c>
    </row>
    <row r="797" spans="1:8" x14ac:dyDescent="0.2">
      <c r="A797" s="127" t="s">
        <v>3420</v>
      </c>
      <c r="B797" s="127" t="s">
        <v>3421</v>
      </c>
      <c r="C797" s="127" t="s">
        <v>3349</v>
      </c>
      <c r="D797" s="127" t="s">
        <v>8</v>
      </c>
      <c r="G797">
        <v>0.16666666666666666</v>
      </c>
      <c r="H797">
        <v>96</v>
      </c>
    </row>
    <row r="798" spans="1:8" x14ac:dyDescent="0.2">
      <c r="A798" s="127" t="s">
        <v>3420</v>
      </c>
      <c r="B798" s="127" t="s">
        <v>3421</v>
      </c>
      <c r="C798" s="127" t="s">
        <v>3349</v>
      </c>
      <c r="D798" s="127" t="s">
        <v>70</v>
      </c>
      <c r="E798" t="s">
        <v>6603</v>
      </c>
      <c r="F798">
        <v>0</v>
      </c>
      <c r="G798">
        <v>0</v>
      </c>
      <c r="H798">
        <v>0</v>
      </c>
    </row>
    <row r="799" spans="1:8" x14ac:dyDescent="0.2">
      <c r="A799" s="127" t="s">
        <v>3420</v>
      </c>
      <c r="B799" s="127" t="s">
        <v>3421</v>
      </c>
      <c r="C799" s="127" t="s">
        <v>3349</v>
      </c>
      <c r="D799" s="127" t="s">
        <v>72</v>
      </c>
      <c r="E799" t="s">
        <v>6604</v>
      </c>
      <c r="F799">
        <v>0</v>
      </c>
      <c r="G799">
        <v>0.16666666666666666</v>
      </c>
      <c r="H799">
        <v>36</v>
      </c>
    </row>
    <row r="800" spans="1:8" x14ac:dyDescent="0.2">
      <c r="A800" s="127" t="s">
        <v>3420</v>
      </c>
      <c r="B800" s="127" t="s">
        <v>3421</v>
      </c>
      <c r="C800" s="127" t="s">
        <v>3349</v>
      </c>
      <c r="D800" s="127" t="s">
        <v>73</v>
      </c>
    </row>
    <row r="801" spans="1:8" x14ac:dyDescent="0.2">
      <c r="A801" s="127" t="s">
        <v>3432</v>
      </c>
      <c r="B801" s="127" t="s">
        <v>3433</v>
      </c>
      <c r="C801" s="127" t="s">
        <v>3349</v>
      </c>
      <c r="D801" s="127" t="s">
        <v>8</v>
      </c>
      <c r="H801">
        <v>0</v>
      </c>
    </row>
    <row r="802" spans="1:8" x14ac:dyDescent="0.2">
      <c r="A802" s="127" t="s">
        <v>3432</v>
      </c>
      <c r="B802" s="127" t="s">
        <v>3433</v>
      </c>
      <c r="C802" s="127" t="s">
        <v>3349</v>
      </c>
      <c r="D802" s="127" t="s">
        <v>70</v>
      </c>
      <c r="E802" t="s">
        <v>6605</v>
      </c>
      <c r="F802">
        <v>0</v>
      </c>
      <c r="G802">
        <v>0</v>
      </c>
      <c r="H802">
        <v>0</v>
      </c>
    </row>
    <row r="803" spans="1:8" x14ac:dyDescent="0.2">
      <c r="A803" s="127" t="s">
        <v>3432</v>
      </c>
      <c r="B803" s="127" t="s">
        <v>3433</v>
      </c>
      <c r="C803" s="127" t="s">
        <v>3349</v>
      </c>
      <c r="D803" s="127" t="s">
        <v>72</v>
      </c>
      <c r="E803" t="s">
        <v>6606</v>
      </c>
      <c r="F803">
        <v>0</v>
      </c>
      <c r="G803">
        <v>0</v>
      </c>
      <c r="H803">
        <v>0</v>
      </c>
    </row>
    <row r="804" spans="1:8" x14ac:dyDescent="0.2">
      <c r="A804" s="127" t="s">
        <v>3432</v>
      </c>
      <c r="B804" s="127" t="s">
        <v>3433</v>
      </c>
      <c r="C804" s="127" t="s">
        <v>3349</v>
      </c>
      <c r="D804" s="127" t="s">
        <v>73</v>
      </c>
    </row>
    <row r="805" spans="1:8" x14ac:dyDescent="0.2">
      <c r="A805" s="127" t="s">
        <v>3400</v>
      </c>
      <c r="B805" s="127" t="s">
        <v>3401</v>
      </c>
      <c r="C805" s="127" t="s">
        <v>3349</v>
      </c>
      <c r="D805" s="127" t="s">
        <v>8</v>
      </c>
      <c r="H805">
        <v>0</v>
      </c>
    </row>
    <row r="806" spans="1:8" x14ac:dyDescent="0.2">
      <c r="A806" s="127" t="s">
        <v>3400</v>
      </c>
      <c r="B806" s="127" t="s">
        <v>3401</v>
      </c>
      <c r="C806" s="127" t="s">
        <v>3349</v>
      </c>
      <c r="D806" s="127" t="s">
        <v>70</v>
      </c>
      <c r="E806" t="s">
        <v>6607</v>
      </c>
    </row>
    <row r="807" spans="1:8" x14ac:dyDescent="0.2">
      <c r="A807" s="127" t="s">
        <v>3400</v>
      </c>
      <c r="B807" s="127" t="s">
        <v>3401</v>
      </c>
      <c r="C807" s="127" t="s">
        <v>3349</v>
      </c>
      <c r="D807" s="127" t="s">
        <v>72</v>
      </c>
      <c r="E807" t="s">
        <v>6608</v>
      </c>
      <c r="F807">
        <v>0</v>
      </c>
      <c r="G807">
        <v>0</v>
      </c>
      <c r="H807">
        <v>0</v>
      </c>
    </row>
    <row r="808" spans="1:8" x14ac:dyDescent="0.2">
      <c r="A808" s="127" t="s">
        <v>3400</v>
      </c>
      <c r="B808" s="127" t="s">
        <v>3401</v>
      </c>
      <c r="C808" s="127" t="s">
        <v>3349</v>
      </c>
      <c r="D808" s="127" t="s">
        <v>73</v>
      </c>
    </row>
    <row r="809" spans="1:8" x14ac:dyDescent="0.2">
      <c r="A809" s="127" t="s">
        <v>3402</v>
      </c>
      <c r="B809" s="127" t="s">
        <v>3403</v>
      </c>
      <c r="C809" s="127" t="s">
        <v>3349</v>
      </c>
      <c r="D809" s="127" t="s">
        <v>8</v>
      </c>
    </row>
    <row r="810" spans="1:8" x14ac:dyDescent="0.2">
      <c r="A810" s="127" t="s">
        <v>3402</v>
      </c>
      <c r="B810" s="127" t="s">
        <v>3403</v>
      </c>
      <c r="C810" s="127" t="s">
        <v>3349</v>
      </c>
      <c r="D810" s="127" t="s">
        <v>70</v>
      </c>
      <c r="E810" t="s">
        <v>6609</v>
      </c>
    </row>
    <row r="811" spans="1:8" x14ac:dyDescent="0.2">
      <c r="A811" s="127" t="s">
        <v>3402</v>
      </c>
      <c r="B811" s="127" t="s">
        <v>3403</v>
      </c>
      <c r="C811" s="127" t="s">
        <v>3349</v>
      </c>
      <c r="D811" s="127" t="s">
        <v>72</v>
      </c>
      <c r="E811" t="s">
        <v>6610</v>
      </c>
      <c r="F811">
        <v>0</v>
      </c>
      <c r="G811">
        <v>0</v>
      </c>
      <c r="H811">
        <v>0</v>
      </c>
    </row>
    <row r="812" spans="1:8" x14ac:dyDescent="0.2">
      <c r="A812" s="127" t="s">
        <v>3402</v>
      </c>
      <c r="B812" s="127" t="s">
        <v>3403</v>
      </c>
      <c r="C812" s="127" t="s">
        <v>3349</v>
      </c>
      <c r="D812" s="127" t="s">
        <v>73</v>
      </c>
    </row>
    <row r="813" spans="1:8" x14ac:dyDescent="0.2">
      <c r="A813" s="127" t="s">
        <v>3404</v>
      </c>
      <c r="B813" s="127" t="s">
        <v>3405</v>
      </c>
      <c r="C813" s="127" t="s">
        <v>3349</v>
      </c>
      <c r="D813" s="127" t="s">
        <v>8</v>
      </c>
      <c r="H813">
        <v>0</v>
      </c>
    </row>
    <row r="814" spans="1:8" x14ac:dyDescent="0.2">
      <c r="A814" s="127" t="s">
        <v>3404</v>
      </c>
      <c r="B814" s="127" t="s">
        <v>3405</v>
      </c>
      <c r="C814" s="127" t="s">
        <v>3349</v>
      </c>
      <c r="D814" s="127" t="s">
        <v>70</v>
      </c>
      <c r="E814" t="s">
        <v>6611</v>
      </c>
    </row>
    <row r="815" spans="1:8" x14ac:dyDescent="0.2">
      <c r="A815" s="127" t="s">
        <v>3404</v>
      </c>
      <c r="B815" s="127" t="s">
        <v>3405</v>
      </c>
      <c r="C815" s="127" t="s">
        <v>3349</v>
      </c>
      <c r="D815" s="127" t="s">
        <v>72</v>
      </c>
      <c r="E815" t="s">
        <v>6612</v>
      </c>
    </row>
    <row r="816" spans="1:8" x14ac:dyDescent="0.2">
      <c r="A816" s="127" t="s">
        <v>3404</v>
      </c>
      <c r="B816" s="127" t="s">
        <v>3405</v>
      </c>
      <c r="C816" s="127" t="s">
        <v>3349</v>
      </c>
      <c r="D816" s="127" t="s">
        <v>73</v>
      </c>
    </row>
    <row r="817" spans="1:8" x14ac:dyDescent="0.2">
      <c r="A817" s="127" t="s">
        <v>3408</v>
      </c>
      <c r="B817" s="127" t="s">
        <v>3409</v>
      </c>
      <c r="C817" s="127" t="s">
        <v>3349</v>
      </c>
      <c r="D817" s="127" t="s">
        <v>5730</v>
      </c>
    </row>
    <row r="818" spans="1:8" x14ac:dyDescent="0.2">
      <c r="A818" s="127" t="s">
        <v>3408</v>
      </c>
      <c r="B818" s="127" t="s">
        <v>3409</v>
      </c>
      <c r="C818" s="127" t="s">
        <v>3349</v>
      </c>
      <c r="D818" s="127" t="s">
        <v>70</v>
      </c>
      <c r="E818" t="s">
        <v>6613</v>
      </c>
      <c r="F818">
        <v>0</v>
      </c>
      <c r="G818">
        <v>0</v>
      </c>
      <c r="H818">
        <v>0</v>
      </c>
    </row>
    <row r="819" spans="1:8" x14ac:dyDescent="0.2">
      <c r="A819" s="127" t="s">
        <v>3408</v>
      </c>
      <c r="B819" s="127" t="s">
        <v>3409</v>
      </c>
      <c r="C819" s="127" t="s">
        <v>3349</v>
      </c>
      <c r="D819" s="127" t="s">
        <v>72</v>
      </c>
      <c r="E819" t="s">
        <v>6614</v>
      </c>
    </row>
    <row r="820" spans="1:8" x14ac:dyDescent="0.2">
      <c r="A820" s="127" t="s">
        <v>3408</v>
      </c>
      <c r="B820" s="127" t="s">
        <v>3409</v>
      </c>
      <c r="C820" s="127" t="s">
        <v>3349</v>
      </c>
      <c r="D820" s="127" t="s">
        <v>73</v>
      </c>
    </row>
    <row r="821" spans="1:8" x14ac:dyDescent="0.2">
      <c r="A821" s="127" t="s">
        <v>3410</v>
      </c>
      <c r="B821" s="127" t="s">
        <v>3411</v>
      </c>
      <c r="C821" s="127" t="s">
        <v>3349</v>
      </c>
      <c r="D821" s="127" t="s">
        <v>8</v>
      </c>
    </row>
    <row r="822" spans="1:8" x14ac:dyDescent="0.2">
      <c r="A822" s="127" t="s">
        <v>3410</v>
      </c>
      <c r="B822" s="127" t="s">
        <v>3411</v>
      </c>
      <c r="C822" s="127" t="s">
        <v>3349</v>
      </c>
      <c r="D822" s="127" t="s">
        <v>70</v>
      </c>
      <c r="E822" t="s">
        <v>6615</v>
      </c>
    </row>
    <row r="823" spans="1:8" x14ac:dyDescent="0.2">
      <c r="A823" s="127" t="s">
        <v>3410</v>
      </c>
      <c r="B823" s="127" t="s">
        <v>3411</v>
      </c>
      <c r="C823" s="127" t="s">
        <v>3349</v>
      </c>
      <c r="D823" s="127" t="s">
        <v>72</v>
      </c>
      <c r="E823" t="s">
        <v>6616</v>
      </c>
      <c r="F823">
        <v>0</v>
      </c>
      <c r="G823">
        <v>0</v>
      </c>
      <c r="H823">
        <v>0</v>
      </c>
    </row>
    <row r="824" spans="1:8" x14ac:dyDescent="0.2">
      <c r="A824" s="127" t="s">
        <v>3410</v>
      </c>
      <c r="B824" s="127" t="s">
        <v>3411</v>
      </c>
      <c r="C824" s="127" t="s">
        <v>3349</v>
      </c>
      <c r="D824" s="127" t="s">
        <v>73</v>
      </c>
    </row>
    <row r="825" spans="1:8" x14ac:dyDescent="0.2">
      <c r="A825" s="127" t="s">
        <v>3412</v>
      </c>
      <c r="B825" s="127" t="s">
        <v>3413</v>
      </c>
      <c r="C825" s="127" t="s">
        <v>3349</v>
      </c>
      <c r="D825" s="127" t="s">
        <v>8</v>
      </c>
    </row>
    <row r="826" spans="1:8" x14ac:dyDescent="0.2">
      <c r="A826" s="127" t="s">
        <v>3412</v>
      </c>
      <c r="B826" s="127" t="s">
        <v>3413</v>
      </c>
      <c r="C826" s="127" t="s">
        <v>3349</v>
      </c>
      <c r="D826" s="127" t="s">
        <v>5730</v>
      </c>
      <c r="F826">
        <v>0</v>
      </c>
      <c r="G826">
        <v>0</v>
      </c>
      <c r="H826">
        <v>0</v>
      </c>
    </row>
    <row r="827" spans="1:8" x14ac:dyDescent="0.2">
      <c r="A827" s="127" t="s">
        <v>3412</v>
      </c>
      <c r="B827" s="127" t="s">
        <v>3413</v>
      </c>
      <c r="C827" s="127" t="s">
        <v>3349</v>
      </c>
      <c r="D827" s="127" t="s">
        <v>72</v>
      </c>
      <c r="E827" t="s">
        <v>6617</v>
      </c>
    </row>
    <row r="828" spans="1:8" x14ac:dyDescent="0.2">
      <c r="A828" s="127" t="s">
        <v>3412</v>
      </c>
      <c r="B828" s="127" t="s">
        <v>3413</v>
      </c>
      <c r="C828" s="127" t="s">
        <v>3349</v>
      </c>
      <c r="D828" s="127" t="s">
        <v>73</v>
      </c>
    </row>
    <row r="829" spans="1:8" x14ac:dyDescent="0.2">
      <c r="A829" s="127" t="s">
        <v>3352</v>
      </c>
      <c r="B829" s="127" t="s">
        <v>3353</v>
      </c>
      <c r="C829" s="127" t="s">
        <v>3349</v>
      </c>
      <c r="D829" s="127" t="s">
        <v>5738</v>
      </c>
      <c r="E829" t="s">
        <v>6618</v>
      </c>
      <c r="F829">
        <v>720</v>
      </c>
      <c r="G829">
        <v>3.8333333333333335</v>
      </c>
      <c r="H829">
        <v>44.869565217391305</v>
      </c>
    </row>
    <row r="830" spans="1:8" x14ac:dyDescent="0.2">
      <c r="A830" s="127" t="s">
        <v>3352</v>
      </c>
      <c r="B830" s="127" t="s">
        <v>3353</v>
      </c>
      <c r="C830" s="127" t="s">
        <v>3349</v>
      </c>
      <c r="D830" s="127" t="s">
        <v>8</v>
      </c>
      <c r="G830">
        <v>2.3333333333333335</v>
      </c>
      <c r="H830">
        <v>18</v>
      </c>
    </row>
    <row r="831" spans="1:8" x14ac:dyDescent="0.2">
      <c r="A831" s="127" t="s">
        <v>3352</v>
      </c>
      <c r="B831" s="127" t="s">
        <v>3353</v>
      </c>
      <c r="C831" s="127" t="s">
        <v>3349</v>
      </c>
      <c r="D831" s="127" t="s">
        <v>5730</v>
      </c>
      <c r="F831">
        <v>0</v>
      </c>
      <c r="G831">
        <v>0</v>
      </c>
      <c r="H831">
        <v>0</v>
      </c>
    </row>
    <row r="832" spans="1:8" x14ac:dyDescent="0.2">
      <c r="A832" s="127" t="s">
        <v>3352</v>
      </c>
      <c r="B832" s="127" t="s">
        <v>3353</v>
      </c>
      <c r="C832" s="127" t="s">
        <v>3349</v>
      </c>
      <c r="D832" s="127" t="s">
        <v>70</v>
      </c>
      <c r="E832" t="s">
        <v>6619</v>
      </c>
      <c r="F832">
        <v>0</v>
      </c>
      <c r="G832">
        <v>0.16666666666666666</v>
      </c>
      <c r="H832">
        <v>6</v>
      </c>
    </row>
    <row r="833" spans="1:8" x14ac:dyDescent="0.2">
      <c r="A833" s="127" t="s">
        <v>3352</v>
      </c>
      <c r="B833" s="127" t="s">
        <v>3353</v>
      </c>
      <c r="C833" s="127" t="s">
        <v>3349</v>
      </c>
      <c r="D833" s="127" t="s">
        <v>72</v>
      </c>
      <c r="E833" t="s">
        <v>6620</v>
      </c>
      <c r="F833">
        <v>180</v>
      </c>
      <c r="G833">
        <v>1.6666666666666667</v>
      </c>
      <c r="H833">
        <v>18</v>
      </c>
    </row>
    <row r="834" spans="1:8" x14ac:dyDescent="0.2">
      <c r="A834" s="127" t="s">
        <v>3352</v>
      </c>
      <c r="B834" s="127" t="s">
        <v>3353</v>
      </c>
      <c r="C834" s="127" t="s">
        <v>3349</v>
      </c>
      <c r="D834" s="127" t="s">
        <v>73</v>
      </c>
    </row>
    <row r="835" spans="1:8" x14ac:dyDescent="0.2">
      <c r="A835" s="127" t="s">
        <v>3354</v>
      </c>
      <c r="B835" s="127" t="s">
        <v>3355</v>
      </c>
      <c r="C835" s="127" t="s">
        <v>3349</v>
      </c>
      <c r="D835" s="127" t="s">
        <v>8</v>
      </c>
      <c r="G835">
        <v>0.83333333333333337</v>
      </c>
      <c r="H835">
        <v>24</v>
      </c>
    </row>
    <row r="836" spans="1:8" x14ac:dyDescent="0.2">
      <c r="A836" s="127" t="s">
        <v>3354</v>
      </c>
      <c r="B836" s="127" t="s">
        <v>3355</v>
      </c>
      <c r="C836" s="127" t="s">
        <v>3349</v>
      </c>
      <c r="D836" s="127" t="s">
        <v>5730</v>
      </c>
      <c r="F836">
        <v>0</v>
      </c>
      <c r="G836">
        <v>0</v>
      </c>
      <c r="H836">
        <v>0</v>
      </c>
    </row>
    <row r="837" spans="1:8" x14ac:dyDescent="0.2">
      <c r="A837" s="127" t="s">
        <v>3354</v>
      </c>
      <c r="B837" s="127" t="s">
        <v>3355</v>
      </c>
      <c r="C837" s="127" t="s">
        <v>3349</v>
      </c>
      <c r="D837" s="127" t="s">
        <v>70</v>
      </c>
      <c r="E837" t="s">
        <v>6621</v>
      </c>
      <c r="F837">
        <v>240</v>
      </c>
      <c r="G837">
        <v>1.1666666666666667</v>
      </c>
      <c r="H837">
        <v>12.857142857142856</v>
      </c>
    </row>
    <row r="838" spans="1:8" x14ac:dyDescent="0.2">
      <c r="A838" s="127" t="s">
        <v>3354</v>
      </c>
      <c r="B838" s="127" t="s">
        <v>3355</v>
      </c>
      <c r="C838" s="127" t="s">
        <v>3349</v>
      </c>
      <c r="D838" s="127" t="s">
        <v>72</v>
      </c>
      <c r="E838" t="s">
        <v>6622</v>
      </c>
      <c r="F838">
        <v>0</v>
      </c>
      <c r="G838">
        <v>0.83333333333333337</v>
      </c>
      <c r="H838">
        <v>26.4</v>
      </c>
    </row>
    <row r="839" spans="1:8" x14ac:dyDescent="0.2">
      <c r="A839" s="127" t="s">
        <v>3354</v>
      </c>
      <c r="B839" s="127" t="s">
        <v>3355</v>
      </c>
      <c r="C839" s="127" t="s">
        <v>3349</v>
      </c>
      <c r="D839" s="127" t="s">
        <v>73</v>
      </c>
    </row>
    <row r="840" spans="1:8" x14ac:dyDescent="0.2">
      <c r="A840" s="127" t="s">
        <v>5805</v>
      </c>
      <c r="B840" s="127" t="s">
        <v>5806</v>
      </c>
      <c r="C840" s="127" t="s">
        <v>3575</v>
      </c>
      <c r="D840" s="127" t="s">
        <v>72</v>
      </c>
      <c r="E840" t="s">
        <v>6623</v>
      </c>
    </row>
    <row r="841" spans="1:8" x14ac:dyDescent="0.2">
      <c r="A841" s="127" t="s">
        <v>5144</v>
      </c>
      <c r="B841" s="127" t="s">
        <v>5145</v>
      </c>
      <c r="C841" s="127" t="s">
        <v>3575</v>
      </c>
      <c r="D841" s="127" t="s">
        <v>72</v>
      </c>
      <c r="E841" t="s">
        <v>6624</v>
      </c>
    </row>
    <row r="842" spans="1:8" x14ac:dyDescent="0.2">
      <c r="A842" s="127" t="s">
        <v>5481</v>
      </c>
      <c r="B842" s="127" t="s">
        <v>5482</v>
      </c>
      <c r="C842" s="127" t="s">
        <v>3575</v>
      </c>
      <c r="D842" s="127" t="s">
        <v>73</v>
      </c>
    </row>
    <row r="843" spans="1:8" x14ac:dyDescent="0.2">
      <c r="A843" s="127" t="s">
        <v>3495</v>
      </c>
      <c r="B843" s="127" t="s">
        <v>3496</v>
      </c>
      <c r="C843" s="127" t="s">
        <v>3494</v>
      </c>
      <c r="D843" s="127" t="s">
        <v>72</v>
      </c>
      <c r="E843" t="s">
        <v>6625</v>
      </c>
      <c r="F843">
        <v>0</v>
      </c>
      <c r="G843">
        <v>0</v>
      </c>
      <c r="H843">
        <v>0</v>
      </c>
    </row>
    <row r="844" spans="1:8" x14ac:dyDescent="0.2">
      <c r="A844" s="127" t="s">
        <v>5807</v>
      </c>
      <c r="B844" s="127" t="s">
        <v>5808</v>
      </c>
      <c r="C844" s="127" t="s">
        <v>3575</v>
      </c>
      <c r="D844" s="127" t="s">
        <v>72</v>
      </c>
      <c r="E844" t="s">
        <v>6626</v>
      </c>
    </row>
    <row r="845" spans="1:8" x14ac:dyDescent="0.2">
      <c r="A845" s="127" t="s">
        <v>5526</v>
      </c>
      <c r="B845" s="127" t="s">
        <v>5527</v>
      </c>
      <c r="C845" s="127" t="s">
        <v>3575</v>
      </c>
      <c r="D845" s="127" t="s">
        <v>72</v>
      </c>
      <c r="E845" t="s">
        <v>6627</v>
      </c>
    </row>
    <row r="846" spans="1:8" x14ac:dyDescent="0.2">
      <c r="A846" s="127" t="s">
        <v>3509</v>
      </c>
      <c r="B846" s="127" t="s">
        <v>3510</v>
      </c>
      <c r="C846" s="127" t="s">
        <v>3494</v>
      </c>
      <c r="D846" s="127" t="s">
        <v>73</v>
      </c>
    </row>
    <row r="847" spans="1:8" x14ac:dyDescent="0.2">
      <c r="A847" s="127" t="s">
        <v>5799</v>
      </c>
      <c r="B847" s="127" t="s">
        <v>5800</v>
      </c>
      <c r="C847" s="127" t="s">
        <v>3349</v>
      </c>
      <c r="D847" s="127" t="s">
        <v>70</v>
      </c>
      <c r="E847" t="s">
        <v>6628</v>
      </c>
    </row>
    <row r="848" spans="1:8" x14ac:dyDescent="0.2">
      <c r="A848" s="127" t="s">
        <v>3376</v>
      </c>
      <c r="B848" s="127" t="s">
        <v>3377</v>
      </c>
      <c r="C848" s="127" t="s">
        <v>3349</v>
      </c>
      <c r="D848" s="127" t="s">
        <v>70</v>
      </c>
      <c r="E848" t="s">
        <v>6629</v>
      </c>
    </row>
    <row r="849" spans="1:8" x14ac:dyDescent="0.2">
      <c r="A849" s="127" t="s">
        <v>3462</v>
      </c>
      <c r="B849" s="127" t="s">
        <v>3463</v>
      </c>
      <c r="C849" s="127" t="s">
        <v>3349</v>
      </c>
      <c r="D849" s="127" t="s">
        <v>8</v>
      </c>
      <c r="H849">
        <v>0</v>
      </c>
    </row>
    <row r="850" spans="1:8" x14ac:dyDescent="0.2">
      <c r="A850" s="127" t="s">
        <v>3462</v>
      </c>
      <c r="B850" s="127" t="s">
        <v>3463</v>
      </c>
      <c r="C850" s="127" t="s">
        <v>3349</v>
      </c>
      <c r="D850" s="127" t="s">
        <v>5730</v>
      </c>
    </row>
    <row r="851" spans="1:8" x14ac:dyDescent="0.2">
      <c r="A851" s="127" t="s">
        <v>3462</v>
      </c>
      <c r="B851" s="127" t="s">
        <v>3463</v>
      </c>
      <c r="C851" s="127" t="s">
        <v>3349</v>
      </c>
      <c r="D851" s="127" t="s">
        <v>70</v>
      </c>
      <c r="E851" t="s">
        <v>6630</v>
      </c>
    </row>
    <row r="852" spans="1:8" x14ac:dyDescent="0.2">
      <c r="A852" s="127" t="s">
        <v>3462</v>
      </c>
      <c r="B852" s="127" t="s">
        <v>3463</v>
      </c>
      <c r="C852" s="127" t="s">
        <v>3349</v>
      </c>
      <c r="D852" s="127" t="s">
        <v>72</v>
      </c>
      <c r="E852" t="s">
        <v>6631</v>
      </c>
      <c r="F852">
        <v>0</v>
      </c>
      <c r="G852">
        <v>0</v>
      </c>
      <c r="H852">
        <v>0</v>
      </c>
    </row>
    <row r="853" spans="1:8" x14ac:dyDescent="0.2">
      <c r="A853" s="127" t="s">
        <v>3462</v>
      </c>
      <c r="B853" s="127" t="s">
        <v>3463</v>
      </c>
      <c r="C853" s="127" t="s">
        <v>3349</v>
      </c>
      <c r="D853" s="127" t="s">
        <v>73</v>
      </c>
    </row>
    <row r="854" spans="1:8" x14ac:dyDescent="0.2">
      <c r="A854" s="127" t="s">
        <v>3466</v>
      </c>
      <c r="B854" s="127" t="s">
        <v>3467</v>
      </c>
      <c r="C854" s="127" t="s">
        <v>3349</v>
      </c>
      <c r="D854" s="127" t="s">
        <v>5738</v>
      </c>
      <c r="E854" t="s">
        <v>6632</v>
      </c>
    </row>
    <row r="855" spans="1:8" x14ac:dyDescent="0.2">
      <c r="A855" s="127" t="s">
        <v>3466</v>
      </c>
      <c r="B855" s="127" t="s">
        <v>3467</v>
      </c>
      <c r="C855" s="127" t="s">
        <v>3349</v>
      </c>
      <c r="D855" s="127" t="s">
        <v>8</v>
      </c>
      <c r="F855">
        <v>370</v>
      </c>
      <c r="G855">
        <v>1</v>
      </c>
      <c r="H855">
        <v>47</v>
      </c>
    </row>
    <row r="856" spans="1:8" x14ac:dyDescent="0.2">
      <c r="A856" s="127" t="s">
        <v>3466</v>
      </c>
      <c r="B856" s="127" t="s">
        <v>3467</v>
      </c>
      <c r="C856" s="127" t="s">
        <v>3349</v>
      </c>
      <c r="D856" s="127" t="s">
        <v>5730</v>
      </c>
    </row>
    <row r="857" spans="1:8" x14ac:dyDescent="0.2">
      <c r="A857" s="127" t="s">
        <v>3466</v>
      </c>
      <c r="B857" s="127" t="s">
        <v>3467</v>
      </c>
      <c r="C857" s="127" t="s">
        <v>3349</v>
      </c>
      <c r="D857" s="127" t="s">
        <v>70</v>
      </c>
      <c r="E857" t="s">
        <v>6633</v>
      </c>
      <c r="F857">
        <v>0</v>
      </c>
      <c r="G857">
        <v>0</v>
      </c>
      <c r="H857">
        <v>0</v>
      </c>
    </row>
    <row r="858" spans="1:8" x14ac:dyDescent="0.2">
      <c r="A858" s="127" t="s">
        <v>3466</v>
      </c>
      <c r="B858" s="127" t="s">
        <v>3467</v>
      </c>
      <c r="C858" s="127" t="s">
        <v>3349</v>
      </c>
      <c r="D858" s="127" t="s">
        <v>72</v>
      </c>
      <c r="E858" t="s">
        <v>6634</v>
      </c>
      <c r="F858">
        <v>370</v>
      </c>
      <c r="G858">
        <v>0.66666666666666663</v>
      </c>
      <c r="H858">
        <v>21</v>
      </c>
    </row>
    <row r="859" spans="1:8" x14ac:dyDescent="0.2">
      <c r="A859" s="127" t="s">
        <v>3466</v>
      </c>
      <c r="B859" s="127" t="s">
        <v>3467</v>
      </c>
      <c r="C859" s="127" t="s">
        <v>3349</v>
      </c>
      <c r="D859" s="127" t="s">
        <v>73</v>
      </c>
    </row>
    <row r="860" spans="1:8" x14ac:dyDescent="0.2">
      <c r="A860" s="127" t="s">
        <v>3464</v>
      </c>
      <c r="B860" s="127" t="s">
        <v>3465</v>
      </c>
      <c r="C860" s="127" t="s">
        <v>3349</v>
      </c>
      <c r="D860" s="127" t="s">
        <v>8</v>
      </c>
    </row>
    <row r="861" spans="1:8" x14ac:dyDescent="0.2">
      <c r="A861" s="127" t="s">
        <v>3464</v>
      </c>
      <c r="B861" s="127" t="s">
        <v>3465</v>
      </c>
      <c r="C861" s="127" t="s">
        <v>3349</v>
      </c>
      <c r="D861" s="127" t="s">
        <v>70</v>
      </c>
      <c r="E861" t="s">
        <v>6635</v>
      </c>
      <c r="F861">
        <v>0</v>
      </c>
      <c r="G861">
        <v>1</v>
      </c>
      <c r="H861">
        <v>5</v>
      </c>
    </row>
    <row r="862" spans="1:8" x14ac:dyDescent="0.2">
      <c r="A862" s="127" t="s">
        <v>3464</v>
      </c>
      <c r="B862" s="127" t="s">
        <v>3465</v>
      </c>
      <c r="C862" s="127" t="s">
        <v>3349</v>
      </c>
      <c r="D862" s="127" t="s">
        <v>72</v>
      </c>
      <c r="E862" t="s">
        <v>6636</v>
      </c>
      <c r="F862">
        <v>690</v>
      </c>
      <c r="G862">
        <v>1.1666666666666667</v>
      </c>
      <c r="H862">
        <v>22.285714285714285</v>
      </c>
    </row>
    <row r="863" spans="1:8" x14ac:dyDescent="0.2">
      <c r="A863" s="127" t="s">
        <v>3464</v>
      </c>
      <c r="B863" s="127" t="s">
        <v>3465</v>
      </c>
      <c r="C863" s="127" t="s">
        <v>3349</v>
      </c>
      <c r="D863" s="127" t="s">
        <v>73</v>
      </c>
    </row>
    <row r="864" spans="1:8" x14ac:dyDescent="0.2">
      <c r="A864" s="127" t="s">
        <v>3416</v>
      </c>
      <c r="B864" s="127" t="s">
        <v>3417</v>
      </c>
      <c r="C864" s="127" t="s">
        <v>3349</v>
      </c>
      <c r="D864" s="127" t="s">
        <v>72</v>
      </c>
      <c r="E864" t="s">
        <v>6637</v>
      </c>
    </row>
    <row r="865" spans="1:8" x14ac:dyDescent="0.2">
      <c r="A865" s="127" t="s">
        <v>3426</v>
      </c>
      <c r="B865" s="127" t="s">
        <v>3427</v>
      </c>
      <c r="C865" s="127" t="s">
        <v>3349</v>
      </c>
      <c r="D865" s="127" t="s">
        <v>72</v>
      </c>
      <c r="E865" t="s">
        <v>6638</v>
      </c>
    </row>
    <row r="866" spans="1:8" x14ac:dyDescent="0.2">
      <c r="A866" s="127" t="s">
        <v>3428</v>
      </c>
      <c r="B866" s="127" t="s">
        <v>3429</v>
      </c>
      <c r="C866" s="127" t="s">
        <v>3349</v>
      </c>
      <c r="D866" s="127" t="s">
        <v>72</v>
      </c>
      <c r="E866" t="s">
        <v>6639</v>
      </c>
    </row>
    <row r="867" spans="1:8" x14ac:dyDescent="0.2">
      <c r="A867" s="127" t="s">
        <v>3474</v>
      </c>
      <c r="B867" s="127" t="s">
        <v>3475</v>
      </c>
      <c r="C867" s="127" t="s">
        <v>3349</v>
      </c>
      <c r="D867" s="127" t="s">
        <v>8</v>
      </c>
      <c r="H867">
        <v>0</v>
      </c>
    </row>
    <row r="868" spans="1:8" x14ac:dyDescent="0.2">
      <c r="A868" s="127" t="s">
        <v>3474</v>
      </c>
      <c r="B868" s="127" t="s">
        <v>3475</v>
      </c>
      <c r="C868" s="127" t="s">
        <v>3349</v>
      </c>
      <c r="D868" s="127" t="s">
        <v>70</v>
      </c>
      <c r="E868" t="s">
        <v>6640</v>
      </c>
    </row>
    <row r="869" spans="1:8" x14ac:dyDescent="0.2">
      <c r="A869" s="127" t="s">
        <v>3474</v>
      </c>
      <c r="B869" s="127" t="s">
        <v>3475</v>
      </c>
      <c r="C869" s="127" t="s">
        <v>3349</v>
      </c>
      <c r="D869" s="127" t="s">
        <v>72</v>
      </c>
      <c r="E869" t="s">
        <v>6641</v>
      </c>
      <c r="F869">
        <v>0</v>
      </c>
      <c r="G869">
        <v>0.16666666666666666</v>
      </c>
      <c r="H869">
        <v>30</v>
      </c>
    </row>
    <row r="870" spans="1:8" x14ac:dyDescent="0.2">
      <c r="A870" s="127" t="s">
        <v>3474</v>
      </c>
      <c r="B870" s="127" t="s">
        <v>3475</v>
      </c>
      <c r="C870" s="127" t="s">
        <v>3349</v>
      </c>
      <c r="D870" s="127" t="s">
        <v>73</v>
      </c>
    </row>
    <row r="871" spans="1:8" x14ac:dyDescent="0.2">
      <c r="A871" s="127" t="s">
        <v>3488</v>
      </c>
      <c r="B871" s="127" t="s">
        <v>3489</v>
      </c>
      <c r="C871" s="127" t="s">
        <v>3349</v>
      </c>
      <c r="D871" s="127" t="s">
        <v>8</v>
      </c>
      <c r="G871">
        <v>0.16666666666666666</v>
      </c>
      <c r="H871">
        <v>144</v>
      </c>
    </row>
    <row r="872" spans="1:8" x14ac:dyDescent="0.2">
      <c r="A872" s="127" t="s">
        <v>3488</v>
      </c>
      <c r="B872" s="127" t="s">
        <v>3489</v>
      </c>
      <c r="C872" s="127" t="s">
        <v>3349</v>
      </c>
      <c r="D872" s="127" t="s">
        <v>5730</v>
      </c>
      <c r="F872">
        <v>0</v>
      </c>
      <c r="G872">
        <v>0</v>
      </c>
      <c r="H872">
        <v>0</v>
      </c>
    </row>
    <row r="873" spans="1:8" x14ac:dyDescent="0.2">
      <c r="A873" s="127" t="s">
        <v>3488</v>
      </c>
      <c r="B873" s="127" t="s">
        <v>3489</v>
      </c>
      <c r="C873" s="127" t="s">
        <v>3349</v>
      </c>
      <c r="D873" s="127" t="s">
        <v>70</v>
      </c>
      <c r="E873" t="s">
        <v>6642</v>
      </c>
    </row>
    <row r="874" spans="1:8" x14ac:dyDescent="0.2">
      <c r="A874" s="127" t="s">
        <v>3488</v>
      </c>
      <c r="B874" s="127" t="s">
        <v>3489</v>
      </c>
      <c r="C874" s="127" t="s">
        <v>3349</v>
      </c>
      <c r="D874" s="127" t="s">
        <v>72</v>
      </c>
      <c r="E874" t="s">
        <v>6643</v>
      </c>
      <c r="F874">
        <v>740</v>
      </c>
      <c r="G874">
        <v>1</v>
      </c>
      <c r="H874">
        <v>19</v>
      </c>
    </row>
    <row r="875" spans="1:8" x14ac:dyDescent="0.2">
      <c r="A875" s="127" t="s">
        <v>3488</v>
      </c>
      <c r="B875" s="127" t="s">
        <v>3489</v>
      </c>
      <c r="C875" s="127" t="s">
        <v>3349</v>
      </c>
      <c r="D875" s="127" t="s">
        <v>73</v>
      </c>
    </row>
    <row r="876" spans="1:8" x14ac:dyDescent="0.2">
      <c r="A876" s="127" t="s">
        <v>3486</v>
      </c>
      <c r="B876" s="127" t="s">
        <v>3487</v>
      </c>
      <c r="C876" s="127" t="s">
        <v>3349</v>
      </c>
      <c r="D876" s="127" t="s">
        <v>8</v>
      </c>
      <c r="F876">
        <v>200</v>
      </c>
      <c r="G876">
        <v>0.5</v>
      </c>
      <c r="H876">
        <v>104</v>
      </c>
    </row>
    <row r="877" spans="1:8" x14ac:dyDescent="0.2">
      <c r="A877" s="127" t="s">
        <v>3486</v>
      </c>
      <c r="B877" s="127" t="s">
        <v>3487</v>
      </c>
      <c r="C877" s="127" t="s">
        <v>3349</v>
      </c>
      <c r="D877" s="127" t="s">
        <v>70</v>
      </c>
      <c r="E877" t="s">
        <v>6644</v>
      </c>
      <c r="F877">
        <v>400</v>
      </c>
      <c r="G877">
        <v>0.66666666666666663</v>
      </c>
      <c r="H877">
        <v>18</v>
      </c>
    </row>
    <row r="878" spans="1:8" x14ac:dyDescent="0.2">
      <c r="A878" s="127" t="s">
        <v>3486</v>
      </c>
      <c r="B878" s="127" t="s">
        <v>3487</v>
      </c>
      <c r="C878" s="127" t="s">
        <v>3349</v>
      </c>
      <c r="D878" s="127" t="s">
        <v>72</v>
      </c>
      <c r="E878" t="s">
        <v>6645</v>
      </c>
      <c r="F878">
        <v>0</v>
      </c>
      <c r="G878">
        <v>0.16666666666666666</v>
      </c>
      <c r="H878">
        <v>24</v>
      </c>
    </row>
    <row r="879" spans="1:8" x14ac:dyDescent="0.2">
      <c r="A879" s="127" t="s">
        <v>3486</v>
      </c>
      <c r="B879" s="127" t="s">
        <v>3487</v>
      </c>
      <c r="C879" s="127" t="s">
        <v>3349</v>
      </c>
      <c r="D879" s="127" t="s">
        <v>73</v>
      </c>
    </row>
    <row r="880" spans="1:8" x14ac:dyDescent="0.2">
      <c r="A880" s="127" t="s">
        <v>3484</v>
      </c>
      <c r="B880" s="127" t="s">
        <v>3485</v>
      </c>
      <c r="C880" s="127" t="s">
        <v>3349</v>
      </c>
      <c r="D880" s="127" t="s">
        <v>73</v>
      </c>
    </row>
    <row r="881" spans="1:8" x14ac:dyDescent="0.2">
      <c r="A881" s="127" t="s">
        <v>3482</v>
      </c>
      <c r="B881" s="127" t="s">
        <v>3483</v>
      </c>
      <c r="C881" s="127" t="s">
        <v>3349</v>
      </c>
      <c r="D881" s="127" t="s">
        <v>5730</v>
      </c>
      <c r="F881">
        <v>0</v>
      </c>
      <c r="G881">
        <v>0</v>
      </c>
      <c r="H881">
        <v>0</v>
      </c>
    </row>
    <row r="882" spans="1:8" x14ac:dyDescent="0.2">
      <c r="A882" s="127" t="s">
        <v>3482</v>
      </c>
      <c r="B882" s="127" t="s">
        <v>3483</v>
      </c>
      <c r="C882" s="127" t="s">
        <v>3349</v>
      </c>
      <c r="D882" s="127" t="s">
        <v>73</v>
      </c>
      <c r="F882">
        <v>250</v>
      </c>
      <c r="G882">
        <v>0.33333333333333331</v>
      </c>
      <c r="H882">
        <v>0</v>
      </c>
    </row>
    <row r="883" spans="1:8" x14ac:dyDescent="0.2">
      <c r="A883" s="127" t="s">
        <v>3478</v>
      </c>
      <c r="B883" s="127" t="s">
        <v>3479</v>
      </c>
      <c r="C883" s="127" t="s">
        <v>3349</v>
      </c>
      <c r="D883" s="127" t="s">
        <v>70</v>
      </c>
      <c r="E883" t="s">
        <v>6646</v>
      </c>
      <c r="F883">
        <v>0</v>
      </c>
      <c r="G883">
        <v>0</v>
      </c>
      <c r="H883">
        <v>0</v>
      </c>
    </row>
    <row r="884" spans="1:8" x14ac:dyDescent="0.2">
      <c r="A884" s="127" t="s">
        <v>3478</v>
      </c>
      <c r="B884" s="127" t="s">
        <v>3479</v>
      </c>
      <c r="C884" s="127" t="s">
        <v>3349</v>
      </c>
      <c r="D884" s="127" t="s">
        <v>73</v>
      </c>
      <c r="F884">
        <v>190</v>
      </c>
      <c r="G884">
        <v>0.83333333333333337</v>
      </c>
      <c r="H884">
        <v>0</v>
      </c>
    </row>
    <row r="885" spans="1:8" x14ac:dyDescent="0.2">
      <c r="A885" s="127" t="s">
        <v>3480</v>
      </c>
      <c r="B885" s="127" t="s">
        <v>3481</v>
      </c>
      <c r="C885" s="127" t="s">
        <v>3349</v>
      </c>
      <c r="D885" s="127" t="s">
        <v>8</v>
      </c>
      <c r="F885">
        <v>190</v>
      </c>
      <c r="G885">
        <v>0.16666666666666666</v>
      </c>
      <c r="H885">
        <v>108</v>
      </c>
    </row>
    <row r="886" spans="1:8" x14ac:dyDescent="0.2">
      <c r="A886" s="127" t="s">
        <v>3480</v>
      </c>
      <c r="B886" s="127" t="s">
        <v>3481</v>
      </c>
      <c r="C886" s="127" t="s">
        <v>3349</v>
      </c>
      <c r="D886" s="127" t="s">
        <v>70</v>
      </c>
      <c r="E886" t="s">
        <v>6647</v>
      </c>
      <c r="F886">
        <v>0</v>
      </c>
      <c r="G886">
        <v>0</v>
      </c>
      <c r="H886">
        <v>0</v>
      </c>
    </row>
    <row r="887" spans="1:8" x14ac:dyDescent="0.2">
      <c r="A887" s="127" t="s">
        <v>3480</v>
      </c>
      <c r="B887" s="127" t="s">
        <v>3481</v>
      </c>
      <c r="C887" s="127" t="s">
        <v>3349</v>
      </c>
      <c r="D887" s="127" t="s">
        <v>72</v>
      </c>
      <c r="E887" t="s">
        <v>6648</v>
      </c>
      <c r="F887">
        <v>0</v>
      </c>
      <c r="G887">
        <v>0</v>
      </c>
      <c r="H887">
        <v>0</v>
      </c>
    </row>
    <row r="888" spans="1:8" x14ac:dyDescent="0.2">
      <c r="A888" s="127" t="s">
        <v>3480</v>
      </c>
      <c r="B888" s="127" t="s">
        <v>3481</v>
      </c>
      <c r="C888" s="127" t="s">
        <v>3349</v>
      </c>
      <c r="D888" s="127" t="s">
        <v>73</v>
      </c>
    </row>
    <row r="889" spans="1:8" x14ac:dyDescent="0.2">
      <c r="A889" s="127" t="s">
        <v>3392</v>
      </c>
      <c r="B889" s="127" t="s">
        <v>3393</v>
      </c>
      <c r="C889" s="127" t="s">
        <v>3349</v>
      </c>
      <c r="D889" s="127" t="s">
        <v>5730</v>
      </c>
    </row>
    <row r="890" spans="1:8" x14ac:dyDescent="0.2">
      <c r="A890" s="127" t="s">
        <v>3392</v>
      </c>
      <c r="B890" s="127" t="s">
        <v>3393</v>
      </c>
      <c r="C890" s="127" t="s">
        <v>3349</v>
      </c>
      <c r="D890" s="127" t="s">
        <v>70</v>
      </c>
      <c r="E890" t="s">
        <v>6649</v>
      </c>
      <c r="F890">
        <v>0</v>
      </c>
      <c r="G890">
        <v>0</v>
      </c>
      <c r="H890">
        <v>0</v>
      </c>
    </row>
    <row r="891" spans="1:8" x14ac:dyDescent="0.2">
      <c r="A891" s="127" t="s">
        <v>3392</v>
      </c>
      <c r="B891" s="127" t="s">
        <v>3393</v>
      </c>
      <c r="C891" s="127" t="s">
        <v>3349</v>
      </c>
      <c r="D891" s="127" t="s">
        <v>72</v>
      </c>
      <c r="E891" t="s">
        <v>6650</v>
      </c>
      <c r="F891">
        <v>0</v>
      </c>
      <c r="G891">
        <v>0</v>
      </c>
      <c r="H891">
        <v>0</v>
      </c>
    </row>
    <row r="892" spans="1:8" x14ac:dyDescent="0.2">
      <c r="A892" s="127" t="s">
        <v>3392</v>
      </c>
      <c r="B892" s="127" t="s">
        <v>3393</v>
      </c>
      <c r="C892" s="127" t="s">
        <v>3349</v>
      </c>
      <c r="D892" s="127" t="s">
        <v>73</v>
      </c>
    </row>
    <row r="893" spans="1:8" x14ac:dyDescent="0.2">
      <c r="A893" s="127" t="s">
        <v>3394</v>
      </c>
      <c r="B893" s="127" t="s">
        <v>3395</v>
      </c>
      <c r="C893" s="127" t="s">
        <v>3349</v>
      </c>
      <c r="D893" s="127" t="s">
        <v>5730</v>
      </c>
    </row>
    <row r="894" spans="1:8" x14ac:dyDescent="0.2">
      <c r="A894" s="127" t="s">
        <v>3394</v>
      </c>
      <c r="B894" s="127" t="s">
        <v>3395</v>
      </c>
      <c r="C894" s="127" t="s">
        <v>3349</v>
      </c>
      <c r="D894" s="127" t="s">
        <v>70</v>
      </c>
      <c r="E894" t="s">
        <v>6651</v>
      </c>
    </row>
    <row r="895" spans="1:8" x14ac:dyDescent="0.2">
      <c r="A895" s="127" t="s">
        <v>3394</v>
      </c>
      <c r="B895" s="127" t="s">
        <v>3395</v>
      </c>
      <c r="C895" s="127" t="s">
        <v>3349</v>
      </c>
      <c r="D895" s="127" t="s">
        <v>72</v>
      </c>
      <c r="E895" t="s">
        <v>6652</v>
      </c>
      <c r="F895">
        <v>0</v>
      </c>
      <c r="G895">
        <v>0</v>
      </c>
      <c r="H895">
        <v>0</v>
      </c>
    </row>
    <row r="896" spans="1:8" x14ac:dyDescent="0.2">
      <c r="A896" s="127" t="s">
        <v>3394</v>
      </c>
      <c r="B896" s="127" t="s">
        <v>3395</v>
      </c>
      <c r="C896" s="127" t="s">
        <v>3349</v>
      </c>
      <c r="D896" s="127" t="s">
        <v>73</v>
      </c>
    </row>
    <row r="897" spans="1:8" x14ac:dyDescent="0.2">
      <c r="A897" s="127" t="s">
        <v>3406</v>
      </c>
      <c r="B897" s="127" t="s">
        <v>3407</v>
      </c>
      <c r="C897" s="127" t="s">
        <v>3349</v>
      </c>
      <c r="D897" s="127" t="s">
        <v>8</v>
      </c>
      <c r="H897">
        <v>0</v>
      </c>
    </row>
    <row r="898" spans="1:8" x14ac:dyDescent="0.2">
      <c r="A898" s="127" t="s">
        <v>3406</v>
      </c>
      <c r="B898" s="127" t="s">
        <v>3407</v>
      </c>
      <c r="C898" s="127" t="s">
        <v>3349</v>
      </c>
      <c r="D898" s="127" t="s">
        <v>70</v>
      </c>
      <c r="E898" t="s">
        <v>6653</v>
      </c>
      <c r="F898">
        <v>0</v>
      </c>
      <c r="G898">
        <v>0</v>
      </c>
      <c r="H898">
        <v>0</v>
      </c>
    </row>
    <row r="899" spans="1:8" x14ac:dyDescent="0.2">
      <c r="A899" s="127" t="s">
        <v>3406</v>
      </c>
      <c r="B899" s="127" t="s">
        <v>3407</v>
      </c>
      <c r="C899" s="127" t="s">
        <v>3349</v>
      </c>
      <c r="D899" s="127" t="s">
        <v>72</v>
      </c>
      <c r="E899" t="s">
        <v>6654</v>
      </c>
      <c r="F899">
        <v>0</v>
      </c>
      <c r="G899">
        <v>0</v>
      </c>
      <c r="H899">
        <v>0</v>
      </c>
    </row>
    <row r="900" spans="1:8" x14ac:dyDescent="0.2">
      <c r="A900" s="127" t="s">
        <v>3414</v>
      </c>
      <c r="B900" s="127" t="s">
        <v>3415</v>
      </c>
      <c r="C900" s="127" t="s">
        <v>3349</v>
      </c>
      <c r="D900" s="127" t="s">
        <v>8</v>
      </c>
    </row>
    <row r="901" spans="1:8" x14ac:dyDescent="0.2">
      <c r="A901" s="127" t="s">
        <v>3414</v>
      </c>
      <c r="B901" s="127" t="s">
        <v>3415</v>
      </c>
      <c r="C901" s="127" t="s">
        <v>3349</v>
      </c>
      <c r="D901" s="127" t="s">
        <v>72</v>
      </c>
      <c r="E901" t="s">
        <v>6655</v>
      </c>
      <c r="F901">
        <v>0</v>
      </c>
      <c r="G901">
        <v>0</v>
      </c>
      <c r="H901">
        <v>0</v>
      </c>
    </row>
    <row r="902" spans="1:8" x14ac:dyDescent="0.2">
      <c r="A902" s="127" t="s">
        <v>3444</v>
      </c>
      <c r="B902" s="127" t="s">
        <v>3445</v>
      </c>
      <c r="C902" s="127" t="s">
        <v>3349</v>
      </c>
      <c r="D902" s="127" t="s">
        <v>70</v>
      </c>
      <c r="E902" t="s">
        <v>6656</v>
      </c>
      <c r="F902">
        <v>0</v>
      </c>
      <c r="G902">
        <v>0</v>
      </c>
      <c r="H902">
        <v>0</v>
      </c>
    </row>
    <row r="903" spans="1:8" x14ac:dyDescent="0.2">
      <c r="A903" s="127" t="s">
        <v>3444</v>
      </c>
      <c r="B903" s="127" t="s">
        <v>3445</v>
      </c>
      <c r="C903" s="127" t="s">
        <v>3349</v>
      </c>
      <c r="D903" s="127" t="s">
        <v>72</v>
      </c>
      <c r="E903" t="s">
        <v>6657</v>
      </c>
      <c r="F903">
        <v>0</v>
      </c>
      <c r="G903">
        <v>0.33333333333333331</v>
      </c>
      <c r="H903">
        <v>12</v>
      </c>
    </row>
    <row r="904" spans="1:8" x14ac:dyDescent="0.2">
      <c r="A904" s="127" t="s">
        <v>3444</v>
      </c>
      <c r="B904" s="127" t="s">
        <v>3445</v>
      </c>
      <c r="C904" s="127" t="s">
        <v>3349</v>
      </c>
      <c r="D904" s="127" t="s">
        <v>73</v>
      </c>
    </row>
    <row r="905" spans="1:8" x14ac:dyDescent="0.2">
      <c r="A905" s="127" t="s">
        <v>3448</v>
      </c>
      <c r="B905" s="127" t="s">
        <v>3449</v>
      </c>
      <c r="C905" s="127" t="s">
        <v>3349</v>
      </c>
      <c r="D905" s="127" t="s">
        <v>70</v>
      </c>
      <c r="E905" t="s">
        <v>6658</v>
      </c>
      <c r="F905">
        <v>0</v>
      </c>
      <c r="G905">
        <v>0</v>
      </c>
      <c r="H905">
        <v>0</v>
      </c>
    </row>
    <row r="906" spans="1:8" x14ac:dyDescent="0.2">
      <c r="A906" s="127" t="s">
        <v>3448</v>
      </c>
      <c r="B906" s="127" t="s">
        <v>3449</v>
      </c>
      <c r="C906" s="127" t="s">
        <v>3349</v>
      </c>
      <c r="D906" s="127" t="s">
        <v>72</v>
      </c>
      <c r="E906" t="s">
        <v>6659</v>
      </c>
      <c r="F906">
        <v>0</v>
      </c>
      <c r="G906">
        <v>0.33333333333333331</v>
      </c>
      <c r="H906">
        <v>45</v>
      </c>
    </row>
    <row r="907" spans="1:8" x14ac:dyDescent="0.2">
      <c r="A907" s="127" t="s">
        <v>3448</v>
      </c>
      <c r="B907" s="127" t="s">
        <v>3449</v>
      </c>
      <c r="C907" s="127" t="s">
        <v>3349</v>
      </c>
      <c r="D907" s="127" t="s">
        <v>73</v>
      </c>
    </row>
    <row r="908" spans="1:8" x14ac:dyDescent="0.2">
      <c r="A908" s="127" t="s">
        <v>3446</v>
      </c>
      <c r="B908" s="127" t="s">
        <v>3447</v>
      </c>
      <c r="C908" s="127" t="s">
        <v>3349</v>
      </c>
      <c r="D908" s="127" t="s">
        <v>70</v>
      </c>
      <c r="E908" t="s">
        <v>6660</v>
      </c>
      <c r="F908">
        <v>0</v>
      </c>
      <c r="G908">
        <v>0.16666666666666666</v>
      </c>
      <c r="H908">
        <v>18</v>
      </c>
    </row>
    <row r="909" spans="1:8" x14ac:dyDescent="0.2">
      <c r="A909" s="127" t="s">
        <v>3446</v>
      </c>
      <c r="B909" s="127" t="s">
        <v>3447</v>
      </c>
      <c r="C909" s="127" t="s">
        <v>3349</v>
      </c>
      <c r="D909" s="127" t="s">
        <v>72</v>
      </c>
      <c r="E909" t="s">
        <v>6661</v>
      </c>
      <c r="F909">
        <v>0</v>
      </c>
      <c r="G909">
        <v>0</v>
      </c>
      <c r="H909">
        <v>0</v>
      </c>
    </row>
    <row r="910" spans="1:8" x14ac:dyDescent="0.2">
      <c r="A910" s="127" t="s">
        <v>3442</v>
      </c>
      <c r="B910" s="127" t="s">
        <v>3443</v>
      </c>
      <c r="C910" s="127" t="s">
        <v>3349</v>
      </c>
      <c r="D910" s="127" t="s">
        <v>70</v>
      </c>
      <c r="E910" t="s">
        <v>7567</v>
      </c>
      <c r="F910">
        <v>3150</v>
      </c>
      <c r="G910">
        <v>15</v>
      </c>
      <c r="H910">
        <v>3.7333333333333334</v>
      </c>
    </row>
    <row r="911" spans="1:8" x14ac:dyDescent="0.2">
      <c r="A911" s="127" t="s">
        <v>7325</v>
      </c>
      <c r="B911" s="127" t="s">
        <v>7326</v>
      </c>
      <c r="C911" s="127" t="s">
        <v>3349</v>
      </c>
      <c r="D911" s="127" t="s">
        <v>70</v>
      </c>
      <c r="E911" t="s">
        <v>7568</v>
      </c>
      <c r="F911">
        <v>180</v>
      </c>
      <c r="G911">
        <v>2.1666666666666665</v>
      </c>
      <c r="H911">
        <v>32.769230769230774</v>
      </c>
    </row>
    <row r="912" spans="1:8" x14ac:dyDescent="0.2">
      <c r="A912" s="127" t="s">
        <v>3511</v>
      </c>
      <c r="B912" s="127" t="s">
        <v>3512</v>
      </c>
      <c r="C912" s="127" t="s">
        <v>3494</v>
      </c>
      <c r="D912" s="127" t="s">
        <v>72</v>
      </c>
      <c r="E912" t="s">
        <v>6662</v>
      </c>
    </row>
    <row r="913" spans="1:8" x14ac:dyDescent="0.2">
      <c r="A913" s="127" t="s">
        <v>3501</v>
      </c>
      <c r="B913" s="127" t="s">
        <v>3502</v>
      </c>
      <c r="C913" s="127" t="s">
        <v>3494</v>
      </c>
      <c r="D913" s="127" t="s">
        <v>72</v>
      </c>
      <c r="E913" t="s">
        <v>6663</v>
      </c>
    </row>
    <row r="914" spans="1:8" x14ac:dyDescent="0.2">
      <c r="A914" s="127" t="s">
        <v>3501</v>
      </c>
      <c r="B914" s="127" t="s">
        <v>3502</v>
      </c>
      <c r="C914" s="127" t="s">
        <v>3494</v>
      </c>
      <c r="D914" s="127" t="s">
        <v>73</v>
      </c>
    </row>
    <row r="915" spans="1:8" x14ac:dyDescent="0.2">
      <c r="A915" s="127" t="s">
        <v>748</v>
      </c>
      <c r="B915" s="127" t="s">
        <v>749</v>
      </c>
      <c r="C915" s="127" t="s">
        <v>582</v>
      </c>
      <c r="D915" s="127" t="s">
        <v>8</v>
      </c>
      <c r="F915">
        <v>220</v>
      </c>
      <c r="G915">
        <v>10.666666666666666</v>
      </c>
      <c r="H915">
        <v>22.03125</v>
      </c>
    </row>
    <row r="916" spans="1:8" x14ac:dyDescent="0.2">
      <c r="A916" s="127" t="s">
        <v>748</v>
      </c>
      <c r="B916" s="127" t="s">
        <v>749</v>
      </c>
      <c r="C916" s="127" t="s">
        <v>582</v>
      </c>
      <c r="D916" s="127" t="s">
        <v>72</v>
      </c>
      <c r="E916" t="s">
        <v>6664</v>
      </c>
      <c r="F916">
        <v>540</v>
      </c>
      <c r="G916">
        <v>20</v>
      </c>
      <c r="H916">
        <v>25.65</v>
      </c>
    </row>
    <row r="917" spans="1:8" x14ac:dyDescent="0.2">
      <c r="A917" s="127" t="s">
        <v>748</v>
      </c>
      <c r="B917" s="127" t="s">
        <v>749</v>
      </c>
      <c r="C917" s="127" t="s">
        <v>582</v>
      </c>
      <c r="D917" s="127" t="s">
        <v>73</v>
      </c>
      <c r="F917">
        <v>0</v>
      </c>
      <c r="G917">
        <v>2.1666666666666665</v>
      </c>
      <c r="H917">
        <v>46.15384615384616</v>
      </c>
    </row>
    <row r="918" spans="1:8" x14ac:dyDescent="0.2">
      <c r="A918" s="127" t="s">
        <v>601</v>
      </c>
      <c r="B918" s="127" t="s">
        <v>602</v>
      </c>
      <c r="C918" s="127" t="s">
        <v>582</v>
      </c>
      <c r="D918" s="127" t="s">
        <v>8</v>
      </c>
      <c r="F918">
        <v>90</v>
      </c>
      <c r="G918">
        <v>3</v>
      </c>
      <c r="H918">
        <v>13</v>
      </c>
    </row>
    <row r="919" spans="1:8" x14ac:dyDescent="0.2">
      <c r="A919" s="127" t="s">
        <v>601</v>
      </c>
      <c r="B919" s="127" t="s">
        <v>602</v>
      </c>
      <c r="C919" s="127" t="s">
        <v>582</v>
      </c>
      <c r="D919" s="127" t="s">
        <v>70</v>
      </c>
      <c r="E919" t="s">
        <v>6665</v>
      </c>
    </row>
    <row r="920" spans="1:8" x14ac:dyDescent="0.2">
      <c r="A920" s="127" t="s">
        <v>601</v>
      </c>
      <c r="B920" s="127" t="s">
        <v>602</v>
      </c>
      <c r="C920" s="127" t="s">
        <v>582</v>
      </c>
      <c r="D920" s="127" t="s">
        <v>72</v>
      </c>
      <c r="E920" t="s">
        <v>6666</v>
      </c>
      <c r="F920">
        <v>0</v>
      </c>
      <c r="G920">
        <v>0.16666666666666666</v>
      </c>
      <c r="H920">
        <v>156</v>
      </c>
    </row>
    <row r="921" spans="1:8" x14ac:dyDescent="0.2">
      <c r="A921" s="127" t="s">
        <v>601</v>
      </c>
      <c r="B921" s="127" t="s">
        <v>602</v>
      </c>
      <c r="C921" s="127" t="s">
        <v>582</v>
      </c>
      <c r="D921" s="127" t="s">
        <v>73</v>
      </c>
      <c r="F921">
        <v>120</v>
      </c>
      <c r="G921">
        <v>2</v>
      </c>
      <c r="H921">
        <v>55</v>
      </c>
    </row>
    <row r="922" spans="1:8" x14ac:dyDescent="0.2">
      <c r="A922" s="127" t="s">
        <v>746</v>
      </c>
      <c r="B922" s="127" t="s">
        <v>747</v>
      </c>
      <c r="C922" s="127" t="s">
        <v>582</v>
      </c>
      <c r="D922" s="127" t="s">
        <v>8</v>
      </c>
    </row>
    <row r="923" spans="1:8" x14ac:dyDescent="0.2">
      <c r="A923" s="127" t="s">
        <v>746</v>
      </c>
      <c r="B923" s="127" t="s">
        <v>747</v>
      </c>
      <c r="C923" s="127" t="s">
        <v>582</v>
      </c>
      <c r="D923" s="127" t="s">
        <v>72</v>
      </c>
      <c r="E923" t="s">
        <v>6667</v>
      </c>
      <c r="F923">
        <v>0</v>
      </c>
      <c r="G923">
        <v>0</v>
      </c>
      <c r="H923">
        <v>0</v>
      </c>
    </row>
    <row r="924" spans="1:8" x14ac:dyDescent="0.2">
      <c r="A924" s="127" t="s">
        <v>746</v>
      </c>
      <c r="B924" s="127" t="s">
        <v>747</v>
      </c>
      <c r="C924" s="127" t="s">
        <v>582</v>
      </c>
      <c r="D924" s="127" t="s">
        <v>73</v>
      </c>
      <c r="F924">
        <v>120</v>
      </c>
      <c r="G924">
        <v>11.666666666666666</v>
      </c>
      <c r="H924">
        <v>2.2285714285714286</v>
      </c>
    </row>
    <row r="925" spans="1:8" x14ac:dyDescent="0.2">
      <c r="A925" s="127" t="s">
        <v>3507</v>
      </c>
      <c r="B925" s="127" t="s">
        <v>3508</v>
      </c>
      <c r="C925" s="127" t="s">
        <v>3494</v>
      </c>
      <c r="D925" s="127" t="s">
        <v>72</v>
      </c>
      <c r="E925" t="s">
        <v>6668</v>
      </c>
    </row>
    <row r="926" spans="1:8" x14ac:dyDescent="0.2">
      <c r="A926" s="127" t="s">
        <v>3507</v>
      </c>
      <c r="B926" s="127" t="s">
        <v>3508</v>
      </c>
      <c r="C926" s="127" t="s">
        <v>3494</v>
      </c>
      <c r="D926" s="127" t="s">
        <v>73</v>
      </c>
    </row>
    <row r="927" spans="1:8" x14ac:dyDescent="0.2">
      <c r="A927" s="127" t="s">
        <v>3580</v>
      </c>
      <c r="B927" s="127" t="s">
        <v>3581</v>
      </c>
      <c r="C927" s="127" t="s">
        <v>3575</v>
      </c>
      <c r="D927" s="127" t="s">
        <v>72</v>
      </c>
      <c r="E927" t="s">
        <v>6669</v>
      </c>
    </row>
    <row r="928" spans="1:8" x14ac:dyDescent="0.2">
      <c r="A928" s="127" t="s">
        <v>5298</v>
      </c>
      <c r="B928" s="127" t="s">
        <v>5299</v>
      </c>
      <c r="C928" s="127" t="s">
        <v>582</v>
      </c>
      <c r="D928" s="127" t="s">
        <v>8</v>
      </c>
    </row>
    <row r="929" spans="1:8" x14ac:dyDescent="0.2">
      <c r="A929" s="127" t="s">
        <v>5628</v>
      </c>
      <c r="B929" s="127" t="s">
        <v>5629</v>
      </c>
      <c r="C929" s="127" t="s">
        <v>3575</v>
      </c>
      <c r="D929" s="127" t="s">
        <v>8</v>
      </c>
    </row>
    <row r="930" spans="1:8" x14ac:dyDescent="0.2">
      <c r="A930" s="127" t="s">
        <v>5608</v>
      </c>
      <c r="B930" s="127" t="s">
        <v>5609</v>
      </c>
      <c r="C930" s="127" t="s">
        <v>582</v>
      </c>
      <c r="D930" s="127" t="s">
        <v>8</v>
      </c>
    </row>
    <row r="931" spans="1:8" x14ac:dyDescent="0.2">
      <c r="A931" s="127" t="s">
        <v>5608</v>
      </c>
      <c r="B931" s="127" t="s">
        <v>5609</v>
      </c>
      <c r="C931" s="127" t="s">
        <v>582</v>
      </c>
      <c r="D931" s="127" t="s">
        <v>72</v>
      </c>
      <c r="E931" t="s">
        <v>6670</v>
      </c>
    </row>
    <row r="932" spans="1:8" x14ac:dyDescent="0.2">
      <c r="A932" s="127" t="s">
        <v>5608</v>
      </c>
      <c r="B932" s="127" t="s">
        <v>5609</v>
      </c>
      <c r="C932" s="127" t="s">
        <v>582</v>
      </c>
      <c r="D932" s="127" t="s">
        <v>73</v>
      </c>
    </row>
    <row r="933" spans="1:8" x14ac:dyDescent="0.2">
      <c r="A933" s="127" t="s">
        <v>5556</v>
      </c>
      <c r="B933" s="127" t="s">
        <v>5557</v>
      </c>
      <c r="C933" s="127" t="s">
        <v>582</v>
      </c>
      <c r="D933" s="127" t="s">
        <v>72</v>
      </c>
      <c r="E933" t="s">
        <v>6671</v>
      </c>
    </row>
    <row r="934" spans="1:8" x14ac:dyDescent="0.2">
      <c r="A934" s="127" t="s">
        <v>5556</v>
      </c>
      <c r="B934" s="127" t="s">
        <v>5557</v>
      </c>
      <c r="C934" s="127" t="s">
        <v>582</v>
      </c>
      <c r="D934" s="127" t="s">
        <v>73</v>
      </c>
    </row>
    <row r="935" spans="1:8" x14ac:dyDescent="0.2">
      <c r="A935" s="127" t="s">
        <v>5610</v>
      </c>
      <c r="B935" s="127" t="s">
        <v>5611</v>
      </c>
      <c r="C935" s="127" t="s">
        <v>582</v>
      </c>
      <c r="D935" s="127" t="s">
        <v>73</v>
      </c>
    </row>
    <row r="936" spans="1:8" x14ac:dyDescent="0.2">
      <c r="A936" s="127" t="s">
        <v>5451</v>
      </c>
      <c r="B936" s="127" t="s">
        <v>5452</v>
      </c>
      <c r="C936" s="127" t="s">
        <v>3575</v>
      </c>
      <c r="D936" s="127" t="s">
        <v>8</v>
      </c>
    </row>
    <row r="937" spans="1:8" x14ac:dyDescent="0.2">
      <c r="A937" s="127" t="s">
        <v>3515</v>
      </c>
      <c r="B937" s="127" t="s">
        <v>3516</v>
      </c>
      <c r="C937" s="127" t="s">
        <v>3494</v>
      </c>
      <c r="D937" s="127" t="s">
        <v>72</v>
      </c>
      <c r="E937" t="s">
        <v>6672</v>
      </c>
    </row>
    <row r="938" spans="1:8" x14ac:dyDescent="0.2">
      <c r="A938" s="127" t="s">
        <v>3515</v>
      </c>
      <c r="B938" s="127" t="s">
        <v>3516</v>
      </c>
      <c r="C938" s="127" t="s">
        <v>3494</v>
      </c>
      <c r="D938" s="127" t="s">
        <v>73</v>
      </c>
    </row>
    <row r="939" spans="1:8" x14ac:dyDescent="0.2">
      <c r="A939" s="127" t="s">
        <v>3497</v>
      </c>
      <c r="B939" s="127" t="s">
        <v>3498</v>
      </c>
      <c r="C939" s="127" t="s">
        <v>3494</v>
      </c>
      <c r="D939" s="127" t="s">
        <v>72</v>
      </c>
      <c r="E939" t="s">
        <v>6673</v>
      </c>
    </row>
    <row r="940" spans="1:8" x14ac:dyDescent="0.2">
      <c r="A940" s="127" t="s">
        <v>3497</v>
      </c>
      <c r="B940" s="127" t="s">
        <v>3498</v>
      </c>
      <c r="C940" s="127" t="s">
        <v>3494</v>
      </c>
      <c r="D940" s="127" t="s">
        <v>73</v>
      </c>
    </row>
    <row r="941" spans="1:8" x14ac:dyDescent="0.2">
      <c r="A941" s="127" t="s">
        <v>3505</v>
      </c>
      <c r="B941" s="127" t="s">
        <v>3506</v>
      </c>
      <c r="C941" s="127" t="s">
        <v>3494</v>
      </c>
      <c r="D941" s="127" t="s">
        <v>72</v>
      </c>
      <c r="E941" t="s">
        <v>6674</v>
      </c>
    </row>
    <row r="942" spans="1:8" x14ac:dyDescent="0.2">
      <c r="A942" s="127" t="s">
        <v>3505</v>
      </c>
      <c r="B942" s="127" t="s">
        <v>3506</v>
      </c>
      <c r="C942" s="127" t="s">
        <v>3494</v>
      </c>
      <c r="D942" s="127" t="s">
        <v>73</v>
      </c>
    </row>
    <row r="943" spans="1:8" x14ac:dyDescent="0.2">
      <c r="A943" s="127" t="s">
        <v>7350</v>
      </c>
      <c r="B943" s="127" t="s">
        <v>7351</v>
      </c>
      <c r="C943" s="127" t="s">
        <v>6677</v>
      </c>
      <c r="D943" s="127" t="s">
        <v>72</v>
      </c>
      <c r="E943" t="s">
        <v>7569</v>
      </c>
      <c r="F943">
        <v>0</v>
      </c>
      <c r="G943">
        <v>0.5</v>
      </c>
      <c r="H943">
        <v>0</v>
      </c>
    </row>
    <row r="944" spans="1:8" x14ac:dyDescent="0.2">
      <c r="A944" s="127" t="s">
        <v>7356</v>
      </c>
      <c r="B944" s="127" t="s">
        <v>7357</v>
      </c>
      <c r="C944" s="127" t="s">
        <v>6677</v>
      </c>
      <c r="D944" s="127" t="s">
        <v>72</v>
      </c>
      <c r="E944" t="s">
        <v>7570</v>
      </c>
      <c r="F944">
        <v>80</v>
      </c>
      <c r="G944">
        <v>0.83333333333333337</v>
      </c>
      <c r="H944">
        <v>0</v>
      </c>
    </row>
    <row r="945" spans="1:8" x14ac:dyDescent="0.2">
      <c r="A945" s="127" t="s">
        <v>6675</v>
      </c>
      <c r="B945" s="127" t="s">
        <v>6676</v>
      </c>
      <c r="C945" s="127" t="s">
        <v>6677</v>
      </c>
      <c r="D945" s="127" t="s">
        <v>70</v>
      </c>
      <c r="E945" t="s">
        <v>7571</v>
      </c>
      <c r="F945">
        <v>598</v>
      </c>
      <c r="G945">
        <v>5.5</v>
      </c>
      <c r="H945">
        <v>13.090909090909092</v>
      </c>
    </row>
    <row r="946" spans="1:8" x14ac:dyDescent="0.2">
      <c r="A946" s="127" t="s">
        <v>6675</v>
      </c>
      <c r="B946" s="127" t="s">
        <v>6676</v>
      </c>
      <c r="C946" s="127" t="s">
        <v>6677</v>
      </c>
      <c r="D946" s="127" t="s">
        <v>72</v>
      </c>
      <c r="E946" t="s">
        <v>7572</v>
      </c>
      <c r="F946">
        <v>1794</v>
      </c>
      <c r="G946">
        <v>5.333333333333333</v>
      </c>
      <c r="H946">
        <v>9</v>
      </c>
    </row>
    <row r="947" spans="1:8" x14ac:dyDescent="0.2">
      <c r="A947" s="127" t="s">
        <v>7341</v>
      </c>
      <c r="B947" s="127" t="s">
        <v>7342</v>
      </c>
      <c r="C947" s="127" t="s">
        <v>6677</v>
      </c>
      <c r="D947" s="127" t="s">
        <v>72</v>
      </c>
      <c r="E947" t="s">
        <v>7573</v>
      </c>
      <c r="F947">
        <v>0</v>
      </c>
      <c r="G947">
        <v>0.83333333333333337</v>
      </c>
      <c r="H947">
        <v>0</v>
      </c>
    </row>
    <row r="948" spans="1:8" x14ac:dyDescent="0.2">
      <c r="A948" s="127" t="s">
        <v>7337</v>
      </c>
      <c r="B948" s="127" t="s">
        <v>7338</v>
      </c>
      <c r="C948" s="127" t="s">
        <v>6677</v>
      </c>
      <c r="D948" s="127" t="s">
        <v>72</v>
      </c>
      <c r="E948" t="s">
        <v>7574</v>
      </c>
      <c r="F948">
        <v>0</v>
      </c>
      <c r="G948">
        <v>0.33333333333333331</v>
      </c>
      <c r="H948">
        <v>0</v>
      </c>
    </row>
    <row r="949" spans="1:8" x14ac:dyDescent="0.2">
      <c r="A949" s="127" t="s">
        <v>7368</v>
      </c>
      <c r="B949" s="127" t="s">
        <v>7369</v>
      </c>
      <c r="C949" s="127" t="s">
        <v>6677</v>
      </c>
      <c r="D949" s="127" t="s">
        <v>72</v>
      </c>
      <c r="E949" t="s">
        <v>7575</v>
      </c>
      <c r="F949">
        <v>0</v>
      </c>
      <c r="G949">
        <v>0.66666666666666663</v>
      </c>
      <c r="H949">
        <v>0</v>
      </c>
    </row>
    <row r="950" spans="1:8" x14ac:dyDescent="0.2">
      <c r="A950" s="127" t="s">
        <v>3891</v>
      </c>
      <c r="B950" s="127" t="s">
        <v>3892</v>
      </c>
      <c r="C950" s="127" t="s">
        <v>3876</v>
      </c>
      <c r="D950" s="127" t="s">
        <v>72</v>
      </c>
      <c r="E950" t="s">
        <v>6678</v>
      </c>
      <c r="F950">
        <v>0</v>
      </c>
      <c r="G950">
        <v>0</v>
      </c>
      <c r="H950">
        <v>0</v>
      </c>
    </row>
    <row r="951" spans="1:8" x14ac:dyDescent="0.2">
      <c r="A951" s="127" t="s">
        <v>3895</v>
      </c>
      <c r="B951" s="127" t="s">
        <v>3896</v>
      </c>
      <c r="C951" s="127" t="s">
        <v>3876</v>
      </c>
      <c r="D951" s="127" t="s">
        <v>72</v>
      </c>
      <c r="E951" t="s">
        <v>6679</v>
      </c>
    </row>
    <row r="952" spans="1:8" x14ac:dyDescent="0.2">
      <c r="A952" s="127" t="s">
        <v>3897</v>
      </c>
      <c r="B952" s="127" t="s">
        <v>3898</v>
      </c>
      <c r="C952" s="127" t="s">
        <v>3876</v>
      </c>
      <c r="D952" s="127" t="s">
        <v>72</v>
      </c>
      <c r="E952" t="s">
        <v>6680</v>
      </c>
    </row>
    <row r="953" spans="1:8" x14ac:dyDescent="0.2">
      <c r="A953" s="127" t="s">
        <v>3904</v>
      </c>
      <c r="B953" s="127" t="s">
        <v>5752</v>
      </c>
      <c r="C953" s="127" t="s">
        <v>3876</v>
      </c>
      <c r="D953" s="127" t="s">
        <v>73</v>
      </c>
    </row>
    <row r="954" spans="1:8" x14ac:dyDescent="0.2">
      <c r="A954" s="127" t="s">
        <v>3899</v>
      </c>
      <c r="B954" s="127" t="s">
        <v>3900</v>
      </c>
      <c r="C954" s="127" t="s">
        <v>3876</v>
      </c>
      <c r="D954" s="127" t="s">
        <v>70</v>
      </c>
      <c r="E954" t="s">
        <v>6681</v>
      </c>
      <c r="F954">
        <v>0</v>
      </c>
      <c r="G954">
        <v>0.5</v>
      </c>
      <c r="H954">
        <v>14</v>
      </c>
    </row>
    <row r="955" spans="1:8" x14ac:dyDescent="0.2">
      <c r="A955" s="127" t="s">
        <v>3899</v>
      </c>
      <c r="B955" s="127" t="s">
        <v>3900</v>
      </c>
      <c r="C955" s="127" t="s">
        <v>3876</v>
      </c>
      <c r="D955" s="127" t="s">
        <v>72</v>
      </c>
      <c r="E955" t="s">
        <v>6682</v>
      </c>
      <c r="F955">
        <v>0</v>
      </c>
      <c r="G955">
        <v>0.16666666666666666</v>
      </c>
      <c r="H955">
        <v>6</v>
      </c>
    </row>
    <row r="956" spans="1:8" x14ac:dyDescent="0.2">
      <c r="A956" s="127" t="s">
        <v>3899</v>
      </c>
      <c r="B956" s="127" t="s">
        <v>3900</v>
      </c>
      <c r="C956" s="127" t="s">
        <v>3876</v>
      </c>
      <c r="D956" s="127" t="s">
        <v>73</v>
      </c>
    </row>
    <row r="957" spans="1:8" x14ac:dyDescent="0.2">
      <c r="A957" s="127" t="s">
        <v>3901</v>
      </c>
      <c r="B957" s="127" t="s">
        <v>5735</v>
      </c>
      <c r="C957" s="127" t="s">
        <v>3876</v>
      </c>
      <c r="D957" s="127" t="s">
        <v>72</v>
      </c>
      <c r="E957" t="s">
        <v>6683</v>
      </c>
      <c r="F957">
        <v>0</v>
      </c>
      <c r="G957">
        <v>0.16666666666666666</v>
      </c>
      <c r="H957">
        <v>12</v>
      </c>
    </row>
    <row r="958" spans="1:8" x14ac:dyDescent="0.2">
      <c r="A958" s="127" t="s">
        <v>3901</v>
      </c>
      <c r="B958" s="127" t="s">
        <v>5735</v>
      </c>
      <c r="C958" s="127" t="s">
        <v>3876</v>
      </c>
      <c r="D958" s="127" t="s">
        <v>73</v>
      </c>
    </row>
    <row r="959" spans="1:8" x14ac:dyDescent="0.2">
      <c r="A959" s="127" t="s">
        <v>3902</v>
      </c>
      <c r="B959" s="127" t="s">
        <v>5737</v>
      </c>
      <c r="C959" s="127" t="s">
        <v>3876</v>
      </c>
      <c r="D959" s="127" t="s">
        <v>5730</v>
      </c>
      <c r="F959">
        <v>0</v>
      </c>
      <c r="G959">
        <v>0</v>
      </c>
      <c r="H959">
        <v>0</v>
      </c>
    </row>
    <row r="960" spans="1:8" x14ac:dyDescent="0.2">
      <c r="A960" s="127" t="s">
        <v>3902</v>
      </c>
      <c r="B960" s="127" t="s">
        <v>5737</v>
      </c>
      <c r="C960" s="127" t="s">
        <v>3876</v>
      </c>
      <c r="D960" s="127" t="s">
        <v>70</v>
      </c>
      <c r="E960" t="s">
        <v>6684</v>
      </c>
    </row>
    <row r="961" spans="1:8" x14ac:dyDescent="0.2">
      <c r="A961" s="127" t="s">
        <v>3902</v>
      </c>
      <c r="B961" s="127" t="s">
        <v>5737</v>
      </c>
      <c r="C961" s="127" t="s">
        <v>3876</v>
      </c>
      <c r="D961" s="127" t="s">
        <v>73</v>
      </c>
    </row>
    <row r="962" spans="1:8" x14ac:dyDescent="0.2">
      <c r="A962" s="127" t="s">
        <v>3906</v>
      </c>
      <c r="B962" s="127" t="s">
        <v>3907</v>
      </c>
      <c r="C962" s="127" t="s">
        <v>3876</v>
      </c>
      <c r="D962" s="127" t="s">
        <v>70</v>
      </c>
      <c r="E962" t="s">
        <v>6685</v>
      </c>
      <c r="F962">
        <v>0</v>
      </c>
      <c r="G962">
        <v>0.16666666666666666</v>
      </c>
      <c r="H962">
        <v>6</v>
      </c>
    </row>
    <row r="963" spans="1:8" x14ac:dyDescent="0.2">
      <c r="A963" s="127" t="s">
        <v>3906</v>
      </c>
      <c r="B963" s="127" t="s">
        <v>3907</v>
      </c>
      <c r="C963" s="127" t="s">
        <v>3876</v>
      </c>
      <c r="D963" s="127" t="s">
        <v>72</v>
      </c>
      <c r="E963" t="s">
        <v>6686</v>
      </c>
    </row>
    <row r="964" spans="1:8" x14ac:dyDescent="0.2">
      <c r="A964" s="127" t="s">
        <v>3906</v>
      </c>
      <c r="B964" s="127" t="s">
        <v>3907</v>
      </c>
      <c r="C964" s="127" t="s">
        <v>3876</v>
      </c>
      <c r="D964" s="127" t="s">
        <v>73</v>
      </c>
      <c r="F964">
        <v>-70</v>
      </c>
      <c r="G964">
        <v>0</v>
      </c>
      <c r="H964">
        <v>0</v>
      </c>
    </row>
    <row r="965" spans="1:8" x14ac:dyDescent="0.2">
      <c r="A965" s="127" t="s">
        <v>3908</v>
      </c>
      <c r="B965" s="127" t="s">
        <v>3909</v>
      </c>
      <c r="C965" s="127" t="s">
        <v>3876</v>
      </c>
      <c r="D965" s="127" t="s">
        <v>5730</v>
      </c>
    </row>
    <row r="966" spans="1:8" x14ac:dyDescent="0.2">
      <c r="A966" s="127" t="s">
        <v>3908</v>
      </c>
      <c r="B966" s="127" t="s">
        <v>3909</v>
      </c>
      <c r="C966" s="127" t="s">
        <v>3876</v>
      </c>
      <c r="D966" s="127" t="s">
        <v>70</v>
      </c>
      <c r="E966" t="s">
        <v>6687</v>
      </c>
      <c r="F966">
        <v>0</v>
      </c>
      <c r="G966">
        <v>0</v>
      </c>
      <c r="H966">
        <v>0</v>
      </c>
    </row>
    <row r="967" spans="1:8" x14ac:dyDescent="0.2">
      <c r="A967" s="127" t="s">
        <v>3908</v>
      </c>
      <c r="B967" s="127" t="s">
        <v>3909</v>
      </c>
      <c r="C967" s="127" t="s">
        <v>3876</v>
      </c>
      <c r="D967" s="127" t="s">
        <v>73</v>
      </c>
      <c r="F967">
        <v>0</v>
      </c>
      <c r="G967">
        <v>0</v>
      </c>
      <c r="H967">
        <v>0</v>
      </c>
    </row>
    <row r="968" spans="1:8" x14ac:dyDescent="0.2">
      <c r="A968" s="127" t="s">
        <v>3910</v>
      </c>
      <c r="B968" s="127" t="s">
        <v>3911</v>
      </c>
      <c r="C968" s="127" t="s">
        <v>3876</v>
      </c>
      <c r="D968" s="127" t="s">
        <v>70</v>
      </c>
      <c r="E968" t="s">
        <v>6688</v>
      </c>
      <c r="F968">
        <v>0</v>
      </c>
      <c r="G968">
        <v>0</v>
      </c>
      <c r="H968">
        <v>0</v>
      </c>
    </row>
    <row r="969" spans="1:8" x14ac:dyDescent="0.2">
      <c r="A969" s="127" t="s">
        <v>3910</v>
      </c>
      <c r="B969" s="127" t="s">
        <v>3911</v>
      </c>
      <c r="C969" s="127" t="s">
        <v>3876</v>
      </c>
      <c r="D969" s="127" t="s">
        <v>72</v>
      </c>
      <c r="E969" t="s">
        <v>6689</v>
      </c>
    </row>
    <row r="970" spans="1:8" x14ac:dyDescent="0.2">
      <c r="A970" s="127" t="s">
        <v>3910</v>
      </c>
      <c r="B970" s="127" t="s">
        <v>3911</v>
      </c>
      <c r="C970" s="127" t="s">
        <v>3876</v>
      </c>
      <c r="D970" s="127" t="s">
        <v>73</v>
      </c>
    </row>
    <row r="971" spans="1:8" x14ac:dyDescent="0.2">
      <c r="A971" s="127" t="s">
        <v>3903</v>
      </c>
      <c r="B971" s="127" t="s">
        <v>5739</v>
      </c>
      <c r="C971" s="127" t="s">
        <v>3876</v>
      </c>
      <c r="D971" s="127" t="s">
        <v>5730</v>
      </c>
      <c r="F971">
        <v>0</v>
      </c>
      <c r="G971">
        <v>0</v>
      </c>
      <c r="H971">
        <v>0</v>
      </c>
    </row>
    <row r="972" spans="1:8" x14ac:dyDescent="0.2">
      <c r="A972" s="127" t="s">
        <v>3903</v>
      </c>
      <c r="B972" s="127" t="s">
        <v>5739</v>
      </c>
      <c r="C972" s="127" t="s">
        <v>3876</v>
      </c>
      <c r="D972" s="127" t="s">
        <v>70</v>
      </c>
      <c r="E972" t="s">
        <v>6690</v>
      </c>
    </row>
    <row r="973" spans="1:8" x14ac:dyDescent="0.2">
      <c r="A973" s="127" t="s">
        <v>3903</v>
      </c>
      <c r="B973" s="127" t="s">
        <v>5739</v>
      </c>
      <c r="C973" s="127" t="s">
        <v>3876</v>
      </c>
      <c r="D973" s="127" t="s">
        <v>73</v>
      </c>
    </row>
    <row r="974" spans="1:8" x14ac:dyDescent="0.2">
      <c r="A974" s="127" t="s">
        <v>3912</v>
      </c>
      <c r="B974" s="127" t="s">
        <v>3913</v>
      </c>
      <c r="C974" s="127" t="s">
        <v>3876</v>
      </c>
      <c r="D974" s="127" t="s">
        <v>70</v>
      </c>
      <c r="E974" t="s">
        <v>6691</v>
      </c>
      <c r="F974">
        <v>0</v>
      </c>
      <c r="G974">
        <v>0</v>
      </c>
      <c r="H974">
        <v>0</v>
      </c>
    </row>
    <row r="975" spans="1:8" x14ac:dyDescent="0.2">
      <c r="A975" s="127" t="s">
        <v>3912</v>
      </c>
      <c r="B975" s="127" t="s">
        <v>3913</v>
      </c>
      <c r="C975" s="127" t="s">
        <v>3876</v>
      </c>
      <c r="D975" s="127" t="s">
        <v>73</v>
      </c>
    </row>
    <row r="976" spans="1:8" x14ac:dyDescent="0.2">
      <c r="A976" s="127" t="s">
        <v>3882</v>
      </c>
      <c r="B976" s="127" t="s">
        <v>3883</v>
      </c>
      <c r="C976" s="127" t="s">
        <v>3876</v>
      </c>
      <c r="D976" s="127" t="s">
        <v>73</v>
      </c>
      <c r="F976">
        <v>75</v>
      </c>
      <c r="G976">
        <v>0.16666666666666666</v>
      </c>
      <c r="H976">
        <v>132</v>
      </c>
    </row>
    <row r="977" spans="1:8" x14ac:dyDescent="0.2">
      <c r="A977" s="127" t="s">
        <v>3877</v>
      </c>
      <c r="B977" s="127" t="s">
        <v>3878</v>
      </c>
      <c r="C977" s="127" t="s">
        <v>3876</v>
      </c>
      <c r="D977" s="127" t="s">
        <v>73</v>
      </c>
      <c r="F977">
        <v>0</v>
      </c>
      <c r="G977">
        <v>1.5</v>
      </c>
      <c r="H977">
        <v>14</v>
      </c>
    </row>
    <row r="978" spans="1:8" x14ac:dyDescent="0.2">
      <c r="A978" s="127" t="s">
        <v>3879</v>
      </c>
      <c r="B978" s="127" t="s">
        <v>3880</v>
      </c>
      <c r="C978" s="127" t="s">
        <v>3876</v>
      </c>
      <c r="D978" s="127" t="s">
        <v>70</v>
      </c>
      <c r="E978" t="s">
        <v>6692</v>
      </c>
      <c r="F978">
        <v>675</v>
      </c>
      <c r="G978">
        <v>8.1666666666666661</v>
      </c>
      <c r="H978">
        <v>5.8775510204081636</v>
      </c>
    </row>
    <row r="979" spans="1:8" x14ac:dyDescent="0.2">
      <c r="A979" s="127" t="s">
        <v>3879</v>
      </c>
      <c r="B979" s="127" t="s">
        <v>3880</v>
      </c>
      <c r="C979" s="127" t="s">
        <v>3876</v>
      </c>
      <c r="D979" s="127" t="s">
        <v>72</v>
      </c>
      <c r="E979" t="s">
        <v>6693</v>
      </c>
      <c r="F979">
        <v>975</v>
      </c>
      <c r="G979">
        <v>6.5</v>
      </c>
      <c r="H979">
        <v>12.153846153846153</v>
      </c>
    </row>
    <row r="980" spans="1:8" x14ac:dyDescent="0.2">
      <c r="A980" s="127" t="s">
        <v>3879</v>
      </c>
      <c r="B980" s="127" t="s">
        <v>3880</v>
      </c>
      <c r="C980" s="127" t="s">
        <v>3876</v>
      </c>
      <c r="D980" s="127" t="s">
        <v>73</v>
      </c>
      <c r="F980">
        <v>750</v>
      </c>
      <c r="G980">
        <v>12.833333333333334</v>
      </c>
      <c r="H980">
        <v>16.987012987012985</v>
      </c>
    </row>
    <row r="981" spans="1:8" x14ac:dyDescent="0.2">
      <c r="A981" s="127" t="s">
        <v>3881</v>
      </c>
      <c r="B981" s="127" t="s">
        <v>7393</v>
      </c>
      <c r="C981" s="127" t="s">
        <v>3876</v>
      </c>
      <c r="D981" s="127" t="s">
        <v>70</v>
      </c>
      <c r="E981" t="s">
        <v>6694</v>
      </c>
      <c r="F981">
        <v>975</v>
      </c>
      <c r="G981">
        <v>8</v>
      </c>
      <c r="H981">
        <v>3.875</v>
      </c>
    </row>
    <row r="982" spans="1:8" x14ac:dyDescent="0.2">
      <c r="A982" s="127" t="s">
        <v>3881</v>
      </c>
      <c r="B982" s="127" t="s">
        <v>7393</v>
      </c>
      <c r="C982" s="127" t="s">
        <v>3876</v>
      </c>
      <c r="D982" s="127" t="s">
        <v>72</v>
      </c>
      <c r="E982" t="s">
        <v>6695</v>
      </c>
      <c r="F982">
        <v>900</v>
      </c>
      <c r="G982">
        <v>7.333333333333333</v>
      </c>
      <c r="H982">
        <v>8.5909090909090917</v>
      </c>
    </row>
    <row r="983" spans="1:8" x14ac:dyDescent="0.2">
      <c r="A983" s="127" t="s">
        <v>3881</v>
      </c>
      <c r="B983" s="127" t="s">
        <v>7393</v>
      </c>
      <c r="C983" s="127" t="s">
        <v>3876</v>
      </c>
      <c r="D983" s="127" t="s">
        <v>73</v>
      </c>
      <c r="F983">
        <v>750</v>
      </c>
      <c r="G983">
        <v>11.833333333333334</v>
      </c>
      <c r="H983">
        <v>10.225352112676056</v>
      </c>
    </row>
    <row r="984" spans="1:8" x14ac:dyDescent="0.2">
      <c r="A984" s="127" t="s">
        <v>3884</v>
      </c>
      <c r="B984" s="127" t="s">
        <v>3885</v>
      </c>
      <c r="C984" s="127" t="s">
        <v>3876</v>
      </c>
      <c r="D984" s="127" t="s">
        <v>72</v>
      </c>
      <c r="E984" t="s">
        <v>6696</v>
      </c>
    </row>
    <row r="985" spans="1:8" x14ac:dyDescent="0.2">
      <c r="A985" s="127" t="s">
        <v>3884</v>
      </c>
      <c r="B985" s="127" t="s">
        <v>3885</v>
      </c>
      <c r="C985" s="127" t="s">
        <v>3876</v>
      </c>
      <c r="D985" s="127" t="s">
        <v>73</v>
      </c>
      <c r="F985">
        <v>0</v>
      </c>
      <c r="G985">
        <v>2.6666666666666665</v>
      </c>
      <c r="H985">
        <v>25.875</v>
      </c>
    </row>
    <row r="986" spans="1:8" x14ac:dyDescent="0.2">
      <c r="A986" s="127" t="s">
        <v>3886</v>
      </c>
      <c r="B986" s="127" t="s">
        <v>7394</v>
      </c>
      <c r="C986" s="127" t="s">
        <v>3876</v>
      </c>
      <c r="D986" s="127" t="s">
        <v>70</v>
      </c>
      <c r="E986" t="s">
        <v>6697</v>
      </c>
      <c r="F986">
        <v>300</v>
      </c>
      <c r="G986">
        <v>2.8333333333333335</v>
      </c>
      <c r="H986">
        <v>13.411764705882351</v>
      </c>
    </row>
    <row r="987" spans="1:8" x14ac:dyDescent="0.2">
      <c r="A987" s="127" t="s">
        <v>3886</v>
      </c>
      <c r="B987" s="127" t="s">
        <v>7394</v>
      </c>
      <c r="C987" s="127" t="s">
        <v>3876</v>
      </c>
      <c r="D987" s="127" t="s">
        <v>72</v>
      </c>
      <c r="E987" t="s">
        <v>6698</v>
      </c>
      <c r="F987">
        <v>225</v>
      </c>
      <c r="G987">
        <v>2.1666666666666665</v>
      </c>
      <c r="H987">
        <v>35.53846153846154</v>
      </c>
    </row>
    <row r="988" spans="1:8" x14ac:dyDescent="0.2">
      <c r="A988" s="127" t="s">
        <v>3886</v>
      </c>
      <c r="B988" s="127" t="s">
        <v>7394</v>
      </c>
      <c r="C988" s="127" t="s">
        <v>3876</v>
      </c>
      <c r="D988" s="127" t="s">
        <v>73</v>
      </c>
      <c r="F988">
        <v>525</v>
      </c>
      <c r="G988">
        <v>6.333333333333333</v>
      </c>
      <c r="H988">
        <v>9.7894736842105274</v>
      </c>
    </row>
    <row r="989" spans="1:8" x14ac:dyDescent="0.2">
      <c r="A989" s="127" t="s">
        <v>3887</v>
      </c>
      <c r="B989" s="127" t="s">
        <v>7395</v>
      </c>
      <c r="C989" s="127" t="s">
        <v>3876</v>
      </c>
      <c r="D989" s="127" t="s">
        <v>70</v>
      </c>
      <c r="E989" t="s">
        <v>6699</v>
      </c>
      <c r="F989">
        <v>300</v>
      </c>
      <c r="G989">
        <v>1.8333333333333333</v>
      </c>
      <c r="H989">
        <v>21.81818181818182</v>
      </c>
    </row>
    <row r="990" spans="1:8" x14ac:dyDescent="0.2">
      <c r="A990" s="127" t="s">
        <v>3887</v>
      </c>
      <c r="B990" s="127" t="s">
        <v>7395</v>
      </c>
      <c r="C990" s="127" t="s">
        <v>3876</v>
      </c>
      <c r="D990" s="127" t="s">
        <v>73</v>
      </c>
      <c r="F990">
        <v>150</v>
      </c>
      <c r="G990">
        <v>3.5</v>
      </c>
      <c r="H990">
        <v>6.8571428571428568</v>
      </c>
    </row>
    <row r="991" spans="1:8" x14ac:dyDescent="0.2">
      <c r="A991" s="127" t="s">
        <v>3888</v>
      </c>
      <c r="B991" s="127" t="s">
        <v>7396</v>
      </c>
      <c r="C991" s="127" t="s">
        <v>3876</v>
      </c>
      <c r="D991" s="127" t="s">
        <v>70</v>
      </c>
      <c r="E991" t="s">
        <v>6700</v>
      </c>
      <c r="F991">
        <v>150</v>
      </c>
      <c r="G991">
        <v>7</v>
      </c>
      <c r="H991">
        <v>6</v>
      </c>
    </row>
    <row r="992" spans="1:8" x14ac:dyDescent="0.2">
      <c r="A992" s="127" t="s">
        <v>3888</v>
      </c>
      <c r="B992" s="127" t="s">
        <v>7396</v>
      </c>
      <c r="C992" s="127" t="s">
        <v>3876</v>
      </c>
      <c r="D992" s="127" t="s">
        <v>72</v>
      </c>
      <c r="E992" t="s">
        <v>6701</v>
      </c>
      <c r="F992">
        <v>975</v>
      </c>
      <c r="G992">
        <v>8.3333333333333339</v>
      </c>
      <c r="H992">
        <v>7.0799999999999992</v>
      </c>
    </row>
    <row r="993" spans="1:8" x14ac:dyDescent="0.2">
      <c r="A993" s="127" t="s">
        <v>3888</v>
      </c>
      <c r="B993" s="127" t="s">
        <v>7396</v>
      </c>
      <c r="C993" s="127" t="s">
        <v>3876</v>
      </c>
      <c r="D993" s="127" t="s">
        <v>73</v>
      </c>
      <c r="F993">
        <v>1050</v>
      </c>
      <c r="G993">
        <v>13.5</v>
      </c>
      <c r="H993">
        <v>7.7777777777777777</v>
      </c>
    </row>
    <row r="994" spans="1:8" x14ac:dyDescent="0.2">
      <c r="A994" s="127" t="s">
        <v>3889</v>
      </c>
      <c r="B994" s="127" t="s">
        <v>3890</v>
      </c>
      <c r="C994" s="127" t="s">
        <v>3876</v>
      </c>
      <c r="D994" s="127" t="s">
        <v>72</v>
      </c>
      <c r="E994" t="s">
        <v>7576</v>
      </c>
      <c r="F994">
        <v>280</v>
      </c>
      <c r="G994">
        <v>1.8333333333333333</v>
      </c>
      <c r="H994">
        <v>15.272727272727273</v>
      </c>
    </row>
    <row r="995" spans="1:8" x14ac:dyDescent="0.2">
      <c r="A995" s="127" t="s">
        <v>3889</v>
      </c>
      <c r="B995" s="127" t="s">
        <v>3890</v>
      </c>
      <c r="C995" s="127" t="s">
        <v>3876</v>
      </c>
      <c r="D995" s="127" t="s">
        <v>73</v>
      </c>
      <c r="F995">
        <v>245</v>
      </c>
      <c r="G995">
        <v>1.1666666666666667</v>
      </c>
      <c r="H995">
        <v>250.28571428571428</v>
      </c>
    </row>
    <row r="996" spans="1:8" x14ac:dyDescent="0.2">
      <c r="A996" s="127" t="s">
        <v>5809</v>
      </c>
      <c r="B996" s="127" t="s">
        <v>5810</v>
      </c>
      <c r="C996" s="127" t="s">
        <v>4283</v>
      </c>
      <c r="D996" s="127" t="s">
        <v>72</v>
      </c>
      <c r="E996" t="s">
        <v>6702</v>
      </c>
      <c r="F996">
        <v>0</v>
      </c>
      <c r="G996">
        <v>0</v>
      </c>
      <c r="H996">
        <v>0</v>
      </c>
    </row>
    <row r="997" spans="1:8" x14ac:dyDescent="0.2">
      <c r="A997" s="127" t="s">
        <v>4294</v>
      </c>
      <c r="B997" s="127" t="s">
        <v>4295</v>
      </c>
      <c r="C997" s="127" t="s">
        <v>4283</v>
      </c>
      <c r="D997" s="127" t="s">
        <v>73</v>
      </c>
    </row>
    <row r="998" spans="1:8" x14ac:dyDescent="0.2">
      <c r="A998" s="127" t="s">
        <v>916</v>
      </c>
      <c r="B998" s="127" t="s">
        <v>917</v>
      </c>
      <c r="C998" s="127" t="s">
        <v>911</v>
      </c>
      <c r="D998" s="127" t="s">
        <v>72</v>
      </c>
      <c r="E998" t="s">
        <v>6703</v>
      </c>
      <c r="F998">
        <v>0</v>
      </c>
      <c r="G998">
        <v>0</v>
      </c>
      <c r="H998">
        <v>0</v>
      </c>
    </row>
    <row r="999" spans="1:8" x14ac:dyDescent="0.2">
      <c r="A999" s="127" t="s">
        <v>950</v>
      </c>
      <c r="B999" s="127" t="s">
        <v>951</v>
      </c>
      <c r="C999" s="127" t="s">
        <v>911</v>
      </c>
      <c r="D999" s="127" t="s">
        <v>72</v>
      </c>
      <c r="E999" t="s">
        <v>6704</v>
      </c>
      <c r="F999">
        <v>0</v>
      </c>
      <c r="G999">
        <v>0</v>
      </c>
      <c r="H999">
        <v>0</v>
      </c>
    </row>
    <row r="1000" spans="1:8" x14ac:dyDescent="0.2">
      <c r="A1000" s="127" t="s">
        <v>950</v>
      </c>
      <c r="B1000" s="127" t="s">
        <v>951</v>
      </c>
      <c r="C1000" s="127" t="s">
        <v>911</v>
      </c>
      <c r="D1000" s="127" t="s">
        <v>73</v>
      </c>
    </row>
    <row r="1001" spans="1:8" x14ac:dyDescent="0.2">
      <c r="A1001" s="127" t="s">
        <v>926</v>
      </c>
      <c r="B1001" s="127" t="s">
        <v>927</v>
      </c>
      <c r="C1001" s="127" t="s">
        <v>911</v>
      </c>
      <c r="D1001" s="127" t="s">
        <v>72</v>
      </c>
      <c r="E1001" t="s">
        <v>6705</v>
      </c>
      <c r="F1001">
        <v>0</v>
      </c>
      <c r="G1001">
        <v>0.33333333333333331</v>
      </c>
      <c r="H1001">
        <v>204</v>
      </c>
    </row>
    <row r="1002" spans="1:8" x14ac:dyDescent="0.2">
      <c r="A1002" s="127" t="s">
        <v>932</v>
      </c>
      <c r="B1002" s="127" t="s">
        <v>933</v>
      </c>
      <c r="C1002" s="127" t="s">
        <v>911</v>
      </c>
      <c r="D1002" s="127" t="s">
        <v>72</v>
      </c>
      <c r="E1002" t="s">
        <v>6706</v>
      </c>
      <c r="F1002">
        <v>0</v>
      </c>
      <c r="G1002">
        <v>0.66666666666666663</v>
      </c>
      <c r="H1002">
        <v>76.5</v>
      </c>
    </row>
    <row r="1003" spans="1:8" x14ac:dyDescent="0.2">
      <c r="A1003" s="127" t="s">
        <v>930</v>
      </c>
      <c r="B1003" s="127" t="s">
        <v>931</v>
      </c>
      <c r="C1003" s="127" t="s">
        <v>911</v>
      </c>
      <c r="D1003" s="127" t="s">
        <v>72</v>
      </c>
      <c r="E1003" t="s">
        <v>6707</v>
      </c>
      <c r="F1003">
        <v>70</v>
      </c>
      <c r="G1003">
        <v>1</v>
      </c>
      <c r="H1003">
        <v>52</v>
      </c>
    </row>
    <row r="1004" spans="1:8" x14ac:dyDescent="0.2">
      <c r="A1004" s="127" t="s">
        <v>936</v>
      </c>
      <c r="B1004" s="127" t="s">
        <v>937</v>
      </c>
      <c r="C1004" s="127" t="s">
        <v>911</v>
      </c>
      <c r="D1004" s="127" t="s">
        <v>72</v>
      </c>
      <c r="E1004" t="s">
        <v>6708</v>
      </c>
      <c r="F1004">
        <v>70</v>
      </c>
      <c r="G1004">
        <v>0.33333333333333331</v>
      </c>
      <c r="H1004">
        <v>138</v>
      </c>
    </row>
    <row r="1005" spans="1:8" x14ac:dyDescent="0.2">
      <c r="A1005" s="127" t="s">
        <v>934</v>
      </c>
      <c r="B1005" s="127" t="s">
        <v>935</v>
      </c>
      <c r="C1005" s="127" t="s">
        <v>911</v>
      </c>
      <c r="D1005" s="127" t="s">
        <v>72</v>
      </c>
      <c r="E1005" t="s">
        <v>6709</v>
      </c>
      <c r="F1005">
        <v>0</v>
      </c>
      <c r="G1005">
        <v>0.5</v>
      </c>
      <c r="H1005">
        <v>126</v>
      </c>
    </row>
    <row r="1006" spans="1:8" x14ac:dyDescent="0.2">
      <c r="A1006" s="127" t="s">
        <v>928</v>
      </c>
      <c r="B1006" s="127" t="s">
        <v>929</v>
      </c>
      <c r="C1006" s="127" t="s">
        <v>911</v>
      </c>
      <c r="D1006" s="127" t="s">
        <v>72</v>
      </c>
      <c r="E1006" t="s">
        <v>6710</v>
      </c>
      <c r="F1006">
        <v>210</v>
      </c>
      <c r="G1006">
        <v>1.5</v>
      </c>
      <c r="H1006">
        <v>26</v>
      </c>
    </row>
    <row r="1007" spans="1:8" x14ac:dyDescent="0.2">
      <c r="A1007" s="127" t="s">
        <v>968</v>
      </c>
      <c r="B1007" s="127" t="s">
        <v>969</v>
      </c>
      <c r="C1007" s="127" t="s">
        <v>911</v>
      </c>
      <c r="D1007" s="127" t="s">
        <v>72</v>
      </c>
      <c r="E1007" t="s">
        <v>6711</v>
      </c>
      <c r="F1007">
        <v>450</v>
      </c>
      <c r="G1007">
        <v>5.5</v>
      </c>
      <c r="H1007">
        <v>32.363636363636367</v>
      </c>
    </row>
    <row r="1008" spans="1:8" x14ac:dyDescent="0.2">
      <c r="A1008" s="127" t="s">
        <v>964</v>
      </c>
      <c r="B1008" s="127" t="s">
        <v>965</v>
      </c>
      <c r="C1008" s="127" t="s">
        <v>911</v>
      </c>
      <c r="D1008" s="127" t="s">
        <v>72</v>
      </c>
      <c r="E1008" t="s">
        <v>6712</v>
      </c>
      <c r="F1008">
        <v>600</v>
      </c>
      <c r="G1008">
        <v>9.3333333333333339</v>
      </c>
      <c r="H1008">
        <v>22.821428571428569</v>
      </c>
    </row>
    <row r="1009" spans="1:8" x14ac:dyDescent="0.2">
      <c r="A1009" s="127" t="s">
        <v>962</v>
      </c>
      <c r="B1009" s="127" t="s">
        <v>963</v>
      </c>
      <c r="C1009" s="127" t="s">
        <v>911</v>
      </c>
      <c r="D1009" s="127" t="s">
        <v>72</v>
      </c>
      <c r="E1009" t="s">
        <v>6713</v>
      </c>
      <c r="F1009">
        <v>170</v>
      </c>
      <c r="G1009">
        <v>2.3333333333333335</v>
      </c>
      <c r="H1009">
        <v>16.285714285714285</v>
      </c>
    </row>
    <row r="1010" spans="1:8" x14ac:dyDescent="0.2">
      <c r="A1010" s="127" t="s">
        <v>5005</v>
      </c>
      <c r="B1010" s="127" t="s">
        <v>5006</v>
      </c>
      <c r="C1010" s="127" t="s">
        <v>4905</v>
      </c>
      <c r="D1010" s="127" t="s">
        <v>8</v>
      </c>
      <c r="H1010">
        <v>0</v>
      </c>
    </row>
    <row r="1011" spans="1:8" x14ac:dyDescent="0.2">
      <c r="A1011" s="127" t="s">
        <v>5005</v>
      </c>
      <c r="B1011" s="127" t="s">
        <v>5006</v>
      </c>
      <c r="C1011" s="127" t="s">
        <v>4905</v>
      </c>
      <c r="D1011" s="127" t="s">
        <v>5730</v>
      </c>
      <c r="F1011">
        <v>0</v>
      </c>
      <c r="G1011">
        <v>0.16666666666666666</v>
      </c>
      <c r="H1011">
        <v>36</v>
      </c>
    </row>
    <row r="1012" spans="1:8" x14ac:dyDescent="0.2">
      <c r="A1012" s="127" t="s">
        <v>5005</v>
      </c>
      <c r="B1012" s="127" t="s">
        <v>5006</v>
      </c>
      <c r="C1012" s="127" t="s">
        <v>4905</v>
      </c>
      <c r="D1012" s="127" t="s">
        <v>70</v>
      </c>
      <c r="E1012" t="s">
        <v>6714</v>
      </c>
      <c r="F1012">
        <v>199</v>
      </c>
      <c r="G1012">
        <v>0.66666666666666663</v>
      </c>
      <c r="H1012">
        <v>34.5</v>
      </c>
    </row>
    <row r="1013" spans="1:8" x14ac:dyDescent="0.2">
      <c r="A1013" s="127" t="s">
        <v>5005</v>
      </c>
      <c r="B1013" s="127" t="s">
        <v>5006</v>
      </c>
      <c r="C1013" s="127" t="s">
        <v>4905</v>
      </c>
      <c r="D1013" s="127" t="s">
        <v>72</v>
      </c>
      <c r="E1013" t="s">
        <v>6715</v>
      </c>
      <c r="F1013">
        <v>199</v>
      </c>
      <c r="G1013">
        <v>0.16666666666666666</v>
      </c>
      <c r="H1013">
        <v>102</v>
      </c>
    </row>
    <row r="1014" spans="1:8" x14ac:dyDescent="0.2">
      <c r="A1014" s="127" t="s">
        <v>4906</v>
      </c>
      <c r="B1014" s="127" t="s">
        <v>4907</v>
      </c>
      <c r="C1014" s="127" t="s">
        <v>4905</v>
      </c>
      <c r="D1014" s="127" t="s">
        <v>8</v>
      </c>
      <c r="H1014">
        <v>0</v>
      </c>
    </row>
    <row r="1015" spans="1:8" x14ac:dyDescent="0.2">
      <c r="A1015" s="127" t="s">
        <v>4906</v>
      </c>
      <c r="B1015" s="127" t="s">
        <v>4907</v>
      </c>
      <c r="C1015" s="127" t="s">
        <v>4905</v>
      </c>
      <c r="D1015" s="127" t="s">
        <v>70</v>
      </c>
      <c r="E1015" t="s">
        <v>6716</v>
      </c>
      <c r="F1015">
        <v>0</v>
      </c>
      <c r="G1015">
        <v>0.16666666666666666</v>
      </c>
      <c r="H1015">
        <v>336</v>
      </c>
    </row>
    <row r="1016" spans="1:8" x14ac:dyDescent="0.2">
      <c r="A1016" s="127" t="s">
        <v>4906</v>
      </c>
      <c r="B1016" s="127" t="s">
        <v>4907</v>
      </c>
      <c r="C1016" s="127" t="s">
        <v>4905</v>
      </c>
      <c r="D1016" s="127" t="s">
        <v>72</v>
      </c>
      <c r="E1016" t="s">
        <v>6717</v>
      </c>
      <c r="F1016">
        <v>0</v>
      </c>
      <c r="G1016">
        <v>0.16666666666666666</v>
      </c>
      <c r="H1016">
        <v>96</v>
      </c>
    </row>
    <row r="1017" spans="1:8" x14ac:dyDescent="0.2">
      <c r="A1017" s="127" t="s">
        <v>3140</v>
      </c>
      <c r="B1017" s="127" t="s">
        <v>3141</v>
      </c>
      <c r="C1017" s="127" t="s">
        <v>3133</v>
      </c>
      <c r="D1017" s="127" t="s">
        <v>72</v>
      </c>
      <c r="E1017" t="s">
        <v>6718</v>
      </c>
    </row>
    <row r="1018" spans="1:8" x14ac:dyDescent="0.2">
      <c r="A1018" s="127" t="s">
        <v>3140</v>
      </c>
      <c r="B1018" s="127" t="s">
        <v>3141</v>
      </c>
      <c r="C1018" s="127" t="s">
        <v>3133</v>
      </c>
      <c r="D1018" s="127" t="s">
        <v>73</v>
      </c>
    </row>
    <row r="1019" spans="1:8" x14ac:dyDescent="0.2">
      <c r="A1019" s="127" t="s">
        <v>3142</v>
      </c>
      <c r="B1019" s="127" t="s">
        <v>3143</v>
      </c>
      <c r="C1019" s="127" t="s">
        <v>3133</v>
      </c>
      <c r="D1019" s="127" t="s">
        <v>73</v>
      </c>
      <c r="F1019">
        <v>60</v>
      </c>
      <c r="G1019">
        <v>1.3333333333333333</v>
      </c>
      <c r="H1019">
        <v>21.75</v>
      </c>
    </row>
    <row r="1020" spans="1:8" x14ac:dyDescent="0.2">
      <c r="A1020" s="127" t="s">
        <v>3144</v>
      </c>
      <c r="B1020" s="127" t="s">
        <v>3145</v>
      </c>
      <c r="C1020" s="127" t="s">
        <v>3133</v>
      </c>
      <c r="D1020" s="127" t="s">
        <v>73</v>
      </c>
      <c r="F1020">
        <v>0</v>
      </c>
      <c r="G1020">
        <v>0.16666666666666666</v>
      </c>
      <c r="H1020">
        <v>114</v>
      </c>
    </row>
    <row r="1021" spans="1:8" x14ac:dyDescent="0.2">
      <c r="A1021" s="127" t="s">
        <v>4269</v>
      </c>
      <c r="B1021" s="127" t="s">
        <v>4270</v>
      </c>
      <c r="C1021" s="127" t="s">
        <v>4230</v>
      </c>
      <c r="D1021" s="127" t="s">
        <v>5730</v>
      </c>
      <c r="F1021">
        <v>0</v>
      </c>
      <c r="G1021">
        <v>0.16666666666666666</v>
      </c>
      <c r="H1021">
        <v>12</v>
      </c>
    </row>
    <row r="1022" spans="1:8" x14ac:dyDescent="0.2">
      <c r="A1022" s="127" t="s">
        <v>4269</v>
      </c>
      <c r="B1022" s="127" t="s">
        <v>4270</v>
      </c>
      <c r="C1022" s="127" t="s">
        <v>4230</v>
      </c>
      <c r="D1022" s="127" t="s">
        <v>70</v>
      </c>
      <c r="E1022" t="s">
        <v>7577</v>
      </c>
      <c r="F1022">
        <v>0</v>
      </c>
      <c r="G1022">
        <v>0</v>
      </c>
      <c r="H1022">
        <v>0</v>
      </c>
    </row>
    <row r="1023" spans="1:8" x14ac:dyDescent="0.2">
      <c r="A1023" s="127" t="s">
        <v>4269</v>
      </c>
      <c r="B1023" s="127" t="s">
        <v>4270</v>
      </c>
      <c r="C1023" s="127" t="s">
        <v>4230</v>
      </c>
      <c r="D1023" s="127" t="s">
        <v>72</v>
      </c>
      <c r="E1023" t="s">
        <v>6719</v>
      </c>
      <c r="F1023">
        <v>0</v>
      </c>
      <c r="G1023">
        <v>2.1666666666666665</v>
      </c>
      <c r="H1023">
        <v>12.461538461538462</v>
      </c>
    </row>
    <row r="1024" spans="1:8" x14ac:dyDescent="0.2">
      <c r="A1024" s="127" t="s">
        <v>4275</v>
      </c>
      <c r="B1024" s="127" t="s">
        <v>4276</v>
      </c>
      <c r="C1024" s="127" t="s">
        <v>4230</v>
      </c>
      <c r="D1024" s="127" t="s">
        <v>5730</v>
      </c>
      <c r="F1024">
        <v>0</v>
      </c>
      <c r="G1024">
        <v>0</v>
      </c>
      <c r="H1024">
        <v>0</v>
      </c>
    </row>
    <row r="1025" spans="1:8" x14ac:dyDescent="0.2">
      <c r="A1025" s="127" t="s">
        <v>4275</v>
      </c>
      <c r="B1025" s="127" t="s">
        <v>4276</v>
      </c>
      <c r="C1025" s="127" t="s">
        <v>4230</v>
      </c>
      <c r="D1025" s="127" t="s">
        <v>70</v>
      </c>
      <c r="E1025" t="s">
        <v>6720</v>
      </c>
      <c r="F1025">
        <v>747</v>
      </c>
      <c r="G1025">
        <v>3.6666666666666665</v>
      </c>
      <c r="H1025">
        <v>19.363636363636363</v>
      </c>
    </row>
    <row r="1026" spans="1:8" x14ac:dyDescent="0.2">
      <c r="A1026" s="127" t="s">
        <v>4275</v>
      </c>
      <c r="B1026" s="127" t="s">
        <v>4276</v>
      </c>
      <c r="C1026" s="127" t="s">
        <v>4230</v>
      </c>
      <c r="D1026" s="127" t="s">
        <v>72</v>
      </c>
      <c r="E1026" t="s">
        <v>6721</v>
      </c>
      <c r="F1026">
        <v>2988</v>
      </c>
      <c r="G1026">
        <v>5</v>
      </c>
      <c r="H1026">
        <v>13</v>
      </c>
    </row>
    <row r="1027" spans="1:8" x14ac:dyDescent="0.2">
      <c r="A1027" s="127" t="s">
        <v>4275</v>
      </c>
      <c r="B1027" s="127" t="s">
        <v>4276</v>
      </c>
      <c r="C1027" s="127" t="s">
        <v>4230</v>
      </c>
      <c r="D1027" s="127" t="s">
        <v>73</v>
      </c>
      <c r="F1027">
        <v>996</v>
      </c>
      <c r="G1027">
        <v>3.1666666666666665</v>
      </c>
      <c r="H1027">
        <v>14.526315789473685</v>
      </c>
    </row>
    <row r="1028" spans="1:8" x14ac:dyDescent="0.2">
      <c r="A1028" s="127" t="s">
        <v>4277</v>
      </c>
      <c r="B1028" s="127" t="s">
        <v>4278</v>
      </c>
      <c r="C1028" s="127" t="s">
        <v>4230</v>
      </c>
      <c r="D1028" s="127" t="s">
        <v>5730</v>
      </c>
      <c r="F1028">
        <v>0</v>
      </c>
      <c r="G1028">
        <v>0</v>
      </c>
      <c r="H1028">
        <v>0</v>
      </c>
    </row>
    <row r="1029" spans="1:8" x14ac:dyDescent="0.2">
      <c r="A1029" s="127" t="s">
        <v>4277</v>
      </c>
      <c r="B1029" s="127" t="s">
        <v>4278</v>
      </c>
      <c r="C1029" s="127" t="s">
        <v>4230</v>
      </c>
      <c r="D1029" s="127" t="s">
        <v>70</v>
      </c>
      <c r="E1029" t="s">
        <v>6722</v>
      </c>
      <c r="F1029">
        <v>249</v>
      </c>
      <c r="G1029">
        <v>2.6666666666666665</v>
      </c>
      <c r="H1029">
        <v>27.75</v>
      </c>
    </row>
    <row r="1030" spans="1:8" x14ac:dyDescent="0.2">
      <c r="A1030" s="127" t="s">
        <v>4277</v>
      </c>
      <c r="B1030" s="127" t="s">
        <v>4278</v>
      </c>
      <c r="C1030" s="127" t="s">
        <v>4230</v>
      </c>
      <c r="D1030" s="127" t="s">
        <v>72</v>
      </c>
      <c r="E1030" t="s">
        <v>6723</v>
      </c>
      <c r="F1030">
        <v>1494</v>
      </c>
      <c r="G1030">
        <v>4.666666666666667</v>
      </c>
      <c r="H1030">
        <v>13.285714285714285</v>
      </c>
    </row>
    <row r="1031" spans="1:8" x14ac:dyDescent="0.2">
      <c r="A1031" s="127" t="s">
        <v>4277</v>
      </c>
      <c r="B1031" s="127" t="s">
        <v>4278</v>
      </c>
      <c r="C1031" s="127" t="s">
        <v>4230</v>
      </c>
      <c r="D1031" s="127" t="s">
        <v>73</v>
      </c>
      <c r="F1031">
        <v>0</v>
      </c>
      <c r="G1031">
        <v>0.5</v>
      </c>
      <c r="H1031">
        <v>56</v>
      </c>
    </row>
    <row r="1032" spans="1:8" x14ac:dyDescent="0.2">
      <c r="A1032" s="127" t="s">
        <v>4273</v>
      </c>
      <c r="B1032" s="127" t="s">
        <v>4274</v>
      </c>
      <c r="C1032" s="127" t="s">
        <v>4230</v>
      </c>
      <c r="D1032" s="127" t="s">
        <v>5730</v>
      </c>
      <c r="F1032">
        <v>0</v>
      </c>
      <c r="G1032">
        <v>0.16666666666666666</v>
      </c>
      <c r="H1032">
        <v>30</v>
      </c>
    </row>
    <row r="1033" spans="1:8" x14ac:dyDescent="0.2">
      <c r="A1033" s="127" t="s">
        <v>4273</v>
      </c>
      <c r="B1033" s="127" t="s">
        <v>4274</v>
      </c>
      <c r="C1033" s="127" t="s">
        <v>4230</v>
      </c>
      <c r="D1033" s="127" t="s">
        <v>70</v>
      </c>
      <c r="E1033" t="s">
        <v>6724</v>
      </c>
      <c r="F1033">
        <v>45</v>
      </c>
      <c r="G1033">
        <v>0.66666666666666663</v>
      </c>
      <c r="H1033">
        <v>61.5</v>
      </c>
    </row>
    <row r="1034" spans="1:8" x14ac:dyDescent="0.2">
      <c r="A1034" s="127" t="s">
        <v>4273</v>
      </c>
      <c r="B1034" s="127" t="s">
        <v>4274</v>
      </c>
      <c r="C1034" s="127" t="s">
        <v>4230</v>
      </c>
      <c r="D1034" s="127" t="s">
        <v>72</v>
      </c>
      <c r="E1034" t="s">
        <v>6725</v>
      </c>
      <c r="F1034">
        <v>0</v>
      </c>
      <c r="G1034">
        <v>0.16666666666666666</v>
      </c>
      <c r="H1034">
        <v>144</v>
      </c>
    </row>
    <row r="1035" spans="1:8" x14ac:dyDescent="0.2">
      <c r="A1035" s="127" t="s">
        <v>4231</v>
      </c>
      <c r="B1035" s="127" t="s">
        <v>4232</v>
      </c>
      <c r="C1035" s="127" t="s">
        <v>4230</v>
      </c>
      <c r="D1035" s="127" t="s">
        <v>5730</v>
      </c>
    </row>
    <row r="1036" spans="1:8" x14ac:dyDescent="0.2">
      <c r="A1036" s="127" t="s">
        <v>4231</v>
      </c>
      <c r="B1036" s="127" t="s">
        <v>4232</v>
      </c>
      <c r="C1036" s="127" t="s">
        <v>4230</v>
      </c>
      <c r="D1036" s="127" t="s">
        <v>70</v>
      </c>
      <c r="E1036" t="s">
        <v>6726</v>
      </c>
      <c r="F1036">
        <v>0</v>
      </c>
      <c r="G1036">
        <v>1.1666666666666667</v>
      </c>
      <c r="H1036">
        <v>29.999999999999996</v>
      </c>
    </row>
    <row r="1037" spans="1:8" x14ac:dyDescent="0.2">
      <c r="A1037" s="127" t="s">
        <v>4231</v>
      </c>
      <c r="B1037" s="127" t="s">
        <v>4232</v>
      </c>
      <c r="C1037" s="127" t="s">
        <v>4230</v>
      </c>
      <c r="D1037" s="127" t="s">
        <v>72</v>
      </c>
      <c r="E1037" t="s">
        <v>6727</v>
      </c>
      <c r="F1037">
        <v>110</v>
      </c>
      <c r="G1037">
        <v>3</v>
      </c>
      <c r="H1037">
        <v>28.666666666666668</v>
      </c>
    </row>
    <row r="1038" spans="1:8" x14ac:dyDescent="0.2">
      <c r="A1038" s="127" t="s">
        <v>4267</v>
      </c>
      <c r="B1038" s="127" t="s">
        <v>4268</v>
      </c>
      <c r="C1038" s="127" t="s">
        <v>4230</v>
      </c>
      <c r="D1038" s="127" t="s">
        <v>72</v>
      </c>
      <c r="E1038" t="s">
        <v>7578</v>
      </c>
    </row>
    <row r="1039" spans="1:8" x14ac:dyDescent="0.2">
      <c r="A1039" s="127" t="s">
        <v>4235</v>
      </c>
      <c r="B1039" s="127" t="s">
        <v>4236</v>
      </c>
      <c r="C1039" s="127" t="s">
        <v>4230</v>
      </c>
      <c r="D1039" s="127" t="s">
        <v>5730</v>
      </c>
      <c r="F1039">
        <v>0</v>
      </c>
      <c r="G1039">
        <v>0</v>
      </c>
      <c r="H1039">
        <v>0</v>
      </c>
    </row>
    <row r="1040" spans="1:8" x14ac:dyDescent="0.2">
      <c r="A1040" s="127" t="s">
        <v>4235</v>
      </c>
      <c r="B1040" s="127" t="s">
        <v>4236</v>
      </c>
      <c r="C1040" s="127" t="s">
        <v>4230</v>
      </c>
      <c r="D1040" s="127" t="s">
        <v>70</v>
      </c>
      <c r="E1040" t="s">
        <v>6728</v>
      </c>
      <c r="F1040">
        <v>15</v>
      </c>
      <c r="G1040">
        <v>2.6666666666666665</v>
      </c>
      <c r="H1040">
        <v>16.5</v>
      </c>
    </row>
    <row r="1041" spans="1:8" x14ac:dyDescent="0.2">
      <c r="A1041" s="127" t="s">
        <v>4235</v>
      </c>
      <c r="B1041" s="127" t="s">
        <v>4236</v>
      </c>
      <c r="C1041" s="127" t="s">
        <v>4230</v>
      </c>
      <c r="D1041" s="127" t="s">
        <v>72</v>
      </c>
      <c r="E1041" t="s">
        <v>6729</v>
      </c>
      <c r="F1041">
        <v>30</v>
      </c>
      <c r="G1041">
        <v>1.8333333333333333</v>
      </c>
      <c r="H1041">
        <v>13.636363636363637</v>
      </c>
    </row>
    <row r="1042" spans="1:8" x14ac:dyDescent="0.2">
      <c r="A1042" s="127" t="s">
        <v>4241</v>
      </c>
      <c r="B1042" s="127" t="s">
        <v>4242</v>
      </c>
      <c r="C1042" s="127" t="s">
        <v>4230</v>
      </c>
      <c r="D1042" s="127" t="s">
        <v>5730</v>
      </c>
      <c r="F1042">
        <v>0</v>
      </c>
      <c r="G1042">
        <v>0</v>
      </c>
      <c r="H1042">
        <v>0</v>
      </c>
    </row>
    <row r="1043" spans="1:8" x14ac:dyDescent="0.2">
      <c r="A1043" s="127" t="s">
        <v>4241</v>
      </c>
      <c r="B1043" s="127" t="s">
        <v>4242</v>
      </c>
      <c r="C1043" s="127" t="s">
        <v>4230</v>
      </c>
      <c r="D1043" s="127" t="s">
        <v>70</v>
      </c>
      <c r="E1043" t="s">
        <v>6730</v>
      </c>
      <c r="F1043">
        <v>0</v>
      </c>
      <c r="G1043">
        <v>0.33333333333333331</v>
      </c>
      <c r="H1043">
        <v>174</v>
      </c>
    </row>
    <row r="1044" spans="1:8" x14ac:dyDescent="0.2">
      <c r="A1044" s="127" t="s">
        <v>4241</v>
      </c>
      <c r="B1044" s="127" t="s">
        <v>4242</v>
      </c>
      <c r="C1044" s="127" t="s">
        <v>4230</v>
      </c>
      <c r="D1044" s="127" t="s">
        <v>72</v>
      </c>
      <c r="E1044" t="s">
        <v>6731</v>
      </c>
    </row>
    <row r="1045" spans="1:8" x14ac:dyDescent="0.2">
      <c r="A1045" s="127" t="s">
        <v>4279</v>
      </c>
      <c r="B1045" s="127" t="s">
        <v>4280</v>
      </c>
      <c r="C1045" s="127" t="s">
        <v>4230</v>
      </c>
      <c r="D1045" s="127" t="s">
        <v>5730</v>
      </c>
    </row>
    <row r="1046" spans="1:8" x14ac:dyDescent="0.2">
      <c r="A1046" s="127" t="s">
        <v>4279</v>
      </c>
      <c r="B1046" s="127" t="s">
        <v>4280</v>
      </c>
      <c r="C1046" s="127" t="s">
        <v>4230</v>
      </c>
      <c r="D1046" s="127" t="s">
        <v>70</v>
      </c>
      <c r="E1046" t="s">
        <v>6732</v>
      </c>
      <c r="F1046">
        <v>0</v>
      </c>
      <c r="G1046">
        <v>0.83333333333333337</v>
      </c>
      <c r="H1046">
        <v>45.6</v>
      </c>
    </row>
    <row r="1047" spans="1:8" x14ac:dyDescent="0.2">
      <c r="A1047" s="127" t="s">
        <v>4279</v>
      </c>
      <c r="B1047" s="127" t="s">
        <v>4280</v>
      </c>
      <c r="C1047" s="127" t="s">
        <v>4230</v>
      </c>
      <c r="D1047" s="127" t="s">
        <v>72</v>
      </c>
      <c r="E1047" t="s">
        <v>6733</v>
      </c>
      <c r="F1047">
        <v>70</v>
      </c>
      <c r="G1047">
        <v>0.83333333333333337</v>
      </c>
      <c r="H1047">
        <v>14.399999999999999</v>
      </c>
    </row>
    <row r="1048" spans="1:8" x14ac:dyDescent="0.2">
      <c r="A1048" s="127" t="s">
        <v>4243</v>
      </c>
      <c r="B1048" s="127" t="s">
        <v>4244</v>
      </c>
      <c r="C1048" s="127" t="s">
        <v>4230</v>
      </c>
      <c r="D1048" s="127" t="s">
        <v>5730</v>
      </c>
    </row>
    <row r="1049" spans="1:8" x14ac:dyDescent="0.2">
      <c r="A1049" s="127" t="s">
        <v>4243</v>
      </c>
      <c r="B1049" s="127" t="s">
        <v>4244</v>
      </c>
      <c r="C1049" s="127" t="s">
        <v>4230</v>
      </c>
      <c r="D1049" s="127" t="s">
        <v>70</v>
      </c>
      <c r="E1049" t="s">
        <v>6734</v>
      </c>
      <c r="F1049">
        <v>90</v>
      </c>
      <c r="G1049">
        <v>3.1666666666666665</v>
      </c>
      <c r="H1049">
        <v>12.947368421052632</v>
      </c>
    </row>
    <row r="1050" spans="1:8" x14ac:dyDescent="0.2">
      <c r="A1050" s="127" t="s">
        <v>4243</v>
      </c>
      <c r="B1050" s="127" t="s">
        <v>4244</v>
      </c>
      <c r="C1050" s="127" t="s">
        <v>4230</v>
      </c>
      <c r="D1050" s="127" t="s">
        <v>72</v>
      </c>
      <c r="E1050" t="s">
        <v>6735</v>
      </c>
      <c r="F1050">
        <v>0</v>
      </c>
      <c r="G1050">
        <v>0</v>
      </c>
      <c r="H1050">
        <v>0</v>
      </c>
    </row>
    <row r="1051" spans="1:8" x14ac:dyDescent="0.2">
      <c r="A1051" s="127" t="s">
        <v>4281</v>
      </c>
      <c r="B1051" s="127" t="s">
        <v>4282</v>
      </c>
      <c r="C1051" s="127" t="s">
        <v>4230</v>
      </c>
      <c r="D1051" s="127" t="s">
        <v>5730</v>
      </c>
    </row>
    <row r="1052" spans="1:8" x14ac:dyDescent="0.2">
      <c r="A1052" s="127" t="s">
        <v>4281</v>
      </c>
      <c r="B1052" s="127" t="s">
        <v>4282</v>
      </c>
      <c r="C1052" s="127" t="s">
        <v>4230</v>
      </c>
      <c r="D1052" s="127" t="s">
        <v>70</v>
      </c>
      <c r="E1052" t="s">
        <v>6736</v>
      </c>
      <c r="F1052">
        <v>0</v>
      </c>
      <c r="G1052">
        <v>0.33333333333333331</v>
      </c>
      <c r="H1052">
        <v>132</v>
      </c>
    </row>
    <row r="1053" spans="1:8" x14ac:dyDescent="0.2">
      <c r="A1053" s="127" t="s">
        <v>4281</v>
      </c>
      <c r="B1053" s="127" t="s">
        <v>4282</v>
      </c>
      <c r="C1053" s="127" t="s">
        <v>4230</v>
      </c>
      <c r="D1053" s="127" t="s">
        <v>72</v>
      </c>
      <c r="E1053" t="s">
        <v>6737</v>
      </c>
      <c r="F1053">
        <v>0</v>
      </c>
      <c r="G1053">
        <v>0</v>
      </c>
      <c r="H1053">
        <v>0</v>
      </c>
    </row>
    <row r="1054" spans="1:8" x14ac:dyDescent="0.2">
      <c r="A1054" s="127" t="s">
        <v>4245</v>
      </c>
      <c r="B1054" s="127" t="s">
        <v>4246</v>
      </c>
      <c r="C1054" s="127" t="s">
        <v>4230</v>
      </c>
      <c r="D1054" s="127" t="s">
        <v>5730</v>
      </c>
      <c r="F1054">
        <v>0</v>
      </c>
      <c r="G1054">
        <v>0</v>
      </c>
      <c r="H1054">
        <v>0</v>
      </c>
    </row>
    <row r="1055" spans="1:8" x14ac:dyDescent="0.2">
      <c r="A1055" s="127" t="s">
        <v>4245</v>
      </c>
      <c r="B1055" s="127" t="s">
        <v>4246</v>
      </c>
      <c r="C1055" s="127" t="s">
        <v>4230</v>
      </c>
      <c r="D1055" s="127" t="s">
        <v>72</v>
      </c>
      <c r="E1055" t="s">
        <v>6738</v>
      </c>
      <c r="F1055">
        <v>0</v>
      </c>
      <c r="G1055">
        <v>0.16666666666666666</v>
      </c>
      <c r="H1055">
        <v>6</v>
      </c>
    </row>
    <row r="1056" spans="1:8" x14ac:dyDescent="0.2">
      <c r="A1056" s="127" t="s">
        <v>4247</v>
      </c>
      <c r="B1056" s="127" t="s">
        <v>4248</v>
      </c>
      <c r="C1056" s="127" t="s">
        <v>4230</v>
      </c>
      <c r="D1056" s="127" t="s">
        <v>5730</v>
      </c>
      <c r="F1056">
        <v>0</v>
      </c>
      <c r="G1056">
        <v>0</v>
      </c>
      <c r="H1056">
        <v>0</v>
      </c>
    </row>
    <row r="1057" spans="1:8" x14ac:dyDescent="0.2">
      <c r="A1057" s="127" t="s">
        <v>4247</v>
      </c>
      <c r="B1057" s="127" t="s">
        <v>4248</v>
      </c>
      <c r="C1057" s="127" t="s">
        <v>4230</v>
      </c>
      <c r="D1057" s="127" t="s">
        <v>72</v>
      </c>
      <c r="E1057" t="s">
        <v>6739</v>
      </c>
      <c r="F1057">
        <v>0</v>
      </c>
      <c r="G1057">
        <v>0</v>
      </c>
      <c r="H1057">
        <v>0</v>
      </c>
    </row>
    <row r="1058" spans="1:8" x14ac:dyDescent="0.2">
      <c r="A1058" s="127" t="s">
        <v>4249</v>
      </c>
      <c r="B1058" s="127" t="s">
        <v>4250</v>
      </c>
      <c r="C1058" s="127" t="s">
        <v>4230</v>
      </c>
      <c r="D1058" s="127" t="s">
        <v>5730</v>
      </c>
    </row>
    <row r="1059" spans="1:8" x14ac:dyDescent="0.2">
      <c r="A1059" s="127" t="s">
        <v>4253</v>
      </c>
      <c r="B1059" s="127" t="s">
        <v>4254</v>
      </c>
      <c r="C1059" s="127" t="s">
        <v>4230</v>
      </c>
      <c r="D1059" s="127" t="s">
        <v>5730</v>
      </c>
    </row>
    <row r="1060" spans="1:8" x14ac:dyDescent="0.2">
      <c r="A1060" s="127" t="s">
        <v>4253</v>
      </c>
      <c r="B1060" s="127" t="s">
        <v>4254</v>
      </c>
      <c r="C1060" s="127" t="s">
        <v>4230</v>
      </c>
      <c r="D1060" s="127" t="s">
        <v>70</v>
      </c>
      <c r="E1060" t="s">
        <v>6740</v>
      </c>
      <c r="F1060">
        <v>90</v>
      </c>
      <c r="G1060">
        <v>2.1666666666666665</v>
      </c>
      <c r="H1060">
        <v>22.615384615384617</v>
      </c>
    </row>
    <row r="1061" spans="1:8" x14ac:dyDescent="0.2">
      <c r="A1061" s="127" t="s">
        <v>4253</v>
      </c>
      <c r="B1061" s="127" t="s">
        <v>4254</v>
      </c>
      <c r="C1061" s="127" t="s">
        <v>4230</v>
      </c>
      <c r="D1061" s="127" t="s">
        <v>72</v>
      </c>
      <c r="E1061" t="s">
        <v>6741</v>
      </c>
      <c r="F1061">
        <v>0</v>
      </c>
      <c r="G1061">
        <v>0</v>
      </c>
      <c r="H1061">
        <v>0</v>
      </c>
    </row>
    <row r="1062" spans="1:8" x14ac:dyDescent="0.2">
      <c r="A1062" s="127" t="s">
        <v>4251</v>
      </c>
      <c r="B1062" s="127" t="s">
        <v>4252</v>
      </c>
      <c r="C1062" s="127" t="s">
        <v>4230</v>
      </c>
      <c r="D1062" s="127" t="s">
        <v>5730</v>
      </c>
      <c r="F1062">
        <v>0</v>
      </c>
      <c r="G1062">
        <v>0</v>
      </c>
      <c r="H1062">
        <v>0</v>
      </c>
    </row>
    <row r="1063" spans="1:8" x14ac:dyDescent="0.2">
      <c r="A1063" s="127" t="s">
        <v>4251</v>
      </c>
      <c r="B1063" s="127" t="s">
        <v>4252</v>
      </c>
      <c r="C1063" s="127" t="s">
        <v>4230</v>
      </c>
      <c r="D1063" s="127" t="s">
        <v>72</v>
      </c>
      <c r="E1063" t="s">
        <v>6742</v>
      </c>
      <c r="F1063">
        <v>0</v>
      </c>
      <c r="G1063">
        <v>0</v>
      </c>
      <c r="H1063">
        <v>0</v>
      </c>
    </row>
    <row r="1064" spans="1:8" x14ac:dyDescent="0.2">
      <c r="A1064" s="127" t="s">
        <v>4255</v>
      </c>
      <c r="B1064" s="127" t="s">
        <v>4256</v>
      </c>
      <c r="C1064" s="127" t="s">
        <v>4230</v>
      </c>
      <c r="D1064" s="127" t="s">
        <v>5730</v>
      </c>
      <c r="F1064">
        <v>0</v>
      </c>
      <c r="G1064">
        <v>0</v>
      </c>
      <c r="H1064">
        <v>0</v>
      </c>
    </row>
    <row r="1065" spans="1:8" x14ac:dyDescent="0.2">
      <c r="A1065" s="127" t="s">
        <v>4255</v>
      </c>
      <c r="B1065" s="127" t="s">
        <v>4256</v>
      </c>
      <c r="C1065" s="127" t="s">
        <v>4230</v>
      </c>
      <c r="D1065" s="127" t="s">
        <v>72</v>
      </c>
      <c r="E1065" t="s">
        <v>6743</v>
      </c>
    </row>
    <row r="1066" spans="1:8" x14ac:dyDescent="0.2">
      <c r="A1066" s="127" t="s">
        <v>4257</v>
      </c>
      <c r="B1066" s="127" t="s">
        <v>4258</v>
      </c>
      <c r="C1066" s="127" t="s">
        <v>4230</v>
      </c>
      <c r="D1066" s="127" t="s">
        <v>5730</v>
      </c>
      <c r="F1066">
        <v>0</v>
      </c>
      <c r="G1066">
        <v>0</v>
      </c>
      <c r="H1066">
        <v>0</v>
      </c>
    </row>
    <row r="1067" spans="1:8" x14ac:dyDescent="0.2">
      <c r="A1067" s="127" t="s">
        <v>4259</v>
      </c>
      <c r="B1067" s="127" t="s">
        <v>4260</v>
      </c>
      <c r="C1067" s="127" t="s">
        <v>4230</v>
      </c>
      <c r="D1067" s="127" t="s">
        <v>5730</v>
      </c>
      <c r="F1067">
        <v>0</v>
      </c>
      <c r="G1067">
        <v>0</v>
      </c>
      <c r="H1067">
        <v>0</v>
      </c>
    </row>
    <row r="1068" spans="1:8" x14ac:dyDescent="0.2">
      <c r="A1068" s="127" t="s">
        <v>4265</v>
      </c>
      <c r="B1068" s="127" t="s">
        <v>4266</v>
      </c>
      <c r="C1068" s="127" t="s">
        <v>4230</v>
      </c>
      <c r="D1068" s="127" t="s">
        <v>5730</v>
      </c>
      <c r="F1068">
        <v>0</v>
      </c>
      <c r="G1068">
        <v>0</v>
      </c>
      <c r="H1068">
        <v>0</v>
      </c>
    </row>
    <row r="1069" spans="1:8" x14ac:dyDescent="0.2">
      <c r="A1069" s="127" t="s">
        <v>4265</v>
      </c>
      <c r="B1069" s="127" t="s">
        <v>4266</v>
      </c>
      <c r="C1069" s="127" t="s">
        <v>4230</v>
      </c>
      <c r="D1069" s="127" t="s">
        <v>72</v>
      </c>
      <c r="E1069" t="s">
        <v>6744</v>
      </c>
      <c r="F1069">
        <v>0</v>
      </c>
      <c r="G1069">
        <v>0</v>
      </c>
      <c r="H1069">
        <v>0</v>
      </c>
    </row>
    <row r="1070" spans="1:8" x14ac:dyDescent="0.2">
      <c r="A1070" s="127" t="s">
        <v>4261</v>
      </c>
      <c r="B1070" s="127" t="s">
        <v>4262</v>
      </c>
      <c r="C1070" s="127" t="s">
        <v>4230</v>
      </c>
      <c r="D1070" s="127" t="s">
        <v>5730</v>
      </c>
      <c r="F1070">
        <v>0</v>
      </c>
      <c r="G1070">
        <v>0</v>
      </c>
      <c r="H1070">
        <v>0</v>
      </c>
    </row>
    <row r="1071" spans="1:8" x14ac:dyDescent="0.2">
      <c r="A1071" s="127" t="s">
        <v>4261</v>
      </c>
      <c r="B1071" s="127" t="s">
        <v>4262</v>
      </c>
      <c r="C1071" s="127" t="s">
        <v>4230</v>
      </c>
      <c r="D1071" s="127" t="s">
        <v>72</v>
      </c>
      <c r="E1071" t="s">
        <v>6745</v>
      </c>
    </row>
    <row r="1072" spans="1:8" x14ac:dyDescent="0.2">
      <c r="A1072" s="127" t="s">
        <v>4263</v>
      </c>
      <c r="B1072" s="127" t="s">
        <v>4264</v>
      </c>
      <c r="C1072" s="127" t="s">
        <v>4230</v>
      </c>
      <c r="D1072" s="127" t="s">
        <v>5730</v>
      </c>
      <c r="F1072">
        <v>0</v>
      </c>
      <c r="G1072">
        <v>0</v>
      </c>
      <c r="H1072">
        <v>0</v>
      </c>
    </row>
    <row r="1073" spans="1:8" x14ac:dyDescent="0.2">
      <c r="A1073" s="127" t="s">
        <v>4237</v>
      </c>
      <c r="B1073" s="127" t="s">
        <v>4238</v>
      </c>
      <c r="C1073" s="127" t="s">
        <v>4230</v>
      </c>
      <c r="D1073" s="127" t="s">
        <v>5730</v>
      </c>
      <c r="F1073">
        <v>0</v>
      </c>
      <c r="G1073">
        <v>0.16666666666666666</v>
      </c>
      <c r="H1073">
        <v>42</v>
      </c>
    </row>
    <row r="1074" spans="1:8" x14ac:dyDescent="0.2">
      <c r="A1074" s="127" t="s">
        <v>4237</v>
      </c>
      <c r="B1074" s="127" t="s">
        <v>4238</v>
      </c>
      <c r="C1074" s="127" t="s">
        <v>4230</v>
      </c>
      <c r="D1074" s="127" t="s">
        <v>70</v>
      </c>
      <c r="E1074" t="s">
        <v>6746</v>
      </c>
      <c r="F1074">
        <v>1137</v>
      </c>
      <c r="G1074">
        <v>3.1666666666666665</v>
      </c>
      <c r="H1074">
        <v>18.947368421052634</v>
      </c>
    </row>
    <row r="1075" spans="1:8" x14ac:dyDescent="0.2">
      <c r="A1075" s="127" t="s">
        <v>4237</v>
      </c>
      <c r="B1075" s="127" t="s">
        <v>4238</v>
      </c>
      <c r="C1075" s="127" t="s">
        <v>4230</v>
      </c>
      <c r="D1075" s="127" t="s">
        <v>72</v>
      </c>
      <c r="E1075" t="s">
        <v>6747</v>
      </c>
      <c r="F1075">
        <v>4927</v>
      </c>
      <c r="G1075">
        <v>7</v>
      </c>
      <c r="H1075">
        <v>11.285714285714286</v>
      </c>
    </row>
    <row r="1076" spans="1:8" x14ac:dyDescent="0.2">
      <c r="A1076" s="127" t="s">
        <v>4237</v>
      </c>
      <c r="B1076" s="127" t="s">
        <v>4238</v>
      </c>
      <c r="C1076" s="127" t="s">
        <v>4230</v>
      </c>
      <c r="D1076" s="127" t="s">
        <v>73</v>
      </c>
      <c r="F1076">
        <v>1137</v>
      </c>
      <c r="G1076">
        <v>3</v>
      </c>
      <c r="H1076">
        <v>9.3333333333333339</v>
      </c>
    </row>
    <row r="1077" spans="1:8" x14ac:dyDescent="0.2">
      <c r="A1077" s="127" t="s">
        <v>4239</v>
      </c>
      <c r="B1077" s="127" t="s">
        <v>4240</v>
      </c>
      <c r="C1077" s="127" t="s">
        <v>4230</v>
      </c>
      <c r="D1077" s="127" t="s">
        <v>5730</v>
      </c>
      <c r="F1077">
        <v>0</v>
      </c>
      <c r="G1077">
        <v>0.66666666666666663</v>
      </c>
      <c r="H1077">
        <v>9</v>
      </c>
    </row>
    <row r="1078" spans="1:8" x14ac:dyDescent="0.2">
      <c r="A1078" s="127" t="s">
        <v>4239</v>
      </c>
      <c r="B1078" s="127" t="s">
        <v>4240</v>
      </c>
      <c r="C1078" s="127" t="s">
        <v>4230</v>
      </c>
      <c r="D1078" s="127" t="s">
        <v>70</v>
      </c>
      <c r="E1078" t="s">
        <v>6748</v>
      </c>
      <c r="F1078">
        <v>758</v>
      </c>
      <c r="G1078">
        <v>2.5</v>
      </c>
      <c r="H1078">
        <v>22.8</v>
      </c>
    </row>
    <row r="1079" spans="1:8" x14ac:dyDescent="0.2">
      <c r="A1079" s="127" t="s">
        <v>4239</v>
      </c>
      <c r="B1079" s="127" t="s">
        <v>4240</v>
      </c>
      <c r="C1079" s="127" t="s">
        <v>4230</v>
      </c>
      <c r="D1079" s="127" t="s">
        <v>72</v>
      </c>
      <c r="E1079" t="s">
        <v>6749</v>
      </c>
      <c r="F1079">
        <v>3411</v>
      </c>
      <c r="G1079">
        <v>5.166666666666667</v>
      </c>
      <c r="H1079">
        <v>19.741935483870968</v>
      </c>
    </row>
    <row r="1080" spans="1:8" x14ac:dyDescent="0.2">
      <c r="A1080" s="127" t="s">
        <v>4239</v>
      </c>
      <c r="B1080" s="127" t="s">
        <v>4240</v>
      </c>
      <c r="C1080" s="127" t="s">
        <v>4230</v>
      </c>
      <c r="D1080" s="127" t="s">
        <v>73</v>
      </c>
      <c r="F1080">
        <v>758</v>
      </c>
      <c r="G1080">
        <v>1.5</v>
      </c>
      <c r="H1080">
        <v>10.666666666666666</v>
      </c>
    </row>
    <row r="1081" spans="1:8" x14ac:dyDescent="0.2">
      <c r="A1081" s="127" t="s">
        <v>3962</v>
      </c>
      <c r="B1081" s="127" t="s">
        <v>3963</v>
      </c>
      <c r="C1081" s="127" t="s">
        <v>3929</v>
      </c>
      <c r="D1081" s="127" t="s">
        <v>73</v>
      </c>
      <c r="F1081">
        <v>195</v>
      </c>
      <c r="G1081">
        <v>3.5</v>
      </c>
      <c r="H1081">
        <v>8.8571428571428577</v>
      </c>
    </row>
    <row r="1082" spans="1:8" x14ac:dyDescent="0.2">
      <c r="A1082" s="127" t="s">
        <v>4006</v>
      </c>
      <c r="B1082" s="127" t="s">
        <v>4007</v>
      </c>
      <c r="C1082" s="127" t="s">
        <v>3929</v>
      </c>
      <c r="D1082" s="127" t="s">
        <v>8</v>
      </c>
      <c r="H1082">
        <v>0</v>
      </c>
    </row>
    <row r="1083" spans="1:8" x14ac:dyDescent="0.2">
      <c r="A1083" s="127" t="s">
        <v>4006</v>
      </c>
      <c r="B1083" s="127" t="s">
        <v>4007</v>
      </c>
      <c r="C1083" s="127" t="s">
        <v>3929</v>
      </c>
      <c r="D1083" s="127" t="s">
        <v>73</v>
      </c>
      <c r="F1083">
        <v>325</v>
      </c>
      <c r="G1083">
        <v>6.166666666666667</v>
      </c>
      <c r="H1083">
        <v>13.783783783783782</v>
      </c>
    </row>
    <row r="1084" spans="1:8" x14ac:dyDescent="0.2">
      <c r="A1084" s="127" t="s">
        <v>4004</v>
      </c>
      <c r="B1084" s="127" t="s">
        <v>4005</v>
      </c>
      <c r="C1084" s="127" t="s">
        <v>3929</v>
      </c>
      <c r="D1084" s="127" t="s">
        <v>73</v>
      </c>
      <c r="F1084">
        <v>130</v>
      </c>
      <c r="G1084">
        <v>1.5</v>
      </c>
      <c r="H1084">
        <v>20</v>
      </c>
    </row>
    <row r="1085" spans="1:8" x14ac:dyDescent="0.2">
      <c r="A1085" s="127" t="s">
        <v>5138</v>
      </c>
      <c r="B1085" s="127" t="s">
        <v>5139</v>
      </c>
      <c r="C1085" s="127" t="s">
        <v>3929</v>
      </c>
      <c r="D1085" s="127" t="s">
        <v>73</v>
      </c>
    </row>
    <row r="1086" spans="1:8" x14ac:dyDescent="0.2">
      <c r="A1086" s="127" t="s">
        <v>5073</v>
      </c>
      <c r="B1086" s="127" t="s">
        <v>5074</v>
      </c>
      <c r="C1086" s="127" t="s">
        <v>3929</v>
      </c>
      <c r="D1086" s="127" t="s">
        <v>73</v>
      </c>
    </row>
    <row r="1087" spans="1:8" x14ac:dyDescent="0.2">
      <c r="A1087" s="127" t="s">
        <v>3992</v>
      </c>
      <c r="B1087" s="127" t="s">
        <v>3993</v>
      </c>
      <c r="C1087" s="127" t="s">
        <v>3929</v>
      </c>
      <c r="D1087" s="127" t="s">
        <v>73</v>
      </c>
    </row>
    <row r="1088" spans="1:8" x14ac:dyDescent="0.2">
      <c r="A1088" s="127" t="s">
        <v>3964</v>
      </c>
      <c r="B1088" s="127" t="s">
        <v>3965</v>
      </c>
      <c r="C1088" s="127" t="s">
        <v>3929</v>
      </c>
      <c r="D1088" s="127" t="s">
        <v>8</v>
      </c>
    </row>
    <row r="1089" spans="1:8" x14ac:dyDescent="0.2">
      <c r="A1089" s="127" t="s">
        <v>3964</v>
      </c>
      <c r="B1089" s="127" t="s">
        <v>3965</v>
      </c>
      <c r="C1089" s="127" t="s">
        <v>3929</v>
      </c>
      <c r="D1089" s="127" t="s">
        <v>72</v>
      </c>
      <c r="E1089" t="s">
        <v>6750</v>
      </c>
      <c r="F1089">
        <v>0</v>
      </c>
      <c r="G1089">
        <v>0</v>
      </c>
      <c r="H1089">
        <v>0</v>
      </c>
    </row>
    <row r="1090" spans="1:8" x14ac:dyDescent="0.2">
      <c r="A1090" s="127" t="s">
        <v>3964</v>
      </c>
      <c r="B1090" s="127" t="s">
        <v>3965</v>
      </c>
      <c r="C1090" s="127" t="s">
        <v>3929</v>
      </c>
      <c r="D1090" s="127" t="s">
        <v>73</v>
      </c>
    </row>
    <row r="1091" spans="1:8" x14ac:dyDescent="0.2">
      <c r="A1091" s="127" t="s">
        <v>4161</v>
      </c>
      <c r="B1091" s="127" t="s">
        <v>4162</v>
      </c>
      <c r="C1091" s="127" t="s">
        <v>3929</v>
      </c>
      <c r="D1091" s="127" t="s">
        <v>73</v>
      </c>
    </row>
    <row r="1092" spans="1:8" x14ac:dyDescent="0.2">
      <c r="A1092" s="127" t="s">
        <v>5309</v>
      </c>
      <c r="B1092" s="127" t="s">
        <v>5310</v>
      </c>
      <c r="C1092" s="127" t="s">
        <v>3929</v>
      </c>
      <c r="D1092" s="127" t="s">
        <v>8</v>
      </c>
    </row>
    <row r="1093" spans="1:8" x14ac:dyDescent="0.2">
      <c r="A1093" s="127" t="s">
        <v>3968</v>
      </c>
      <c r="B1093" s="127" t="s">
        <v>3969</v>
      </c>
      <c r="C1093" s="127" t="s">
        <v>3929</v>
      </c>
      <c r="D1093" s="127" t="s">
        <v>70</v>
      </c>
      <c r="E1093" t="s">
        <v>6751</v>
      </c>
      <c r="F1093">
        <v>0</v>
      </c>
      <c r="G1093">
        <v>0</v>
      </c>
      <c r="H1093">
        <v>0</v>
      </c>
    </row>
    <row r="1094" spans="1:8" x14ac:dyDescent="0.2">
      <c r="A1094" s="127" t="s">
        <v>3968</v>
      </c>
      <c r="B1094" s="127" t="s">
        <v>3969</v>
      </c>
      <c r="C1094" s="127" t="s">
        <v>3929</v>
      </c>
      <c r="D1094" s="127" t="s">
        <v>72</v>
      </c>
      <c r="E1094" t="s">
        <v>6752</v>
      </c>
    </row>
    <row r="1095" spans="1:8" x14ac:dyDescent="0.2">
      <c r="A1095" s="127" t="s">
        <v>3968</v>
      </c>
      <c r="B1095" s="127" t="s">
        <v>3969</v>
      </c>
      <c r="C1095" s="127" t="s">
        <v>3929</v>
      </c>
      <c r="D1095" s="127" t="s">
        <v>73</v>
      </c>
      <c r="F1095">
        <v>0</v>
      </c>
      <c r="G1095">
        <v>0.16666666666666666</v>
      </c>
      <c r="H1095">
        <v>228</v>
      </c>
    </row>
    <row r="1096" spans="1:8" x14ac:dyDescent="0.2">
      <c r="A1096" s="127" t="s">
        <v>3966</v>
      </c>
      <c r="B1096" s="127" t="s">
        <v>3967</v>
      </c>
      <c r="C1096" s="127" t="s">
        <v>3929</v>
      </c>
      <c r="D1096" s="127" t="s">
        <v>73</v>
      </c>
      <c r="F1096">
        <v>150</v>
      </c>
      <c r="G1096">
        <v>0.66666666666666663</v>
      </c>
      <c r="H1096">
        <v>82.5</v>
      </c>
    </row>
    <row r="1097" spans="1:8" x14ac:dyDescent="0.2">
      <c r="A1097" s="127" t="s">
        <v>3982</v>
      </c>
      <c r="B1097" s="127" t="s">
        <v>3983</v>
      </c>
      <c r="C1097" s="127" t="s">
        <v>3929</v>
      </c>
      <c r="D1097" s="127" t="s">
        <v>70</v>
      </c>
      <c r="E1097" t="s">
        <v>6753</v>
      </c>
    </row>
    <row r="1098" spans="1:8" x14ac:dyDescent="0.2">
      <c r="A1098" s="127" t="s">
        <v>3982</v>
      </c>
      <c r="B1098" s="127" t="s">
        <v>3983</v>
      </c>
      <c r="C1098" s="127" t="s">
        <v>3929</v>
      </c>
      <c r="D1098" s="127" t="s">
        <v>73</v>
      </c>
    </row>
    <row r="1099" spans="1:8" x14ac:dyDescent="0.2">
      <c r="A1099" s="127" t="s">
        <v>5160</v>
      </c>
      <c r="B1099" s="127" t="s">
        <v>5161</v>
      </c>
      <c r="C1099" s="127" t="s">
        <v>3929</v>
      </c>
      <c r="D1099" s="127" t="s">
        <v>73</v>
      </c>
    </row>
    <row r="1100" spans="1:8" x14ac:dyDescent="0.2">
      <c r="A1100" s="127" t="s">
        <v>5294</v>
      </c>
      <c r="B1100" s="127" t="s">
        <v>5295</v>
      </c>
      <c r="C1100" s="127" t="s">
        <v>3929</v>
      </c>
      <c r="D1100" s="127" t="s">
        <v>72</v>
      </c>
      <c r="E1100" t="s">
        <v>6754</v>
      </c>
      <c r="F1100">
        <v>0</v>
      </c>
      <c r="G1100">
        <v>0</v>
      </c>
      <c r="H1100">
        <v>0</v>
      </c>
    </row>
    <row r="1101" spans="1:8" x14ac:dyDescent="0.2">
      <c r="A1101" s="127" t="s">
        <v>5294</v>
      </c>
      <c r="B1101" s="127" t="s">
        <v>5295</v>
      </c>
      <c r="C1101" s="127" t="s">
        <v>3929</v>
      </c>
      <c r="D1101" s="127" t="s">
        <v>73</v>
      </c>
    </row>
    <row r="1102" spans="1:8" x14ac:dyDescent="0.2">
      <c r="A1102" s="127" t="s">
        <v>3988</v>
      </c>
      <c r="B1102" s="127" t="s">
        <v>3989</v>
      </c>
      <c r="C1102" s="127" t="s">
        <v>3929</v>
      </c>
      <c r="D1102" s="127" t="s">
        <v>8</v>
      </c>
      <c r="G1102">
        <v>0.33333333333333331</v>
      </c>
      <c r="H1102">
        <v>30</v>
      </c>
    </row>
    <row r="1103" spans="1:8" x14ac:dyDescent="0.2">
      <c r="A1103" s="127" t="s">
        <v>3988</v>
      </c>
      <c r="B1103" s="127" t="s">
        <v>3989</v>
      </c>
      <c r="C1103" s="127" t="s">
        <v>3929</v>
      </c>
      <c r="D1103" s="127" t="s">
        <v>72</v>
      </c>
      <c r="E1103" t="s">
        <v>6755</v>
      </c>
    </row>
    <row r="1104" spans="1:8" x14ac:dyDescent="0.2">
      <c r="A1104" s="127" t="s">
        <v>3988</v>
      </c>
      <c r="B1104" s="127" t="s">
        <v>3989</v>
      </c>
      <c r="C1104" s="127" t="s">
        <v>3929</v>
      </c>
      <c r="D1104" s="127" t="s">
        <v>73</v>
      </c>
      <c r="F1104">
        <v>480</v>
      </c>
      <c r="G1104">
        <v>6.833333333333333</v>
      </c>
      <c r="H1104">
        <v>8.4878048780487809</v>
      </c>
    </row>
    <row r="1105" spans="1:8" x14ac:dyDescent="0.2">
      <c r="A1105" s="127" t="s">
        <v>4051</v>
      </c>
      <c r="B1105" s="127" t="s">
        <v>4052</v>
      </c>
      <c r="C1105" s="127" t="s">
        <v>3929</v>
      </c>
      <c r="D1105" s="127" t="s">
        <v>8</v>
      </c>
    </row>
    <row r="1106" spans="1:8" x14ac:dyDescent="0.2">
      <c r="A1106" s="127" t="s">
        <v>4051</v>
      </c>
      <c r="B1106" s="127" t="s">
        <v>4052</v>
      </c>
      <c r="C1106" s="127" t="s">
        <v>3929</v>
      </c>
      <c r="D1106" s="127" t="s">
        <v>70</v>
      </c>
      <c r="E1106" t="s">
        <v>6756</v>
      </c>
    </row>
    <row r="1107" spans="1:8" x14ac:dyDescent="0.2">
      <c r="A1107" s="127" t="s">
        <v>4051</v>
      </c>
      <c r="B1107" s="127" t="s">
        <v>4052</v>
      </c>
      <c r="C1107" s="127" t="s">
        <v>3929</v>
      </c>
      <c r="D1107" s="127" t="s">
        <v>73</v>
      </c>
      <c r="F1107">
        <v>1040</v>
      </c>
      <c r="G1107">
        <v>3.5</v>
      </c>
      <c r="H1107">
        <v>4.8571428571428568</v>
      </c>
    </row>
    <row r="1108" spans="1:8" x14ac:dyDescent="0.2">
      <c r="A1108" s="127" t="s">
        <v>4053</v>
      </c>
      <c r="B1108" s="127" t="s">
        <v>4054</v>
      </c>
      <c r="C1108" s="127" t="s">
        <v>3929</v>
      </c>
      <c r="D1108" s="127" t="s">
        <v>70</v>
      </c>
      <c r="E1108" t="s">
        <v>6757</v>
      </c>
    </row>
    <row r="1109" spans="1:8" x14ac:dyDescent="0.2">
      <c r="A1109" s="127" t="s">
        <v>4053</v>
      </c>
      <c r="B1109" s="127" t="s">
        <v>4054</v>
      </c>
      <c r="C1109" s="127" t="s">
        <v>3929</v>
      </c>
      <c r="D1109" s="127" t="s">
        <v>73</v>
      </c>
      <c r="F1109">
        <v>150</v>
      </c>
      <c r="G1109">
        <v>1.1666666666666667</v>
      </c>
      <c r="H1109">
        <v>31.714285714285712</v>
      </c>
    </row>
    <row r="1110" spans="1:8" x14ac:dyDescent="0.2">
      <c r="A1110" s="127" t="s">
        <v>4055</v>
      </c>
      <c r="B1110" s="127" t="s">
        <v>4056</v>
      </c>
      <c r="C1110" s="127" t="s">
        <v>3929</v>
      </c>
      <c r="D1110" s="127" t="s">
        <v>8</v>
      </c>
    </row>
    <row r="1111" spans="1:8" x14ac:dyDescent="0.2">
      <c r="A1111" s="127" t="s">
        <v>4055</v>
      </c>
      <c r="B1111" s="127" t="s">
        <v>4056</v>
      </c>
      <c r="C1111" s="127" t="s">
        <v>3929</v>
      </c>
      <c r="D1111" s="127" t="s">
        <v>70</v>
      </c>
      <c r="E1111" t="s">
        <v>6758</v>
      </c>
    </row>
    <row r="1112" spans="1:8" x14ac:dyDescent="0.2">
      <c r="A1112" s="127" t="s">
        <v>4055</v>
      </c>
      <c r="B1112" s="127" t="s">
        <v>4056</v>
      </c>
      <c r="C1112" s="127" t="s">
        <v>3929</v>
      </c>
      <c r="D1112" s="127" t="s">
        <v>73</v>
      </c>
      <c r="F1112">
        <v>1440</v>
      </c>
      <c r="G1112">
        <v>9.1666666666666661</v>
      </c>
      <c r="H1112">
        <v>3.4909090909090912</v>
      </c>
    </row>
    <row r="1113" spans="1:8" x14ac:dyDescent="0.2">
      <c r="A1113" s="127" t="s">
        <v>3946</v>
      </c>
      <c r="B1113" s="127" t="s">
        <v>3947</v>
      </c>
      <c r="C1113" s="127" t="s">
        <v>3929</v>
      </c>
      <c r="D1113" s="127" t="s">
        <v>70</v>
      </c>
      <c r="E1113" t="s">
        <v>6759</v>
      </c>
      <c r="F1113">
        <v>0</v>
      </c>
      <c r="G1113">
        <v>0.66666666666666663</v>
      </c>
      <c r="H1113">
        <v>31.5</v>
      </c>
    </row>
    <row r="1114" spans="1:8" x14ac:dyDescent="0.2">
      <c r="A1114" s="127" t="s">
        <v>3946</v>
      </c>
      <c r="B1114" s="127" t="s">
        <v>3947</v>
      </c>
      <c r="C1114" s="127" t="s">
        <v>3929</v>
      </c>
      <c r="D1114" s="127" t="s">
        <v>73</v>
      </c>
      <c r="F1114">
        <v>2700</v>
      </c>
      <c r="G1114">
        <v>3.3333333333333335</v>
      </c>
      <c r="H1114">
        <v>4.8</v>
      </c>
    </row>
    <row r="1115" spans="1:8" x14ac:dyDescent="0.2">
      <c r="A1115" s="127" t="s">
        <v>4111</v>
      </c>
      <c r="B1115" s="127" t="s">
        <v>4112</v>
      </c>
      <c r="C1115" s="127" t="s">
        <v>3929</v>
      </c>
      <c r="D1115" s="127" t="s">
        <v>70</v>
      </c>
      <c r="E1115" t="s">
        <v>6760</v>
      </c>
    </row>
    <row r="1116" spans="1:8" x14ac:dyDescent="0.2">
      <c r="A1116" s="127" t="s">
        <v>4111</v>
      </c>
      <c r="B1116" s="127" t="s">
        <v>4112</v>
      </c>
      <c r="C1116" s="127" t="s">
        <v>3929</v>
      </c>
      <c r="D1116" s="127" t="s">
        <v>73</v>
      </c>
      <c r="F1116">
        <v>270</v>
      </c>
      <c r="G1116">
        <v>2</v>
      </c>
      <c r="H1116">
        <v>11.5</v>
      </c>
    </row>
    <row r="1117" spans="1:8" x14ac:dyDescent="0.2">
      <c r="A1117" s="127" t="s">
        <v>5068</v>
      </c>
      <c r="B1117" s="127" t="s">
        <v>5069</v>
      </c>
      <c r="C1117" s="127" t="s">
        <v>3929</v>
      </c>
      <c r="D1117" s="127" t="s">
        <v>73</v>
      </c>
    </row>
    <row r="1118" spans="1:8" x14ac:dyDescent="0.2">
      <c r="A1118" s="127" t="s">
        <v>4107</v>
      </c>
      <c r="B1118" s="127" t="s">
        <v>4108</v>
      </c>
      <c r="C1118" s="127" t="s">
        <v>3929</v>
      </c>
      <c r="D1118" s="127" t="s">
        <v>8</v>
      </c>
      <c r="F1118">
        <v>120</v>
      </c>
      <c r="G1118">
        <v>0.33333333333333331</v>
      </c>
      <c r="H1118">
        <v>18</v>
      </c>
    </row>
    <row r="1119" spans="1:8" x14ac:dyDescent="0.2">
      <c r="A1119" s="127" t="s">
        <v>4107</v>
      </c>
      <c r="B1119" s="127" t="s">
        <v>4108</v>
      </c>
      <c r="C1119" s="127" t="s">
        <v>3929</v>
      </c>
      <c r="D1119" s="127" t="s">
        <v>70</v>
      </c>
      <c r="E1119" t="s">
        <v>6761</v>
      </c>
      <c r="F1119">
        <v>120</v>
      </c>
      <c r="G1119">
        <v>0.33333333333333331</v>
      </c>
      <c r="H1119">
        <v>0</v>
      </c>
    </row>
    <row r="1120" spans="1:8" x14ac:dyDescent="0.2">
      <c r="A1120" s="127" t="s">
        <v>4107</v>
      </c>
      <c r="B1120" s="127" t="s">
        <v>4108</v>
      </c>
      <c r="C1120" s="127" t="s">
        <v>3929</v>
      </c>
      <c r="D1120" s="127" t="s">
        <v>72</v>
      </c>
      <c r="E1120" t="s">
        <v>6762</v>
      </c>
    </row>
    <row r="1121" spans="1:8" x14ac:dyDescent="0.2">
      <c r="A1121" s="127" t="s">
        <v>4107</v>
      </c>
      <c r="B1121" s="127" t="s">
        <v>4108</v>
      </c>
      <c r="C1121" s="127" t="s">
        <v>3929</v>
      </c>
      <c r="D1121" s="127" t="s">
        <v>73</v>
      </c>
    </row>
    <row r="1122" spans="1:8" x14ac:dyDescent="0.2">
      <c r="A1122" s="127" t="s">
        <v>5542</v>
      </c>
      <c r="B1122" s="127" t="s">
        <v>5543</v>
      </c>
      <c r="C1122" s="127" t="s">
        <v>3929</v>
      </c>
      <c r="D1122" s="127" t="s">
        <v>8</v>
      </c>
      <c r="H1122">
        <v>0</v>
      </c>
    </row>
    <row r="1123" spans="1:8" x14ac:dyDescent="0.2">
      <c r="A1123" s="127" t="s">
        <v>5542</v>
      </c>
      <c r="B1123" s="127" t="s">
        <v>5543</v>
      </c>
      <c r="C1123" s="127" t="s">
        <v>3929</v>
      </c>
      <c r="D1123" s="127" t="s">
        <v>70</v>
      </c>
      <c r="E1123" t="s">
        <v>6763</v>
      </c>
    </row>
    <row r="1124" spans="1:8" x14ac:dyDescent="0.2">
      <c r="A1124" s="127" t="s">
        <v>5542</v>
      </c>
      <c r="B1124" s="127" t="s">
        <v>5543</v>
      </c>
      <c r="C1124" s="127" t="s">
        <v>3929</v>
      </c>
      <c r="D1124" s="127" t="s">
        <v>73</v>
      </c>
    </row>
    <row r="1125" spans="1:8" x14ac:dyDescent="0.2">
      <c r="A1125" s="127" t="s">
        <v>5175</v>
      </c>
      <c r="B1125" s="127" t="s">
        <v>5176</v>
      </c>
      <c r="C1125" s="127" t="s">
        <v>3929</v>
      </c>
      <c r="D1125" s="127" t="s">
        <v>73</v>
      </c>
    </row>
    <row r="1126" spans="1:8" x14ac:dyDescent="0.2">
      <c r="A1126" s="127" t="s">
        <v>5409</v>
      </c>
      <c r="B1126" s="127" t="s">
        <v>5410</v>
      </c>
      <c r="C1126" s="127" t="s">
        <v>3929</v>
      </c>
      <c r="D1126" s="127" t="s">
        <v>73</v>
      </c>
    </row>
    <row r="1127" spans="1:8" x14ac:dyDescent="0.2">
      <c r="A1127" s="127" t="s">
        <v>5193</v>
      </c>
      <c r="B1127" s="127" t="s">
        <v>5194</v>
      </c>
      <c r="C1127" s="127" t="s">
        <v>3929</v>
      </c>
      <c r="D1127" s="127" t="s">
        <v>73</v>
      </c>
    </row>
    <row r="1128" spans="1:8" x14ac:dyDescent="0.2">
      <c r="A1128" s="127" t="s">
        <v>4093</v>
      </c>
      <c r="B1128" s="127" t="s">
        <v>4094</v>
      </c>
      <c r="C1128" s="127" t="s">
        <v>3929</v>
      </c>
      <c r="D1128" s="127" t="s">
        <v>73</v>
      </c>
      <c r="F1128">
        <v>130</v>
      </c>
      <c r="G1128">
        <v>0.66666666666666663</v>
      </c>
      <c r="H1128">
        <v>34.5</v>
      </c>
    </row>
    <row r="1129" spans="1:8" x14ac:dyDescent="0.2">
      <c r="A1129" s="127" t="s">
        <v>5090</v>
      </c>
      <c r="B1129" s="127" t="s">
        <v>5091</v>
      </c>
      <c r="C1129" s="127" t="s">
        <v>3929</v>
      </c>
      <c r="D1129" s="127" t="s">
        <v>73</v>
      </c>
    </row>
    <row r="1130" spans="1:8" x14ac:dyDescent="0.2">
      <c r="A1130" s="127" t="s">
        <v>5112</v>
      </c>
      <c r="B1130" s="127" t="s">
        <v>5113</v>
      </c>
      <c r="C1130" s="127" t="s">
        <v>3929</v>
      </c>
      <c r="D1130" s="127" t="s">
        <v>8</v>
      </c>
    </row>
    <row r="1131" spans="1:8" x14ac:dyDescent="0.2">
      <c r="A1131" s="127" t="s">
        <v>5112</v>
      </c>
      <c r="B1131" s="127" t="s">
        <v>5113</v>
      </c>
      <c r="C1131" s="127" t="s">
        <v>3929</v>
      </c>
      <c r="D1131" s="127" t="s">
        <v>73</v>
      </c>
    </row>
    <row r="1132" spans="1:8" x14ac:dyDescent="0.2">
      <c r="A1132" s="127" t="s">
        <v>5098</v>
      </c>
      <c r="B1132" s="127" t="s">
        <v>5099</v>
      </c>
      <c r="C1132" s="127" t="s">
        <v>3929</v>
      </c>
      <c r="D1132" s="127" t="s">
        <v>8</v>
      </c>
      <c r="H1132">
        <v>0</v>
      </c>
    </row>
    <row r="1133" spans="1:8" x14ac:dyDescent="0.2">
      <c r="A1133" s="127" t="s">
        <v>5098</v>
      </c>
      <c r="B1133" s="127" t="s">
        <v>5099</v>
      </c>
      <c r="C1133" s="127" t="s">
        <v>3929</v>
      </c>
      <c r="D1133" s="127" t="s">
        <v>73</v>
      </c>
    </row>
    <row r="1134" spans="1:8" x14ac:dyDescent="0.2">
      <c r="A1134" s="127" t="s">
        <v>4065</v>
      </c>
      <c r="B1134" s="127" t="s">
        <v>4066</v>
      </c>
      <c r="C1134" s="127" t="s">
        <v>3929</v>
      </c>
      <c r="D1134" s="127" t="s">
        <v>73</v>
      </c>
    </row>
    <row r="1135" spans="1:8" x14ac:dyDescent="0.2">
      <c r="A1135" s="127" t="s">
        <v>4008</v>
      </c>
      <c r="B1135" s="127" t="s">
        <v>4009</v>
      </c>
      <c r="C1135" s="127" t="s">
        <v>3929</v>
      </c>
      <c r="D1135" s="127" t="s">
        <v>73</v>
      </c>
      <c r="F1135">
        <v>500</v>
      </c>
      <c r="G1135">
        <v>2.6666666666666665</v>
      </c>
      <c r="H1135">
        <v>31.875</v>
      </c>
    </row>
    <row r="1136" spans="1:8" x14ac:dyDescent="0.2">
      <c r="A1136" s="127" t="s">
        <v>3952</v>
      </c>
      <c r="B1136" s="127" t="s">
        <v>3953</v>
      </c>
      <c r="C1136" s="127" t="s">
        <v>3929</v>
      </c>
      <c r="D1136" s="127" t="s">
        <v>70</v>
      </c>
      <c r="E1136" t="s">
        <v>7579</v>
      </c>
    </row>
    <row r="1137" spans="1:8" x14ac:dyDescent="0.2">
      <c r="A1137" s="127" t="s">
        <v>3952</v>
      </c>
      <c r="B1137" s="127" t="s">
        <v>3953</v>
      </c>
      <c r="C1137" s="127" t="s">
        <v>3929</v>
      </c>
      <c r="D1137" s="127" t="s">
        <v>73</v>
      </c>
      <c r="F1137">
        <v>400</v>
      </c>
      <c r="G1137">
        <v>2.1666666666666665</v>
      </c>
      <c r="H1137">
        <v>6.9230769230769234</v>
      </c>
    </row>
    <row r="1138" spans="1:8" x14ac:dyDescent="0.2">
      <c r="A1138" s="127" t="s">
        <v>4014</v>
      </c>
      <c r="B1138" s="127" t="s">
        <v>4015</v>
      </c>
      <c r="C1138" s="127" t="s">
        <v>3929</v>
      </c>
      <c r="D1138" s="127" t="s">
        <v>73</v>
      </c>
      <c r="F1138">
        <v>0</v>
      </c>
      <c r="G1138">
        <v>0.5</v>
      </c>
      <c r="H1138">
        <v>72</v>
      </c>
    </row>
    <row r="1139" spans="1:8" x14ac:dyDescent="0.2">
      <c r="A1139" s="127" t="s">
        <v>4016</v>
      </c>
      <c r="B1139" s="127" t="s">
        <v>4017</v>
      </c>
      <c r="C1139" s="127" t="s">
        <v>3929</v>
      </c>
      <c r="D1139" s="127" t="s">
        <v>73</v>
      </c>
      <c r="F1139">
        <v>0</v>
      </c>
      <c r="G1139">
        <v>0.5</v>
      </c>
      <c r="H1139">
        <v>58</v>
      </c>
    </row>
    <row r="1140" spans="1:8" x14ac:dyDescent="0.2">
      <c r="A1140" s="127" t="s">
        <v>4028</v>
      </c>
      <c r="B1140" s="127" t="s">
        <v>4029</v>
      </c>
      <c r="C1140" s="127" t="s">
        <v>3929</v>
      </c>
      <c r="D1140" s="127" t="s">
        <v>73</v>
      </c>
      <c r="F1140">
        <v>0</v>
      </c>
      <c r="G1140">
        <v>0</v>
      </c>
      <c r="H1140">
        <v>0</v>
      </c>
    </row>
    <row r="1141" spans="1:8" x14ac:dyDescent="0.2">
      <c r="A1141" s="127" t="s">
        <v>4030</v>
      </c>
      <c r="B1141" s="127" t="s">
        <v>4031</v>
      </c>
      <c r="C1141" s="127" t="s">
        <v>3929</v>
      </c>
      <c r="D1141" s="127" t="s">
        <v>73</v>
      </c>
      <c r="F1141">
        <v>0</v>
      </c>
      <c r="G1141">
        <v>0</v>
      </c>
      <c r="H1141">
        <v>0</v>
      </c>
    </row>
    <row r="1142" spans="1:8" x14ac:dyDescent="0.2">
      <c r="A1142" s="127" t="s">
        <v>4048</v>
      </c>
      <c r="B1142" s="127" t="s">
        <v>4049</v>
      </c>
      <c r="C1142" s="127" t="s">
        <v>3929</v>
      </c>
      <c r="D1142" s="127" t="s">
        <v>73</v>
      </c>
      <c r="F1142">
        <v>540</v>
      </c>
      <c r="G1142">
        <v>2.1666666666666665</v>
      </c>
      <c r="H1142">
        <v>24.923076923076923</v>
      </c>
    </row>
    <row r="1143" spans="1:8" x14ac:dyDescent="0.2">
      <c r="A1143" s="127" t="s">
        <v>4050</v>
      </c>
      <c r="B1143" s="127" t="s">
        <v>7407</v>
      </c>
      <c r="C1143" s="127" t="s">
        <v>3929</v>
      </c>
      <c r="D1143" s="127" t="s">
        <v>73</v>
      </c>
      <c r="F1143">
        <v>0</v>
      </c>
      <c r="G1143">
        <v>1.6666666666666667</v>
      </c>
      <c r="H1143">
        <v>24</v>
      </c>
    </row>
    <row r="1144" spans="1:8" x14ac:dyDescent="0.2">
      <c r="A1144" s="127" t="s">
        <v>4057</v>
      </c>
      <c r="B1144" s="127" t="s">
        <v>4058</v>
      </c>
      <c r="C1144" s="127" t="s">
        <v>3929</v>
      </c>
      <c r="D1144" s="127" t="s">
        <v>73</v>
      </c>
      <c r="F1144">
        <v>230</v>
      </c>
      <c r="G1144">
        <v>0.66666666666666663</v>
      </c>
      <c r="H1144">
        <v>27</v>
      </c>
    </row>
    <row r="1145" spans="1:8" x14ac:dyDescent="0.2">
      <c r="A1145" s="127" t="s">
        <v>4059</v>
      </c>
      <c r="B1145" s="127" t="s">
        <v>4060</v>
      </c>
      <c r="C1145" s="127" t="s">
        <v>3929</v>
      </c>
      <c r="D1145" s="127" t="s">
        <v>73</v>
      </c>
      <c r="F1145">
        <v>690</v>
      </c>
      <c r="G1145">
        <v>1.5</v>
      </c>
      <c r="H1145">
        <v>6.666666666666667</v>
      </c>
    </row>
    <row r="1146" spans="1:8" x14ac:dyDescent="0.2">
      <c r="A1146" s="127" t="s">
        <v>4061</v>
      </c>
      <c r="B1146" s="127" t="s">
        <v>4062</v>
      </c>
      <c r="C1146" s="127" t="s">
        <v>3929</v>
      </c>
      <c r="D1146" s="127" t="s">
        <v>73</v>
      </c>
      <c r="F1146">
        <v>0</v>
      </c>
      <c r="G1146">
        <v>0.33333333333333331</v>
      </c>
      <c r="H1146">
        <v>87</v>
      </c>
    </row>
    <row r="1147" spans="1:8" x14ac:dyDescent="0.2">
      <c r="A1147" s="127" t="s">
        <v>4063</v>
      </c>
      <c r="B1147" s="127" t="s">
        <v>4064</v>
      </c>
      <c r="C1147" s="127" t="s">
        <v>3929</v>
      </c>
      <c r="D1147" s="127" t="s">
        <v>73</v>
      </c>
      <c r="F1147">
        <v>0</v>
      </c>
      <c r="G1147">
        <v>0.33333333333333331</v>
      </c>
      <c r="H1147">
        <v>75</v>
      </c>
    </row>
    <row r="1148" spans="1:8" x14ac:dyDescent="0.2">
      <c r="A1148" s="127" t="s">
        <v>5341</v>
      </c>
      <c r="B1148" s="127" t="s">
        <v>5342</v>
      </c>
      <c r="C1148" s="127" t="s">
        <v>3929</v>
      </c>
      <c r="D1148" s="127" t="s">
        <v>73</v>
      </c>
    </row>
    <row r="1149" spans="1:8" x14ac:dyDescent="0.2">
      <c r="A1149" s="127" t="s">
        <v>5317</v>
      </c>
      <c r="B1149" s="127" t="s">
        <v>5318</v>
      </c>
      <c r="C1149" s="127" t="s">
        <v>3929</v>
      </c>
      <c r="D1149" s="127" t="s">
        <v>73</v>
      </c>
    </row>
    <row r="1150" spans="1:8" x14ac:dyDescent="0.2">
      <c r="A1150" s="127" t="s">
        <v>5333</v>
      </c>
      <c r="B1150" s="127" t="s">
        <v>5334</v>
      </c>
      <c r="C1150" s="127" t="s">
        <v>3929</v>
      </c>
      <c r="D1150" s="127" t="s">
        <v>73</v>
      </c>
    </row>
    <row r="1151" spans="1:8" x14ac:dyDescent="0.2">
      <c r="A1151" s="127" t="s">
        <v>5325</v>
      </c>
      <c r="B1151" s="127" t="s">
        <v>5326</v>
      </c>
      <c r="C1151" s="127" t="s">
        <v>3929</v>
      </c>
      <c r="D1151" s="127" t="s">
        <v>73</v>
      </c>
    </row>
    <row r="1152" spans="1:8" x14ac:dyDescent="0.2">
      <c r="A1152" s="127" t="s">
        <v>5321</v>
      </c>
      <c r="B1152" s="127" t="s">
        <v>5322</v>
      </c>
      <c r="C1152" s="127" t="s">
        <v>3929</v>
      </c>
      <c r="D1152" s="127" t="s">
        <v>73</v>
      </c>
    </row>
    <row r="1153" spans="1:8" x14ac:dyDescent="0.2">
      <c r="A1153" s="127" t="s">
        <v>5343</v>
      </c>
      <c r="B1153" s="127" t="s">
        <v>5344</v>
      </c>
      <c r="C1153" s="127" t="s">
        <v>3929</v>
      </c>
      <c r="D1153" s="127" t="s">
        <v>73</v>
      </c>
    </row>
    <row r="1154" spans="1:8" x14ac:dyDescent="0.2">
      <c r="A1154" s="127" t="s">
        <v>4133</v>
      </c>
      <c r="B1154" s="127" t="s">
        <v>4134</v>
      </c>
      <c r="C1154" s="127" t="s">
        <v>3929</v>
      </c>
      <c r="D1154" s="127" t="s">
        <v>73</v>
      </c>
      <c r="F1154">
        <v>0</v>
      </c>
      <c r="G1154">
        <v>0</v>
      </c>
      <c r="H1154">
        <v>0</v>
      </c>
    </row>
    <row r="1155" spans="1:8" x14ac:dyDescent="0.2">
      <c r="A1155" s="127" t="s">
        <v>4143</v>
      </c>
      <c r="B1155" s="127" t="s">
        <v>4144</v>
      </c>
      <c r="C1155" s="127" t="s">
        <v>3929</v>
      </c>
      <c r="D1155" s="127" t="s">
        <v>73</v>
      </c>
      <c r="F1155">
        <v>240</v>
      </c>
      <c r="G1155">
        <v>0.5</v>
      </c>
      <c r="H1155">
        <v>46</v>
      </c>
    </row>
    <row r="1156" spans="1:8" x14ac:dyDescent="0.2">
      <c r="A1156" s="127" t="s">
        <v>4145</v>
      </c>
      <c r="B1156" s="127" t="s">
        <v>4146</v>
      </c>
      <c r="C1156" s="127" t="s">
        <v>3929</v>
      </c>
      <c r="D1156" s="127" t="s">
        <v>73</v>
      </c>
      <c r="F1156">
        <v>0</v>
      </c>
      <c r="G1156">
        <v>0</v>
      </c>
      <c r="H1156">
        <v>0</v>
      </c>
    </row>
    <row r="1157" spans="1:8" x14ac:dyDescent="0.2">
      <c r="A1157" s="127" t="s">
        <v>4000</v>
      </c>
      <c r="B1157" s="127" t="s">
        <v>4001</v>
      </c>
      <c r="C1157" s="127" t="s">
        <v>3929</v>
      </c>
      <c r="D1157" s="127" t="s">
        <v>73</v>
      </c>
      <c r="F1157">
        <v>420</v>
      </c>
      <c r="G1157">
        <v>3.5</v>
      </c>
      <c r="H1157">
        <v>22.571428571428573</v>
      </c>
    </row>
    <row r="1158" spans="1:8" x14ac:dyDescent="0.2">
      <c r="A1158" s="127" t="s">
        <v>4137</v>
      </c>
      <c r="B1158" s="127" t="s">
        <v>4138</v>
      </c>
      <c r="C1158" s="127" t="s">
        <v>3929</v>
      </c>
      <c r="D1158" s="127" t="s">
        <v>73</v>
      </c>
      <c r="F1158">
        <v>0</v>
      </c>
      <c r="G1158">
        <v>0.33333333333333331</v>
      </c>
      <c r="H1158">
        <v>477</v>
      </c>
    </row>
    <row r="1159" spans="1:8" x14ac:dyDescent="0.2">
      <c r="A1159" s="127" t="s">
        <v>4139</v>
      </c>
      <c r="B1159" s="127" t="s">
        <v>4140</v>
      </c>
      <c r="C1159" s="127" t="s">
        <v>3929</v>
      </c>
      <c r="D1159" s="127" t="s">
        <v>73</v>
      </c>
      <c r="F1159">
        <v>0</v>
      </c>
      <c r="G1159">
        <v>0.5</v>
      </c>
      <c r="H1159">
        <v>148</v>
      </c>
    </row>
    <row r="1160" spans="1:8" x14ac:dyDescent="0.2">
      <c r="A1160" s="127" t="s">
        <v>4141</v>
      </c>
      <c r="B1160" s="127" t="s">
        <v>4142</v>
      </c>
      <c r="C1160" s="127" t="s">
        <v>3929</v>
      </c>
      <c r="D1160" s="127" t="s">
        <v>73</v>
      </c>
      <c r="F1160">
        <v>0</v>
      </c>
      <c r="G1160">
        <v>0.33333333333333331</v>
      </c>
      <c r="H1160">
        <v>234</v>
      </c>
    </row>
    <row r="1161" spans="1:8" x14ac:dyDescent="0.2">
      <c r="A1161" s="127" t="s">
        <v>4159</v>
      </c>
      <c r="B1161" s="127" t="s">
        <v>4160</v>
      </c>
      <c r="C1161" s="127" t="s">
        <v>3929</v>
      </c>
      <c r="D1161" s="127" t="s">
        <v>73</v>
      </c>
      <c r="F1161">
        <v>80</v>
      </c>
      <c r="G1161">
        <v>2.3333333333333335</v>
      </c>
      <c r="H1161">
        <v>10.285714285714285</v>
      </c>
    </row>
    <row r="1162" spans="1:8" x14ac:dyDescent="0.2">
      <c r="A1162" s="127" t="s">
        <v>4155</v>
      </c>
      <c r="B1162" s="127" t="s">
        <v>4156</v>
      </c>
      <c r="C1162" s="127" t="s">
        <v>3929</v>
      </c>
      <c r="D1162" s="127" t="s">
        <v>73</v>
      </c>
      <c r="F1162">
        <v>0</v>
      </c>
      <c r="G1162">
        <v>1.5</v>
      </c>
      <c r="H1162">
        <v>16.666666666666668</v>
      </c>
    </row>
    <row r="1163" spans="1:8" x14ac:dyDescent="0.2">
      <c r="A1163" s="127" t="s">
        <v>4157</v>
      </c>
      <c r="B1163" s="127" t="s">
        <v>4158</v>
      </c>
      <c r="C1163" s="127" t="s">
        <v>3929</v>
      </c>
      <c r="D1163" s="127" t="s">
        <v>73</v>
      </c>
      <c r="F1163">
        <v>0</v>
      </c>
      <c r="G1163">
        <v>1.3333333333333333</v>
      </c>
      <c r="H1163">
        <v>19.5</v>
      </c>
    </row>
    <row r="1164" spans="1:8" x14ac:dyDescent="0.2">
      <c r="A1164" s="127" t="s">
        <v>4153</v>
      </c>
      <c r="B1164" s="127" t="s">
        <v>4154</v>
      </c>
      <c r="C1164" s="127" t="s">
        <v>3929</v>
      </c>
      <c r="D1164" s="127" t="s">
        <v>73</v>
      </c>
      <c r="F1164">
        <v>180</v>
      </c>
      <c r="G1164">
        <v>2</v>
      </c>
      <c r="H1164">
        <v>7.5</v>
      </c>
    </row>
    <row r="1165" spans="1:8" x14ac:dyDescent="0.2">
      <c r="A1165" s="127" t="s">
        <v>4149</v>
      </c>
      <c r="B1165" s="127" t="s">
        <v>4150</v>
      </c>
      <c r="C1165" s="127" t="s">
        <v>3929</v>
      </c>
      <c r="D1165" s="127" t="s">
        <v>70</v>
      </c>
      <c r="E1165" t="s">
        <v>7580</v>
      </c>
    </row>
    <row r="1166" spans="1:8" x14ac:dyDescent="0.2">
      <c r="A1166" s="127" t="s">
        <v>4149</v>
      </c>
      <c r="B1166" s="127" t="s">
        <v>4150</v>
      </c>
      <c r="C1166" s="127" t="s">
        <v>3929</v>
      </c>
      <c r="D1166" s="127" t="s">
        <v>73</v>
      </c>
      <c r="F1166">
        <v>270</v>
      </c>
      <c r="G1166">
        <v>3.8333333333333335</v>
      </c>
      <c r="H1166">
        <v>3.9130434782608696</v>
      </c>
    </row>
    <row r="1167" spans="1:8" x14ac:dyDescent="0.2">
      <c r="A1167" s="127" t="s">
        <v>4151</v>
      </c>
      <c r="B1167" s="127" t="s">
        <v>4152</v>
      </c>
      <c r="C1167" s="127" t="s">
        <v>3929</v>
      </c>
      <c r="D1167" s="127" t="s">
        <v>70</v>
      </c>
      <c r="E1167" t="s">
        <v>7581</v>
      </c>
    </row>
    <row r="1168" spans="1:8" x14ac:dyDescent="0.2">
      <c r="A1168" s="127" t="s">
        <v>4151</v>
      </c>
      <c r="B1168" s="127" t="s">
        <v>4152</v>
      </c>
      <c r="C1168" s="127" t="s">
        <v>3929</v>
      </c>
      <c r="D1168" s="127" t="s">
        <v>73</v>
      </c>
      <c r="F1168">
        <v>180</v>
      </c>
      <c r="G1168">
        <v>1.6666666666666667</v>
      </c>
      <c r="H1168">
        <v>13.2</v>
      </c>
    </row>
    <row r="1169" spans="1:8" x14ac:dyDescent="0.2">
      <c r="A1169" s="127" t="s">
        <v>3994</v>
      </c>
      <c r="B1169" s="127" t="s">
        <v>3995</v>
      </c>
      <c r="C1169" s="127" t="s">
        <v>3929</v>
      </c>
      <c r="D1169" s="127" t="s">
        <v>73</v>
      </c>
    </row>
    <row r="1170" spans="1:8" x14ac:dyDescent="0.2">
      <c r="A1170" s="127" t="s">
        <v>3996</v>
      </c>
      <c r="B1170" s="127" t="s">
        <v>3997</v>
      </c>
      <c r="C1170" s="127" t="s">
        <v>3929</v>
      </c>
      <c r="D1170" s="127" t="s">
        <v>73</v>
      </c>
    </row>
    <row r="1171" spans="1:8" x14ac:dyDescent="0.2">
      <c r="A1171" s="127" t="s">
        <v>3998</v>
      </c>
      <c r="B1171" s="127" t="s">
        <v>3999</v>
      </c>
      <c r="C1171" s="127" t="s">
        <v>3929</v>
      </c>
      <c r="D1171" s="127" t="s">
        <v>72</v>
      </c>
      <c r="E1171" t="s">
        <v>6764</v>
      </c>
    </row>
    <row r="1172" spans="1:8" x14ac:dyDescent="0.2">
      <c r="A1172" s="127" t="s">
        <v>3998</v>
      </c>
      <c r="B1172" s="127" t="s">
        <v>3999</v>
      </c>
      <c r="C1172" s="127" t="s">
        <v>3929</v>
      </c>
      <c r="D1172" s="127" t="s">
        <v>73</v>
      </c>
    </row>
    <row r="1173" spans="1:8" x14ac:dyDescent="0.2">
      <c r="A1173" s="127" t="s">
        <v>5181</v>
      </c>
      <c r="B1173" s="127" t="s">
        <v>5182</v>
      </c>
      <c r="C1173" s="127" t="s">
        <v>3929</v>
      </c>
      <c r="D1173" s="127" t="s">
        <v>72</v>
      </c>
      <c r="E1173" t="s">
        <v>6765</v>
      </c>
    </row>
    <row r="1174" spans="1:8" x14ac:dyDescent="0.2">
      <c r="A1174" s="127" t="s">
        <v>5181</v>
      </c>
      <c r="B1174" s="127" t="s">
        <v>5182</v>
      </c>
      <c r="C1174" s="127" t="s">
        <v>3929</v>
      </c>
      <c r="D1174" s="127" t="s">
        <v>73</v>
      </c>
    </row>
    <row r="1175" spans="1:8" x14ac:dyDescent="0.2">
      <c r="A1175" s="127" t="s">
        <v>5087</v>
      </c>
      <c r="B1175" s="127" t="s">
        <v>5088</v>
      </c>
      <c r="C1175" s="127" t="s">
        <v>3929</v>
      </c>
      <c r="D1175" s="127" t="s">
        <v>72</v>
      </c>
      <c r="E1175" t="s">
        <v>6766</v>
      </c>
      <c r="F1175">
        <v>0</v>
      </c>
      <c r="G1175">
        <v>0.16666666666666666</v>
      </c>
      <c r="H1175">
        <v>6</v>
      </c>
    </row>
    <row r="1176" spans="1:8" x14ac:dyDescent="0.2">
      <c r="A1176" s="127" t="s">
        <v>5087</v>
      </c>
      <c r="B1176" s="127" t="s">
        <v>5088</v>
      </c>
      <c r="C1176" s="127" t="s">
        <v>3929</v>
      </c>
      <c r="D1176" s="127" t="s">
        <v>73</v>
      </c>
      <c r="F1176">
        <v>450</v>
      </c>
      <c r="G1176">
        <v>1</v>
      </c>
      <c r="H1176">
        <v>12</v>
      </c>
    </row>
    <row r="1177" spans="1:8" x14ac:dyDescent="0.2">
      <c r="A1177" s="127" t="s">
        <v>5329</v>
      </c>
      <c r="B1177" s="127" t="s">
        <v>5330</v>
      </c>
      <c r="C1177" s="127" t="s">
        <v>3929</v>
      </c>
      <c r="D1177" s="127" t="s">
        <v>72</v>
      </c>
      <c r="E1177" t="s">
        <v>6767</v>
      </c>
    </row>
    <row r="1178" spans="1:8" x14ac:dyDescent="0.2">
      <c r="A1178" s="127" t="s">
        <v>5624</v>
      </c>
      <c r="B1178" s="127" t="s">
        <v>5625</v>
      </c>
      <c r="C1178" s="127" t="s">
        <v>3929</v>
      </c>
      <c r="D1178" s="127" t="s">
        <v>8</v>
      </c>
    </row>
    <row r="1179" spans="1:8" x14ac:dyDescent="0.2">
      <c r="A1179" s="127" t="s">
        <v>5624</v>
      </c>
      <c r="B1179" s="127" t="s">
        <v>5625</v>
      </c>
      <c r="C1179" s="127" t="s">
        <v>3929</v>
      </c>
      <c r="D1179" s="127" t="s">
        <v>70</v>
      </c>
      <c r="E1179" t="s">
        <v>6768</v>
      </c>
    </row>
    <row r="1180" spans="1:8" x14ac:dyDescent="0.2">
      <c r="A1180" s="127" t="s">
        <v>4032</v>
      </c>
      <c r="B1180" s="127" t="s">
        <v>4033</v>
      </c>
      <c r="C1180" s="127" t="s">
        <v>3929</v>
      </c>
      <c r="D1180" s="127" t="s">
        <v>73</v>
      </c>
      <c r="F1180">
        <v>0</v>
      </c>
      <c r="G1180">
        <v>2.3333333333333335</v>
      </c>
      <c r="H1180">
        <v>16.714285714285712</v>
      </c>
    </row>
    <row r="1181" spans="1:8" x14ac:dyDescent="0.2">
      <c r="A1181" s="127" t="s">
        <v>4034</v>
      </c>
      <c r="B1181" s="127" t="s">
        <v>4035</v>
      </c>
      <c r="C1181" s="127" t="s">
        <v>3929</v>
      </c>
      <c r="D1181" s="127" t="s">
        <v>73</v>
      </c>
      <c r="F1181">
        <v>0</v>
      </c>
      <c r="G1181">
        <v>0.33333333333333331</v>
      </c>
      <c r="H1181">
        <v>42</v>
      </c>
    </row>
    <row r="1182" spans="1:8" x14ac:dyDescent="0.2">
      <c r="A1182" s="127" t="s">
        <v>5114</v>
      </c>
      <c r="B1182" s="127" t="s">
        <v>5115</v>
      </c>
      <c r="C1182" s="127" t="s">
        <v>3929</v>
      </c>
      <c r="D1182" s="127" t="s">
        <v>73</v>
      </c>
    </row>
    <row r="1183" spans="1:8" x14ac:dyDescent="0.2">
      <c r="A1183" s="127" t="s">
        <v>3936</v>
      </c>
      <c r="B1183" s="127" t="s">
        <v>3937</v>
      </c>
      <c r="C1183" s="127" t="s">
        <v>3929</v>
      </c>
      <c r="D1183" s="127" t="s">
        <v>70</v>
      </c>
      <c r="E1183" t="s">
        <v>6769</v>
      </c>
    </row>
    <row r="1184" spans="1:8" x14ac:dyDescent="0.2">
      <c r="A1184" s="127" t="s">
        <v>3936</v>
      </c>
      <c r="B1184" s="127" t="s">
        <v>3937</v>
      </c>
      <c r="C1184" s="127" t="s">
        <v>3929</v>
      </c>
      <c r="D1184" s="127" t="s">
        <v>72</v>
      </c>
      <c r="E1184" t="s">
        <v>6770</v>
      </c>
      <c r="F1184">
        <v>1260</v>
      </c>
      <c r="G1184">
        <v>5.333333333333333</v>
      </c>
      <c r="H1184">
        <v>6.375</v>
      </c>
    </row>
    <row r="1185" spans="1:8" x14ac:dyDescent="0.2">
      <c r="A1185" s="127" t="s">
        <v>3936</v>
      </c>
      <c r="B1185" s="127" t="s">
        <v>3937</v>
      </c>
      <c r="C1185" s="127" t="s">
        <v>3929</v>
      </c>
      <c r="D1185" s="127" t="s">
        <v>73</v>
      </c>
      <c r="F1185">
        <v>3960</v>
      </c>
      <c r="G1185">
        <v>11.666666666666666</v>
      </c>
      <c r="H1185">
        <v>2.8285714285714287</v>
      </c>
    </row>
    <row r="1186" spans="1:8" x14ac:dyDescent="0.2">
      <c r="A1186" s="127" t="s">
        <v>3950</v>
      </c>
      <c r="B1186" s="127" t="s">
        <v>3951</v>
      </c>
      <c r="C1186" s="127" t="s">
        <v>3929</v>
      </c>
      <c r="D1186" s="127" t="s">
        <v>70</v>
      </c>
      <c r="E1186" t="s">
        <v>6771</v>
      </c>
      <c r="F1186">
        <v>0</v>
      </c>
      <c r="G1186">
        <v>0.5</v>
      </c>
      <c r="H1186">
        <v>10</v>
      </c>
    </row>
    <row r="1187" spans="1:8" x14ac:dyDescent="0.2">
      <c r="A1187" s="127" t="s">
        <v>3950</v>
      </c>
      <c r="B1187" s="127" t="s">
        <v>3951</v>
      </c>
      <c r="C1187" s="127" t="s">
        <v>3929</v>
      </c>
      <c r="D1187" s="127" t="s">
        <v>72</v>
      </c>
      <c r="E1187" t="s">
        <v>6772</v>
      </c>
      <c r="F1187">
        <v>0</v>
      </c>
      <c r="G1187">
        <v>0</v>
      </c>
      <c r="H1187">
        <v>0</v>
      </c>
    </row>
    <row r="1188" spans="1:8" x14ac:dyDescent="0.2">
      <c r="A1188" s="127" t="s">
        <v>3950</v>
      </c>
      <c r="B1188" s="127" t="s">
        <v>3951</v>
      </c>
      <c r="C1188" s="127" t="s">
        <v>3929</v>
      </c>
      <c r="D1188" s="127" t="s">
        <v>73</v>
      </c>
      <c r="F1188">
        <v>960</v>
      </c>
      <c r="G1188">
        <v>5</v>
      </c>
      <c r="H1188">
        <v>6.4</v>
      </c>
    </row>
    <row r="1189" spans="1:8" x14ac:dyDescent="0.2">
      <c r="A1189" s="127" t="s">
        <v>3956</v>
      </c>
      <c r="B1189" s="127" t="s">
        <v>3957</v>
      </c>
      <c r="C1189" s="127" t="s">
        <v>3929</v>
      </c>
      <c r="D1189" s="127" t="s">
        <v>70</v>
      </c>
      <c r="E1189" t="s">
        <v>6773</v>
      </c>
    </row>
    <row r="1190" spans="1:8" x14ac:dyDescent="0.2">
      <c r="A1190" s="127" t="s">
        <v>3956</v>
      </c>
      <c r="B1190" s="127" t="s">
        <v>3957</v>
      </c>
      <c r="C1190" s="127" t="s">
        <v>3929</v>
      </c>
      <c r="D1190" s="127" t="s">
        <v>72</v>
      </c>
      <c r="E1190" t="s">
        <v>6774</v>
      </c>
    </row>
    <row r="1191" spans="1:8" x14ac:dyDescent="0.2">
      <c r="A1191" s="127" t="s">
        <v>3956</v>
      </c>
      <c r="B1191" s="127" t="s">
        <v>3957</v>
      </c>
      <c r="C1191" s="127" t="s">
        <v>3929</v>
      </c>
      <c r="D1191" s="127" t="s">
        <v>73</v>
      </c>
      <c r="F1191">
        <v>520</v>
      </c>
      <c r="G1191">
        <v>2.3333333333333335</v>
      </c>
      <c r="H1191">
        <v>29.999999999999996</v>
      </c>
    </row>
    <row r="1192" spans="1:8" x14ac:dyDescent="0.2">
      <c r="A1192" s="127" t="s">
        <v>3958</v>
      </c>
      <c r="B1192" s="127" t="s">
        <v>3959</v>
      </c>
      <c r="C1192" s="127" t="s">
        <v>3929</v>
      </c>
      <c r="D1192" s="127" t="s">
        <v>70</v>
      </c>
      <c r="E1192" t="s">
        <v>6775</v>
      </c>
      <c r="F1192">
        <v>150</v>
      </c>
      <c r="G1192">
        <v>0.16666666666666666</v>
      </c>
      <c r="H1192">
        <v>0</v>
      </c>
    </row>
    <row r="1193" spans="1:8" x14ac:dyDescent="0.2">
      <c r="A1193" s="127" t="s">
        <v>3958</v>
      </c>
      <c r="B1193" s="127" t="s">
        <v>3959</v>
      </c>
      <c r="C1193" s="127" t="s">
        <v>3929</v>
      </c>
      <c r="D1193" s="127" t="s">
        <v>72</v>
      </c>
      <c r="E1193" t="s">
        <v>6776</v>
      </c>
    </row>
    <row r="1194" spans="1:8" x14ac:dyDescent="0.2">
      <c r="A1194" s="127" t="s">
        <v>3958</v>
      </c>
      <c r="B1194" s="127" t="s">
        <v>3959</v>
      </c>
      <c r="C1194" s="127" t="s">
        <v>3929</v>
      </c>
      <c r="D1194" s="127" t="s">
        <v>73</v>
      </c>
      <c r="F1194">
        <v>1350</v>
      </c>
      <c r="G1194">
        <v>6.166666666666667</v>
      </c>
      <c r="H1194">
        <v>15.567567567567567</v>
      </c>
    </row>
    <row r="1195" spans="1:8" x14ac:dyDescent="0.2">
      <c r="A1195" s="127" t="s">
        <v>4101</v>
      </c>
      <c r="B1195" s="127" t="s">
        <v>4102</v>
      </c>
      <c r="C1195" s="127" t="s">
        <v>3929</v>
      </c>
      <c r="D1195" s="127" t="s">
        <v>73</v>
      </c>
      <c r="F1195">
        <v>400</v>
      </c>
      <c r="G1195">
        <v>2.5</v>
      </c>
      <c r="H1195">
        <v>10.8</v>
      </c>
    </row>
    <row r="1196" spans="1:8" x14ac:dyDescent="0.2">
      <c r="A1196" s="127" t="s">
        <v>3944</v>
      </c>
      <c r="B1196" s="127" t="s">
        <v>5767</v>
      </c>
      <c r="C1196" s="127" t="s">
        <v>3929</v>
      </c>
      <c r="D1196" s="127" t="s">
        <v>73</v>
      </c>
      <c r="F1196">
        <v>180</v>
      </c>
      <c r="G1196">
        <v>1.6666666666666667</v>
      </c>
      <c r="H1196">
        <v>21.599999999999998</v>
      </c>
    </row>
    <row r="1197" spans="1:8" x14ac:dyDescent="0.2">
      <c r="A1197" s="127" t="s">
        <v>4036</v>
      </c>
      <c r="B1197" s="127" t="s">
        <v>4037</v>
      </c>
      <c r="C1197" s="127" t="s">
        <v>3929</v>
      </c>
      <c r="D1197" s="127" t="s">
        <v>73</v>
      </c>
      <c r="F1197">
        <v>0</v>
      </c>
      <c r="G1197">
        <v>0.83333333333333337</v>
      </c>
      <c r="H1197">
        <v>50.4</v>
      </c>
    </row>
    <row r="1198" spans="1:8" x14ac:dyDescent="0.2">
      <c r="A1198" s="127" t="s">
        <v>3948</v>
      </c>
      <c r="B1198" s="127" t="s">
        <v>3949</v>
      </c>
      <c r="C1198" s="127" t="s">
        <v>3929</v>
      </c>
      <c r="D1198" s="127" t="s">
        <v>73</v>
      </c>
      <c r="F1198">
        <v>280</v>
      </c>
      <c r="G1198">
        <v>1</v>
      </c>
      <c r="H1198">
        <v>57</v>
      </c>
    </row>
    <row r="1199" spans="1:8" x14ac:dyDescent="0.2">
      <c r="A1199" s="127" t="s">
        <v>4087</v>
      </c>
      <c r="B1199" s="127" t="s">
        <v>4088</v>
      </c>
      <c r="C1199" s="127" t="s">
        <v>3929</v>
      </c>
      <c r="D1199" s="127" t="s">
        <v>73</v>
      </c>
      <c r="F1199">
        <v>0</v>
      </c>
      <c r="G1199">
        <v>0.5</v>
      </c>
      <c r="H1199">
        <v>162</v>
      </c>
    </row>
    <row r="1200" spans="1:8" x14ac:dyDescent="0.2">
      <c r="A1200" s="127" t="s">
        <v>4022</v>
      </c>
      <c r="B1200" s="127" t="s">
        <v>4023</v>
      </c>
      <c r="C1200" s="127" t="s">
        <v>3929</v>
      </c>
      <c r="D1200" s="127" t="s">
        <v>73</v>
      </c>
      <c r="F1200">
        <v>220</v>
      </c>
      <c r="G1200">
        <v>0.16666666666666666</v>
      </c>
      <c r="H1200">
        <v>192</v>
      </c>
    </row>
    <row r="1201" spans="1:8" x14ac:dyDescent="0.2">
      <c r="A1201" s="127" t="s">
        <v>4026</v>
      </c>
      <c r="B1201" s="127" t="s">
        <v>4027</v>
      </c>
      <c r="C1201" s="127" t="s">
        <v>3929</v>
      </c>
      <c r="D1201" s="127" t="s">
        <v>73</v>
      </c>
      <c r="F1201">
        <v>0</v>
      </c>
      <c r="G1201">
        <v>0.5</v>
      </c>
      <c r="H1201">
        <v>88</v>
      </c>
    </row>
    <row r="1202" spans="1:8" x14ac:dyDescent="0.2">
      <c r="A1202" s="127" t="s">
        <v>5106</v>
      </c>
      <c r="B1202" s="127" t="s">
        <v>5107</v>
      </c>
      <c r="C1202" s="127" t="s">
        <v>3929</v>
      </c>
      <c r="D1202" s="127" t="s">
        <v>73</v>
      </c>
      <c r="F1202">
        <v>180</v>
      </c>
      <c r="G1202">
        <v>0.5</v>
      </c>
      <c r="H1202">
        <v>24</v>
      </c>
    </row>
    <row r="1203" spans="1:8" x14ac:dyDescent="0.2">
      <c r="A1203" s="127" t="s">
        <v>5108</v>
      </c>
      <c r="B1203" s="127" t="s">
        <v>5109</v>
      </c>
      <c r="C1203" s="127" t="s">
        <v>3929</v>
      </c>
      <c r="D1203" s="127" t="s">
        <v>73</v>
      </c>
      <c r="F1203">
        <v>0</v>
      </c>
      <c r="G1203">
        <v>0.16666666666666666</v>
      </c>
      <c r="H1203">
        <v>18</v>
      </c>
    </row>
    <row r="1204" spans="1:8" x14ac:dyDescent="0.2">
      <c r="A1204" s="127" t="s">
        <v>4040</v>
      </c>
      <c r="B1204" s="127" t="s">
        <v>4041</v>
      </c>
      <c r="C1204" s="127" t="s">
        <v>3929</v>
      </c>
      <c r="D1204" s="127" t="s">
        <v>73</v>
      </c>
      <c r="F1204">
        <v>90</v>
      </c>
      <c r="G1204">
        <v>0.5</v>
      </c>
      <c r="H1204">
        <v>30</v>
      </c>
    </row>
    <row r="1205" spans="1:8" x14ac:dyDescent="0.2">
      <c r="A1205" s="127" t="s">
        <v>4046</v>
      </c>
      <c r="B1205" s="127" t="s">
        <v>4047</v>
      </c>
      <c r="C1205" s="127" t="s">
        <v>3929</v>
      </c>
      <c r="D1205" s="127" t="s">
        <v>73</v>
      </c>
      <c r="F1205">
        <v>0</v>
      </c>
      <c r="G1205">
        <v>0.5</v>
      </c>
      <c r="H1205">
        <v>2</v>
      </c>
    </row>
    <row r="1206" spans="1:8" x14ac:dyDescent="0.2">
      <c r="A1206" s="127" t="s">
        <v>5290</v>
      </c>
      <c r="B1206" s="127" t="s">
        <v>5291</v>
      </c>
      <c r="C1206" s="127" t="s">
        <v>3929</v>
      </c>
      <c r="D1206" s="127" t="s">
        <v>73</v>
      </c>
    </row>
    <row r="1207" spans="1:8" x14ac:dyDescent="0.2">
      <c r="A1207" s="127" t="s">
        <v>5128</v>
      </c>
      <c r="B1207" s="127" t="s">
        <v>5129</v>
      </c>
      <c r="C1207" s="127" t="s">
        <v>3929</v>
      </c>
      <c r="D1207" s="127" t="s">
        <v>8</v>
      </c>
    </row>
    <row r="1208" spans="1:8" x14ac:dyDescent="0.2">
      <c r="A1208" s="127" t="s">
        <v>5128</v>
      </c>
      <c r="B1208" s="127" t="s">
        <v>5129</v>
      </c>
      <c r="C1208" s="127" t="s">
        <v>3929</v>
      </c>
      <c r="D1208" s="127" t="s">
        <v>70</v>
      </c>
      <c r="E1208" t="s">
        <v>6777</v>
      </c>
    </row>
    <row r="1209" spans="1:8" x14ac:dyDescent="0.2">
      <c r="A1209" s="127" t="s">
        <v>5128</v>
      </c>
      <c r="B1209" s="127" t="s">
        <v>5129</v>
      </c>
      <c r="C1209" s="127" t="s">
        <v>3929</v>
      </c>
      <c r="D1209" s="127" t="s">
        <v>72</v>
      </c>
      <c r="E1209" t="s">
        <v>6778</v>
      </c>
    </row>
    <row r="1210" spans="1:8" x14ac:dyDescent="0.2">
      <c r="A1210" s="127" t="s">
        <v>5128</v>
      </c>
      <c r="B1210" s="127" t="s">
        <v>5129</v>
      </c>
      <c r="C1210" s="127" t="s">
        <v>3929</v>
      </c>
      <c r="D1210" s="127" t="s">
        <v>73</v>
      </c>
    </row>
    <row r="1211" spans="1:8" x14ac:dyDescent="0.2">
      <c r="A1211" s="127" t="s">
        <v>4069</v>
      </c>
      <c r="B1211" s="127" t="s">
        <v>4070</v>
      </c>
      <c r="C1211" s="127" t="s">
        <v>3929</v>
      </c>
      <c r="D1211" s="127" t="s">
        <v>73</v>
      </c>
    </row>
    <row r="1212" spans="1:8" x14ac:dyDescent="0.2">
      <c r="A1212" s="127" t="s">
        <v>3980</v>
      </c>
      <c r="B1212" s="127" t="s">
        <v>3981</v>
      </c>
      <c r="C1212" s="127" t="s">
        <v>3929</v>
      </c>
      <c r="D1212" s="127" t="s">
        <v>70</v>
      </c>
      <c r="E1212" t="s">
        <v>6779</v>
      </c>
    </row>
    <row r="1213" spans="1:8" x14ac:dyDescent="0.2">
      <c r="A1213" s="127" t="s">
        <v>3980</v>
      </c>
      <c r="B1213" s="127" t="s">
        <v>3981</v>
      </c>
      <c r="C1213" s="127" t="s">
        <v>3929</v>
      </c>
      <c r="D1213" s="127" t="s">
        <v>72</v>
      </c>
      <c r="E1213" t="s">
        <v>6780</v>
      </c>
      <c r="F1213">
        <v>0</v>
      </c>
      <c r="G1213">
        <v>0</v>
      </c>
      <c r="H1213">
        <v>0</v>
      </c>
    </row>
    <row r="1214" spans="1:8" x14ac:dyDescent="0.2">
      <c r="A1214" s="127" t="s">
        <v>3980</v>
      </c>
      <c r="B1214" s="127" t="s">
        <v>3981</v>
      </c>
      <c r="C1214" s="127" t="s">
        <v>3929</v>
      </c>
      <c r="D1214" s="127" t="s">
        <v>73</v>
      </c>
      <c r="F1214">
        <v>75</v>
      </c>
      <c r="G1214">
        <v>3</v>
      </c>
      <c r="H1214">
        <v>25</v>
      </c>
    </row>
    <row r="1215" spans="1:8" x14ac:dyDescent="0.2">
      <c r="A1215" s="127" t="s">
        <v>3978</v>
      </c>
      <c r="B1215" s="127" t="s">
        <v>3979</v>
      </c>
      <c r="C1215" s="127" t="s">
        <v>3929</v>
      </c>
      <c r="D1215" s="127" t="s">
        <v>8</v>
      </c>
    </row>
    <row r="1216" spans="1:8" x14ac:dyDescent="0.2">
      <c r="A1216" s="127" t="s">
        <v>3978</v>
      </c>
      <c r="B1216" s="127" t="s">
        <v>3979</v>
      </c>
      <c r="C1216" s="127" t="s">
        <v>3929</v>
      </c>
      <c r="D1216" s="127" t="s">
        <v>73</v>
      </c>
      <c r="F1216">
        <v>100</v>
      </c>
      <c r="G1216">
        <v>5.5</v>
      </c>
      <c r="H1216">
        <v>9.8181818181818183</v>
      </c>
    </row>
    <row r="1217" spans="1:8" x14ac:dyDescent="0.2">
      <c r="A1217" s="127" t="s">
        <v>3930</v>
      </c>
      <c r="B1217" s="127" t="s">
        <v>3931</v>
      </c>
      <c r="C1217" s="127" t="s">
        <v>3929</v>
      </c>
      <c r="D1217" s="127" t="s">
        <v>8</v>
      </c>
      <c r="H1217">
        <v>0</v>
      </c>
    </row>
    <row r="1218" spans="1:8" x14ac:dyDescent="0.2">
      <c r="A1218" s="127" t="s">
        <v>3930</v>
      </c>
      <c r="B1218" s="127" t="s">
        <v>3931</v>
      </c>
      <c r="C1218" s="127" t="s">
        <v>3929</v>
      </c>
      <c r="D1218" s="127" t="s">
        <v>70</v>
      </c>
      <c r="E1218" t="s">
        <v>6781</v>
      </c>
      <c r="F1218">
        <v>140</v>
      </c>
      <c r="G1218">
        <v>0.5</v>
      </c>
      <c r="H1218">
        <v>60</v>
      </c>
    </row>
    <row r="1219" spans="1:8" x14ac:dyDescent="0.2">
      <c r="A1219" s="127" t="s">
        <v>3930</v>
      </c>
      <c r="B1219" s="127" t="s">
        <v>3931</v>
      </c>
      <c r="C1219" s="127" t="s">
        <v>3929</v>
      </c>
      <c r="D1219" s="127" t="s">
        <v>72</v>
      </c>
      <c r="E1219" t="s">
        <v>6782</v>
      </c>
      <c r="F1219">
        <v>0</v>
      </c>
      <c r="G1219">
        <v>0.33333333333333331</v>
      </c>
      <c r="H1219">
        <v>30</v>
      </c>
    </row>
    <row r="1220" spans="1:8" x14ac:dyDescent="0.2">
      <c r="A1220" s="127" t="s">
        <v>3930</v>
      </c>
      <c r="B1220" s="127" t="s">
        <v>3931</v>
      </c>
      <c r="C1220" s="127" t="s">
        <v>3929</v>
      </c>
      <c r="D1220" s="127" t="s">
        <v>73</v>
      </c>
      <c r="F1220">
        <v>140</v>
      </c>
      <c r="G1220">
        <v>1.5</v>
      </c>
      <c r="H1220">
        <v>32</v>
      </c>
    </row>
    <row r="1221" spans="1:8" x14ac:dyDescent="0.2">
      <c r="A1221" s="127" t="s">
        <v>3934</v>
      </c>
      <c r="B1221" s="127" t="s">
        <v>3935</v>
      </c>
      <c r="C1221" s="127" t="s">
        <v>3929</v>
      </c>
      <c r="D1221" s="127" t="s">
        <v>8</v>
      </c>
      <c r="F1221">
        <v>160</v>
      </c>
      <c r="G1221">
        <v>0.16666666666666666</v>
      </c>
      <c r="H1221">
        <v>6</v>
      </c>
    </row>
    <row r="1222" spans="1:8" x14ac:dyDescent="0.2">
      <c r="A1222" s="127" t="s">
        <v>3934</v>
      </c>
      <c r="B1222" s="127" t="s">
        <v>3935</v>
      </c>
      <c r="C1222" s="127" t="s">
        <v>3929</v>
      </c>
      <c r="D1222" s="127" t="s">
        <v>72</v>
      </c>
      <c r="E1222" t="s">
        <v>6783</v>
      </c>
    </row>
    <row r="1223" spans="1:8" x14ac:dyDescent="0.2">
      <c r="A1223" s="127" t="s">
        <v>3934</v>
      </c>
      <c r="B1223" s="127" t="s">
        <v>3935</v>
      </c>
      <c r="C1223" s="127" t="s">
        <v>3929</v>
      </c>
      <c r="D1223" s="127" t="s">
        <v>73</v>
      </c>
      <c r="F1223">
        <v>320</v>
      </c>
      <c r="G1223">
        <v>2.8333333333333335</v>
      </c>
      <c r="H1223">
        <v>152.47058823529412</v>
      </c>
    </row>
    <row r="1224" spans="1:8" x14ac:dyDescent="0.2">
      <c r="A1224" s="127" t="s">
        <v>4077</v>
      </c>
      <c r="B1224" s="127" t="s">
        <v>4078</v>
      </c>
      <c r="C1224" s="127" t="s">
        <v>3929</v>
      </c>
      <c r="D1224" s="127" t="s">
        <v>8</v>
      </c>
      <c r="H1224">
        <v>0</v>
      </c>
    </row>
    <row r="1225" spans="1:8" x14ac:dyDescent="0.2">
      <c r="A1225" s="127" t="s">
        <v>4077</v>
      </c>
      <c r="B1225" s="127" t="s">
        <v>4078</v>
      </c>
      <c r="C1225" s="127" t="s">
        <v>3929</v>
      </c>
      <c r="D1225" s="127" t="s">
        <v>70</v>
      </c>
      <c r="E1225" t="s">
        <v>6784</v>
      </c>
      <c r="F1225">
        <v>0</v>
      </c>
      <c r="G1225">
        <v>0.16666666666666666</v>
      </c>
      <c r="H1225">
        <v>78</v>
      </c>
    </row>
    <row r="1226" spans="1:8" x14ac:dyDescent="0.2">
      <c r="A1226" s="127" t="s">
        <v>4077</v>
      </c>
      <c r="B1226" s="127" t="s">
        <v>4078</v>
      </c>
      <c r="C1226" s="127" t="s">
        <v>3929</v>
      </c>
      <c r="D1226" s="127" t="s">
        <v>72</v>
      </c>
      <c r="E1226" t="s">
        <v>6785</v>
      </c>
      <c r="F1226">
        <v>0</v>
      </c>
      <c r="G1226">
        <v>0</v>
      </c>
      <c r="H1226">
        <v>0</v>
      </c>
    </row>
    <row r="1227" spans="1:8" x14ac:dyDescent="0.2">
      <c r="A1227" s="127" t="s">
        <v>4077</v>
      </c>
      <c r="B1227" s="127" t="s">
        <v>4078</v>
      </c>
      <c r="C1227" s="127" t="s">
        <v>3929</v>
      </c>
      <c r="D1227" s="127" t="s">
        <v>73</v>
      </c>
      <c r="F1227">
        <v>225</v>
      </c>
      <c r="G1227">
        <v>4.666666666666667</v>
      </c>
      <c r="H1227">
        <v>21</v>
      </c>
    </row>
    <row r="1228" spans="1:8" x14ac:dyDescent="0.2">
      <c r="A1228" s="127" t="s">
        <v>4073</v>
      </c>
      <c r="B1228" s="127" t="s">
        <v>4074</v>
      </c>
      <c r="C1228" s="127" t="s">
        <v>3929</v>
      </c>
      <c r="D1228" s="127" t="s">
        <v>72</v>
      </c>
      <c r="E1228" t="s">
        <v>6786</v>
      </c>
      <c r="F1228">
        <v>0</v>
      </c>
      <c r="G1228">
        <v>0.16666666666666666</v>
      </c>
      <c r="H1228">
        <v>0</v>
      </c>
    </row>
    <row r="1229" spans="1:8" x14ac:dyDescent="0.2">
      <c r="A1229" s="127" t="s">
        <v>4073</v>
      </c>
      <c r="B1229" s="127" t="s">
        <v>4074</v>
      </c>
      <c r="C1229" s="127" t="s">
        <v>3929</v>
      </c>
      <c r="D1229" s="127" t="s">
        <v>73</v>
      </c>
      <c r="F1229">
        <v>210</v>
      </c>
      <c r="G1229">
        <v>8.8333333333333339</v>
      </c>
      <c r="H1229">
        <v>9.2830188679245271</v>
      </c>
    </row>
    <row r="1230" spans="1:8" x14ac:dyDescent="0.2">
      <c r="A1230" s="127" t="s">
        <v>4123</v>
      </c>
      <c r="B1230" s="127" t="s">
        <v>4124</v>
      </c>
      <c r="C1230" s="127" t="s">
        <v>3929</v>
      </c>
      <c r="D1230" s="127" t="s">
        <v>73</v>
      </c>
      <c r="F1230">
        <v>30</v>
      </c>
      <c r="G1230">
        <v>5.333333333333333</v>
      </c>
      <c r="H1230">
        <v>12</v>
      </c>
    </row>
    <row r="1231" spans="1:8" x14ac:dyDescent="0.2">
      <c r="A1231" s="127" t="s">
        <v>4121</v>
      </c>
      <c r="B1231" s="127" t="s">
        <v>4122</v>
      </c>
      <c r="C1231" s="127" t="s">
        <v>3929</v>
      </c>
      <c r="D1231" s="127" t="s">
        <v>70</v>
      </c>
      <c r="E1231" t="s">
        <v>7582</v>
      </c>
    </row>
    <row r="1232" spans="1:8" x14ac:dyDescent="0.2">
      <c r="A1232" s="127" t="s">
        <v>4121</v>
      </c>
      <c r="B1232" s="127" t="s">
        <v>4122</v>
      </c>
      <c r="C1232" s="127" t="s">
        <v>3929</v>
      </c>
      <c r="D1232" s="127" t="s">
        <v>72</v>
      </c>
      <c r="E1232" t="s">
        <v>6787</v>
      </c>
    </row>
    <row r="1233" spans="1:8" x14ac:dyDescent="0.2">
      <c r="A1233" s="127" t="s">
        <v>4121</v>
      </c>
      <c r="B1233" s="127" t="s">
        <v>4122</v>
      </c>
      <c r="C1233" s="127" t="s">
        <v>3929</v>
      </c>
      <c r="D1233" s="127" t="s">
        <v>73</v>
      </c>
      <c r="F1233">
        <v>90</v>
      </c>
      <c r="G1233">
        <v>1.1666666666666667</v>
      </c>
      <c r="H1233">
        <v>13.714285714285714</v>
      </c>
    </row>
    <row r="1234" spans="1:8" x14ac:dyDescent="0.2">
      <c r="A1234" s="127" t="s">
        <v>4085</v>
      </c>
      <c r="B1234" s="127" t="s">
        <v>4086</v>
      </c>
      <c r="C1234" s="127" t="s">
        <v>3929</v>
      </c>
      <c r="D1234" s="127" t="s">
        <v>72</v>
      </c>
      <c r="E1234" t="s">
        <v>6788</v>
      </c>
    </row>
    <row r="1235" spans="1:8" x14ac:dyDescent="0.2">
      <c r="A1235" s="127" t="s">
        <v>4085</v>
      </c>
      <c r="B1235" s="127" t="s">
        <v>4086</v>
      </c>
      <c r="C1235" s="127" t="s">
        <v>3929</v>
      </c>
      <c r="D1235" s="127" t="s">
        <v>73</v>
      </c>
      <c r="F1235">
        <v>120</v>
      </c>
      <c r="G1235">
        <v>1.3333333333333333</v>
      </c>
      <c r="H1235">
        <v>12.75</v>
      </c>
    </row>
    <row r="1236" spans="1:8" x14ac:dyDescent="0.2">
      <c r="A1236" s="127" t="s">
        <v>5118</v>
      </c>
      <c r="B1236" s="127" t="s">
        <v>5119</v>
      </c>
      <c r="C1236" s="127" t="s">
        <v>3929</v>
      </c>
      <c r="D1236" s="127" t="s">
        <v>73</v>
      </c>
      <c r="F1236">
        <v>110</v>
      </c>
      <c r="G1236">
        <v>2.3333333333333335</v>
      </c>
      <c r="H1236">
        <v>21.857142857142854</v>
      </c>
    </row>
    <row r="1237" spans="1:8" x14ac:dyDescent="0.2">
      <c r="A1237" s="127" t="s">
        <v>5491</v>
      </c>
      <c r="B1237" s="127" t="s">
        <v>5492</v>
      </c>
      <c r="C1237" s="127" t="s">
        <v>3929</v>
      </c>
      <c r="D1237" s="127" t="s">
        <v>72</v>
      </c>
      <c r="E1237" t="s">
        <v>6789</v>
      </c>
    </row>
    <row r="1238" spans="1:8" x14ac:dyDescent="0.2">
      <c r="A1238" s="127" t="s">
        <v>5491</v>
      </c>
      <c r="B1238" s="127" t="s">
        <v>5492</v>
      </c>
      <c r="C1238" s="127" t="s">
        <v>3929</v>
      </c>
      <c r="D1238" s="127" t="s">
        <v>73</v>
      </c>
    </row>
    <row r="1239" spans="1:8" x14ac:dyDescent="0.2">
      <c r="A1239" s="127" t="s">
        <v>5463</v>
      </c>
      <c r="B1239" s="127" t="s">
        <v>5464</v>
      </c>
      <c r="C1239" s="127" t="s">
        <v>3929</v>
      </c>
      <c r="D1239" s="127" t="s">
        <v>73</v>
      </c>
    </row>
    <row r="1240" spans="1:8" x14ac:dyDescent="0.2">
      <c r="A1240" s="127" t="s">
        <v>5516</v>
      </c>
      <c r="B1240" s="127" t="s">
        <v>5517</v>
      </c>
      <c r="C1240" s="127" t="s">
        <v>3929</v>
      </c>
      <c r="D1240" s="127" t="s">
        <v>73</v>
      </c>
    </row>
    <row r="1241" spans="1:8" x14ac:dyDescent="0.2">
      <c r="A1241" s="127" t="s">
        <v>4075</v>
      </c>
      <c r="B1241" s="127" t="s">
        <v>4076</v>
      </c>
      <c r="C1241" s="127" t="s">
        <v>3929</v>
      </c>
      <c r="D1241" s="127" t="s">
        <v>70</v>
      </c>
      <c r="E1241" t="s">
        <v>6790</v>
      </c>
    </row>
    <row r="1242" spans="1:8" x14ac:dyDescent="0.2">
      <c r="A1242" s="127" t="s">
        <v>4075</v>
      </c>
      <c r="B1242" s="127" t="s">
        <v>4076</v>
      </c>
      <c r="C1242" s="127" t="s">
        <v>3929</v>
      </c>
      <c r="D1242" s="127" t="s">
        <v>72</v>
      </c>
      <c r="E1242" t="s">
        <v>6791</v>
      </c>
      <c r="F1242">
        <v>65</v>
      </c>
      <c r="G1242">
        <v>0.33333333333333331</v>
      </c>
      <c r="H1242">
        <v>21</v>
      </c>
    </row>
    <row r="1243" spans="1:8" x14ac:dyDescent="0.2">
      <c r="A1243" s="127" t="s">
        <v>4075</v>
      </c>
      <c r="B1243" s="127" t="s">
        <v>4076</v>
      </c>
      <c r="C1243" s="127" t="s">
        <v>3929</v>
      </c>
      <c r="D1243" s="127" t="s">
        <v>73</v>
      </c>
      <c r="F1243">
        <v>390</v>
      </c>
      <c r="G1243">
        <v>4.666666666666667</v>
      </c>
      <c r="H1243">
        <v>8.7857142857142847</v>
      </c>
    </row>
    <row r="1244" spans="1:8" x14ac:dyDescent="0.2">
      <c r="A1244" s="127" t="s">
        <v>4083</v>
      </c>
      <c r="B1244" s="127" t="s">
        <v>4084</v>
      </c>
      <c r="C1244" s="127" t="s">
        <v>3929</v>
      </c>
      <c r="D1244" s="127" t="s">
        <v>8</v>
      </c>
      <c r="H1244">
        <v>0</v>
      </c>
    </row>
    <row r="1245" spans="1:8" x14ac:dyDescent="0.2">
      <c r="A1245" s="127" t="s">
        <v>4083</v>
      </c>
      <c r="B1245" s="127" t="s">
        <v>4084</v>
      </c>
      <c r="C1245" s="127" t="s">
        <v>3929</v>
      </c>
      <c r="D1245" s="127" t="s">
        <v>72</v>
      </c>
      <c r="E1245" t="s">
        <v>6792</v>
      </c>
      <c r="F1245">
        <v>0</v>
      </c>
      <c r="G1245">
        <v>0</v>
      </c>
      <c r="H1245">
        <v>0</v>
      </c>
    </row>
    <row r="1246" spans="1:8" x14ac:dyDescent="0.2">
      <c r="A1246" s="127" t="s">
        <v>4083</v>
      </c>
      <c r="B1246" s="127" t="s">
        <v>4084</v>
      </c>
      <c r="C1246" s="127" t="s">
        <v>3929</v>
      </c>
      <c r="D1246" s="127" t="s">
        <v>73</v>
      </c>
      <c r="F1246">
        <v>75</v>
      </c>
      <c r="G1246">
        <v>4.333333333333333</v>
      </c>
      <c r="H1246">
        <v>10.153846153846155</v>
      </c>
    </row>
    <row r="1247" spans="1:8" x14ac:dyDescent="0.2">
      <c r="A1247" s="127" t="s">
        <v>3976</v>
      </c>
      <c r="B1247" s="127" t="s">
        <v>3977</v>
      </c>
      <c r="C1247" s="127" t="s">
        <v>3929</v>
      </c>
      <c r="D1247" s="127" t="s">
        <v>8</v>
      </c>
      <c r="H1247">
        <v>0</v>
      </c>
    </row>
    <row r="1248" spans="1:8" x14ac:dyDescent="0.2">
      <c r="A1248" s="127" t="s">
        <v>3976</v>
      </c>
      <c r="B1248" s="127" t="s">
        <v>3977</v>
      </c>
      <c r="C1248" s="127" t="s">
        <v>3929</v>
      </c>
      <c r="D1248" s="127" t="s">
        <v>70</v>
      </c>
      <c r="E1248" t="s">
        <v>6793</v>
      </c>
    </row>
    <row r="1249" spans="1:8" x14ac:dyDescent="0.2">
      <c r="A1249" s="127" t="s">
        <v>3976</v>
      </c>
      <c r="B1249" s="127" t="s">
        <v>3977</v>
      </c>
      <c r="C1249" s="127" t="s">
        <v>3929</v>
      </c>
      <c r="D1249" s="127" t="s">
        <v>73</v>
      </c>
    </row>
    <row r="1250" spans="1:8" x14ac:dyDescent="0.2">
      <c r="A1250" s="127" t="s">
        <v>4115</v>
      </c>
      <c r="B1250" s="127" t="s">
        <v>4116</v>
      </c>
      <c r="C1250" s="127" t="s">
        <v>3929</v>
      </c>
      <c r="D1250" s="127" t="s">
        <v>73</v>
      </c>
      <c r="F1250">
        <v>270</v>
      </c>
      <c r="G1250">
        <v>2.5</v>
      </c>
      <c r="H1250">
        <v>29.6</v>
      </c>
    </row>
    <row r="1251" spans="1:8" x14ac:dyDescent="0.2">
      <c r="A1251" s="127" t="s">
        <v>4113</v>
      </c>
      <c r="B1251" s="127" t="s">
        <v>4114</v>
      </c>
      <c r="C1251" s="127" t="s">
        <v>3929</v>
      </c>
      <c r="D1251" s="127" t="s">
        <v>73</v>
      </c>
    </row>
    <row r="1252" spans="1:8" x14ac:dyDescent="0.2">
      <c r="A1252" s="127" t="s">
        <v>4097</v>
      </c>
      <c r="B1252" s="127" t="s">
        <v>4098</v>
      </c>
      <c r="C1252" s="127" t="s">
        <v>3929</v>
      </c>
      <c r="D1252" s="127" t="s">
        <v>8</v>
      </c>
      <c r="H1252">
        <v>0</v>
      </c>
    </row>
    <row r="1253" spans="1:8" x14ac:dyDescent="0.2">
      <c r="A1253" s="127" t="s">
        <v>4097</v>
      </c>
      <c r="B1253" s="127" t="s">
        <v>4098</v>
      </c>
      <c r="C1253" s="127" t="s">
        <v>3929</v>
      </c>
      <c r="D1253" s="127" t="s">
        <v>70</v>
      </c>
      <c r="E1253" t="s">
        <v>6794</v>
      </c>
    </row>
    <row r="1254" spans="1:8" x14ac:dyDescent="0.2">
      <c r="A1254" s="127" t="s">
        <v>4097</v>
      </c>
      <c r="B1254" s="127" t="s">
        <v>4098</v>
      </c>
      <c r="C1254" s="127" t="s">
        <v>3929</v>
      </c>
      <c r="D1254" s="127" t="s">
        <v>72</v>
      </c>
      <c r="E1254" t="s">
        <v>6795</v>
      </c>
      <c r="F1254">
        <v>200</v>
      </c>
      <c r="G1254">
        <v>0.33333333333333331</v>
      </c>
      <c r="H1254">
        <v>63</v>
      </c>
    </row>
    <row r="1255" spans="1:8" x14ac:dyDescent="0.2">
      <c r="A1255" s="127" t="s">
        <v>4097</v>
      </c>
      <c r="B1255" s="127" t="s">
        <v>4098</v>
      </c>
      <c r="C1255" s="127" t="s">
        <v>3929</v>
      </c>
      <c r="D1255" s="127" t="s">
        <v>73</v>
      </c>
      <c r="F1255">
        <v>800</v>
      </c>
      <c r="G1255">
        <v>7.333333333333333</v>
      </c>
      <c r="H1255">
        <v>6.1363636363636367</v>
      </c>
    </row>
    <row r="1256" spans="1:8" x14ac:dyDescent="0.2">
      <c r="A1256" s="127" t="s">
        <v>4079</v>
      </c>
      <c r="B1256" s="127" t="s">
        <v>4080</v>
      </c>
      <c r="C1256" s="127" t="s">
        <v>3929</v>
      </c>
      <c r="D1256" s="127" t="s">
        <v>73</v>
      </c>
    </row>
    <row r="1257" spans="1:8" x14ac:dyDescent="0.2">
      <c r="A1257" s="127" t="s">
        <v>5520</v>
      </c>
      <c r="B1257" s="127" t="s">
        <v>5521</v>
      </c>
      <c r="C1257" s="127" t="s">
        <v>3929</v>
      </c>
      <c r="D1257" s="127" t="s">
        <v>8</v>
      </c>
    </row>
    <row r="1258" spans="1:8" x14ac:dyDescent="0.2">
      <c r="A1258" s="127" t="s">
        <v>5520</v>
      </c>
      <c r="B1258" s="127" t="s">
        <v>5521</v>
      </c>
      <c r="C1258" s="127" t="s">
        <v>3929</v>
      </c>
      <c r="D1258" s="127" t="s">
        <v>72</v>
      </c>
      <c r="E1258" t="s">
        <v>6796</v>
      </c>
    </row>
    <row r="1259" spans="1:8" x14ac:dyDescent="0.2">
      <c r="A1259" s="127" t="s">
        <v>5520</v>
      </c>
      <c r="B1259" s="127" t="s">
        <v>5521</v>
      </c>
      <c r="C1259" s="127" t="s">
        <v>3929</v>
      </c>
      <c r="D1259" s="127" t="s">
        <v>73</v>
      </c>
    </row>
    <row r="1260" spans="1:8" x14ac:dyDescent="0.2">
      <c r="A1260" s="127" t="s">
        <v>5116</v>
      </c>
      <c r="B1260" s="127" t="s">
        <v>5117</v>
      </c>
      <c r="C1260" s="127" t="s">
        <v>3929</v>
      </c>
      <c r="D1260" s="127" t="s">
        <v>73</v>
      </c>
    </row>
    <row r="1261" spans="1:8" x14ac:dyDescent="0.2">
      <c r="A1261" s="127" t="s">
        <v>4095</v>
      </c>
      <c r="B1261" s="127" t="s">
        <v>4096</v>
      </c>
      <c r="C1261" s="127" t="s">
        <v>3929</v>
      </c>
      <c r="D1261" s="127" t="s">
        <v>8</v>
      </c>
      <c r="G1261">
        <v>0.16666666666666666</v>
      </c>
      <c r="H1261">
        <v>6</v>
      </c>
    </row>
    <row r="1262" spans="1:8" x14ac:dyDescent="0.2">
      <c r="A1262" s="127" t="s">
        <v>4095</v>
      </c>
      <c r="B1262" s="127" t="s">
        <v>4096</v>
      </c>
      <c r="C1262" s="127" t="s">
        <v>3929</v>
      </c>
      <c r="D1262" s="127" t="s">
        <v>70</v>
      </c>
      <c r="E1262" t="s">
        <v>6797</v>
      </c>
    </row>
    <row r="1263" spans="1:8" x14ac:dyDescent="0.2">
      <c r="A1263" s="127" t="s">
        <v>4095</v>
      </c>
      <c r="B1263" s="127" t="s">
        <v>4096</v>
      </c>
      <c r="C1263" s="127" t="s">
        <v>3929</v>
      </c>
      <c r="D1263" s="127" t="s">
        <v>73</v>
      </c>
    </row>
    <row r="1264" spans="1:8" x14ac:dyDescent="0.2">
      <c r="A1264" s="127" t="s">
        <v>3960</v>
      </c>
      <c r="B1264" s="127" t="s">
        <v>3961</v>
      </c>
      <c r="C1264" s="127" t="s">
        <v>3929</v>
      </c>
      <c r="D1264" s="127" t="s">
        <v>8</v>
      </c>
      <c r="G1264">
        <v>0.16666666666666666</v>
      </c>
      <c r="H1264">
        <v>66</v>
      </c>
    </row>
    <row r="1265" spans="1:8" x14ac:dyDescent="0.2">
      <c r="A1265" s="127" t="s">
        <v>3960</v>
      </c>
      <c r="B1265" s="127" t="s">
        <v>3961</v>
      </c>
      <c r="C1265" s="127" t="s">
        <v>3929</v>
      </c>
      <c r="D1265" s="127" t="s">
        <v>72</v>
      </c>
      <c r="E1265" t="s">
        <v>6798</v>
      </c>
      <c r="F1265">
        <v>0</v>
      </c>
      <c r="G1265">
        <v>0</v>
      </c>
      <c r="H1265">
        <v>0</v>
      </c>
    </row>
    <row r="1266" spans="1:8" x14ac:dyDescent="0.2">
      <c r="A1266" s="127" t="s">
        <v>3960</v>
      </c>
      <c r="B1266" s="127" t="s">
        <v>3961</v>
      </c>
      <c r="C1266" s="127" t="s">
        <v>3929</v>
      </c>
      <c r="D1266" s="127" t="s">
        <v>73</v>
      </c>
      <c r="F1266">
        <v>65</v>
      </c>
      <c r="G1266">
        <v>5.666666666666667</v>
      </c>
      <c r="H1266">
        <v>2.4705882352941173</v>
      </c>
    </row>
    <row r="1267" spans="1:8" x14ac:dyDescent="0.2">
      <c r="A1267" s="127" t="s">
        <v>5122</v>
      </c>
      <c r="B1267" s="127" t="s">
        <v>5123</v>
      </c>
      <c r="C1267" s="127" t="s">
        <v>3929</v>
      </c>
      <c r="D1267" s="127" t="s">
        <v>73</v>
      </c>
      <c r="F1267">
        <v>340</v>
      </c>
      <c r="G1267">
        <v>1.6666666666666667</v>
      </c>
      <c r="H1267">
        <v>22.8</v>
      </c>
    </row>
    <row r="1268" spans="1:8" x14ac:dyDescent="0.2">
      <c r="A1268" s="127" t="s">
        <v>3974</v>
      </c>
      <c r="B1268" s="127" t="s">
        <v>3975</v>
      </c>
      <c r="C1268" s="127" t="s">
        <v>3929</v>
      </c>
      <c r="D1268" s="127" t="s">
        <v>73</v>
      </c>
    </row>
    <row r="1269" spans="1:8" x14ac:dyDescent="0.2">
      <c r="A1269" s="127" t="s">
        <v>5075</v>
      </c>
      <c r="B1269" s="127" t="s">
        <v>5076</v>
      </c>
      <c r="C1269" s="127" t="s">
        <v>3929</v>
      </c>
      <c r="D1269" s="127" t="s">
        <v>73</v>
      </c>
    </row>
    <row r="1270" spans="1:8" x14ac:dyDescent="0.2">
      <c r="A1270" s="127" t="s">
        <v>4119</v>
      </c>
      <c r="B1270" s="127" t="s">
        <v>4120</v>
      </c>
      <c r="C1270" s="127" t="s">
        <v>3929</v>
      </c>
      <c r="D1270" s="127" t="s">
        <v>72</v>
      </c>
      <c r="E1270" t="s">
        <v>6799</v>
      </c>
      <c r="F1270">
        <v>0</v>
      </c>
      <c r="G1270">
        <v>0</v>
      </c>
      <c r="H1270">
        <v>0</v>
      </c>
    </row>
    <row r="1271" spans="1:8" x14ac:dyDescent="0.2">
      <c r="A1271" s="127" t="s">
        <v>4119</v>
      </c>
      <c r="B1271" s="127" t="s">
        <v>4120</v>
      </c>
      <c r="C1271" s="127" t="s">
        <v>3929</v>
      </c>
      <c r="D1271" s="127" t="s">
        <v>73</v>
      </c>
      <c r="F1271">
        <v>0</v>
      </c>
      <c r="G1271">
        <v>1</v>
      </c>
      <c r="H1271">
        <v>65</v>
      </c>
    </row>
    <row r="1272" spans="1:8" x14ac:dyDescent="0.2">
      <c r="A1272" s="127" t="s">
        <v>4125</v>
      </c>
      <c r="B1272" s="127" t="s">
        <v>4126</v>
      </c>
      <c r="C1272" s="127" t="s">
        <v>3929</v>
      </c>
      <c r="D1272" s="127" t="s">
        <v>8</v>
      </c>
      <c r="G1272">
        <v>0.16666666666666666</v>
      </c>
      <c r="H1272">
        <v>12</v>
      </c>
    </row>
    <row r="1273" spans="1:8" x14ac:dyDescent="0.2">
      <c r="A1273" s="127" t="s">
        <v>4125</v>
      </c>
      <c r="B1273" s="127" t="s">
        <v>4126</v>
      </c>
      <c r="C1273" s="127" t="s">
        <v>3929</v>
      </c>
      <c r="D1273" s="127" t="s">
        <v>72</v>
      </c>
      <c r="E1273" t="s">
        <v>6800</v>
      </c>
      <c r="F1273">
        <v>0</v>
      </c>
      <c r="G1273">
        <v>0</v>
      </c>
      <c r="H1273">
        <v>0</v>
      </c>
    </row>
    <row r="1274" spans="1:8" x14ac:dyDescent="0.2">
      <c r="A1274" s="127" t="s">
        <v>4125</v>
      </c>
      <c r="B1274" s="127" t="s">
        <v>4126</v>
      </c>
      <c r="C1274" s="127" t="s">
        <v>3929</v>
      </c>
      <c r="D1274" s="127" t="s">
        <v>73</v>
      </c>
      <c r="F1274">
        <v>90</v>
      </c>
      <c r="G1274">
        <v>1.3333333333333333</v>
      </c>
      <c r="H1274">
        <v>12</v>
      </c>
    </row>
    <row r="1275" spans="1:8" x14ac:dyDescent="0.2">
      <c r="A1275" s="127" t="s">
        <v>5083</v>
      </c>
      <c r="B1275" s="127" t="s">
        <v>5084</v>
      </c>
      <c r="C1275" s="127" t="s">
        <v>3929</v>
      </c>
      <c r="D1275" s="127" t="s">
        <v>70</v>
      </c>
      <c r="E1275" t="s">
        <v>6801</v>
      </c>
      <c r="F1275">
        <v>0</v>
      </c>
      <c r="G1275">
        <v>0.16666666666666666</v>
      </c>
      <c r="H1275">
        <v>42</v>
      </c>
    </row>
    <row r="1276" spans="1:8" x14ac:dyDescent="0.2">
      <c r="A1276" s="127" t="s">
        <v>5083</v>
      </c>
      <c r="B1276" s="127" t="s">
        <v>5084</v>
      </c>
      <c r="C1276" s="127" t="s">
        <v>3929</v>
      </c>
      <c r="D1276" s="127" t="s">
        <v>73</v>
      </c>
    </row>
    <row r="1277" spans="1:8" x14ac:dyDescent="0.2">
      <c r="A1277" s="127" t="s">
        <v>5369</v>
      </c>
      <c r="B1277" s="127" t="s">
        <v>5370</v>
      </c>
      <c r="C1277" s="127" t="s">
        <v>3929</v>
      </c>
      <c r="D1277" s="127" t="s">
        <v>73</v>
      </c>
    </row>
    <row r="1278" spans="1:8" x14ac:dyDescent="0.2">
      <c r="A1278" s="127" t="s">
        <v>3954</v>
      </c>
      <c r="B1278" s="127" t="s">
        <v>3955</v>
      </c>
      <c r="C1278" s="127" t="s">
        <v>3929</v>
      </c>
      <c r="D1278" s="127" t="s">
        <v>73</v>
      </c>
      <c r="F1278">
        <v>65</v>
      </c>
      <c r="G1278">
        <v>1.1666666666666667</v>
      </c>
      <c r="H1278">
        <v>150</v>
      </c>
    </row>
    <row r="1279" spans="1:8" x14ac:dyDescent="0.2">
      <c r="A1279" s="127" t="s">
        <v>5110</v>
      </c>
      <c r="B1279" s="127" t="s">
        <v>5111</v>
      </c>
      <c r="C1279" s="127" t="s">
        <v>3929</v>
      </c>
      <c r="D1279" s="127" t="s">
        <v>73</v>
      </c>
    </row>
    <row r="1280" spans="1:8" x14ac:dyDescent="0.2">
      <c r="A1280" s="127" t="s">
        <v>4099</v>
      </c>
      <c r="B1280" s="127" t="s">
        <v>4100</v>
      </c>
      <c r="C1280" s="127" t="s">
        <v>3929</v>
      </c>
      <c r="D1280" s="127" t="s">
        <v>73</v>
      </c>
      <c r="F1280">
        <v>250</v>
      </c>
      <c r="G1280">
        <v>0.33333333333333331</v>
      </c>
      <c r="H1280">
        <v>24</v>
      </c>
    </row>
    <row r="1281" spans="1:8" x14ac:dyDescent="0.2">
      <c r="A1281" s="127" t="s">
        <v>4127</v>
      </c>
      <c r="B1281" s="127" t="s">
        <v>4128</v>
      </c>
      <c r="C1281" s="127" t="s">
        <v>3929</v>
      </c>
      <c r="D1281" s="127" t="s">
        <v>73</v>
      </c>
    </row>
    <row r="1282" spans="1:8" x14ac:dyDescent="0.2">
      <c r="A1282" s="127" t="s">
        <v>3932</v>
      </c>
      <c r="B1282" s="127" t="s">
        <v>3933</v>
      </c>
      <c r="C1282" s="127" t="s">
        <v>3929</v>
      </c>
      <c r="D1282" s="127" t="s">
        <v>8</v>
      </c>
    </row>
    <row r="1283" spans="1:8" x14ac:dyDescent="0.2">
      <c r="A1283" s="127" t="s">
        <v>3932</v>
      </c>
      <c r="B1283" s="127" t="s">
        <v>3933</v>
      </c>
      <c r="C1283" s="127" t="s">
        <v>3929</v>
      </c>
      <c r="D1283" s="127" t="s">
        <v>72</v>
      </c>
      <c r="E1283" t="s">
        <v>6802</v>
      </c>
      <c r="F1283">
        <v>130</v>
      </c>
      <c r="G1283">
        <v>0.83333333333333337</v>
      </c>
      <c r="H1283">
        <v>20.399999999999999</v>
      </c>
    </row>
    <row r="1284" spans="1:8" x14ac:dyDescent="0.2">
      <c r="A1284" s="127" t="s">
        <v>3932</v>
      </c>
      <c r="B1284" s="127" t="s">
        <v>3933</v>
      </c>
      <c r="C1284" s="127" t="s">
        <v>3929</v>
      </c>
      <c r="D1284" s="127" t="s">
        <v>73</v>
      </c>
      <c r="F1284">
        <v>130</v>
      </c>
      <c r="G1284">
        <v>2</v>
      </c>
      <c r="H1284">
        <v>29.5</v>
      </c>
    </row>
    <row r="1285" spans="1:8" x14ac:dyDescent="0.2">
      <c r="A1285" s="127" t="s">
        <v>3940</v>
      </c>
      <c r="B1285" s="127" t="s">
        <v>3941</v>
      </c>
      <c r="C1285" s="127" t="s">
        <v>3929</v>
      </c>
      <c r="D1285" s="127" t="s">
        <v>8</v>
      </c>
      <c r="G1285">
        <v>0.5</v>
      </c>
      <c r="H1285">
        <v>14</v>
      </c>
    </row>
    <row r="1286" spans="1:8" x14ac:dyDescent="0.2">
      <c r="A1286" s="127" t="s">
        <v>3940</v>
      </c>
      <c r="B1286" s="127" t="s">
        <v>3941</v>
      </c>
      <c r="C1286" s="127" t="s">
        <v>3929</v>
      </c>
      <c r="D1286" s="127" t="s">
        <v>70</v>
      </c>
      <c r="E1286" t="s">
        <v>6803</v>
      </c>
      <c r="F1286">
        <v>0</v>
      </c>
      <c r="G1286">
        <v>0</v>
      </c>
      <c r="H1286">
        <v>0</v>
      </c>
    </row>
    <row r="1287" spans="1:8" x14ac:dyDescent="0.2">
      <c r="A1287" s="127" t="s">
        <v>3940</v>
      </c>
      <c r="B1287" s="127" t="s">
        <v>3941</v>
      </c>
      <c r="C1287" s="127" t="s">
        <v>3929</v>
      </c>
      <c r="D1287" s="127" t="s">
        <v>72</v>
      </c>
      <c r="E1287" t="s">
        <v>6804</v>
      </c>
      <c r="F1287">
        <v>210</v>
      </c>
      <c r="G1287">
        <v>0.66666666666666663</v>
      </c>
      <c r="H1287">
        <v>7.5</v>
      </c>
    </row>
    <row r="1288" spans="1:8" x14ac:dyDescent="0.2">
      <c r="A1288" s="127" t="s">
        <v>3940</v>
      </c>
      <c r="B1288" s="127" t="s">
        <v>3941</v>
      </c>
      <c r="C1288" s="127" t="s">
        <v>3929</v>
      </c>
      <c r="D1288" s="127" t="s">
        <v>73</v>
      </c>
      <c r="F1288">
        <v>630</v>
      </c>
      <c r="G1288">
        <v>1.6666666666666667</v>
      </c>
      <c r="H1288">
        <v>33.6</v>
      </c>
    </row>
    <row r="1289" spans="1:8" x14ac:dyDescent="0.2">
      <c r="A1289" s="127" t="s">
        <v>5120</v>
      </c>
      <c r="B1289" s="127" t="s">
        <v>5121</v>
      </c>
      <c r="C1289" s="127" t="s">
        <v>3929</v>
      </c>
      <c r="D1289" s="127" t="s">
        <v>8</v>
      </c>
      <c r="H1289">
        <v>0</v>
      </c>
    </row>
    <row r="1290" spans="1:8" x14ac:dyDescent="0.2">
      <c r="A1290" s="127" t="s">
        <v>5120</v>
      </c>
      <c r="B1290" s="127" t="s">
        <v>5121</v>
      </c>
      <c r="C1290" s="127" t="s">
        <v>3929</v>
      </c>
      <c r="D1290" s="127" t="s">
        <v>72</v>
      </c>
      <c r="E1290" t="s">
        <v>6805</v>
      </c>
      <c r="F1290">
        <v>0</v>
      </c>
      <c r="G1290">
        <v>0.33333333333333331</v>
      </c>
      <c r="H1290">
        <v>48</v>
      </c>
    </row>
    <row r="1291" spans="1:8" x14ac:dyDescent="0.2">
      <c r="A1291" s="127" t="s">
        <v>5120</v>
      </c>
      <c r="B1291" s="127" t="s">
        <v>5121</v>
      </c>
      <c r="C1291" s="127" t="s">
        <v>3929</v>
      </c>
      <c r="D1291" s="127" t="s">
        <v>73</v>
      </c>
    </row>
    <row r="1292" spans="1:8" x14ac:dyDescent="0.2">
      <c r="A1292" s="127" t="s">
        <v>4109</v>
      </c>
      <c r="B1292" s="127" t="s">
        <v>4110</v>
      </c>
      <c r="C1292" s="127" t="s">
        <v>3929</v>
      </c>
      <c r="D1292" s="127" t="s">
        <v>70</v>
      </c>
      <c r="E1292" t="s">
        <v>6806</v>
      </c>
    </row>
    <row r="1293" spans="1:8" x14ac:dyDescent="0.2">
      <c r="A1293" s="127" t="s">
        <v>4109</v>
      </c>
      <c r="B1293" s="127" t="s">
        <v>4110</v>
      </c>
      <c r="C1293" s="127" t="s">
        <v>3929</v>
      </c>
      <c r="D1293" s="127" t="s">
        <v>73</v>
      </c>
      <c r="F1293">
        <v>0</v>
      </c>
      <c r="G1293">
        <v>0.83333333333333337</v>
      </c>
      <c r="H1293">
        <v>4.8</v>
      </c>
    </row>
    <row r="1294" spans="1:8" x14ac:dyDescent="0.2">
      <c r="A1294" s="127" t="s">
        <v>4117</v>
      </c>
      <c r="B1294" s="127" t="s">
        <v>4118</v>
      </c>
      <c r="C1294" s="127" t="s">
        <v>3929</v>
      </c>
      <c r="D1294" s="127" t="s">
        <v>8</v>
      </c>
      <c r="G1294">
        <v>0.16666666666666666</v>
      </c>
      <c r="H1294">
        <v>48</v>
      </c>
    </row>
    <row r="1295" spans="1:8" x14ac:dyDescent="0.2">
      <c r="A1295" s="127" t="s">
        <v>4117</v>
      </c>
      <c r="B1295" s="127" t="s">
        <v>4118</v>
      </c>
      <c r="C1295" s="127" t="s">
        <v>3929</v>
      </c>
      <c r="D1295" s="127" t="s">
        <v>70</v>
      </c>
      <c r="E1295" t="s">
        <v>6807</v>
      </c>
      <c r="F1295">
        <v>35</v>
      </c>
      <c r="G1295">
        <v>0.5</v>
      </c>
      <c r="H1295">
        <v>24</v>
      </c>
    </row>
    <row r="1296" spans="1:8" x14ac:dyDescent="0.2">
      <c r="A1296" s="127" t="s">
        <v>4117</v>
      </c>
      <c r="B1296" s="127" t="s">
        <v>4118</v>
      </c>
      <c r="C1296" s="127" t="s">
        <v>3929</v>
      </c>
      <c r="D1296" s="127" t="s">
        <v>72</v>
      </c>
      <c r="E1296" t="s">
        <v>6808</v>
      </c>
      <c r="F1296">
        <v>0</v>
      </c>
      <c r="G1296">
        <v>0</v>
      </c>
      <c r="H1296">
        <v>0</v>
      </c>
    </row>
    <row r="1297" spans="1:8" x14ac:dyDescent="0.2">
      <c r="A1297" s="127" t="s">
        <v>4117</v>
      </c>
      <c r="B1297" s="127" t="s">
        <v>4118</v>
      </c>
      <c r="C1297" s="127" t="s">
        <v>3929</v>
      </c>
      <c r="D1297" s="127" t="s">
        <v>73</v>
      </c>
      <c r="F1297">
        <v>140</v>
      </c>
      <c r="G1297">
        <v>2</v>
      </c>
      <c r="H1297">
        <v>23</v>
      </c>
    </row>
    <row r="1298" spans="1:8" x14ac:dyDescent="0.2">
      <c r="A1298" s="127" t="s">
        <v>4091</v>
      </c>
      <c r="B1298" s="127" t="s">
        <v>4092</v>
      </c>
      <c r="C1298" s="127" t="s">
        <v>3929</v>
      </c>
      <c r="D1298" s="127" t="s">
        <v>73</v>
      </c>
      <c r="F1298">
        <v>0</v>
      </c>
      <c r="G1298">
        <v>0.33333333333333331</v>
      </c>
      <c r="H1298">
        <v>18</v>
      </c>
    </row>
    <row r="1299" spans="1:8" x14ac:dyDescent="0.2">
      <c r="A1299" s="127" t="s">
        <v>5213</v>
      </c>
      <c r="B1299" s="127" t="s">
        <v>5214</v>
      </c>
      <c r="C1299" s="127" t="s">
        <v>3929</v>
      </c>
      <c r="D1299" s="127" t="s">
        <v>73</v>
      </c>
    </row>
    <row r="1300" spans="1:8" x14ac:dyDescent="0.2">
      <c r="A1300" s="127" t="s">
        <v>5102</v>
      </c>
      <c r="B1300" s="127" t="s">
        <v>5103</v>
      </c>
      <c r="C1300" s="127" t="s">
        <v>3929</v>
      </c>
      <c r="D1300" s="127" t="s">
        <v>73</v>
      </c>
    </row>
    <row r="1301" spans="1:8" x14ac:dyDescent="0.2">
      <c r="A1301" s="127" t="s">
        <v>3942</v>
      </c>
      <c r="B1301" s="127" t="s">
        <v>3943</v>
      </c>
      <c r="C1301" s="127" t="s">
        <v>3929</v>
      </c>
      <c r="D1301" s="127" t="s">
        <v>73</v>
      </c>
      <c r="F1301">
        <v>0</v>
      </c>
      <c r="G1301">
        <v>0.66666666666666663</v>
      </c>
      <c r="H1301">
        <v>28.5</v>
      </c>
    </row>
    <row r="1302" spans="1:8" x14ac:dyDescent="0.2">
      <c r="A1302" s="127" t="s">
        <v>4081</v>
      </c>
      <c r="B1302" s="127" t="s">
        <v>4082</v>
      </c>
      <c r="C1302" s="127" t="s">
        <v>3929</v>
      </c>
      <c r="D1302" s="127" t="s">
        <v>73</v>
      </c>
      <c r="F1302">
        <v>0</v>
      </c>
      <c r="G1302">
        <v>0</v>
      </c>
      <c r="H1302">
        <v>0</v>
      </c>
    </row>
    <row r="1303" spans="1:8" x14ac:dyDescent="0.2">
      <c r="A1303" s="127" t="s">
        <v>5092</v>
      </c>
      <c r="B1303" s="127" t="s">
        <v>5780</v>
      </c>
      <c r="C1303" s="127" t="s">
        <v>3929</v>
      </c>
      <c r="D1303" s="127" t="s">
        <v>73</v>
      </c>
    </row>
    <row r="1304" spans="1:8" x14ac:dyDescent="0.2">
      <c r="A1304" s="127" t="s">
        <v>5584</v>
      </c>
      <c r="B1304" s="127" t="s">
        <v>5585</v>
      </c>
      <c r="C1304" s="127" t="s">
        <v>3929</v>
      </c>
      <c r="D1304" s="127" t="s">
        <v>73</v>
      </c>
      <c r="F1304">
        <v>0</v>
      </c>
      <c r="G1304">
        <v>0.5</v>
      </c>
      <c r="H1304">
        <v>82</v>
      </c>
    </row>
    <row r="1305" spans="1:8" x14ac:dyDescent="0.2">
      <c r="A1305" s="127" t="s">
        <v>5100</v>
      </c>
      <c r="B1305" s="127" t="s">
        <v>5101</v>
      </c>
      <c r="C1305" s="127" t="s">
        <v>3929</v>
      </c>
      <c r="D1305" s="127" t="s">
        <v>8</v>
      </c>
      <c r="G1305">
        <v>0.16666666666666666</v>
      </c>
      <c r="H1305">
        <v>12</v>
      </c>
    </row>
    <row r="1306" spans="1:8" x14ac:dyDescent="0.2">
      <c r="A1306" s="127" t="s">
        <v>5100</v>
      </c>
      <c r="B1306" s="127" t="s">
        <v>5101</v>
      </c>
      <c r="C1306" s="127" t="s">
        <v>3929</v>
      </c>
      <c r="D1306" s="127" t="s">
        <v>73</v>
      </c>
    </row>
    <row r="1307" spans="1:8" x14ac:dyDescent="0.2">
      <c r="A1307" s="127" t="s">
        <v>5124</v>
      </c>
      <c r="B1307" s="127" t="s">
        <v>5125</v>
      </c>
      <c r="C1307" s="127" t="s">
        <v>3929</v>
      </c>
      <c r="D1307" s="127" t="s">
        <v>73</v>
      </c>
      <c r="F1307">
        <v>0</v>
      </c>
      <c r="G1307">
        <v>0.33333333333333331</v>
      </c>
      <c r="H1307">
        <v>9</v>
      </c>
    </row>
    <row r="1308" spans="1:8" x14ac:dyDescent="0.2">
      <c r="A1308" s="127" t="s">
        <v>4103</v>
      </c>
      <c r="B1308" s="127" t="s">
        <v>4104</v>
      </c>
      <c r="C1308" s="127" t="s">
        <v>3929</v>
      </c>
      <c r="D1308" s="127" t="s">
        <v>73</v>
      </c>
      <c r="F1308">
        <v>200</v>
      </c>
      <c r="G1308">
        <v>2.1666666666666665</v>
      </c>
      <c r="H1308">
        <v>1.8461538461538463</v>
      </c>
    </row>
    <row r="1309" spans="1:8" x14ac:dyDescent="0.2">
      <c r="A1309" s="127" t="s">
        <v>4105</v>
      </c>
      <c r="B1309" s="127" t="s">
        <v>4106</v>
      </c>
      <c r="C1309" s="127" t="s">
        <v>3929</v>
      </c>
      <c r="D1309" s="127" t="s">
        <v>73</v>
      </c>
      <c r="F1309">
        <v>260</v>
      </c>
      <c r="G1309">
        <v>1.3333333333333333</v>
      </c>
      <c r="H1309">
        <v>50.25</v>
      </c>
    </row>
    <row r="1310" spans="1:8" x14ac:dyDescent="0.2">
      <c r="A1310" s="127" t="s">
        <v>5606</v>
      </c>
      <c r="B1310" s="127" t="s">
        <v>5607</v>
      </c>
      <c r="C1310" s="127" t="s">
        <v>3929</v>
      </c>
      <c r="D1310" s="127" t="s">
        <v>8</v>
      </c>
      <c r="G1310">
        <v>0.16666666666666666</v>
      </c>
      <c r="H1310">
        <v>6</v>
      </c>
    </row>
    <row r="1311" spans="1:8" x14ac:dyDescent="0.2">
      <c r="A1311" s="127" t="s">
        <v>5606</v>
      </c>
      <c r="B1311" s="127" t="s">
        <v>5607</v>
      </c>
      <c r="C1311" s="127" t="s">
        <v>3929</v>
      </c>
      <c r="D1311" s="127" t="s">
        <v>73</v>
      </c>
    </row>
    <row r="1312" spans="1:8" x14ac:dyDescent="0.2">
      <c r="A1312" s="127" t="s">
        <v>5081</v>
      </c>
      <c r="B1312" s="127" t="s">
        <v>5082</v>
      </c>
      <c r="C1312" s="127" t="s">
        <v>3929</v>
      </c>
      <c r="D1312" s="127" t="s">
        <v>8</v>
      </c>
    </row>
    <row r="1313" spans="1:8" x14ac:dyDescent="0.2">
      <c r="A1313" s="127" t="s">
        <v>5081</v>
      </c>
      <c r="B1313" s="127" t="s">
        <v>5082</v>
      </c>
      <c r="C1313" s="127" t="s">
        <v>3929</v>
      </c>
      <c r="D1313" s="127" t="s">
        <v>70</v>
      </c>
      <c r="E1313" t="s">
        <v>6809</v>
      </c>
    </row>
    <row r="1314" spans="1:8" x14ac:dyDescent="0.2">
      <c r="A1314" s="127" t="s">
        <v>5081</v>
      </c>
      <c r="B1314" s="127" t="s">
        <v>5082</v>
      </c>
      <c r="C1314" s="127" t="s">
        <v>3929</v>
      </c>
      <c r="D1314" s="127" t="s">
        <v>73</v>
      </c>
    </row>
    <row r="1315" spans="1:8" x14ac:dyDescent="0.2">
      <c r="A1315" s="127" t="s">
        <v>5130</v>
      </c>
      <c r="B1315" s="127" t="s">
        <v>5131</v>
      </c>
      <c r="C1315" s="127" t="s">
        <v>3929</v>
      </c>
      <c r="D1315" s="127" t="s">
        <v>8</v>
      </c>
      <c r="H1315">
        <v>0</v>
      </c>
    </row>
    <row r="1316" spans="1:8" x14ac:dyDescent="0.2">
      <c r="A1316" s="127" t="s">
        <v>5130</v>
      </c>
      <c r="B1316" s="127" t="s">
        <v>5131</v>
      </c>
      <c r="C1316" s="127" t="s">
        <v>3929</v>
      </c>
      <c r="D1316" s="127" t="s">
        <v>70</v>
      </c>
      <c r="E1316" t="s">
        <v>6810</v>
      </c>
    </row>
    <row r="1317" spans="1:8" x14ac:dyDescent="0.2">
      <c r="A1317" s="127" t="s">
        <v>5130</v>
      </c>
      <c r="B1317" s="127" t="s">
        <v>5131</v>
      </c>
      <c r="C1317" s="127" t="s">
        <v>3929</v>
      </c>
      <c r="D1317" s="127" t="s">
        <v>72</v>
      </c>
      <c r="E1317" t="s">
        <v>6811</v>
      </c>
    </row>
    <row r="1318" spans="1:8" x14ac:dyDescent="0.2">
      <c r="A1318" s="127" t="s">
        <v>5130</v>
      </c>
      <c r="B1318" s="127" t="s">
        <v>5131</v>
      </c>
      <c r="C1318" s="127" t="s">
        <v>3929</v>
      </c>
      <c r="D1318" s="127" t="s">
        <v>73</v>
      </c>
    </row>
    <row r="1319" spans="1:8" x14ac:dyDescent="0.2">
      <c r="A1319" s="127" t="s">
        <v>4042</v>
      </c>
      <c r="B1319" s="127" t="s">
        <v>4043</v>
      </c>
      <c r="C1319" s="127" t="s">
        <v>3929</v>
      </c>
      <c r="D1319" s="127" t="s">
        <v>72</v>
      </c>
      <c r="E1319" t="s">
        <v>7583</v>
      </c>
      <c r="F1319">
        <v>0</v>
      </c>
      <c r="G1319">
        <v>0</v>
      </c>
      <c r="H1319">
        <v>0</v>
      </c>
    </row>
    <row r="1320" spans="1:8" x14ac:dyDescent="0.2">
      <c r="A1320" s="127" t="s">
        <v>4042</v>
      </c>
      <c r="B1320" s="127" t="s">
        <v>4043</v>
      </c>
      <c r="C1320" s="127" t="s">
        <v>3929</v>
      </c>
      <c r="D1320" s="127" t="s">
        <v>73</v>
      </c>
    </row>
    <row r="1321" spans="1:8" x14ac:dyDescent="0.2">
      <c r="A1321" s="127" t="s">
        <v>4044</v>
      </c>
      <c r="B1321" s="127" t="s">
        <v>4045</v>
      </c>
      <c r="C1321" s="127" t="s">
        <v>3929</v>
      </c>
      <c r="D1321" s="127" t="s">
        <v>70</v>
      </c>
      <c r="E1321" t="s">
        <v>6812</v>
      </c>
    </row>
    <row r="1322" spans="1:8" x14ac:dyDescent="0.2">
      <c r="A1322" s="127" t="s">
        <v>4044</v>
      </c>
      <c r="B1322" s="127" t="s">
        <v>4045</v>
      </c>
      <c r="C1322" s="127" t="s">
        <v>3929</v>
      </c>
      <c r="D1322" s="127" t="s">
        <v>72</v>
      </c>
      <c r="E1322" t="s">
        <v>6813</v>
      </c>
    </row>
    <row r="1323" spans="1:8" x14ac:dyDescent="0.2">
      <c r="A1323" s="127" t="s">
        <v>4044</v>
      </c>
      <c r="B1323" s="127" t="s">
        <v>4045</v>
      </c>
      <c r="C1323" s="127" t="s">
        <v>3929</v>
      </c>
      <c r="D1323" s="127" t="s">
        <v>73</v>
      </c>
      <c r="F1323">
        <v>520</v>
      </c>
      <c r="G1323">
        <v>6.833333333333333</v>
      </c>
      <c r="H1323">
        <v>9.6585365853658534</v>
      </c>
    </row>
    <row r="1324" spans="1:8" x14ac:dyDescent="0.2">
      <c r="A1324" s="127" t="s">
        <v>5261</v>
      </c>
      <c r="B1324" s="127" t="s">
        <v>5262</v>
      </c>
      <c r="C1324" s="127" t="s">
        <v>3929</v>
      </c>
      <c r="D1324" s="127" t="s">
        <v>73</v>
      </c>
      <c r="F1324">
        <v>90</v>
      </c>
      <c r="G1324">
        <v>1.1666666666666667</v>
      </c>
      <c r="H1324">
        <v>14.571428571428571</v>
      </c>
    </row>
    <row r="1325" spans="1:8" x14ac:dyDescent="0.2">
      <c r="A1325" s="127" t="s">
        <v>4010</v>
      </c>
      <c r="B1325" s="127" t="s">
        <v>4011</v>
      </c>
      <c r="C1325" s="127" t="s">
        <v>3929</v>
      </c>
      <c r="D1325" s="127" t="s">
        <v>72</v>
      </c>
      <c r="E1325" t="s">
        <v>6814</v>
      </c>
      <c r="F1325">
        <v>0</v>
      </c>
      <c r="G1325">
        <v>0</v>
      </c>
      <c r="H1325">
        <v>0</v>
      </c>
    </row>
    <row r="1326" spans="1:8" x14ac:dyDescent="0.2">
      <c r="A1326" s="127" t="s">
        <v>4010</v>
      </c>
      <c r="B1326" s="127" t="s">
        <v>4011</v>
      </c>
      <c r="C1326" s="127" t="s">
        <v>3929</v>
      </c>
      <c r="D1326" s="127" t="s">
        <v>73</v>
      </c>
      <c r="F1326">
        <v>90</v>
      </c>
      <c r="G1326">
        <v>1.1666666666666667</v>
      </c>
      <c r="H1326">
        <v>9.4285714285714288</v>
      </c>
    </row>
    <row r="1327" spans="1:8" x14ac:dyDescent="0.2">
      <c r="A1327" s="127" t="s">
        <v>5096</v>
      </c>
      <c r="B1327" s="127" t="s">
        <v>5097</v>
      </c>
      <c r="C1327" s="127" t="s">
        <v>3929</v>
      </c>
      <c r="D1327" s="127" t="s">
        <v>72</v>
      </c>
      <c r="E1327" t="s">
        <v>6815</v>
      </c>
      <c r="F1327">
        <v>0</v>
      </c>
      <c r="G1327">
        <v>0.33333333333333331</v>
      </c>
      <c r="H1327">
        <v>18</v>
      </c>
    </row>
    <row r="1328" spans="1:8" x14ac:dyDescent="0.2">
      <c r="A1328" s="127" t="s">
        <v>5096</v>
      </c>
      <c r="B1328" s="127" t="s">
        <v>5097</v>
      </c>
      <c r="C1328" s="127" t="s">
        <v>3929</v>
      </c>
      <c r="D1328" s="127" t="s">
        <v>73</v>
      </c>
    </row>
    <row r="1329" spans="1:8" x14ac:dyDescent="0.2">
      <c r="A1329" s="127" t="s">
        <v>4147</v>
      </c>
      <c r="B1329" s="127" t="s">
        <v>4148</v>
      </c>
      <c r="C1329" s="127" t="s">
        <v>3929</v>
      </c>
      <c r="D1329" s="127" t="s">
        <v>73</v>
      </c>
      <c r="F1329">
        <v>240</v>
      </c>
      <c r="G1329">
        <v>1</v>
      </c>
      <c r="H1329">
        <v>35</v>
      </c>
    </row>
    <row r="1330" spans="1:8" x14ac:dyDescent="0.2">
      <c r="A1330" s="127" t="s">
        <v>3938</v>
      </c>
      <c r="B1330" s="127" t="s">
        <v>3939</v>
      </c>
      <c r="C1330" s="127" t="s">
        <v>3929</v>
      </c>
      <c r="D1330" s="127" t="s">
        <v>70</v>
      </c>
      <c r="E1330" t="s">
        <v>6816</v>
      </c>
      <c r="F1330">
        <v>0</v>
      </c>
      <c r="G1330">
        <v>0.33333333333333331</v>
      </c>
      <c r="H1330">
        <v>168</v>
      </c>
    </row>
    <row r="1331" spans="1:8" x14ac:dyDescent="0.2">
      <c r="A1331" s="127" t="s">
        <v>3938</v>
      </c>
      <c r="B1331" s="127" t="s">
        <v>3939</v>
      </c>
      <c r="C1331" s="127" t="s">
        <v>3929</v>
      </c>
      <c r="D1331" s="127" t="s">
        <v>72</v>
      </c>
      <c r="E1331" t="s">
        <v>6817</v>
      </c>
      <c r="F1331">
        <v>1300</v>
      </c>
      <c r="G1331">
        <v>2</v>
      </c>
      <c r="H1331">
        <v>2.5</v>
      </c>
    </row>
    <row r="1332" spans="1:8" x14ac:dyDescent="0.2">
      <c r="A1332" s="127" t="s">
        <v>3938</v>
      </c>
      <c r="B1332" s="127" t="s">
        <v>3939</v>
      </c>
      <c r="C1332" s="127" t="s">
        <v>3929</v>
      </c>
      <c r="D1332" s="127" t="s">
        <v>73</v>
      </c>
      <c r="F1332">
        <v>0</v>
      </c>
      <c r="G1332">
        <v>0.33333333333333331</v>
      </c>
      <c r="H1332">
        <v>108</v>
      </c>
    </row>
    <row r="1333" spans="1:8" x14ac:dyDescent="0.2">
      <c r="A1333" s="127" t="s">
        <v>3990</v>
      </c>
      <c r="B1333" s="127" t="s">
        <v>3991</v>
      </c>
      <c r="C1333" s="127" t="s">
        <v>3929</v>
      </c>
      <c r="D1333" s="127" t="s">
        <v>8</v>
      </c>
    </row>
    <row r="1334" spans="1:8" x14ac:dyDescent="0.2">
      <c r="A1334" s="127" t="s">
        <v>3990</v>
      </c>
      <c r="B1334" s="127" t="s">
        <v>3991</v>
      </c>
      <c r="C1334" s="127" t="s">
        <v>3929</v>
      </c>
      <c r="D1334" s="127" t="s">
        <v>72</v>
      </c>
      <c r="E1334" t="s">
        <v>6818</v>
      </c>
      <c r="F1334">
        <v>780</v>
      </c>
      <c r="G1334">
        <v>3.3333333333333335</v>
      </c>
      <c r="H1334">
        <v>7.5</v>
      </c>
    </row>
    <row r="1335" spans="1:8" x14ac:dyDescent="0.2">
      <c r="A1335" s="127" t="s">
        <v>3990</v>
      </c>
      <c r="B1335" s="127" t="s">
        <v>3991</v>
      </c>
      <c r="C1335" s="127" t="s">
        <v>3929</v>
      </c>
      <c r="D1335" s="127" t="s">
        <v>73</v>
      </c>
      <c r="F1335">
        <v>650</v>
      </c>
      <c r="G1335">
        <v>3.6666666666666665</v>
      </c>
      <c r="H1335">
        <v>11.181818181818182</v>
      </c>
    </row>
    <row r="1336" spans="1:8" x14ac:dyDescent="0.2">
      <c r="A1336" s="127" t="s">
        <v>5126</v>
      </c>
      <c r="B1336" s="127" t="s">
        <v>5127</v>
      </c>
      <c r="C1336" s="127" t="s">
        <v>3929</v>
      </c>
      <c r="D1336" s="127" t="s">
        <v>70</v>
      </c>
      <c r="E1336" t="s">
        <v>6819</v>
      </c>
    </row>
    <row r="1337" spans="1:8" x14ac:dyDescent="0.2">
      <c r="A1337" s="127" t="s">
        <v>5126</v>
      </c>
      <c r="B1337" s="127" t="s">
        <v>5127</v>
      </c>
      <c r="C1337" s="127" t="s">
        <v>3929</v>
      </c>
      <c r="D1337" s="127" t="s">
        <v>72</v>
      </c>
      <c r="E1337" t="s">
        <v>6820</v>
      </c>
      <c r="F1337">
        <v>0</v>
      </c>
      <c r="G1337">
        <v>0</v>
      </c>
      <c r="H1337">
        <v>0</v>
      </c>
    </row>
    <row r="1338" spans="1:8" x14ac:dyDescent="0.2">
      <c r="A1338" s="127" t="s">
        <v>5126</v>
      </c>
      <c r="B1338" s="127" t="s">
        <v>5127</v>
      </c>
      <c r="C1338" s="127" t="s">
        <v>3929</v>
      </c>
      <c r="D1338" s="127" t="s">
        <v>73</v>
      </c>
    </row>
    <row r="1339" spans="1:8" x14ac:dyDescent="0.2">
      <c r="A1339" s="127" t="s">
        <v>5270</v>
      </c>
      <c r="B1339" s="127" t="s">
        <v>5271</v>
      </c>
      <c r="C1339" s="127" t="s">
        <v>3929</v>
      </c>
      <c r="D1339" s="127" t="s">
        <v>73</v>
      </c>
    </row>
    <row r="1340" spans="1:8" x14ac:dyDescent="0.2">
      <c r="A1340" s="127" t="s">
        <v>4071</v>
      </c>
      <c r="B1340" s="127" t="s">
        <v>4072</v>
      </c>
      <c r="C1340" s="127" t="s">
        <v>3929</v>
      </c>
      <c r="D1340" s="127" t="s">
        <v>8</v>
      </c>
    </row>
    <row r="1341" spans="1:8" x14ac:dyDescent="0.2">
      <c r="A1341" s="127" t="s">
        <v>4071</v>
      </c>
      <c r="B1341" s="127" t="s">
        <v>4072</v>
      </c>
      <c r="C1341" s="127" t="s">
        <v>3929</v>
      </c>
      <c r="D1341" s="127" t="s">
        <v>72</v>
      </c>
      <c r="E1341" t="s">
        <v>6821</v>
      </c>
    </row>
    <row r="1342" spans="1:8" x14ac:dyDescent="0.2">
      <c r="A1342" s="127" t="s">
        <v>4071</v>
      </c>
      <c r="B1342" s="127" t="s">
        <v>4072</v>
      </c>
      <c r="C1342" s="127" t="s">
        <v>3929</v>
      </c>
      <c r="D1342" s="127" t="s">
        <v>73</v>
      </c>
    </row>
    <row r="1343" spans="1:8" x14ac:dyDescent="0.2">
      <c r="A1343" s="127" t="s">
        <v>3986</v>
      </c>
      <c r="B1343" s="127" t="s">
        <v>3987</v>
      </c>
      <c r="C1343" s="127" t="s">
        <v>3929</v>
      </c>
      <c r="D1343" s="127" t="s">
        <v>73</v>
      </c>
    </row>
    <row r="1344" spans="1:8" x14ac:dyDescent="0.2">
      <c r="A1344" s="127" t="s">
        <v>3984</v>
      </c>
      <c r="B1344" s="127" t="s">
        <v>3985</v>
      </c>
      <c r="C1344" s="127" t="s">
        <v>3929</v>
      </c>
      <c r="D1344" s="127" t="s">
        <v>73</v>
      </c>
    </row>
    <row r="1345" spans="1:8" x14ac:dyDescent="0.2">
      <c r="A1345" s="127" t="s">
        <v>4067</v>
      </c>
      <c r="B1345" s="127" t="s">
        <v>4068</v>
      </c>
      <c r="C1345" s="127" t="s">
        <v>3929</v>
      </c>
      <c r="D1345" s="127" t="s">
        <v>73</v>
      </c>
      <c r="F1345">
        <v>180</v>
      </c>
      <c r="G1345">
        <v>5.166666666666667</v>
      </c>
      <c r="H1345">
        <v>4.064516129032258</v>
      </c>
    </row>
    <row r="1346" spans="1:8" x14ac:dyDescent="0.2">
      <c r="A1346" s="127" t="s">
        <v>4129</v>
      </c>
      <c r="B1346" s="127" t="s">
        <v>4130</v>
      </c>
      <c r="C1346" s="127" t="s">
        <v>3929</v>
      </c>
      <c r="D1346" s="127" t="s">
        <v>73</v>
      </c>
      <c r="F1346">
        <v>280</v>
      </c>
      <c r="G1346">
        <v>3.1666666666666665</v>
      </c>
      <c r="H1346">
        <v>8.8421052631578956</v>
      </c>
    </row>
    <row r="1347" spans="1:8" x14ac:dyDescent="0.2">
      <c r="A1347" s="127" t="s">
        <v>5104</v>
      </c>
      <c r="B1347" s="127" t="s">
        <v>5105</v>
      </c>
      <c r="C1347" s="127" t="s">
        <v>3929</v>
      </c>
      <c r="D1347" s="127" t="s">
        <v>73</v>
      </c>
    </row>
    <row r="1348" spans="1:8" x14ac:dyDescent="0.2">
      <c r="A1348" s="127" t="s">
        <v>403</v>
      </c>
      <c r="B1348" s="127" t="s">
        <v>402</v>
      </c>
      <c r="C1348" s="127" t="s">
        <v>307</v>
      </c>
      <c r="D1348" s="127" t="s">
        <v>8</v>
      </c>
      <c r="G1348">
        <v>0.33333333333333331</v>
      </c>
      <c r="H1348">
        <v>0</v>
      </c>
    </row>
    <row r="1349" spans="1:8" x14ac:dyDescent="0.2">
      <c r="A1349" s="127" t="s">
        <v>403</v>
      </c>
      <c r="B1349" s="127" t="s">
        <v>402</v>
      </c>
      <c r="C1349" s="127" t="s">
        <v>307</v>
      </c>
      <c r="D1349" s="127" t="s">
        <v>72</v>
      </c>
      <c r="E1349" t="s">
        <v>6822</v>
      </c>
    </row>
    <row r="1350" spans="1:8" x14ac:dyDescent="0.2">
      <c r="A1350" s="127" t="s">
        <v>404</v>
      </c>
      <c r="B1350" s="127" t="s">
        <v>405</v>
      </c>
      <c r="C1350" s="127" t="s">
        <v>307</v>
      </c>
      <c r="D1350" s="127" t="s">
        <v>8</v>
      </c>
      <c r="G1350">
        <v>0.16666666666666666</v>
      </c>
      <c r="H1350">
        <v>24</v>
      </c>
    </row>
    <row r="1351" spans="1:8" x14ac:dyDescent="0.2">
      <c r="A1351" s="127" t="s">
        <v>404</v>
      </c>
      <c r="B1351" s="127" t="s">
        <v>405</v>
      </c>
      <c r="C1351" s="127" t="s">
        <v>307</v>
      </c>
      <c r="D1351" s="127" t="s">
        <v>72</v>
      </c>
      <c r="E1351" t="s">
        <v>6823</v>
      </c>
      <c r="F1351">
        <v>0</v>
      </c>
      <c r="G1351">
        <v>0</v>
      </c>
      <c r="H1351">
        <v>0</v>
      </c>
    </row>
    <row r="1352" spans="1:8" x14ac:dyDescent="0.2">
      <c r="A1352" s="127" t="s">
        <v>404</v>
      </c>
      <c r="B1352" s="127" t="s">
        <v>405</v>
      </c>
      <c r="C1352" s="127" t="s">
        <v>307</v>
      </c>
      <c r="D1352" s="127" t="s">
        <v>73</v>
      </c>
    </row>
    <row r="1353" spans="1:8" x14ac:dyDescent="0.2">
      <c r="A1353" s="127" t="s">
        <v>374</v>
      </c>
      <c r="B1353" s="127" t="s">
        <v>375</v>
      </c>
      <c r="C1353" s="127" t="s">
        <v>307</v>
      </c>
      <c r="D1353" s="127" t="s">
        <v>8</v>
      </c>
    </row>
    <row r="1354" spans="1:8" x14ac:dyDescent="0.2">
      <c r="A1354" s="127" t="s">
        <v>336</v>
      </c>
      <c r="B1354" s="127" t="s">
        <v>337</v>
      </c>
      <c r="C1354" s="127" t="s">
        <v>307</v>
      </c>
      <c r="D1354" s="127" t="s">
        <v>8</v>
      </c>
      <c r="G1354">
        <v>0.16666666666666666</v>
      </c>
      <c r="H1354">
        <v>0</v>
      </c>
    </row>
    <row r="1355" spans="1:8" x14ac:dyDescent="0.2">
      <c r="A1355" s="127" t="s">
        <v>336</v>
      </c>
      <c r="B1355" s="127" t="s">
        <v>337</v>
      </c>
      <c r="C1355" s="127" t="s">
        <v>307</v>
      </c>
      <c r="D1355" s="127" t="s">
        <v>70</v>
      </c>
      <c r="E1355" t="s">
        <v>6824</v>
      </c>
    </row>
    <row r="1356" spans="1:8" x14ac:dyDescent="0.2">
      <c r="A1356" s="127" t="s">
        <v>336</v>
      </c>
      <c r="B1356" s="127" t="s">
        <v>337</v>
      </c>
      <c r="C1356" s="127" t="s">
        <v>307</v>
      </c>
      <c r="D1356" s="127" t="s">
        <v>72</v>
      </c>
      <c r="E1356" t="s">
        <v>6825</v>
      </c>
    </row>
    <row r="1357" spans="1:8" x14ac:dyDescent="0.2">
      <c r="A1357" s="127" t="s">
        <v>336</v>
      </c>
      <c r="B1357" s="127" t="s">
        <v>337</v>
      </c>
      <c r="C1357" s="127" t="s">
        <v>307</v>
      </c>
      <c r="D1357" s="127" t="s">
        <v>73</v>
      </c>
    </row>
    <row r="1358" spans="1:8" x14ac:dyDescent="0.2">
      <c r="A1358" s="127" t="s">
        <v>338</v>
      </c>
      <c r="B1358" s="127" t="s">
        <v>339</v>
      </c>
      <c r="C1358" s="127" t="s">
        <v>307</v>
      </c>
      <c r="D1358" s="127" t="s">
        <v>8</v>
      </c>
    </row>
    <row r="1359" spans="1:8" x14ac:dyDescent="0.2">
      <c r="A1359" s="127" t="s">
        <v>377</v>
      </c>
      <c r="B1359" s="127" t="s">
        <v>376</v>
      </c>
      <c r="C1359" s="127" t="s">
        <v>307</v>
      </c>
      <c r="D1359" s="127" t="s">
        <v>8</v>
      </c>
    </row>
    <row r="1360" spans="1:8" x14ac:dyDescent="0.2">
      <c r="A1360" s="127" t="s">
        <v>377</v>
      </c>
      <c r="B1360" s="127" t="s">
        <v>376</v>
      </c>
      <c r="C1360" s="127" t="s">
        <v>307</v>
      </c>
      <c r="D1360" s="127" t="s">
        <v>72</v>
      </c>
      <c r="E1360" t="s">
        <v>6826</v>
      </c>
    </row>
    <row r="1361" spans="1:8" x14ac:dyDescent="0.2">
      <c r="A1361" s="127" t="s">
        <v>4451</v>
      </c>
      <c r="B1361" s="127" t="s">
        <v>4452</v>
      </c>
      <c r="C1361" s="127" t="s">
        <v>4437</v>
      </c>
      <c r="D1361" s="127" t="s">
        <v>72</v>
      </c>
      <c r="E1361" t="s">
        <v>6827</v>
      </c>
      <c r="F1361">
        <v>300</v>
      </c>
      <c r="G1361">
        <v>0.16666666666666666</v>
      </c>
      <c r="H1361">
        <v>0</v>
      </c>
    </row>
    <row r="1362" spans="1:8" x14ac:dyDescent="0.2">
      <c r="A1362" s="127" t="s">
        <v>4457</v>
      </c>
      <c r="B1362" s="127" t="s">
        <v>4458</v>
      </c>
      <c r="C1362" s="127" t="s">
        <v>4437</v>
      </c>
      <c r="D1362" s="127" t="s">
        <v>72</v>
      </c>
      <c r="E1362" t="s">
        <v>6828</v>
      </c>
    </row>
    <row r="1363" spans="1:8" x14ac:dyDescent="0.2">
      <c r="A1363" s="127" t="s">
        <v>4461</v>
      </c>
      <c r="B1363" s="127" t="s">
        <v>4462</v>
      </c>
      <c r="C1363" s="127" t="s">
        <v>4437</v>
      </c>
      <c r="D1363" s="127" t="s">
        <v>72</v>
      </c>
      <c r="E1363" t="s">
        <v>6829</v>
      </c>
    </row>
    <row r="1364" spans="1:8" x14ac:dyDescent="0.2">
      <c r="A1364" s="127" t="s">
        <v>4463</v>
      </c>
      <c r="B1364" s="127" t="s">
        <v>4464</v>
      </c>
      <c r="C1364" s="127" t="s">
        <v>4437</v>
      </c>
      <c r="D1364" s="127" t="s">
        <v>73</v>
      </c>
    </row>
    <row r="1365" spans="1:8" x14ac:dyDescent="0.2">
      <c r="A1365" s="127" t="s">
        <v>4459</v>
      </c>
      <c r="B1365" s="127" t="s">
        <v>4460</v>
      </c>
      <c r="C1365" s="127" t="s">
        <v>4437</v>
      </c>
      <c r="D1365" s="127" t="s">
        <v>73</v>
      </c>
    </row>
    <row r="1366" spans="1:8" x14ac:dyDescent="0.2">
      <c r="A1366" s="127" t="s">
        <v>4443</v>
      </c>
      <c r="B1366" s="127" t="s">
        <v>4444</v>
      </c>
      <c r="C1366" s="127" t="s">
        <v>4437</v>
      </c>
      <c r="D1366" s="127" t="s">
        <v>72</v>
      </c>
      <c r="E1366" t="s">
        <v>6830</v>
      </c>
    </row>
    <row r="1367" spans="1:8" x14ac:dyDescent="0.2">
      <c r="A1367" s="127" t="s">
        <v>4469</v>
      </c>
      <c r="B1367" s="127" t="s">
        <v>4470</v>
      </c>
      <c r="C1367" s="127" t="s">
        <v>4437</v>
      </c>
      <c r="D1367" s="127" t="s">
        <v>72</v>
      </c>
      <c r="E1367" t="s">
        <v>6831</v>
      </c>
      <c r="F1367">
        <v>0</v>
      </c>
      <c r="G1367">
        <v>0</v>
      </c>
      <c r="H1367">
        <v>0</v>
      </c>
    </row>
    <row r="1368" spans="1:8" x14ac:dyDescent="0.2">
      <c r="A1368" s="127" t="s">
        <v>4438</v>
      </c>
      <c r="B1368" s="127" t="s">
        <v>4439</v>
      </c>
      <c r="C1368" s="127" t="s">
        <v>4437</v>
      </c>
      <c r="D1368" s="127" t="s">
        <v>73</v>
      </c>
    </row>
    <row r="1369" spans="1:8" x14ac:dyDescent="0.2">
      <c r="A1369" s="127" t="s">
        <v>4467</v>
      </c>
      <c r="B1369" s="127" t="s">
        <v>4468</v>
      </c>
      <c r="C1369" s="127" t="s">
        <v>4437</v>
      </c>
      <c r="D1369" s="127" t="s">
        <v>70</v>
      </c>
      <c r="E1369" t="s">
        <v>6832</v>
      </c>
    </row>
    <row r="1370" spans="1:8" x14ac:dyDescent="0.2">
      <c r="A1370" s="127" t="s">
        <v>4471</v>
      </c>
      <c r="B1370" s="127" t="s">
        <v>4472</v>
      </c>
      <c r="C1370" s="127" t="s">
        <v>4437</v>
      </c>
      <c r="D1370" s="127" t="s">
        <v>72</v>
      </c>
      <c r="E1370" t="s">
        <v>6833</v>
      </c>
    </row>
    <row r="1371" spans="1:8" x14ac:dyDescent="0.2">
      <c r="A1371" s="127" t="s">
        <v>4473</v>
      </c>
      <c r="B1371" s="127" t="s">
        <v>4474</v>
      </c>
      <c r="C1371" s="127" t="s">
        <v>4437</v>
      </c>
      <c r="D1371" s="127" t="s">
        <v>70</v>
      </c>
      <c r="E1371" t="s">
        <v>6834</v>
      </c>
    </row>
    <row r="1372" spans="1:8" x14ac:dyDescent="0.2">
      <c r="A1372" s="127" t="s">
        <v>4473</v>
      </c>
      <c r="B1372" s="127" t="s">
        <v>4474</v>
      </c>
      <c r="C1372" s="127" t="s">
        <v>4437</v>
      </c>
      <c r="D1372" s="127" t="s">
        <v>72</v>
      </c>
      <c r="E1372" t="s">
        <v>6835</v>
      </c>
    </row>
    <row r="1373" spans="1:8" x14ac:dyDescent="0.2">
      <c r="A1373" s="127" t="s">
        <v>4519</v>
      </c>
      <c r="B1373" s="127" t="s">
        <v>4520</v>
      </c>
      <c r="C1373" s="127" t="s">
        <v>4518</v>
      </c>
      <c r="D1373" s="127" t="s">
        <v>8</v>
      </c>
      <c r="G1373">
        <v>0.66666666666666663</v>
      </c>
      <c r="H1373">
        <v>28.5</v>
      </c>
    </row>
    <row r="1374" spans="1:8" x14ac:dyDescent="0.2">
      <c r="A1374" s="127" t="s">
        <v>4519</v>
      </c>
      <c r="B1374" s="127" t="s">
        <v>4520</v>
      </c>
      <c r="C1374" s="127" t="s">
        <v>4518</v>
      </c>
      <c r="D1374" s="127" t="s">
        <v>5730</v>
      </c>
    </row>
    <row r="1375" spans="1:8" x14ac:dyDescent="0.2">
      <c r="A1375" s="127" t="s">
        <v>4519</v>
      </c>
      <c r="B1375" s="127" t="s">
        <v>4520</v>
      </c>
      <c r="C1375" s="127" t="s">
        <v>4518</v>
      </c>
      <c r="D1375" s="127" t="s">
        <v>70</v>
      </c>
      <c r="E1375" t="s">
        <v>6836</v>
      </c>
      <c r="F1375">
        <v>90</v>
      </c>
      <c r="G1375">
        <v>0.16666666666666666</v>
      </c>
      <c r="H1375">
        <v>108</v>
      </c>
    </row>
    <row r="1376" spans="1:8" x14ac:dyDescent="0.2">
      <c r="A1376" s="127" t="s">
        <v>4519</v>
      </c>
      <c r="B1376" s="127" t="s">
        <v>4520</v>
      </c>
      <c r="C1376" s="127" t="s">
        <v>4518</v>
      </c>
      <c r="D1376" s="127" t="s">
        <v>72</v>
      </c>
      <c r="E1376" t="s">
        <v>6837</v>
      </c>
      <c r="F1376">
        <v>0</v>
      </c>
      <c r="G1376">
        <v>0.16666666666666666</v>
      </c>
      <c r="H1376">
        <v>24</v>
      </c>
    </row>
    <row r="1377" spans="1:8" x14ac:dyDescent="0.2">
      <c r="A1377" s="127" t="s">
        <v>4519</v>
      </c>
      <c r="B1377" s="127" t="s">
        <v>4520</v>
      </c>
      <c r="C1377" s="127" t="s">
        <v>4518</v>
      </c>
      <c r="D1377" s="127" t="s">
        <v>73</v>
      </c>
      <c r="F1377">
        <v>270</v>
      </c>
      <c r="G1377">
        <v>2</v>
      </c>
      <c r="H1377">
        <v>9.5</v>
      </c>
    </row>
    <row r="1378" spans="1:8" x14ac:dyDescent="0.2">
      <c r="A1378" s="127" t="s">
        <v>4549</v>
      </c>
      <c r="B1378" s="127" t="s">
        <v>4550</v>
      </c>
      <c r="C1378" s="127" t="s">
        <v>4518</v>
      </c>
      <c r="D1378" s="127" t="s">
        <v>72</v>
      </c>
      <c r="E1378" t="s">
        <v>6838</v>
      </c>
      <c r="F1378">
        <v>150</v>
      </c>
      <c r="G1378">
        <v>0.66666666666666663</v>
      </c>
      <c r="H1378">
        <v>25.5</v>
      </c>
    </row>
    <row r="1379" spans="1:8" x14ac:dyDescent="0.2">
      <c r="A1379" s="127" t="s">
        <v>4549</v>
      </c>
      <c r="B1379" s="127" t="s">
        <v>4550</v>
      </c>
      <c r="C1379" s="127" t="s">
        <v>4518</v>
      </c>
      <c r="D1379" s="127" t="s">
        <v>73</v>
      </c>
      <c r="F1379">
        <v>300</v>
      </c>
      <c r="G1379">
        <v>1.3333333333333333</v>
      </c>
      <c r="H1379">
        <v>9</v>
      </c>
    </row>
    <row r="1380" spans="1:8" x14ac:dyDescent="0.2">
      <c r="A1380" s="127" t="s">
        <v>4551</v>
      </c>
      <c r="B1380" s="127" t="s">
        <v>4552</v>
      </c>
      <c r="C1380" s="127" t="s">
        <v>4518</v>
      </c>
      <c r="D1380" s="127" t="s">
        <v>72</v>
      </c>
      <c r="E1380" t="s">
        <v>6839</v>
      </c>
      <c r="F1380">
        <v>0</v>
      </c>
      <c r="G1380">
        <v>0.5</v>
      </c>
      <c r="H1380">
        <v>40</v>
      </c>
    </row>
    <row r="1381" spans="1:8" x14ac:dyDescent="0.2">
      <c r="A1381" s="127" t="s">
        <v>4551</v>
      </c>
      <c r="B1381" s="127" t="s">
        <v>4552</v>
      </c>
      <c r="C1381" s="127" t="s">
        <v>4518</v>
      </c>
      <c r="D1381" s="127" t="s">
        <v>73</v>
      </c>
      <c r="F1381">
        <v>150</v>
      </c>
      <c r="G1381">
        <v>0.66666666666666663</v>
      </c>
      <c r="H1381">
        <v>9</v>
      </c>
    </row>
    <row r="1382" spans="1:8" x14ac:dyDescent="0.2">
      <c r="A1382" s="127" t="s">
        <v>4581</v>
      </c>
      <c r="B1382" s="127" t="s">
        <v>4582</v>
      </c>
      <c r="C1382" s="127" t="s">
        <v>4518</v>
      </c>
      <c r="D1382" s="127" t="s">
        <v>72</v>
      </c>
      <c r="E1382" t="s">
        <v>6840</v>
      </c>
      <c r="F1382">
        <v>250</v>
      </c>
      <c r="G1382">
        <v>0.33333333333333331</v>
      </c>
      <c r="H1382">
        <v>45</v>
      </c>
    </row>
    <row r="1383" spans="1:8" x14ac:dyDescent="0.2">
      <c r="A1383" s="127" t="s">
        <v>4581</v>
      </c>
      <c r="B1383" s="127" t="s">
        <v>4582</v>
      </c>
      <c r="C1383" s="127" t="s">
        <v>4518</v>
      </c>
      <c r="D1383" s="127" t="s">
        <v>73</v>
      </c>
    </row>
    <row r="1384" spans="1:8" x14ac:dyDescent="0.2">
      <c r="A1384" s="127" t="s">
        <v>4575</v>
      </c>
      <c r="B1384" s="127" t="s">
        <v>4576</v>
      </c>
      <c r="C1384" s="127" t="s">
        <v>4518</v>
      </c>
      <c r="D1384" s="127" t="s">
        <v>72</v>
      </c>
      <c r="E1384" t="s">
        <v>6841</v>
      </c>
      <c r="F1384">
        <v>0</v>
      </c>
      <c r="G1384">
        <v>0.66666666666666663</v>
      </c>
      <c r="H1384">
        <v>15</v>
      </c>
    </row>
    <row r="1385" spans="1:8" x14ac:dyDescent="0.2">
      <c r="A1385" s="127" t="s">
        <v>4575</v>
      </c>
      <c r="B1385" s="127" t="s">
        <v>4576</v>
      </c>
      <c r="C1385" s="127" t="s">
        <v>4518</v>
      </c>
      <c r="D1385" s="127" t="s">
        <v>73</v>
      </c>
    </row>
    <row r="1386" spans="1:8" x14ac:dyDescent="0.2">
      <c r="A1386" s="127" t="s">
        <v>5199</v>
      </c>
      <c r="B1386" s="127" t="s">
        <v>5200</v>
      </c>
      <c r="C1386" s="127" t="s">
        <v>4518</v>
      </c>
      <c r="D1386" s="127" t="s">
        <v>72</v>
      </c>
      <c r="E1386" t="s">
        <v>6842</v>
      </c>
    </row>
    <row r="1387" spans="1:8" x14ac:dyDescent="0.2">
      <c r="A1387" s="127" t="s">
        <v>4567</v>
      </c>
      <c r="B1387" s="127" t="s">
        <v>4568</v>
      </c>
      <c r="C1387" s="127" t="s">
        <v>4518</v>
      </c>
      <c r="D1387" s="127" t="s">
        <v>73</v>
      </c>
      <c r="F1387">
        <v>0</v>
      </c>
      <c r="G1387">
        <v>1</v>
      </c>
      <c r="H1387">
        <v>2</v>
      </c>
    </row>
    <row r="1388" spans="1:8" x14ac:dyDescent="0.2">
      <c r="A1388" s="127" t="s">
        <v>4535</v>
      </c>
      <c r="B1388" s="127" t="s">
        <v>4536</v>
      </c>
      <c r="C1388" s="127" t="s">
        <v>4518</v>
      </c>
      <c r="D1388" s="127" t="s">
        <v>8</v>
      </c>
      <c r="F1388">
        <v>560</v>
      </c>
      <c r="G1388">
        <v>3.1666666666666665</v>
      </c>
      <c r="H1388">
        <v>22.105263157894736</v>
      </c>
    </row>
    <row r="1389" spans="1:8" x14ac:dyDescent="0.2">
      <c r="A1389" s="127" t="s">
        <v>4535</v>
      </c>
      <c r="B1389" s="127" t="s">
        <v>4536</v>
      </c>
      <c r="C1389" s="127" t="s">
        <v>4518</v>
      </c>
      <c r="D1389" s="127" t="s">
        <v>5730</v>
      </c>
      <c r="F1389">
        <v>0</v>
      </c>
      <c r="G1389">
        <v>0.33333333333333331</v>
      </c>
      <c r="H1389">
        <v>15</v>
      </c>
    </row>
    <row r="1390" spans="1:8" x14ac:dyDescent="0.2">
      <c r="A1390" s="127" t="s">
        <v>4535</v>
      </c>
      <c r="B1390" s="127" t="s">
        <v>4536</v>
      </c>
      <c r="C1390" s="127" t="s">
        <v>4518</v>
      </c>
      <c r="D1390" s="127" t="s">
        <v>70</v>
      </c>
      <c r="E1390" t="s">
        <v>6843</v>
      </c>
      <c r="F1390">
        <v>1960</v>
      </c>
      <c r="G1390">
        <v>25.333333333333332</v>
      </c>
      <c r="H1390">
        <v>11.881578947368421</v>
      </c>
    </row>
    <row r="1391" spans="1:8" x14ac:dyDescent="0.2">
      <c r="A1391" s="127" t="s">
        <v>4535</v>
      </c>
      <c r="B1391" s="127" t="s">
        <v>4536</v>
      </c>
      <c r="C1391" s="127" t="s">
        <v>4518</v>
      </c>
      <c r="D1391" s="127" t="s">
        <v>72</v>
      </c>
      <c r="E1391" t="s">
        <v>6844</v>
      </c>
      <c r="F1391">
        <v>1120</v>
      </c>
      <c r="G1391">
        <v>9</v>
      </c>
      <c r="H1391">
        <v>33.555555555555557</v>
      </c>
    </row>
    <row r="1392" spans="1:8" x14ac:dyDescent="0.2">
      <c r="A1392" s="127" t="s">
        <v>4535</v>
      </c>
      <c r="B1392" s="127" t="s">
        <v>4536</v>
      </c>
      <c r="C1392" s="127" t="s">
        <v>4518</v>
      </c>
      <c r="D1392" s="127" t="s">
        <v>73</v>
      </c>
      <c r="F1392">
        <v>560</v>
      </c>
      <c r="G1392">
        <v>9.8333333333333339</v>
      </c>
      <c r="H1392">
        <v>41.898305084745758</v>
      </c>
    </row>
    <row r="1393" spans="1:8" x14ac:dyDescent="0.2">
      <c r="A1393" s="127" t="s">
        <v>4533</v>
      </c>
      <c r="B1393" s="127" t="s">
        <v>4534</v>
      </c>
      <c r="C1393" s="127" t="s">
        <v>4518</v>
      </c>
      <c r="D1393" s="127" t="s">
        <v>8</v>
      </c>
      <c r="G1393">
        <v>0.33333333333333331</v>
      </c>
      <c r="H1393">
        <v>111</v>
      </c>
    </row>
    <row r="1394" spans="1:8" x14ac:dyDescent="0.2">
      <c r="A1394" s="127" t="s">
        <v>4533</v>
      </c>
      <c r="B1394" s="127" t="s">
        <v>4534</v>
      </c>
      <c r="C1394" s="127" t="s">
        <v>4518</v>
      </c>
      <c r="D1394" s="127" t="s">
        <v>73</v>
      </c>
    </row>
    <row r="1395" spans="1:8" x14ac:dyDescent="0.2">
      <c r="A1395" s="127" t="s">
        <v>4529</v>
      </c>
      <c r="B1395" s="127" t="s">
        <v>4530</v>
      </c>
      <c r="C1395" s="127" t="s">
        <v>4518</v>
      </c>
      <c r="D1395" s="127" t="s">
        <v>8</v>
      </c>
      <c r="F1395">
        <v>270</v>
      </c>
      <c r="G1395">
        <v>4.666666666666667</v>
      </c>
      <c r="H1395">
        <v>14.142857142857142</v>
      </c>
    </row>
    <row r="1396" spans="1:8" x14ac:dyDescent="0.2">
      <c r="A1396" s="127" t="s">
        <v>4529</v>
      </c>
      <c r="B1396" s="127" t="s">
        <v>4530</v>
      </c>
      <c r="C1396" s="127" t="s">
        <v>4518</v>
      </c>
      <c r="D1396" s="127" t="s">
        <v>5730</v>
      </c>
      <c r="F1396">
        <v>0</v>
      </c>
      <c r="G1396">
        <v>0.33333333333333331</v>
      </c>
      <c r="H1396">
        <v>21</v>
      </c>
    </row>
    <row r="1397" spans="1:8" x14ac:dyDescent="0.2">
      <c r="A1397" s="127" t="s">
        <v>4529</v>
      </c>
      <c r="B1397" s="127" t="s">
        <v>4530</v>
      </c>
      <c r="C1397" s="127" t="s">
        <v>4518</v>
      </c>
      <c r="D1397" s="127" t="s">
        <v>70</v>
      </c>
      <c r="E1397" t="s">
        <v>6845</v>
      </c>
      <c r="F1397">
        <v>1710</v>
      </c>
      <c r="G1397">
        <v>26</v>
      </c>
      <c r="H1397">
        <v>5.115384615384615</v>
      </c>
    </row>
    <row r="1398" spans="1:8" x14ac:dyDescent="0.2">
      <c r="A1398" s="127" t="s">
        <v>4529</v>
      </c>
      <c r="B1398" s="127" t="s">
        <v>4530</v>
      </c>
      <c r="C1398" s="127" t="s">
        <v>4518</v>
      </c>
      <c r="D1398" s="127" t="s">
        <v>72</v>
      </c>
      <c r="E1398" t="s">
        <v>6846</v>
      </c>
      <c r="F1398">
        <v>540</v>
      </c>
      <c r="G1398">
        <v>17.666666666666668</v>
      </c>
      <c r="H1398">
        <v>11.886792452830187</v>
      </c>
    </row>
    <row r="1399" spans="1:8" x14ac:dyDescent="0.2">
      <c r="A1399" s="127" t="s">
        <v>4529</v>
      </c>
      <c r="B1399" s="127" t="s">
        <v>4530</v>
      </c>
      <c r="C1399" s="127" t="s">
        <v>4518</v>
      </c>
      <c r="D1399" s="127" t="s">
        <v>73</v>
      </c>
      <c r="F1399">
        <v>360</v>
      </c>
      <c r="G1399">
        <v>11.166666666666666</v>
      </c>
      <c r="H1399">
        <v>18</v>
      </c>
    </row>
    <row r="1400" spans="1:8" x14ac:dyDescent="0.2">
      <c r="A1400" s="127" t="s">
        <v>4537</v>
      </c>
      <c r="B1400" s="127" t="s">
        <v>4538</v>
      </c>
      <c r="C1400" s="127" t="s">
        <v>4518</v>
      </c>
      <c r="D1400" s="127" t="s">
        <v>72</v>
      </c>
      <c r="E1400" t="s">
        <v>6847</v>
      </c>
      <c r="F1400">
        <v>1470</v>
      </c>
      <c r="G1400">
        <v>22.666666666666668</v>
      </c>
      <c r="H1400">
        <v>92.205882352941174</v>
      </c>
    </row>
    <row r="1401" spans="1:8" x14ac:dyDescent="0.2">
      <c r="A1401" s="127" t="s">
        <v>4571</v>
      </c>
      <c r="B1401" s="127" t="s">
        <v>4572</v>
      </c>
      <c r="C1401" s="127" t="s">
        <v>4518</v>
      </c>
      <c r="D1401" s="127" t="s">
        <v>73</v>
      </c>
      <c r="F1401">
        <v>0</v>
      </c>
      <c r="G1401">
        <v>0.16666666666666666</v>
      </c>
      <c r="H1401">
        <v>198</v>
      </c>
    </row>
    <row r="1402" spans="1:8" x14ac:dyDescent="0.2">
      <c r="A1402" s="127" t="s">
        <v>4573</v>
      </c>
      <c r="B1402" s="127" t="s">
        <v>4574</v>
      </c>
      <c r="C1402" s="127" t="s">
        <v>4518</v>
      </c>
      <c r="D1402" s="127" t="s">
        <v>73</v>
      </c>
      <c r="F1402">
        <v>160</v>
      </c>
      <c r="G1402">
        <v>0.66666666666666663</v>
      </c>
      <c r="H1402">
        <v>39</v>
      </c>
    </row>
    <row r="1403" spans="1:8" x14ac:dyDescent="0.2">
      <c r="A1403" s="127" t="s">
        <v>4545</v>
      </c>
      <c r="B1403" s="127" t="s">
        <v>4546</v>
      </c>
      <c r="C1403" s="127" t="s">
        <v>4518</v>
      </c>
      <c r="D1403" s="127" t="s">
        <v>73</v>
      </c>
      <c r="F1403">
        <v>190</v>
      </c>
      <c r="G1403">
        <v>0.33333333333333331</v>
      </c>
      <c r="H1403">
        <v>171</v>
      </c>
    </row>
    <row r="1404" spans="1:8" x14ac:dyDescent="0.2">
      <c r="A1404" s="127" t="s">
        <v>4541</v>
      </c>
      <c r="B1404" s="127" t="s">
        <v>4542</v>
      </c>
      <c r="C1404" s="127" t="s">
        <v>4518</v>
      </c>
      <c r="D1404" s="127" t="s">
        <v>73</v>
      </c>
      <c r="F1404">
        <v>0</v>
      </c>
      <c r="G1404">
        <v>0.66666666666666663</v>
      </c>
      <c r="H1404">
        <v>75</v>
      </c>
    </row>
    <row r="1405" spans="1:8" x14ac:dyDescent="0.2">
      <c r="A1405" s="127" t="s">
        <v>4547</v>
      </c>
      <c r="B1405" s="127" t="s">
        <v>4548</v>
      </c>
      <c r="C1405" s="127" t="s">
        <v>4518</v>
      </c>
      <c r="D1405" s="127" t="s">
        <v>73</v>
      </c>
      <c r="F1405">
        <v>380</v>
      </c>
      <c r="G1405">
        <v>0.5</v>
      </c>
      <c r="H1405">
        <v>108</v>
      </c>
    </row>
    <row r="1406" spans="1:8" x14ac:dyDescent="0.2">
      <c r="A1406" s="127" t="s">
        <v>4543</v>
      </c>
      <c r="B1406" s="127" t="s">
        <v>4544</v>
      </c>
      <c r="C1406" s="127" t="s">
        <v>4518</v>
      </c>
      <c r="D1406" s="127" t="s">
        <v>72</v>
      </c>
      <c r="E1406" t="s">
        <v>6848</v>
      </c>
      <c r="F1406">
        <v>200</v>
      </c>
      <c r="G1406">
        <v>5.166666666666667</v>
      </c>
      <c r="H1406">
        <v>106.06451612903226</v>
      </c>
    </row>
    <row r="1407" spans="1:8" x14ac:dyDescent="0.2">
      <c r="A1407" s="127" t="s">
        <v>4587</v>
      </c>
      <c r="B1407" s="127" t="s">
        <v>4588</v>
      </c>
      <c r="C1407" s="127" t="s">
        <v>4518</v>
      </c>
      <c r="D1407" s="127" t="s">
        <v>73</v>
      </c>
      <c r="F1407">
        <v>0</v>
      </c>
      <c r="G1407">
        <v>0.5</v>
      </c>
      <c r="H1407">
        <v>168</v>
      </c>
    </row>
    <row r="1408" spans="1:8" x14ac:dyDescent="0.2">
      <c r="A1408" s="127" t="s">
        <v>4585</v>
      </c>
      <c r="B1408" s="127" t="s">
        <v>4586</v>
      </c>
      <c r="C1408" s="127" t="s">
        <v>4518</v>
      </c>
      <c r="D1408" s="127" t="s">
        <v>73</v>
      </c>
      <c r="F1408">
        <v>0</v>
      </c>
      <c r="G1408">
        <v>0.66666666666666663</v>
      </c>
      <c r="H1408">
        <v>33</v>
      </c>
    </row>
    <row r="1409" spans="1:8" x14ac:dyDescent="0.2">
      <c r="A1409" s="127" t="s">
        <v>4531</v>
      </c>
      <c r="B1409" s="127" t="s">
        <v>4532</v>
      </c>
      <c r="C1409" s="127" t="s">
        <v>4518</v>
      </c>
      <c r="D1409" s="127" t="s">
        <v>8</v>
      </c>
      <c r="F1409">
        <v>240</v>
      </c>
      <c r="G1409">
        <v>3</v>
      </c>
      <c r="H1409">
        <v>23</v>
      </c>
    </row>
    <row r="1410" spans="1:8" x14ac:dyDescent="0.2">
      <c r="A1410" s="127" t="s">
        <v>4531</v>
      </c>
      <c r="B1410" s="127" t="s">
        <v>4532</v>
      </c>
      <c r="C1410" s="127" t="s">
        <v>4518</v>
      </c>
      <c r="D1410" s="127" t="s">
        <v>70</v>
      </c>
      <c r="E1410" t="s">
        <v>6849</v>
      </c>
      <c r="F1410">
        <v>960</v>
      </c>
      <c r="G1410">
        <v>12.833333333333334</v>
      </c>
      <c r="H1410">
        <v>8.4155844155844157</v>
      </c>
    </row>
    <row r="1411" spans="1:8" x14ac:dyDescent="0.2">
      <c r="A1411" s="127" t="s">
        <v>4531</v>
      </c>
      <c r="B1411" s="127" t="s">
        <v>4532</v>
      </c>
      <c r="C1411" s="127" t="s">
        <v>4518</v>
      </c>
      <c r="D1411" s="127" t="s">
        <v>72</v>
      </c>
      <c r="E1411" t="s">
        <v>6850</v>
      </c>
      <c r="F1411">
        <v>1200</v>
      </c>
      <c r="G1411">
        <v>6.166666666666667</v>
      </c>
      <c r="H1411">
        <v>6.1621621621621623</v>
      </c>
    </row>
    <row r="1412" spans="1:8" x14ac:dyDescent="0.2">
      <c r="A1412" s="127" t="s">
        <v>4531</v>
      </c>
      <c r="B1412" s="127" t="s">
        <v>4532</v>
      </c>
      <c r="C1412" s="127" t="s">
        <v>4518</v>
      </c>
      <c r="D1412" s="127" t="s">
        <v>73</v>
      </c>
      <c r="F1412">
        <v>720</v>
      </c>
      <c r="G1412">
        <v>12.333333333333334</v>
      </c>
      <c r="H1412">
        <v>9.7297297297297298</v>
      </c>
    </row>
    <row r="1413" spans="1:8" x14ac:dyDescent="0.2">
      <c r="A1413" s="127" t="s">
        <v>4523</v>
      </c>
      <c r="B1413" s="127" t="s">
        <v>4524</v>
      </c>
      <c r="C1413" s="127" t="s">
        <v>4518</v>
      </c>
      <c r="D1413" s="127" t="s">
        <v>8</v>
      </c>
      <c r="F1413">
        <v>90</v>
      </c>
      <c r="G1413">
        <v>3.8333333333333335</v>
      </c>
      <c r="H1413">
        <v>17.217391304347824</v>
      </c>
    </row>
    <row r="1414" spans="1:8" x14ac:dyDescent="0.2">
      <c r="A1414" s="127" t="s">
        <v>4523</v>
      </c>
      <c r="B1414" s="127" t="s">
        <v>4524</v>
      </c>
      <c r="C1414" s="127" t="s">
        <v>4518</v>
      </c>
      <c r="D1414" s="127" t="s">
        <v>5730</v>
      </c>
      <c r="F1414">
        <v>180</v>
      </c>
      <c r="G1414">
        <v>0.66666666666666663</v>
      </c>
      <c r="H1414">
        <v>7.5</v>
      </c>
    </row>
    <row r="1415" spans="1:8" x14ac:dyDescent="0.2">
      <c r="A1415" s="127" t="s">
        <v>4523</v>
      </c>
      <c r="B1415" s="127" t="s">
        <v>4524</v>
      </c>
      <c r="C1415" s="127" t="s">
        <v>4518</v>
      </c>
      <c r="D1415" s="127" t="s">
        <v>70</v>
      </c>
      <c r="E1415" t="s">
        <v>6851</v>
      </c>
      <c r="F1415">
        <v>1710</v>
      </c>
      <c r="G1415">
        <v>24</v>
      </c>
      <c r="H1415">
        <v>5.916666666666667</v>
      </c>
    </row>
    <row r="1416" spans="1:8" x14ac:dyDescent="0.2">
      <c r="A1416" s="127" t="s">
        <v>4523</v>
      </c>
      <c r="B1416" s="127" t="s">
        <v>4524</v>
      </c>
      <c r="C1416" s="127" t="s">
        <v>4518</v>
      </c>
      <c r="D1416" s="127" t="s">
        <v>72</v>
      </c>
      <c r="E1416" t="s">
        <v>6852</v>
      </c>
      <c r="F1416">
        <v>2070</v>
      </c>
      <c r="G1416">
        <v>21.833333333333332</v>
      </c>
      <c r="H1416">
        <v>8.6564885496183219</v>
      </c>
    </row>
    <row r="1417" spans="1:8" x14ac:dyDescent="0.2">
      <c r="A1417" s="127" t="s">
        <v>4523</v>
      </c>
      <c r="B1417" s="127" t="s">
        <v>4524</v>
      </c>
      <c r="C1417" s="127" t="s">
        <v>4518</v>
      </c>
      <c r="D1417" s="127" t="s">
        <v>73</v>
      </c>
      <c r="F1417">
        <v>810</v>
      </c>
      <c r="G1417">
        <v>18.666666666666668</v>
      </c>
      <c r="H1417">
        <v>3.8035714285714284</v>
      </c>
    </row>
    <row r="1418" spans="1:8" x14ac:dyDescent="0.2">
      <c r="A1418" s="127" t="s">
        <v>4525</v>
      </c>
      <c r="B1418" s="127" t="s">
        <v>4526</v>
      </c>
      <c r="C1418" s="127" t="s">
        <v>4518</v>
      </c>
      <c r="D1418" s="127" t="s">
        <v>70</v>
      </c>
      <c r="E1418" t="s">
        <v>6853</v>
      </c>
      <c r="F1418">
        <v>540</v>
      </c>
      <c r="G1418">
        <v>12.5</v>
      </c>
      <c r="H1418">
        <v>5.6</v>
      </c>
    </row>
    <row r="1419" spans="1:8" x14ac:dyDescent="0.2">
      <c r="A1419" s="127" t="s">
        <v>4525</v>
      </c>
      <c r="B1419" s="127" t="s">
        <v>4526</v>
      </c>
      <c r="C1419" s="127" t="s">
        <v>4518</v>
      </c>
      <c r="D1419" s="127" t="s">
        <v>72</v>
      </c>
      <c r="E1419" t="s">
        <v>6854</v>
      </c>
      <c r="F1419">
        <v>360</v>
      </c>
      <c r="G1419">
        <v>11.166666666666666</v>
      </c>
      <c r="H1419">
        <v>8.4179104477611943</v>
      </c>
    </row>
    <row r="1420" spans="1:8" x14ac:dyDescent="0.2">
      <c r="A1420" s="127" t="s">
        <v>4525</v>
      </c>
      <c r="B1420" s="127" t="s">
        <v>4526</v>
      </c>
      <c r="C1420" s="127" t="s">
        <v>4518</v>
      </c>
      <c r="D1420" s="127" t="s">
        <v>73</v>
      </c>
      <c r="F1420">
        <v>810</v>
      </c>
      <c r="G1420">
        <v>12.333333333333334</v>
      </c>
      <c r="H1420">
        <v>5.1891891891891886</v>
      </c>
    </row>
    <row r="1421" spans="1:8" x14ac:dyDescent="0.2">
      <c r="A1421" s="127" t="s">
        <v>4527</v>
      </c>
      <c r="B1421" s="127" t="s">
        <v>4528</v>
      </c>
      <c r="C1421" s="127" t="s">
        <v>4518</v>
      </c>
      <c r="D1421" s="127" t="s">
        <v>72</v>
      </c>
      <c r="E1421" t="s">
        <v>6855</v>
      </c>
      <c r="F1421">
        <v>720</v>
      </c>
      <c r="G1421">
        <v>5.666666666666667</v>
      </c>
      <c r="H1421">
        <v>32.117647058823529</v>
      </c>
    </row>
    <row r="1422" spans="1:8" x14ac:dyDescent="0.2">
      <c r="A1422" s="127" t="s">
        <v>4563</v>
      </c>
      <c r="B1422" s="127" t="s">
        <v>4564</v>
      </c>
      <c r="C1422" s="127" t="s">
        <v>4518</v>
      </c>
      <c r="D1422" s="127" t="s">
        <v>73</v>
      </c>
      <c r="F1422">
        <v>0</v>
      </c>
      <c r="G1422">
        <v>0.33333333333333331</v>
      </c>
      <c r="H1422">
        <v>69</v>
      </c>
    </row>
    <row r="1423" spans="1:8" x14ac:dyDescent="0.2">
      <c r="A1423" s="127" t="s">
        <v>7446</v>
      </c>
      <c r="B1423" s="127" t="s">
        <v>7447</v>
      </c>
      <c r="C1423" s="127" t="s">
        <v>4518</v>
      </c>
      <c r="D1423" s="127" t="s">
        <v>73</v>
      </c>
      <c r="F1423">
        <v>90</v>
      </c>
      <c r="G1423">
        <v>8.3333333333333339</v>
      </c>
      <c r="H1423">
        <v>49.319999999999993</v>
      </c>
    </row>
    <row r="1424" spans="1:8" x14ac:dyDescent="0.2">
      <c r="A1424" s="127" t="s">
        <v>5564</v>
      </c>
      <c r="B1424" s="127" t="s">
        <v>5565</v>
      </c>
      <c r="C1424" s="127" t="s">
        <v>4518</v>
      </c>
      <c r="D1424" s="127" t="s">
        <v>72</v>
      </c>
      <c r="E1424" t="s">
        <v>6856</v>
      </c>
    </row>
    <row r="1425" spans="1:8" x14ac:dyDescent="0.2">
      <c r="A1425" s="127" t="s">
        <v>5564</v>
      </c>
      <c r="B1425" s="127" t="s">
        <v>5565</v>
      </c>
      <c r="C1425" s="127" t="s">
        <v>4518</v>
      </c>
      <c r="D1425" s="127" t="s">
        <v>73</v>
      </c>
    </row>
    <row r="1426" spans="1:8" x14ac:dyDescent="0.2">
      <c r="A1426" s="127" t="s">
        <v>4553</v>
      </c>
      <c r="B1426" s="127" t="s">
        <v>4554</v>
      </c>
      <c r="C1426" s="127" t="s">
        <v>4518</v>
      </c>
      <c r="D1426" s="127" t="s">
        <v>70</v>
      </c>
      <c r="E1426" t="s">
        <v>6857</v>
      </c>
      <c r="F1426">
        <v>0</v>
      </c>
      <c r="G1426">
        <v>0</v>
      </c>
      <c r="H1426">
        <v>0</v>
      </c>
    </row>
    <row r="1427" spans="1:8" x14ac:dyDescent="0.2">
      <c r="A1427" s="127" t="s">
        <v>4553</v>
      </c>
      <c r="B1427" s="127" t="s">
        <v>4554</v>
      </c>
      <c r="C1427" s="127" t="s">
        <v>4518</v>
      </c>
      <c r="D1427" s="127" t="s">
        <v>72</v>
      </c>
      <c r="E1427" t="s">
        <v>6858</v>
      </c>
      <c r="F1427">
        <v>200</v>
      </c>
      <c r="G1427">
        <v>1.5</v>
      </c>
      <c r="H1427">
        <v>68</v>
      </c>
    </row>
    <row r="1428" spans="1:8" x14ac:dyDescent="0.2">
      <c r="A1428" s="127" t="s">
        <v>4553</v>
      </c>
      <c r="B1428" s="127" t="s">
        <v>4554</v>
      </c>
      <c r="C1428" s="127" t="s">
        <v>4518</v>
      </c>
      <c r="D1428" s="127" t="s">
        <v>73</v>
      </c>
      <c r="F1428">
        <v>0</v>
      </c>
      <c r="G1428">
        <v>2.1666666666666665</v>
      </c>
      <c r="H1428">
        <v>9.2307692307692317</v>
      </c>
    </row>
    <row r="1429" spans="1:8" x14ac:dyDescent="0.2">
      <c r="A1429" s="127" t="s">
        <v>5548</v>
      </c>
      <c r="B1429" s="127" t="s">
        <v>5549</v>
      </c>
      <c r="C1429" s="127" t="s">
        <v>4518</v>
      </c>
      <c r="D1429" s="127" t="s">
        <v>73</v>
      </c>
    </row>
    <row r="1430" spans="1:8" x14ac:dyDescent="0.2">
      <c r="A1430" s="127" t="s">
        <v>4583</v>
      </c>
      <c r="B1430" s="127" t="s">
        <v>4584</v>
      </c>
      <c r="C1430" s="127" t="s">
        <v>4518</v>
      </c>
      <c r="D1430" s="127" t="s">
        <v>73</v>
      </c>
    </row>
    <row r="1431" spans="1:8" x14ac:dyDescent="0.2">
      <c r="A1431" s="127" t="s">
        <v>4565</v>
      </c>
      <c r="B1431" s="127" t="s">
        <v>4566</v>
      </c>
      <c r="C1431" s="127" t="s">
        <v>4518</v>
      </c>
      <c r="D1431" s="127" t="s">
        <v>73</v>
      </c>
    </row>
    <row r="1432" spans="1:8" x14ac:dyDescent="0.2">
      <c r="A1432" s="127" t="s">
        <v>4593</v>
      </c>
      <c r="B1432" s="127" t="s">
        <v>4594</v>
      </c>
      <c r="C1432" s="127" t="s">
        <v>4518</v>
      </c>
      <c r="D1432" s="127" t="s">
        <v>8</v>
      </c>
      <c r="H1432">
        <v>0</v>
      </c>
    </row>
    <row r="1433" spans="1:8" x14ac:dyDescent="0.2">
      <c r="A1433" s="127" t="s">
        <v>4593</v>
      </c>
      <c r="B1433" s="127" t="s">
        <v>4594</v>
      </c>
      <c r="C1433" s="127" t="s">
        <v>4518</v>
      </c>
      <c r="D1433" s="127" t="s">
        <v>73</v>
      </c>
      <c r="F1433">
        <v>400</v>
      </c>
      <c r="G1433">
        <v>1.1666666666666667</v>
      </c>
      <c r="H1433">
        <v>19.714285714285712</v>
      </c>
    </row>
    <row r="1434" spans="1:8" x14ac:dyDescent="0.2">
      <c r="A1434" s="127" t="s">
        <v>4521</v>
      </c>
      <c r="B1434" s="127" t="s">
        <v>4522</v>
      </c>
      <c r="C1434" s="127" t="s">
        <v>4518</v>
      </c>
      <c r="D1434" s="127" t="s">
        <v>8</v>
      </c>
      <c r="H1434">
        <v>0</v>
      </c>
    </row>
    <row r="1435" spans="1:8" x14ac:dyDescent="0.2">
      <c r="A1435" s="127" t="s">
        <v>4521</v>
      </c>
      <c r="B1435" s="127" t="s">
        <v>4522</v>
      </c>
      <c r="C1435" s="127" t="s">
        <v>4518</v>
      </c>
      <c r="D1435" s="127" t="s">
        <v>5730</v>
      </c>
      <c r="F1435">
        <v>0</v>
      </c>
      <c r="G1435">
        <v>0.16666666666666666</v>
      </c>
      <c r="H1435">
        <v>6</v>
      </c>
    </row>
    <row r="1436" spans="1:8" x14ac:dyDescent="0.2">
      <c r="A1436" s="127" t="s">
        <v>4521</v>
      </c>
      <c r="B1436" s="127" t="s">
        <v>4522</v>
      </c>
      <c r="C1436" s="127" t="s">
        <v>4518</v>
      </c>
      <c r="D1436" s="127" t="s">
        <v>70</v>
      </c>
      <c r="E1436" t="s">
        <v>6859</v>
      </c>
      <c r="F1436">
        <v>0</v>
      </c>
      <c r="G1436">
        <v>0</v>
      </c>
      <c r="H1436">
        <v>0</v>
      </c>
    </row>
    <row r="1437" spans="1:8" x14ac:dyDescent="0.2">
      <c r="A1437" s="127" t="s">
        <v>4521</v>
      </c>
      <c r="B1437" s="127" t="s">
        <v>4522</v>
      </c>
      <c r="C1437" s="127" t="s">
        <v>4518</v>
      </c>
      <c r="D1437" s="127" t="s">
        <v>72</v>
      </c>
      <c r="E1437" t="s">
        <v>6860</v>
      </c>
      <c r="F1437">
        <v>0</v>
      </c>
      <c r="G1437">
        <v>0</v>
      </c>
      <c r="H1437">
        <v>0</v>
      </c>
    </row>
    <row r="1438" spans="1:8" x14ac:dyDescent="0.2">
      <c r="A1438" s="127" t="s">
        <v>4521</v>
      </c>
      <c r="B1438" s="127" t="s">
        <v>4522</v>
      </c>
      <c r="C1438" s="127" t="s">
        <v>4518</v>
      </c>
      <c r="D1438" s="127" t="s">
        <v>73</v>
      </c>
    </row>
    <row r="1439" spans="1:8" x14ac:dyDescent="0.2">
      <c r="A1439" s="127" t="s">
        <v>5142</v>
      </c>
      <c r="B1439" s="127" t="s">
        <v>5143</v>
      </c>
      <c r="C1439" s="127" t="s">
        <v>4518</v>
      </c>
      <c r="D1439" s="127" t="s">
        <v>73</v>
      </c>
    </row>
    <row r="1440" spans="1:8" x14ac:dyDescent="0.2">
      <c r="A1440" s="127" t="s">
        <v>4555</v>
      </c>
      <c r="B1440" s="127" t="s">
        <v>4556</v>
      </c>
      <c r="C1440" s="127" t="s">
        <v>4518</v>
      </c>
      <c r="D1440" s="127" t="s">
        <v>72</v>
      </c>
      <c r="E1440" t="s">
        <v>6861</v>
      </c>
      <c r="F1440">
        <v>0</v>
      </c>
      <c r="G1440">
        <v>0</v>
      </c>
      <c r="H1440">
        <v>0</v>
      </c>
    </row>
    <row r="1441" spans="1:8" x14ac:dyDescent="0.2">
      <c r="A1441" s="127" t="s">
        <v>4555</v>
      </c>
      <c r="B1441" s="127" t="s">
        <v>4556</v>
      </c>
      <c r="C1441" s="127" t="s">
        <v>4518</v>
      </c>
      <c r="D1441" s="127" t="s">
        <v>73</v>
      </c>
      <c r="F1441">
        <v>200</v>
      </c>
      <c r="G1441">
        <v>2</v>
      </c>
      <c r="H1441">
        <v>9</v>
      </c>
    </row>
    <row r="1442" spans="1:8" x14ac:dyDescent="0.2">
      <c r="A1442" s="127" t="s">
        <v>5132</v>
      </c>
      <c r="B1442" s="127" t="s">
        <v>5133</v>
      </c>
      <c r="C1442" s="127" t="s">
        <v>4518</v>
      </c>
      <c r="D1442" s="127" t="s">
        <v>73</v>
      </c>
      <c r="F1442">
        <v>0</v>
      </c>
      <c r="G1442">
        <v>0.5</v>
      </c>
      <c r="H1442">
        <v>32</v>
      </c>
    </row>
    <row r="1443" spans="1:8" x14ac:dyDescent="0.2">
      <c r="A1443" s="127" t="s">
        <v>5154</v>
      </c>
      <c r="B1443" s="127" t="s">
        <v>5155</v>
      </c>
      <c r="C1443" s="127" t="s">
        <v>4518</v>
      </c>
      <c r="D1443" s="127" t="s">
        <v>73</v>
      </c>
    </row>
    <row r="1444" spans="1:8" x14ac:dyDescent="0.2">
      <c r="A1444" s="127" t="s">
        <v>5162</v>
      </c>
      <c r="B1444" s="127" t="s">
        <v>5163</v>
      </c>
      <c r="C1444" s="127" t="s">
        <v>4518</v>
      </c>
      <c r="D1444" s="127" t="s">
        <v>72</v>
      </c>
      <c r="E1444" t="s">
        <v>6862</v>
      </c>
      <c r="F1444">
        <v>0</v>
      </c>
      <c r="G1444">
        <v>0</v>
      </c>
      <c r="H1444">
        <v>0</v>
      </c>
    </row>
    <row r="1445" spans="1:8" x14ac:dyDescent="0.2">
      <c r="A1445" s="127" t="s">
        <v>4591</v>
      </c>
      <c r="B1445" s="127" t="s">
        <v>4592</v>
      </c>
      <c r="C1445" s="127" t="s">
        <v>4518</v>
      </c>
      <c r="D1445" s="127" t="s">
        <v>8</v>
      </c>
      <c r="F1445">
        <v>100</v>
      </c>
      <c r="G1445">
        <v>0.16666666666666666</v>
      </c>
      <c r="H1445">
        <v>12</v>
      </c>
    </row>
    <row r="1446" spans="1:8" x14ac:dyDescent="0.2">
      <c r="A1446" s="127" t="s">
        <v>4591</v>
      </c>
      <c r="B1446" s="127" t="s">
        <v>4592</v>
      </c>
      <c r="C1446" s="127" t="s">
        <v>4518</v>
      </c>
      <c r="D1446" s="127" t="s">
        <v>73</v>
      </c>
      <c r="F1446">
        <v>100</v>
      </c>
      <c r="G1446">
        <v>1</v>
      </c>
      <c r="H1446">
        <v>107</v>
      </c>
    </row>
    <row r="1447" spans="1:8" x14ac:dyDescent="0.2">
      <c r="A1447" s="127" t="s">
        <v>4569</v>
      </c>
      <c r="B1447" s="127" t="s">
        <v>4570</v>
      </c>
      <c r="C1447" s="127" t="s">
        <v>4518</v>
      </c>
      <c r="D1447" s="127" t="s">
        <v>73</v>
      </c>
      <c r="F1447">
        <v>0</v>
      </c>
      <c r="G1447">
        <v>0.33333333333333331</v>
      </c>
      <c r="H1447">
        <v>54</v>
      </c>
    </row>
    <row r="1448" spans="1:8" x14ac:dyDescent="0.2">
      <c r="A1448" s="127" t="s">
        <v>4595</v>
      </c>
      <c r="B1448" s="127" t="s">
        <v>4596</v>
      </c>
      <c r="C1448" s="127" t="s">
        <v>4518</v>
      </c>
      <c r="D1448" s="127" t="s">
        <v>73</v>
      </c>
    </row>
    <row r="1449" spans="1:8" x14ac:dyDescent="0.2">
      <c r="A1449" s="127" t="s">
        <v>5243</v>
      </c>
      <c r="B1449" s="127" t="s">
        <v>5244</v>
      </c>
      <c r="C1449" s="127" t="s">
        <v>4518</v>
      </c>
      <c r="D1449" s="127" t="s">
        <v>73</v>
      </c>
    </row>
    <row r="1450" spans="1:8" x14ac:dyDescent="0.2">
      <c r="A1450" s="127" t="s">
        <v>5239</v>
      </c>
      <c r="B1450" s="127" t="s">
        <v>5240</v>
      </c>
      <c r="C1450" s="127" t="s">
        <v>4518</v>
      </c>
      <c r="D1450" s="127" t="s">
        <v>73</v>
      </c>
    </row>
    <row r="1451" spans="1:8" x14ac:dyDescent="0.2">
      <c r="A1451" s="127" t="s">
        <v>4579</v>
      </c>
      <c r="B1451" s="127" t="s">
        <v>4580</v>
      </c>
      <c r="C1451" s="127" t="s">
        <v>4518</v>
      </c>
      <c r="D1451" s="127" t="s">
        <v>8</v>
      </c>
    </row>
    <row r="1452" spans="1:8" x14ac:dyDescent="0.2">
      <c r="A1452" s="127" t="s">
        <v>4579</v>
      </c>
      <c r="B1452" s="127" t="s">
        <v>4580</v>
      </c>
      <c r="C1452" s="127" t="s">
        <v>4518</v>
      </c>
      <c r="D1452" s="127" t="s">
        <v>70</v>
      </c>
      <c r="E1452" t="s">
        <v>6863</v>
      </c>
      <c r="F1452">
        <v>0</v>
      </c>
      <c r="G1452">
        <v>0.16666666666666666</v>
      </c>
      <c r="H1452">
        <v>6</v>
      </c>
    </row>
    <row r="1453" spans="1:8" x14ac:dyDescent="0.2">
      <c r="A1453" s="127" t="s">
        <v>4579</v>
      </c>
      <c r="B1453" s="127" t="s">
        <v>4580</v>
      </c>
      <c r="C1453" s="127" t="s">
        <v>4518</v>
      </c>
      <c r="D1453" s="127" t="s">
        <v>72</v>
      </c>
      <c r="E1453" t="s">
        <v>6864</v>
      </c>
      <c r="F1453">
        <v>0</v>
      </c>
      <c r="G1453">
        <v>0.33333333333333331</v>
      </c>
      <c r="H1453">
        <v>57</v>
      </c>
    </row>
    <row r="1454" spans="1:8" x14ac:dyDescent="0.2">
      <c r="A1454" s="127" t="s">
        <v>4579</v>
      </c>
      <c r="B1454" s="127" t="s">
        <v>4580</v>
      </c>
      <c r="C1454" s="127" t="s">
        <v>4518</v>
      </c>
      <c r="D1454" s="127" t="s">
        <v>73</v>
      </c>
      <c r="F1454">
        <v>0</v>
      </c>
      <c r="G1454">
        <v>1.1666666666666667</v>
      </c>
      <c r="H1454">
        <v>7.7142857142857135</v>
      </c>
    </row>
    <row r="1455" spans="1:8" x14ac:dyDescent="0.2">
      <c r="A1455" s="127" t="s">
        <v>5568</v>
      </c>
      <c r="B1455" s="127" t="s">
        <v>5569</v>
      </c>
      <c r="C1455" s="127" t="s">
        <v>4518</v>
      </c>
      <c r="D1455" s="127" t="s">
        <v>8</v>
      </c>
      <c r="G1455">
        <v>0.16666666666666666</v>
      </c>
      <c r="H1455">
        <v>24</v>
      </c>
    </row>
    <row r="1456" spans="1:8" x14ac:dyDescent="0.2">
      <c r="A1456" s="127" t="s">
        <v>5568</v>
      </c>
      <c r="B1456" s="127" t="s">
        <v>5569</v>
      </c>
      <c r="C1456" s="127" t="s">
        <v>4518</v>
      </c>
      <c r="D1456" s="127" t="s">
        <v>72</v>
      </c>
      <c r="E1456" t="s">
        <v>6865</v>
      </c>
    </row>
    <row r="1457" spans="1:8" x14ac:dyDescent="0.2">
      <c r="A1457" s="127" t="s">
        <v>4613</v>
      </c>
      <c r="B1457" s="127" t="s">
        <v>4614</v>
      </c>
      <c r="C1457" s="127" t="s">
        <v>4610</v>
      </c>
      <c r="D1457" s="127" t="s">
        <v>72</v>
      </c>
      <c r="E1457" t="s">
        <v>7584</v>
      </c>
      <c r="F1457">
        <v>0</v>
      </c>
      <c r="G1457">
        <v>0.83333333333333337</v>
      </c>
      <c r="H1457">
        <v>102</v>
      </c>
    </row>
    <row r="1458" spans="1:8" x14ac:dyDescent="0.2">
      <c r="A1458" s="127" t="s">
        <v>4611</v>
      </c>
      <c r="B1458" s="127" t="s">
        <v>4612</v>
      </c>
      <c r="C1458" s="127" t="s">
        <v>4610</v>
      </c>
      <c r="D1458" s="127" t="s">
        <v>72</v>
      </c>
      <c r="E1458" t="s">
        <v>7578</v>
      </c>
      <c r="F1458">
        <v>9588</v>
      </c>
      <c r="G1458">
        <v>9.3333333333333339</v>
      </c>
      <c r="H1458">
        <v>7.3928571428571423</v>
      </c>
    </row>
    <row r="1459" spans="1:8" x14ac:dyDescent="0.2">
      <c r="A1459" s="127" t="s">
        <v>354</v>
      </c>
      <c r="B1459" s="127" t="s">
        <v>355</v>
      </c>
      <c r="C1459" s="127" t="s">
        <v>307</v>
      </c>
      <c r="D1459" s="127" t="s">
        <v>73</v>
      </c>
    </row>
    <row r="1460" spans="1:8" x14ac:dyDescent="0.2">
      <c r="A1460" s="127" t="s">
        <v>4908</v>
      </c>
      <c r="B1460" s="127" t="s">
        <v>4909</v>
      </c>
      <c r="C1460" s="127" t="s">
        <v>4905</v>
      </c>
      <c r="D1460" s="127" t="s">
        <v>70</v>
      </c>
      <c r="E1460" t="s">
        <v>6866</v>
      </c>
      <c r="F1460">
        <v>0</v>
      </c>
      <c r="G1460">
        <v>0</v>
      </c>
      <c r="H1460">
        <v>0</v>
      </c>
    </row>
    <row r="1461" spans="1:8" x14ac:dyDescent="0.2">
      <c r="A1461" s="127" t="s">
        <v>4916</v>
      </c>
      <c r="B1461" s="127" t="s">
        <v>4915</v>
      </c>
      <c r="C1461" s="127" t="s">
        <v>4905</v>
      </c>
      <c r="D1461" s="127" t="s">
        <v>8</v>
      </c>
      <c r="F1461">
        <v>120</v>
      </c>
      <c r="G1461">
        <v>3.5</v>
      </c>
      <c r="H1461">
        <v>24.857142857142858</v>
      </c>
    </row>
    <row r="1462" spans="1:8" x14ac:dyDescent="0.2">
      <c r="A1462" s="127" t="s">
        <v>4916</v>
      </c>
      <c r="B1462" s="127" t="s">
        <v>4915</v>
      </c>
      <c r="C1462" s="127" t="s">
        <v>4905</v>
      </c>
      <c r="D1462" s="127" t="s">
        <v>5730</v>
      </c>
      <c r="F1462">
        <v>0</v>
      </c>
      <c r="G1462">
        <v>0</v>
      </c>
      <c r="H1462">
        <v>0</v>
      </c>
    </row>
    <row r="1463" spans="1:8" x14ac:dyDescent="0.2">
      <c r="A1463" s="127" t="s">
        <v>4916</v>
      </c>
      <c r="B1463" s="127" t="s">
        <v>4915</v>
      </c>
      <c r="C1463" s="127" t="s">
        <v>4905</v>
      </c>
      <c r="D1463" s="127" t="s">
        <v>70</v>
      </c>
      <c r="E1463" t="s">
        <v>6867</v>
      </c>
      <c r="F1463">
        <v>600</v>
      </c>
      <c r="G1463">
        <v>2.5</v>
      </c>
      <c r="H1463">
        <v>20.8</v>
      </c>
    </row>
    <row r="1464" spans="1:8" x14ac:dyDescent="0.2">
      <c r="A1464" s="127" t="s">
        <v>4916</v>
      </c>
      <c r="B1464" s="127" t="s">
        <v>4915</v>
      </c>
      <c r="C1464" s="127" t="s">
        <v>4905</v>
      </c>
      <c r="D1464" s="127" t="s">
        <v>72</v>
      </c>
      <c r="E1464" t="s">
        <v>6868</v>
      </c>
      <c r="F1464">
        <v>720</v>
      </c>
      <c r="G1464">
        <v>3.6666666666666665</v>
      </c>
      <c r="H1464">
        <v>12.545454545454547</v>
      </c>
    </row>
    <row r="1465" spans="1:8" x14ac:dyDescent="0.2">
      <c r="A1465" s="127" t="s">
        <v>4917</v>
      </c>
      <c r="B1465" s="127" t="s">
        <v>4918</v>
      </c>
      <c r="C1465" s="127" t="s">
        <v>4905</v>
      </c>
      <c r="D1465" s="127" t="s">
        <v>8</v>
      </c>
      <c r="F1465">
        <v>240</v>
      </c>
      <c r="G1465">
        <v>0.83333333333333337</v>
      </c>
      <c r="H1465">
        <v>58.8</v>
      </c>
    </row>
    <row r="1466" spans="1:8" x14ac:dyDescent="0.2">
      <c r="A1466" s="127" t="s">
        <v>4917</v>
      </c>
      <c r="B1466" s="127" t="s">
        <v>4918</v>
      </c>
      <c r="C1466" s="127" t="s">
        <v>4905</v>
      </c>
      <c r="D1466" s="127" t="s">
        <v>5730</v>
      </c>
      <c r="F1466">
        <v>0</v>
      </c>
      <c r="G1466">
        <v>0</v>
      </c>
      <c r="H1466">
        <v>0</v>
      </c>
    </row>
    <row r="1467" spans="1:8" x14ac:dyDescent="0.2">
      <c r="A1467" s="127" t="s">
        <v>4917</v>
      </c>
      <c r="B1467" s="127" t="s">
        <v>4918</v>
      </c>
      <c r="C1467" s="127" t="s">
        <v>4905</v>
      </c>
      <c r="D1467" s="127" t="s">
        <v>72</v>
      </c>
      <c r="E1467" t="s">
        <v>6869</v>
      </c>
      <c r="F1467">
        <v>240</v>
      </c>
      <c r="G1467">
        <v>2.3333333333333335</v>
      </c>
      <c r="H1467">
        <v>17.142857142857142</v>
      </c>
    </row>
    <row r="1468" spans="1:8" x14ac:dyDescent="0.2">
      <c r="A1468" s="127" t="s">
        <v>4928</v>
      </c>
      <c r="B1468" s="127" t="s">
        <v>4927</v>
      </c>
      <c r="C1468" s="127" t="s">
        <v>4905</v>
      </c>
      <c r="D1468" s="127" t="s">
        <v>8</v>
      </c>
      <c r="F1468">
        <v>2460</v>
      </c>
      <c r="G1468">
        <v>1.8333333333333333</v>
      </c>
      <c r="H1468">
        <v>6</v>
      </c>
    </row>
    <row r="1469" spans="1:8" x14ac:dyDescent="0.2">
      <c r="A1469" s="127" t="s">
        <v>4928</v>
      </c>
      <c r="B1469" s="127" t="s">
        <v>4927</v>
      </c>
      <c r="C1469" s="127" t="s">
        <v>4905</v>
      </c>
      <c r="D1469" s="127" t="s">
        <v>5730</v>
      </c>
      <c r="F1469">
        <v>0</v>
      </c>
      <c r="G1469">
        <v>0</v>
      </c>
      <c r="H1469">
        <v>0</v>
      </c>
    </row>
    <row r="1470" spans="1:8" x14ac:dyDescent="0.2">
      <c r="A1470" s="127" t="s">
        <v>4928</v>
      </c>
      <c r="B1470" s="127" t="s">
        <v>4927</v>
      </c>
      <c r="C1470" s="127" t="s">
        <v>4905</v>
      </c>
      <c r="D1470" s="127" t="s">
        <v>70</v>
      </c>
      <c r="E1470" t="s">
        <v>6870</v>
      </c>
    </row>
    <row r="1471" spans="1:8" x14ac:dyDescent="0.2">
      <c r="A1471" s="127" t="s">
        <v>4928</v>
      </c>
      <c r="B1471" s="127" t="s">
        <v>4927</v>
      </c>
      <c r="C1471" s="127" t="s">
        <v>4905</v>
      </c>
      <c r="D1471" s="127" t="s">
        <v>72</v>
      </c>
      <c r="E1471" t="s">
        <v>6871</v>
      </c>
      <c r="F1471">
        <v>820</v>
      </c>
      <c r="G1471">
        <v>1.5</v>
      </c>
      <c r="H1471">
        <v>14</v>
      </c>
    </row>
    <row r="1472" spans="1:8" x14ac:dyDescent="0.2">
      <c r="A1472" s="127" t="s">
        <v>4923</v>
      </c>
      <c r="B1472" s="127" t="s">
        <v>4924</v>
      </c>
      <c r="C1472" s="127" t="s">
        <v>4905</v>
      </c>
      <c r="D1472" s="127" t="s">
        <v>8</v>
      </c>
      <c r="F1472">
        <v>1520</v>
      </c>
      <c r="G1472">
        <v>3.6666666666666665</v>
      </c>
      <c r="H1472">
        <v>15.545454545454547</v>
      </c>
    </row>
    <row r="1473" spans="1:8" x14ac:dyDescent="0.2">
      <c r="A1473" s="127" t="s">
        <v>4923</v>
      </c>
      <c r="B1473" s="127" t="s">
        <v>4924</v>
      </c>
      <c r="C1473" s="127" t="s">
        <v>4905</v>
      </c>
      <c r="D1473" s="127" t="s">
        <v>5730</v>
      </c>
      <c r="F1473">
        <v>0</v>
      </c>
      <c r="G1473">
        <v>0</v>
      </c>
      <c r="H1473">
        <v>0</v>
      </c>
    </row>
    <row r="1474" spans="1:8" x14ac:dyDescent="0.2">
      <c r="A1474" s="127" t="s">
        <v>4923</v>
      </c>
      <c r="B1474" s="127" t="s">
        <v>4924</v>
      </c>
      <c r="C1474" s="127" t="s">
        <v>4905</v>
      </c>
      <c r="D1474" s="127" t="s">
        <v>70</v>
      </c>
      <c r="E1474" t="s">
        <v>6872</v>
      </c>
      <c r="F1474">
        <v>1140</v>
      </c>
      <c r="G1474">
        <v>2.8333333333333335</v>
      </c>
      <c r="H1474">
        <v>17.294117647058822</v>
      </c>
    </row>
    <row r="1475" spans="1:8" x14ac:dyDescent="0.2">
      <c r="A1475" s="127" t="s">
        <v>4923</v>
      </c>
      <c r="B1475" s="127" t="s">
        <v>4924</v>
      </c>
      <c r="C1475" s="127" t="s">
        <v>4905</v>
      </c>
      <c r="D1475" s="127" t="s">
        <v>72</v>
      </c>
      <c r="E1475" t="s">
        <v>6873</v>
      </c>
      <c r="F1475">
        <v>1140</v>
      </c>
      <c r="G1475">
        <v>3.1666666666666665</v>
      </c>
      <c r="H1475">
        <v>6</v>
      </c>
    </row>
    <row r="1476" spans="1:8" x14ac:dyDescent="0.2">
      <c r="A1476" s="127" t="s">
        <v>4931</v>
      </c>
      <c r="B1476" s="127" t="s">
        <v>4930</v>
      </c>
      <c r="C1476" s="127" t="s">
        <v>4905</v>
      </c>
      <c r="D1476" s="127" t="s">
        <v>8</v>
      </c>
      <c r="F1476">
        <v>1320</v>
      </c>
      <c r="G1476">
        <v>3.8333333333333335</v>
      </c>
      <c r="H1476">
        <v>13.043478260869565</v>
      </c>
    </row>
    <row r="1477" spans="1:8" x14ac:dyDescent="0.2">
      <c r="A1477" s="127" t="s">
        <v>4931</v>
      </c>
      <c r="B1477" s="127" t="s">
        <v>4930</v>
      </c>
      <c r="C1477" s="127" t="s">
        <v>4905</v>
      </c>
      <c r="D1477" s="127" t="s">
        <v>5730</v>
      </c>
      <c r="F1477">
        <v>0</v>
      </c>
      <c r="G1477">
        <v>0</v>
      </c>
      <c r="H1477">
        <v>0</v>
      </c>
    </row>
    <row r="1478" spans="1:8" x14ac:dyDescent="0.2">
      <c r="A1478" s="127" t="s">
        <v>4931</v>
      </c>
      <c r="B1478" s="127" t="s">
        <v>4930</v>
      </c>
      <c r="C1478" s="127" t="s">
        <v>4905</v>
      </c>
      <c r="D1478" s="127" t="s">
        <v>70</v>
      </c>
      <c r="E1478" t="s">
        <v>6874</v>
      </c>
      <c r="F1478">
        <v>220</v>
      </c>
      <c r="G1478">
        <v>3.8333333333333335</v>
      </c>
      <c r="H1478">
        <v>14.608695652173912</v>
      </c>
    </row>
    <row r="1479" spans="1:8" x14ac:dyDescent="0.2">
      <c r="A1479" s="127" t="s">
        <v>4931</v>
      </c>
      <c r="B1479" s="127" t="s">
        <v>4930</v>
      </c>
      <c r="C1479" s="127" t="s">
        <v>4905</v>
      </c>
      <c r="D1479" s="127" t="s">
        <v>72</v>
      </c>
      <c r="E1479" t="s">
        <v>6875</v>
      </c>
      <c r="F1479">
        <v>1760</v>
      </c>
      <c r="G1479">
        <v>10.166666666666666</v>
      </c>
      <c r="H1479">
        <v>4.1311475409836067</v>
      </c>
    </row>
    <row r="1480" spans="1:8" x14ac:dyDescent="0.2">
      <c r="A1480" s="127" t="s">
        <v>4934</v>
      </c>
      <c r="B1480" s="127" t="s">
        <v>4933</v>
      </c>
      <c r="C1480" s="127" t="s">
        <v>4905</v>
      </c>
      <c r="D1480" s="127" t="s">
        <v>8</v>
      </c>
      <c r="F1480">
        <v>220</v>
      </c>
      <c r="G1480">
        <v>1.1666666666666667</v>
      </c>
      <c r="H1480">
        <v>29.999999999999996</v>
      </c>
    </row>
    <row r="1481" spans="1:8" x14ac:dyDescent="0.2">
      <c r="A1481" s="127" t="s">
        <v>4934</v>
      </c>
      <c r="B1481" s="127" t="s">
        <v>4933</v>
      </c>
      <c r="C1481" s="127" t="s">
        <v>4905</v>
      </c>
      <c r="D1481" s="127" t="s">
        <v>5730</v>
      </c>
      <c r="F1481">
        <v>220</v>
      </c>
      <c r="G1481">
        <v>0.16666666666666666</v>
      </c>
      <c r="H1481">
        <v>24</v>
      </c>
    </row>
    <row r="1482" spans="1:8" x14ac:dyDescent="0.2">
      <c r="A1482" s="127" t="s">
        <v>4934</v>
      </c>
      <c r="B1482" s="127" t="s">
        <v>4933</v>
      </c>
      <c r="C1482" s="127" t="s">
        <v>4905</v>
      </c>
      <c r="D1482" s="127" t="s">
        <v>70</v>
      </c>
      <c r="E1482" t="s">
        <v>6876</v>
      </c>
      <c r="F1482">
        <v>220</v>
      </c>
      <c r="G1482">
        <v>1.8333333333333333</v>
      </c>
      <c r="H1482">
        <v>26.181818181818183</v>
      </c>
    </row>
    <row r="1483" spans="1:8" x14ac:dyDescent="0.2">
      <c r="A1483" s="127" t="s">
        <v>4934</v>
      </c>
      <c r="B1483" s="127" t="s">
        <v>4933</v>
      </c>
      <c r="C1483" s="127" t="s">
        <v>4905</v>
      </c>
      <c r="D1483" s="127" t="s">
        <v>72</v>
      </c>
      <c r="E1483" t="s">
        <v>6877</v>
      </c>
      <c r="F1483">
        <v>1100</v>
      </c>
      <c r="G1483">
        <v>4.833333333333333</v>
      </c>
      <c r="H1483">
        <v>7.4482758620689662</v>
      </c>
    </row>
    <row r="1484" spans="1:8" x14ac:dyDescent="0.2">
      <c r="A1484" s="127" t="s">
        <v>4938</v>
      </c>
      <c r="B1484" s="127" t="s">
        <v>4939</v>
      </c>
      <c r="C1484" s="127" t="s">
        <v>4905</v>
      </c>
      <c r="D1484" s="127" t="s">
        <v>8</v>
      </c>
      <c r="F1484">
        <v>490</v>
      </c>
      <c r="G1484">
        <v>0.66666666666666663</v>
      </c>
      <c r="H1484">
        <v>39</v>
      </c>
    </row>
    <row r="1485" spans="1:8" x14ac:dyDescent="0.2">
      <c r="A1485" s="127" t="s">
        <v>4938</v>
      </c>
      <c r="B1485" s="127" t="s">
        <v>4939</v>
      </c>
      <c r="C1485" s="127" t="s">
        <v>4905</v>
      </c>
      <c r="D1485" s="127" t="s">
        <v>5730</v>
      </c>
      <c r="F1485">
        <v>0</v>
      </c>
      <c r="G1485">
        <v>0</v>
      </c>
      <c r="H1485">
        <v>0</v>
      </c>
    </row>
    <row r="1486" spans="1:8" x14ac:dyDescent="0.2">
      <c r="A1486" s="127" t="s">
        <v>4938</v>
      </c>
      <c r="B1486" s="127" t="s">
        <v>4939</v>
      </c>
      <c r="C1486" s="127" t="s">
        <v>4905</v>
      </c>
      <c r="D1486" s="127" t="s">
        <v>70</v>
      </c>
      <c r="E1486" t="s">
        <v>6878</v>
      </c>
    </row>
    <row r="1487" spans="1:8" x14ac:dyDescent="0.2">
      <c r="A1487" s="127" t="s">
        <v>4937</v>
      </c>
      <c r="B1487" s="127" t="s">
        <v>4936</v>
      </c>
      <c r="C1487" s="127" t="s">
        <v>4905</v>
      </c>
      <c r="D1487" s="127" t="s">
        <v>8</v>
      </c>
      <c r="F1487">
        <v>800</v>
      </c>
      <c r="G1487">
        <v>2.8333333333333335</v>
      </c>
      <c r="H1487">
        <v>25.058823529411764</v>
      </c>
    </row>
    <row r="1488" spans="1:8" x14ac:dyDescent="0.2">
      <c r="A1488" s="127" t="s">
        <v>4937</v>
      </c>
      <c r="B1488" s="127" t="s">
        <v>4936</v>
      </c>
      <c r="C1488" s="127" t="s">
        <v>4905</v>
      </c>
      <c r="D1488" s="127" t="s">
        <v>5730</v>
      </c>
      <c r="F1488">
        <v>0</v>
      </c>
      <c r="G1488">
        <v>0.16666666666666666</v>
      </c>
      <c r="H1488">
        <v>18</v>
      </c>
    </row>
    <row r="1489" spans="1:8" x14ac:dyDescent="0.2">
      <c r="A1489" s="127" t="s">
        <v>4937</v>
      </c>
      <c r="B1489" s="127" t="s">
        <v>4936</v>
      </c>
      <c r="C1489" s="127" t="s">
        <v>4905</v>
      </c>
      <c r="D1489" s="127" t="s">
        <v>70</v>
      </c>
      <c r="E1489" t="s">
        <v>6879</v>
      </c>
    </row>
    <row r="1490" spans="1:8" x14ac:dyDescent="0.2">
      <c r="A1490" s="127" t="s">
        <v>4937</v>
      </c>
      <c r="B1490" s="127" t="s">
        <v>4936</v>
      </c>
      <c r="C1490" s="127" t="s">
        <v>4905</v>
      </c>
      <c r="D1490" s="127" t="s">
        <v>72</v>
      </c>
      <c r="E1490" t="s">
        <v>6880</v>
      </c>
      <c r="F1490">
        <v>1200</v>
      </c>
      <c r="G1490">
        <v>4.833333333333333</v>
      </c>
      <c r="H1490">
        <v>8.068965517241379</v>
      </c>
    </row>
    <row r="1491" spans="1:8" x14ac:dyDescent="0.2">
      <c r="A1491" s="127" t="s">
        <v>5002</v>
      </c>
      <c r="B1491" s="127" t="s">
        <v>5003</v>
      </c>
      <c r="C1491" s="127" t="s">
        <v>4905</v>
      </c>
      <c r="D1491" s="127" t="s">
        <v>8</v>
      </c>
      <c r="F1491">
        <v>480</v>
      </c>
      <c r="G1491">
        <v>1.5</v>
      </c>
      <c r="H1491">
        <v>49.333333333333336</v>
      </c>
    </row>
    <row r="1492" spans="1:8" x14ac:dyDescent="0.2">
      <c r="A1492" s="127" t="s">
        <v>5002</v>
      </c>
      <c r="B1492" s="127" t="s">
        <v>5003</v>
      </c>
      <c r="C1492" s="127" t="s">
        <v>4905</v>
      </c>
      <c r="D1492" s="127" t="s">
        <v>5730</v>
      </c>
      <c r="F1492">
        <v>0</v>
      </c>
      <c r="G1492">
        <v>0</v>
      </c>
      <c r="H1492">
        <v>0</v>
      </c>
    </row>
    <row r="1493" spans="1:8" x14ac:dyDescent="0.2">
      <c r="A1493" s="127" t="s">
        <v>5002</v>
      </c>
      <c r="B1493" s="127" t="s">
        <v>5003</v>
      </c>
      <c r="C1493" s="127" t="s">
        <v>4905</v>
      </c>
      <c r="D1493" s="127" t="s">
        <v>70</v>
      </c>
      <c r="E1493" t="s">
        <v>6881</v>
      </c>
      <c r="F1493">
        <v>0</v>
      </c>
      <c r="G1493">
        <v>0</v>
      </c>
      <c r="H1493">
        <v>0</v>
      </c>
    </row>
    <row r="1494" spans="1:8" x14ac:dyDescent="0.2">
      <c r="A1494" s="127" t="s">
        <v>5002</v>
      </c>
      <c r="B1494" s="127" t="s">
        <v>5003</v>
      </c>
      <c r="C1494" s="127" t="s">
        <v>4905</v>
      </c>
      <c r="D1494" s="127" t="s">
        <v>72</v>
      </c>
      <c r="E1494" t="s">
        <v>6882</v>
      </c>
      <c r="F1494">
        <v>0</v>
      </c>
      <c r="G1494">
        <v>0.16666666666666666</v>
      </c>
      <c r="H1494">
        <v>6</v>
      </c>
    </row>
    <row r="1495" spans="1:8" x14ac:dyDescent="0.2">
      <c r="A1495" s="127" t="s">
        <v>5015</v>
      </c>
      <c r="B1495" s="127" t="s">
        <v>5016</v>
      </c>
      <c r="C1495" s="127" t="s">
        <v>5010</v>
      </c>
      <c r="D1495" s="127" t="s">
        <v>73</v>
      </c>
    </row>
    <row r="1496" spans="1:8" x14ac:dyDescent="0.2">
      <c r="A1496" s="127" t="s">
        <v>5017</v>
      </c>
      <c r="B1496" s="127" t="s">
        <v>5018</v>
      </c>
      <c r="C1496" s="127" t="s">
        <v>5010</v>
      </c>
      <c r="D1496" s="127" t="s">
        <v>73</v>
      </c>
    </row>
    <row r="1497" spans="1:8" x14ac:dyDescent="0.2">
      <c r="A1497" s="127" t="s">
        <v>5019</v>
      </c>
      <c r="B1497" s="127" t="s">
        <v>5020</v>
      </c>
      <c r="C1497" s="127" t="s">
        <v>5010</v>
      </c>
      <c r="D1497" s="127" t="s">
        <v>73</v>
      </c>
    </row>
    <row r="1498" spans="1:8" x14ac:dyDescent="0.2">
      <c r="A1498" s="127" t="s">
        <v>5029</v>
      </c>
      <c r="B1498" s="127" t="s">
        <v>5030</v>
      </c>
      <c r="C1498" s="127" t="s">
        <v>5010</v>
      </c>
      <c r="D1498" s="127" t="s">
        <v>73</v>
      </c>
    </row>
    <row r="1499" spans="1:8" x14ac:dyDescent="0.2">
      <c r="A1499" s="127" t="s">
        <v>5031</v>
      </c>
      <c r="B1499" s="127" t="s">
        <v>5032</v>
      </c>
      <c r="C1499" s="127" t="s">
        <v>5010</v>
      </c>
      <c r="D1499" s="127" t="s">
        <v>73</v>
      </c>
    </row>
    <row r="1500" spans="1:8" x14ac:dyDescent="0.2">
      <c r="A1500" s="127" t="s">
        <v>4602</v>
      </c>
      <c r="B1500" s="127" t="s">
        <v>4603</v>
      </c>
      <c r="C1500" s="127" t="s">
        <v>4597</v>
      </c>
      <c r="D1500" s="127" t="s">
        <v>70</v>
      </c>
      <c r="E1500" t="s">
        <v>6883</v>
      </c>
    </row>
    <row r="1501" spans="1:8" x14ac:dyDescent="0.2">
      <c r="A1501" s="127" t="s">
        <v>6884</v>
      </c>
      <c r="B1501" s="127"/>
      <c r="C1501" s="127"/>
      <c r="D1501" s="127"/>
      <c r="F1501">
        <v>1862454</v>
      </c>
      <c r="G1501">
        <v>18033.666666666668</v>
      </c>
      <c r="H1501">
        <v>13.867285262749302</v>
      </c>
    </row>
  </sheetData>
  <phoneticPr fontId="2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EF8C-2D6E-A142-B615-959AA71D2221}">
  <dimension ref="A1:P3078"/>
  <sheetViews>
    <sheetView workbookViewId="0">
      <selection activeCell="H37" sqref="H37"/>
    </sheetView>
  </sheetViews>
  <sheetFormatPr baseColWidth="10" defaultColWidth="11" defaultRowHeight="16" x14ac:dyDescent="0.2"/>
  <cols>
    <col min="2" max="2" width="15" customWidth="1"/>
    <col min="4" max="4" width="11.5" customWidth="1"/>
    <col min="5" max="5" width="12.33203125" customWidth="1"/>
    <col min="6" max="6" width="18.5" customWidth="1"/>
    <col min="7" max="7" width="18" customWidth="1"/>
    <col min="8" max="8" width="20.5" customWidth="1"/>
    <col min="9" max="9" width="18.5" customWidth="1"/>
    <col min="10" max="10" width="22.1640625" customWidth="1"/>
    <col min="11" max="11" width="18.33203125" customWidth="1"/>
    <col min="12" max="12" width="17.1640625" customWidth="1"/>
    <col min="13" max="13" width="16.1640625" customWidth="1"/>
    <col min="14" max="14" width="15.33203125" customWidth="1"/>
    <col min="15" max="15" width="14.83203125" customWidth="1"/>
    <col min="18" max="18" width="12.6640625" customWidth="1"/>
    <col min="20" max="20" width="17.1640625" customWidth="1"/>
    <col min="21" max="21" width="13.1640625" customWidth="1"/>
  </cols>
  <sheetData>
    <row r="1" spans="1:16" x14ac:dyDescent="0.2">
      <c r="A1" t="s">
        <v>5056</v>
      </c>
      <c r="B1" t="s">
        <v>5057</v>
      </c>
      <c r="C1" t="s">
        <v>3</v>
      </c>
      <c r="D1" t="s">
        <v>83</v>
      </c>
      <c r="E1" t="s">
        <v>5058</v>
      </c>
      <c r="F1" t="s">
        <v>5811</v>
      </c>
      <c r="G1" t="s">
        <v>5060</v>
      </c>
      <c r="H1" t="s">
        <v>5812</v>
      </c>
      <c r="I1" t="s">
        <v>5813</v>
      </c>
      <c r="J1" t="s">
        <v>5814</v>
      </c>
      <c r="K1" t="s">
        <v>5815</v>
      </c>
      <c r="L1" t="s">
        <v>5061</v>
      </c>
      <c r="M1" t="s">
        <v>5062</v>
      </c>
      <c r="N1" t="s">
        <v>5063</v>
      </c>
      <c r="O1" t="s">
        <v>5816</v>
      </c>
      <c r="P1" t="s">
        <v>5064</v>
      </c>
    </row>
    <row r="2" spans="1:16" x14ac:dyDescent="0.2">
      <c r="A2" t="s">
        <v>118</v>
      </c>
      <c r="B2" t="s">
        <v>119</v>
      </c>
      <c r="C2" t="s">
        <v>95</v>
      </c>
      <c r="D2" t="s">
        <v>98</v>
      </c>
      <c r="E2">
        <v>149.99</v>
      </c>
      <c r="F2" t="s">
        <v>5817</v>
      </c>
      <c r="L2" t="s">
        <v>73</v>
      </c>
      <c r="M2">
        <v>0</v>
      </c>
      <c r="N2">
        <v>0</v>
      </c>
      <c r="O2">
        <v>0</v>
      </c>
      <c r="P2">
        <v>0</v>
      </c>
    </row>
    <row r="3" spans="1:16" x14ac:dyDescent="0.2">
      <c r="A3" t="s">
        <v>130</v>
      </c>
      <c r="B3" t="s">
        <v>131</v>
      </c>
      <c r="C3" t="s">
        <v>95</v>
      </c>
      <c r="D3" t="s">
        <v>98</v>
      </c>
      <c r="E3">
        <v>24.99</v>
      </c>
      <c r="F3" t="s">
        <v>5817</v>
      </c>
      <c r="L3" t="s">
        <v>73</v>
      </c>
      <c r="M3">
        <v>0</v>
      </c>
      <c r="N3">
        <v>0</v>
      </c>
      <c r="O3">
        <v>0</v>
      </c>
      <c r="P3">
        <v>0</v>
      </c>
    </row>
    <row r="4" spans="1:16" x14ac:dyDescent="0.2">
      <c r="A4" t="s">
        <v>120</v>
      </c>
      <c r="B4" t="s">
        <v>121</v>
      </c>
      <c r="C4" t="s">
        <v>95</v>
      </c>
      <c r="D4" t="s">
        <v>98</v>
      </c>
      <c r="E4">
        <v>25.99</v>
      </c>
      <c r="F4" t="s">
        <v>5817</v>
      </c>
      <c r="L4" t="s">
        <v>73</v>
      </c>
      <c r="M4">
        <v>0</v>
      </c>
      <c r="N4">
        <v>0</v>
      </c>
      <c r="O4">
        <v>0</v>
      </c>
      <c r="P4">
        <v>0</v>
      </c>
    </row>
    <row r="5" spans="1:16" x14ac:dyDescent="0.2">
      <c r="A5" t="s">
        <v>126</v>
      </c>
      <c r="B5" t="s">
        <v>127</v>
      </c>
      <c r="C5" t="s">
        <v>95</v>
      </c>
      <c r="D5" t="s">
        <v>98</v>
      </c>
      <c r="E5">
        <v>59.99</v>
      </c>
      <c r="F5" t="s">
        <v>5817</v>
      </c>
      <c r="L5" t="s">
        <v>73</v>
      </c>
      <c r="M5">
        <v>0</v>
      </c>
      <c r="N5">
        <v>0</v>
      </c>
      <c r="O5">
        <v>0</v>
      </c>
      <c r="P5">
        <v>0</v>
      </c>
    </row>
    <row r="6" spans="1:16" x14ac:dyDescent="0.2">
      <c r="A6" t="s">
        <v>116</v>
      </c>
      <c r="B6" t="s">
        <v>117</v>
      </c>
      <c r="C6" t="s">
        <v>95</v>
      </c>
      <c r="D6" t="s">
        <v>98</v>
      </c>
      <c r="E6">
        <v>129.99</v>
      </c>
      <c r="F6" t="s">
        <v>5817</v>
      </c>
      <c r="L6" t="s">
        <v>73</v>
      </c>
      <c r="M6">
        <v>1</v>
      </c>
      <c r="N6">
        <v>4</v>
      </c>
      <c r="O6">
        <v>0.41666666666666669</v>
      </c>
      <c r="P6">
        <v>4</v>
      </c>
    </row>
    <row r="7" spans="1:16" x14ac:dyDescent="0.2">
      <c r="A7" t="s">
        <v>112</v>
      </c>
      <c r="B7" t="s">
        <v>113</v>
      </c>
      <c r="C7" t="s">
        <v>95</v>
      </c>
      <c r="D7" t="s">
        <v>98</v>
      </c>
      <c r="E7">
        <v>99.99</v>
      </c>
      <c r="F7" t="s">
        <v>5817</v>
      </c>
      <c r="L7" t="s">
        <v>73</v>
      </c>
      <c r="M7">
        <v>0</v>
      </c>
      <c r="N7">
        <v>0</v>
      </c>
      <c r="O7">
        <v>0</v>
      </c>
      <c r="P7">
        <v>0</v>
      </c>
    </row>
    <row r="8" spans="1:16" x14ac:dyDescent="0.2">
      <c r="A8" t="s">
        <v>132</v>
      </c>
      <c r="B8" t="s">
        <v>133</v>
      </c>
      <c r="C8" t="s">
        <v>95</v>
      </c>
      <c r="D8" t="s">
        <v>105</v>
      </c>
      <c r="E8">
        <v>79.989999999999995</v>
      </c>
      <c r="F8" t="s">
        <v>5817</v>
      </c>
      <c r="G8">
        <v>22</v>
      </c>
      <c r="I8">
        <v>22</v>
      </c>
      <c r="L8" t="s">
        <v>73</v>
      </c>
      <c r="M8">
        <v>2</v>
      </c>
      <c r="N8">
        <v>44.5</v>
      </c>
      <c r="O8">
        <v>1.5833333333333333</v>
      </c>
      <c r="P8">
        <v>89</v>
      </c>
    </row>
    <row r="9" spans="1:16" x14ac:dyDescent="0.2">
      <c r="A9" t="s">
        <v>134</v>
      </c>
      <c r="B9" t="s">
        <v>135</v>
      </c>
      <c r="C9" t="s">
        <v>95</v>
      </c>
      <c r="D9" t="s">
        <v>105</v>
      </c>
      <c r="E9">
        <v>79.989999999999995</v>
      </c>
      <c r="F9" t="s">
        <v>5817</v>
      </c>
      <c r="G9">
        <v>50</v>
      </c>
      <c r="I9">
        <v>50</v>
      </c>
      <c r="L9" t="s">
        <v>73</v>
      </c>
      <c r="M9">
        <v>1.75</v>
      </c>
      <c r="N9">
        <v>73.714285714285708</v>
      </c>
      <c r="O9">
        <v>0.5</v>
      </c>
      <c r="P9">
        <v>129</v>
      </c>
    </row>
    <row r="10" spans="1:16" x14ac:dyDescent="0.2">
      <c r="A10" t="s">
        <v>122</v>
      </c>
      <c r="B10" t="s">
        <v>123</v>
      </c>
      <c r="C10" t="s">
        <v>95</v>
      </c>
      <c r="D10" t="s">
        <v>105</v>
      </c>
      <c r="E10">
        <v>169.99</v>
      </c>
      <c r="F10" t="s">
        <v>5817</v>
      </c>
      <c r="G10">
        <v>109</v>
      </c>
      <c r="I10">
        <v>109</v>
      </c>
      <c r="L10" t="s">
        <v>73</v>
      </c>
      <c r="N10">
        <v>0</v>
      </c>
      <c r="O10">
        <v>8.3333333333333329E-2</v>
      </c>
      <c r="P10">
        <v>55</v>
      </c>
    </row>
    <row r="11" spans="1:16" x14ac:dyDescent="0.2">
      <c r="A11" t="s">
        <v>139</v>
      </c>
      <c r="B11" t="s">
        <v>140</v>
      </c>
      <c r="C11" t="s">
        <v>95</v>
      </c>
      <c r="D11" t="s">
        <v>105</v>
      </c>
      <c r="E11">
        <v>79.989999999999995</v>
      </c>
      <c r="F11" t="s">
        <v>5817</v>
      </c>
      <c r="G11">
        <v>63</v>
      </c>
      <c r="I11">
        <v>63</v>
      </c>
      <c r="L11" t="s">
        <v>73</v>
      </c>
      <c r="M11">
        <v>3.5</v>
      </c>
      <c r="N11">
        <v>20</v>
      </c>
      <c r="O11">
        <v>1.6666666666666667</v>
      </c>
      <c r="P11">
        <v>70</v>
      </c>
    </row>
    <row r="12" spans="1:16" x14ac:dyDescent="0.2">
      <c r="A12" t="s">
        <v>136</v>
      </c>
      <c r="B12" t="s">
        <v>137</v>
      </c>
      <c r="C12" t="s">
        <v>95</v>
      </c>
      <c r="D12" t="s">
        <v>105</v>
      </c>
      <c r="E12">
        <v>79.989999999999995</v>
      </c>
      <c r="F12" t="s">
        <v>5817</v>
      </c>
      <c r="G12">
        <v>48</v>
      </c>
      <c r="I12">
        <v>48</v>
      </c>
      <c r="L12" t="s">
        <v>73</v>
      </c>
      <c r="M12">
        <v>1.6666666666666665</v>
      </c>
      <c r="N12">
        <v>84.600000000000009</v>
      </c>
      <c r="O12">
        <v>0.16666666666666666</v>
      </c>
      <c r="P12">
        <v>141</v>
      </c>
    </row>
    <row r="13" spans="1:16" x14ac:dyDescent="0.2">
      <c r="A13" t="s">
        <v>108</v>
      </c>
      <c r="B13" t="s">
        <v>109</v>
      </c>
      <c r="C13" t="s">
        <v>95</v>
      </c>
      <c r="D13" t="s">
        <v>98</v>
      </c>
      <c r="E13">
        <v>39.99</v>
      </c>
      <c r="F13" t="s">
        <v>5817</v>
      </c>
      <c r="L13" t="s">
        <v>73</v>
      </c>
      <c r="M13">
        <v>0</v>
      </c>
      <c r="N13">
        <v>0</v>
      </c>
      <c r="O13">
        <v>0</v>
      </c>
      <c r="P13">
        <v>0</v>
      </c>
    </row>
    <row r="14" spans="1:16" x14ac:dyDescent="0.2">
      <c r="A14" t="s">
        <v>103</v>
      </c>
      <c r="B14" t="s">
        <v>104</v>
      </c>
      <c r="C14" t="s">
        <v>95</v>
      </c>
      <c r="D14" t="s">
        <v>105</v>
      </c>
      <c r="E14">
        <v>29.99</v>
      </c>
      <c r="F14" t="s">
        <v>5817</v>
      </c>
      <c r="J14">
        <v>60</v>
      </c>
      <c r="L14" t="s">
        <v>73</v>
      </c>
      <c r="M14">
        <v>13.833333333333334</v>
      </c>
      <c r="N14">
        <v>1.8072289156626504</v>
      </c>
      <c r="O14">
        <v>5.083333333333333</v>
      </c>
      <c r="P14">
        <v>25</v>
      </c>
    </row>
    <row r="15" spans="1:16" x14ac:dyDescent="0.2">
      <c r="A15" t="s">
        <v>124</v>
      </c>
      <c r="B15" t="s">
        <v>125</v>
      </c>
      <c r="C15" t="s">
        <v>95</v>
      </c>
      <c r="D15" t="s">
        <v>105</v>
      </c>
      <c r="E15">
        <v>59.99</v>
      </c>
      <c r="F15" t="s">
        <v>5817</v>
      </c>
      <c r="G15">
        <v>106</v>
      </c>
      <c r="I15">
        <v>106</v>
      </c>
      <c r="L15" t="s">
        <v>73</v>
      </c>
      <c r="M15">
        <v>3.4</v>
      </c>
      <c r="N15">
        <v>21.176470588235293</v>
      </c>
      <c r="O15">
        <v>2.0833333333333335</v>
      </c>
      <c r="P15">
        <v>72</v>
      </c>
    </row>
    <row r="16" spans="1:16" x14ac:dyDescent="0.2">
      <c r="A16" t="s">
        <v>110</v>
      </c>
      <c r="B16" t="s">
        <v>111</v>
      </c>
      <c r="C16" t="s">
        <v>95</v>
      </c>
      <c r="D16" t="s">
        <v>105</v>
      </c>
      <c r="E16">
        <v>39.99</v>
      </c>
      <c r="F16" t="s">
        <v>5817</v>
      </c>
      <c r="G16">
        <v>84</v>
      </c>
      <c r="I16">
        <v>84</v>
      </c>
      <c r="L16" t="s">
        <v>73</v>
      </c>
      <c r="M16">
        <v>6.333333333333333</v>
      </c>
      <c r="N16">
        <v>9</v>
      </c>
      <c r="O16">
        <v>3.9166666666666665</v>
      </c>
      <c r="P16">
        <v>57</v>
      </c>
    </row>
    <row r="17" spans="1:16" x14ac:dyDescent="0.2">
      <c r="A17" t="s">
        <v>99</v>
      </c>
      <c r="B17" t="s">
        <v>100</v>
      </c>
      <c r="C17" t="s">
        <v>95</v>
      </c>
      <c r="D17" t="s">
        <v>98</v>
      </c>
      <c r="E17">
        <v>129.99</v>
      </c>
      <c r="F17" t="s">
        <v>5817</v>
      </c>
      <c r="L17" t="s">
        <v>73</v>
      </c>
      <c r="M17">
        <v>0</v>
      </c>
      <c r="N17">
        <v>0</v>
      </c>
      <c r="O17">
        <v>0</v>
      </c>
      <c r="P17">
        <v>0</v>
      </c>
    </row>
    <row r="18" spans="1:16" x14ac:dyDescent="0.2">
      <c r="A18" t="s">
        <v>106</v>
      </c>
      <c r="B18" t="s">
        <v>107</v>
      </c>
      <c r="C18" t="s">
        <v>95</v>
      </c>
      <c r="D18" t="s">
        <v>98</v>
      </c>
      <c r="E18">
        <v>29.99</v>
      </c>
      <c r="F18" t="s">
        <v>5817</v>
      </c>
      <c r="L18" t="s">
        <v>73</v>
      </c>
      <c r="M18">
        <v>0</v>
      </c>
      <c r="N18">
        <v>0</v>
      </c>
      <c r="O18">
        <v>0</v>
      </c>
      <c r="P18">
        <v>0</v>
      </c>
    </row>
    <row r="19" spans="1:16" x14ac:dyDescent="0.2">
      <c r="A19" t="s">
        <v>5664</v>
      </c>
      <c r="B19" t="s">
        <v>5665</v>
      </c>
      <c r="C19" t="s">
        <v>95</v>
      </c>
      <c r="D19" t="s">
        <v>98</v>
      </c>
      <c r="E19">
        <v>99.99</v>
      </c>
      <c r="F19" t="s">
        <v>5817</v>
      </c>
      <c r="L19" t="s">
        <v>5818</v>
      </c>
      <c r="M19">
        <v>0</v>
      </c>
      <c r="N19">
        <v>0</v>
      </c>
      <c r="P19" t="s">
        <v>5819</v>
      </c>
    </row>
    <row r="20" spans="1:16" x14ac:dyDescent="0.2">
      <c r="A20" t="s">
        <v>116</v>
      </c>
      <c r="B20" t="s">
        <v>117</v>
      </c>
      <c r="C20" t="s">
        <v>95</v>
      </c>
      <c r="D20" t="s">
        <v>98</v>
      </c>
      <c r="E20">
        <v>129.99</v>
      </c>
      <c r="F20" t="s">
        <v>5817</v>
      </c>
      <c r="L20" t="s">
        <v>5818</v>
      </c>
      <c r="M20">
        <v>0</v>
      </c>
      <c r="N20">
        <v>0</v>
      </c>
      <c r="O20">
        <v>0</v>
      </c>
      <c r="P20" t="s">
        <v>5819</v>
      </c>
    </row>
    <row r="21" spans="1:16" x14ac:dyDescent="0.2">
      <c r="A21" t="s">
        <v>118</v>
      </c>
      <c r="B21" t="s">
        <v>119</v>
      </c>
      <c r="C21" t="s">
        <v>95</v>
      </c>
      <c r="D21" t="s">
        <v>98</v>
      </c>
      <c r="E21">
        <v>149.99</v>
      </c>
      <c r="F21" t="s">
        <v>5817</v>
      </c>
      <c r="L21" t="s">
        <v>5818</v>
      </c>
      <c r="M21">
        <v>0</v>
      </c>
      <c r="N21">
        <v>0</v>
      </c>
      <c r="P21">
        <v>3</v>
      </c>
    </row>
    <row r="22" spans="1:16" x14ac:dyDescent="0.2">
      <c r="A22" t="s">
        <v>120</v>
      </c>
      <c r="B22" t="s">
        <v>121</v>
      </c>
      <c r="C22" t="s">
        <v>95</v>
      </c>
      <c r="D22" t="s">
        <v>98</v>
      </c>
      <c r="E22">
        <v>25.99</v>
      </c>
      <c r="F22" t="s">
        <v>5817</v>
      </c>
      <c r="L22" t="s">
        <v>5818</v>
      </c>
      <c r="M22">
        <v>0</v>
      </c>
      <c r="N22">
        <v>0</v>
      </c>
      <c r="P22">
        <v>4</v>
      </c>
    </row>
    <row r="23" spans="1:16" x14ac:dyDescent="0.2">
      <c r="A23" t="s">
        <v>5676</v>
      </c>
      <c r="B23" t="s">
        <v>5677</v>
      </c>
      <c r="C23" t="s">
        <v>95</v>
      </c>
      <c r="D23" t="s">
        <v>98</v>
      </c>
      <c r="E23">
        <v>59.99</v>
      </c>
      <c r="F23" t="s">
        <v>5817</v>
      </c>
      <c r="L23" t="s">
        <v>5818</v>
      </c>
      <c r="M23">
        <v>0</v>
      </c>
      <c r="N23">
        <v>0</v>
      </c>
      <c r="O23">
        <v>0</v>
      </c>
      <c r="P23" t="s">
        <v>5819</v>
      </c>
    </row>
    <row r="24" spans="1:16" x14ac:dyDescent="0.2">
      <c r="A24" t="s">
        <v>126</v>
      </c>
      <c r="B24" t="s">
        <v>127</v>
      </c>
      <c r="C24" t="s">
        <v>95</v>
      </c>
      <c r="D24" t="s">
        <v>98</v>
      </c>
      <c r="E24">
        <v>59.99</v>
      </c>
      <c r="F24" t="s">
        <v>5817</v>
      </c>
      <c r="L24" t="s">
        <v>5818</v>
      </c>
      <c r="M24">
        <v>0</v>
      </c>
      <c r="N24">
        <v>0</v>
      </c>
      <c r="O24">
        <v>0</v>
      </c>
      <c r="P24" t="s">
        <v>5819</v>
      </c>
    </row>
    <row r="25" spans="1:16" x14ac:dyDescent="0.2">
      <c r="A25" t="s">
        <v>108</v>
      </c>
      <c r="B25" t="s">
        <v>109</v>
      </c>
      <c r="C25" t="s">
        <v>95</v>
      </c>
      <c r="D25" t="s">
        <v>98</v>
      </c>
      <c r="E25">
        <v>39.99</v>
      </c>
      <c r="F25" t="s">
        <v>5817</v>
      </c>
      <c r="L25" t="s">
        <v>5818</v>
      </c>
      <c r="M25">
        <v>0</v>
      </c>
      <c r="N25">
        <v>0</v>
      </c>
      <c r="O25">
        <v>0</v>
      </c>
      <c r="P25" t="s">
        <v>5819</v>
      </c>
    </row>
    <row r="26" spans="1:16" x14ac:dyDescent="0.2">
      <c r="A26" t="s">
        <v>103</v>
      </c>
      <c r="B26" t="s">
        <v>104</v>
      </c>
      <c r="C26" t="s">
        <v>95</v>
      </c>
      <c r="D26" t="s">
        <v>105</v>
      </c>
      <c r="E26">
        <v>29.99</v>
      </c>
      <c r="F26" t="s">
        <v>5817</v>
      </c>
      <c r="J26">
        <v>60</v>
      </c>
      <c r="L26" t="s">
        <v>5818</v>
      </c>
      <c r="M26">
        <v>6</v>
      </c>
      <c r="N26">
        <v>3.8333333333333335</v>
      </c>
      <c r="O26">
        <v>6.8333333333333339</v>
      </c>
      <c r="P26">
        <v>23</v>
      </c>
    </row>
    <row r="27" spans="1:16" x14ac:dyDescent="0.2">
      <c r="A27" t="s">
        <v>110</v>
      </c>
      <c r="B27" t="s">
        <v>111</v>
      </c>
      <c r="C27" t="s">
        <v>95</v>
      </c>
      <c r="D27" t="s">
        <v>105</v>
      </c>
      <c r="E27">
        <v>39.99</v>
      </c>
      <c r="F27" t="s">
        <v>5817</v>
      </c>
      <c r="G27">
        <v>84</v>
      </c>
      <c r="I27">
        <v>84</v>
      </c>
      <c r="L27" t="s">
        <v>5818</v>
      </c>
      <c r="M27">
        <v>2.333333333333333</v>
      </c>
      <c r="N27">
        <v>13.285714285714288</v>
      </c>
      <c r="O27">
        <v>5.166666666666667</v>
      </c>
      <c r="P27">
        <v>31</v>
      </c>
    </row>
    <row r="28" spans="1:16" x14ac:dyDescent="0.2">
      <c r="A28" t="s">
        <v>124</v>
      </c>
      <c r="B28" t="s">
        <v>125</v>
      </c>
      <c r="C28" t="s">
        <v>95</v>
      </c>
      <c r="D28" t="s">
        <v>105</v>
      </c>
      <c r="E28">
        <v>59.99</v>
      </c>
      <c r="F28" t="s">
        <v>5817</v>
      </c>
      <c r="G28">
        <v>106</v>
      </c>
      <c r="I28">
        <v>106</v>
      </c>
      <c r="L28" t="s">
        <v>5818</v>
      </c>
      <c r="M28">
        <v>0</v>
      </c>
      <c r="N28">
        <v>0</v>
      </c>
      <c r="P28" t="s">
        <v>5819</v>
      </c>
    </row>
    <row r="29" spans="1:16" x14ac:dyDescent="0.2">
      <c r="A29" t="s">
        <v>112</v>
      </c>
      <c r="B29" t="s">
        <v>113</v>
      </c>
      <c r="C29" t="s">
        <v>95</v>
      </c>
      <c r="D29" t="s">
        <v>98</v>
      </c>
      <c r="E29">
        <v>99.99</v>
      </c>
      <c r="F29" t="s">
        <v>5817</v>
      </c>
      <c r="L29" t="s">
        <v>5818</v>
      </c>
      <c r="M29">
        <v>0</v>
      </c>
      <c r="N29">
        <v>0</v>
      </c>
      <c r="P29">
        <v>1</v>
      </c>
    </row>
    <row r="30" spans="1:16" x14ac:dyDescent="0.2">
      <c r="A30" t="s">
        <v>5666</v>
      </c>
      <c r="B30" t="s">
        <v>5667</v>
      </c>
      <c r="C30" t="s">
        <v>95</v>
      </c>
      <c r="D30" t="s">
        <v>98</v>
      </c>
      <c r="E30">
        <v>89.99</v>
      </c>
      <c r="F30" t="s">
        <v>5817</v>
      </c>
      <c r="L30" t="s">
        <v>5818</v>
      </c>
      <c r="M30">
        <v>0</v>
      </c>
      <c r="N30">
        <v>0</v>
      </c>
      <c r="P30" t="s">
        <v>5819</v>
      </c>
    </row>
    <row r="31" spans="1:16" x14ac:dyDescent="0.2">
      <c r="A31" t="s">
        <v>5670</v>
      </c>
      <c r="B31" t="s">
        <v>5671</v>
      </c>
      <c r="C31" t="s">
        <v>95</v>
      </c>
      <c r="D31" t="s">
        <v>98</v>
      </c>
      <c r="E31">
        <v>99.99</v>
      </c>
      <c r="F31" t="s">
        <v>5817</v>
      </c>
      <c r="L31" t="s">
        <v>5818</v>
      </c>
      <c r="M31">
        <v>0</v>
      </c>
      <c r="N31">
        <v>0</v>
      </c>
      <c r="O31">
        <v>0</v>
      </c>
      <c r="P31" t="s">
        <v>5819</v>
      </c>
    </row>
    <row r="32" spans="1:16" x14ac:dyDescent="0.2">
      <c r="A32" t="s">
        <v>99</v>
      </c>
      <c r="B32" t="s">
        <v>100</v>
      </c>
      <c r="C32" t="s">
        <v>95</v>
      </c>
      <c r="D32" t="s">
        <v>98</v>
      </c>
      <c r="E32">
        <v>129.99</v>
      </c>
      <c r="F32" t="s">
        <v>5817</v>
      </c>
      <c r="L32" t="s">
        <v>5818</v>
      </c>
      <c r="M32">
        <v>0</v>
      </c>
      <c r="N32">
        <v>0</v>
      </c>
      <c r="O32">
        <v>0</v>
      </c>
      <c r="P32" t="s">
        <v>5819</v>
      </c>
    </row>
    <row r="33" spans="1:16" x14ac:dyDescent="0.2">
      <c r="A33" t="s">
        <v>106</v>
      </c>
      <c r="B33" t="s">
        <v>107</v>
      </c>
      <c r="C33" t="s">
        <v>95</v>
      </c>
      <c r="D33" t="s">
        <v>98</v>
      </c>
      <c r="E33">
        <v>29.99</v>
      </c>
      <c r="F33" t="s">
        <v>5817</v>
      </c>
      <c r="L33" t="s">
        <v>5818</v>
      </c>
      <c r="M33">
        <v>0</v>
      </c>
      <c r="N33">
        <v>0</v>
      </c>
      <c r="P33">
        <v>0</v>
      </c>
    </row>
    <row r="34" spans="1:16" x14ac:dyDescent="0.2">
      <c r="A34" t="s">
        <v>5668</v>
      </c>
      <c r="B34" t="s">
        <v>5669</v>
      </c>
      <c r="C34" t="s">
        <v>95</v>
      </c>
      <c r="D34" t="s">
        <v>98</v>
      </c>
      <c r="E34">
        <v>39.99</v>
      </c>
      <c r="F34" t="s">
        <v>5817</v>
      </c>
      <c r="L34" t="s">
        <v>5818</v>
      </c>
      <c r="M34">
        <v>0</v>
      </c>
      <c r="N34">
        <v>0</v>
      </c>
      <c r="O34">
        <v>0</v>
      </c>
      <c r="P34" t="s">
        <v>5819</v>
      </c>
    </row>
    <row r="35" spans="1:16" x14ac:dyDescent="0.2">
      <c r="A35" t="s">
        <v>5672</v>
      </c>
      <c r="B35" t="s">
        <v>5673</v>
      </c>
      <c r="C35" t="s">
        <v>95</v>
      </c>
      <c r="D35" t="s">
        <v>98</v>
      </c>
      <c r="E35">
        <v>39.99</v>
      </c>
      <c r="F35" t="s">
        <v>5817</v>
      </c>
      <c r="L35" t="s">
        <v>5818</v>
      </c>
      <c r="M35">
        <v>0</v>
      </c>
      <c r="N35">
        <v>0</v>
      </c>
      <c r="O35">
        <v>0</v>
      </c>
      <c r="P35" t="s">
        <v>5819</v>
      </c>
    </row>
    <row r="36" spans="1:16" x14ac:dyDescent="0.2">
      <c r="A36" t="s">
        <v>130</v>
      </c>
      <c r="B36" t="s">
        <v>131</v>
      </c>
      <c r="C36" t="s">
        <v>95</v>
      </c>
      <c r="D36" t="s">
        <v>98</v>
      </c>
      <c r="E36">
        <v>24.99</v>
      </c>
      <c r="F36" t="s">
        <v>5817</v>
      </c>
      <c r="L36" t="s">
        <v>5818</v>
      </c>
      <c r="M36">
        <v>0</v>
      </c>
      <c r="N36">
        <v>0</v>
      </c>
      <c r="O36">
        <v>0</v>
      </c>
      <c r="P36" t="s">
        <v>5819</v>
      </c>
    </row>
    <row r="37" spans="1:16" x14ac:dyDescent="0.2">
      <c r="A37" t="s">
        <v>108</v>
      </c>
      <c r="B37" t="s">
        <v>109</v>
      </c>
      <c r="C37" t="s">
        <v>95</v>
      </c>
      <c r="D37" t="s">
        <v>98</v>
      </c>
      <c r="E37">
        <v>39.99</v>
      </c>
      <c r="F37" t="s">
        <v>5817</v>
      </c>
      <c r="L37" t="s">
        <v>5085</v>
      </c>
      <c r="M37">
        <v>0</v>
      </c>
      <c r="N37">
        <v>0</v>
      </c>
      <c r="O37">
        <v>0</v>
      </c>
      <c r="P37" t="s">
        <v>5819</v>
      </c>
    </row>
    <row r="38" spans="1:16" x14ac:dyDescent="0.2">
      <c r="A38" t="s">
        <v>110</v>
      </c>
      <c r="B38" t="s">
        <v>111</v>
      </c>
      <c r="C38" t="s">
        <v>95</v>
      </c>
      <c r="D38" t="s">
        <v>105</v>
      </c>
      <c r="E38">
        <v>39.99</v>
      </c>
      <c r="F38" t="s">
        <v>5817</v>
      </c>
      <c r="G38">
        <v>84</v>
      </c>
      <c r="I38">
        <v>84</v>
      </c>
      <c r="L38" t="s">
        <v>5085</v>
      </c>
      <c r="M38">
        <v>0</v>
      </c>
      <c r="N38">
        <v>0</v>
      </c>
      <c r="O38">
        <v>0.16666666666666666</v>
      </c>
      <c r="P38" t="s">
        <v>5819</v>
      </c>
    </row>
    <row r="39" spans="1:16" x14ac:dyDescent="0.2">
      <c r="A39" t="s">
        <v>103</v>
      </c>
      <c r="B39" t="s">
        <v>104</v>
      </c>
      <c r="C39" t="s">
        <v>95</v>
      </c>
      <c r="D39" t="s">
        <v>105</v>
      </c>
      <c r="E39">
        <v>29.99</v>
      </c>
      <c r="F39" t="s">
        <v>5817</v>
      </c>
      <c r="J39">
        <v>60</v>
      </c>
      <c r="L39" t="s">
        <v>5085</v>
      </c>
      <c r="M39">
        <v>0</v>
      </c>
      <c r="N39">
        <v>0</v>
      </c>
      <c r="O39">
        <v>0.83333333333333337</v>
      </c>
      <c r="P39" t="s">
        <v>5819</v>
      </c>
    </row>
    <row r="40" spans="1:16" x14ac:dyDescent="0.2">
      <c r="A40" t="s">
        <v>132</v>
      </c>
      <c r="B40" t="s">
        <v>133</v>
      </c>
      <c r="C40" t="s">
        <v>95</v>
      </c>
      <c r="D40" t="s">
        <v>105</v>
      </c>
      <c r="E40">
        <v>79.989999999999995</v>
      </c>
      <c r="F40" t="s">
        <v>5817</v>
      </c>
      <c r="G40">
        <v>22</v>
      </c>
      <c r="I40">
        <v>22</v>
      </c>
      <c r="L40" t="s">
        <v>5085</v>
      </c>
      <c r="M40">
        <v>0</v>
      </c>
      <c r="N40">
        <v>0</v>
      </c>
      <c r="O40">
        <v>0</v>
      </c>
      <c r="P40" t="s">
        <v>5819</v>
      </c>
    </row>
    <row r="41" spans="1:16" x14ac:dyDescent="0.2">
      <c r="A41" t="s">
        <v>112</v>
      </c>
      <c r="B41" t="s">
        <v>113</v>
      </c>
      <c r="C41" t="s">
        <v>95</v>
      </c>
      <c r="D41" t="s">
        <v>98</v>
      </c>
      <c r="E41">
        <v>99.99</v>
      </c>
      <c r="F41" t="s">
        <v>5817</v>
      </c>
      <c r="L41" t="s">
        <v>5085</v>
      </c>
      <c r="M41">
        <v>0</v>
      </c>
      <c r="N41">
        <v>0</v>
      </c>
      <c r="O41">
        <v>0</v>
      </c>
      <c r="P41" t="s">
        <v>5819</v>
      </c>
    </row>
    <row r="42" spans="1:16" x14ac:dyDescent="0.2">
      <c r="A42" t="s">
        <v>134</v>
      </c>
      <c r="B42" t="s">
        <v>135</v>
      </c>
      <c r="C42" t="s">
        <v>95</v>
      </c>
      <c r="D42" t="s">
        <v>105</v>
      </c>
      <c r="E42">
        <v>79.989999999999995</v>
      </c>
      <c r="F42" t="s">
        <v>5817</v>
      </c>
      <c r="G42">
        <v>50</v>
      </c>
      <c r="I42">
        <v>50</v>
      </c>
      <c r="L42" t="s">
        <v>5085</v>
      </c>
      <c r="M42">
        <v>0</v>
      </c>
      <c r="N42">
        <v>0</v>
      </c>
      <c r="O42">
        <v>0.16666666666666666</v>
      </c>
      <c r="P42" t="s">
        <v>5819</v>
      </c>
    </row>
    <row r="43" spans="1:16" x14ac:dyDescent="0.2">
      <c r="A43" t="s">
        <v>136</v>
      </c>
      <c r="B43" t="s">
        <v>137</v>
      </c>
      <c r="C43" t="s">
        <v>95</v>
      </c>
      <c r="D43" t="s">
        <v>105</v>
      </c>
      <c r="E43">
        <v>79.989999999999995</v>
      </c>
      <c r="F43" t="s">
        <v>5817</v>
      </c>
      <c r="G43">
        <v>48</v>
      </c>
      <c r="I43">
        <v>48</v>
      </c>
      <c r="L43" t="s">
        <v>5085</v>
      </c>
      <c r="M43">
        <v>0</v>
      </c>
      <c r="N43">
        <v>0</v>
      </c>
      <c r="O43">
        <v>0.33333333333333326</v>
      </c>
      <c r="P43" t="s">
        <v>5819</v>
      </c>
    </row>
    <row r="44" spans="1:16" x14ac:dyDescent="0.2">
      <c r="A44" t="s">
        <v>139</v>
      </c>
      <c r="B44" t="s">
        <v>140</v>
      </c>
      <c r="C44" t="s">
        <v>95</v>
      </c>
      <c r="D44" t="s">
        <v>105</v>
      </c>
      <c r="E44">
        <v>79.989999999999995</v>
      </c>
      <c r="F44" t="s">
        <v>5817</v>
      </c>
      <c r="G44">
        <v>63</v>
      </c>
      <c r="I44">
        <v>63</v>
      </c>
      <c r="L44" t="s">
        <v>5085</v>
      </c>
      <c r="M44">
        <v>0</v>
      </c>
      <c r="N44">
        <v>0</v>
      </c>
      <c r="O44">
        <v>0</v>
      </c>
      <c r="P44" t="s">
        <v>5819</v>
      </c>
    </row>
    <row r="45" spans="1:16" x14ac:dyDescent="0.2">
      <c r="A45" t="s">
        <v>122</v>
      </c>
      <c r="B45" t="s">
        <v>123</v>
      </c>
      <c r="C45" t="s">
        <v>95</v>
      </c>
      <c r="D45" t="s">
        <v>105</v>
      </c>
      <c r="E45">
        <v>169.99</v>
      </c>
      <c r="F45" t="s">
        <v>5817</v>
      </c>
      <c r="G45">
        <v>109</v>
      </c>
      <c r="I45">
        <v>109</v>
      </c>
      <c r="L45" t="s">
        <v>5085</v>
      </c>
      <c r="M45">
        <v>0</v>
      </c>
      <c r="N45">
        <v>0</v>
      </c>
      <c r="O45">
        <v>0</v>
      </c>
      <c r="P45" t="s">
        <v>5819</v>
      </c>
    </row>
    <row r="46" spans="1:16" x14ac:dyDescent="0.2">
      <c r="A46" t="s">
        <v>124</v>
      </c>
      <c r="B46" t="s">
        <v>125</v>
      </c>
      <c r="C46" t="s">
        <v>95</v>
      </c>
      <c r="D46" t="s">
        <v>105</v>
      </c>
      <c r="E46">
        <v>59.99</v>
      </c>
      <c r="F46" t="s">
        <v>5817</v>
      </c>
      <c r="G46">
        <v>106</v>
      </c>
      <c r="I46">
        <v>106</v>
      </c>
      <c r="L46" t="s">
        <v>5085</v>
      </c>
      <c r="M46">
        <v>0</v>
      </c>
      <c r="N46">
        <v>0</v>
      </c>
      <c r="O46">
        <v>8.3333333333333329E-2</v>
      </c>
      <c r="P46" t="s">
        <v>5819</v>
      </c>
    </row>
    <row r="47" spans="1:16" x14ac:dyDescent="0.2">
      <c r="A47" t="s">
        <v>116</v>
      </c>
      <c r="B47" t="s">
        <v>117</v>
      </c>
      <c r="C47" t="s">
        <v>95</v>
      </c>
      <c r="D47" t="s">
        <v>98</v>
      </c>
      <c r="E47">
        <v>129.99</v>
      </c>
      <c r="F47" t="s">
        <v>5817</v>
      </c>
      <c r="L47" t="s">
        <v>5065</v>
      </c>
      <c r="M47">
        <v>0</v>
      </c>
      <c r="N47">
        <v>0</v>
      </c>
      <c r="P47">
        <v>0</v>
      </c>
    </row>
    <row r="48" spans="1:16" x14ac:dyDescent="0.2">
      <c r="A48" t="s">
        <v>118</v>
      </c>
      <c r="B48" t="s">
        <v>119</v>
      </c>
      <c r="C48" t="s">
        <v>95</v>
      </c>
      <c r="D48" t="s">
        <v>98</v>
      </c>
      <c r="E48">
        <v>149.99</v>
      </c>
      <c r="F48" t="s">
        <v>5817</v>
      </c>
      <c r="L48" t="s">
        <v>5065</v>
      </c>
      <c r="M48">
        <v>0</v>
      </c>
      <c r="N48">
        <v>0</v>
      </c>
      <c r="P48">
        <v>0</v>
      </c>
    </row>
    <row r="49" spans="1:16" x14ac:dyDescent="0.2">
      <c r="A49" t="s">
        <v>124</v>
      </c>
      <c r="B49" t="s">
        <v>125</v>
      </c>
      <c r="C49" t="s">
        <v>95</v>
      </c>
      <c r="D49" t="s">
        <v>105</v>
      </c>
      <c r="E49">
        <v>59.99</v>
      </c>
      <c r="F49" t="s">
        <v>5817</v>
      </c>
      <c r="G49">
        <v>106</v>
      </c>
      <c r="I49">
        <v>106</v>
      </c>
      <c r="L49" t="s">
        <v>5065</v>
      </c>
      <c r="M49">
        <v>0</v>
      </c>
      <c r="N49">
        <v>0</v>
      </c>
      <c r="P49">
        <v>0</v>
      </c>
    </row>
    <row r="50" spans="1:16" x14ac:dyDescent="0.2">
      <c r="A50" t="s">
        <v>112</v>
      </c>
      <c r="B50" t="s">
        <v>113</v>
      </c>
      <c r="C50" t="s">
        <v>95</v>
      </c>
      <c r="D50" t="s">
        <v>98</v>
      </c>
      <c r="E50">
        <v>99.99</v>
      </c>
      <c r="F50" t="s">
        <v>5817</v>
      </c>
      <c r="L50" t="s">
        <v>5065</v>
      </c>
      <c r="M50">
        <v>0</v>
      </c>
      <c r="N50">
        <v>0</v>
      </c>
      <c r="P50">
        <v>0</v>
      </c>
    </row>
    <row r="51" spans="1:16" x14ac:dyDescent="0.2">
      <c r="A51" t="s">
        <v>108</v>
      </c>
      <c r="B51" t="s">
        <v>109</v>
      </c>
      <c r="C51" t="s">
        <v>95</v>
      </c>
      <c r="D51" t="s">
        <v>98</v>
      </c>
      <c r="E51">
        <v>39.99</v>
      </c>
      <c r="F51" t="s">
        <v>5817</v>
      </c>
      <c r="L51" t="s">
        <v>5065</v>
      </c>
      <c r="M51">
        <v>0</v>
      </c>
      <c r="N51">
        <v>0</v>
      </c>
      <c r="P51">
        <v>0</v>
      </c>
    </row>
    <row r="52" spans="1:16" x14ac:dyDescent="0.2">
      <c r="A52" t="s">
        <v>103</v>
      </c>
      <c r="B52" t="s">
        <v>104</v>
      </c>
      <c r="C52" t="s">
        <v>95</v>
      </c>
      <c r="D52" t="s">
        <v>105</v>
      </c>
      <c r="E52">
        <v>29.99</v>
      </c>
      <c r="F52" t="s">
        <v>5817</v>
      </c>
      <c r="J52">
        <v>60</v>
      </c>
      <c r="L52" t="s">
        <v>5065</v>
      </c>
      <c r="M52">
        <v>0</v>
      </c>
      <c r="N52">
        <v>0</v>
      </c>
      <c r="P52">
        <v>0</v>
      </c>
    </row>
    <row r="53" spans="1:16" x14ac:dyDescent="0.2">
      <c r="A53" t="s">
        <v>110</v>
      </c>
      <c r="B53" t="s">
        <v>111</v>
      </c>
      <c r="C53" t="s">
        <v>95</v>
      </c>
      <c r="D53" t="s">
        <v>105</v>
      </c>
      <c r="E53">
        <v>39.99</v>
      </c>
      <c r="F53" t="s">
        <v>5817</v>
      </c>
      <c r="G53">
        <v>84</v>
      </c>
      <c r="I53">
        <v>84</v>
      </c>
      <c r="L53" t="s">
        <v>5065</v>
      </c>
      <c r="M53">
        <v>0</v>
      </c>
      <c r="N53">
        <v>0</v>
      </c>
      <c r="P53">
        <v>0</v>
      </c>
    </row>
    <row r="54" spans="1:16" x14ac:dyDescent="0.2">
      <c r="A54" t="s">
        <v>99</v>
      </c>
      <c r="B54" t="s">
        <v>100</v>
      </c>
      <c r="C54" t="s">
        <v>95</v>
      </c>
      <c r="D54" t="s">
        <v>98</v>
      </c>
      <c r="E54">
        <v>129.99</v>
      </c>
      <c r="F54" t="s">
        <v>5817</v>
      </c>
      <c r="L54" t="s">
        <v>5065</v>
      </c>
      <c r="M54">
        <v>0</v>
      </c>
      <c r="N54">
        <v>0</v>
      </c>
      <c r="P54">
        <v>0</v>
      </c>
    </row>
    <row r="55" spans="1:16" x14ac:dyDescent="0.2">
      <c r="A55" t="s">
        <v>120</v>
      </c>
      <c r="B55" t="s">
        <v>121</v>
      </c>
      <c r="C55" t="s">
        <v>95</v>
      </c>
      <c r="D55" t="s">
        <v>98</v>
      </c>
      <c r="E55">
        <v>25.99</v>
      </c>
      <c r="F55" t="s">
        <v>5817</v>
      </c>
      <c r="L55" t="s">
        <v>5065</v>
      </c>
      <c r="M55">
        <v>0</v>
      </c>
      <c r="N55">
        <v>0</v>
      </c>
      <c r="P55">
        <v>0</v>
      </c>
    </row>
    <row r="56" spans="1:16" x14ac:dyDescent="0.2">
      <c r="A56" t="s">
        <v>126</v>
      </c>
      <c r="B56" t="s">
        <v>127</v>
      </c>
      <c r="C56" t="s">
        <v>95</v>
      </c>
      <c r="D56" t="s">
        <v>98</v>
      </c>
      <c r="E56">
        <v>59.99</v>
      </c>
      <c r="F56" t="s">
        <v>5817</v>
      </c>
      <c r="L56" t="s">
        <v>5065</v>
      </c>
      <c r="M56">
        <v>0</v>
      </c>
      <c r="N56">
        <v>0</v>
      </c>
      <c r="P56">
        <v>0</v>
      </c>
    </row>
    <row r="57" spans="1:16" x14ac:dyDescent="0.2">
      <c r="A57" t="s">
        <v>130</v>
      </c>
      <c r="B57" t="s">
        <v>131</v>
      </c>
      <c r="C57" t="s">
        <v>95</v>
      </c>
      <c r="D57" t="s">
        <v>98</v>
      </c>
      <c r="E57">
        <v>24.99</v>
      </c>
      <c r="F57" t="s">
        <v>5817</v>
      </c>
      <c r="L57" t="s">
        <v>5065</v>
      </c>
      <c r="M57">
        <v>0</v>
      </c>
      <c r="N57">
        <v>0</v>
      </c>
      <c r="P57">
        <v>0</v>
      </c>
    </row>
    <row r="58" spans="1:16" x14ac:dyDescent="0.2">
      <c r="A58" t="s">
        <v>118</v>
      </c>
      <c r="B58" t="s">
        <v>119</v>
      </c>
      <c r="C58" t="s">
        <v>95</v>
      </c>
      <c r="D58" t="s">
        <v>98</v>
      </c>
      <c r="E58">
        <v>149.99</v>
      </c>
      <c r="F58" t="s">
        <v>5817</v>
      </c>
      <c r="L58" t="s">
        <v>8</v>
      </c>
      <c r="M58">
        <v>0</v>
      </c>
      <c r="N58">
        <v>0</v>
      </c>
      <c r="O58">
        <v>8.3333333333333329E-2</v>
      </c>
      <c r="P58">
        <v>0</v>
      </c>
    </row>
    <row r="59" spans="1:16" x14ac:dyDescent="0.2">
      <c r="A59" t="s">
        <v>103</v>
      </c>
      <c r="B59" t="s">
        <v>104</v>
      </c>
      <c r="C59" t="s">
        <v>95</v>
      </c>
      <c r="D59" t="s">
        <v>105</v>
      </c>
      <c r="E59">
        <v>29.99</v>
      </c>
      <c r="F59" t="s">
        <v>5817</v>
      </c>
      <c r="J59">
        <v>60</v>
      </c>
      <c r="L59" t="s">
        <v>8</v>
      </c>
      <c r="M59">
        <v>3.666666666666667</v>
      </c>
      <c r="N59">
        <v>9.2727272727272716</v>
      </c>
      <c r="O59">
        <v>2.583333333333333</v>
      </c>
      <c r="P59">
        <v>34</v>
      </c>
    </row>
    <row r="60" spans="1:16" x14ac:dyDescent="0.2">
      <c r="A60" t="s">
        <v>108</v>
      </c>
      <c r="B60" t="s">
        <v>109</v>
      </c>
      <c r="C60" t="s">
        <v>95</v>
      </c>
      <c r="D60" t="s">
        <v>98</v>
      </c>
      <c r="E60">
        <v>39.99</v>
      </c>
      <c r="F60" t="s">
        <v>5817</v>
      </c>
      <c r="L60" t="s">
        <v>8</v>
      </c>
      <c r="M60">
        <v>0</v>
      </c>
      <c r="N60">
        <v>0</v>
      </c>
      <c r="O60">
        <v>0</v>
      </c>
      <c r="P60">
        <v>0</v>
      </c>
    </row>
    <row r="61" spans="1:16" x14ac:dyDescent="0.2">
      <c r="A61" t="s">
        <v>112</v>
      </c>
      <c r="B61" t="s">
        <v>113</v>
      </c>
      <c r="C61" t="s">
        <v>95</v>
      </c>
      <c r="D61" t="s">
        <v>98</v>
      </c>
      <c r="E61">
        <v>99.99</v>
      </c>
      <c r="F61" t="s">
        <v>5817</v>
      </c>
      <c r="L61" t="s">
        <v>8</v>
      </c>
      <c r="M61">
        <v>0</v>
      </c>
      <c r="N61">
        <v>0</v>
      </c>
      <c r="O61">
        <v>0</v>
      </c>
      <c r="P61">
        <v>0</v>
      </c>
    </row>
    <row r="62" spans="1:16" x14ac:dyDescent="0.2">
      <c r="A62" t="s">
        <v>124</v>
      </c>
      <c r="B62" t="s">
        <v>125</v>
      </c>
      <c r="C62" t="s">
        <v>95</v>
      </c>
      <c r="D62" t="s">
        <v>105</v>
      </c>
      <c r="E62">
        <v>59.99</v>
      </c>
      <c r="F62" t="s">
        <v>5817</v>
      </c>
      <c r="G62">
        <v>106</v>
      </c>
      <c r="I62">
        <v>106</v>
      </c>
      <c r="L62" t="s">
        <v>8</v>
      </c>
      <c r="M62">
        <v>2</v>
      </c>
      <c r="N62">
        <v>30</v>
      </c>
      <c r="O62">
        <v>3.3333333333333335</v>
      </c>
      <c r="P62">
        <v>60</v>
      </c>
    </row>
    <row r="63" spans="1:16" x14ac:dyDescent="0.2">
      <c r="A63" t="s">
        <v>110</v>
      </c>
      <c r="B63" t="s">
        <v>111</v>
      </c>
      <c r="C63" t="s">
        <v>95</v>
      </c>
      <c r="D63" t="s">
        <v>105</v>
      </c>
      <c r="E63">
        <v>39.99</v>
      </c>
      <c r="F63" t="s">
        <v>5817</v>
      </c>
      <c r="G63">
        <v>84</v>
      </c>
      <c r="I63">
        <v>84</v>
      </c>
      <c r="L63" t="s">
        <v>8</v>
      </c>
      <c r="M63">
        <v>2.75</v>
      </c>
      <c r="N63">
        <v>22.181818181818183</v>
      </c>
      <c r="O63">
        <v>4.25</v>
      </c>
      <c r="P63">
        <v>61</v>
      </c>
    </row>
    <row r="64" spans="1:16" x14ac:dyDescent="0.2">
      <c r="A64" t="s">
        <v>99</v>
      </c>
      <c r="B64" t="s">
        <v>100</v>
      </c>
      <c r="C64" t="s">
        <v>95</v>
      </c>
      <c r="D64" t="s">
        <v>98</v>
      </c>
      <c r="E64">
        <v>129.99</v>
      </c>
      <c r="F64" t="s">
        <v>5817</v>
      </c>
      <c r="L64" t="s">
        <v>8</v>
      </c>
      <c r="M64">
        <v>0</v>
      </c>
      <c r="N64">
        <v>0</v>
      </c>
      <c r="O64">
        <v>0</v>
      </c>
      <c r="P64">
        <v>0</v>
      </c>
    </row>
    <row r="65" spans="1:16" x14ac:dyDescent="0.2">
      <c r="A65" t="s">
        <v>130</v>
      </c>
      <c r="B65" t="s">
        <v>131</v>
      </c>
      <c r="C65" t="s">
        <v>95</v>
      </c>
      <c r="D65" t="s">
        <v>98</v>
      </c>
      <c r="E65">
        <v>24.99</v>
      </c>
      <c r="F65" t="s">
        <v>5817</v>
      </c>
      <c r="L65" t="s">
        <v>8</v>
      </c>
      <c r="M65">
        <v>0</v>
      </c>
      <c r="N65">
        <v>0</v>
      </c>
      <c r="O65">
        <v>0</v>
      </c>
      <c r="P65">
        <v>0</v>
      </c>
    </row>
    <row r="66" spans="1:16" x14ac:dyDescent="0.2">
      <c r="A66" t="s">
        <v>120</v>
      </c>
      <c r="B66" t="s">
        <v>121</v>
      </c>
      <c r="C66" t="s">
        <v>95</v>
      </c>
      <c r="D66" t="s">
        <v>98</v>
      </c>
      <c r="E66">
        <v>25.99</v>
      </c>
      <c r="F66" t="s">
        <v>5817</v>
      </c>
      <c r="L66" t="s">
        <v>8</v>
      </c>
      <c r="N66">
        <v>0</v>
      </c>
      <c r="O66">
        <v>0</v>
      </c>
      <c r="P66">
        <v>1</v>
      </c>
    </row>
    <row r="67" spans="1:16" x14ac:dyDescent="0.2">
      <c r="A67" t="s">
        <v>116</v>
      </c>
      <c r="B67" t="s">
        <v>117</v>
      </c>
      <c r="C67" t="s">
        <v>95</v>
      </c>
      <c r="D67" t="s">
        <v>98</v>
      </c>
      <c r="E67">
        <v>129.99</v>
      </c>
      <c r="F67" t="s">
        <v>5817</v>
      </c>
      <c r="L67" t="s">
        <v>8</v>
      </c>
      <c r="N67">
        <v>0</v>
      </c>
      <c r="O67">
        <v>0</v>
      </c>
      <c r="P67">
        <v>0</v>
      </c>
    </row>
    <row r="68" spans="1:16" x14ac:dyDescent="0.2">
      <c r="A68" t="s">
        <v>5664</v>
      </c>
      <c r="B68" t="s">
        <v>5665</v>
      </c>
      <c r="C68" t="s">
        <v>95</v>
      </c>
      <c r="D68" t="s">
        <v>98</v>
      </c>
      <c r="E68">
        <v>99.99</v>
      </c>
      <c r="F68" t="s">
        <v>5817</v>
      </c>
      <c r="L68" t="s">
        <v>8</v>
      </c>
      <c r="M68">
        <v>0</v>
      </c>
      <c r="N68">
        <v>0</v>
      </c>
      <c r="O68">
        <v>0</v>
      </c>
      <c r="P68">
        <v>0</v>
      </c>
    </row>
    <row r="69" spans="1:16" x14ac:dyDescent="0.2">
      <c r="A69" t="s">
        <v>106</v>
      </c>
      <c r="B69" t="s">
        <v>107</v>
      </c>
      <c r="C69" t="s">
        <v>95</v>
      </c>
      <c r="D69" t="s">
        <v>98</v>
      </c>
      <c r="E69">
        <v>29.99</v>
      </c>
      <c r="F69" t="s">
        <v>5817</v>
      </c>
      <c r="L69" t="s">
        <v>8</v>
      </c>
      <c r="M69">
        <v>0</v>
      </c>
      <c r="N69">
        <v>0</v>
      </c>
      <c r="O69">
        <v>0</v>
      </c>
      <c r="P69">
        <v>0</v>
      </c>
    </row>
    <row r="70" spans="1:16" x14ac:dyDescent="0.2">
      <c r="A70" t="s">
        <v>126</v>
      </c>
      <c r="B70" t="s">
        <v>127</v>
      </c>
      <c r="C70" t="s">
        <v>95</v>
      </c>
      <c r="D70" t="s">
        <v>98</v>
      </c>
      <c r="E70">
        <v>59.99</v>
      </c>
      <c r="F70" t="s">
        <v>5817</v>
      </c>
      <c r="L70" t="s">
        <v>8</v>
      </c>
      <c r="M70">
        <v>0</v>
      </c>
      <c r="N70">
        <v>0</v>
      </c>
      <c r="O70">
        <v>0</v>
      </c>
      <c r="P70">
        <v>0</v>
      </c>
    </row>
    <row r="71" spans="1:16" x14ac:dyDescent="0.2">
      <c r="A71" t="s">
        <v>197</v>
      </c>
      <c r="B71" t="s">
        <v>198</v>
      </c>
      <c r="C71" t="s">
        <v>186</v>
      </c>
      <c r="D71" t="s">
        <v>98</v>
      </c>
      <c r="E71">
        <v>44.99</v>
      </c>
      <c r="F71" t="s">
        <v>5817</v>
      </c>
      <c r="L71" t="s">
        <v>5085</v>
      </c>
      <c r="M71">
        <v>0</v>
      </c>
      <c r="N71">
        <v>0</v>
      </c>
      <c r="O71">
        <v>0</v>
      </c>
      <c r="P71" t="s">
        <v>5819</v>
      </c>
    </row>
    <row r="72" spans="1:16" x14ac:dyDescent="0.2">
      <c r="A72" t="s">
        <v>207</v>
      </c>
      <c r="B72" t="s">
        <v>208</v>
      </c>
      <c r="C72" t="s">
        <v>186</v>
      </c>
      <c r="D72" t="s">
        <v>98</v>
      </c>
      <c r="E72">
        <v>79.989999999999995</v>
      </c>
      <c r="F72" t="s">
        <v>5817</v>
      </c>
      <c r="L72" t="s">
        <v>5085</v>
      </c>
      <c r="M72">
        <v>0</v>
      </c>
      <c r="N72">
        <v>0</v>
      </c>
      <c r="O72">
        <v>0</v>
      </c>
      <c r="P72" t="s">
        <v>5819</v>
      </c>
    </row>
    <row r="73" spans="1:16" x14ac:dyDescent="0.2">
      <c r="A73" t="s">
        <v>199</v>
      </c>
      <c r="B73" t="s">
        <v>200</v>
      </c>
      <c r="C73" t="s">
        <v>186</v>
      </c>
      <c r="D73" t="s">
        <v>98</v>
      </c>
      <c r="E73">
        <v>119.99</v>
      </c>
      <c r="F73" t="s">
        <v>5817</v>
      </c>
      <c r="L73" t="s">
        <v>5085</v>
      </c>
      <c r="M73">
        <v>0</v>
      </c>
      <c r="N73">
        <v>0</v>
      </c>
      <c r="O73">
        <v>0</v>
      </c>
      <c r="P73" t="s">
        <v>5819</v>
      </c>
    </row>
    <row r="74" spans="1:16" x14ac:dyDescent="0.2">
      <c r="A74" t="s">
        <v>191</v>
      </c>
      <c r="B74" t="s">
        <v>192</v>
      </c>
      <c r="C74" t="s">
        <v>186</v>
      </c>
      <c r="D74" t="s">
        <v>98</v>
      </c>
      <c r="E74">
        <v>39.99</v>
      </c>
      <c r="F74" t="s">
        <v>5817</v>
      </c>
      <c r="L74" t="s">
        <v>5085</v>
      </c>
      <c r="M74">
        <v>0</v>
      </c>
      <c r="N74">
        <v>0</v>
      </c>
      <c r="O74">
        <v>0</v>
      </c>
      <c r="P74" t="s">
        <v>5819</v>
      </c>
    </row>
    <row r="75" spans="1:16" x14ac:dyDescent="0.2">
      <c r="A75" t="s">
        <v>209</v>
      </c>
      <c r="B75" t="s">
        <v>210</v>
      </c>
      <c r="C75" t="s">
        <v>186</v>
      </c>
      <c r="D75" t="s">
        <v>138</v>
      </c>
      <c r="E75">
        <v>69.989999999999995</v>
      </c>
      <c r="F75" t="s">
        <v>5817</v>
      </c>
      <c r="G75">
        <v>1</v>
      </c>
      <c r="I75">
        <v>1</v>
      </c>
      <c r="L75" t="s">
        <v>5085</v>
      </c>
      <c r="M75">
        <v>0</v>
      </c>
      <c r="N75">
        <v>0</v>
      </c>
      <c r="O75">
        <v>0</v>
      </c>
      <c r="P75" t="s">
        <v>5819</v>
      </c>
    </row>
    <row r="76" spans="1:16" x14ac:dyDescent="0.2">
      <c r="A76" t="s">
        <v>195</v>
      </c>
      <c r="B76" t="s">
        <v>196</v>
      </c>
      <c r="C76" t="s">
        <v>186</v>
      </c>
      <c r="D76" t="s">
        <v>98</v>
      </c>
      <c r="E76">
        <v>44.99</v>
      </c>
      <c r="F76" t="s">
        <v>5817</v>
      </c>
      <c r="L76" t="s">
        <v>5085</v>
      </c>
      <c r="M76">
        <v>0</v>
      </c>
      <c r="N76">
        <v>0</v>
      </c>
      <c r="O76">
        <v>0</v>
      </c>
      <c r="P76" t="s">
        <v>5819</v>
      </c>
    </row>
    <row r="77" spans="1:16" x14ac:dyDescent="0.2">
      <c r="A77" t="s">
        <v>189</v>
      </c>
      <c r="B77" t="s">
        <v>190</v>
      </c>
      <c r="C77" t="s">
        <v>186</v>
      </c>
      <c r="D77" t="s">
        <v>98</v>
      </c>
      <c r="E77">
        <v>249.99</v>
      </c>
      <c r="F77" t="s">
        <v>5817</v>
      </c>
      <c r="L77" t="s">
        <v>5085</v>
      </c>
      <c r="M77">
        <v>0</v>
      </c>
      <c r="N77">
        <v>0</v>
      </c>
      <c r="O77">
        <v>8.3333333333333329E-2</v>
      </c>
      <c r="P77" t="s">
        <v>5819</v>
      </c>
    </row>
    <row r="78" spans="1:16" x14ac:dyDescent="0.2">
      <c r="A78" t="s">
        <v>203</v>
      </c>
      <c r="B78" t="s">
        <v>204</v>
      </c>
      <c r="C78" t="s">
        <v>186</v>
      </c>
      <c r="D78" t="s">
        <v>98</v>
      </c>
      <c r="E78">
        <v>59.99</v>
      </c>
      <c r="F78" t="s">
        <v>5817</v>
      </c>
      <c r="L78" t="s">
        <v>5085</v>
      </c>
      <c r="M78">
        <v>0</v>
      </c>
      <c r="N78">
        <v>0</v>
      </c>
      <c r="O78">
        <v>0</v>
      </c>
      <c r="P78" t="s">
        <v>5819</v>
      </c>
    </row>
    <row r="79" spans="1:16" x14ac:dyDescent="0.2">
      <c r="A79" t="s">
        <v>187</v>
      </c>
      <c r="B79" t="s">
        <v>188</v>
      </c>
      <c r="C79" t="s">
        <v>186</v>
      </c>
      <c r="D79" t="s">
        <v>98</v>
      </c>
      <c r="E79">
        <v>139.99</v>
      </c>
      <c r="F79" t="s">
        <v>5817</v>
      </c>
      <c r="L79" t="s">
        <v>5085</v>
      </c>
      <c r="M79">
        <v>0</v>
      </c>
      <c r="N79">
        <v>0</v>
      </c>
      <c r="O79">
        <v>0.16666666666666666</v>
      </c>
      <c r="P79" t="s">
        <v>5819</v>
      </c>
    </row>
    <row r="80" spans="1:16" x14ac:dyDescent="0.2">
      <c r="A80" t="s">
        <v>299</v>
      </c>
      <c r="B80" t="s">
        <v>5820</v>
      </c>
      <c r="C80" t="s">
        <v>288</v>
      </c>
      <c r="D80" t="s">
        <v>138</v>
      </c>
      <c r="E80">
        <v>199.99</v>
      </c>
      <c r="F80" t="s">
        <v>5817</v>
      </c>
      <c r="L80" t="s">
        <v>73</v>
      </c>
      <c r="M80">
        <v>0</v>
      </c>
      <c r="N80">
        <v>0</v>
      </c>
      <c r="O80">
        <v>0</v>
      </c>
      <c r="P80">
        <v>6</v>
      </c>
    </row>
    <row r="81" spans="1:16" x14ac:dyDescent="0.2">
      <c r="A81" t="s">
        <v>293</v>
      </c>
      <c r="B81" t="s">
        <v>5821</v>
      </c>
      <c r="C81" t="s">
        <v>288</v>
      </c>
      <c r="D81" t="s">
        <v>105</v>
      </c>
      <c r="E81">
        <v>199.99</v>
      </c>
      <c r="F81" t="s">
        <v>5817</v>
      </c>
      <c r="G81">
        <v>115</v>
      </c>
      <c r="I81">
        <v>115</v>
      </c>
      <c r="L81" t="s">
        <v>73</v>
      </c>
      <c r="M81">
        <v>0</v>
      </c>
      <c r="N81">
        <v>0</v>
      </c>
      <c r="O81">
        <v>0</v>
      </c>
      <c r="P81">
        <v>16</v>
      </c>
    </row>
    <row r="82" spans="1:16" x14ac:dyDescent="0.2">
      <c r="A82" t="s">
        <v>295</v>
      </c>
      <c r="B82" t="s">
        <v>296</v>
      </c>
      <c r="C82" t="s">
        <v>288</v>
      </c>
      <c r="D82" t="s">
        <v>105</v>
      </c>
      <c r="E82">
        <v>199.99</v>
      </c>
      <c r="F82" t="s">
        <v>5817</v>
      </c>
      <c r="G82">
        <v>6</v>
      </c>
      <c r="I82">
        <v>6</v>
      </c>
      <c r="L82" t="s">
        <v>73</v>
      </c>
      <c r="M82">
        <v>0</v>
      </c>
      <c r="N82">
        <v>0</v>
      </c>
      <c r="O82">
        <v>8.3333333333333329E-2</v>
      </c>
      <c r="P82">
        <v>20</v>
      </c>
    </row>
    <row r="83" spans="1:16" x14ac:dyDescent="0.2">
      <c r="A83" t="s">
        <v>297</v>
      </c>
      <c r="B83" t="s">
        <v>5822</v>
      </c>
      <c r="C83" t="s">
        <v>288</v>
      </c>
      <c r="D83" t="s">
        <v>105</v>
      </c>
      <c r="E83">
        <v>199.99</v>
      </c>
      <c r="F83" t="s">
        <v>5817</v>
      </c>
      <c r="G83">
        <v>5</v>
      </c>
      <c r="I83">
        <v>5</v>
      </c>
      <c r="L83" t="s">
        <v>73</v>
      </c>
      <c r="M83">
        <v>0</v>
      </c>
      <c r="N83">
        <v>0</v>
      </c>
      <c r="O83">
        <v>0</v>
      </c>
      <c r="P83">
        <v>12</v>
      </c>
    </row>
    <row r="84" spans="1:16" x14ac:dyDescent="0.2">
      <c r="A84" t="s">
        <v>289</v>
      </c>
      <c r="B84" t="s">
        <v>290</v>
      </c>
      <c r="C84" t="s">
        <v>288</v>
      </c>
      <c r="D84" t="s">
        <v>98</v>
      </c>
      <c r="E84">
        <v>0</v>
      </c>
      <c r="F84" t="s">
        <v>5817</v>
      </c>
      <c r="L84" t="s">
        <v>73</v>
      </c>
      <c r="M84">
        <v>0</v>
      </c>
      <c r="N84">
        <v>0</v>
      </c>
      <c r="O84">
        <v>0</v>
      </c>
      <c r="P84">
        <v>0</v>
      </c>
    </row>
    <row r="85" spans="1:16" x14ac:dyDescent="0.2">
      <c r="A85" t="s">
        <v>299</v>
      </c>
      <c r="B85" t="s">
        <v>5820</v>
      </c>
      <c r="C85" t="s">
        <v>288</v>
      </c>
      <c r="D85" t="s">
        <v>138</v>
      </c>
      <c r="E85">
        <v>199.99</v>
      </c>
      <c r="F85" t="s">
        <v>5817</v>
      </c>
      <c r="L85" t="s">
        <v>5818</v>
      </c>
      <c r="M85">
        <v>0</v>
      </c>
      <c r="N85">
        <v>0</v>
      </c>
      <c r="P85">
        <v>1</v>
      </c>
    </row>
    <row r="86" spans="1:16" x14ac:dyDescent="0.2">
      <c r="A86" t="s">
        <v>295</v>
      </c>
      <c r="B86" t="s">
        <v>296</v>
      </c>
      <c r="C86" t="s">
        <v>288</v>
      </c>
      <c r="D86" t="s">
        <v>105</v>
      </c>
      <c r="E86">
        <v>199.99</v>
      </c>
      <c r="F86" t="s">
        <v>5817</v>
      </c>
      <c r="G86">
        <v>6</v>
      </c>
      <c r="I86">
        <v>6</v>
      </c>
      <c r="L86" t="s">
        <v>5818</v>
      </c>
      <c r="M86">
        <v>0</v>
      </c>
      <c r="N86">
        <v>0</v>
      </c>
      <c r="P86" t="s">
        <v>5819</v>
      </c>
    </row>
    <row r="87" spans="1:16" x14ac:dyDescent="0.2">
      <c r="A87" t="s">
        <v>289</v>
      </c>
      <c r="B87" t="s">
        <v>290</v>
      </c>
      <c r="C87" t="s">
        <v>288</v>
      </c>
      <c r="D87" t="s">
        <v>98</v>
      </c>
      <c r="E87">
        <v>0</v>
      </c>
      <c r="F87" t="s">
        <v>5817</v>
      </c>
      <c r="L87" t="s">
        <v>5818</v>
      </c>
      <c r="M87">
        <v>0</v>
      </c>
      <c r="N87">
        <v>0</v>
      </c>
      <c r="O87">
        <v>0</v>
      </c>
      <c r="P87" t="s">
        <v>5819</v>
      </c>
    </row>
    <row r="88" spans="1:16" x14ac:dyDescent="0.2">
      <c r="A88" t="s">
        <v>293</v>
      </c>
      <c r="B88" t="s">
        <v>5821</v>
      </c>
      <c r="C88" t="s">
        <v>288</v>
      </c>
      <c r="D88" t="s">
        <v>105</v>
      </c>
      <c r="E88">
        <v>199.99</v>
      </c>
      <c r="F88" t="s">
        <v>5817</v>
      </c>
      <c r="G88">
        <v>115</v>
      </c>
      <c r="I88">
        <v>115</v>
      </c>
      <c r="L88" t="s">
        <v>5818</v>
      </c>
      <c r="M88">
        <v>0</v>
      </c>
      <c r="N88">
        <v>0</v>
      </c>
      <c r="P88">
        <v>8</v>
      </c>
    </row>
    <row r="89" spans="1:16" x14ac:dyDescent="0.2">
      <c r="A89" t="s">
        <v>297</v>
      </c>
      <c r="B89" t="s">
        <v>5822</v>
      </c>
      <c r="C89" t="s">
        <v>288</v>
      </c>
      <c r="D89" t="s">
        <v>105</v>
      </c>
      <c r="E89">
        <v>199.99</v>
      </c>
      <c r="F89" t="s">
        <v>5817</v>
      </c>
      <c r="G89">
        <v>5</v>
      </c>
      <c r="I89">
        <v>5</v>
      </c>
      <c r="L89" t="s">
        <v>5818</v>
      </c>
      <c r="M89">
        <v>0</v>
      </c>
      <c r="N89">
        <v>0</v>
      </c>
      <c r="P89">
        <v>11</v>
      </c>
    </row>
    <row r="90" spans="1:16" x14ac:dyDescent="0.2">
      <c r="A90" t="s">
        <v>295</v>
      </c>
      <c r="B90" t="s">
        <v>296</v>
      </c>
      <c r="C90" t="s">
        <v>288</v>
      </c>
      <c r="D90" t="s">
        <v>105</v>
      </c>
      <c r="E90">
        <v>199.99</v>
      </c>
      <c r="F90" t="s">
        <v>5817</v>
      </c>
      <c r="G90">
        <v>6</v>
      </c>
      <c r="I90">
        <v>6</v>
      </c>
      <c r="L90" t="s">
        <v>5085</v>
      </c>
      <c r="M90">
        <v>0</v>
      </c>
      <c r="N90">
        <v>0</v>
      </c>
      <c r="O90">
        <v>0.75</v>
      </c>
      <c r="P90" t="s">
        <v>5819</v>
      </c>
    </row>
    <row r="91" spans="1:16" x14ac:dyDescent="0.2">
      <c r="A91" t="s">
        <v>299</v>
      </c>
      <c r="B91" t="s">
        <v>5820</v>
      </c>
      <c r="C91" t="s">
        <v>288</v>
      </c>
      <c r="D91" t="s">
        <v>138</v>
      </c>
      <c r="E91">
        <v>199.99</v>
      </c>
      <c r="F91" t="s">
        <v>5817</v>
      </c>
      <c r="L91" t="s">
        <v>5085</v>
      </c>
      <c r="M91">
        <v>0</v>
      </c>
      <c r="N91">
        <v>0</v>
      </c>
      <c r="O91">
        <v>0.58333333333333326</v>
      </c>
      <c r="P91" t="s">
        <v>5819</v>
      </c>
    </row>
    <row r="92" spans="1:16" x14ac:dyDescent="0.2">
      <c r="A92" t="s">
        <v>297</v>
      </c>
      <c r="B92" t="s">
        <v>5822</v>
      </c>
      <c r="C92" t="s">
        <v>288</v>
      </c>
      <c r="D92" t="s">
        <v>105</v>
      </c>
      <c r="E92">
        <v>199.99</v>
      </c>
      <c r="F92" t="s">
        <v>5817</v>
      </c>
      <c r="G92">
        <v>5</v>
      </c>
      <c r="I92">
        <v>5</v>
      </c>
      <c r="L92" t="s">
        <v>5085</v>
      </c>
      <c r="M92">
        <v>0</v>
      </c>
      <c r="N92">
        <v>0</v>
      </c>
      <c r="O92">
        <v>0.58333333333333337</v>
      </c>
      <c r="P92" t="s">
        <v>5819</v>
      </c>
    </row>
    <row r="93" spans="1:16" x14ac:dyDescent="0.2">
      <c r="A93" t="s">
        <v>293</v>
      </c>
      <c r="B93" t="s">
        <v>5821</v>
      </c>
      <c r="C93" t="s">
        <v>288</v>
      </c>
      <c r="D93" t="s">
        <v>105</v>
      </c>
      <c r="E93">
        <v>199.99</v>
      </c>
      <c r="F93" t="s">
        <v>5817</v>
      </c>
      <c r="G93">
        <v>115</v>
      </c>
      <c r="I93">
        <v>115</v>
      </c>
      <c r="L93" t="s">
        <v>5085</v>
      </c>
      <c r="M93">
        <v>0</v>
      </c>
      <c r="N93">
        <v>0</v>
      </c>
      <c r="O93">
        <v>0.33333333333333331</v>
      </c>
      <c r="P93" t="s">
        <v>5819</v>
      </c>
    </row>
    <row r="94" spans="1:16" x14ac:dyDescent="0.2">
      <c r="A94" t="s">
        <v>289</v>
      </c>
      <c r="B94" t="s">
        <v>290</v>
      </c>
      <c r="C94" t="s">
        <v>288</v>
      </c>
      <c r="D94" t="s">
        <v>98</v>
      </c>
      <c r="E94">
        <v>0</v>
      </c>
      <c r="F94" t="s">
        <v>5817</v>
      </c>
      <c r="L94" t="s">
        <v>5085</v>
      </c>
      <c r="M94">
        <v>0</v>
      </c>
      <c r="N94">
        <v>0</v>
      </c>
      <c r="O94">
        <v>0</v>
      </c>
      <c r="P94" t="s">
        <v>5819</v>
      </c>
    </row>
    <row r="95" spans="1:16" x14ac:dyDescent="0.2">
      <c r="A95" t="s">
        <v>295</v>
      </c>
      <c r="B95" t="s">
        <v>296</v>
      </c>
      <c r="C95" t="s">
        <v>288</v>
      </c>
      <c r="D95" t="s">
        <v>105</v>
      </c>
      <c r="E95">
        <v>199.99</v>
      </c>
      <c r="F95" t="s">
        <v>5817</v>
      </c>
      <c r="G95">
        <v>6</v>
      </c>
      <c r="I95">
        <v>6</v>
      </c>
      <c r="L95" t="s">
        <v>5065</v>
      </c>
      <c r="M95">
        <v>4.6666666666666661</v>
      </c>
      <c r="N95">
        <v>5.1428571428571432</v>
      </c>
      <c r="O95">
        <v>2.416666666666667</v>
      </c>
      <c r="P95">
        <v>24</v>
      </c>
    </row>
    <row r="96" spans="1:16" x14ac:dyDescent="0.2">
      <c r="A96" t="s">
        <v>299</v>
      </c>
      <c r="B96" t="s">
        <v>5820</v>
      </c>
      <c r="C96" t="s">
        <v>288</v>
      </c>
      <c r="D96" t="s">
        <v>138</v>
      </c>
      <c r="E96">
        <v>199.99</v>
      </c>
      <c r="F96" t="s">
        <v>5817</v>
      </c>
      <c r="L96" t="s">
        <v>5065</v>
      </c>
      <c r="M96">
        <v>3.4</v>
      </c>
      <c r="N96">
        <v>3.2352941176470589</v>
      </c>
      <c r="O96">
        <v>3.4166666666666665</v>
      </c>
      <c r="P96">
        <v>11</v>
      </c>
    </row>
    <row r="97" spans="1:16" x14ac:dyDescent="0.2">
      <c r="A97" t="s">
        <v>289</v>
      </c>
      <c r="B97" t="s">
        <v>290</v>
      </c>
      <c r="C97" t="s">
        <v>288</v>
      </c>
      <c r="D97" t="s">
        <v>98</v>
      </c>
      <c r="E97">
        <v>0</v>
      </c>
      <c r="F97" t="s">
        <v>5817</v>
      </c>
      <c r="L97" t="s">
        <v>5065</v>
      </c>
      <c r="M97">
        <v>0</v>
      </c>
      <c r="N97">
        <v>0</v>
      </c>
      <c r="P97">
        <v>0</v>
      </c>
    </row>
    <row r="98" spans="1:16" x14ac:dyDescent="0.2">
      <c r="A98" t="s">
        <v>293</v>
      </c>
      <c r="B98" t="s">
        <v>5821</v>
      </c>
      <c r="C98" t="s">
        <v>288</v>
      </c>
      <c r="D98" t="s">
        <v>105</v>
      </c>
      <c r="E98">
        <v>199.99</v>
      </c>
      <c r="F98" t="s">
        <v>5817</v>
      </c>
      <c r="G98">
        <v>115</v>
      </c>
      <c r="I98">
        <v>115</v>
      </c>
      <c r="L98" t="s">
        <v>5065</v>
      </c>
      <c r="M98">
        <v>2.2000000000000002</v>
      </c>
      <c r="N98">
        <v>13.18181818181818</v>
      </c>
      <c r="O98">
        <v>1.25</v>
      </c>
      <c r="P98">
        <v>29</v>
      </c>
    </row>
    <row r="99" spans="1:16" x14ac:dyDescent="0.2">
      <c r="A99" t="s">
        <v>297</v>
      </c>
      <c r="B99" t="s">
        <v>5822</v>
      </c>
      <c r="C99" t="s">
        <v>288</v>
      </c>
      <c r="D99" t="s">
        <v>105</v>
      </c>
      <c r="E99">
        <v>199.99</v>
      </c>
      <c r="F99" t="s">
        <v>5817</v>
      </c>
      <c r="G99">
        <v>5</v>
      </c>
      <c r="I99">
        <v>5</v>
      </c>
      <c r="L99" t="s">
        <v>5065</v>
      </c>
      <c r="M99">
        <v>2.4</v>
      </c>
      <c r="N99">
        <v>12.083333333333334</v>
      </c>
      <c r="O99">
        <v>1.916666666666667</v>
      </c>
      <c r="P99">
        <v>29</v>
      </c>
    </row>
    <row r="100" spans="1:16" x14ac:dyDescent="0.2">
      <c r="A100" t="s">
        <v>299</v>
      </c>
      <c r="B100" t="s">
        <v>5820</v>
      </c>
      <c r="C100" t="s">
        <v>288</v>
      </c>
      <c r="D100" t="s">
        <v>138</v>
      </c>
      <c r="E100">
        <v>199.99</v>
      </c>
      <c r="F100" t="s">
        <v>5817</v>
      </c>
      <c r="L100" t="s">
        <v>8</v>
      </c>
      <c r="M100">
        <v>2</v>
      </c>
      <c r="N100">
        <v>12.5</v>
      </c>
      <c r="O100">
        <v>0.75</v>
      </c>
      <c r="P100">
        <v>25</v>
      </c>
    </row>
    <row r="101" spans="1:16" x14ac:dyDescent="0.2">
      <c r="A101" t="s">
        <v>295</v>
      </c>
      <c r="B101" t="s">
        <v>296</v>
      </c>
      <c r="C101" t="s">
        <v>288</v>
      </c>
      <c r="D101" t="s">
        <v>105</v>
      </c>
      <c r="E101">
        <v>199.99</v>
      </c>
      <c r="F101" t="s">
        <v>5817</v>
      </c>
      <c r="G101">
        <v>6</v>
      </c>
      <c r="I101">
        <v>6</v>
      </c>
      <c r="L101" t="s">
        <v>8</v>
      </c>
      <c r="M101">
        <v>1</v>
      </c>
      <c r="N101">
        <v>32</v>
      </c>
      <c r="O101">
        <v>0.75</v>
      </c>
      <c r="P101">
        <v>32</v>
      </c>
    </row>
    <row r="102" spans="1:16" x14ac:dyDescent="0.2">
      <c r="A102" t="s">
        <v>289</v>
      </c>
      <c r="B102" t="s">
        <v>290</v>
      </c>
      <c r="C102" t="s">
        <v>288</v>
      </c>
      <c r="D102" t="s">
        <v>98</v>
      </c>
      <c r="E102">
        <v>0</v>
      </c>
      <c r="F102" t="s">
        <v>5817</v>
      </c>
      <c r="L102" t="s">
        <v>8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 t="s">
        <v>297</v>
      </c>
      <c r="B103" t="s">
        <v>5822</v>
      </c>
      <c r="C103" t="s">
        <v>288</v>
      </c>
      <c r="D103" t="s">
        <v>105</v>
      </c>
      <c r="E103">
        <v>199.99</v>
      </c>
      <c r="F103" t="s">
        <v>5817</v>
      </c>
      <c r="G103">
        <v>5</v>
      </c>
      <c r="I103">
        <v>5</v>
      </c>
      <c r="L103" t="s">
        <v>8</v>
      </c>
      <c r="M103">
        <v>1.3333333333333335</v>
      </c>
      <c r="N103">
        <v>32.999999999999993</v>
      </c>
      <c r="O103">
        <v>0.83333333333333337</v>
      </c>
      <c r="P103">
        <v>44</v>
      </c>
    </row>
    <row r="104" spans="1:16" x14ac:dyDescent="0.2">
      <c r="A104" t="s">
        <v>293</v>
      </c>
      <c r="B104" t="s">
        <v>5821</v>
      </c>
      <c r="C104" t="s">
        <v>288</v>
      </c>
      <c r="D104" t="s">
        <v>105</v>
      </c>
      <c r="E104">
        <v>199.99</v>
      </c>
      <c r="F104" t="s">
        <v>5817</v>
      </c>
      <c r="G104">
        <v>115</v>
      </c>
      <c r="I104">
        <v>115</v>
      </c>
      <c r="L104" t="s">
        <v>8</v>
      </c>
      <c r="M104">
        <v>1</v>
      </c>
      <c r="N104">
        <v>60</v>
      </c>
      <c r="O104">
        <v>0.41666666666666663</v>
      </c>
      <c r="P104">
        <v>60</v>
      </c>
    </row>
    <row r="105" spans="1:16" x14ac:dyDescent="0.2">
      <c r="A105" t="s">
        <v>406</v>
      </c>
      <c r="B105" t="s">
        <v>407</v>
      </c>
      <c r="C105" t="s">
        <v>307</v>
      </c>
      <c r="D105" t="s">
        <v>98</v>
      </c>
      <c r="E105">
        <v>1699.99</v>
      </c>
      <c r="F105" t="s">
        <v>5817</v>
      </c>
      <c r="L105" t="s">
        <v>73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 t="s">
        <v>377</v>
      </c>
      <c r="B106" t="s">
        <v>376</v>
      </c>
      <c r="C106" t="s">
        <v>307</v>
      </c>
      <c r="D106" t="s">
        <v>98</v>
      </c>
      <c r="E106">
        <v>2299.9899999999998</v>
      </c>
      <c r="F106" t="s">
        <v>5817</v>
      </c>
      <c r="L106" t="s">
        <v>73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 t="s">
        <v>340</v>
      </c>
      <c r="B107" t="s">
        <v>341</v>
      </c>
      <c r="C107" t="s">
        <v>307</v>
      </c>
      <c r="D107" t="s">
        <v>98</v>
      </c>
      <c r="E107">
        <v>3299.99</v>
      </c>
      <c r="F107" t="s">
        <v>5817</v>
      </c>
      <c r="L107" t="s">
        <v>73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 t="s">
        <v>344</v>
      </c>
      <c r="B108" t="s">
        <v>345</v>
      </c>
      <c r="C108" t="s">
        <v>307</v>
      </c>
      <c r="D108" t="s">
        <v>98</v>
      </c>
      <c r="E108">
        <v>3699.99</v>
      </c>
      <c r="F108" t="s">
        <v>5817</v>
      </c>
      <c r="L108" t="s">
        <v>73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 t="s">
        <v>424</v>
      </c>
      <c r="B109" t="s">
        <v>425</v>
      </c>
      <c r="C109" t="s">
        <v>307</v>
      </c>
      <c r="D109" t="s">
        <v>98</v>
      </c>
      <c r="E109">
        <v>449</v>
      </c>
      <c r="F109" t="s">
        <v>5817</v>
      </c>
      <c r="L109" t="s">
        <v>73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 t="s">
        <v>338</v>
      </c>
      <c r="B110" t="s">
        <v>339</v>
      </c>
      <c r="C110" t="s">
        <v>307</v>
      </c>
      <c r="D110" t="s">
        <v>98</v>
      </c>
      <c r="E110">
        <v>2899.99</v>
      </c>
      <c r="F110" t="s">
        <v>5817</v>
      </c>
      <c r="L110" t="s">
        <v>73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 t="s">
        <v>418</v>
      </c>
      <c r="B111" t="s">
        <v>419</v>
      </c>
      <c r="C111" t="s">
        <v>307</v>
      </c>
      <c r="D111" t="s">
        <v>98</v>
      </c>
      <c r="E111">
        <v>449</v>
      </c>
      <c r="F111" t="s">
        <v>5817</v>
      </c>
      <c r="L111" t="s">
        <v>73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 t="s">
        <v>420</v>
      </c>
      <c r="B112" t="s">
        <v>421</v>
      </c>
      <c r="C112" t="s">
        <v>307</v>
      </c>
      <c r="D112" t="s">
        <v>98</v>
      </c>
      <c r="E112">
        <v>449</v>
      </c>
      <c r="F112" t="s">
        <v>5817</v>
      </c>
      <c r="L112" t="s">
        <v>73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 t="s">
        <v>370</v>
      </c>
      <c r="B113" t="s">
        <v>371</v>
      </c>
      <c r="C113" t="s">
        <v>307</v>
      </c>
      <c r="D113" t="s">
        <v>98</v>
      </c>
      <c r="E113">
        <v>1199.99</v>
      </c>
      <c r="F113" t="s">
        <v>5817</v>
      </c>
      <c r="L113" t="s">
        <v>73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 t="s">
        <v>323</v>
      </c>
      <c r="B114" t="s">
        <v>324</v>
      </c>
      <c r="C114" t="s">
        <v>307</v>
      </c>
      <c r="D114" t="s">
        <v>105</v>
      </c>
      <c r="E114">
        <v>1499.99</v>
      </c>
      <c r="F114" t="s">
        <v>5817</v>
      </c>
      <c r="G114">
        <v>1</v>
      </c>
      <c r="I114">
        <v>1</v>
      </c>
      <c r="L114" t="s">
        <v>73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 t="s">
        <v>314</v>
      </c>
      <c r="B115" t="s">
        <v>315</v>
      </c>
      <c r="C115" t="s">
        <v>307</v>
      </c>
      <c r="D115" t="s">
        <v>98</v>
      </c>
      <c r="E115">
        <v>1299.99</v>
      </c>
      <c r="F115" t="s">
        <v>5817</v>
      </c>
      <c r="L115" t="s">
        <v>73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 t="s">
        <v>330</v>
      </c>
      <c r="B116" t="s">
        <v>331</v>
      </c>
      <c r="C116" t="s">
        <v>307</v>
      </c>
      <c r="D116" t="s">
        <v>98</v>
      </c>
      <c r="E116">
        <v>2099.9899999999998</v>
      </c>
      <c r="F116" t="s">
        <v>5817</v>
      </c>
      <c r="L116" t="s">
        <v>73</v>
      </c>
      <c r="M116">
        <v>0</v>
      </c>
      <c r="N116">
        <v>0</v>
      </c>
      <c r="O116">
        <v>0</v>
      </c>
      <c r="P116">
        <v>0</v>
      </c>
    </row>
    <row r="117" spans="1:16" x14ac:dyDescent="0.2">
      <c r="A117" t="s">
        <v>372</v>
      </c>
      <c r="B117" t="s">
        <v>373</v>
      </c>
      <c r="C117" t="s">
        <v>307</v>
      </c>
      <c r="D117" t="s">
        <v>98</v>
      </c>
      <c r="E117">
        <v>699.99</v>
      </c>
      <c r="F117" t="s">
        <v>5817</v>
      </c>
      <c r="L117" t="s">
        <v>73</v>
      </c>
      <c r="M117">
        <v>0</v>
      </c>
      <c r="N117">
        <v>0</v>
      </c>
      <c r="O117">
        <v>0</v>
      </c>
      <c r="P117">
        <v>0</v>
      </c>
    </row>
    <row r="118" spans="1:16" x14ac:dyDescent="0.2">
      <c r="A118" t="s">
        <v>348</v>
      </c>
      <c r="B118" t="s">
        <v>349</v>
      </c>
      <c r="C118" t="s">
        <v>307</v>
      </c>
      <c r="D118" t="s">
        <v>98</v>
      </c>
      <c r="E118">
        <v>299.99</v>
      </c>
      <c r="F118" t="s">
        <v>5817</v>
      </c>
      <c r="L118" t="s">
        <v>73</v>
      </c>
      <c r="M118">
        <v>0</v>
      </c>
      <c r="N118">
        <v>0</v>
      </c>
      <c r="O118">
        <v>0</v>
      </c>
      <c r="P118">
        <v>0</v>
      </c>
    </row>
    <row r="119" spans="1:16" x14ac:dyDescent="0.2">
      <c r="A119" t="s">
        <v>352</v>
      </c>
      <c r="B119" t="s">
        <v>353</v>
      </c>
      <c r="C119" t="s">
        <v>307</v>
      </c>
      <c r="D119" t="s">
        <v>138</v>
      </c>
      <c r="E119">
        <v>1899.99</v>
      </c>
      <c r="F119" t="s">
        <v>5817</v>
      </c>
      <c r="L119" t="s">
        <v>73</v>
      </c>
      <c r="M119">
        <v>0</v>
      </c>
      <c r="N119">
        <v>0</v>
      </c>
      <c r="O119">
        <v>0</v>
      </c>
      <c r="P119">
        <v>0</v>
      </c>
    </row>
    <row r="120" spans="1:16" x14ac:dyDescent="0.2">
      <c r="A120" t="s">
        <v>350</v>
      </c>
      <c r="B120" t="s">
        <v>351</v>
      </c>
      <c r="C120" t="s">
        <v>307</v>
      </c>
      <c r="D120" t="s">
        <v>138</v>
      </c>
      <c r="E120">
        <v>399.99</v>
      </c>
      <c r="F120" t="s">
        <v>5817</v>
      </c>
      <c r="G120">
        <v>2</v>
      </c>
      <c r="H120" t="s">
        <v>5823</v>
      </c>
      <c r="I120">
        <v>1</v>
      </c>
      <c r="L120" t="s">
        <v>73</v>
      </c>
      <c r="M120">
        <v>0</v>
      </c>
      <c r="N120">
        <v>0</v>
      </c>
      <c r="O120">
        <v>0.16666666666666666</v>
      </c>
      <c r="P120">
        <v>0</v>
      </c>
    </row>
    <row r="121" spans="1:16" x14ac:dyDescent="0.2">
      <c r="A121" t="s">
        <v>422</v>
      </c>
      <c r="B121" t="s">
        <v>423</v>
      </c>
      <c r="C121" t="s">
        <v>307</v>
      </c>
      <c r="D121" t="s">
        <v>98</v>
      </c>
      <c r="E121">
        <v>449</v>
      </c>
      <c r="F121" t="s">
        <v>5817</v>
      </c>
      <c r="L121" t="s">
        <v>73</v>
      </c>
      <c r="M121">
        <v>0</v>
      </c>
      <c r="N121">
        <v>0</v>
      </c>
      <c r="O121">
        <v>0</v>
      </c>
      <c r="P121">
        <v>0</v>
      </c>
    </row>
    <row r="122" spans="1:16" x14ac:dyDescent="0.2">
      <c r="A122" t="s">
        <v>404</v>
      </c>
      <c r="B122" t="s">
        <v>405</v>
      </c>
      <c r="C122" t="s">
        <v>307</v>
      </c>
      <c r="D122" t="s">
        <v>105</v>
      </c>
      <c r="E122">
        <v>1699.99</v>
      </c>
      <c r="F122" t="s">
        <v>5817</v>
      </c>
      <c r="G122">
        <v>26</v>
      </c>
      <c r="I122">
        <v>26</v>
      </c>
      <c r="L122" t="s">
        <v>73</v>
      </c>
      <c r="M122">
        <v>0</v>
      </c>
      <c r="N122">
        <v>0</v>
      </c>
      <c r="O122">
        <v>0</v>
      </c>
      <c r="P122">
        <v>0</v>
      </c>
    </row>
    <row r="123" spans="1:16" x14ac:dyDescent="0.2">
      <c r="A123" t="s">
        <v>329</v>
      </c>
      <c r="B123" t="s">
        <v>328</v>
      </c>
      <c r="C123" t="s">
        <v>307</v>
      </c>
      <c r="D123" t="s">
        <v>105</v>
      </c>
      <c r="E123">
        <v>1799.99</v>
      </c>
      <c r="F123" t="s">
        <v>5817</v>
      </c>
      <c r="G123">
        <v>1</v>
      </c>
      <c r="I123">
        <v>1</v>
      </c>
      <c r="L123" t="s">
        <v>73</v>
      </c>
      <c r="M123">
        <v>0</v>
      </c>
      <c r="N123">
        <v>0</v>
      </c>
      <c r="O123">
        <v>0</v>
      </c>
      <c r="P123">
        <v>0</v>
      </c>
    </row>
    <row r="124" spans="1:16" x14ac:dyDescent="0.2">
      <c r="A124" t="s">
        <v>430</v>
      </c>
      <c r="B124" t="s">
        <v>431</v>
      </c>
      <c r="C124" t="s">
        <v>307</v>
      </c>
      <c r="D124" t="s">
        <v>105</v>
      </c>
      <c r="E124">
        <v>469.99</v>
      </c>
      <c r="F124" t="s">
        <v>5817</v>
      </c>
      <c r="G124">
        <v>3</v>
      </c>
      <c r="I124">
        <v>3</v>
      </c>
      <c r="L124" t="s">
        <v>73</v>
      </c>
      <c r="M124">
        <v>0</v>
      </c>
      <c r="N124">
        <v>0</v>
      </c>
      <c r="O124">
        <v>8.3333333333333329E-2</v>
      </c>
      <c r="P124">
        <v>0</v>
      </c>
    </row>
    <row r="125" spans="1:16" x14ac:dyDescent="0.2">
      <c r="A125" t="s">
        <v>388</v>
      </c>
      <c r="B125" t="s">
        <v>389</v>
      </c>
      <c r="C125" t="s">
        <v>307</v>
      </c>
      <c r="D125" t="s">
        <v>105</v>
      </c>
      <c r="E125">
        <v>229</v>
      </c>
      <c r="F125" t="s">
        <v>5817</v>
      </c>
      <c r="G125">
        <v>8</v>
      </c>
      <c r="I125">
        <v>8</v>
      </c>
      <c r="L125" t="s">
        <v>73</v>
      </c>
      <c r="M125">
        <v>0</v>
      </c>
      <c r="N125">
        <v>0</v>
      </c>
      <c r="O125">
        <v>0.16666666666666666</v>
      </c>
      <c r="P125">
        <v>0</v>
      </c>
    </row>
    <row r="126" spans="1:16" x14ac:dyDescent="0.2">
      <c r="A126" t="s">
        <v>354</v>
      </c>
      <c r="B126" t="s">
        <v>355</v>
      </c>
      <c r="C126" t="s">
        <v>307</v>
      </c>
      <c r="D126" t="s">
        <v>98</v>
      </c>
      <c r="E126">
        <v>1999.99</v>
      </c>
      <c r="F126" t="s">
        <v>5817</v>
      </c>
      <c r="L126" t="s">
        <v>73</v>
      </c>
      <c r="M126">
        <v>0</v>
      </c>
      <c r="N126">
        <v>0</v>
      </c>
      <c r="O126">
        <v>0</v>
      </c>
      <c r="P126">
        <v>28</v>
      </c>
    </row>
    <row r="127" spans="1:16" x14ac:dyDescent="0.2">
      <c r="A127" t="s">
        <v>390</v>
      </c>
      <c r="B127" t="s">
        <v>391</v>
      </c>
      <c r="C127" t="s">
        <v>307</v>
      </c>
      <c r="D127" t="s">
        <v>98</v>
      </c>
      <c r="E127">
        <v>289.99</v>
      </c>
      <c r="F127" t="s">
        <v>5817</v>
      </c>
      <c r="L127" t="s">
        <v>73</v>
      </c>
      <c r="M127">
        <v>0</v>
      </c>
      <c r="N127">
        <v>0</v>
      </c>
      <c r="O127">
        <v>0</v>
      </c>
      <c r="P127">
        <v>0</v>
      </c>
    </row>
    <row r="128" spans="1:16" x14ac:dyDescent="0.2">
      <c r="A128" t="s">
        <v>410</v>
      </c>
      <c r="B128" t="s">
        <v>411</v>
      </c>
      <c r="C128" t="s">
        <v>307</v>
      </c>
      <c r="D128" t="s">
        <v>98</v>
      </c>
      <c r="E128">
        <v>199.99</v>
      </c>
      <c r="F128" t="s">
        <v>5817</v>
      </c>
      <c r="L128" t="s">
        <v>73</v>
      </c>
      <c r="M128">
        <v>0</v>
      </c>
      <c r="N128">
        <v>0</v>
      </c>
      <c r="O128">
        <v>0</v>
      </c>
      <c r="P128">
        <v>0</v>
      </c>
    </row>
    <row r="129" spans="1:16" x14ac:dyDescent="0.2">
      <c r="A129" t="s">
        <v>416</v>
      </c>
      <c r="B129" t="s">
        <v>417</v>
      </c>
      <c r="C129" t="s">
        <v>307</v>
      </c>
      <c r="D129" t="s">
        <v>105</v>
      </c>
      <c r="E129">
        <v>49.99</v>
      </c>
      <c r="F129" t="s">
        <v>5817</v>
      </c>
      <c r="G129">
        <v>5</v>
      </c>
      <c r="I129">
        <v>5</v>
      </c>
      <c r="L129" t="s">
        <v>73</v>
      </c>
      <c r="M129">
        <v>0</v>
      </c>
      <c r="N129">
        <v>0</v>
      </c>
      <c r="O129">
        <v>0</v>
      </c>
      <c r="P129">
        <v>0</v>
      </c>
    </row>
    <row r="130" spans="1:16" x14ac:dyDescent="0.2">
      <c r="A130" t="s">
        <v>343</v>
      </c>
      <c r="B130" t="s">
        <v>342</v>
      </c>
      <c r="C130" t="s">
        <v>307</v>
      </c>
      <c r="D130" t="s">
        <v>98</v>
      </c>
      <c r="E130">
        <v>3999.99</v>
      </c>
      <c r="F130" t="s">
        <v>5817</v>
      </c>
      <c r="L130" t="s">
        <v>73</v>
      </c>
      <c r="M130">
        <v>0</v>
      </c>
      <c r="N130">
        <v>0</v>
      </c>
      <c r="O130">
        <v>0</v>
      </c>
      <c r="P130">
        <v>0</v>
      </c>
    </row>
    <row r="131" spans="1:16" x14ac:dyDescent="0.2">
      <c r="A131" t="s">
        <v>346</v>
      </c>
      <c r="B131" t="s">
        <v>347</v>
      </c>
      <c r="C131" t="s">
        <v>307</v>
      </c>
      <c r="D131" t="s">
        <v>138</v>
      </c>
      <c r="E131">
        <v>419.99</v>
      </c>
      <c r="F131" t="s">
        <v>5817</v>
      </c>
      <c r="G131">
        <v>12</v>
      </c>
      <c r="I131">
        <v>12</v>
      </c>
      <c r="L131" t="s">
        <v>73</v>
      </c>
      <c r="M131">
        <v>0</v>
      </c>
      <c r="N131">
        <v>0</v>
      </c>
      <c r="O131">
        <v>8.3333333333333329E-2</v>
      </c>
      <c r="P131">
        <v>0</v>
      </c>
    </row>
    <row r="132" spans="1:16" x14ac:dyDescent="0.2">
      <c r="A132" t="s">
        <v>374</v>
      </c>
      <c r="B132" t="s">
        <v>375</v>
      </c>
      <c r="C132" t="s">
        <v>307</v>
      </c>
      <c r="D132" t="s">
        <v>98</v>
      </c>
      <c r="E132">
        <v>1899.99</v>
      </c>
      <c r="F132" t="s">
        <v>5817</v>
      </c>
      <c r="L132" t="s">
        <v>73</v>
      </c>
      <c r="M132">
        <v>0</v>
      </c>
      <c r="N132">
        <v>0</v>
      </c>
      <c r="O132">
        <v>0</v>
      </c>
      <c r="P132">
        <v>0</v>
      </c>
    </row>
    <row r="133" spans="1:16" x14ac:dyDescent="0.2">
      <c r="A133" t="s">
        <v>319</v>
      </c>
      <c r="B133" t="s">
        <v>320</v>
      </c>
      <c r="C133" t="s">
        <v>307</v>
      </c>
      <c r="D133" t="s">
        <v>138</v>
      </c>
      <c r="E133">
        <v>649.99</v>
      </c>
      <c r="F133" t="s">
        <v>5817</v>
      </c>
      <c r="G133">
        <v>9</v>
      </c>
      <c r="I133">
        <v>9</v>
      </c>
      <c r="L133" t="s">
        <v>73</v>
      </c>
      <c r="M133">
        <v>0</v>
      </c>
      <c r="N133">
        <v>0</v>
      </c>
      <c r="O133">
        <v>0</v>
      </c>
      <c r="P133">
        <v>0</v>
      </c>
    </row>
    <row r="134" spans="1:16" x14ac:dyDescent="0.2">
      <c r="A134" t="s">
        <v>321</v>
      </c>
      <c r="B134" t="s">
        <v>322</v>
      </c>
      <c r="C134" t="s">
        <v>307</v>
      </c>
      <c r="D134" t="s">
        <v>98</v>
      </c>
      <c r="E134">
        <v>849.99</v>
      </c>
      <c r="F134" t="s">
        <v>5817</v>
      </c>
      <c r="L134" t="s">
        <v>73</v>
      </c>
      <c r="M134">
        <v>0</v>
      </c>
      <c r="N134">
        <v>0</v>
      </c>
      <c r="O134">
        <v>0</v>
      </c>
      <c r="P134">
        <v>0</v>
      </c>
    </row>
    <row r="135" spans="1:16" x14ac:dyDescent="0.2">
      <c r="A135" t="s">
        <v>368</v>
      </c>
      <c r="B135" t="s">
        <v>369</v>
      </c>
      <c r="C135" t="s">
        <v>307</v>
      </c>
      <c r="D135" t="s">
        <v>98</v>
      </c>
      <c r="E135">
        <v>1199.99</v>
      </c>
      <c r="F135" t="s">
        <v>5817</v>
      </c>
      <c r="L135" t="s">
        <v>73</v>
      </c>
      <c r="M135">
        <v>0</v>
      </c>
      <c r="N135">
        <v>0</v>
      </c>
      <c r="O135">
        <v>0</v>
      </c>
      <c r="P135">
        <v>0</v>
      </c>
    </row>
    <row r="136" spans="1:16" x14ac:dyDescent="0.2">
      <c r="A136" t="s">
        <v>325</v>
      </c>
      <c r="B136" t="s">
        <v>326</v>
      </c>
      <c r="C136" t="s">
        <v>307</v>
      </c>
      <c r="D136" t="s">
        <v>105</v>
      </c>
      <c r="E136">
        <v>849.99</v>
      </c>
      <c r="F136" t="s">
        <v>5817</v>
      </c>
      <c r="G136">
        <v>1</v>
      </c>
      <c r="H136" t="s">
        <v>5823</v>
      </c>
      <c r="L136" t="s">
        <v>73</v>
      </c>
      <c r="M136">
        <v>0</v>
      </c>
      <c r="N136">
        <v>0</v>
      </c>
      <c r="O136">
        <v>0</v>
      </c>
      <c r="P136">
        <v>0</v>
      </c>
    </row>
    <row r="137" spans="1:16" x14ac:dyDescent="0.2">
      <c r="A137" t="s">
        <v>312</v>
      </c>
      <c r="B137" t="s">
        <v>313</v>
      </c>
      <c r="C137" t="s">
        <v>307</v>
      </c>
      <c r="D137" t="s">
        <v>138</v>
      </c>
      <c r="E137">
        <v>549.99</v>
      </c>
      <c r="F137" t="s">
        <v>5817</v>
      </c>
      <c r="G137">
        <v>13</v>
      </c>
      <c r="I137">
        <v>13</v>
      </c>
      <c r="L137" t="s">
        <v>73</v>
      </c>
      <c r="M137">
        <v>0</v>
      </c>
      <c r="N137">
        <v>0</v>
      </c>
      <c r="O137">
        <v>0</v>
      </c>
      <c r="P137">
        <v>0</v>
      </c>
    </row>
    <row r="138" spans="1:16" x14ac:dyDescent="0.2">
      <c r="A138" t="s">
        <v>336</v>
      </c>
      <c r="B138" t="s">
        <v>337</v>
      </c>
      <c r="C138" t="s">
        <v>307</v>
      </c>
      <c r="D138" t="s">
        <v>105</v>
      </c>
      <c r="E138">
        <v>2899.99</v>
      </c>
      <c r="F138" t="s">
        <v>5817</v>
      </c>
      <c r="G138">
        <v>3</v>
      </c>
      <c r="I138">
        <v>3</v>
      </c>
      <c r="L138" t="s">
        <v>73</v>
      </c>
      <c r="M138">
        <v>0</v>
      </c>
      <c r="N138">
        <v>0</v>
      </c>
      <c r="O138">
        <v>8.3333333333333329E-2</v>
      </c>
      <c r="P138">
        <v>0</v>
      </c>
    </row>
    <row r="139" spans="1:16" x14ac:dyDescent="0.2">
      <c r="A139" t="s">
        <v>318</v>
      </c>
      <c r="B139" t="s">
        <v>317</v>
      </c>
      <c r="C139" t="s">
        <v>307</v>
      </c>
      <c r="D139" t="s">
        <v>98</v>
      </c>
      <c r="E139">
        <v>499.99</v>
      </c>
      <c r="F139" t="s">
        <v>5817</v>
      </c>
      <c r="L139" t="s">
        <v>73</v>
      </c>
      <c r="M139">
        <v>0</v>
      </c>
      <c r="N139">
        <v>0</v>
      </c>
      <c r="O139">
        <v>0</v>
      </c>
      <c r="P139">
        <v>0</v>
      </c>
    </row>
    <row r="140" spans="1:16" x14ac:dyDescent="0.2">
      <c r="A140" t="s">
        <v>370</v>
      </c>
      <c r="B140" t="s">
        <v>371</v>
      </c>
      <c r="C140" t="s">
        <v>307</v>
      </c>
      <c r="D140" t="s">
        <v>98</v>
      </c>
      <c r="E140">
        <v>1199.99</v>
      </c>
      <c r="F140" t="s">
        <v>5817</v>
      </c>
      <c r="L140" t="s">
        <v>5818</v>
      </c>
      <c r="M140">
        <v>0</v>
      </c>
      <c r="N140">
        <v>0</v>
      </c>
      <c r="P140" t="s">
        <v>5824</v>
      </c>
    </row>
    <row r="141" spans="1:16" x14ac:dyDescent="0.2">
      <c r="A141" t="s">
        <v>372</v>
      </c>
      <c r="B141" t="s">
        <v>373</v>
      </c>
      <c r="C141" t="s">
        <v>307</v>
      </c>
      <c r="D141" t="s">
        <v>98</v>
      </c>
      <c r="E141">
        <v>699.99</v>
      </c>
      <c r="F141" t="s">
        <v>5817</v>
      </c>
      <c r="L141" t="s">
        <v>5818</v>
      </c>
      <c r="M141">
        <v>0</v>
      </c>
      <c r="N141">
        <v>0</v>
      </c>
      <c r="P141">
        <v>1</v>
      </c>
    </row>
    <row r="142" spans="1:16" x14ac:dyDescent="0.2">
      <c r="A142" t="s">
        <v>368</v>
      </c>
      <c r="B142" t="s">
        <v>369</v>
      </c>
      <c r="C142" t="s">
        <v>307</v>
      </c>
      <c r="D142" t="s">
        <v>98</v>
      </c>
      <c r="E142">
        <v>1199.99</v>
      </c>
      <c r="F142" t="s">
        <v>5817</v>
      </c>
      <c r="L142" t="s">
        <v>5818</v>
      </c>
      <c r="M142">
        <v>0</v>
      </c>
      <c r="N142">
        <v>0</v>
      </c>
      <c r="O142">
        <v>0</v>
      </c>
      <c r="P142" t="s">
        <v>5819</v>
      </c>
    </row>
    <row r="143" spans="1:16" x14ac:dyDescent="0.2">
      <c r="A143" t="s">
        <v>374</v>
      </c>
      <c r="B143" t="s">
        <v>375</v>
      </c>
      <c r="C143" t="s">
        <v>307</v>
      </c>
      <c r="D143" t="s">
        <v>98</v>
      </c>
      <c r="E143">
        <v>1899.99</v>
      </c>
      <c r="F143" t="s">
        <v>5817</v>
      </c>
      <c r="L143" t="s">
        <v>5818</v>
      </c>
      <c r="M143">
        <v>0</v>
      </c>
      <c r="N143">
        <v>0</v>
      </c>
      <c r="O143">
        <v>0</v>
      </c>
      <c r="P143" t="s">
        <v>5819</v>
      </c>
    </row>
    <row r="144" spans="1:16" x14ac:dyDescent="0.2">
      <c r="A144" t="s">
        <v>336</v>
      </c>
      <c r="B144" t="s">
        <v>337</v>
      </c>
      <c r="C144" t="s">
        <v>307</v>
      </c>
      <c r="D144" t="s">
        <v>105</v>
      </c>
      <c r="E144">
        <v>2899.99</v>
      </c>
      <c r="F144" t="s">
        <v>5817</v>
      </c>
      <c r="G144">
        <v>3</v>
      </c>
      <c r="I144">
        <v>3</v>
      </c>
      <c r="L144" t="s">
        <v>5818</v>
      </c>
      <c r="M144">
        <v>0</v>
      </c>
      <c r="N144">
        <v>0</v>
      </c>
      <c r="P144" t="s">
        <v>5819</v>
      </c>
    </row>
    <row r="145" spans="1:16" x14ac:dyDescent="0.2">
      <c r="A145" t="s">
        <v>354</v>
      </c>
      <c r="B145" t="s">
        <v>355</v>
      </c>
      <c r="C145" t="s">
        <v>307</v>
      </c>
      <c r="D145" t="s">
        <v>98</v>
      </c>
      <c r="E145">
        <v>1999.99</v>
      </c>
      <c r="F145" t="s">
        <v>5817</v>
      </c>
      <c r="L145" t="s">
        <v>5818</v>
      </c>
      <c r="M145">
        <v>0</v>
      </c>
      <c r="N145">
        <v>0</v>
      </c>
      <c r="O145">
        <v>0</v>
      </c>
      <c r="P145" t="s">
        <v>5819</v>
      </c>
    </row>
    <row r="146" spans="1:16" x14ac:dyDescent="0.2">
      <c r="A146" t="s">
        <v>343</v>
      </c>
      <c r="B146" t="s">
        <v>342</v>
      </c>
      <c r="C146" t="s">
        <v>307</v>
      </c>
      <c r="D146" t="s">
        <v>98</v>
      </c>
      <c r="E146">
        <v>3999.99</v>
      </c>
      <c r="F146" t="s">
        <v>5817</v>
      </c>
      <c r="L146" t="s">
        <v>5818</v>
      </c>
      <c r="M146">
        <v>0</v>
      </c>
      <c r="N146">
        <v>0</v>
      </c>
      <c r="O146">
        <v>0</v>
      </c>
      <c r="P146" t="s">
        <v>5819</v>
      </c>
    </row>
    <row r="147" spans="1:16" x14ac:dyDescent="0.2">
      <c r="A147" t="s">
        <v>416</v>
      </c>
      <c r="B147" t="s">
        <v>417</v>
      </c>
      <c r="C147" t="s">
        <v>307</v>
      </c>
      <c r="D147" t="s">
        <v>105</v>
      </c>
      <c r="E147">
        <v>49.99</v>
      </c>
      <c r="F147" t="s">
        <v>5817</v>
      </c>
      <c r="G147">
        <v>5</v>
      </c>
      <c r="I147">
        <v>5</v>
      </c>
      <c r="L147" t="s">
        <v>5818</v>
      </c>
      <c r="M147">
        <v>0</v>
      </c>
      <c r="N147">
        <v>0</v>
      </c>
      <c r="O147">
        <v>0</v>
      </c>
      <c r="P147" t="s">
        <v>5819</v>
      </c>
    </row>
    <row r="148" spans="1:16" x14ac:dyDescent="0.2">
      <c r="A148" t="s">
        <v>422</v>
      </c>
      <c r="B148" t="s">
        <v>423</v>
      </c>
      <c r="C148" t="s">
        <v>307</v>
      </c>
      <c r="D148" t="s">
        <v>98</v>
      </c>
      <c r="E148">
        <v>449</v>
      </c>
      <c r="F148" t="s">
        <v>5817</v>
      </c>
      <c r="L148" t="s">
        <v>5818</v>
      </c>
      <c r="M148">
        <v>0</v>
      </c>
      <c r="N148">
        <v>0</v>
      </c>
      <c r="O148">
        <v>0</v>
      </c>
      <c r="P148" t="s">
        <v>5819</v>
      </c>
    </row>
    <row r="149" spans="1:16" x14ac:dyDescent="0.2">
      <c r="A149" t="s">
        <v>404</v>
      </c>
      <c r="B149" t="s">
        <v>405</v>
      </c>
      <c r="C149" t="s">
        <v>307</v>
      </c>
      <c r="D149" t="s">
        <v>105</v>
      </c>
      <c r="E149">
        <v>1699.99</v>
      </c>
      <c r="F149" t="s">
        <v>5817</v>
      </c>
      <c r="G149">
        <v>26</v>
      </c>
      <c r="I149">
        <v>26</v>
      </c>
      <c r="L149" t="s">
        <v>5818</v>
      </c>
      <c r="M149">
        <v>0</v>
      </c>
      <c r="N149">
        <v>0</v>
      </c>
      <c r="P149">
        <v>6</v>
      </c>
    </row>
    <row r="150" spans="1:16" x14ac:dyDescent="0.2">
      <c r="A150" t="s">
        <v>323</v>
      </c>
      <c r="B150" t="s">
        <v>324</v>
      </c>
      <c r="C150" t="s">
        <v>307</v>
      </c>
      <c r="D150" t="s">
        <v>105</v>
      </c>
      <c r="E150">
        <v>1499.99</v>
      </c>
      <c r="F150" t="s">
        <v>5817</v>
      </c>
      <c r="G150">
        <v>1</v>
      </c>
      <c r="I150">
        <v>1</v>
      </c>
      <c r="L150" t="s">
        <v>5818</v>
      </c>
      <c r="M150">
        <v>0</v>
      </c>
      <c r="N150">
        <v>0</v>
      </c>
      <c r="O150">
        <v>0</v>
      </c>
      <c r="P150" t="s">
        <v>5819</v>
      </c>
    </row>
    <row r="151" spans="1:16" x14ac:dyDescent="0.2">
      <c r="A151" t="s">
        <v>314</v>
      </c>
      <c r="B151" t="s">
        <v>315</v>
      </c>
      <c r="C151" t="s">
        <v>307</v>
      </c>
      <c r="D151" t="s">
        <v>98</v>
      </c>
      <c r="E151">
        <v>1299.99</v>
      </c>
      <c r="F151" t="s">
        <v>5817</v>
      </c>
      <c r="L151" t="s">
        <v>5818</v>
      </c>
      <c r="M151">
        <v>0</v>
      </c>
      <c r="N151">
        <v>0</v>
      </c>
      <c r="O151">
        <v>0</v>
      </c>
      <c r="P151" t="s">
        <v>5819</v>
      </c>
    </row>
    <row r="152" spans="1:16" x14ac:dyDescent="0.2">
      <c r="A152" t="s">
        <v>388</v>
      </c>
      <c r="B152" t="s">
        <v>389</v>
      </c>
      <c r="C152" t="s">
        <v>307</v>
      </c>
      <c r="D152" t="s">
        <v>105</v>
      </c>
      <c r="E152">
        <v>229</v>
      </c>
      <c r="F152" t="s">
        <v>5817</v>
      </c>
      <c r="G152">
        <v>8</v>
      </c>
      <c r="I152">
        <v>8</v>
      </c>
      <c r="L152" t="s">
        <v>5818</v>
      </c>
      <c r="M152">
        <v>0</v>
      </c>
      <c r="N152">
        <v>0</v>
      </c>
      <c r="O152">
        <v>0</v>
      </c>
      <c r="P152" t="s">
        <v>5819</v>
      </c>
    </row>
    <row r="153" spans="1:16" x14ac:dyDescent="0.2">
      <c r="A153" t="s">
        <v>390</v>
      </c>
      <c r="B153" t="s">
        <v>391</v>
      </c>
      <c r="C153" t="s">
        <v>307</v>
      </c>
      <c r="D153" t="s">
        <v>98</v>
      </c>
      <c r="E153">
        <v>289.99</v>
      </c>
      <c r="F153" t="s">
        <v>5817</v>
      </c>
      <c r="L153" t="s">
        <v>5818</v>
      </c>
      <c r="M153">
        <v>0</v>
      </c>
      <c r="N153">
        <v>0</v>
      </c>
      <c r="O153">
        <v>0</v>
      </c>
      <c r="P153" t="s">
        <v>5819</v>
      </c>
    </row>
    <row r="154" spans="1:16" x14ac:dyDescent="0.2">
      <c r="A154" t="s">
        <v>346</v>
      </c>
      <c r="B154" t="s">
        <v>347</v>
      </c>
      <c r="C154" t="s">
        <v>307</v>
      </c>
      <c r="D154" t="s">
        <v>138</v>
      </c>
      <c r="E154">
        <v>419.99</v>
      </c>
      <c r="F154" t="s">
        <v>5817</v>
      </c>
      <c r="G154">
        <v>12</v>
      </c>
      <c r="I154">
        <v>12</v>
      </c>
      <c r="L154" t="s">
        <v>5818</v>
      </c>
      <c r="M154">
        <v>0</v>
      </c>
      <c r="N154">
        <v>0</v>
      </c>
      <c r="O154">
        <v>0</v>
      </c>
      <c r="P154" t="s">
        <v>5819</v>
      </c>
    </row>
    <row r="155" spans="1:16" x14ac:dyDescent="0.2">
      <c r="A155" t="s">
        <v>310</v>
      </c>
      <c r="B155" t="s">
        <v>311</v>
      </c>
      <c r="C155" t="s">
        <v>307</v>
      </c>
      <c r="D155" t="s">
        <v>98</v>
      </c>
      <c r="E155">
        <v>449.99</v>
      </c>
      <c r="F155" t="s">
        <v>5817</v>
      </c>
      <c r="L155" t="s">
        <v>5818</v>
      </c>
      <c r="M155">
        <v>0</v>
      </c>
      <c r="N155">
        <v>0</v>
      </c>
      <c r="O155">
        <v>0</v>
      </c>
      <c r="P155" t="s">
        <v>5819</v>
      </c>
    </row>
    <row r="156" spans="1:16" x14ac:dyDescent="0.2">
      <c r="A156" t="s">
        <v>312</v>
      </c>
      <c r="B156" t="s">
        <v>313</v>
      </c>
      <c r="C156" t="s">
        <v>307</v>
      </c>
      <c r="D156" t="s">
        <v>138</v>
      </c>
      <c r="E156">
        <v>549.99</v>
      </c>
      <c r="F156" t="s">
        <v>5817</v>
      </c>
      <c r="G156">
        <v>13</v>
      </c>
      <c r="I156">
        <v>13</v>
      </c>
      <c r="L156" t="s">
        <v>5818</v>
      </c>
      <c r="M156">
        <v>0</v>
      </c>
      <c r="N156">
        <v>0</v>
      </c>
      <c r="O156">
        <v>0</v>
      </c>
      <c r="P156" t="s">
        <v>5819</v>
      </c>
    </row>
    <row r="157" spans="1:16" x14ac:dyDescent="0.2">
      <c r="A157" t="s">
        <v>318</v>
      </c>
      <c r="B157" t="s">
        <v>317</v>
      </c>
      <c r="C157" t="s">
        <v>307</v>
      </c>
      <c r="D157" t="s">
        <v>98</v>
      </c>
      <c r="E157">
        <v>499.99</v>
      </c>
      <c r="F157" t="s">
        <v>5817</v>
      </c>
      <c r="L157" t="s">
        <v>5818</v>
      </c>
      <c r="M157">
        <v>0</v>
      </c>
      <c r="N157">
        <v>0</v>
      </c>
      <c r="O157">
        <v>0</v>
      </c>
      <c r="P157" t="s">
        <v>5819</v>
      </c>
    </row>
    <row r="158" spans="1:16" x14ac:dyDescent="0.2">
      <c r="A158" t="s">
        <v>319</v>
      </c>
      <c r="B158" t="s">
        <v>320</v>
      </c>
      <c r="C158" t="s">
        <v>307</v>
      </c>
      <c r="D158" t="s">
        <v>138</v>
      </c>
      <c r="E158">
        <v>649.99</v>
      </c>
      <c r="F158" t="s">
        <v>5817</v>
      </c>
      <c r="G158">
        <v>9</v>
      </c>
      <c r="I158">
        <v>9</v>
      </c>
      <c r="L158" t="s">
        <v>5818</v>
      </c>
      <c r="M158">
        <v>0</v>
      </c>
      <c r="N158">
        <v>0</v>
      </c>
      <c r="O158">
        <v>0</v>
      </c>
      <c r="P158" t="s">
        <v>5819</v>
      </c>
    </row>
    <row r="159" spans="1:16" x14ac:dyDescent="0.2">
      <c r="A159" t="s">
        <v>321</v>
      </c>
      <c r="B159" t="s">
        <v>322</v>
      </c>
      <c r="C159" t="s">
        <v>307</v>
      </c>
      <c r="D159" t="s">
        <v>98</v>
      </c>
      <c r="E159">
        <v>849.99</v>
      </c>
      <c r="F159" t="s">
        <v>5817</v>
      </c>
      <c r="L159" t="s">
        <v>5818</v>
      </c>
      <c r="M159">
        <v>0</v>
      </c>
      <c r="N159">
        <v>0</v>
      </c>
      <c r="O159">
        <v>0</v>
      </c>
      <c r="P159" t="s">
        <v>5819</v>
      </c>
    </row>
    <row r="160" spans="1:16" x14ac:dyDescent="0.2">
      <c r="A160" t="s">
        <v>325</v>
      </c>
      <c r="B160" t="s">
        <v>326</v>
      </c>
      <c r="C160" t="s">
        <v>307</v>
      </c>
      <c r="D160" t="s">
        <v>105</v>
      </c>
      <c r="E160">
        <v>849.99</v>
      </c>
      <c r="F160" t="s">
        <v>5817</v>
      </c>
      <c r="G160">
        <v>1</v>
      </c>
      <c r="H160" t="s">
        <v>5823</v>
      </c>
      <c r="L160" t="s">
        <v>5818</v>
      </c>
      <c r="M160">
        <v>0</v>
      </c>
      <c r="N160">
        <v>0</v>
      </c>
      <c r="O160">
        <v>0</v>
      </c>
      <c r="P160" t="s">
        <v>5819</v>
      </c>
    </row>
    <row r="161" spans="1:16" x14ac:dyDescent="0.2">
      <c r="A161" t="s">
        <v>329</v>
      </c>
      <c r="B161" t="s">
        <v>328</v>
      </c>
      <c r="C161" t="s">
        <v>307</v>
      </c>
      <c r="D161" t="s">
        <v>105</v>
      </c>
      <c r="E161">
        <v>1799.99</v>
      </c>
      <c r="F161" t="s">
        <v>5817</v>
      </c>
      <c r="G161">
        <v>1</v>
      </c>
      <c r="I161">
        <v>1</v>
      </c>
      <c r="L161" t="s">
        <v>5818</v>
      </c>
      <c r="M161">
        <v>0</v>
      </c>
      <c r="N161">
        <v>0</v>
      </c>
      <c r="O161">
        <v>0</v>
      </c>
      <c r="P161" t="s">
        <v>5819</v>
      </c>
    </row>
    <row r="162" spans="1:16" x14ac:dyDescent="0.2">
      <c r="A162" t="s">
        <v>330</v>
      </c>
      <c r="B162" t="s">
        <v>331</v>
      </c>
      <c r="C162" t="s">
        <v>307</v>
      </c>
      <c r="D162" t="s">
        <v>98</v>
      </c>
      <c r="E162">
        <v>2099.9899999999998</v>
      </c>
      <c r="F162" t="s">
        <v>5817</v>
      </c>
      <c r="L162" t="s">
        <v>5818</v>
      </c>
      <c r="M162">
        <v>0</v>
      </c>
      <c r="N162">
        <v>0</v>
      </c>
      <c r="O162">
        <v>0</v>
      </c>
      <c r="P162" t="s">
        <v>5819</v>
      </c>
    </row>
    <row r="163" spans="1:16" x14ac:dyDescent="0.2">
      <c r="A163" t="s">
        <v>348</v>
      </c>
      <c r="B163" t="s">
        <v>349</v>
      </c>
      <c r="C163" t="s">
        <v>307</v>
      </c>
      <c r="D163" t="s">
        <v>98</v>
      </c>
      <c r="E163">
        <v>299.99</v>
      </c>
      <c r="F163" t="s">
        <v>5817</v>
      </c>
      <c r="L163" t="s">
        <v>5818</v>
      </c>
      <c r="M163">
        <v>0</v>
      </c>
      <c r="N163">
        <v>0</v>
      </c>
      <c r="O163">
        <v>0</v>
      </c>
      <c r="P163" t="s">
        <v>5819</v>
      </c>
    </row>
    <row r="164" spans="1:16" x14ac:dyDescent="0.2">
      <c r="A164" t="s">
        <v>350</v>
      </c>
      <c r="B164" t="s">
        <v>351</v>
      </c>
      <c r="C164" t="s">
        <v>307</v>
      </c>
      <c r="D164" t="s">
        <v>138</v>
      </c>
      <c r="E164">
        <v>399.99</v>
      </c>
      <c r="F164" t="s">
        <v>5817</v>
      </c>
      <c r="G164">
        <v>2</v>
      </c>
      <c r="H164" t="s">
        <v>5823</v>
      </c>
      <c r="I164">
        <v>1</v>
      </c>
      <c r="L164" t="s">
        <v>5818</v>
      </c>
      <c r="M164">
        <v>0</v>
      </c>
      <c r="N164">
        <v>0</v>
      </c>
      <c r="O164">
        <v>0</v>
      </c>
      <c r="P164" t="s">
        <v>5819</v>
      </c>
    </row>
    <row r="165" spans="1:16" x14ac:dyDescent="0.2">
      <c r="A165" t="s">
        <v>340</v>
      </c>
      <c r="B165" t="s">
        <v>341</v>
      </c>
      <c r="C165" t="s">
        <v>307</v>
      </c>
      <c r="D165" t="s">
        <v>98</v>
      </c>
      <c r="E165">
        <v>3299.99</v>
      </c>
      <c r="F165" t="s">
        <v>5817</v>
      </c>
      <c r="L165" t="s">
        <v>5818</v>
      </c>
      <c r="M165">
        <v>0</v>
      </c>
      <c r="N165">
        <v>0</v>
      </c>
      <c r="O165">
        <v>0</v>
      </c>
      <c r="P165" t="s">
        <v>5819</v>
      </c>
    </row>
    <row r="166" spans="1:16" x14ac:dyDescent="0.2">
      <c r="A166" t="s">
        <v>344</v>
      </c>
      <c r="B166" t="s">
        <v>345</v>
      </c>
      <c r="C166" t="s">
        <v>307</v>
      </c>
      <c r="D166" t="s">
        <v>98</v>
      </c>
      <c r="E166">
        <v>3699.99</v>
      </c>
      <c r="F166" t="s">
        <v>5817</v>
      </c>
      <c r="L166" t="s">
        <v>5818</v>
      </c>
      <c r="M166">
        <v>0</v>
      </c>
      <c r="N166">
        <v>0</v>
      </c>
      <c r="O166">
        <v>0</v>
      </c>
      <c r="P166" t="s">
        <v>5819</v>
      </c>
    </row>
    <row r="167" spans="1:16" x14ac:dyDescent="0.2">
      <c r="A167" t="s">
        <v>424</v>
      </c>
      <c r="B167" t="s">
        <v>425</v>
      </c>
      <c r="C167" t="s">
        <v>307</v>
      </c>
      <c r="D167" t="s">
        <v>98</v>
      </c>
      <c r="E167">
        <v>449</v>
      </c>
      <c r="F167" t="s">
        <v>5817</v>
      </c>
      <c r="L167" t="s">
        <v>5818</v>
      </c>
      <c r="M167">
        <v>0</v>
      </c>
      <c r="N167">
        <v>0</v>
      </c>
      <c r="O167">
        <v>0</v>
      </c>
      <c r="P167" t="s">
        <v>5819</v>
      </c>
    </row>
    <row r="168" spans="1:16" x14ac:dyDescent="0.2">
      <c r="A168" t="s">
        <v>403</v>
      </c>
      <c r="B168" t="s">
        <v>402</v>
      </c>
      <c r="C168" t="s">
        <v>307</v>
      </c>
      <c r="D168" t="s">
        <v>98</v>
      </c>
      <c r="E168">
        <v>1699.99</v>
      </c>
      <c r="F168" t="s">
        <v>5817</v>
      </c>
      <c r="L168" t="s">
        <v>5818</v>
      </c>
      <c r="M168">
        <v>0</v>
      </c>
      <c r="N168">
        <v>0</v>
      </c>
      <c r="P168">
        <v>2</v>
      </c>
    </row>
    <row r="169" spans="1:16" x14ac:dyDescent="0.2">
      <c r="A169" t="s">
        <v>338</v>
      </c>
      <c r="B169" t="s">
        <v>339</v>
      </c>
      <c r="C169" t="s">
        <v>307</v>
      </c>
      <c r="D169" t="s">
        <v>98</v>
      </c>
      <c r="E169">
        <v>2899.99</v>
      </c>
      <c r="F169" t="s">
        <v>5817</v>
      </c>
      <c r="L169" t="s">
        <v>5818</v>
      </c>
      <c r="M169">
        <v>0</v>
      </c>
      <c r="N169">
        <v>0</v>
      </c>
      <c r="O169">
        <v>0</v>
      </c>
      <c r="P169" t="s">
        <v>5819</v>
      </c>
    </row>
    <row r="170" spans="1:16" x14ac:dyDescent="0.2">
      <c r="A170" t="s">
        <v>418</v>
      </c>
      <c r="B170" t="s">
        <v>419</v>
      </c>
      <c r="C170" t="s">
        <v>307</v>
      </c>
      <c r="D170" t="s">
        <v>98</v>
      </c>
      <c r="E170">
        <v>449</v>
      </c>
      <c r="F170" t="s">
        <v>5817</v>
      </c>
      <c r="L170" t="s">
        <v>5818</v>
      </c>
      <c r="M170">
        <v>0</v>
      </c>
      <c r="N170">
        <v>0</v>
      </c>
      <c r="O170">
        <v>0</v>
      </c>
      <c r="P170" t="s">
        <v>5819</v>
      </c>
    </row>
    <row r="171" spans="1:16" x14ac:dyDescent="0.2">
      <c r="A171" t="s">
        <v>420</v>
      </c>
      <c r="B171" t="s">
        <v>421</v>
      </c>
      <c r="C171" t="s">
        <v>307</v>
      </c>
      <c r="D171" t="s">
        <v>98</v>
      </c>
      <c r="E171">
        <v>449</v>
      </c>
      <c r="F171" t="s">
        <v>5817</v>
      </c>
      <c r="L171" t="s">
        <v>5818</v>
      </c>
      <c r="M171">
        <v>0</v>
      </c>
      <c r="N171">
        <v>0</v>
      </c>
      <c r="O171">
        <v>0</v>
      </c>
      <c r="P171" t="s">
        <v>5819</v>
      </c>
    </row>
    <row r="172" spans="1:16" x14ac:dyDescent="0.2">
      <c r="A172" t="s">
        <v>406</v>
      </c>
      <c r="B172" t="s">
        <v>407</v>
      </c>
      <c r="C172" t="s">
        <v>307</v>
      </c>
      <c r="D172" t="s">
        <v>98</v>
      </c>
      <c r="E172">
        <v>1699.99</v>
      </c>
      <c r="F172" t="s">
        <v>5817</v>
      </c>
      <c r="L172" t="s">
        <v>5818</v>
      </c>
      <c r="M172">
        <v>0</v>
      </c>
      <c r="N172">
        <v>0</v>
      </c>
      <c r="O172">
        <v>0</v>
      </c>
      <c r="P172" t="s">
        <v>5819</v>
      </c>
    </row>
    <row r="173" spans="1:16" x14ac:dyDescent="0.2">
      <c r="A173" t="s">
        <v>377</v>
      </c>
      <c r="B173" t="s">
        <v>376</v>
      </c>
      <c r="C173" t="s">
        <v>307</v>
      </c>
      <c r="D173" t="s">
        <v>98</v>
      </c>
      <c r="E173">
        <v>2299.9899999999998</v>
      </c>
      <c r="F173" t="s">
        <v>5817</v>
      </c>
      <c r="L173" t="s">
        <v>5818</v>
      </c>
      <c r="M173">
        <v>0</v>
      </c>
      <c r="N173">
        <v>0</v>
      </c>
      <c r="P173" t="s">
        <v>5819</v>
      </c>
    </row>
    <row r="174" spans="1:16" x14ac:dyDescent="0.2">
      <c r="A174" t="s">
        <v>434</v>
      </c>
      <c r="B174" t="s">
        <v>435</v>
      </c>
      <c r="C174" t="s">
        <v>307</v>
      </c>
      <c r="D174" t="s">
        <v>98</v>
      </c>
      <c r="E174">
        <v>89.99</v>
      </c>
      <c r="F174" t="s">
        <v>5817</v>
      </c>
      <c r="L174" t="s">
        <v>5085</v>
      </c>
      <c r="M174">
        <v>0</v>
      </c>
      <c r="N174">
        <v>0</v>
      </c>
      <c r="O174">
        <v>0</v>
      </c>
      <c r="P174" t="s">
        <v>5819</v>
      </c>
    </row>
    <row r="175" spans="1:16" x14ac:dyDescent="0.2">
      <c r="A175" t="s">
        <v>372</v>
      </c>
      <c r="B175" t="s">
        <v>373</v>
      </c>
      <c r="C175" t="s">
        <v>307</v>
      </c>
      <c r="D175" t="s">
        <v>98</v>
      </c>
      <c r="E175">
        <v>699.99</v>
      </c>
      <c r="F175" t="s">
        <v>5817</v>
      </c>
      <c r="L175" t="s">
        <v>5085</v>
      </c>
      <c r="M175">
        <v>0</v>
      </c>
      <c r="N175">
        <v>0</v>
      </c>
      <c r="O175">
        <v>0</v>
      </c>
      <c r="P175" t="s">
        <v>5819</v>
      </c>
    </row>
    <row r="176" spans="1:16" x14ac:dyDescent="0.2">
      <c r="A176" t="s">
        <v>352</v>
      </c>
      <c r="B176" t="s">
        <v>353</v>
      </c>
      <c r="C176" t="s">
        <v>307</v>
      </c>
      <c r="D176" t="s">
        <v>138</v>
      </c>
      <c r="E176">
        <v>1899.99</v>
      </c>
      <c r="F176" t="s">
        <v>5817</v>
      </c>
      <c r="L176" t="s">
        <v>5085</v>
      </c>
      <c r="M176">
        <v>0</v>
      </c>
      <c r="N176">
        <v>0</v>
      </c>
      <c r="O176">
        <v>0</v>
      </c>
      <c r="P176" t="s">
        <v>5819</v>
      </c>
    </row>
    <row r="177" spans="1:16" x14ac:dyDescent="0.2">
      <c r="A177" t="s">
        <v>352</v>
      </c>
      <c r="B177" t="s">
        <v>353</v>
      </c>
      <c r="C177" t="s">
        <v>307</v>
      </c>
      <c r="D177" t="s">
        <v>138</v>
      </c>
      <c r="E177">
        <v>1899.99</v>
      </c>
      <c r="F177" t="s">
        <v>5817</v>
      </c>
      <c r="L177" t="s">
        <v>5085</v>
      </c>
      <c r="M177">
        <v>0</v>
      </c>
      <c r="N177">
        <v>0</v>
      </c>
      <c r="O177">
        <v>0</v>
      </c>
      <c r="P177" t="s">
        <v>5819</v>
      </c>
    </row>
    <row r="178" spans="1:16" x14ac:dyDescent="0.2">
      <c r="A178" t="s">
        <v>368</v>
      </c>
      <c r="B178" t="s">
        <v>369</v>
      </c>
      <c r="C178" t="s">
        <v>307</v>
      </c>
      <c r="D178" t="s">
        <v>98</v>
      </c>
      <c r="E178">
        <v>1199.99</v>
      </c>
      <c r="F178" t="s">
        <v>5817</v>
      </c>
      <c r="L178" t="s">
        <v>5085</v>
      </c>
      <c r="M178">
        <v>0</v>
      </c>
      <c r="N178">
        <v>0</v>
      </c>
      <c r="O178">
        <v>0</v>
      </c>
      <c r="P178" t="s">
        <v>5819</v>
      </c>
    </row>
    <row r="179" spans="1:16" x14ac:dyDescent="0.2">
      <c r="A179" t="s">
        <v>336</v>
      </c>
      <c r="B179" t="s">
        <v>337</v>
      </c>
      <c r="C179" t="s">
        <v>307</v>
      </c>
      <c r="D179" t="s">
        <v>105</v>
      </c>
      <c r="E179">
        <v>2899.99</v>
      </c>
      <c r="F179" t="s">
        <v>5817</v>
      </c>
      <c r="G179">
        <v>3</v>
      </c>
      <c r="I179">
        <v>3</v>
      </c>
      <c r="L179" t="s">
        <v>5085</v>
      </c>
      <c r="M179">
        <v>0</v>
      </c>
      <c r="N179">
        <v>0</v>
      </c>
      <c r="O179">
        <v>0.16666666666666666</v>
      </c>
      <c r="P179" t="s">
        <v>5819</v>
      </c>
    </row>
    <row r="180" spans="1:16" x14ac:dyDescent="0.2">
      <c r="A180" t="s">
        <v>356</v>
      </c>
      <c r="B180" t="s">
        <v>357</v>
      </c>
      <c r="C180" t="s">
        <v>307</v>
      </c>
      <c r="D180" t="s">
        <v>105</v>
      </c>
      <c r="E180">
        <v>9999.99</v>
      </c>
      <c r="F180" t="s">
        <v>5817</v>
      </c>
      <c r="L180" t="s">
        <v>5085</v>
      </c>
      <c r="M180">
        <v>0</v>
      </c>
      <c r="N180">
        <v>0</v>
      </c>
      <c r="O180">
        <v>0</v>
      </c>
      <c r="P180" t="s">
        <v>5819</v>
      </c>
    </row>
    <row r="181" spans="1:16" x14ac:dyDescent="0.2">
      <c r="A181" t="s">
        <v>374</v>
      </c>
      <c r="B181" t="s">
        <v>375</v>
      </c>
      <c r="C181" t="s">
        <v>307</v>
      </c>
      <c r="D181" t="s">
        <v>98</v>
      </c>
      <c r="E181">
        <v>1899.99</v>
      </c>
      <c r="F181" t="s">
        <v>5817</v>
      </c>
      <c r="L181" t="s">
        <v>5085</v>
      </c>
      <c r="M181">
        <v>0</v>
      </c>
      <c r="N181">
        <v>0</v>
      </c>
      <c r="O181">
        <v>0</v>
      </c>
      <c r="P181" t="s">
        <v>5819</v>
      </c>
    </row>
    <row r="182" spans="1:16" x14ac:dyDescent="0.2">
      <c r="A182" t="s">
        <v>384</v>
      </c>
      <c r="B182" t="s">
        <v>385</v>
      </c>
      <c r="C182" t="s">
        <v>307</v>
      </c>
      <c r="D182" t="s">
        <v>105</v>
      </c>
      <c r="E182">
        <v>339</v>
      </c>
      <c r="F182" t="s">
        <v>5817</v>
      </c>
      <c r="G182">
        <v>3</v>
      </c>
      <c r="I182">
        <v>3</v>
      </c>
      <c r="L182" t="s">
        <v>5085</v>
      </c>
      <c r="M182">
        <v>0</v>
      </c>
      <c r="N182">
        <v>0</v>
      </c>
      <c r="O182">
        <v>0.66666666666666674</v>
      </c>
      <c r="P182">
        <v>4</v>
      </c>
    </row>
    <row r="183" spans="1:16" x14ac:dyDescent="0.2">
      <c r="A183" t="s">
        <v>354</v>
      </c>
      <c r="B183" t="s">
        <v>355</v>
      </c>
      <c r="C183" t="s">
        <v>307</v>
      </c>
      <c r="D183" t="s">
        <v>98</v>
      </c>
      <c r="E183">
        <v>1999.99</v>
      </c>
      <c r="F183" t="s">
        <v>5817</v>
      </c>
      <c r="L183" t="s">
        <v>5085</v>
      </c>
      <c r="M183">
        <v>0</v>
      </c>
      <c r="N183">
        <v>0</v>
      </c>
      <c r="O183">
        <v>0</v>
      </c>
      <c r="P183" t="s">
        <v>5819</v>
      </c>
    </row>
    <row r="184" spans="1:16" x14ac:dyDescent="0.2">
      <c r="A184" t="s">
        <v>370</v>
      </c>
      <c r="B184" t="s">
        <v>371</v>
      </c>
      <c r="C184" t="s">
        <v>307</v>
      </c>
      <c r="D184" t="s">
        <v>98</v>
      </c>
      <c r="E184">
        <v>1199.99</v>
      </c>
      <c r="F184" t="s">
        <v>5817</v>
      </c>
      <c r="L184" t="s">
        <v>5085</v>
      </c>
      <c r="M184">
        <v>0</v>
      </c>
      <c r="N184">
        <v>0</v>
      </c>
      <c r="O184">
        <v>0</v>
      </c>
      <c r="P184" t="s">
        <v>5819</v>
      </c>
    </row>
    <row r="185" spans="1:16" x14ac:dyDescent="0.2">
      <c r="A185" t="s">
        <v>400</v>
      </c>
      <c r="B185" t="s">
        <v>401</v>
      </c>
      <c r="C185" t="s">
        <v>307</v>
      </c>
      <c r="D185" t="s">
        <v>138</v>
      </c>
      <c r="E185">
        <v>79.989999999999995</v>
      </c>
      <c r="F185" t="s">
        <v>5817</v>
      </c>
      <c r="G185">
        <v>5</v>
      </c>
      <c r="I185">
        <v>5</v>
      </c>
      <c r="L185" t="s">
        <v>5085</v>
      </c>
      <c r="M185">
        <v>0</v>
      </c>
      <c r="N185">
        <v>0</v>
      </c>
      <c r="O185">
        <v>0</v>
      </c>
      <c r="P185" t="s">
        <v>5819</v>
      </c>
    </row>
    <row r="186" spans="1:16" x14ac:dyDescent="0.2">
      <c r="A186" t="s">
        <v>319</v>
      </c>
      <c r="B186" t="s">
        <v>320</v>
      </c>
      <c r="C186" t="s">
        <v>307</v>
      </c>
      <c r="D186" t="s">
        <v>138</v>
      </c>
      <c r="E186">
        <v>649.99</v>
      </c>
      <c r="F186" t="s">
        <v>5817</v>
      </c>
      <c r="G186">
        <v>9</v>
      </c>
      <c r="I186">
        <v>9</v>
      </c>
      <c r="L186" t="s">
        <v>5085</v>
      </c>
      <c r="M186">
        <v>0</v>
      </c>
      <c r="N186">
        <v>0</v>
      </c>
      <c r="O186">
        <v>8.3333333333333329E-2</v>
      </c>
      <c r="P186" t="s">
        <v>5819</v>
      </c>
    </row>
    <row r="187" spans="1:16" x14ac:dyDescent="0.2">
      <c r="A187" t="s">
        <v>408</v>
      </c>
      <c r="B187" t="s">
        <v>409</v>
      </c>
      <c r="C187" t="s">
        <v>307</v>
      </c>
      <c r="D187" t="s">
        <v>105</v>
      </c>
      <c r="E187">
        <v>1999</v>
      </c>
      <c r="F187" t="s">
        <v>5817</v>
      </c>
      <c r="L187" t="s">
        <v>5085</v>
      </c>
      <c r="M187">
        <v>0</v>
      </c>
      <c r="N187">
        <v>0</v>
      </c>
      <c r="O187">
        <v>0</v>
      </c>
      <c r="P187" t="s">
        <v>5819</v>
      </c>
    </row>
    <row r="188" spans="1:16" x14ac:dyDescent="0.2">
      <c r="A188" t="s">
        <v>412</v>
      </c>
      <c r="B188" t="s">
        <v>413</v>
      </c>
      <c r="C188" t="s">
        <v>307</v>
      </c>
      <c r="D188" t="s">
        <v>105</v>
      </c>
      <c r="E188">
        <v>1599.99</v>
      </c>
      <c r="F188" t="s">
        <v>5817</v>
      </c>
      <c r="G188">
        <v>1</v>
      </c>
      <c r="I188">
        <v>1</v>
      </c>
      <c r="L188" t="s">
        <v>5085</v>
      </c>
      <c r="M188">
        <v>0</v>
      </c>
      <c r="N188">
        <v>0</v>
      </c>
      <c r="O188">
        <v>0</v>
      </c>
      <c r="P188" t="s">
        <v>5819</v>
      </c>
    </row>
    <row r="189" spans="1:16" x14ac:dyDescent="0.2">
      <c r="A189" t="s">
        <v>414</v>
      </c>
      <c r="B189" t="s">
        <v>415</v>
      </c>
      <c r="C189" t="s">
        <v>307</v>
      </c>
      <c r="D189" t="s">
        <v>105</v>
      </c>
      <c r="E189">
        <v>1899.99</v>
      </c>
      <c r="F189" t="s">
        <v>5817</v>
      </c>
      <c r="G189">
        <v>3</v>
      </c>
      <c r="I189">
        <v>3</v>
      </c>
      <c r="L189" t="s">
        <v>5085</v>
      </c>
      <c r="M189">
        <v>0</v>
      </c>
      <c r="N189">
        <v>0</v>
      </c>
      <c r="O189">
        <v>0</v>
      </c>
      <c r="P189" t="s">
        <v>5819</v>
      </c>
    </row>
    <row r="190" spans="1:16" x14ac:dyDescent="0.2">
      <c r="A190" t="s">
        <v>392</v>
      </c>
      <c r="B190" t="s">
        <v>393</v>
      </c>
      <c r="C190" t="s">
        <v>307</v>
      </c>
      <c r="D190" t="s">
        <v>98</v>
      </c>
      <c r="E190">
        <v>179.99</v>
      </c>
      <c r="F190" t="s">
        <v>5817</v>
      </c>
      <c r="L190" t="s">
        <v>5085</v>
      </c>
      <c r="M190">
        <v>0</v>
      </c>
      <c r="N190">
        <v>0</v>
      </c>
      <c r="O190">
        <v>0</v>
      </c>
      <c r="P190" t="s">
        <v>5819</v>
      </c>
    </row>
    <row r="191" spans="1:16" x14ac:dyDescent="0.2">
      <c r="A191" t="s">
        <v>318</v>
      </c>
      <c r="B191" t="s">
        <v>317</v>
      </c>
      <c r="C191" t="s">
        <v>307</v>
      </c>
      <c r="D191" t="s">
        <v>98</v>
      </c>
      <c r="E191">
        <v>499.99</v>
      </c>
      <c r="F191" t="s">
        <v>5817</v>
      </c>
      <c r="L191" t="s">
        <v>5085</v>
      </c>
      <c r="M191">
        <v>0</v>
      </c>
      <c r="N191">
        <v>0</v>
      </c>
      <c r="O191">
        <v>0</v>
      </c>
      <c r="P191" t="s">
        <v>5819</v>
      </c>
    </row>
    <row r="192" spans="1:16" x14ac:dyDescent="0.2">
      <c r="A192" t="s">
        <v>394</v>
      </c>
      <c r="B192" t="s">
        <v>5825</v>
      </c>
      <c r="C192" t="s">
        <v>307</v>
      </c>
      <c r="D192" t="s">
        <v>105</v>
      </c>
      <c r="E192">
        <v>999.99</v>
      </c>
      <c r="F192" t="s">
        <v>5817</v>
      </c>
      <c r="L192" t="s">
        <v>5085</v>
      </c>
      <c r="M192">
        <v>0</v>
      </c>
      <c r="N192">
        <v>0</v>
      </c>
      <c r="O192">
        <v>0</v>
      </c>
      <c r="P192" t="s">
        <v>5819</v>
      </c>
    </row>
    <row r="193" spans="1:16" x14ac:dyDescent="0.2">
      <c r="A193" t="s">
        <v>396</v>
      </c>
      <c r="B193" t="s">
        <v>5826</v>
      </c>
      <c r="C193" t="s">
        <v>307</v>
      </c>
      <c r="D193" t="s">
        <v>98</v>
      </c>
      <c r="E193">
        <v>1799.99</v>
      </c>
      <c r="F193" t="s">
        <v>5817</v>
      </c>
      <c r="L193" t="s">
        <v>5085</v>
      </c>
      <c r="M193">
        <v>0</v>
      </c>
      <c r="N193">
        <v>0</v>
      </c>
      <c r="O193">
        <v>0</v>
      </c>
      <c r="P193" t="s">
        <v>5819</v>
      </c>
    </row>
    <row r="194" spans="1:16" x14ac:dyDescent="0.2">
      <c r="A194" t="s">
        <v>312</v>
      </c>
      <c r="B194" t="s">
        <v>313</v>
      </c>
      <c r="C194" t="s">
        <v>307</v>
      </c>
      <c r="D194" t="s">
        <v>138</v>
      </c>
      <c r="E194">
        <v>549.99</v>
      </c>
      <c r="F194" t="s">
        <v>5817</v>
      </c>
      <c r="G194">
        <v>13</v>
      </c>
      <c r="I194">
        <v>13</v>
      </c>
      <c r="L194" t="s">
        <v>5085</v>
      </c>
      <c r="M194">
        <v>0</v>
      </c>
      <c r="N194">
        <v>0</v>
      </c>
      <c r="O194">
        <v>0</v>
      </c>
      <c r="P194" t="s">
        <v>5819</v>
      </c>
    </row>
    <row r="195" spans="1:16" x14ac:dyDescent="0.2">
      <c r="A195" t="s">
        <v>422</v>
      </c>
      <c r="B195" t="s">
        <v>423</v>
      </c>
      <c r="C195" t="s">
        <v>307</v>
      </c>
      <c r="D195" t="s">
        <v>98</v>
      </c>
      <c r="E195">
        <v>449</v>
      </c>
      <c r="F195" t="s">
        <v>5817</v>
      </c>
      <c r="L195" t="s">
        <v>5085</v>
      </c>
      <c r="M195">
        <v>0</v>
      </c>
      <c r="N195">
        <v>0</v>
      </c>
      <c r="O195">
        <v>0</v>
      </c>
      <c r="P195" t="s">
        <v>5819</v>
      </c>
    </row>
    <row r="196" spans="1:16" x14ac:dyDescent="0.2">
      <c r="A196" t="s">
        <v>382</v>
      </c>
      <c r="B196" t="s">
        <v>383</v>
      </c>
      <c r="C196" t="s">
        <v>307</v>
      </c>
      <c r="D196" t="s">
        <v>98</v>
      </c>
      <c r="E196">
        <v>9999.99</v>
      </c>
      <c r="F196" t="s">
        <v>5817</v>
      </c>
      <c r="L196" t="s">
        <v>5085</v>
      </c>
      <c r="M196">
        <v>0</v>
      </c>
      <c r="N196">
        <v>0</v>
      </c>
      <c r="O196">
        <v>0</v>
      </c>
      <c r="P196" t="s">
        <v>5819</v>
      </c>
    </row>
    <row r="197" spans="1:16" x14ac:dyDescent="0.2">
      <c r="A197" t="s">
        <v>321</v>
      </c>
      <c r="B197" t="s">
        <v>322</v>
      </c>
      <c r="C197" t="s">
        <v>307</v>
      </c>
      <c r="D197" t="s">
        <v>98</v>
      </c>
      <c r="E197">
        <v>849.99</v>
      </c>
      <c r="F197" t="s">
        <v>5817</v>
      </c>
      <c r="L197" t="s">
        <v>5085</v>
      </c>
      <c r="M197">
        <v>0</v>
      </c>
      <c r="N197">
        <v>0</v>
      </c>
      <c r="O197">
        <v>0</v>
      </c>
      <c r="P197" t="s">
        <v>5819</v>
      </c>
    </row>
    <row r="198" spans="1:16" x14ac:dyDescent="0.2">
      <c r="A198" t="s">
        <v>380</v>
      </c>
      <c r="B198" t="s">
        <v>381</v>
      </c>
      <c r="C198" t="s">
        <v>307</v>
      </c>
      <c r="D198" t="s">
        <v>98</v>
      </c>
      <c r="E198">
        <v>6999.99</v>
      </c>
      <c r="F198" t="s">
        <v>5817</v>
      </c>
      <c r="L198" t="s">
        <v>5085</v>
      </c>
      <c r="M198">
        <v>0</v>
      </c>
      <c r="N198">
        <v>0</v>
      </c>
      <c r="O198">
        <v>0</v>
      </c>
      <c r="P198" t="s">
        <v>5819</v>
      </c>
    </row>
    <row r="199" spans="1:16" x14ac:dyDescent="0.2">
      <c r="A199" t="s">
        <v>358</v>
      </c>
      <c r="B199" t="s">
        <v>359</v>
      </c>
      <c r="C199" t="s">
        <v>307</v>
      </c>
      <c r="D199" t="s">
        <v>105</v>
      </c>
      <c r="E199">
        <v>5699.99</v>
      </c>
      <c r="F199" t="s">
        <v>5817</v>
      </c>
      <c r="L199" t="s">
        <v>5085</v>
      </c>
      <c r="M199">
        <v>0</v>
      </c>
      <c r="N199">
        <v>0</v>
      </c>
      <c r="O199">
        <v>0</v>
      </c>
      <c r="P199" t="s">
        <v>5819</v>
      </c>
    </row>
    <row r="200" spans="1:16" x14ac:dyDescent="0.2">
      <c r="A200" t="s">
        <v>350</v>
      </c>
      <c r="B200" t="s">
        <v>351</v>
      </c>
      <c r="C200" t="s">
        <v>307</v>
      </c>
      <c r="D200" t="s">
        <v>138</v>
      </c>
      <c r="E200">
        <v>399.99</v>
      </c>
      <c r="F200" t="s">
        <v>5817</v>
      </c>
      <c r="G200">
        <v>2</v>
      </c>
      <c r="H200" t="s">
        <v>5823</v>
      </c>
      <c r="I200">
        <v>1</v>
      </c>
      <c r="L200" t="s">
        <v>5085</v>
      </c>
      <c r="M200">
        <v>0</v>
      </c>
      <c r="N200">
        <v>0</v>
      </c>
      <c r="O200">
        <v>0</v>
      </c>
      <c r="P200" t="s">
        <v>5819</v>
      </c>
    </row>
    <row r="201" spans="1:16" x14ac:dyDescent="0.2">
      <c r="A201" t="s">
        <v>314</v>
      </c>
      <c r="B201" t="s">
        <v>315</v>
      </c>
      <c r="C201" t="s">
        <v>307</v>
      </c>
      <c r="D201" t="s">
        <v>98</v>
      </c>
      <c r="E201">
        <v>1299.99</v>
      </c>
      <c r="F201" t="s">
        <v>5817</v>
      </c>
      <c r="L201" t="s">
        <v>5085</v>
      </c>
      <c r="M201">
        <v>0</v>
      </c>
      <c r="N201">
        <v>0</v>
      </c>
      <c r="O201">
        <v>0</v>
      </c>
      <c r="P201" t="s">
        <v>5819</v>
      </c>
    </row>
    <row r="202" spans="1:16" x14ac:dyDescent="0.2">
      <c r="A202" t="s">
        <v>348</v>
      </c>
      <c r="B202" t="s">
        <v>349</v>
      </c>
      <c r="C202" t="s">
        <v>307</v>
      </c>
      <c r="D202" t="s">
        <v>98</v>
      </c>
      <c r="E202">
        <v>299.99</v>
      </c>
      <c r="F202" t="s">
        <v>5817</v>
      </c>
      <c r="L202" t="s">
        <v>5085</v>
      </c>
      <c r="M202">
        <v>0</v>
      </c>
      <c r="N202">
        <v>0</v>
      </c>
      <c r="O202">
        <v>0.16666666666666666</v>
      </c>
      <c r="P202" t="s">
        <v>5819</v>
      </c>
    </row>
    <row r="203" spans="1:16" x14ac:dyDescent="0.2">
      <c r="A203" t="s">
        <v>323</v>
      </c>
      <c r="B203" t="s">
        <v>324</v>
      </c>
      <c r="C203" t="s">
        <v>307</v>
      </c>
      <c r="D203" t="s">
        <v>105</v>
      </c>
      <c r="E203">
        <v>1499.99</v>
      </c>
      <c r="F203" t="s">
        <v>5817</v>
      </c>
      <c r="G203">
        <v>1</v>
      </c>
      <c r="I203">
        <v>1</v>
      </c>
      <c r="L203" t="s">
        <v>5085</v>
      </c>
      <c r="M203">
        <v>0</v>
      </c>
      <c r="N203">
        <v>0</v>
      </c>
      <c r="O203">
        <v>0</v>
      </c>
      <c r="P203" t="s">
        <v>5819</v>
      </c>
    </row>
    <row r="204" spans="1:16" x14ac:dyDescent="0.2">
      <c r="A204" t="s">
        <v>330</v>
      </c>
      <c r="B204" t="s">
        <v>331</v>
      </c>
      <c r="C204" t="s">
        <v>307</v>
      </c>
      <c r="D204" t="s">
        <v>98</v>
      </c>
      <c r="E204">
        <v>2099.9899999999998</v>
      </c>
      <c r="F204" t="s">
        <v>5817</v>
      </c>
      <c r="L204" t="s">
        <v>5085</v>
      </c>
      <c r="M204">
        <v>0</v>
      </c>
      <c r="N204">
        <v>0</v>
      </c>
      <c r="O204">
        <v>0</v>
      </c>
      <c r="P204" t="s">
        <v>5819</v>
      </c>
    </row>
    <row r="205" spans="1:16" x14ac:dyDescent="0.2">
      <c r="A205" t="s">
        <v>329</v>
      </c>
      <c r="B205" t="s">
        <v>328</v>
      </c>
      <c r="C205" t="s">
        <v>307</v>
      </c>
      <c r="D205" t="s">
        <v>105</v>
      </c>
      <c r="E205">
        <v>1799.99</v>
      </c>
      <c r="F205" t="s">
        <v>5817</v>
      </c>
      <c r="G205">
        <v>1</v>
      </c>
      <c r="I205">
        <v>1</v>
      </c>
      <c r="L205" t="s">
        <v>5085</v>
      </c>
      <c r="M205">
        <v>0</v>
      </c>
      <c r="N205">
        <v>0</v>
      </c>
      <c r="O205">
        <v>0</v>
      </c>
      <c r="P205" t="s">
        <v>5819</v>
      </c>
    </row>
    <row r="206" spans="1:16" x14ac:dyDescent="0.2">
      <c r="A206" t="s">
        <v>325</v>
      </c>
      <c r="B206" t="s">
        <v>326</v>
      </c>
      <c r="C206" t="s">
        <v>307</v>
      </c>
      <c r="D206" t="s">
        <v>105</v>
      </c>
      <c r="E206">
        <v>849.99</v>
      </c>
      <c r="F206" t="s">
        <v>5817</v>
      </c>
      <c r="G206">
        <v>1</v>
      </c>
      <c r="H206" t="s">
        <v>5823</v>
      </c>
      <c r="L206" t="s">
        <v>5085</v>
      </c>
      <c r="M206">
        <v>0</v>
      </c>
      <c r="N206">
        <v>0</v>
      </c>
      <c r="O206">
        <v>0.16666666666666666</v>
      </c>
      <c r="P206" t="s">
        <v>5819</v>
      </c>
    </row>
    <row r="207" spans="1:16" x14ac:dyDescent="0.2">
      <c r="A207" t="s">
        <v>378</v>
      </c>
      <c r="B207" t="s">
        <v>379</v>
      </c>
      <c r="C207" t="s">
        <v>307</v>
      </c>
      <c r="D207" t="s">
        <v>138</v>
      </c>
      <c r="E207">
        <v>4999.99</v>
      </c>
      <c r="F207" t="s">
        <v>5817</v>
      </c>
      <c r="G207">
        <v>5</v>
      </c>
      <c r="I207">
        <v>5</v>
      </c>
      <c r="L207" t="s">
        <v>5085</v>
      </c>
      <c r="M207">
        <v>0</v>
      </c>
      <c r="N207">
        <v>0</v>
      </c>
      <c r="O207">
        <v>0</v>
      </c>
      <c r="P207" t="s">
        <v>5819</v>
      </c>
    </row>
    <row r="208" spans="1:16" x14ac:dyDescent="0.2">
      <c r="A208" t="s">
        <v>310</v>
      </c>
      <c r="B208" t="s">
        <v>311</v>
      </c>
      <c r="C208" t="s">
        <v>307</v>
      </c>
      <c r="D208" t="s">
        <v>98</v>
      </c>
      <c r="E208">
        <v>449.99</v>
      </c>
      <c r="F208" t="s">
        <v>5817</v>
      </c>
      <c r="L208" t="s">
        <v>5085</v>
      </c>
      <c r="M208">
        <v>0</v>
      </c>
      <c r="N208">
        <v>0</v>
      </c>
      <c r="O208">
        <v>0</v>
      </c>
      <c r="P208" t="s">
        <v>5819</v>
      </c>
    </row>
    <row r="209" spans="1:16" x14ac:dyDescent="0.2">
      <c r="A209" t="s">
        <v>404</v>
      </c>
      <c r="B209" t="s">
        <v>405</v>
      </c>
      <c r="C209" t="s">
        <v>307</v>
      </c>
      <c r="D209" t="s">
        <v>105</v>
      </c>
      <c r="E209">
        <v>1699.99</v>
      </c>
      <c r="F209" t="s">
        <v>5817</v>
      </c>
      <c r="G209">
        <v>26</v>
      </c>
      <c r="I209">
        <v>26</v>
      </c>
      <c r="L209" t="s">
        <v>5085</v>
      </c>
      <c r="M209">
        <v>0</v>
      </c>
      <c r="N209">
        <v>0</v>
      </c>
      <c r="O209">
        <v>0</v>
      </c>
      <c r="P209" t="s">
        <v>5819</v>
      </c>
    </row>
    <row r="210" spans="1:16" x14ac:dyDescent="0.2">
      <c r="A210" t="s">
        <v>410</v>
      </c>
      <c r="B210" t="s">
        <v>411</v>
      </c>
      <c r="C210" t="s">
        <v>307</v>
      </c>
      <c r="D210" t="s">
        <v>98</v>
      </c>
      <c r="E210">
        <v>199.99</v>
      </c>
      <c r="F210" t="s">
        <v>5817</v>
      </c>
      <c r="L210" t="s">
        <v>5085</v>
      </c>
      <c r="M210">
        <v>0</v>
      </c>
      <c r="N210">
        <v>0</v>
      </c>
      <c r="O210">
        <v>0</v>
      </c>
      <c r="P210" t="s">
        <v>5819</v>
      </c>
    </row>
    <row r="211" spans="1:16" x14ac:dyDescent="0.2">
      <c r="A211" t="s">
        <v>360</v>
      </c>
      <c r="B211" t="s">
        <v>361</v>
      </c>
      <c r="C211" t="s">
        <v>307</v>
      </c>
      <c r="D211" t="s">
        <v>138</v>
      </c>
      <c r="E211">
        <v>899.99</v>
      </c>
      <c r="F211" t="s">
        <v>5817</v>
      </c>
      <c r="G211">
        <v>2</v>
      </c>
      <c r="I211">
        <v>2</v>
      </c>
      <c r="L211" t="s">
        <v>5085</v>
      </c>
      <c r="M211">
        <v>0</v>
      </c>
      <c r="N211">
        <v>0</v>
      </c>
      <c r="O211">
        <v>0</v>
      </c>
      <c r="P211" t="s">
        <v>5819</v>
      </c>
    </row>
    <row r="212" spans="1:16" x14ac:dyDescent="0.2">
      <c r="A212" t="s">
        <v>416</v>
      </c>
      <c r="B212" t="s">
        <v>417</v>
      </c>
      <c r="C212" t="s">
        <v>307</v>
      </c>
      <c r="D212" t="s">
        <v>105</v>
      </c>
      <c r="E212">
        <v>49.99</v>
      </c>
      <c r="F212" t="s">
        <v>5817</v>
      </c>
      <c r="G212">
        <v>5</v>
      </c>
      <c r="I212">
        <v>5</v>
      </c>
      <c r="L212" t="s">
        <v>5085</v>
      </c>
      <c r="M212">
        <v>0</v>
      </c>
      <c r="N212">
        <v>0</v>
      </c>
      <c r="O212">
        <v>0</v>
      </c>
      <c r="P212" t="s">
        <v>5819</v>
      </c>
    </row>
    <row r="213" spans="1:16" x14ac:dyDescent="0.2">
      <c r="A213" t="s">
        <v>343</v>
      </c>
      <c r="B213" t="s">
        <v>342</v>
      </c>
      <c r="C213" t="s">
        <v>307</v>
      </c>
      <c r="D213" t="s">
        <v>98</v>
      </c>
      <c r="E213">
        <v>3999.99</v>
      </c>
      <c r="F213" t="s">
        <v>5817</v>
      </c>
      <c r="L213" t="s">
        <v>5085</v>
      </c>
      <c r="M213">
        <v>0</v>
      </c>
      <c r="N213">
        <v>0</v>
      </c>
      <c r="O213">
        <v>0</v>
      </c>
      <c r="P213" t="s">
        <v>5819</v>
      </c>
    </row>
    <row r="214" spans="1:16" x14ac:dyDescent="0.2">
      <c r="A214" t="s">
        <v>346</v>
      </c>
      <c r="B214" t="s">
        <v>347</v>
      </c>
      <c r="C214" t="s">
        <v>307</v>
      </c>
      <c r="D214" t="s">
        <v>138</v>
      </c>
      <c r="E214">
        <v>419.99</v>
      </c>
      <c r="F214" t="s">
        <v>5817</v>
      </c>
      <c r="G214">
        <v>12</v>
      </c>
      <c r="I214">
        <v>12</v>
      </c>
      <c r="L214" t="s">
        <v>5085</v>
      </c>
      <c r="M214">
        <v>0</v>
      </c>
      <c r="N214">
        <v>0</v>
      </c>
      <c r="O214">
        <v>0</v>
      </c>
      <c r="P214" t="s">
        <v>5819</v>
      </c>
    </row>
    <row r="215" spans="1:16" x14ac:dyDescent="0.2">
      <c r="A215" t="s">
        <v>364</v>
      </c>
      <c r="B215" t="s">
        <v>365</v>
      </c>
      <c r="C215" t="s">
        <v>307</v>
      </c>
      <c r="D215" t="s">
        <v>138</v>
      </c>
      <c r="E215">
        <v>1199.99</v>
      </c>
      <c r="F215" t="s">
        <v>5817</v>
      </c>
      <c r="G215">
        <v>3</v>
      </c>
      <c r="I215">
        <v>3</v>
      </c>
      <c r="L215" t="s">
        <v>5085</v>
      </c>
      <c r="M215">
        <v>0</v>
      </c>
      <c r="N215">
        <v>0</v>
      </c>
      <c r="O215">
        <v>0</v>
      </c>
      <c r="P215" t="s">
        <v>5819</v>
      </c>
    </row>
    <row r="216" spans="1:16" x14ac:dyDescent="0.2">
      <c r="A216" t="s">
        <v>366</v>
      </c>
      <c r="B216" t="s">
        <v>367</v>
      </c>
      <c r="C216" t="s">
        <v>307</v>
      </c>
      <c r="D216" t="s">
        <v>138</v>
      </c>
      <c r="E216">
        <v>799.99</v>
      </c>
      <c r="F216" t="s">
        <v>5817</v>
      </c>
      <c r="G216">
        <v>2</v>
      </c>
      <c r="I216">
        <v>2</v>
      </c>
      <c r="L216" t="s">
        <v>5085</v>
      </c>
      <c r="M216">
        <v>0</v>
      </c>
      <c r="N216">
        <v>0</v>
      </c>
      <c r="O216">
        <v>0</v>
      </c>
      <c r="P216" t="s">
        <v>5819</v>
      </c>
    </row>
    <row r="217" spans="1:16" x14ac:dyDescent="0.2">
      <c r="A217" t="s">
        <v>390</v>
      </c>
      <c r="B217" t="s">
        <v>391</v>
      </c>
      <c r="C217" t="s">
        <v>307</v>
      </c>
      <c r="D217" t="s">
        <v>98</v>
      </c>
      <c r="E217">
        <v>289.99</v>
      </c>
      <c r="F217" t="s">
        <v>5817</v>
      </c>
      <c r="L217" t="s">
        <v>5085</v>
      </c>
      <c r="M217">
        <v>0</v>
      </c>
      <c r="N217">
        <v>0</v>
      </c>
      <c r="O217">
        <v>0.33333333333333337</v>
      </c>
      <c r="P217" t="s">
        <v>5819</v>
      </c>
    </row>
    <row r="218" spans="1:16" x14ac:dyDescent="0.2">
      <c r="A218" t="s">
        <v>430</v>
      </c>
      <c r="B218" t="s">
        <v>431</v>
      </c>
      <c r="C218" t="s">
        <v>307</v>
      </c>
      <c r="D218" t="s">
        <v>105</v>
      </c>
      <c r="E218">
        <v>469.99</v>
      </c>
      <c r="F218" t="s">
        <v>5817</v>
      </c>
      <c r="G218">
        <v>3</v>
      </c>
      <c r="I218">
        <v>3</v>
      </c>
      <c r="L218" t="s">
        <v>5085</v>
      </c>
      <c r="M218">
        <v>0</v>
      </c>
      <c r="N218">
        <v>0</v>
      </c>
      <c r="O218">
        <v>0</v>
      </c>
      <c r="P218" t="s">
        <v>5819</v>
      </c>
    </row>
    <row r="219" spans="1:16" x14ac:dyDescent="0.2">
      <c r="A219" t="s">
        <v>428</v>
      </c>
      <c r="B219" t="s">
        <v>429</v>
      </c>
      <c r="C219" t="s">
        <v>307</v>
      </c>
      <c r="D219" t="s">
        <v>105</v>
      </c>
      <c r="E219">
        <v>469.99</v>
      </c>
      <c r="F219" t="s">
        <v>5817</v>
      </c>
      <c r="G219">
        <v>4</v>
      </c>
      <c r="I219">
        <v>4</v>
      </c>
      <c r="L219" t="s">
        <v>5085</v>
      </c>
      <c r="M219">
        <v>0</v>
      </c>
      <c r="N219">
        <v>0</v>
      </c>
      <c r="O219">
        <v>0</v>
      </c>
      <c r="P219" t="s">
        <v>5819</v>
      </c>
    </row>
    <row r="220" spans="1:16" x14ac:dyDescent="0.2">
      <c r="A220" t="s">
        <v>426</v>
      </c>
      <c r="B220" t="s">
        <v>427</v>
      </c>
      <c r="C220" t="s">
        <v>307</v>
      </c>
      <c r="D220" t="s">
        <v>105</v>
      </c>
      <c r="E220">
        <v>469.99</v>
      </c>
      <c r="F220" t="s">
        <v>5817</v>
      </c>
      <c r="G220">
        <v>7</v>
      </c>
      <c r="I220">
        <v>7</v>
      </c>
      <c r="L220" t="s">
        <v>5085</v>
      </c>
      <c r="M220">
        <v>0</v>
      </c>
      <c r="N220">
        <v>0</v>
      </c>
      <c r="O220">
        <v>0</v>
      </c>
      <c r="P220" t="s">
        <v>5819</v>
      </c>
    </row>
    <row r="221" spans="1:16" x14ac:dyDescent="0.2">
      <c r="A221" t="s">
        <v>432</v>
      </c>
      <c r="B221" t="s">
        <v>433</v>
      </c>
      <c r="C221" t="s">
        <v>307</v>
      </c>
      <c r="D221" t="s">
        <v>105</v>
      </c>
      <c r="E221">
        <v>159.99</v>
      </c>
      <c r="F221" t="s">
        <v>5817</v>
      </c>
      <c r="G221">
        <v>8</v>
      </c>
      <c r="I221">
        <v>8</v>
      </c>
      <c r="L221" t="s">
        <v>5085</v>
      </c>
      <c r="M221">
        <v>0</v>
      </c>
      <c r="N221">
        <v>0</v>
      </c>
      <c r="O221">
        <v>0</v>
      </c>
      <c r="P221" t="s">
        <v>5819</v>
      </c>
    </row>
    <row r="222" spans="1:16" x14ac:dyDescent="0.2">
      <c r="A222" t="s">
        <v>386</v>
      </c>
      <c r="B222" t="s">
        <v>387</v>
      </c>
      <c r="C222" t="s">
        <v>307</v>
      </c>
      <c r="D222" t="s">
        <v>105</v>
      </c>
      <c r="E222">
        <v>39.99</v>
      </c>
      <c r="F222" t="s">
        <v>5817</v>
      </c>
      <c r="L222" t="s">
        <v>5085</v>
      </c>
      <c r="M222">
        <v>0</v>
      </c>
      <c r="N222">
        <v>0</v>
      </c>
      <c r="O222">
        <v>0</v>
      </c>
      <c r="P222" t="s">
        <v>5819</v>
      </c>
    </row>
    <row r="223" spans="1:16" x14ac:dyDescent="0.2">
      <c r="A223" t="s">
        <v>388</v>
      </c>
      <c r="B223" t="s">
        <v>389</v>
      </c>
      <c r="C223" t="s">
        <v>307</v>
      </c>
      <c r="D223" t="s">
        <v>105</v>
      </c>
      <c r="E223">
        <v>229</v>
      </c>
      <c r="F223" t="s">
        <v>5817</v>
      </c>
      <c r="G223">
        <v>8</v>
      </c>
      <c r="I223">
        <v>8</v>
      </c>
      <c r="L223" t="s">
        <v>5085</v>
      </c>
      <c r="M223">
        <v>0</v>
      </c>
      <c r="N223">
        <v>0</v>
      </c>
      <c r="O223">
        <v>0.41666666666666669</v>
      </c>
      <c r="P223" t="s">
        <v>5819</v>
      </c>
    </row>
    <row r="224" spans="1:16" x14ac:dyDescent="0.2">
      <c r="A224" t="s">
        <v>404</v>
      </c>
      <c r="B224" t="s">
        <v>405</v>
      </c>
      <c r="C224" t="s">
        <v>307</v>
      </c>
      <c r="D224" t="s">
        <v>105</v>
      </c>
      <c r="E224">
        <v>1699.99</v>
      </c>
      <c r="F224" t="s">
        <v>5817</v>
      </c>
      <c r="G224">
        <v>26</v>
      </c>
      <c r="I224">
        <v>26</v>
      </c>
      <c r="L224" t="s">
        <v>5065</v>
      </c>
      <c r="M224">
        <v>0</v>
      </c>
      <c r="N224">
        <v>0</v>
      </c>
      <c r="O224">
        <v>0.5</v>
      </c>
      <c r="P224">
        <v>0</v>
      </c>
    </row>
    <row r="225" spans="1:16" x14ac:dyDescent="0.2">
      <c r="A225" t="s">
        <v>422</v>
      </c>
      <c r="B225" t="s">
        <v>423</v>
      </c>
      <c r="C225" t="s">
        <v>307</v>
      </c>
      <c r="D225" t="s">
        <v>98</v>
      </c>
      <c r="E225">
        <v>449</v>
      </c>
      <c r="F225" t="s">
        <v>5817</v>
      </c>
      <c r="L225" t="s">
        <v>5065</v>
      </c>
      <c r="M225">
        <v>0</v>
      </c>
      <c r="N225">
        <v>0</v>
      </c>
      <c r="P225">
        <v>0</v>
      </c>
    </row>
    <row r="226" spans="1:16" x14ac:dyDescent="0.2">
      <c r="A226" t="s">
        <v>314</v>
      </c>
      <c r="B226" t="s">
        <v>315</v>
      </c>
      <c r="C226" t="s">
        <v>307</v>
      </c>
      <c r="D226" t="s">
        <v>98</v>
      </c>
      <c r="E226">
        <v>1299.99</v>
      </c>
      <c r="F226" t="s">
        <v>5817</v>
      </c>
      <c r="L226" t="s">
        <v>5065</v>
      </c>
      <c r="M226">
        <v>0</v>
      </c>
      <c r="N226">
        <v>0</v>
      </c>
      <c r="P226">
        <v>0</v>
      </c>
    </row>
    <row r="227" spans="1:16" x14ac:dyDescent="0.2">
      <c r="A227" t="s">
        <v>323</v>
      </c>
      <c r="B227" t="s">
        <v>324</v>
      </c>
      <c r="C227" t="s">
        <v>307</v>
      </c>
      <c r="D227" t="s">
        <v>105</v>
      </c>
      <c r="E227">
        <v>1499.99</v>
      </c>
      <c r="F227" t="s">
        <v>5817</v>
      </c>
      <c r="G227">
        <v>1</v>
      </c>
      <c r="I227">
        <v>1</v>
      </c>
      <c r="L227" t="s">
        <v>5065</v>
      </c>
      <c r="M227">
        <v>0</v>
      </c>
      <c r="N227">
        <v>0</v>
      </c>
      <c r="P227">
        <v>0</v>
      </c>
    </row>
    <row r="228" spans="1:16" x14ac:dyDescent="0.2">
      <c r="A228" t="s">
        <v>377</v>
      </c>
      <c r="B228" t="s">
        <v>376</v>
      </c>
      <c r="C228" t="s">
        <v>307</v>
      </c>
      <c r="D228" t="s">
        <v>98</v>
      </c>
      <c r="E228">
        <v>2299.9899999999998</v>
      </c>
      <c r="F228" t="s">
        <v>5817</v>
      </c>
      <c r="L228" t="s">
        <v>5065</v>
      </c>
      <c r="M228">
        <v>0</v>
      </c>
      <c r="N228">
        <v>0</v>
      </c>
      <c r="P228">
        <v>0</v>
      </c>
    </row>
    <row r="229" spans="1:16" x14ac:dyDescent="0.2">
      <c r="A229" t="s">
        <v>340</v>
      </c>
      <c r="B229" t="s">
        <v>341</v>
      </c>
      <c r="C229" t="s">
        <v>307</v>
      </c>
      <c r="D229" t="s">
        <v>98</v>
      </c>
      <c r="E229">
        <v>3299.99</v>
      </c>
      <c r="F229" t="s">
        <v>5817</v>
      </c>
      <c r="L229" t="s">
        <v>5065</v>
      </c>
      <c r="M229">
        <v>0</v>
      </c>
      <c r="N229">
        <v>0</v>
      </c>
      <c r="P229">
        <v>0</v>
      </c>
    </row>
    <row r="230" spans="1:16" x14ac:dyDescent="0.2">
      <c r="A230" t="s">
        <v>420</v>
      </c>
      <c r="B230" t="s">
        <v>421</v>
      </c>
      <c r="C230" t="s">
        <v>307</v>
      </c>
      <c r="D230" t="s">
        <v>98</v>
      </c>
      <c r="E230">
        <v>449</v>
      </c>
      <c r="F230" t="s">
        <v>5817</v>
      </c>
      <c r="L230" t="s">
        <v>5065</v>
      </c>
      <c r="M230">
        <v>0</v>
      </c>
      <c r="N230">
        <v>0</v>
      </c>
      <c r="P230">
        <v>0</v>
      </c>
    </row>
    <row r="231" spans="1:16" x14ac:dyDescent="0.2">
      <c r="A231" t="s">
        <v>418</v>
      </c>
      <c r="B231" t="s">
        <v>419</v>
      </c>
      <c r="C231" t="s">
        <v>307</v>
      </c>
      <c r="D231" t="s">
        <v>98</v>
      </c>
      <c r="E231">
        <v>449</v>
      </c>
      <c r="F231" t="s">
        <v>5817</v>
      </c>
      <c r="L231" t="s">
        <v>5065</v>
      </c>
      <c r="M231">
        <v>0</v>
      </c>
      <c r="N231">
        <v>0</v>
      </c>
      <c r="P231">
        <v>0</v>
      </c>
    </row>
    <row r="232" spans="1:16" x14ac:dyDescent="0.2">
      <c r="A232" t="s">
        <v>406</v>
      </c>
      <c r="B232" t="s">
        <v>407</v>
      </c>
      <c r="C232" t="s">
        <v>307</v>
      </c>
      <c r="D232" t="s">
        <v>98</v>
      </c>
      <c r="E232">
        <v>1699.99</v>
      </c>
      <c r="F232" t="s">
        <v>5817</v>
      </c>
      <c r="L232" t="s">
        <v>5065</v>
      </c>
      <c r="M232">
        <v>0</v>
      </c>
      <c r="N232">
        <v>0</v>
      </c>
      <c r="P232">
        <v>0</v>
      </c>
    </row>
    <row r="233" spans="1:16" x14ac:dyDescent="0.2">
      <c r="A233" t="s">
        <v>338</v>
      </c>
      <c r="B233" t="s">
        <v>339</v>
      </c>
      <c r="C233" t="s">
        <v>307</v>
      </c>
      <c r="D233" t="s">
        <v>98</v>
      </c>
      <c r="E233">
        <v>2899.99</v>
      </c>
      <c r="F233" t="s">
        <v>5817</v>
      </c>
      <c r="L233" t="s">
        <v>5065</v>
      </c>
      <c r="M233">
        <v>0</v>
      </c>
      <c r="N233">
        <v>0</v>
      </c>
      <c r="P233">
        <v>0</v>
      </c>
    </row>
    <row r="234" spans="1:16" x14ac:dyDescent="0.2">
      <c r="A234" t="s">
        <v>424</v>
      </c>
      <c r="B234" t="s">
        <v>425</v>
      </c>
      <c r="C234" t="s">
        <v>307</v>
      </c>
      <c r="D234" t="s">
        <v>98</v>
      </c>
      <c r="E234">
        <v>449</v>
      </c>
      <c r="F234" t="s">
        <v>5817</v>
      </c>
      <c r="L234" t="s">
        <v>5065</v>
      </c>
      <c r="M234">
        <v>0</v>
      </c>
      <c r="N234">
        <v>0</v>
      </c>
      <c r="P234">
        <v>0</v>
      </c>
    </row>
    <row r="235" spans="1:16" x14ac:dyDescent="0.2">
      <c r="A235" t="s">
        <v>344</v>
      </c>
      <c r="B235" t="s">
        <v>345</v>
      </c>
      <c r="C235" t="s">
        <v>307</v>
      </c>
      <c r="D235" t="s">
        <v>98</v>
      </c>
      <c r="E235">
        <v>3699.99</v>
      </c>
      <c r="F235" t="s">
        <v>5817</v>
      </c>
      <c r="L235" t="s">
        <v>5065</v>
      </c>
      <c r="M235">
        <v>0</v>
      </c>
      <c r="N235">
        <v>0</v>
      </c>
      <c r="P235">
        <v>0</v>
      </c>
    </row>
    <row r="236" spans="1:16" x14ac:dyDescent="0.2">
      <c r="A236" t="s">
        <v>336</v>
      </c>
      <c r="B236" t="s">
        <v>337</v>
      </c>
      <c r="C236" t="s">
        <v>307</v>
      </c>
      <c r="D236" t="s">
        <v>105</v>
      </c>
      <c r="E236">
        <v>2899.99</v>
      </c>
      <c r="F236" t="s">
        <v>5817</v>
      </c>
      <c r="G236">
        <v>3</v>
      </c>
      <c r="I236">
        <v>3</v>
      </c>
      <c r="L236" t="s">
        <v>5065</v>
      </c>
      <c r="N236">
        <v>0</v>
      </c>
      <c r="O236">
        <v>0</v>
      </c>
      <c r="P236">
        <v>0</v>
      </c>
    </row>
    <row r="237" spans="1:16" x14ac:dyDescent="0.2">
      <c r="A237" t="s">
        <v>370</v>
      </c>
      <c r="B237" t="s">
        <v>371</v>
      </c>
      <c r="C237" t="s">
        <v>307</v>
      </c>
      <c r="D237" t="s">
        <v>98</v>
      </c>
      <c r="E237">
        <v>1199.99</v>
      </c>
      <c r="F237" t="s">
        <v>5817</v>
      </c>
      <c r="L237" t="s">
        <v>5065</v>
      </c>
      <c r="M237">
        <v>0</v>
      </c>
      <c r="N237">
        <v>0</v>
      </c>
      <c r="P237">
        <v>0</v>
      </c>
    </row>
    <row r="238" spans="1:16" x14ac:dyDescent="0.2">
      <c r="A238" t="s">
        <v>372</v>
      </c>
      <c r="B238" t="s">
        <v>373</v>
      </c>
      <c r="C238" t="s">
        <v>307</v>
      </c>
      <c r="D238" t="s">
        <v>98</v>
      </c>
      <c r="E238">
        <v>699.99</v>
      </c>
      <c r="F238" t="s">
        <v>5817</v>
      </c>
      <c r="L238" t="s">
        <v>5065</v>
      </c>
      <c r="M238">
        <v>0</v>
      </c>
      <c r="N238">
        <v>0</v>
      </c>
      <c r="P238">
        <v>0</v>
      </c>
    </row>
    <row r="239" spans="1:16" x14ac:dyDescent="0.2">
      <c r="A239" t="s">
        <v>354</v>
      </c>
      <c r="B239" t="s">
        <v>355</v>
      </c>
      <c r="C239" t="s">
        <v>307</v>
      </c>
      <c r="D239" t="s">
        <v>98</v>
      </c>
      <c r="E239">
        <v>1999.99</v>
      </c>
      <c r="F239" t="s">
        <v>5817</v>
      </c>
      <c r="L239" t="s">
        <v>5065</v>
      </c>
      <c r="M239">
        <v>0</v>
      </c>
      <c r="N239">
        <v>0</v>
      </c>
      <c r="O239">
        <v>1</v>
      </c>
      <c r="P239">
        <v>0</v>
      </c>
    </row>
    <row r="240" spans="1:16" x14ac:dyDescent="0.2">
      <c r="A240" t="s">
        <v>343</v>
      </c>
      <c r="B240" t="s">
        <v>342</v>
      </c>
      <c r="C240" t="s">
        <v>307</v>
      </c>
      <c r="D240" t="s">
        <v>98</v>
      </c>
      <c r="E240">
        <v>3999.99</v>
      </c>
      <c r="F240" t="s">
        <v>5817</v>
      </c>
      <c r="L240" t="s">
        <v>5065</v>
      </c>
      <c r="M240">
        <v>0</v>
      </c>
      <c r="N240">
        <v>0</v>
      </c>
      <c r="P240">
        <v>0</v>
      </c>
    </row>
    <row r="241" spans="1:16" x14ac:dyDescent="0.2">
      <c r="A241" t="s">
        <v>368</v>
      </c>
      <c r="B241" t="s">
        <v>369</v>
      </c>
      <c r="C241" t="s">
        <v>307</v>
      </c>
      <c r="D241" t="s">
        <v>98</v>
      </c>
      <c r="E241">
        <v>1199.99</v>
      </c>
      <c r="F241" t="s">
        <v>5817</v>
      </c>
      <c r="L241" t="s">
        <v>5065</v>
      </c>
      <c r="M241">
        <v>0</v>
      </c>
      <c r="N241">
        <v>0</v>
      </c>
      <c r="P241">
        <v>0</v>
      </c>
    </row>
    <row r="242" spans="1:16" x14ac:dyDescent="0.2">
      <c r="A242" t="s">
        <v>374</v>
      </c>
      <c r="B242" t="s">
        <v>375</v>
      </c>
      <c r="C242" t="s">
        <v>307</v>
      </c>
      <c r="D242" t="s">
        <v>98</v>
      </c>
      <c r="E242">
        <v>1899.99</v>
      </c>
      <c r="F242" t="s">
        <v>5817</v>
      </c>
      <c r="L242" t="s">
        <v>5065</v>
      </c>
      <c r="M242">
        <v>0</v>
      </c>
      <c r="N242">
        <v>0</v>
      </c>
      <c r="P242">
        <v>0</v>
      </c>
    </row>
    <row r="243" spans="1:16" x14ac:dyDescent="0.2">
      <c r="A243" t="s">
        <v>310</v>
      </c>
      <c r="B243" t="s">
        <v>311</v>
      </c>
      <c r="C243" t="s">
        <v>307</v>
      </c>
      <c r="D243" t="s">
        <v>98</v>
      </c>
      <c r="E243">
        <v>449.99</v>
      </c>
      <c r="F243" t="s">
        <v>5817</v>
      </c>
      <c r="L243" t="s">
        <v>5065</v>
      </c>
      <c r="M243">
        <v>0</v>
      </c>
      <c r="N243">
        <v>0</v>
      </c>
      <c r="P243">
        <v>0</v>
      </c>
    </row>
    <row r="244" spans="1:16" x14ac:dyDescent="0.2">
      <c r="A244" t="s">
        <v>312</v>
      </c>
      <c r="B244" t="s">
        <v>313</v>
      </c>
      <c r="C244" t="s">
        <v>307</v>
      </c>
      <c r="D244" t="s">
        <v>138</v>
      </c>
      <c r="E244">
        <v>549.99</v>
      </c>
      <c r="F244" t="s">
        <v>5817</v>
      </c>
      <c r="G244">
        <v>13</v>
      </c>
      <c r="I244">
        <v>13</v>
      </c>
      <c r="L244" t="s">
        <v>5065</v>
      </c>
      <c r="M244">
        <v>0</v>
      </c>
      <c r="N244">
        <v>0</v>
      </c>
      <c r="P244">
        <v>0</v>
      </c>
    </row>
    <row r="245" spans="1:16" x14ac:dyDescent="0.2">
      <c r="A245" t="s">
        <v>318</v>
      </c>
      <c r="B245" t="s">
        <v>317</v>
      </c>
      <c r="C245" t="s">
        <v>307</v>
      </c>
      <c r="D245" t="s">
        <v>98</v>
      </c>
      <c r="E245">
        <v>499.99</v>
      </c>
      <c r="F245" t="s">
        <v>5817</v>
      </c>
      <c r="L245" t="s">
        <v>5065</v>
      </c>
      <c r="M245">
        <v>0</v>
      </c>
      <c r="N245">
        <v>0</v>
      </c>
      <c r="P245">
        <v>0</v>
      </c>
    </row>
    <row r="246" spans="1:16" x14ac:dyDescent="0.2">
      <c r="A246" t="s">
        <v>346</v>
      </c>
      <c r="B246" t="s">
        <v>347</v>
      </c>
      <c r="C246" t="s">
        <v>307</v>
      </c>
      <c r="D246" t="s">
        <v>138</v>
      </c>
      <c r="E246">
        <v>419.99</v>
      </c>
      <c r="F246" t="s">
        <v>5817</v>
      </c>
      <c r="G246">
        <v>12</v>
      </c>
      <c r="I246">
        <v>12</v>
      </c>
      <c r="L246" t="s">
        <v>5065</v>
      </c>
      <c r="M246">
        <v>0</v>
      </c>
      <c r="N246">
        <v>0</v>
      </c>
      <c r="P246">
        <v>0</v>
      </c>
    </row>
    <row r="247" spans="1:16" x14ac:dyDescent="0.2">
      <c r="A247" t="s">
        <v>388</v>
      </c>
      <c r="B247" t="s">
        <v>389</v>
      </c>
      <c r="C247" t="s">
        <v>307</v>
      </c>
      <c r="D247" t="s">
        <v>105</v>
      </c>
      <c r="E247">
        <v>229</v>
      </c>
      <c r="F247" t="s">
        <v>5817</v>
      </c>
      <c r="G247">
        <v>8</v>
      </c>
      <c r="I247">
        <v>8</v>
      </c>
      <c r="L247" t="s">
        <v>5065</v>
      </c>
      <c r="M247">
        <v>0</v>
      </c>
      <c r="N247">
        <v>0</v>
      </c>
      <c r="P247">
        <v>0</v>
      </c>
    </row>
    <row r="248" spans="1:16" x14ac:dyDescent="0.2">
      <c r="A248" t="s">
        <v>390</v>
      </c>
      <c r="B248" t="s">
        <v>391</v>
      </c>
      <c r="C248" t="s">
        <v>307</v>
      </c>
      <c r="D248" t="s">
        <v>98</v>
      </c>
      <c r="E248">
        <v>289.99</v>
      </c>
      <c r="F248" t="s">
        <v>5817</v>
      </c>
      <c r="L248" t="s">
        <v>5065</v>
      </c>
      <c r="M248">
        <v>0</v>
      </c>
      <c r="N248">
        <v>0</v>
      </c>
      <c r="P248">
        <v>0</v>
      </c>
    </row>
    <row r="249" spans="1:16" x14ac:dyDescent="0.2">
      <c r="A249" t="s">
        <v>330</v>
      </c>
      <c r="B249" t="s">
        <v>331</v>
      </c>
      <c r="C249" t="s">
        <v>307</v>
      </c>
      <c r="D249" t="s">
        <v>98</v>
      </c>
      <c r="E249">
        <v>2099.9899999999998</v>
      </c>
      <c r="F249" t="s">
        <v>5817</v>
      </c>
      <c r="L249" t="s">
        <v>5065</v>
      </c>
      <c r="M249">
        <v>0</v>
      </c>
      <c r="N249">
        <v>0</v>
      </c>
      <c r="P249">
        <v>0</v>
      </c>
    </row>
    <row r="250" spans="1:16" x14ac:dyDescent="0.2">
      <c r="A250" t="s">
        <v>348</v>
      </c>
      <c r="B250" t="s">
        <v>349</v>
      </c>
      <c r="C250" t="s">
        <v>307</v>
      </c>
      <c r="D250" t="s">
        <v>98</v>
      </c>
      <c r="E250">
        <v>299.99</v>
      </c>
      <c r="F250" t="s">
        <v>5817</v>
      </c>
      <c r="L250" t="s">
        <v>5065</v>
      </c>
      <c r="M250">
        <v>0</v>
      </c>
      <c r="N250">
        <v>0</v>
      </c>
      <c r="P250">
        <v>0</v>
      </c>
    </row>
    <row r="251" spans="1:16" x14ac:dyDescent="0.2">
      <c r="A251" t="s">
        <v>350</v>
      </c>
      <c r="B251" t="s">
        <v>351</v>
      </c>
      <c r="C251" t="s">
        <v>307</v>
      </c>
      <c r="D251" t="s">
        <v>138</v>
      </c>
      <c r="E251">
        <v>399.99</v>
      </c>
      <c r="F251" t="s">
        <v>5817</v>
      </c>
      <c r="G251">
        <v>2</v>
      </c>
      <c r="H251" t="s">
        <v>5823</v>
      </c>
      <c r="I251">
        <v>1</v>
      </c>
      <c r="L251" t="s">
        <v>5065</v>
      </c>
      <c r="M251">
        <v>0</v>
      </c>
      <c r="N251">
        <v>0</v>
      </c>
      <c r="P251">
        <v>0</v>
      </c>
    </row>
    <row r="252" spans="1:16" x14ac:dyDescent="0.2">
      <c r="A252" t="s">
        <v>319</v>
      </c>
      <c r="B252" t="s">
        <v>320</v>
      </c>
      <c r="C252" t="s">
        <v>307</v>
      </c>
      <c r="D252" t="s">
        <v>138</v>
      </c>
      <c r="E252">
        <v>649.99</v>
      </c>
      <c r="F252" t="s">
        <v>5817</v>
      </c>
      <c r="G252">
        <v>9</v>
      </c>
      <c r="I252">
        <v>9</v>
      </c>
      <c r="L252" t="s">
        <v>5065</v>
      </c>
      <c r="M252">
        <v>0</v>
      </c>
      <c r="N252">
        <v>0</v>
      </c>
      <c r="P252">
        <v>0</v>
      </c>
    </row>
    <row r="253" spans="1:16" x14ac:dyDescent="0.2">
      <c r="A253" t="s">
        <v>329</v>
      </c>
      <c r="B253" t="s">
        <v>328</v>
      </c>
      <c r="C253" t="s">
        <v>307</v>
      </c>
      <c r="D253" t="s">
        <v>105</v>
      </c>
      <c r="E253">
        <v>1799.99</v>
      </c>
      <c r="F253" t="s">
        <v>5817</v>
      </c>
      <c r="G253">
        <v>1</v>
      </c>
      <c r="I253">
        <v>1</v>
      </c>
      <c r="L253" t="s">
        <v>5065</v>
      </c>
      <c r="M253">
        <v>0</v>
      </c>
      <c r="N253">
        <v>0</v>
      </c>
      <c r="P253">
        <v>0</v>
      </c>
    </row>
    <row r="254" spans="1:16" x14ac:dyDescent="0.2">
      <c r="A254" t="s">
        <v>321</v>
      </c>
      <c r="B254" t="s">
        <v>322</v>
      </c>
      <c r="C254" t="s">
        <v>307</v>
      </c>
      <c r="D254" t="s">
        <v>98</v>
      </c>
      <c r="E254">
        <v>849.99</v>
      </c>
      <c r="F254" t="s">
        <v>5817</v>
      </c>
      <c r="L254" t="s">
        <v>5065</v>
      </c>
      <c r="M254">
        <v>0</v>
      </c>
      <c r="N254">
        <v>0</v>
      </c>
      <c r="P254">
        <v>0</v>
      </c>
    </row>
    <row r="255" spans="1:16" x14ac:dyDescent="0.2">
      <c r="A255" t="s">
        <v>325</v>
      </c>
      <c r="B255" t="s">
        <v>326</v>
      </c>
      <c r="C255" t="s">
        <v>307</v>
      </c>
      <c r="D255" t="s">
        <v>105</v>
      </c>
      <c r="E255">
        <v>849.99</v>
      </c>
      <c r="F255" t="s">
        <v>5817</v>
      </c>
      <c r="G255">
        <v>1</v>
      </c>
      <c r="H255" t="s">
        <v>5823</v>
      </c>
      <c r="L255" t="s">
        <v>5065</v>
      </c>
      <c r="M255">
        <v>0</v>
      </c>
      <c r="N255">
        <v>0</v>
      </c>
      <c r="P255">
        <v>0</v>
      </c>
    </row>
    <row r="256" spans="1:16" x14ac:dyDescent="0.2">
      <c r="A256" t="s">
        <v>416</v>
      </c>
      <c r="B256" t="s">
        <v>417</v>
      </c>
      <c r="C256" t="s">
        <v>307</v>
      </c>
      <c r="D256" t="s">
        <v>105</v>
      </c>
      <c r="E256">
        <v>49.99</v>
      </c>
      <c r="F256" t="s">
        <v>5817</v>
      </c>
      <c r="G256">
        <v>5</v>
      </c>
      <c r="I256">
        <v>5</v>
      </c>
      <c r="L256" t="s">
        <v>5065</v>
      </c>
      <c r="M256">
        <v>0</v>
      </c>
      <c r="N256">
        <v>0</v>
      </c>
      <c r="P256">
        <v>0</v>
      </c>
    </row>
    <row r="257" spans="1:16" x14ac:dyDescent="0.2">
      <c r="A257" t="s">
        <v>329</v>
      </c>
      <c r="B257" t="s">
        <v>328</v>
      </c>
      <c r="C257" t="s">
        <v>307</v>
      </c>
      <c r="D257" t="s">
        <v>105</v>
      </c>
      <c r="E257">
        <v>1799.99</v>
      </c>
      <c r="F257" t="s">
        <v>5817</v>
      </c>
      <c r="G257">
        <v>1</v>
      </c>
      <c r="I257">
        <v>1</v>
      </c>
      <c r="L257" t="s">
        <v>8</v>
      </c>
      <c r="M257">
        <v>0</v>
      </c>
      <c r="N257">
        <v>0</v>
      </c>
      <c r="O257">
        <v>0</v>
      </c>
      <c r="P257">
        <v>1</v>
      </c>
    </row>
    <row r="258" spans="1:16" x14ac:dyDescent="0.2">
      <c r="A258" t="s">
        <v>325</v>
      </c>
      <c r="B258" t="s">
        <v>326</v>
      </c>
      <c r="C258" t="s">
        <v>307</v>
      </c>
      <c r="D258" t="s">
        <v>105</v>
      </c>
      <c r="E258">
        <v>849.99</v>
      </c>
      <c r="F258" t="s">
        <v>5817</v>
      </c>
      <c r="G258">
        <v>1</v>
      </c>
      <c r="H258" t="s">
        <v>5823</v>
      </c>
      <c r="L258" t="s">
        <v>8</v>
      </c>
      <c r="M258">
        <v>0</v>
      </c>
      <c r="N258">
        <v>0</v>
      </c>
      <c r="O258">
        <v>0</v>
      </c>
      <c r="P258">
        <v>0</v>
      </c>
    </row>
    <row r="259" spans="1:16" x14ac:dyDescent="0.2">
      <c r="A259" t="s">
        <v>416</v>
      </c>
      <c r="B259" t="s">
        <v>417</v>
      </c>
      <c r="C259" t="s">
        <v>307</v>
      </c>
      <c r="D259" t="s">
        <v>105</v>
      </c>
      <c r="E259">
        <v>49.99</v>
      </c>
      <c r="F259" t="s">
        <v>5817</v>
      </c>
      <c r="G259">
        <v>5</v>
      </c>
      <c r="I259">
        <v>5</v>
      </c>
      <c r="L259" t="s">
        <v>8</v>
      </c>
      <c r="M259">
        <v>0</v>
      </c>
      <c r="N259">
        <v>0</v>
      </c>
      <c r="O259">
        <v>0</v>
      </c>
      <c r="P259">
        <v>0</v>
      </c>
    </row>
    <row r="260" spans="1:16" x14ac:dyDescent="0.2">
      <c r="A260" t="s">
        <v>354</v>
      </c>
      <c r="B260" t="s">
        <v>355</v>
      </c>
      <c r="C260" t="s">
        <v>307</v>
      </c>
      <c r="D260" t="s">
        <v>98</v>
      </c>
      <c r="E260">
        <v>1999.99</v>
      </c>
      <c r="F260" t="s">
        <v>5817</v>
      </c>
      <c r="L260" t="s">
        <v>8</v>
      </c>
      <c r="M260">
        <v>0</v>
      </c>
      <c r="N260">
        <v>0</v>
      </c>
      <c r="O260">
        <v>0</v>
      </c>
      <c r="P260">
        <v>0</v>
      </c>
    </row>
    <row r="261" spans="1:16" x14ac:dyDescent="0.2">
      <c r="A261" t="s">
        <v>323</v>
      </c>
      <c r="B261" t="s">
        <v>324</v>
      </c>
      <c r="C261" t="s">
        <v>307</v>
      </c>
      <c r="D261" t="s">
        <v>105</v>
      </c>
      <c r="E261">
        <v>1499.99</v>
      </c>
      <c r="F261" t="s">
        <v>5817</v>
      </c>
      <c r="G261">
        <v>1</v>
      </c>
      <c r="I261">
        <v>1</v>
      </c>
      <c r="L261" t="s">
        <v>8</v>
      </c>
      <c r="M261">
        <v>0</v>
      </c>
      <c r="N261">
        <v>0</v>
      </c>
      <c r="O261">
        <v>0</v>
      </c>
      <c r="P261">
        <v>0</v>
      </c>
    </row>
    <row r="262" spans="1:16" x14ac:dyDescent="0.2">
      <c r="A262" t="s">
        <v>330</v>
      </c>
      <c r="B262" t="s">
        <v>331</v>
      </c>
      <c r="C262" t="s">
        <v>307</v>
      </c>
      <c r="D262" t="s">
        <v>98</v>
      </c>
      <c r="E262">
        <v>2099.9899999999998</v>
      </c>
      <c r="F262" t="s">
        <v>5817</v>
      </c>
      <c r="L262" t="s">
        <v>8</v>
      </c>
      <c r="M262">
        <v>0</v>
      </c>
      <c r="N262">
        <v>0</v>
      </c>
      <c r="O262">
        <v>0</v>
      </c>
      <c r="P262">
        <v>0</v>
      </c>
    </row>
    <row r="263" spans="1:16" x14ac:dyDescent="0.2">
      <c r="A263" t="s">
        <v>350</v>
      </c>
      <c r="B263" t="s">
        <v>351</v>
      </c>
      <c r="C263" t="s">
        <v>307</v>
      </c>
      <c r="D263" t="s">
        <v>138</v>
      </c>
      <c r="E263">
        <v>399.99</v>
      </c>
      <c r="F263" t="s">
        <v>5817</v>
      </c>
      <c r="G263">
        <v>2</v>
      </c>
      <c r="H263" t="s">
        <v>5823</v>
      </c>
      <c r="I263">
        <v>1</v>
      </c>
      <c r="L263" t="s">
        <v>8</v>
      </c>
      <c r="M263">
        <v>0</v>
      </c>
      <c r="N263">
        <v>0</v>
      </c>
      <c r="O263">
        <v>0</v>
      </c>
      <c r="P263">
        <v>0</v>
      </c>
    </row>
    <row r="264" spans="1:16" x14ac:dyDescent="0.2">
      <c r="A264" t="s">
        <v>343</v>
      </c>
      <c r="B264" t="s">
        <v>342</v>
      </c>
      <c r="C264" t="s">
        <v>307</v>
      </c>
      <c r="D264" t="s">
        <v>98</v>
      </c>
      <c r="E264">
        <v>3999.99</v>
      </c>
      <c r="F264" t="s">
        <v>5817</v>
      </c>
      <c r="L264" t="s">
        <v>8</v>
      </c>
      <c r="M264">
        <v>0</v>
      </c>
      <c r="N264">
        <v>0</v>
      </c>
      <c r="O264">
        <v>0</v>
      </c>
      <c r="P264">
        <v>0</v>
      </c>
    </row>
    <row r="265" spans="1:16" x14ac:dyDescent="0.2">
      <c r="A265" t="s">
        <v>314</v>
      </c>
      <c r="B265" t="s">
        <v>315</v>
      </c>
      <c r="C265" t="s">
        <v>307</v>
      </c>
      <c r="D265" t="s">
        <v>98</v>
      </c>
      <c r="E265">
        <v>1299.99</v>
      </c>
      <c r="F265" t="s">
        <v>5817</v>
      </c>
      <c r="L265" t="s">
        <v>8</v>
      </c>
      <c r="M265">
        <v>0</v>
      </c>
      <c r="N265">
        <v>0</v>
      </c>
      <c r="O265">
        <v>0</v>
      </c>
      <c r="P265">
        <v>0</v>
      </c>
    </row>
    <row r="266" spans="1:16" x14ac:dyDescent="0.2">
      <c r="A266" t="s">
        <v>410</v>
      </c>
      <c r="B266" t="s">
        <v>411</v>
      </c>
      <c r="C266" t="s">
        <v>307</v>
      </c>
      <c r="D266" t="s">
        <v>98</v>
      </c>
      <c r="E266">
        <v>199.99</v>
      </c>
      <c r="F266" t="s">
        <v>5817</v>
      </c>
      <c r="L266" t="s">
        <v>8</v>
      </c>
      <c r="M266">
        <v>0</v>
      </c>
      <c r="N266">
        <v>0</v>
      </c>
      <c r="O266">
        <v>0</v>
      </c>
      <c r="P266">
        <v>0</v>
      </c>
    </row>
    <row r="267" spans="1:16" x14ac:dyDescent="0.2">
      <c r="A267" t="s">
        <v>348</v>
      </c>
      <c r="B267" t="s">
        <v>349</v>
      </c>
      <c r="C267" t="s">
        <v>307</v>
      </c>
      <c r="D267" t="s">
        <v>98</v>
      </c>
      <c r="E267">
        <v>299.99</v>
      </c>
      <c r="F267" t="s">
        <v>5817</v>
      </c>
      <c r="L267" t="s">
        <v>8</v>
      </c>
      <c r="M267">
        <v>0</v>
      </c>
      <c r="N267">
        <v>0</v>
      </c>
      <c r="O267">
        <v>0</v>
      </c>
      <c r="P267">
        <v>0</v>
      </c>
    </row>
    <row r="268" spans="1:16" x14ac:dyDescent="0.2">
      <c r="A268" t="s">
        <v>368</v>
      </c>
      <c r="B268" t="s">
        <v>369</v>
      </c>
      <c r="C268" t="s">
        <v>307</v>
      </c>
      <c r="D268" t="s">
        <v>98</v>
      </c>
      <c r="E268">
        <v>1199.99</v>
      </c>
      <c r="F268" t="s">
        <v>5817</v>
      </c>
      <c r="L268" t="s">
        <v>8</v>
      </c>
      <c r="M268">
        <v>0</v>
      </c>
      <c r="N268">
        <v>0</v>
      </c>
      <c r="O268">
        <v>0</v>
      </c>
      <c r="P268">
        <v>0</v>
      </c>
    </row>
    <row r="269" spans="1:16" x14ac:dyDescent="0.2">
      <c r="A269" t="s">
        <v>390</v>
      </c>
      <c r="B269" t="s">
        <v>391</v>
      </c>
      <c r="C269" t="s">
        <v>307</v>
      </c>
      <c r="D269" t="s">
        <v>98</v>
      </c>
      <c r="E269">
        <v>289.99</v>
      </c>
      <c r="F269" t="s">
        <v>5817</v>
      </c>
      <c r="L269" t="s">
        <v>8</v>
      </c>
      <c r="M269">
        <v>0</v>
      </c>
      <c r="N269">
        <v>0</v>
      </c>
      <c r="O269">
        <v>0</v>
      </c>
      <c r="P269">
        <v>0</v>
      </c>
    </row>
    <row r="270" spans="1:16" x14ac:dyDescent="0.2">
      <c r="A270" t="s">
        <v>404</v>
      </c>
      <c r="B270" t="s">
        <v>405</v>
      </c>
      <c r="C270" t="s">
        <v>307</v>
      </c>
      <c r="D270" t="s">
        <v>105</v>
      </c>
      <c r="E270">
        <v>1699.99</v>
      </c>
      <c r="F270" t="s">
        <v>5817</v>
      </c>
      <c r="G270">
        <v>26</v>
      </c>
      <c r="I270">
        <v>26</v>
      </c>
      <c r="L270" t="s">
        <v>8</v>
      </c>
      <c r="M270">
        <v>1</v>
      </c>
      <c r="N270">
        <v>11</v>
      </c>
      <c r="O270">
        <v>8.333333333333337E-2</v>
      </c>
      <c r="P270">
        <v>11</v>
      </c>
    </row>
    <row r="271" spans="1:16" x14ac:dyDescent="0.2">
      <c r="A271" t="s">
        <v>346</v>
      </c>
      <c r="B271" t="s">
        <v>347</v>
      </c>
      <c r="C271" t="s">
        <v>307</v>
      </c>
      <c r="D271" t="s">
        <v>138</v>
      </c>
      <c r="E271">
        <v>419.99</v>
      </c>
      <c r="F271" t="s">
        <v>5817</v>
      </c>
      <c r="G271">
        <v>12</v>
      </c>
      <c r="I271">
        <v>12</v>
      </c>
      <c r="L271" t="s">
        <v>8</v>
      </c>
      <c r="M271">
        <v>0</v>
      </c>
      <c r="N271">
        <v>0</v>
      </c>
      <c r="O271">
        <v>0</v>
      </c>
      <c r="P271">
        <v>0</v>
      </c>
    </row>
    <row r="272" spans="1:16" x14ac:dyDescent="0.2">
      <c r="A272" t="s">
        <v>372</v>
      </c>
      <c r="B272" t="s">
        <v>373</v>
      </c>
      <c r="C272" t="s">
        <v>307</v>
      </c>
      <c r="D272" t="s">
        <v>98</v>
      </c>
      <c r="E272">
        <v>699.99</v>
      </c>
      <c r="F272" t="s">
        <v>5817</v>
      </c>
      <c r="L272" t="s">
        <v>8</v>
      </c>
      <c r="M272">
        <v>0</v>
      </c>
      <c r="N272">
        <v>0</v>
      </c>
      <c r="O272">
        <v>0</v>
      </c>
      <c r="P272">
        <v>0</v>
      </c>
    </row>
    <row r="273" spans="1:16" x14ac:dyDescent="0.2">
      <c r="A273" t="s">
        <v>370</v>
      </c>
      <c r="B273" t="s">
        <v>371</v>
      </c>
      <c r="C273" t="s">
        <v>307</v>
      </c>
      <c r="D273" t="s">
        <v>98</v>
      </c>
      <c r="E273">
        <v>1199.99</v>
      </c>
      <c r="F273" t="s">
        <v>5817</v>
      </c>
      <c r="L273" t="s">
        <v>8</v>
      </c>
      <c r="M273">
        <v>1</v>
      </c>
      <c r="N273">
        <v>28</v>
      </c>
      <c r="O273">
        <v>0.25</v>
      </c>
      <c r="P273">
        <v>28</v>
      </c>
    </row>
    <row r="274" spans="1:16" x14ac:dyDescent="0.2">
      <c r="A274" t="s">
        <v>388</v>
      </c>
      <c r="B274" t="s">
        <v>389</v>
      </c>
      <c r="C274" t="s">
        <v>307</v>
      </c>
      <c r="D274" t="s">
        <v>105</v>
      </c>
      <c r="E274">
        <v>229</v>
      </c>
      <c r="F274" t="s">
        <v>5817</v>
      </c>
      <c r="G274">
        <v>8</v>
      </c>
      <c r="I274">
        <v>8</v>
      </c>
      <c r="L274" t="s">
        <v>8</v>
      </c>
      <c r="M274">
        <v>0</v>
      </c>
      <c r="N274">
        <v>0</v>
      </c>
      <c r="O274">
        <v>0</v>
      </c>
      <c r="P274">
        <v>0</v>
      </c>
    </row>
    <row r="275" spans="1:16" x14ac:dyDescent="0.2">
      <c r="A275" t="s">
        <v>318</v>
      </c>
      <c r="B275" t="s">
        <v>317</v>
      </c>
      <c r="C275" t="s">
        <v>307</v>
      </c>
      <c r="D275" t="s">
        <v>98</v>
      </c>
      <c r="E275">
        <v>499.99</v>
      </c>
      <c r="F275" t="s">
        <v>5817</v>
      </c>
      <c r="L275" t="s">
        <v>8</v>
      </c>
      <c r="M275">
        <v>0</v>
      </c>
      <c r="N275">
        <v>0</v>
      </c>
      <c r="O275">
        <v>0</v>
      </c>
      <c r="P275">
        <v>0</v>
      </c>
    </row>
    <row r="276" spans="1:16" x14ac:dyDescent="0.2">
      <c r="A276" t="s">
        <v>336</v>
      </c>
      <c r="B276" t="s">
        <v>337</v>
      </c>
      <c r="C276" t="s">
        <v>307</v>
      </c>
      <c r="D276" t="s">
        <v>105</v>
      </c>
      <c r="E276">
        <v>2899.99</v>
      </c>
      <c r="F276" t="s">
        <v>5817</v>
      </c>
      <c r="G276">
        <v>3</v>
      </c>
      <c r="I276">
        <v>3</v>
      </c>
      <c r="L276" t="s">
        <v>8</v>
      </c>
      <c r="M276">
        <v>1.5</v>
      </c>
      <c r="N276">
        <v>4.666666666666667</v>
      </c>
      <c r="O276">
        <v>0.58333333333333337</v>
      </c>
      <c r="P276">
        <v>7</v>
      </c>
    </row>
    <row r="277" spans="1:16" x14ac:dyDescent="0.2">
      <c r="A277" t="s">
        <v>319</v>
      </c>
      <c r="B277" t="s">
        <v>320</v>
      </c>
      <c r="C277" t="s">
        <v>307</v>
      </c>
      <c r="D277" t="s">
        <v>138</v>
      </c>
      <c r="E277">
        <v>649.99</v>
      </c>
      <c r="F277" t="s">
        <v>5817</v>
      </c>
      <c r="G277">
        <v>9</v>
      </c>
      <c r="I277">
        <v>9</v>
      </c>
      <c r="L277" t="s">
        <v>8</v>
      </c>
      <c r="M277">
        <v>0</v>
      </c>
      <c r="N277">
        <v>0</v>
      </c>
      <c r="O277">
        <v>0</v>
      </c>
      <c r="P277">
        <v>0</v>
      </c>
    </row>
    <row r="278" spans="1:16" x14ac:dyDescent="0.2">
      <c r="A278" t="s">
        <v>321</v>
      </c>
      <c r="B278" t="s">
        <v>322</v>
      </c>
      <c r="C278" t="s">
        <v>307</v>
      </c>
      <c r="D278" t="s">
        <v>98</v>
      </c>
      <c r="E278">
        <v>849.99</v>
      </c>
      <c r="F278" t="s">
        <v>5817</v>
      </c>
      <c r="L278" t="s">
        <v>8</v>
      </c>
      <c r="M278">
        <v>0</v>
      </c>
      <c r="N278">
        <v>0</v>
      </c>
      <c r="O278">
        <v>0</v>
      </c>
      <c r="P278">
        <v>0</v>
      </c>
    </row>
    <row r="279" spans="1:16" x14ac:dyDescent="0.2">
      <c r="A279" t="s">
        <v>310</v>
      </c>
      <c r="B279" t="s">
        <v>311</v>
      </c>
      <c r="C279" t="s">
        <v>307</v>
      </c>
      <c r="D279" t="s">
        <v>98</v>
      </c>
      <c r="E279">
        <v>449.99</v>
      </c>
      <c r="F279" t="s">
        <v>5817</v>
      </c>
      <c r="L279" t="s">
        <v>8</v>
      </c>
      <c r="M279">
        <v>0</v>
      </c>
      <c r="N279">
        <v>0</v>
      </c>
      <c r="O279">
        <v>0</v>
      </c>
      <c r="P279">
        <v>0</v>
      </c>
    </row>
    <row r="280" spans="1:16" x14ac:dyDescent="0.2">
      <c r="A280" t="s">
        <v>374</v>
      </c>
      <c r="B280" t="s">
        <v>375</v>
      </c>
      <c r="C280" t="s">
        <v>307</v>
      </c>
      <c r="D280" t="s">
        <v>98</v>
      </c>
      <c r="E280">
        <v>1899.99</v>
      </c>
      <c r="F280" t="s">
        <v>5817</v>
      </c>
      <c r="L280" t="s">
        <v>8</v>
      </c>
      <c r="M280">
        <v>1</v>
      </c>
      <c r="N280">
        <v>8</v>
      </c>
      <c r="O280">
        <v>0.33333333333333337</v>
      </c>
      <c r="P280">
        <v>8</v>
      </c>
    </row>
    <row r="281" spans="1:16" x14ac:dyDescent="0.2">
      <c r="A281" t="s">
        <v>312</v>
      </c>
      <c r="B281" t="s">
        <v>313</v>
      </c>
      <c r="C281" t="s">
        <v>307</v>
      </c>
      <c r="D281" t="s">
        <v>138</v>
      </c>
      <c r="E281">
        <v>549.99</v>
      </c>
      <c r="F281" t="s">
        <v>5817</v>
      </c>
      <c r="G281">
        <v>13</v>
      </c>
      <c r="I281">
        <v>13</v>
      </c>
      <c r="L281" t="s">
        <v>8</v>
      </c>
      <c r="M281">
        <v>0</v>
      </c>
      <c r="N281">
        <v>0</v>
      </c>
      <c r="O281">
        <v>0</v>
      </c>
      <c r="P281">
        <v>0</v>
      </c>
    </row>
    <row r="282" spans="1:16" x14ac:dyDescent="0.2">
      <c r="A282" t="s">
        <v>406</v>
      </c>
      <c r="B282" t="s">
        <v>407</v>
      </c>
      <c r="C282" t="s">
        <v>307</v>
      </c>
      <c r="D282" t="s">
        <v>98</v>
      </c>
      <c r="E282">
        <v>1699.99</v>
      </c>
      <c r="F282" t="s">
        <v>5817</v>
      </c>
      <c r="L282" t="s">
        <v>8</v>
      </c>
      <c r="M282">
        <v>0</v>
      </c>
      <c r="N282">
        <v>0</v>
      </c>
      <c r="O282">
        <v>0</v>
      </c>
      <c r="P282">
        <v>0</v>
      </c>
    </row>
    <row r="283" spans="1:16" x14ac:dyDescent="0.2">
      <c r="A283" t="s">
        <v>420</v>
      </c>
      <c r="B283" t="s">
        <v>421</v>
      </c>
      <c r="C283" t="s">
        <v>307</v>
      </c>
      <c r="D283" t="s">
        <v>98</v>
      </c>
      <c r="E283">
        <v>449</v>
      </c>
      <c r="F283" t="s">
        <v>5817</v>
      </c>
      <c r="L283" t="s">
        <v>8</v>
      </c>
      <c r="M283">
        <v>0</v>
      </c>
      <c r="N283">
        <v>0</v>
      </c>
      <c r="O283">
        <v>0</v>
      </c>
      <c r="P283">
        <v>0</v>
      </c>
    </row>
    <row r="284" spans="1:16" x14ac:dyDescent="0.2">
      <c r="A284" t="s">
        <v>418</v>
      </c>
      <c r="B284" t="s">
        <v>419</v>
      </c>
      <c r="C284" t="s">
        <v>307</v>
      </c>
      <c r="D284" t="s">
        <v>98</v>
      </c>
      <c r="E284">
        <v>449</v>
      </c>
      <c r="F284" t="s">
        <v>5817</v>
      </c>
      <c r="L284" t="s">
        <v>8</v>
      </c>
      <c r="M284">
        <v>0</v>
      </c>
      <c r="N284">
        <v>0</v>
      </c>
      <c r="O284">
        <v>0</v>
      </c>
      <c r="P284">
        <v>0</v>
      </c>
    </row>
    <row r="285" spans="1:16" x14ac:dyDescent="0.2">
      <c r="A285" t="s">
        <v>338</v>
      </c>
      <c r="B285" t="s">
        <v>339</v>
      </c>
      <c r="C285" t="s">
        <v>307</v>
      </c>
      <c r="D285" t="s">
        <v>98</v>
      </c>
      <c r="E285">
        <v>2899.99</v>
      </c>
      <c r="F285" t="s">
        <v>5817</v>
      </c>
      <c r="L285" t="s">
        <v>8</v>
      </c>
      <c r="M285">
        <v>1</v>
      </c>
      <c r="N285">
        <v>5</v>
      </c>
      <c r="O285">
        <v>0.25</v>
      </c>
      <c r="P285">
        <v>5</v>
      </c>
    </row>
    <row r="286" spans="1:16" x14ac:dyDescent="0.2">
      <c r="A286" t="s">
        <v>424</v>
      </c>
      <c r="B286" t="s">
        <v>425</v>
      </c>
      <c r="C286" t="s">
        <v>307</v>
      </c>
      <c r="D286" t="s">
        <v>98</v>
      </c>
      <c r="E286">
        <v>449</v>
      </c>
      <c r="F286" t="s">
        <v>5817</v>
      </c>
      <c r="L286" t="s">
        <v>8</v>
      </c>
      <c r="M286">
        <v>0</v>
      </c>
      <c r="N286">
        <v>0</v>
      </c>
      <c r="O286">
        <v>0</v>
      </c>
      <c r="P286">
        <v>0</v>
      </c>
    </row>
    <row r="287" spans="1:16" x14ac:dyDescent="0.2">
      <c r="A287" t="s">
        <v>344</v>
      </c>
      <c r="B287" t="s">
        <v>345</v>
      </c>
      <c r="C287" t="s">
        <v>307</v>
      </c>
      <c r="D287" t="s">
        <v>98</v>
      </c>
      <c r="E287">
        <v>3699.99</v>
      </c>
      <c r="F287" t="s">
        <v>5817</v>
      </c>
      <c r="L287" t="s">
        <v>8</v>
      </c>
      <c r="M287">
        <v>0</v>
      </c>
      <c r="N287">
        <v>0</v>
      </c>
      <c r="O287">
        <v>0</v>
      </c>
      <c r="P287">
        <v>0</v>
      </c>
    </row>
    <row r="288" spans="1:16" x14ac:dyDescent="0.2">
      <c r="A288" t="s">
        <v>340</v>
      </c>
      <c r="B288" t="s">
        <v>341</v>
      </c>
      <c r="C288" t="s">
        <v>307</v>
      </c>
      <c r="D288" t="s">
        <v>98</v>
      </c>
      <c r="E288">
        <v>3299.99</v>
      </c>
      <c r="F288" t="s">
        <v>5817</v>
      </c>
      <c r="L288" t="s">
        <v>8</v>
      </c>
      <c r="M288">
        <v>0</v>
      </c>
      <c r="N288">
        <v>0</v>
      </c>
      <c r="O288">
        <v>0</v>
      </c>
      <c r="P288">
        <v>0</v>
      </c>
    </row>
    <row r="289" spans="1:16" x14ac:dyDescent="0.2">
      <c r="A289" t="s">
        <v>377</v>
      </c>
      <c r="B289" t="s">
        <v>376</v>
      </c>
      <c r="C289" t="s">
        <v>307</v>
      </c>
      <c r="D289" t="s">
        <v>98</v>
      </c>
      <c r="E289">
        <v>2299.9899999999998</v>
      </c>
      <c r="F289" t="s">
        <v>5817</v>
      </c>
      <c r="L289" t="s">
        <v>8</v>
      </c>
      <c r="M289">
        <v>0</v>
      </c>
      <c r="N289">
        <v>0</v>
      </c>
      <c r="O289">
        <v>0</v>
      </c>
      <c r="P289">
        <v>0</v>
      </c>
    </row>
    <row r="290" spans="1:16" x14ac:dyDescent="0.2">
      <c r="A290" t="s">
        <v>403</v>
      </c>
      <c r="B290" t="s">
        <v>402</v>
      </c>
      <c r="C290" t="s">
        <v>307</v>
      </c>
      <c r="D290" t="s">
        <v>98</v>
      </c>
      <c r="E290">
        <v>1699.99</v>
      </c>
      <c r="F290" t="s">
        <v>5817</v>
      </c>
      <c r="L290" t="s">
        <v>8</v>
      </c>
      <c r="M290">
        <v>2</v>
      </c>
      <c r="N290">
        <v>5.5</v>
      </c>
      <c r="O290">
        <v>0.58333333333333326</v>
      </c>
      <c r="P290">
        <v>11</v>
      </c>
    </row>
    <row r="291" spans="1:16" x14ac:dyDescent="0.2">
      <c r="A291" t="s">
        <v>5241</v>
      </c>
      <c r="B291" t="s">
        <v>5242</v>
      </c>
      <c r="C291" t="s">
        <v>582</v>
      </c>
      <c r="D291" t="s">
        <v>98</v>
      </c>
      <c r="E291">
        <v>79.989999999999995</v>
      </c>
      <c r="F291" t="s">
        <v>5817</v>
      </c>
      <c r="L291" t="s">
        <v>73</v>
      </c>
      <c r="M291">
        <v>0</v>
      </c>
      <c r="N291">
        <v>0</v>
      </c>
      <c r="O291">
        <v>1.9166666666666667</v>
      </c>
      <c r="P291">
        <v>0</v>
      </c>
    </row>
    <row r="292" spans="1:16" x14ac:dyDescent="0.2">
      <c r="A292" t="s">
        <v>776</v>
      </c>
      <c r="B292" t="s">
        <v>777</v>
      </c>
      <c r="C292" t="s">
        <v>582</v>
      </c>
      <c r="D292" t="s">
        <v>105</v>
      </c>
      <c r="E292">
        <v>69.989999999999995</v>
      </c>
      <c r="F292" t="s">
        <v>5817</v>
      </c>
      <c r="G292">
        <v>98</v>
      </c>
      <c r="H292" t="s">
        <v>5827</v>
      </c>
      <c r="I292">
        <v>78</v>
      </c>
      <c r="K292">
        <v>40</v>
      </c>
      <c r="L292" t="s">
        <v>73</v>
      </c>
      <c r="M292">
        <v>2</v>
      </c>
      <c r="N292">
        <v>26.5</v>
      </c>
      <c r="O292">
        <v>2.333333333333333</v>
      </c>
      <c r="P292">
        <v>53</v>
      </c>
    </row>
    <row r="293" spans="1:16" x14ac:dyDescent="0.2">
      <c r="A293" t="s">
        <v>5257</v>
      </c>
      <c r="B293" t="s">
        <v>5258</v>
      </c>
      <c r="C293" t="s">
        <v>582</v>
      </c>
      <c r="D293" t="s">
        <v>138</v>
      </c>
      <c r="E293">
        <v>69.989999999999995</v>
      </c>
      <c r="F293" t="s">
        <v>5817</v>
      </c>
      <c r="G293">
        <v>119</v>
      </c>
      <c r="I293">
        <v>119</v>
      </c>
      <c r="L293" t="s">
        <v>73</v>
      </c>
      <c r="M293">
        <v>1.5</v>
      </c>
      <c r="N293">
        <v>34</v>
      </c>
      <c r="O293">
        <v>1.75</v>
      </c>
      <c r="P293">
        <v>51</v>
      </c>
    </row>
    <row r="294" spans="1:16" x14ac:dyDescent="0.2">
      <c r="A294" t="s">
        <v>778</v>
      </c>
      <c r="B294" t="s">
        <v>779</v>
      </c>
      <c r="C294" t="s">
        <v>582</v>
      </c>
      <c r="D294" t="s">
        <v>105</v>
      </c>
      <c r="E294">
        <v>59.99</v>
      </c>
      <c r="F294" t="s">
        <v>5817</v>
      </c>
      <c r="G294">
        <v>30</v>
      </c>
      <c r="H294" t="s">
        <v>5827</v>
      </c>
      <c r="I294">
        <v>10</v>
      </c>
      <c r="K294">
        <v>80</v>
      </c>
      <c r="L294" t="s">
        <v>73</v>
      </c>
      <c r="M294">
        <v>5.1666666666666661</v>
      </c>
      <c r="N294">
        <v>14.903225806451614</v>
      </c>
      <c r="O294">
        <v>3.3333333333333335</v>
      </c>
      <c r="P294">
        <v>77</v>
      </c>
    </row>
    <row r="295" spans="1:16" x14ac:dyDescent="0.2">
      <c r="A295" t="s">
        <v>748</v>
      </c>
      <c r="B295" t="s">
        <v>749</v>
      </c>
      <c r="C295" t="s">
        <v>582</v>
      </c>
      <c r="D295" t="s">
        <v>105</v>
      </c>
      <c r="E295">
        <v>19.989999999999998</v>
      </c>
      <c r="F295" t="s">
        <v>5817</v>
      </c>
      <c r="G295">
        <v>453</v>
      </c>
      <c r="I295">
        <v>453</v>
      </c>
      <c r="L295" t="s">
        <v>73</v>
      </c>
      <c r="M295">
        <v>0</v>
      </c>
      <c r="N295">
        <v>0</v>
      </c>
      <c r="O295">
        <v>8.3333333333333329E-2</v>
      </c>
      <c r="P295">
        <v>0</v>
      </c>
    </row>
    <row r="296" spans="1:16" x14ac:dyDescent="0.2">
      <c r="A296" t="s">
        <v>754</v>
      </c>
      <c r="B296" t="s">
        <v>755</v>
      </c>
      <c r="C296" t="s">
        <v>582</v>
      </c>
      <c r="D296" t="s">
        <v>98</v>
      </c>
      <c r="E296">
        <v>44.99</v>
      </c>
      <c r="F296" t="s">
        <v>5817</v>
      </c>
      <c r="L296" t="s">
        <v>73</v>
      </c>
      <c r="M296">
        <v>3</v>
      </c>
      <c r="N296">
        <v>0</v>
      </c>
      <c r="O296">
        <v>4.583333333333333</v>
      </c>
      <c r="P296">
        <v>0</v>
      </c>
    </row>
    <row r="297" spans="1:16" x14ac:dyDescent="0.2">
      <c r="A297" t="s">
        <v>766</v>
      </c>
      <c r="B297" t="s">
        <v>767</v>
      </c>
      <c r="C297" t="s">
        <v>582</v>
      </c>
      <c r="D297" t="s">
        <v>105</v>
      </c>
      <c r="E297">
        <v>59.99</v>
      </c>
      <c r="F297" t="s">
        <v>5817</v>
      </c>
      <c r="L297" t="s">
        <v>73</v>
      </c>
      <c r="M297">
        <v>0</v>
      </c>
      <c r="N297">
        <v>0</v>
      </c>
      <c r="O297">
        <v>0</v>
      </c>
      <c r="P297">
        <v>0</v>
      </c>
    </row>
    <row r="298" spans="1:16" x14ac:dyDescent="0.2">
      <c r="A298" t="s">
        <v>644</v>
      </c>
      <c r="B298" t="s">
        <v>645</v>
      </c>
      <c r="C298" t="s">
        <v>582</v>
      </c>
      <c r="D298" t="s">
        <v>98</v>
      </c>
      <c r="E298">
        <v>79.989999999999995</v>
      </c>
      <c r="F298" t="s">
        <v>5817</v>
      </c>
      <c r="L298" t="s">
        <v>73</v>
      </c>
      <c r="M298">
        <v>1.3333333333333333</v>
      </c>
      <c r="N298">
        <v>12.75</v>
      </c>
      <c r="O298">
        <v>0.16666666666666666</v>
      </c>
      <c r="P298">
        <v>17</v>
      </c>
    </row>
    <row r="299" spans="1:16" x14ac:dyDescent="0.2">
      <c r="A299" t="s">
        <v>714</v>
      </c>
      <c r="B299" t="s">
        <v>715</v>
      </c>
      <c r="C299" t="s">
        <v>582</v>
      </c>
      <c r="D299" t="s">
        <v>98</v>
      </c>
      <c r="E299">
        <v>49.99</v>
      </c>
      <c r="F299" t="s">
        <v>5817</v>
      </c>
      <c r="L299" t="s">
        <v>73</v>
      </c>
      <c r="M299">
        <v>1.3333333333333335</v>
      </c>
      <c r="N299">
        <v>23.999999999999996</v>
      </c>
      <c r="O299">
        <v>1</v>
      </c>
      <c r="P299">
        <v>32</v>
      </c>
    </row>
    <row r="300" spans="1:16" x14ac:dyDescent="0.2">
      <c r="A300" t="s">
        <v>601</v>
      </c>
      <c r="B300" t="s">
        <v>602</v>
      </c>
      <c r="C300" t="s">
        <v>582</v>
      </c>
      <c r="D300" t="s">
        <v>105</v>
      </c>
      <c r="E300">
        <v>29.99</v>
      </c>
      <c r="F300" t="s">
        <v>5817</v>
      </c>
      <c r="G300">
        <v>449</v>
      </c>
      <c r="I300">
        <v>449</v>
      </c>
      <c r="L300" t="s">
        <v>73</v>
      </c>
      <c r="M300">
        <v>10.666666666666666</v>
      </c>
      <c r="N300">
        <v>4.5</v>
      </c>
      <c r="O300">
        <v>4</v>
      </c>
      <c r="P300">
        <v>48</v>
      </c>
    </row>
    <row r="301" spans="1:16" x14ac:dyDescent="0.2">
      <c r="A301" t="s">
        <v>746</v>
      </c>
      <c r="B301" t="s">
        <v>747</v>
      </c>
      <c r="C301" t="s">
        <v>582</v>
      </c>
      <c r="D301" t="s">
        <v>105</v>
      </c>
      <c r="E301">
        <v>29.99</v>
      </c>
      <c r="F301" t="s">
        <v>5817</v>
      </c>
      <c r="G301">
        <v>57</v>
      </c>
      <c r="I301">
        <v>57</v>
      </c>
      <c r="L301" t="s">
        <v>73</v>
      </c>
      <c r="M301">
        <v>3.6</v>
      </c>
      <c r="N301">
        <v>200.83333333333331</v>
      </c>
      <c r="O301">
        <v>3.666666666666667</v>
      </c>
      <c r="P301">
        <v>723</v>
      </c>
    </row>
    <row r="302" spans="1:16" x14ac:dyDescent="0.2">
      <c r="A302" t="s">
        <v>760</v>
      </c>
      <c r="B302" t="s">
        <v>761</v>
      </c>
      <c r="C302" t="s">
        <v>582</v>
      </c>
      <c r="D302" t="s">
        <v>105</v>
      </c>
      <c r="E302">
        <v>59.99</v>
      </c>
      <c r="F302" t="s">
        <v>5817</v>
      </c>
      <c r="L302" t="s">
        <v>73</v>
      </c>
      <c r="M302">
        <v>0</v>
      </c>
      <c r="N302">
        <v>0</v>
      </c>
      <c r="O302">
        <v>0</v>
      </c>
      <c r="P302">
        <v>0</v>
      </c>
    </row>
    <row r="303" spans="1:16" x14ac:dyDescent="0.2">
      <c r="A303" t="s">
        <v>762</v>
      </c>
      <c r="B303" t="s">
        <v>763</v>
      </c>
      <c r="C303" t="s">
        <v>582</v>
      </c>
      <c r="D303" t="s">
        <v>98</v>
      </c>
      <c r="E303">
        <v>59.99</v>
      </c>
      <c r="F303" t="s">
        <v>5817</v>
      </c>
      <c r="L303" t="s">
        <v>73</v>
      </c>
      <c r="N303">
        <v>0</v>
      </c>
      <c r="O303">
        <v>0</v>
      </c>
      <c r="P303">
        <v>1</v>
      </c>
    </row>
    <row r="304" spans="1:16" x14ac:dyDescent="0.2">
      <c r="A304" t="s">
        <v>764</v>
      </c>
      <c r="B304" t="s">
        <v>765</v>
      </c>
      <c r="C304" t="s">
        <v>582</v>
      </c>
      <c r="D304" t="s">
        <v>98</v>
      </c>
      <c r="E304">
        <v>59.99</v>
      </c>
      <c r="F304" t="s">
        <v>5817</v>
      </c>
      <c r="L304" t="s">
        <v>73</v>
      </c>
      <c r="M304">
        <v>0</v>
      </c>
      <c r="N304">
        <v>0</v>
      </c>
      <c r="O304">
        <v>0</v>
      </c>
      <c r="P304">
        <v>0</v>
      </c>
    </row>
    <row r="305" spans="1:16" x14ac:dyDescent="0.2">
      <c r="A305" t="s">
        <v>30</v>
      </c>
      <c r="B305" t="s">
        <v>802</v>
      </c>
      <c r="C305" t="s">
        <v>582</v>
      </c>
      <c r="D305" t="s">
        <v>105</v>
      </c>
      <c r="E305">
        <v>19.989999999999998</v>
      </c>
      <c r="F305" t="s">
        <v>5817</v>
      </c>
      <c r="G305">
        <v>766</v>
      </c>
      <c r="H305" t="s">
        <v>5827</v>
      </c>
      <c r="I305">
        <v>746</v>
      </c>
      <c r="K305">
        <v>120</v>
      </c>
      <c r="L305" t="s">
        <v>73</v>
      </c>
      <c r="M305">
        <v>3.5</v>
      </c>
      <c r="N305">
        <v>19.142857142857142</v>
      </c>
      <c r="O305">
        <v>0.16666666666666674</v>
      </c>
      <c r="P305">
        <v>67</v>
      </c>
    </row>
    <row r="306" spans="1:16" x14ac:dyDescent="0.2">
      <c r="A306" t="s">
        <v>782</v>
      </c>
      <c r="B306" t="s">
        <v>783</v>
      </c>
      <c r="C306" t="s">
        <v>582</v>
      </c>
      <c r="D306" t="s">
        <v>105</v>
      </c>
      <c r="E306">
        <v>19.989999999999998</v>
      </c>
      <c r="F306" t="s">
        <v>5817</v>
      </c>
      <c r="G306">
        <v>707</v>
      </c>
      <c r="I306">
        <v>707</v>
      </c>
      <c r="L306" t="s">
        <v>73</v>
      </c>
      <c r="M306">
        <v>3</v>
      </c>
      <c r="N306">
        <v>109</v>
      </c>
      <c r="O306">
        <v>0</v>
      </c>
      <c r="P306">
        <v>327</v>
      </c>
    </row>
    <row r="307" spans="1:16" x14ac:dyDescent="0.2">
      <c r="A307" t="s">
        <v>720</v>
      </c>
      <c r="B307" t="s">
        <v>721</v>
      </c>
      <c r="C307" t="s">
        <v>582</v>
      </c>
      <c r="D307" t="s">
        <v>105</v>
      </c>
      <c r="E307">
        <v>69.989999999999995</v>
      </c>
      <c r="F307" t="s">
        <v>5817</v>
      </c>
      <c r="G307">
        <v>58</v>
      </c>
      <c r="I307">
        <v>58</v>
      </c>
      <c r="L307" t="s">
        <v>73</v>
      </c>
      <c r="M307">
        <v>1.6</v>
      </c>
      <c r="N307">
        <v>58.125</v>
      </c>
      <c r="O307">
        <v>8.3333333333333329E-2</v>
      </c>
      <c r="P307">
        <v>93</v>
      </c>
    </row>
    <row r="308" spans="1:16" x14ac:dyDescent="0.2">
      <c r="A308" t="s">
        <v>650</v>
      </c>
      <c r="B308" t="s">
        <v>651</v>
      </c>
      <c r="C308" t="s">
        <v>582</v>
      </c>
      <c r="D308" t="s">
        <v>105</v>
      </c>
      <c r="E308">
        <v>119.99</v>
      </c>
      <c r="F308" t="s">
        <v>5817</v>
      </c>
      <c r="J308">
        <v>15</v>
      </c>
      <c r="K308">
        <v>120</v>
      </c>
      <c r="L308" t="s">
        <v>73</v>
      </c>
      <c r="M308">
        <v>4.333333333333333</v>
      </c>
      <c r="N308">
        <v>24.230769230769234</v>
      </c>
      <c r="O308">
        <v>1.0833333333333333</v>
      </c>
      <c r="P308">
        <v>105</v>
      </c>
    </row>
    <row r="309" spans="1:16" x14ac:dyDescent="0.2">
      <c r="A309" t="s">
        <v>700</v>
      </c>
      <c r="B309" t="s">
        <v>701</v>
      </c>
      <c r="C309" t="s">
        <v>582</v>
      </c>
      <c r="D309" t="s">
        <v>105</v>
      </c>
      <c r="E309">
        <v>59.99</v>
      </c>
      <c r="F309" t="s">
        <v>5817</v>
      </c>
      <c r="G309">
        <v>89</v>
      </c>
      <c r="H309" t="s">
        <v>5823</v>
      </c>
      <c r="I309">
        <v>88</v>
      </c>
      <c r="L309" t="s">
        <v>73</v>
      </c>
      <c r="M309">
        <v>2.6666666666666665</v>
      </c>
      <c r="N309">
        <v>28.875</v>
      </c>
      <c r="O309">
        <v>0.91666666666666674</v>
      </c>
      <c r="P309">
        <v>77</v>
      </c>
    </row>
    <row r="310" spans="1:16" x14ac:dyDescent="0.2">
      <c r="A310" t="s">
        <v>698</v>
      </c>
      <c r="B310" t="s">
        <v>699</v>
      </c>
      <c r="C310" t="s">
        <v>582</v>
      </c>
      <c r="D310" t="s">
        <v>105</v>
      </c>
      <c r="E310">
        <v>59.99</v>
      </c>
      <c r="F310" t="s">
        <v>5817</v>
      </c>
      <c r="G310">
        <v>22</v>
      </c>
      <c r="I310">
        <v>22</v>
      </c>
      <c r="K310">
        <v>40</v>
      </c>
      <c r="L310" t="s">
        <v>73</v>
      </c>
      <c r="M310">
        <v>4.4000000000000004</v>
      </c>
      <c r="N310">
        <v>34.54545454545454</v>
      </c>
      <c r="O310">
        <v>1.5</v>
      </c>
      <c r="P310">
        <v>152</v>
      </c>
    </row>
    <row r="311" spans="1:16" x14ac:dyDescent="0.2">
      <c r="A311" t="s">
        <v>788</v>
      </c>
      <c r="B311" t="s">
        <v>5828</v>
      </c>
      <c r="C311" t="s">
        <v>582</v>
      </c>
      <c r="D311" t="s">
        <v>105</v>
      </c>
      <c r="E311">
        <v>39.99</v>
      </c>
      <c r="F311" t="s">
        <v>5817</v>
      </c>
      <c r="G311">
        <v>101</v>
      </c>
      <c r="H311" t="s">
        <v>5829</v>
      </c>
      <c r="I311">
        <v>76</v>
      </c>
      <c r="K311">
        <v>120</v>
      </c>
      <c r="L311" t="s">
        <v>73</v>
      </c>
      <c r="M311">
        <v>6</v>
      </c>
      <c r="N311">
        <v>9.3333333333333339</v>
      </c>
      <c r="O311">
        <v>0</v>
      </c>
      <c r="P311">
        <v>56</v>
      </c>
    </row>
    <row r="312" spans="1:16" x14ac:dyDescent="0.2">
      <c r="A312" t="s">
        <v>686</v>
      </c>
      <c r="B312" t="s">
        <v>687</v>
      </c>
      <c r="C312" t="s">
        <v>582</v>
      </c>
      <c r="D312" t="s">
        <v>105</v>
      </c>
      <c r="E312">
        <v>59.99</v>
      </c>
      <c r="F312" t="s">
        <v>5817</v>
      </c>
      <c r="G312">
        <v>67</v>
      </c>
      <c r="H312" t="s">
        <v>5827</v>
      </c>
      <c r="I312">
        <v>47</v>
      </c>
      <c r="L312" t="s">
        <v>73</v>
      </c>
      <c r="M312">
        <v>1.3333333333333335</v>
      </c>
      <c r="N312">
        <v>59.999999999999993</v>
      </c>
      <c r="O312">
        <v>0</v>
      </c>
      <c r="P312">
        <v>80</v>
      </c>
    </row>
    <row r="313" spans="1:16" x14ac:dyDescent="0.2">
      <c r="A313" t="s">
        <v>786</v>
      </c>
      <c r="B313" t="s">
        <v>787</v>
      </c>
      <c r="C313" t="s">
        <v>582</v>
      </c>
      <c r="D313" t="s">
        <v>105</v>
      </c>
      <c r="E313">
        <v>44.99</v>
      </c>
      <c r="F313" t="s">
        <v>5817</v>
      </c>
      <c r="G313">
        <v>377</v>
      </c>
      <c r="H313" t="s">
        <v>5830</v>
      </c>
      <c r="I313">
        <v>362</v>
      </c>
      <c r="L313" t="s">
        <v>73</v>
      </c>
      <c r="M313">
        <v>2</v>
      </c>
      <c r="N313">
        <v>42</v>
      </c>
      <c r="O313">
        <v>0</v>
      </c>
      <c r="P313">
        <v>84</v>
      </c>
    </row>
    <row r="314" spans="1:16" x14ac:dyDescent="0.2">
      <c r="A314" t="s">
        <v>5550</v>
      </c>
      <c r="B314" t="s">
        <v>5551</v>
      </c>
      <c r="C314" t="s">
        <v>582</v>
      </c>
      <c r="D314" t="s">
        <v>98</v>
      </c>
      <c r="E314">
        <v>34.99</v>
      </c>
      <c r="F314" t="s">
        <v>5817</v>
      </c>
      <c r="L314" t="s">
        <v>73</v>
      </c>
      <c r="M314">
        <v>0</v>
      </c>
      <c r="N314">
        <v>0</v>
      </c>
      <c r="O314">
        <v>0</v>
      </c>
      <c r="P314">
        <v>0</v>
      </c>
    </row>
    <row r="315" spans="1:16" x14ac:dyDescent="0.2">
      <c r="A315" t="s">
        <v>796</v>
      </c>
      <c r="B315" t="s">
        <v>797</v>
      </c>
      <c r="C315" t="s">
        <v>582</v>
      </c>
      <c r="D315" t="s">
        <v>105</v>
      </c>
      <c r="E315">
        <v>34.99</v>
      </c>
      <c r="F315" t="s">
        <v>5817</v>
      </c>
      <c r="G315">
        <v>323</v>
      </c>
      <c r="I315">
        <v>323</v>
      </c>
      <c r="K315">
        <v>120</v>
      </c>
      <c r="L315" t="s">
        <v>73</v>
      </c>
      <c r="M315">
        <v>4.2</v>
      </c>
      <c r="N315">
        <v>20.476190476190474</v>
      </c>
      <c r="O315">
        <v>0.16666666666666674</v>
      </c>
      <c r="P315">
        <v>86</v>
      </c>
    </row>
    <row r="316" spans="1:16" x14ac:dyDescent="0.2">
      <c r="A316" t="s">
        <v>5544</v>
      </c>
      <c r="B316" t="s">
        <v>5545</v>
      </c>
      <c r="C316" t="s">
        <v>582</v>
      </c>
      <c r="D316" t="s">
        <v>98</v>
      </c>
      <c r="E316">
        <v>39.99</v>
      </c>
      <c r="F316" t="s">
        <v>5817</v>
      </c>
      <c r="L316" t="s">
        <v>73</v>
      </c>
      <c r="M316">
        <v>0</v>
      </c>
      <c r="N316">
        <v>0</v>
      </c>
      <c r="O316">
        <v>0</v>
      </c>
      <c r="P316">
        <v>0</v>
      </c>
    </row>
    <row r="317" spans="1:16" x14ac:dyDescent="0.2">
      <c r="A317" t="s">
        <v>5300</v>
      </c>
      <c r="B317" t="s">
        <v>5301</v>
      </c>
      <c r="C317" t="s">
        <v>582</v>
      </c>
      <c r="D317" t="s">
        <v>98</v>
      </c>
      <c r="E317">
        <v>19.989999999999998</v>
      </c>
      <c r="F317" t="s">
        <v>5817</v>
      </c>
      <c r="L317" t="s">
        <v>73</v>
      </c>
      <c r="M317">
        <v>0</v>
      </c>
      <c r="N317">
        <v>0</v>
      </c>
      <c r="O317">
        <v>0</v>
      </c>
      <c r="P317">
        <v>0</v>
      </c>
    </row>
    <row r="318" spans="1:16" x14ac:dyDescent="0.2">
      <c r="A318" t="s">
        <v>5298</v>
      </c>
      <c r="B318" t="s">
        <v>5299</v>
      </c>
      <c r="C318" t="s">
        <v>582</v>
      </c>
      <c r="D318" t="s">
        <v>98</v>
      </c>
      <c r="E318">
        <v>39.99</v>
      </c>
      <c r="F318" t="s">
        <v>5817</v>
      </c>
      <c r="L318" t="s">
        <v>73</v>
      </c>
      <c r="M318">
        <v>0</v>
      </c>
      <c r="N318">
        <v>0</v>
      </c>
      <c r="O318">
        <v>0</v>
      </c>
      <c r="P318">
        <v>0</v>
      </c>
    </row>
    <row r="319" spans="1:16" x14ac:dyDescent="0.2">
      <c r="A319" t="s">
        <v>736</v>
      </c>
      <c r="B319" t="s">
        <v>737</v>
      </c>
      <c r="C319" t="s">
        <v>582</v>
      </c>
      <c r="D319" t="s">
        <v>105</v>
      </c>
      <c r="E319">
        <v>29.99</v>
      </c>
      <c r="F319" t="s">
        <v>5817</v>
      </c>
      <c r="G319">
        <v>43</v>
      </c>
      <c r="H319" t="s">
        <v>5827</v>
      </c>
      <c r="I319">
        <v>23</v>
      </c>
      <c r="K319">
        <v>1000</v>
      </c>
      <c r="L319" t="s">
        <v>73</v>
      </c>
      <c r="M319">
        <v>3.3333333333333335</v>
      </c>
      <c r="N319">
        <v>25.5</v>
      </c>
      <c r="O319">
        <v>0.75</v>
      </c>
      <c r="P319">
        <v>85</v>
      </c>
    </row>
    <row r="320" spans="1:16" x14ac:dyDescent="0.2">
      <c r="A320" t="s">
        <v>5296</v>
      </c>
      <c r="B320" t="s">
        <v>5297</v>
      </c>
      <c r="C320" t="s">
        <v>582</v>
      </c>
      <c r="D320" t="s">
        <v>98</v>
      </c>
      <c r="E320">
        <v>24.99</v>
      </c>
      <c r="F320" t="s">
        <v>5817</v>
      </c>
      <c r="L320" t="s">
        <v>73</v>
      </c>
      <c r="M320">
        <v>0</v>
      </c>
      <c r="N320">
        <v>0</v>
      </c>
      <c r="O320">
        <v>0</v>
      </c>
      <c r="P320">
        <v>0</v>
      </c>
    </row>
    <row r="321" spans="1:16" x14ac:dyDescent="0.2">
      <c r="A321" t="s">
        <v>5292</v>
      </c>
      <c r="B321" t="s">
        <v>5293</v>
      </c>
      <c r="C321" t="s">
        <v>582</v>
      </c>
      <c r="D321" t="s">
        <v>98</v>
      </c>
      <c r="E321">
        <v>69.989999999999995</v>
      </c>
      <c r="F321" t="s">
        <v>5817</v>
      </c>
      <c r="L321" t="s">
        <v>73</v>
      </c>
      <c r="M321">
        <v>0</v>
      </c>
      <c r="N321">
        <v>0</v>
      </c>
      <c r="O321">
        <v>0</v>
      </c>
      <c r="P321">
        <v>0</v>
      </c>
    </row>
    <row r="322" spans="1:16" x14ac:dyDescent="0.2">
      <c r="A322" t="s">
        <v>5311</v>
      </c>
      <c r="B322" t="s">
        <v>5312</v>
      </c>
      <c r="C322" t="s">
        <v>582</v>
      </c>
      <c r="D322" t="s">
        <v>98</v>
      </c>
      <c r="E322">
        <v>29.99</v>
      </c>
      <c r="F322" t="s">
        <v>5817</v>
      </c>
      <c r="L322" t="s">
        <v>73</v>
      </c>
      <c r="M322">
        <v>0</v>
      </c>
      <c r="N322">
        <v>0</v>
      </c>
      <c r="O322">
        <v>0</v>
      </c>
      <c r="P322">
        <v>0</v>
      </c>
    </row>
    <row r="323" spans="1:16" x14ac:dyDescent="0.2">
      <c r="A323" t="s">
        <v>5307</v>
      </c>
      <c r="B323" t="s">
        <v>5308</v>
      </c>
      <c r="C323" t="s">
        <v>582</v>
      </c>
      <c r="D323" t="s">
        <v>98</v>
      </c>
      <c r="E323">
        <v>29.99</v>
      </c>
      <c r="F323" t="s">
        <v>5817</v>
      </c>
      <c r="L323" t="s">
        <v>73</v>
      </c>
      <c r="M323">
        <v>0</v>
      </c>
      <c r="N323">
        <v>0</v>
      </c>
      <c r="O323">
        <v>0</v>
      </c>
      <c r="P323">
        <v>0</v>
      </c>
    </row>
    <row r="324" spans="1:16" x14ac:dyDescent="0.2">
      <c r="A324" t="s">
        <v>5305</v>
      </c>
      <c r="B324" t="s">
        <v>5306</v>
      </c>
      <c r="C324" t="s">
        <v>582</v>
      </c>
      <c r="D324" t="s">
        <v>98</v>
      </c>
      <c r="E324">
        <v>24.99</v>
      </c>
      <c r="F324" t="s">
        <v>5817</v>
      </c>
      <c r="L324" t="s">
        <v>73</v>
      </c>
      <c r="M324">
        <v>0</v>
      </c>
      <c r="N324">
        <v>0</v>
      </c>
      <c r="O324">
        <v>0</v>
      </c>
      <c r="P324">
        <v>0</v>
      </c>
    </row>
    <row r="325" spans="1:16" x14ac:dyDescent="0.2">
      <c r="A325" t="s">
        <v>5264</v>
      </c>
      <c r="B325" t="s">
        <v>5265</v>
      </c>
      <c r="C325" t="s">
        <v>582</v>
      </c>
      <c r="D325" t="s">
        <v>98</v>
      </c>
      <c r="E325">
        <v>59.99</v>
      </c>
      <c r="F325" t="s">
        <v>5817</v>
      </c>
      <c r="L325" t="s">
        <v>73</v>
      </c>
      <c r="M325">
        <v>0</v>
      </c>
      <c r="N325">
        <v>0</v>
      </c>
      <c r="O325">
        <v>0</v>
      </c>
      <c r="P325">
        <v>0</v>
      </c>
    </row>
    <row r="326" spans="1:16" x14ac:dyDescent="0.2">
      <c r="A326" t="s">
        <v>5268</v>
      </c>
      <c r="B326" t="s">
        <v>5269</v>
      </c>
      <c r="C326" t="s">
        <v>582</v>
      </c>
      <c r="D326" t="s">
        <v>98</v>
      </c>
      <c r="E326">
        <v>39.99</v>
      </c>
      <c r="F326" t="s">
        <v>5817</v>
      </c>
      <c r="L326" t="s">
        <v>73</v>
      </c>
      <c r="M326">
        <v>0</v>
      </c>
      <c r="N326">
        <v>0</v>
      </c>
      <c r="O326">
        <v>0</v>
      </c>
      <c r="P326">
        <v>0</v>
      </c>
    </row>
    <row r="327" spans="1:16" x14ac:dyDescent="0.2">
      <c r="A327" t="s">
        <v>5280</v>
      </c>
      <c r="B327" t="s">
        <v>5281</v>
      </c>
      <c r="C327" t="s">
        <v>582</v>
      </c>
      <c r="D327" t="s">
        <v>98</v>
      </c>
      <c r="E327">
        <v>179.99</v>
      </c>
      <c r="F327" t="s">
        <v>5817</v>
      </c>
      <c r="L327" t="s">
        <v>73</v>
      </c>
      <c r="M327">
        <v>0</v>
      </c>
      <c r="N327">
        <v>0</v>
      </c>
      <c r="O327">
        <v>0</v>
      </c>
      <c r="P327">
        <v>0</v>
      </c>
    </row>
    <row r="328" spans="1:16" x14ac:dyDescent="0.2">
      <c r="A328" t="s">
        <v>5272</v>
      </c>
      <c r="B328" t="s">
        <v>5273</v>
      </c>
      <c r="C328" t="s">
        <v>582</v>
      </c>
      <c r="D328" t="s">
        <v>98</v>
      </c>
      <c r="E328">
        <v>189.99</v>
      </c>
      <c r="F328" t="s">
        <v>5817</v>
      </c>
      <c r="L328" t="s">
        <v>73</v>
      </c>
      <c r="M328">
        <v>0</v>
      </c>
      <c r="N328">
        <v>0</v>
      </c>
      <c r="O328">
        <v>0</v>
      </c>
      <c r="P328">
        <v>0</v>
      </c>
    </row>
    <row r="329" spans="1:16" x14ac:dyDescent="0.2">
      <c r="A329" t="s">
        <v>702</v>
      </c>
      <c r="B329" t="s">
        <v>703</v>
      </c>
      <c r="C329" t="s">
        <v>582</v>
      </c>
      <c r="D329" t="s">
        <v>105</v>
      </c>
      <c r="E329">
        <v>179.99</v>
      </c>
      <c r="F329" t="s">
        <v>5817</v>
      </c>
      <c r="G329">
        <v>42</v>
      </c>
      <c r="H329" t="s">
        <v>5827</v>
      </c>
      <c r="I329">
        <v>22</v>
      </c>
      <c r="L329" t="s">
        <v>73</v>
      </c>
      <c r="M329">
        <v>1</v>
      </c>
      <c r="N329">
        <v>51</v>
      </c>
      <c r="O329">
        <v>0</v>
      </c>
      <c r="P329">
        <v>51</v>
      </c>
    </row>
    <row r="330" spans="1:16" x14ac:dyDescent="0.2">
      <c r="A330" t="s">
        <v>726</v>
      </c>
      <c r="B330" t="s">
        <v>727</v>
      </c>
      <c r="C330" t="s">
        <v>582</v>
      </c>
      <c r="D330" t="s">
        <v>105</v>
      </c>
      <c r="E330">
        <v>149.99</v>
      </c>
      <c r="F330" t="s">
        <v>5817</v>
      </c>
      <c r="G330">
        <v>144</v>
      </c>
      <c r="I330">
        <v>144</v>
      </c>
      <c r="L330" t="s">
        <v>73</v>
      </c>
      <c r="M330">
        <v>2</v>
      </c>
      <c r="N330">
        <v>32</v>
      </c>
      <c r="O330">
        <v>8.333333333333337E-2</v>
      </c>
      <c r="P330">
        <v>64</v>
      </c>
    </row>
    <row r="331" spans="1:16" x14ac:dyDescent="0.2">
      <c r="A331" t="s">
        <v>646</v>
      </c>
      <c r="B331" t="s">
        <v>5071</v>
      </c>
      <c r="C331" t="s">
        <v>582</v>
      </c>
      <c r="D331" t="s">
        <v>105</v>
      </c>
      <c r="E331">
        <v>79.989999999999995</v>
      </c>
      <c r="F331" t="s">
        <v>5817</v>
      </c>
      <c r="G331">
        <v>79</v>
      </c>
      <c r="I331">
        <v>79</v>
      </c>
      <c r="L331" t="s">
        <v>73</v>
      </c>
      <c r="M331">
        <v>1</v>
      </c>
      <c r="N331">
        <v>74</v>
      </c>
      <c r="O331">
        <v>0.16666666666666663</v>
      </c>
      <c r="P331">
        <v>74</v>
      </c>
    </row>
    <row r="332" spans="1:16" x14ac:dyDescent="0.2">
      <c r="A332" t="s">
        <v>5602</v>
      </c>
      <c r="B332" t="s">
        <v>5603</v>
      </c>
      <c r="C332" t="s">
        <v>582</v>
      </c>
      <c r="D332" t="s">
        <v>98</v>
      </c>
      <c r="E332">
        <v>79.989999999999995</v>
      </c>
      <c r="F332" t="s">
        <v>5817</v>
      </c>
      <c r="L332" t="s">
        <v>73</v>
      </c>
      <c r="M332">
        <v>2</v>
      </c>
      <c r="N332">
        <v>19</v>
      </c>
      <c r="O332">
        <v>1.5833333333333333</v>
      </c>
      <c r="P332">
        <v>38</v>
      </c>
    </row>
    <row r="333" spans="1:16" x14ac:dyDescent="0.2">
      <c r="A333" t="s">
        <v>5604</v>
      </c>
      <c r="B333" t="s">
        <v>5605</v>
      </c>
      <c r="C333" t="s">
        <v>582</v>
      </c>
      <c r="D333" t="s">
        <v>98</v>
      </c>
      <c r="E333">
        <v>39.99</v>
      </c>
      <c r="F333" t="s">
        <v>5817</v>
      </c>
      <c r="L333" t="s">
        <v>73</v>
      </c>
      <c r="M333">
        <v>0</v>
      </c>
      <c r="N333">
        <v>0</v>
      </c>
      <c r="O333">
        <v>0</v>
      </c>
      <c r="P333">
        <v>0</v>
      </c>
    </row>
    <row r="334" spans="1:16" x14ac:dyDescent="0.2">
      <c r="A334" t="s">
        <v>5094</v>
      </c>
      <c r="B334" t="s">
        <v>5095</v>
      </c>
      <c r="C334" t="s">
        <v>582</v>
      </c>
      <c r="D334" t="s">
        <v>98</v>
      </c>
      <c r="E334">
        <v>69.989999999999995</v>
      </c>
      <c r="F334" t="s">
        <v>5817</v>
      </c>
      <c r="L334" t="s">
        <v>73</v>
      </c>
      <c r="M334">
        <v>4.1666666666666661</v>
      </c>
      <c r="N334">
        <v>32.400000000000006</v>
      </c>
      <c r="O334">
        <v>3</v>
      </c>
      <c r="P334">
        <v>135</v>
      </c>
    </row>
    <row r="335" spans="1:16" x14ac:dyDescent="0.2">
      <c r="A335" t="s">
        <v>5610</v>
      </c>
      <c r="B335" t="s">
        <v>5611</v>
      </c>
      <c r="C335" t="s">
        <v>582</v>
      </c>
      <c r="D335" t="s">
        <v>98</v>
      </c>
      <c r="E335">
        <v>59.99</v>
      </c>
      <c r="F335" t="s">
        <v>5817</v>
      </c>
      <c r="L335" t="s">
        <v>73</v>
      </c>
      <c r="M335">
        <v>2</v>
      </c>
      <c r="N335">
        <v>21.5</v>
      </c>
      <c r="O335">
        <v>1.0833333333333333</v>
      </c>
      <c r="P335">
        <v>43</v>
      </c>
    </row>
    <row r="336" spans="1:16" x14ac:dyDescent="0.2">
      <c r="A336" t="s">
        <v>5608</v>
      </c>
      <c r="B336" t="s">
        <v>5609</v>
      </c>
      <c r="C336" t="s">
        <v>582</v>
      </c>
      <c r="D336" t="s">
        <v>98</v>
      </c>
      <c r="E336">
        <v>59.99</v>
      </c>
      <c r="F336" t="s">
        <v>5817</v>
      </c>
      <c r="L336" t="s">
        <v>73</v>
      </c>
      <c r="M336">
        <v>1</v>
      </c>
      <c r="N336">
        <v>12</v>
      </c>
      <c r="O336">
        <v>0</v>
      </c>
      <c r="P336">
        <v>12</v>
      </c>
    </row>
    <row r="337" spans="1:16" x14ac:dyDescent="0.2">
      <c r="A337" t="s">
        <v>648</v>
      </c>
      <c r="B337" t="s">
        <v>5066</v>
      </c>
      <c r="C337" t="s">
        <v>582</v>
      </c>
      <c r="D337" t="s">
        <v>105</v>
      </c>
      <c r="E337">
        <v>69.989999999999995</v>
      </c>
      <c r="F337" t="s">
        <v>5817</v>
      </c>
      <c r="G337">
        <v>138</v>
      </c>
      <c r="H337" t="s">
        <v>5827</v>
      </c>
      <c r="I337">
        <v>118</v>
      </c>
      <c r="K337">
        <v>40</v>
      </c>
      <c r="L337" t="s">
        <v>73</v>
      </c>
      <c r="M337">
        <v>6</v>
      </c>
      <c r="N337">
        <v>15.666666666666666</v>
      </c>
      <c r="O337">
        <v>2.166666666666667</v>
      </c>
      <c r="P337">
        <v>94</v>
      </c>
    </row>
    <row r="338" spans="1:16" x14ac:dyDescent="0.2">
      <c r="A338" t="s">
        <v>704</v>
      </c>
      <c r="B338" t="s">
        <v>705</v>
      </c>
      <c r="C338" t="s">
        <v>582</v>
      </c>
      <c r="D338" t="s">
        <v>105</v>
      </c>
      <c r="E338">
        <v>39.99</v>
      </c>
      <c r="F338" t="s">
        <v>5817</v>
      </c>
      <c r="G338">
        <v>63</v>
      </c>
      <c r="I338">
        <v>63</v>
      </c>
      <c r="K338">
        <v>40</v>
      </c>
      <c r="L338" t="s">
        <v>73</v>
      </c>
      <c r="M338">
        <v>2</v>
      </c>
      <c r="N338">
        <v>54</v>
      </c>
      <c r="O338">
        <v>1.5</v>
      </c>
      <c r="P338">
        <v>108</v>
      </c>
    </row>
    <row r="339" spans="1:16" x14ac:dyDescent="0.2">
      <c r="A339" t="s">
        <v>694</v>
      </c>
      <c r="B339" t="s">
        <v>695</v>
      </c>
      <c r="C339" t="s">
        <v>582</v>
      </c>
      <c r="D339" t="s">
        <v>105</v>
      </c>
      <c r="E339">
        <v>44.99</v>
      </c>
      <c r="F339" t="s">
        <v>5817</v>
      </c>
      <c r="G339">
        <v>184</v>
      </c>
      <c r="I339">
        <v>184</v>
      </c>
      <c r="K339">
        <v>40</v>
      </c>
      <c r="L339" t="s">
        <v>73</v>
      </c>
      <c r="M339">
        <v>4.833333333333333</v>
      </c>
      <c r="N339">
        <v>22.551724137931036</v>
      </c>
      <c r="O339">
        <v>2.1666666666666665</v>
      </c>
      <c r="P339">
        <v>109</v>
      </c>
    </row>
    <row r="340" spans="1:16" x14ac:dyDescent="0.2">
      <c r="A340" t="s">
        <v>716</v>
      </c>
      <c r="B340" t="s">
        <v>717</v>
      </c>
      <c r="C340" t="s">
        <v>582</v>
      </c>
      <c r="D340" t="s">
        <v>105</v>
      </c>
      <c r="E340">
        <v>49.99</v>
      </c>
      <c r="F340" t="s">
        <v>5817</v>
      </c>
      <c r="G340">
        <v>219</v>
      </c>
      <c r="I340">
        <v>219</v>
      </c>
      <c r="K340">
        <v>80</v>
      </c>
      <c r="L340" t="s">
        <v>73</v>
      </c>
      <c r="M340">
        <v>3.5</v>
      </c>
      <c r="N340">
        <v>31.142857142857142</v>
      </c>
      <c r="O340">
        <v>2.666666666666667</v>
      </c>
      <c r="P340">
        <v>109</v>
      </c>
    </row>
    <row r="341" spans="1:16" x14ac:dyDescent="0.2">
      <c r="A341" t="s">
        <v>5546</v>
      </c>
      <c r="B341" t="s">
        <v>5547</v>
      </c>
      <c r="C341" t="s">
        <v>582</v>
      </c>
      <c r="D341" t="s">
        <v>98</v>
      </c>
      <c r="E341">
        <v>89.99</v>
      </c>
      <c r="F341" t="s">
        <v>5817</v>
      </c>
      <c r="L341" t="s">
        <v>73</v>
      </c>
      <c r="M341">
        <v>1.3333333333333333</v>
      </c>
      <c r="N341">
        <v>0</v>
      </c>
      <c r="O341">
        <v>1.3333333333333333</v>
      </c>
      <c r="P341">
        <v>0</v>
      </c>
    </row>
    <row r="342" spans="1:16" x14ac:dyDescent="0.2">
      <c r="A342" t="s">
        <v>613</v>
      </c>
      <c r="B342" t="s">
        <v>614</v>
      </c>
      <c r="C342" t="s">
        <v>582</v>
      </c>
      <c r="D342" t="s">
        <v>105</v>
      </c>
      <c r="E342">
        <v>119.99</v>
      </c>
      <c r="F342" t="s">
        <v>5817</v>
      </c>
      <c r="G342">
        <v>105</v>
      </c>
      <c r="H342" t="s">
        <v>5831</v>
      </c>
      <c r="I342">
        <v>75</v>
      </c>
      <c r="K342">
        <v>50</v>
      </c>
      <c r="L342" t="s">
        <v>73</v>
      </c>
      <c r="M342">
        <v>0</v>
      </c>
      <c r="N342">
        <v>0</v>
      </c>
      <c r="O342">
        <v>3.666666666666667</v>
      </c>
      <c r="P342">
        <v>29</v>
      </c>
    </row>
    <row r="343" spans="1:16" x14ac:dyDescent="0.2">
      <c r="A343" t="s">
        <v>5562</v>
      </c>
      <c r="B343" t="s">
        <v>5563</v>
      </c>
      <c r="C343" t="s">
        <v>582</v>
      </c>
      <c r="D343" t="s">
        <v>98</v>
      </c>
      <c r="E343">
        <v>99.99</v>
      </c>
      <c r="F343" t="s">
        <v>5817</v>
      </c>
      <c r="L343" t="s">
        <v>73</v>
      </c>
      <c r="M343">
        <v>0</v>
      </c>
      <c r="N343">
        <v>0</v>
      </c>
      <c r="O343">
        <v>0</v>
      </c>
      <c r="P343">
        <v>0</v>
      </c>
    </row>
    <row r="344" spans="1:16" x14ac:dyDescent="0.2">
      <c r="A344" t="s">
        <v>722</v>
      </c>
      <c r="B344" t="s">
        <v>723</v>
      </c>
      <c r="C344" t="s">
        <v>582</v>
      </c>
      <c r="D344" t="s">
        <v>105</v>
      </c>
      <c r="E344">
        <v>59.99</v>
      </c>
      <c r="F344" t="s">
        <v>5817</v>
      </c>
      <c r="G344">
        <v>28</v>
      </c>
      <c r="H344" t="s">
        <v>5832</v>
      </c>
      <c r="I344">
        <v>18</v>
      </c>
      <c r="K344">
        <v>40</v>
      </c>
      <c r="L344" t="s">
        <v>73</v>
      </c>
      <c r="M344">
        <v>3.6666666666666665</v>
      </c>
      <c r="N344">
        <v>22.363636363636363</v>
      </c>
      <c r="O344">
        <v>4.083333333333333</v>
      </c>
      <c r="P344">
        <v>82</v>
      </c>
    </row>
    <row r="345" spans="1:16" x14ac:dyDescent="0.2">
      <c r="A345" t="s">
        <v>603</v>
      </c>
      <c r="B345" t="s">
        <v>5833</v>
      </c>
      <c r="C345" t="s">
        <v>582</v>
      </c>
      <c r="D345" t="s">
        <v>138</v>
      </c>
      <c r="E345">
        <v>269.99</v>
      </c>
      <c r="F345" t="s">
        <v>5817</v>
      </c>
      <c r="G345">
        <v>19</v>
      </c>
      <c r="I345">
        <v>19</v>
      </c>
      <c r="L345" t="s">
        <v>73</v>
      </c>
      <c r="M345">
        <v>0</v>
      </c>
      <c r="N345">
        <v>0</v>
      </c>
      <c r="O345">
        <v>0.83333333333333337</v>
      </c>
      <c r="P345">
        <v>0</v>
      </c>
    </row>
    <row r="346" spans="1:16" x14ac:dyDescent="0.2">
      <c r="A346" t="s">
        <v>688</v>
      </c>
      <c r="B346" t="s">
        <v>689</v>
      </c>
      <c r="C346" t="s">
        <v>582</v>
      </c>
      <c r="D346" t="s">
        <v>105</v>
      </c>
      <c r="E346">
        <v>44.99</v>
      </c>
      <c r="F346" t="s">
        <v>5817</v>
      </c>
      <c r="G346">
        <v>107</v>
      </c>
      <c r="I346">
        <v>107</v>
      </c>
      <c r="K346">
        <v>40</v>
      </c>
      <c r="L346" t="s">
        <v>73</v>
      </c>
      <c r="M346">
        <v>3.3333333333333335</v>
      </c>
      <c r="N346">
        <v>37.799999999999997</v>
      </c>
      <c r="O346">
        <v>4.25</v>
      </c>
      <c r="P346">
        <v>126</v>
      </c>
    </row>
    <row r="347" spans="1:16" x14ac:dyDescent="0.2">
      <c r="A347" t="s">
        <v>684</v>
      </c>
      <c r="B347" t="s">
        <v>685</v>
      </c>
      <c r="C347" t="s">
        <v>582</v>
      </c>
      <c r="D347" t="s">
        <v>105</v>
      </c>
      <c r="E347">
        <v>59.99</v>
      </c>
      <c r="F347" t="s">
        <v>5817</v>
      </c>
      <c r="G347">
        <v>35</v>
      </c>
      <c r="H347" t="s">
        <v>5827</v>
      </c>
      <c r="I347">
        <v>15</v>
      </c>
      <c r="L347" t="s">
        <v>73</v>
      </c>
      <c r="M347">
        <v>2</v>
      </c>
      <c r="N347">
        <v>44.5</v>
      </c>
      <c r="O347">
        <v>0.91666666666666663</v>
      </c>
      <c r="P347">
        <v>89</v>
      </c>
    </row>
    <row r="348" spans="1:16" x14ac:dyDescent="0.2">
      <c r="A348" t="s">
        <v>718</v>
      </c>
      <c r="B348" t="s">
        <v>719</v>
      </c>
      <c r="C348" t="s">
        <v>582</v>
      </c>
      <c r="D348" t="s">
        <v>105</v>
      </c>
      <c r="E348">
        <v>49.99</v>
      </c>
      <c r="F348" t="s">
        <v>5817</v>
      </c>
      <c r="G348">
        <v>77</v>
      </c>
      <c r="H348" t="s">
        <v>5830</v>
      </c>
      <c r="I348">
        <v>62</v>
      </c>
      <c r="L348" t="s">
        <v>73</v>
      </c>
      <c r="M348">
        <v>1.5</v>
      </c>
      <c r="N348">
        <v>47.333333333333336</v>
      </c>
      <c r="O348">
        <v>3.75</v>
      </c>
      <c r="P348">
        <v>71</v>
      </c>
    </row>
    <row r="349" spans="1:16" x14ac:dyDescent="0.2">
      <c r="A349" t="s">
        <v>696</v>
      </c>
      <c r="B349" t="s">
        <v>5089</v>
      </c>
      <c r="C349" t="s">
        <v>582</v>
      </c>
      <c r="D349" t="s">
        <v>105</v>
      </c>
      <c r="E349">
        <v>44.99</v>
      </c>
      <c r="F349" t="s">
        <v>5817</v>
      </c>
      <c r="G349">
        <v>40</v>
      </c>
      <c r="I349">
        <v>40</v>
      </c>
      <c r="L349" t="s">
        <v>73</v>
      </c>
      <c r="M349">
        <v>1.8</v>
      </c>
      <c r="N349">
        <v>38.888888888888886</v>
      </c>
      <c r="O349">
        <v>1.5</v>
      </c>
      <c r="P349">
        <v>70</v>
      </c>
    </row>
    <row r="350" spans="1:16" x14ac:dyDescent="0.2">
      <c r="A350" t="s">
        <v>605</v>
      </c>
      <c r="B350" t="s">
        <v>606</v>
      </c>
      <c r="C350" t="s">
        <v>582</v>
      </c>
      <c r="D350" t="s">
        <v>105</v>
      </c>
      <c r="E350">
        <v>229.99</v>
      </c>
      <c r="F350" t="s">
        <v>5817</v>
      </c>
      <c r="G350">
        <v>40</v>
      </c>
      <c r="H350" t="s">
        <v>5834</v>
      </c>
      <c r="J350">
        <v>10</v>
      </c>
      <c r="L350" t="s">
        <v>73</v>
      </c>
      <c r="M350">
        <v>2</v>
      </c>
      <c r="N350">
        <v>10</v>
      </c>
      <c r="O350">
        <v>0.33333333333333331</v>
      </c>
      <c r="P350">
        <v>20</v>
      </c>
    </row>
    <row r="351" spans="1:16" x14ac:dyDescent="0.2">
      <c r="A351" t="s">
        <v>730</v>
      </c>
      <c r="B351" t="s">
        <v>731</v>
      </c>
      <c r="C351" t="s">
        <v>582</v>
      </c>
      <c r="D351" t="s">
        <v>105</v>
      </c>
      <c r="E351">
        <v>59.99</v>
      </c>
      <c r="F351" t="s">
        <v>5817</v>
      </c>
      <c r="G351">
        <v>10</v>
      </c>
      <c r="H351" t="s">
        <v>5832</v>
      </c>
      <c r="J351">
        <v>28</v>
      </c>
      <c r="K351">
        <v>120</v>
      </c>
      <c r="L351" t="s">
        <v>73</v>
      </c>
      <c r="M351">
        <v>7.666666666666667</v>
      </c>
      <c r="N351">
        <v>9.391304347826086</v>
      </c>
      <c r="O351">
        <v>4.5833333333333339</v>
      </c>
      <c r="P351">
        <v>72</v>
      </c>
    </row>
    <row r="352" spans="1:16" x14ac:dyDescent="0.2">
      <c r="A352" t="s">
        <v>638</v>
      </c>
      <c r="B352" t="s">
        <v>639</v>
      </c>
      <c r="C352" t="s">
        <v>582</v>
      </c>
      <c r="D352" t="s">
        <v>138</v>
      </c>
      <c r="E352">
        <v>199.99</v>
      </c>
      <c r="F352" t="s">
        <v>5817</v>
      </c>
      <c r="G352">
        <v>2</v>
      </c>
      <c r="I352">
        <v>2</v>
      </c>
      <c r="L352" t="s">
        <v>73</v>
      </c>
      <c r="M352">
        <v>1</v>
      </c>
      <c r="N352">
        <v>23</v>
      </c>
      <c r="O352">
        <v>0.25</v>
      </c>
      <c r="P352">
        <v>23</v>
      </c>
    </row>
    <row r="353" spans="1:16" x14ac:dyDescent="0.2">
      <c r="A353" t="s">
        <v>632</v>
      </c>
      <c r="B353" t="s">
        <v>633</v>
      </c>
      <c r="C353" t="s">
        <v>582</v>
      </c>
      <c r="D353" t="s">
        <v>138</v>
      </c>
      <c r="E353">
        <v>159.99</v>
      </c>
      <c r="F353" t="s">
        <v>5817</v>
      </c>
      <c r="G353">
        <v>19</v>
      </c>
      <c r="I353">
        <v>19</v>
      </c>
      <c r="L353" t="s">
        <v>73</v>
      </c>
      <c r="M353">
        <v>1</v>
      </c>
      <c r="N353">
        <v>1</v>
      </c>
      <c r="O353">
        <v>0.5</v>
      </c>
      <c r="P353">
        <v>1</v>
      </c>
    </row>
    <row r="354" spans="1:16" x14ac:dyDescent="0.2">
      <c r="A354" t="s">
        <v>790</v>
      </c>
      <c r="B354" t="s">
        <v>791</v>
      </c>
      <c r="C354" t="s">
        <v>582</v>
      </c>
      <c r="D354" t="s">
        <v>105</v>
      </c>
      <c r="E354">
        <v>64.989999999999995</v>
      </c>
      <c r="F354" t="s">
        <v>5817</v>
      </c>
      <c r="G354">
        <v>120</v>
      </c>
      <c r="I354">
        <v>120</v>
      </c>
      <c r="K354">
        <v>80</v>
      </c>
      <c r="L354" t="s">
        <v>73</v>
      </c>
      <c r="M354">
        <v>5</v>
      </c>
      <c r="N354">
        <v>16.2</v>
      </c>
      <c r="O354">
        <v>4.083333333333333</v>
      </c>
      <c r="P354">
        <v>81</v>
      </c>
    </row>
    <row r="355" spans="1:16" x14ac:dyDescent="0.2">
      <c r="A355" t="s">
        <v>805</v>
      </c>
      <c r="B355" t="s">
        <v>806</v>
      </c>
      <c r="C355" t="s">
        <v>582</v>
      </c>
      <c r="D355" t="s">
        <v>105</v>
      </c>
      <c r="E355">
        <v>59.99</v>
      </c>
      <c r="F355" t="s">
        <v>5817</v>
      </c>
      <c r="G355">
        <v>47</v>
      </c>
      <c r="I355">
        <v>47</v>
      </c>
      <c r="L355" t="s">
        <v>73</v>
      </c>
      <c r="M355">
        <v>0</v>
      </c>
      <c r="N355">
        <v>0</v>
      </c>
      <c r="O355">
        <v>1.1666666666666667</v>
      </c>
      <c r="P355">
        <v>0</v>
      </c>
    </row>
    <row r="356" spans="1:16" x14ac:dyDescent="0.2">
      <c r="A356" t="s">
        <v>807</v>
      </c>
      <c r="B356" t="s">
        <v>808</v>
      </c>
      <c r="C356" t="s">
        <v>582</v>
      </c>
      <c r="D356" t="s">
        <v>138</v>
      </c>
      <c r="E356">
        <v>59.99</v>
      </c>
      <c r="F356" t="s">
        <v>5817</v>
      </c>
      <c r="G356">
        <v>5</v>
      </c>
      <c r="H356" t="s">
        <v>5835</v>
      </c>
      <c r="L356" t="s">
        <v>73</v>
      </c>
      <c r="M356">
        <v>1</v>
      </c>
      <c r="N356">
        <v>40</v>
      </c>
      <c r="O356">
        <v>2</v>
      </c>
      <c r="P356">
        <v>40</v>
      </c>
    </row>
    <row r="357" spans="1:16" x14ac:dyDescent="0.2">
      <c r="A357" t="s">
        <v>792</v>
      </c>
      <c r="B357" t="s">
        <v>793</v>
      </c>
      <c r="C357" t="s">
        <v>582</v>
      </c>
      <c r="D357" t="s">
        <v>105</v>
      </c>
      <c r="E357">
        <v>69.989999999999995</v>
      </c>
      <c r="F357" t="s">
        <v>5817</v>
      </c>
      <c r="G357">
        <v>36</v>
      </c>
      <c r="I357">
        <v>36</v>
      </c>
      <c r="K357">
        <v>40</v>
      </c>
      <c r="L357" t="s">
        <v>73</v>
      </c>
      <c r="M357">
        <v>1.3333333333333335</v>
      </c>
      <c r="N357">
        <v>63.749999999999993</v>
      </c>
      <c r="O357">
        <v>0.66666666666666674</v>
      </c>
      <c r="P357">
        <v>85</v>
      </c>
    </row>
    <row r="358" spans="1:16" x14ac:dyDescent="0.2">
      <c r="A358" t="s">
        <v>738</v>
      </c>
      <c r="B358" t="s">
        <v>739</v>
      </c>
      <c r="C358" t="s">
        <v>582</v>
      </c>
      <c r="D358" t="s">
        <v>138</v>
      </c>
      <c r="E358">
        <v>59.99</v>
      </c>
      <c r="F358" t="s">
        <v>5817</v>
      </c>
      <c r="G358">
        <v>3</v>
      </c>
      <c r="I358">
        <v>3</v>
      </c>
      <c r="L358" t="s">
        <v>73</v>
      </c>
      <c r="M358">
        <v>2</v>
      </c>
      <c r="N358">
        <v>5.5</v>
      </c>
      <c r="O358">
        <v>0.41666666666666669</v>
      </c>
      <c r="P358">
        <v>11</v>
      </c>
    </row>
    <row r="359" spans="1:16" x14ac:dyDescent="0.2">
      <c r="A359" t="s">
        <v>740</v>
      </c>
      <c r="B359" t="s">
        <v>741</v>
      </c>
      <c r="C359" t="s">
        <v>582</v>
      </c>
      <c r="D359" t="s">
        <v>138</v>
      </c>
      <c r="E359">
        <v>64.989999999999995</v>
      </c>
      <c r="F359" t="s">
        <v>5817</v>
      </c>
      <c r="G359">
        <v>4</v>
      </c>
      <c r="I359">
        <v>4</v>
      </c>
      <c r="L359" t="s">
        <v>73</v>
      </c>
      <c r="M359">
        <v>1.25</v>
      </c>
      <c r="N359">
        <v>19.2</v>
      </c>
      <c r="O359">
        <v>0.75</v>
      </c>
      <c r="P359">
        <v>24</v>
      </c>
    </row>
    <row r="360" spans="1:16" x14ac:dyDescent="0.2">
      <c r="A360" t="s">
        <v>809</v>
      </c>
      <c r="B360" t="s">
        <v>810</v>
      </c>
      <c r="C360" t="s">
        <v>582</v>
      </c>
      <c r="D360" t="s">
        <v>98</v>
      </c>
      <c r="E360">
        <v>69.989999999999995</v>
      </c>
      <c r="F360" t="s">
        <v>5817</v>
      </c>
      <c r="L360" t="s">
        <v>73</v>
      </c>
      <c r="M360">
        <v>1.75</v>
      </c>
      <c r="N360">
        <v>35.428571428571431</v>
      </c>
      <c r="O360">
        <v>1.5833333333333335</v>
      </c>
      <c r="P360">
        <v>62</v>
      </c>
    </row>
    <row r="361" spans="1:16" x14ac:dyDescent="0.2">
      <c r="A361" t="s">
        <v>823</v>
      </c>
      <c r="B361" t="s">
        <v>824</v>
      </c>
      <c r="C361" t="s">
        <v>582</v>
      </c>
      <c r="D361" t="s">
        <v>98</v>
      </c>
      <c r="E361">
        <v>79.989999999999995</v>
      </c>
      <c r="F361" t="s">
        <v>5817</v>
      </c>
      <c r="L361" t="s">
        <v>73</v>
      </c>
      <c r="M361">
        <v>1</v>
      </c>
      <c r="N361">
        <v>9</v>
      </c>
      <c r="O361">
        <v>0.58333333333333337</v>
      </c>
      <c r="P361">
        <v>9</v>
      </c>
    </row>
    <row r="362" spans="1:16" x14ac:dyDescent="0.2">
      <c r="A362" t="s">
        <v>5556</v>
      </c>
      <c r="B362" t="s">
        <v>5557</v>
      </c>
      <c r="C362" t="s">
        <v>582</v>
      </c>
      <c r="D362" t="s">
        <v>98</v>
      </c>
      <c r="E362">
        <v>59.99</v>
      </c>
      <c r="F362" t="s">
        <v>5817</v>
      </c>
      <c r="L362" t="s">
        <v>73</v>
      </c>
      <c r="M362">
        <v>1</v>
      </c>
      <c r="N362">
        <v>9</v>
      </c>
      <c r="O362">
        <v>0.33333333333333331</v>
      </c>
      <c r="P362">
        <v>9</v>
      </c>
    </row>
    <row r="363" spans="1:16" x14ac:dyDescent="0.2">
      <c r="A363" t="s">
        <v>796</v>
      </c>
      <c r="B363" t="s">
        <v>797</v>
      </c>
      <c r="C363" t="s">
        <v>582</v>
      </c>
      <c r="D363" t="s">
        <v>105</v>
      </c>
      <c r="E363">
        <v>34.99</v>
      </c>
      <c r="F363" t="s">
        <v>5817</v>
      </c>
      <c r="G363">
        <v>323</v>
      </c>
      <c r="I363">
        <v>323</v>
      </c>
      <c r="K363">
        <v>120</v>
      </c>
      <c r="L363" t="s">
        <v>5818</v>
      </c>
      <c r="M363">
        <v>44</v>
      </c>
      <c r="N363">
        <v>7.6363636363636367</v>
      </c>
      <c r="P363">
        <v>336</v>
      </c>
    </row>
    <row r="364" spans="1:16" x14ac:dyDescent="0.2">
      <c r="A364" t="s">
        <v>603</v>
      </c>
      <c r="B364" t="s">
        <v>5833</v>
      </c>
      <c r="C364" t="s">
        <v>582</v>
      </c>
      <c r="D364" t="s">
        <v>138</v>
      </c>
      <c r="E364">
        <v>269.99</v>
      </c>
      <c r="F364" t="s">
        <v>5817</v>
      </c>
      <c r="G364">
        <v>19</v>
      </c>
      <c r="I364">
        <v>19</v>
      </c>
      <c r="L364" t="s">
        <v>5818</v>
      </c>
      <c r="M364">
        <v>0</v>
      </c>
      <c r="N364">
        <v>0</v>
      </c>
      <c r="P364">
        <v>0</v>
      </c>
    </row>
    <row r="365" spans="1:16" x14ac:dyDescent="0.2">
      <c r="A365" t="s">
        <v>688</v>
      </c>
      <c r="B365" t="s">
        <v>689</v>
      </c>
      <c r="C365" t="s">
        <v>582</v>
      </c>
      <c r="D365" t="s">
        <v>105</v>
      </c>
      <c r="E365">
        <v>44.99</v>
      </c>
      <c r="F365" t="s">
        <v>5817</v>
      </c>
      <c r="G365">
        <v>107</v>
      </c>
      <c r="I365">
        <v>107</v>
      </c>
      <c r="K365">
        <v>40</v>
      </c>
      <c r="L365" t="s">
        <v>5818</v>
      </c>
      <c r="M365">
        <v>10.333333333333332</v>
      </c>
      <c r="N365">
        <v>6.4838709677419359</v>
      </c>
      <c r="O365">
        <v>11.75</v>
      </c>
      <c r="P365">
        <v>67</v>
      </c>
    </row>
    <row r="366" spans="1:16" x14ac:dyDescent="0.2">
      <c r="A366" t="s">
        <v>684</v>
      </c>
      <c r="B366" t="s">
        <v>685</v>
      </c>
      <c r="C366" t="s">
        <v>582</v>
      </c>
      <c r="D366" t="s">
        <v>105</v>
      </c>
      <c r="E366">
        <v>59.99</v>
      </c>
      <c r="F366" t="s">
        <v>5817</v>
      </c>
      <c r="G366">
        <v>35</v>
      </c>
      <c r="H366" t="s">
        <v>5827</v>
      </c>
      <c r="I366">
        <v>15</v>
      </c>
      <c r="L366" t="s">
        <v>5818</v>
      </c>
      <c r="M366">
        <v>0</v>
      </c>
      <c r="N366">
        <v>0</v>
      </c>
      <c r="P366">
        <v>57</v>
      </c>
    </row>
    <row r="367" spans="1:16" x14ac:dyDescent="0.2">
      <c r="A367" t="s">
        <v>718</v>
      </c>
      <c r="B367" t="s">
        <v>719</v>
      </c>
      <c r="C367" t="s">
        <v>582</v>
      </c>
      <c r="D367" t="s">
        <v>105</v>
      </c>
      <c r="E367">
        <v>49.99</v>
      </c>
      <c r="F367" t="s">
        <v>5817</v>
      </c>
      <c r="G367">
        <v>77</v>
      </c>
      <c r="H367" t="s">
        <v>5830</v>
      </c>
      <c r="I367">
        <v>62</v>
      </c>
      <c r="L367" t="s">
        <v>5818</v>
      </c>
      <c r="M367">
        <v>3.3333333333333335</v>
      </c>
      <c r="N367">
        <v>15.6</v>
      </c>
      <c r="O367">
        <v>3.6666666666666665</v>
      </c>
      <c r="P367">
        <v>52</v>
      </c>
    </row>
    <row r="368" spans="1:16" x14ac:dyDescent="0.2">
      <c r="A368" t="s">
        <v>696</v>
      </c>
      <c r="B368" t="s">
        <v>5089</v>
      </c>
      <c r="C368" t="s">
        <v>582</v>
      </c>
      <c r="D368" t="s">
        <v>105</v>
      </c>
      <c r="E368">
        <v>44.99</v>
      </c>
      <c r="F368" t="s">
        <v>5817</v>
      </c>
      <c r="G368">
        <v>40</v>
      </c>
      <c r="I368">
        <v>40</v>
      </c>
      <c r="L368" t="s">
        <v>5818</v>
      </c>
      <c r="M368">
        <v>4.6666666666666661</v>
      </c>
      <c r="N368">
        <v>10.714285714285715</v>
      </c>
      <c r="O368">
        <v>5.166666666666667</v>
      </c>
      <c r="P368">
        <v>50</v>
      </c>
    </row>
    <row r="369" spans="1:16" x14ac:dyDescent="0.2">
      <c r="A369" t="s">
        <v>646</v>
      </c>
      <c r="B369" t="s">
        <v>5071</v>
      </c>
      <c r="C369" t="s">
        <v>582</v>
      </c>
      <c r="D369" t="s">
        <v>105</v>
      </c>
      <c r="E369">
        <v>79.989999999999995</v>
      </c>
      <c r="F369" t="s">
        <v>5817</v>
      </c>
      <c r="G369">
        <v>79</v>
      </c>
      <c r="I369">
        <v>79</v>
      </c>
      <c r="L369" t="s">
        <v>5818</v>
      </c>
      <c r="M369">
        <v>4.5</v>
      </c>
      <c r="N369">
        <v>7.7777777777777777</v>
      </c>
      <c r="O369">
        <v>4.5</v>
      </c>
      <c r="P369">
        <v>35</v>
      </c>
    </row>
    <row r="370" spans="1:16" x14ac:dyDescent="0.2">
      <c r="A370" t="s">
        <v>644</v>
      </c>
      <c r="B370" t="s">
        <v>645</v>
      </c>
      <c r="C370" t="s">
        <v>582</v>
      </c>
      <c r="D370" t="s">
        <v>98</v>
      </c>
      <c r="E370">
        <v>79.989999999999995</v>
      </c>
      <c r="F370" t="s">
        <v>5817</v>
      </c>
      <c r="L370" t="s">
        <v>5818</v>
      </c>
      <c r="M370">
        <v>0</v>
      </c>
      <c r="N370">
        <v>0</v>
      </c>
      <c r="P370">
        <v>2</v>
      </c>
    </row>
    <row r="371" spans="1:16" x14ac:dyDescent="0.2">
      <c r="A371" t="s">
        <v>714</v>
      </c>
      <c r="B371" t="s">
        <v>715</v>
      </c>
      <c r="C371" t="s">
        <v>582</v>
      </c>
      <c r="D371" t="s">
        <v>98</v>
      </c>
      <c r="E371">
        <v>49.99</v>
      </c>
      <c r="F371" t="s">
        <v>5817</v>
      </c>
      <c r="L371" t="s">
        <v>5818</v>
      </c>
      <c r="M371">
        <v>0</v>
      </c>
      <c r="N371">
        <v>0</v>
      </c>
      <c r="P371">
        <v>4</v>
      </c>
    </row>
    <row r="372" spans="1:16" x14ac:dyDescent="0.2">
      <c r="A372" t="s">
        <v>601</v>
      </c>
      <c r="B372" t="s">
        <v>602</v>
      </c>
      <c r="C372" t="s">
        <v>582</v>
      </c>
      <c r="D372" t="s">
        <v>105</v>
      </c>
      <c r="E372">
        <v>29.99</v>
      </c>
      <c r="F372" t="s">
        <v>5817</v>
      </c>
      <c r="G372">
        <v>449</v>
      </c>
      <c r="I372">
        <v>449</v>
      </c>
      <c r="L372" t="s">
        <v>5818</v>
      </c>
      <c r="M372">
        <v>5.666666666666667</v>
      </c>
      <c r="N372">
        <v>12.529411764705882</v>
      </c>
      <c r="O372">
        <v>7.333333333333333</v>
      </c>
      <c r="P372">
        <v>71</v>
      </c>
    </row>
    <row r="373" spans="1:16" x14ac:dyDescent="0.2">
      <c r="A373" t="s">
        <v>605</v>
      </c>
      <c r="B373" t="s">
        <v>606</v>
      </c>
      <c r="C373" t="s">
        <v>582</v>
      </c>
      <c r="D373" t="s">
        <v>105</v>
      </c>
      <c r="E373">
        <v>229.99</v>
      </c>
      <c r="F373" t="s">
        <v>5817</v>
      </c>
      <c r="G373">
        <v>40</v>
      </c>
      <c r="H373" t="s">
        <v>5834</v>
      </c>
      <c r="J373">
        <v>10</v>
      </c>
      <c r="L373" t="s">
        <v>5818</v>
      </c>
      <c r="M373">
        <v>8</v>
      </c>
      <c r="N373">
        <v>2</v>
      </c>
      <c r="O373">
        <v>7.333333333333333</v>
      </c>
      <c r="P373">
        <v>16</v>
      </c>
    </row>
    <row r="374" spans="1:16" x14ac:dyDescent="0.2">
      <c r="A374" t="s">
        <v>760</v>
      </c>
      <c r="B374" t="s">
        <v>761</v>
      </c>
      <c r="C374" t="s">
        <v>582</v>
      </c>
      <c r="D374" t="s">
        <v>105</v>
      </c>
      <c r="E374">
        <v>59.99</v>
      </c>
      <c r="F374" t="s">
        <v>5817</v>
      </c>
      <c r="L374" t="s">
        <v>5818</v>
      </c>
      <c r="M374">
        <v>0</v>
      </c>
      <c r="N374">
        <v>0</v>
      </c>
      <c r="O374">
        <v>0</v>
      </c>
      <c r="P374" t="s">
        <v>5819</v>
      </c>
    </row>
    <row r="375" spans="1:16" x14ac:dyDescent="0.2">
      <c r="A375" t="s">
        <v>762</v>
      </c>
      <c r="B375" t="s">
        <v>763</v>
      </c>
      <c r="C375" t="s">
        <v>582</v>
      </c>
      <c r="D375" t="s">
        <v>98</v>
      </c>
      <c r="E375">
        <v>59.99</v>
      </c>
      <c r="F375" t="s">
        <v>5817</v>
      </c>
      <c r="L375" t="s">
        <v>5818</v>
      </c>
      <c r="M375">
        <v>0</v>
      </c>
      <c r="N375">
        <v>0</v>
      </c>
      <c r="O375">
        <v>0</v>
      </c>
      <c r="P375" t="s">
        <v>5819</v>
      </c>
    </row>
    <row r="376" spans="1:16" x14ac:dyDescent="0.2">
      <c r="A376" t="s">
        <v>764</v>
      </c>
      <c r="B376" t="s">
        <v>765</v>
      </c>
      <c r="C376" t="s">
        <v>582</v>
      </c>
      <c r="D376" t="s">
        <v>98</v>
      </c>
      <c r="E376">
        <v>59.99</v>
      </c>
      <c r="F376" t="s">
        <v>5817</v>
      </c>
      <c r="L376" t="s">
        <v>5818</v>
      </c>
      <c r="M376">
        <v>0</v>
      </c>
      <c r="N376">
        <v>0</v>
      </c>
      <c r="O376">
        <v>0</v>
      </c>
      <c r="P376" t="s">
        <v>5819</v>
      </c>
    </row>
    <row r="377" spans="1:16" x14ac:dyDescent="0.2">
      <c r="A377" t="s">
        <v>766</v>
      </c>
      <c r="B377" t="s">
        <v>767</v>
      </c>
      <c r="C377" t="s">
        <v>582</v>
      </c>
      <c r="D377" t="s">
        <v>105</v>
      </c>
      <c r="E377">
        <v>59.99</v>
      </c>
      <c r="F377" t="s">
        <v>5817</v>
      </c>
      <c r="L377" t="s">
        <v>5818</v>
      </c>
      <c r="M377">
        <v>0</v>
      </c>
      <c r="N377">
        <v>0</v>
      </c>
      <c r="O377">
        <v>0</v>
      </c>
      <c r="P377" t="s">
        <v>5819</v>
      </c>
    </row>
    <row r="378" spans="1:16" x14ac:dyDescent="0.2">
      <c r="A378" t="s">
        <v>5241</v>
      </c>
      <c r="B378" t="s">
        <v>5242</v>
      </c>
      <c r="C378" t="s">
        <v>582</v>
      </c>
      <c r="D378" t="s">
        <v>98</v>
      </c>
      <c r="E378">
        <v>79.989999999999995</v>
      </c>
      <c r="F378" t="s">
        <v>5817</v>
      </c>
      <c r="L378" t="s">
        <v>5818</v>
      </c>
      <c r="M378">
        <v>0</v>
      </c>
      <c r="N378">
        <v>0</v>
      </c>
      <c r="O378">
        <v>0</v>
      </c>
      <c r="P378" t="s">
        <v>5819</v>
      </c>
    </row>
    <row r="379" spans="1:16" x14ac:dyDescent="0.2">
      <c r="A379" t="s">
        <v>746</v>
      </c>
      <c r="B379" t="s">
        <v>747</v>
      </c>
      <c r="C379" t="s">
        <v>582</v>
      </c>
      <c r="D379" t="s">
        <v>105</v>
      </c>
      <c r="E379">
        <v>29.99</v>
      </c>
      <c r="F379" t="s">
        <v>5817</v>
      </c>
      <c r="G379">
        <v>57</v>
      </c>
      <c r="I379">
        <v>57</v>
      </c>
      <c r="L379" t="s">
        <v>5818</v>
      </c>
      <c r="M379">
        <v>0</v>
      </c>
      <c r="N379">
        <v>0</v>
      </c>
      <c r="P379">
        <v>4</v>
      </c>
    </row>
    <row r="380" spans="1:16" x14ac:dyDescent="0.2">
      <c r="A380" t="s">
        <v>638</v>
      </c>
      <c r="B380" t="s">
        <v>639</v>
      </c>
      <c r="C380" t="s">
        <v>582</v>
      </c>
      <c r="D380" t="s">
        <v>138</v>
      </c>
      <c r="E380">
        <v>199.99</v>
      </c>
      <c r="F380" t="s">
        <v>5817</v>
      </c>
      <c r="G380">
        <v>2</v>
      </c>
      <c r="I380">
        <v>2</v>
      </c>
      <c r="L380" t="s">
        <v>5818</v>
      </c>
      <c r="M380">
        <v>0</v>
      </c>
      <c r="N380">
        <v>0</v>
      </c>
      <c r="P380" t="s">
        <v>5819</v>
      </c>
    </row>
    <row r="381" spans="1:16" x14ac:dyDescent="0.2">
      <c r="A381" t="s">
        <v>740</v>
      </c>
      <c r="B381" t="s">
        <v>741</v>
      </c>
      <c r="C381" t="s">
        <v>582</v>
      </c>
      <c r="D381" t="s">
        <v>138</v>
      </c>
      <c r="E381">
        <v>64.989999999999995</v>
      </c>
      <c r="F381" t="s">
        <v>5817</v>
      </c>
      <c r="G381">
        <v>4</v>
      </c>
      <c r="I381">
        <v>4</v>
      </c>
      <c r="L381" t="s">
        <v>5818</v>
      </c>
      <c r="M381">
        <v>0</v>
      </c>
      <c r="N381">
        <v>0</v>
      </c>
      <c r="O381">
        <v>0</v>
      </c>
      <c r="P381" t="s">
        <v>5819</v>
      </c>
    </row>
    <row r="382" spans="1:16" x14ac:dyDescent="0.2">
      <c r="A382" t="s">
        <v>805</v>
      </c>
      <c r="B382" t="s">
        <v>806</v>
      </c>
      <c r="C382" t="s">
        <v>582</v>
      </c>
      <c r="D382" t="s">
        <v>105</v>
      </c>
      <c r="E382">
        <v>59.99</v>
      </c>
      <c r="F382" t="s">
        <v>5817</v>
      </c>
      <c r="G382">
        <v>47</v>
      </c>
      <c r="I382">
        <v>47</v>
      </c>
      <c r="L382" t="s">
        <v>5818</v>
      </c>
      <c r="M382">
        <v>2.666666666666667</v>
      </c>
      <c r="N382">
        <v>27.374999999999996</v>
      </c>
      <c r="O382">
        <v>2.8333333333333335</v>
      </c>
      <c r="P382">
        <v>73</v>
      </c>
    </row>
    <row r="383" spans="1:16" x14ac:dyDescent="0.2">
      <c r="A383" t="s">
        <v>807</v>
      </c>
      <c r="B383" t="s">
        <v>808</v>
      </c>
      <c r="C383" t="s">
        <v>582</v>
      </c>
      <c r="D383" t="s">
        <v>138</v>
      </c>
      <c r="E383">
        <v>59.99</v>
      </c>
      <c r="F383" t="s">
        <v>5817</v>
      </c>
      <c r="G383">
        <v>5</v>
      </c>
      <c r="H383" t="s">
        <v>5835</v>
      </c>
      <c r="L383" t="s">
        <v>5818</v>
      </c>
      <c r="M383">
        <v>0</v>
      </c>
      <c r="N383">
        <v>0</v>
      </c>
      <c r="P383">
        <v>80</v>
      </c>
    </row>
    <row r="384" spans="1:16" x14ac:dyDescent="0.2">
      <c r="A384" t="s">
        <v>823</v>
      </c>
      <c r="B384" t="s">
        <v>824</v>
      </c>
      <c r="C384" t="s">
        <v>582</v>
      </c>
      <c r="D384" t="s">
        <v>98</v>
      </c>
      <c r="E384">
        <v>79.989999999999995</v>
      </c>
      <c r="F384" t="s">
        <v>5817</v>
      </c>
      <c r="L384" t="s">
        <v>5818</v>
      </c>
      <c r="M384">
        <v>8.3333333333333339</v>
      </c>
      <c r="N384">
        <v>37.44</v>
      </c>
      <c r="P384">
        <v>312</v>
      </c>
    </row>
    <row r="385" spans="1:16" x14ac:dyDescent="0.2">
      <c r="A385" t="s">
        <v>5546</v>
      </c>
      <c r="B385" t="s">
        <v>5547</v>
      </c>
      <c r="C385" t="s">
        <v>582</v>
      </c>
      <c r="D385" t="s">
        <v>98</v>
      </c>
      <c r="E385">
        <v>89.99</v>
      </c>
      <c r="F385" t="s">
        <v>5817</v>
      </c>
      <c r="L385" t="s">
        <v>5818</v>
      </c>
      <c r="M385">
        <v>0</v>
      </c>
      <c r="N385">
        <v>0</v>
      </c>
      <c r="P385">
        <v>4</v>
      </c>
    </row>
    <row r="386" spans="1:16" x14ac:dyDescent="0.2">
      <c r="A386" t="s">
        <v>613</v>
      </c>
      <c r="B386" t="s">
        <v>614</v>
      </c>
      <c r="C386" t="s">
        <v>582</v>
      </c>
      <c r="D386" t="s">
        <v>105</v>
      </c>
      <c r="E386">
        <v>119.99</v>
      </c>
      <c r="F386" t="s">
        <v>5817</v>
      </c>
      <c r="G386">
        <v>105</v>
      </c>
      <c r="H386" t="s">
        <v>5831</v>
      </c>
      <c r="I386">
        <v>75</v>
      </c>
      <c r="K386">
        <v>50</v>
      </c>
      <c r="L386" t="s">
        <v>5818</v>
      </c>
      <c r="M386">
        <v>3.8333333333333335</v>
      </c>
      <c r="N386">
        <v>15.130434782608695</v>
      </c>
      <c r="P386">
        <v>58</v>
      </c>
    </row>
    <row r="387" spans="1:16" x14ac:dyDescent="0.2">
      <c r="A387" t="s">
        <v>648</v>
      </c>
      <c r="B387" t="s">
        <v>5066</v>
      </c>
      <c r="C387" t="s">
        <v>582</v>
      </c>
      <c r="D387" t="s">
        <v>105</v>
      </c>
      <c r="E387">
        <v>69.989999999999995</v>
      </c>
      <c r="F387" t="s">
        <v>5817</v>
      </c>
      <c r="G387">
        <v>138</v>
      </c>
      <c r="H387" t="s">
        <v>5827</v>
      </c>
      <c r="I387">
        <v>118</v>
      </c>
      <c r="K387">
        <v>40</v>
      </c>
      <c r="L387" t="s">
        <v>5818</v>
      </c>
      <c r="M387">
        <v>19</v>
      </c>
      <c r="N387">
        <v>5.4210526315789478</v>
      </c>
      <c r="O387">
        <v>20.333333333333332</v>
      </c>
      <c r="P387">
        <v>103</v>
      </c>
    </row>
    <row r="388" spans="1:16" x14ac:dyDescent="0.2">
      <c r="A388" t="s">
        <v>716</v>
      </c>
      <c r="B388" t="s">
        <v>717</v>
      </c>
      <c r="C388" t="s">
        <v>582</v>
      </c>
      <c r="D388" t="s">
        <v>105</v>
      </c>
      <c r="E388">
        <v>49.99</v>
      </c>
      <c r="F388" t="s">
        <v>5817</v>
      </c>
      <c r="G388">
        <v>219</v>
      </c>
      <c r="I388">
        <v>219</v>
      </c>
      <c r="K388">
        <v>80</v>
      </c>
      <c r="L388" t="s">
        <v>5818</v>
      </c>
      <c r="M388">
        <v>11.333333333333334</v>
      </c>
      <c r="N388">
        <v>10.852941176470587</v>
      </c>
      <c r="O388">
        <v>11.916666666666666</v>
      </c>
      <c r="P388">
        <v>123</v>
      </c>
    </row>
    <row r="389" spans="1:16" x14ac:dyDescent="0.2">
      <c r="A389" t="s">
        <v>704</v>
      </c>
      <c r="B389" t="s">
        <v>705</v>
      </c>
      <c r="C389" t="s">
        <v>582</v>
      </c>
      <c r="D389" t="s">
        <v>105</v>
      </c>
      <c r="E389">
        <v>39.99</v>
      </c>
      <c r="F389" t="s">
        <v>5817</v>
      </c>
      <c r="G389">
        <v>63</v>
      </c>
      <c r="I389">
        <v>63</v>
      </c>
      <c r="K389">
        <v>40</v>
      </c>
      <c r="L389" t="s">
        <v>5818</v>
      </c>
      <c r="M389">
        <v>0</v>
      </c>
      <c r="N389">
        <v>0</v>
      </c>
      <c r="O389">
        <v>0</v>
      </c>
      <c r="P389" t="s">
        <v>5819</v>
      </c>
    </row>
    <row r="390" spans="1:16" x14ac:dyDescent="0.2">
      <c r="A390" t="s">
        <v>694</v>
      </c>
      <c r="B390" t="s">
        <v>695</v>
      </c>
      <c r="C390" t="s">
        <v>582</v>
      </c>
      <c r="D390" t="s">
        <v>105</v>
      </c>
      <c r="E390">
        <v>44.99</v>
      </c>
      <c r="F390" t="s">
        <v>5817</v>
      </c>
      <c r="G390">
        <v>184</v>
      </c>
      <c r="I390">
        <v>184</v>
      </c>
      <c r="K390">
        <v>40</v>
      </c>
      <c r="L390" t="s">
        <v>5818</v>
      </c>
      <c r="M390">
        <v>17.666666666666664</v>
      </c>
      <c r="N390">
        <v>7.301886792452831</v>
      </c>
      <c r="O390">
        <v>15.25</v>
      </c>
      <c r="P390">
        <v>129</v>
      </c>
    </row>
    <row r="391" spans="1:16" x14ac:dyDescent="0.2">
      <c r="A391" t="s">
        <v>722</v>
      </c>
      <c r="B391" t="s">
        <v>723</v>
      </c>
      <c r="C391" t="s">
        <v>582</v>
      </c>
      <c r="D391" t="s">
        <v>105</v>
      </c>
      <c r="E391">
        <v>59.99</v>
      </c>
      <c r="F391" t="s">
        <v>5817</v>
      </c>
      <c r="G391">
        <v>28</v>
      </c>
      <c r="H391" t="s">
        <v>5832</v>
      </c>
      <c r="I391">
        <v>18</v>
      </c>
      <c r="K391">
        <v>40</v>
      </c>
      <c r="L391" t="s">
        <v>5818</v>
      </c>
      <c r="M391">
        <v>4.8333333333333339</v>
      </c>
      <c r="N391">
        <v>8.068965517241379</v>
      </c>
      <c r="O391">
        <v>4.666666666666667</v>
      </c>
      <c r="P391">
        <v>39</v>
      </c>
    </row>
    <row r="392" spans="1:16" x14ac:dyDescent="0.2">
      <c r="A392" t="s">
        <v>730</v>
      </c>
      <c r="B392" t="s">
        <v>731</v>
      </c>
      <c r="C392" t="s">
        <v>582</v>
      </c>
      <c r="D392" t="s">
        <v>105</v>
      </c>
      <c r="E392">
        <v>59.99</v>
      </c>
      <c r="F392" t="s">
        <v>5817</v>
      </c>
      <c r="G392">
        <v>10</v>
      </c>
      <c r="H392" t="s">
        <v>5832</v>
      </c>
      <c r="J392">
        <v>28</v>
      </c>
      <c r="K392">
        <v>120</v>
      </c>
      <c r="L392" t="s">
        <v>5818</v>
      </c>
      <c r="M392">
        <v>5.333333333333333</v>
      </c>
      <c r="N392">
        <v>7.5</v>
      </c>
      <c r="O392">
        <v>5</v>
      </c>
      <c r="P392">
        <v>40</v>
      </c>
    </row>
    <row r="393" spans="1:16" x14ac:dyDescent="0.2">
      <c r="A393" t="s">
        <v>632</v>
      </c>
      <c r="B393" t="s">
        <v>633</v>
      </c>
      <c r="C393" t="s">
        <v>582</v>
      </c>
      <c r="D393" t="s">
        <v>138</v>
      </c>
      <c r="E393">
        <v>159.99</v>
      </c>
      <c r="F393" t="s">
        <v>5817</v>
      </c>
      <c r="G393">
        <v>19</v>
      </c>
      <c r="I393">
        <v>19</v>
      </c>
      <c r="L393" t="s">
        <v>5818</v>
      </c>
      <c r="M393">
        <v>0</v>
      </c>
      <c r="N393">
        <v>0</v>
      </c>
      <c r="P393">
        <v>2</v>
      </c>
    </row>
    <row r="394" spans="1:16" x14ac:dyDescent="0.2">
      <c r="A394" t="s">
        <v>776</v>
      </c>
      <c r="B394" t="s">
        <v>777</v>
      </c>
      <c r="C394" t="s">
        <v>582</v>
      </c>
      <c r="D394" t="s">
        <v>105</v>
      </c>
      <c r="E394">
        <v>69.989999999999995</v>
      </c>
      <c r="F394" t="s">
        <v>5817</v>
      </c>
      <c r="G394">
        <v>98</v>
      </c>
      <c r="H394" t="s">
        <v>5827</v>
      </c>
      <c r="I394">
        <v>78</v>
      </c>
      <c r="K394">
        <v>40</v>
      </c>
      <c r="L394" t="s">
        <v>5818</v>
      </c>
      <c r="M394">
        <v>0</v>
      </c>
      <c r="N394">
        <v>0</v>
      </c>
      <c r="O394">
        <v>0</v>
      </c>
      <c r="P394" t="s">
        <v>5819</v>
      </c>
    </row>
    <row r="395" spans="1:16" x14ac:dyDescent="0.2">
      <c r="A395" t="s">
        <v>5257</v>
      </c>
      <c r="B395" t="s">
        <v>5258</v>
      </c>
      <c r="C395" t="s">
        <v>582</v>
      </c>
      <c r="D395" t="s">
        <v>138</v>
      </c>
      <c r="E395">
        <v>69.989999999999995</v>
      </c>
      <c r="F395" t="s">
        <v>5817</v>
      </c>
      <c r="G395">
        <v>119</v>
      </c>
      <c r="I395">
        <v>119</v>
      </c>
      <c r="L395" t="s">
        <v>5818</v>
      </c>
      <c r="M395">
        <v>0</v>
      </c>
      <c r="N395">
        <v>0</v>
      </c>
      <c r="O395">
        <v>0</v>
      </c>
      <c r="P395" t="s">
        <v>5819</v>
      </c>
    </row>
    <row r="396" spans="1:16" x14ac:dyDescent="0.2">
      <c r="A396" t="s">
        <v>778</v>
      </c>
      <c r="B396" t="s">
        <v>779</v>
      </c>
      <c r="C396" t="s">
        <v>582</v>
      </c>
      <c r="D396" t="s">
        <v>105</v>
      </c>
      <c r="E396">
        <v>59.99</v>
      </c>
      <c r="F396" t="s">
        <v>5817</v>
      </c>
      <c r="G396">
        <v>30</v>
      </c>
      <c r="H396" t="s">
        <v>5827</v>
      </c>
      <c r="I396">
        <v>10</v>
      </c>
      <c r="K396">
        <v>80</v>
      </c>
      <c r="L396" t="s">
        <v>5818</v>
      </c>
      <c r="M396">
        <v>0</v>
      </c>
      <c r="N396">
        <v>0</v>
      </c>
      <c r="O396">
        <v>0</v>
      </c>
      <c r="P396" t="s">
        <v>5819</v>
      </c>
    </row>
    <row r="397" spans="1:16" x14ac:dyDescent="0.2">
      <c r="A397" t="s">
        <v>748</v>
      </c>
      <c r="B397" t="s">
        <v>749</v>
      </c>
      <c r="C397" t="s">
        <v>582</v>
      </c>
      <c r="D397" t="s">
        <v>105</v>
      </c>
      <c r="E397">
        <v>19.989999999999998</v>
      </c>
      <c r="F397" t="s">
        <v>5817</v>
      </c>
      <c r="G397">
        <v>453</v>
      </c>
      <c r="I397">
        <v>453</v>
      </c>
      <c r="L397" t="s">
        <v>5818</v>
      </c>
      <c r="M397">
        <v>62.5</v>
      </c>
      <c r="N397">
        <v>24.08</v>
      </c>
      <c r="O397">
        <v>55.5</v>
      </c>
      <c r="P397">
        <v>1505</v>
      </c>
    </row>
    <row r="398" spans="1:16" x14ac:dyDescent="0.2">
      <c r="A398" t="s">
        <v>30</v>
      </c>
      <c r="B398" t="s">
        <v>802</v>
      </c>
      <c r="C398" t="s">
        <v>582</v>
      </c>
      <c r="D398" t="s">
        <v>105</v>
      </c>
      <c r="E398">
        <v>19.989999999999998</v>
      </c>
      <c r="F398" t="s">
        <v>5817</v>
      </c>
      <c r="G398">
        <v>766</v>
      </c>
      <c r="H398" t="s">
        <v>5827</v>
      </c>
      <c r="I398">
        <v>746</v>
      </c>
      <c r="K398">
        <v>120</v>
      </c>
      <c r="L398" t="s">
        <v>5818</v>
      </c>
      <c r="M398">
        <v>63.166666666666664</v>
      </c>
      <c r="N398">
        <v>7.1398416886543536</v>
      </c>
      <c r="P398">
        <v>451</v>
      </c>
    </row>
    <row r="399" spans="1:16" x14ac:dyDescent="0.2">
      <c r="A399" t="s">
        <v>782</v>
      </c>
      <c r="B399" t="s">
        <v>783</v>
      </c>
      <c r="C399" t="s">
        <v>582</v>
      </c>
      <c r="D399" t="s">
        <v>105</v>
      </c>
      <c r="E399">
        <v>19.989999999999998</v>
      </c>
      <c r="F399" t="s">
        <v>5817</v>
      </c>
      <c r="G399">
        <v>707</v>
      </c>
      <c r="I399">
        <v>707</v>
      </c>
      <c r="L399" t="s">
        <v>5818</v>
      </c>
      <c r="M399">
        <v>68.333333333333329</v>
      </c>
      <c r="N399">
        <v>6.6000000000000005</v>
      </c>
      <c r="P399">
        <v>451</v>
      </c>
    </row>
    <row r="400" spans="1:16" x14ac:dyDescent="0.2">
      <c r="A400" t="s">
        <v>720</v>
      </c>
      <c r="B400" t="s">
        <v>721</v>
      </c>
      <c r="C400" t="s">
        <v>582</v>
      </c>
      <c r="D400" t="s">
        <v>105</v>
      </c>
      <c r="E400">
        <v>69.989999999999995</v>
      </c>
      <c r="F400" t="s">
        <v>5817</v>
      </c>
      <c r="G400">
        <v>58</v>
      </c>
      <c r="I400">
        <v>58</v>
      </c>
      <c r="L400" t="s">
        <v>5818</v>
      </c>
      <c r="M400">
        <v>0</v>
      </c>
      <c r="N400">
        <v>0</v>
      </c>
      <c r="P400">
        <v>89</v>
      </c>
    </row>
    <row r="401" spans="1:16" x14ac:dyDescent="0.2">
      <c r="A401" t="s">
        <v>650</v>
      </c>
      <c r="B401" t="s">
        <v>651</v>
      </c>
      <c r="C401" t="s">
        <v>582</v>
      </c>
      <c r="D401" t="s">
        <v>105</v>
      </c>
      <c r="E401">
        <v>119.99</v>
      </c>
      <c r="F401" t="s">
        <v>5817</v>
      </c>
      <c r="J401">
        <v>15</v>
      </c>
      <c r="K401">
        <v>120</v>
      </c>
      <c r="L401" t="s">
        <v>5818</v>
      </c>
      <c r="M401">
        <v>8.6666666666666661</v>
      </c>
      <c r="N401">
        <v>5.4230769230769234</v>
      </c>
      <c r="P401">
        <v>47</v>
      </c>
    </row>
    <row r="402" spans="1:16" x14ac:dyDescent="0.2">
      <c r="A402" t="s">
        <v>700</v>
      </c>
      <c r="B402" t="s">
        <v>701</v>
      </c>
      <c r="C402" t="s">
        <v>582</v>
      </c>
      <c r="D402" t="s">
        <v>105</v>
      </c>
      <c r="E402">
        <v>59.99</v>
      </c>
      <c r="F402" t="s">
        <v>5817</v>
      </c>
      <c r="G402">
        <v>89</v>
      </c>
      <c r="H402" t="s">
        <v>5823</v>
      </c>
      <c r="I402">
        <v>88</v>
      </c>
      <c r="L402" t="s">
        <v>5818</v>
      </c>
      <c r="M402">
        <v>8.6666666666666661</v>
      </c>
      <c r="N402">
        <v>9</v>
      </c>
      <c r="O402">
        <v>9.5833333333333339</v>
      </c>
      <c r="P402">
        <v>78</v>
      </c>
    </row>
    <row r="403" spans="1:16" x14ac:dyDescent="0.2">
      <c r="A403" t="s">
        <v>788</v>
      </c>
      <c r="B403" t="s">
        <v>5828</v>
      </c>
      <c r="C403" t="s">
        <v>582</v>
      </c>
      <c r="D403" t="s">
        <v>105</v>
      </c>
      <c r="E403">
        <v>39.99</v>
      </c>
      <c r="F403" t="s">
        <v>5817</v>
      </c>
      <c r="G403">
        <v>101</v>
      </c>
      <c r="H403" t="s">
        <v>5829</v>
      </c>
      <c r="I403">
        <v>76</v>
      </c>
      <c r="K403">
        <v>120</v>
      </c>
      <c r="L403" t="s">
        <v>5818</v>
      </c>
      <c r="M403">
        <v>8.6666666666666661</v>
      </c>
      <c r="N403">
        <v>6.1153846153846159</v>
      </c>
      <c r="O403">
        <v>6.25</v>
      </c>
      <c r="P403">
        <v>53</v>
      </c>
    </row>
    <row r="404" spans="1:16" x14ac:dyDescent="0.2">
      <c r="A404" t="s">
        <v>738</v>
      </c>
      <c r="B404" t="s">
        <v>739</v>
      </c>
      <c r="C404" t="s">
        <v>582</v>
      </c>
      <c r="D404" t="s">
        <v>138</v>
      </c>
      <c r="E404">
        <v>59.99</v>
      </c>
      <c r="F404" t="s">
        <v>5817</v>
      </c>
      <c r="G404">
        <v>3</v>
      </c>
      <c r="I404">
        <v>3</v>
      </c>
      <c r="L404" t="s">
        <v>5818</v>
      </c>
      <c r="M404">
        <v>0</v>
      </c>
      <c r="N404">
        <v>0</v>
      </c>
      <c r="O404">
        <v>0</v>
      </c>
      <c r="P404" t="s">
        <v>5819</v>
      </c>
    </row>
    <row r="405" spans="1:16" x14ac:dyDescent="0.2">
      <c r="A405" t="s">
        <v>792</v>
      </c>
      <c r="B405" t="s">
        <v>793</v>
      </c>
      <c r="C405" t="s">
        <v>582</v>
      </c>
      <c r="D405" t="s">
        <v>105</v>
      </c>
      <c r="E405">
        <v>69.989999999999995</v>
      </c>
      <c r="F405" t="s">
        <v>5817</v>
      </c>
      <c r="G405">
        <v>36</v>
      </c>
      <c r="I405">
        <v>36</v>
      </c>
      <c r="K405">
        <v>40</v>
      </c>
      <c r="L405" t="s">
        <v>5818</v>
      </c>
      <c r="M405">
        <v>0</v>
      </c>
      <c r="N405">
        <v>0</v>
      </c>
      <c r="O405">
        <v>0</v>
      </c>
      <c r="P405" t="s">
        <v>5819</v>
      </c>
    </row>
    <row r="406" spans="1:16" x14ac:dyDescent="0.2">
      <c r="A406" t="s">
        <v>5610</v>
      </c>
      <c r="B406" t="s">
        <v>5611</v>
      </c>
      <c r="C406" t="s">
        <v>582</v>
      </c>
      <c r="D406" t="s">
        <v>98</v>
      </c>
      <c r="E406">
        <v>59.99</v>
      </c>
      <c r="F406" t="s">
        <v>5817</v>
      </c>
      <c r="L406" t="s">
        <v>5818</v>
      </c>
      <c r="M406">
        <v>0</v>
      </c>
      <c r="N406">
        <v>0</v>
      </c>
      <c r="O406">
        <v>0</v>
      </c>
      <c r="P406" t="s">
        <v>5819</v>
      </c>
    </row>
    <row r="407" spans="1:16" x14ac:dyDescent="0.2">
      <c r="A407" t="s">
        <v>5608</v>
      </c>
      <c r="B407" t="s">
        <v>5609</v>
      </c>
      <c r="C407" t="s">
        <v>582</v>
      </c>
      <c r="D407" t="s">
        <v>98</v>
      </c>
      <c r="E407">
        <v>59.99</v>
      </c>
      <c r="F407" t="s">
        <v>5817</v>
      </c>
      <c r="L407" t="s">
        <v>5818</v>
      </c>
      <c r="M407">
        <v>0</v>
      </c>
      <c r="N407">
        <v>0</v>
      </c>
      <c r="P407" t="s">
        <v>5824</v>
      </c>
    </row>
    <row r="408" spans="1:16" x14ac:dyDescent="0.2">
      <c r="A408" t="s">
        <v>5602</v>
      </c>
      <c r="B408" t="s">
        <v>5603</v>
      </c>
      <c r="C408" t="s">
        <v>582</v>
      </c>
      <c r="D408" t="s">
        <v>98</v>
      </c>
      <c r="E408">
        <v>79.989999999999995</v>
      </c>
      <c r="F408" t="s">
        <v>5817</v>
      </c>
      <c r="L408" t="s">
        <v>5818</v>
      </c>
      <c r="M408">
        <v>0</v>
      </c>
      <c r="N408">
        <v>0</v>
      </c>
      <c r="O408">
        <v>0</v>
      </c>
      <c r="P408" t="s">
        <v>5819</v>
      </c>
    </row>
    <row r="409" spans="1:16" x14ac:dyDescent="0.2">
      <c r="A409" t="s">
        <v>5604</v>
      </c>
      <c r="B409" t="s">
        <v>5605</v>
      </c>
      <c r="C409" t="s">
        <v>582</v>
      </c>
      <c r="D409" t="s">
        <v>98</v>
      </c>
      <c r="E409">
        <v>39.99</v>
      </c>
      <c r="F409" t="s">
        <v>5817</v>
      </c>
      <c r="L409" t="s">
        <v>5818</v>
      </c>
      <c r="M409">
        <v>0</v>
      </c>
      <c r="N409">
        <v>0</v>
      </c>
      <c r="P409" t="s">
        <v>5819</v>
      </c>
    </row>
    <row r="410" spans="1:16" x14ac:dyDescent="0.2">
      <c r="A410" t="s">
        <v>5094</v>
      </c>
      <c r="B410" t="s">
        <v>5095</v>
      </c>
      <c r="C410" t="s">
        <v>582</v>
      </c>
      <c r="D410" t="s">
        <v>98</v>
      </c>
      <c r="E410">
        <v>69.989999999999995</v>
      </c>
      <c r="F410" t="s">
        <v>5817</v>
      </c>
      <c r="L410" t="s">
        <v>5818</v>
      </c>
      <c r="M410">
        <v>0</v>
      </c>
      <c r="N410">
        <v>0</v>
      </c>
      <c r="O410">
        <v>0</v>
      </c>
      <c r="P410" t="s">
        <v>5819</v>
      </c>
    </row>
    <row r="411" spans="1:16" x14ac:dyDescent="0.2">
      <c r="A411" t="s">
        <v>5562</v>
      </c>
      <c r="B411" t="s">
        <v>5563</v>
      </c>
      <c r="C411" t="s">
        <v>582</v>
      </c>
      <c r="D411" t="s">
        <v>98</v>
      </c>
      <c r="E411">
        <v>99.99</v>
      </c>
      <c r="F411" t="s">
        <v>5817</v>
      </c>
      <c r="L411" t="s">
        <v>5818</v>
      </c>
      <c r="M411">
        <v>0</v>
      </c>
      <c r="N411">
        <v>0</v>
      </c>
      <c r="O411">
        <v>0</v>
      </c>
      <c r="P411" t="s">
        <v>5819</v>
      </c>
    </row>
    <row r="412" spans="1:16" x14ac:dyDescent="0.2">
      <c r="A412" t="s">
        <v>5556</v>
      </c>
      <c r="B412" t="s">
        <v>5557</v>
      </c>
      <c r="C412" t="s">
        <v>582</v>
      </c>
      <c r="D412" t="s">
        <v>98</v>
      </c>
      <c r="E412">
        <v>59.99</v>
      </c>
      <c r="F412" t="s">
        <v>5817</v>
      </c>
      <c r="L412" t="s">
        <v>5818</v>
      </c>
      <c r="M412">
        <v>0</v>
      </c>
      <c r="N412">
        <v>0</v>
      </c>
      <c r="P412" t="s">
        <v>5819</v>
      </c>
    </row>
    <row r="413" spans="1:16" x14ac:dyDescent="0.2">
      <c r="A413" t="s">
        <v>790</v>
      </c>
      <c r="B413" t="s">
        <v>791</v>
      </c>
      <c r="C413" t="s">
        <v>582</v>
      </c>
      <c r="D413" t="s">
        <v>105</v>
      </c>
      <c r="E413">
        <v>64.989999999999995</v>
      </c>
      <c r="F413" t="s">
        <v>5817</v>
      </c>
      <c r="G413">
        <v>120</v>
      </c>
      <c r="I413">
        <v>120</v>
      </c>
      <c r="K413">
        <v>80</v>
      </c>
      <c r="L413" t="s">
        <v>5818</v>
      </c>
      <c r="M413">
        <v>7.333333333333333</v>
      </c>
      <c r="N413">
        <v>4.0909090909090908</v>
      </c>
      <c r="O413">
        <v>6.25</v>
      </c>
      <c r="P413">
        <v>30</v>
      </c>
    </row>
    <row r="414" spans="1:16" x14ac:dyDescent="0.2">
      <c r="A414" t="s">
        <v>726</v>
      </c>
      <c r="B414" t="s">
        <v>727</v>
      </c>
      <c r="C414" t="s">
        <v>582</v>
      </c>
      <c r="D414" t="s">
        <v>105</v>
      </c>
      <c r="E414">
        <v>149.99</v>
      </c>
      <c r="F414" t="s">
        <v>5817</v>
      </c>
      <c r="G414">
        <v>144</v>
      </c>
      <c r="I414">
        <v>144</v>
      </c>
      <c r="L414" t="s">
        <v>5818</v>
      </c>
      <c r="M414">
        <v>0</v>
      </c>
      <c r="N414">
        <v>0</v>
      </c>
      <c r="P414">
        <v>40</v>
      </c>
    </row>
    <row r="415" spans="1:16" x14ac:dyDescent="0.2">
      <c r="A415" t="s">
        <v>702</v>
      </c>
      <c r="B415" t="s">
        <v>703</v>
      </c>
      <c r="C415" t="s">
        <v>582</v>
      </c>
      <c r="D415" t="s">
        <v>105</v>
      </c>
      <c r="E415">
        <v>179.99</v>
      </c>
      <c r="F415" t="s">
        <v>5817</v>
      </c>
      <c r="G415">
        <v>42</v>
      </c>
      <c r="H415" t="s">
        <v>5827</v>
      </c>
      <c r="I415">
        <v>22</v>
      </c>
      <c r="L415" t="s">
        <v>5818</v>
      </c>
      <c r="M415">
        <v>3.4</v>
      </c>
      <c r="N415">
        <v>15.294117647058824</v>
      </c>
      <c r="O415">
        <v>3.1666666666666665</v>
      </c>
      <c r="P415">
        <v>52</v>
      </c>
    </row>
    <row r="416" spans="1:16" x14ac:dyDescent="0.2">
      <c r="A416" t="s">
        <v>5272</v>
      </c>
      <c r="B416" t="s">
        <v>5273</v>
      </c>
      <c r="C416" t="s">
        <v>582</v>
      </c>
      <c r="D416" t="s">
        <v>98</v>
      </c>
      <c r="E416">
        <v>189.99</v>
      </c>
      <c r="F416" t="s">
        <v>5817</v>
      </c>
      <c r="L416" t="s">
        <v>5818</v>
      </c>
      <c r="M416">
        <v>0</v>
      </c>
      <c r="N416">
        <v>0</v>
      </c>
      <c r="O416">
        <v>0</v>
      </c>
      <c r="P416" t="s">
        <v>5819</v>
      </c>
    </row>
    <row r="417" spans="1:16" x14ac:dyDescent="0.2">
      <c r="A417" t="s">
        <v>5296</v>
      </c>
      <c r="B417" t="s">
        <v>5297</v>
      </c>
      <c r="C417" t="s">
        <v>582</v>
      </c>
      <c r="D417" t="s">
        <v>98</v>
      </c>
      <c r="E417">
        <v>24.99</v>
      </c>
      <c r="F417" t="s">
        <v>5817</v>
      </c>
      <c r="L417" t="s">
        <v>5818</v>
      </c>
      <c r="M417">
        <v>0</v>
      </c>
      <c r="N417">
        <v>0</v>
      </c>
      <c r="O417">
        <v>0</v>
      </c>
      <c r="P417" t="s">
        <v>5819</v>
      </c>
    </row>
    <row r="418" spans="1:16" x14ac:dyDescent="0.2">
      <c r="A418" t="s">
        <v>5300</v>
      </c>
      <c r="B418" t="s">
        <v>5301</v>
      </c>
      <c r="C418" t="s">
        <v>582</v>
      </c>
      <c r="D418" t="s">
        <v>98</v>
      </c>
      <c r="E418">
        <v>19.989999999999998</v>
      </c>
      <c r="F418" t="s">
        <v>5817</v>
      </c>
      <c r="L418" t="s">
        <v>5818</v>
      </c>
      <c r="M418">
        <v>0</v>
      </c>
      <c r="N418">
        <v>0</v>
      </c>
      <c r="O418">
        <v>0</v>
      </c>
      <c r="P418" t="s">
        <v>5819</v>
      </c>
    </row>
    <row r="419" spans="1:16" x14ac:dyDescent="0.2">
      <c r="A419" t="s">
        <v>5298</v>
      </c>
      <c r="B419" t="s">
        <v>5299</v>
      </c>
      <c r="C419" t="s">
        <v>582</v>
      </c>
      <c r="D419" t="s">
        <v>98</v>
      </c>
      <c r="E419">
        <v>39.99</v>
      </c>
      <c r="F419" t="s">
        <v>5817</v>
      </c>
      <c r="L419" t="s">
        <v>5818</v>
      </c>
      <c r="M419">
        <v>0</v>
      </c>
      <c r="N419">
        <v>0</v>
      </c>
      <c r="O419">
        <v>0</v>
      </c>
      <c r="P419" t="s">
        <v>5819</v>
      </c>
    </row>
    <row r="420" spans="1:16" x14ac:dyDescent="0.2">
      <c r="A420" t="s">
        <v>736</v>
      </c>
      <c r="B420" t="s">
        <v>737</v>
      </c>
      <c r="C420" t="s">
        <v>582</v>
      </c>
      <c r="D420" t="s">
        <v>105</v>
      </c>
      <c r="E420">
        <v>29.99</v>
      </c>
      <c r="F420" t="s">
        <v>5817</v>
      </c>
      <c r="G420">
        <v>43</v>
      </c>
      <c r="H420" t="s">
        <v>5827</v>
      </c>
      <c r="I420">
        <v>23</v>
      </c>
      <c r="K420">
        <v>1000</v>
      </c>
      <c r="L420" t="s">
        <v>5818</v>
      </c>
      <c r="M420">
        <v>0</v>
      </c>
      <c r="N420">
        <v>0</v>
      </c>
      <c r="O420">
        <v>0</v>
      </c>
      <c r="P420" t="s">
        <v>5819</v>
      </c>
    </row>
    <row r="421" spans="1:16" x14ac:dyDescent="0.2">
      <c r="A421" t="s">
        <v>5292</v>
      </c>
      <c r="B421" t="s">
        <v>5293</v>
      </c>
      <c r="C421" t="s">
        <v>582</v>
      </c>
      <c r="D421" t="s">
        <v>98</v>
      </c>
      <c r="E421">
        <v>69.989999999999995</v>
      </c>
      <c r="F421" t="s">
        <v>5817</v>
      </c>
      <c r="L421" t="s">
        <v>5818</v>
      </c>
      <c r="M421">
        <v>0</v>
      </c>
      <c r="N421">
        <v>0</v>
      </c>
      <c r="O421">
        <v>0</v>
      </c>
      <c r="P421" t="s">
        <v>5819</v>
      </c>
    </row>
    <row r="422" spans="1:16" x14ac:dyDescent="0.2">
      <c r="A422" t="s">
        <v>786</v>
      </c>
      <c r="B422" t="s">
        <v>787</v>
      </c>
      <c r="C422" t="s">
        <v>582</v>
      </c>
      <c r="D422" t="s">
        <v>105</v>
      </c>
      <c r="E422">
        <v>44.99</v>
      </c>
      <c r="F422" t="s">
        <v>5817</v>
      </c>
      <c r="G422">
        <v>377</v>
      </c>
      <c r="H422" t="s">
        <v>5830</v>
      </c>
      <c r="I422">
        <v>362</v>
      </c>
      <c r="L422" t="s">
        <v>5818</v>
      </c>
      <c r="M422">
        <v>16.666666666666668</v>
      </c>
      <c r="N422">
        <v>6.72</v>
      </c>
      <c r="O422">
        <v>9.25</v>
      </c>
      <c r="P422">
        <v>112</v>
      </c>
    </row>
    <row r="423" spans="1:16" x14ac:dyDescent="0.2">
      <c r="A423" t="s">
        <v>686</v>
      </c>
      <c r="B423" t="s">
        <v>687</v>
      </c>
      <c r="C423" t="s">
        <v>582</v>
      </c>
      <c r="D423" t="s">
        <v>105</v>
      </c>
      <c r="E423">
        <v>59.99</v>
      </c>
      <c r="F423" t="s">
        <v>5817</v>
      </c>
      <c r="G423">
        <v>67</v>
      </c>
      <c r="H423" t="s">
        <v>5827</v>
      </c>
      <c r="I423">
        <v>47</v>
      </c>
      <c r="L423" t="s">
        <v>5818</v>
      </c>
      <c r="M423">
        <v>0</v>
      </c>
      <c r="N423">
        <v>0</v>
      </c>
      <c r="P423">
        <v>122</v>
      </c>
    </row>
    <row r="424" spans="1:16" x14ac:dyDescent="0.2">
      <c r="A424" t="s">
        <v>722</v>
      </c>
      <c r="B424" t="s">
        <v>723</v>
      </c>
      <c r="C424" t="s">
        <v>582</v>
      </c>
      <c r="D424" t="s">
        <v>105</v>
      </c>
      <c r="E424">
        <v>59.99</v>
      </c>
      <c r="F424" t="s">
        <v>5817</v>
      </c>
      <c r="G424">
        <v>28</v>
      </c>
      <c r="H424" t="s">
        <v>5832</v>
      </c>
      <c r="I424">
        <v>18</v>
      </c>
      <c r="K424">
        <v>40</v>
      </c>
      <c r="L424" t="s">
        <v>5085</v>
      </c>
      <c r="M424">
        <v>0</v>
      </c>
      <c r="N424">
        <v>0</v>
      </c>
      <c r="O424">
        <v>8.3333333333333329E-2</v>
      </c>
      <c r="P424" t="s">
        <v>5819</v>
      </c>
    </row>
    <row r="425" spans="1:16" x14ac:dyDescent="0.2">
      <c r="A425" t="s">
        <v>730</v>
      </c>
      <c r="B425" t="s">
        <v>731</v>
      </c>
      <c r="C425" t="s">
        <v>582</v>
      </c>
      <c r="D425" t="s">
        <v>105</v>
      </c>
      <c r="E425">
        <v>59.99</v>
      </c>
      <c r="F425" t="s">
        <v>5817</v>
      </c>
      <c r="G425">
        <v>10</v>
      </c>
      <c r="H425" t="s">
        <v>5832</v>
      </c>
      <c r="J425">
        <v>28</v>
      </c>
      <c r="K425">
        <v>120</v>
      </c>
      <c r="L425" t="s">
        <v>5085</v>
      </c>
      <c r="M425">
        <v>0</v>
      </c>
      <c r="N425">
        <v>0</v>
      </c>
      <c r="O425">
        <v>8.3333333333333329E-2</v>
      </c>
      <c r="P425" t="s">
        <v>5819</v>
      </c>
    </row>
    <row r="426" spans="1:16" x14ac:dyDescent="0.2">
      <c r="A426" t="s">
        <v>632</v>
      </c>
      <c r="B426" t="s">
        <v>633</v>
      </c>
      <c r="C426" t="s">
        <v>582</v>
      </c>
      <c r="D426" t="s">
        <v>138</v>
      </c>
      <c r="E426">
        <v>159.99</v>
      </c>
      <c r="F426" t="s">
        <v>5817</v>
      </c>
      <c r="G426">
        <v>19</v>
      </c>
      <c r="I426">
        <v>19</v>
      </c>
      <c r="L426" t="s">
        <v>5085</v>
      </c>
      <c r="M426">
        <v>0</v>
      </c>
      <c r="N426">
        <v>0</v>
      </c>
      <c r="O426">
        <v>0</v>
      </c>
      <c r="P426" t="s">
        <v>5819</v>
      </c>
    </row>
    <row r="427" spans="1:16" x14ac:dyDescent="0.2">
      <c r="A427" t="s">
        <v>694</v>
      </c>
      <c r="B427" t="s">
        <v>695</v>
      </c>
      <c r="C427" t="s">
        <v>582</v>
      </c>
      <c r="D427" t="s">
        <v>105</v>
      </c>
      <c r="E427">
        <v>44.99</v>
      </c>
      <c r="F427" t="s">
        <v>5817</v>
      </c>
      <c r="G427">
        <v>184</v>
      </c>
      <c r="I427">
        <v>184</v>
      </c>
      <c r="K427">
        <v>40</v>
      </c>
      <c r="L427" t="s">
        <v>5085</v>
      </c>
      <c r="M427">
        <v>0</v>
      </c>
      <c r="N427">
        <v>0</v>
      </c>
      <c r="O427">
        <v>0</v>
      </c>
      <c r="P427" t="s">
        <v>5819</v>
      </c>
    </row>
    <row r="428" spans="1:16" x14ac:dyDescent="0.2">
      <c r="A428" t="s">
        <v>613</v>
      </c>
      <c r="B428" t="s">
        <v>614</v>
      </c>
      <c r="C428" t="s">
        <v>582</v>
      </c>
      <c r="D428" t="s">
        <v>105</v>
      </c>
      <c r="E428">
        <v>119.99</v>
      </c>
      <c r="F428" t="s">
        <v>5817</v>
      </c>
      <c r="G428">
        <v>105</v>
      </c>
      <c r="H428" t="s">
        <v>5831</v>
      </c>
      <c r="I428">
        <v>75</v>
      </c>
      <c r="K428">
        <v>50</v>
      </c>
      <c r="L428" t="s">
        <v>5085</v>
      </c>
      <c r="M428">
        <v>0</v>
      </c>
      <c r="N428">
        <v>0</v>
      </c>
      <c r="O428">
        <v>0.25</v>
      </c>
      <c r="P428" t="s">
        <v>5819</v>
      </c>
    </row>
    <row r="429" spans="1:16" x14ac:dyDescent="0.2">
      <c r="A429" t="s">
        <v>648</v>
      </c>
      <c r="B429" t="s">
        <v>5066</v>
      </c>
      <c r="C429" t="s">
        <v>582</v>
      </c>
      <c r="D429" t="s">
        <v>105</v>
      </c>
      <c r="E429">
        <v>69.989999999999995</v>
      </c>
      <c r="F429" t="s">
        <v>5817</v>
      </c>
      <c r="G429">
        <v>138</v>
      </c>
      <c r="H429" t="s">
        <v>5827</v>
      </c>
      <c r="I429">
        <v>118</v>
      </c>
      <c r="K429">
        <v>40</v>
      </c>
      <c r="L429" t="s">
        <v>5085</v>
      </c>
      <c r="M429">
        <v>0</v>
      </c>
      <c r="N429">
        <v>0</v>
      </c>
      <c r="O429">
        <v>8.3333333333333329E-2</v>
      </c>
      <c r="P429" t="s">
        <v>5819</v>
      </c>
    </row>
    <row r="430" spans="1:16" x14ac:dyDescent="0.2">
      <c r="A430" t="s">
        <v>638</v>
      </c>
      <c r="B430" t="s">
        <v>639</v>
      </c>
      <c r="C430" t="s">
        <v>582</v>
      </c>
      <c r="D430" t="s">
        <v>138</v>
      </c>
      <c r="E430">
        <v>199.99</v>
      </c>
      <c r="F430" t="s">
        <v>5817</v>
      </c>
      <c r="G430">
        <v>2</v>
      </c>
      <c r="I430">
        <v>2</v>
      </c>
      <c r="L430" t="s">
        <v>5085</v>
      </c>
      <c r="M430">
        <v>0</v>
      </c>
      <c r="N430">
        <v>0</v>
      </c>
      <c r="O430">
        <v>0</v>
      </c>
      <c r="P430" t="s">
        <v>5819</v>
      </c>
    </row>
    <row r="431" spans="1:16" x14ac:dyDescent="0.2">
      <c r="A431" t="s">
        <v>786</v>
      </c>
      <c r="B431" t="s">
        <v>787</v>
      </c>
      <c r="C431" t="s">
        <v>582</v>
      </c>
      <c r="D431" t="s">
        <v>105</v>
      </c>
      <c r="E431">
        <v>44.99</v>
      </c>
      <c r="F431" t="s">
        <v>5817</v>
      </c>
      <c r="G431">
        <v>377</v>
      </c>
      <c r="H431" t="s">
        <v>5830</v>
      </c>
      <c r="I431">
        <v>362</v>
      </c>
      <c r="L431" t="s">
        <v>5085</v>
      </c>
      <c r="M431">
        <v>0</v>
      </c>
      <c r="N431">
        <v>0</v>
      </c>
      <c r="O431">
        <v>0</v>
      </c>
      <c r="P431" t="s">
        <v>5819</v>
      </c>
    </row>
    <row r="432" spans="1:16" x14ac:dyDescent="0.2">
      <c r="A432" t="s">
        <v>704</v>
      </c>
      <c r="B432" t="s">
        <v>705</v>
      </c>
      <c r="C432" t="s">
        <v>582</v>
      </c>
      <c r="D432" t="s">
        <v>105</v>
      </c>
      <c r="E432">
        <v>39.99</v>
      </c>
      <c r="F432" t="s">
        <v>5817</v>
      </c>
      <c r="G432">
        <v>63</v>
      </c>
      <c r="I432">
        <v>63</v>
      </c>
      <c r="K432">
        <v>40</v>
      </c>
      <c r="L432" t="s">
        <v>5085</v>
      </c>
      <c r="M432">
        <v>0</v>
      </c>
      <c r="N432">
        <v>0</v>
      </c>
      <c r="O432">
        <v>8.3333333333333329E-2</v>
      </c>
      <c r="P432" t="s">
        <v>5819</v>
      </c>
    </row>
    <row r="433" spans="1:16" x14ac:dyDescent="0.2">
      <c r="A433" t="s">
        <v>686</v>
      </c>
      <c r="B433" t="s">
        <v>687</v>
      </c>
      <c r="C433" t="s">
        <v>582</v>
      </c>
      <c r="D433" t="s">
        <v>105</v>
      </c>
      <c r="E433">
        <v>59.99</v>
      </c>
      <c r="F433" t="s">
        <v>5817</v>
      </c>
      <c r="G433">
        <v>67</v>
      </c>
      <c r="H433" t="s">
        <v>5827</v>
      </c>
      <c r="I433">
        <v>47</v>
      </c>
      <c r="L433" t="s">
        <v>5085</v>
      </c>
      <c r="M433">
        <v>0</v>
      </c>
      <c r="N433">
        <v>0</v>
      </c>
      <c r="O433">
        <v>0</v>
      </c>
      <c r="P433">
        <v>3</v>
      </c>
    </row>
    <row r="434" spans="1:16" x14ac:dyDescent="0.2">
      <c r="A434" t="s">
        <v>716</v>
      </c>
      <c r="B434" t="s">
        <v>717</v>
      </c>
      <c r="C434" t="s">
        <v>582</v>
      </c>
      <c r="D434" t="s">
        <v>105</v>
      </c>
      <c r="E434">
        <v>49.99</v>
      </c>
      <c r="F434" t="s">
        <v>5817</v>
      </c>
      <c r="G434">
        <v>219</v>
      </c>
      <c r="I434">
        <v>219</v>
      </c>
      <c r="K434">
        <v>80</v>
      </c>
      <c r="L434" t="s">
        <v>5085</v>
      </c>
      <c r="M434">
        <v>0</v>
      </c>
      <c r="N434">
        <v>0</v>
      </c>
      <c r="O434">
        <v>0.16666666666666666</v>
      </c>
      <c r="P434" t="s">
        <v>5819</v>
      </c>
    </row>
    <row r="435" spans="1:16" x14ac:dyDescent="0.2">
      <c r="A435" t="s">
        <v>646</v>
      </c>
      <c r="B435" t="s">
        <v>5071</v>
      </c>
      <c r="C435" t="s">
        <v>582</v>
      </c>
      <c r="D435" t="s">
        <v>105</v>
      </c>
      <c r="E435">
        <v>79.989999999999995</v>
      </c>
      <c r="F435" t="s">
        <v>5817</v>
      </c>
      <c r="G435">
        <v>79</v>
      </c>
      <c r="I435">
        <v>79</v>
      </c>
      <c r="L435" t="s">
        <v>5085</v>
      </c>
      <c r="M435">
        <v>0</v>
      </c>
      <c r="N435">
        <v>0</v>
      </c>
      <c r="O435">
        <v>8.3333333333333329E-2</v>
      </c>
      <c r="P435" t="s">
        <v>5819</v>
      </c>
    </row>
    <row r="436" spans="1:16" x14ac:dyDescent="0.2">
      <c r="A436" t="s">
        <v>644</v>
      </c>
      <c r="B436" t="s">
        <v>645</v>
      </c>
      <c r="C436" t="s">
        <v>582</v>
      </c>
      <c r="D436" t="s">
        <v>98</v>
      </c>
      <c r="E436">
        <v>79.989999999999995</v>
      </c>
      <c r="F436" t="s">
        <v>5817</v>
      </c>
      <c r="L436" t="s">
        <v>5085</v>
      </c>
      <c r="M436">
        <v>0</v>
      </c>
      <c r="N436">
        <v>0</v>
      </c>
      <c r="O436">
        <v>0</v>
      </c>
      <c r="P436" t="s">
        <v>5819</v>
      </c>
    </row>
    <row r="437" spans="1:16" x14ac:dyDescent="0.2">
      <c r="A437" t="s">
        <v>714</v>
      </c>
      <c r="B437" t="s">
        <v>715</v>
      </c>
      <c r="C437" t="s">
        <v>582</v>
      </c>
      <c r="D437" t="s">
        <v>98</v>
      </c>
      <c r="E437">
        <v>49.99</v>
      </c>
      <c r="F437" t="s">
        <v>5817</v>
      </c>
      <c r="L437" t="s">
        <v>5085</v>
      </c>
      <c r="M437">
        <v>0</v>
      </c>
      <c r="N437">
        <v>0</v>
      </c>
      <c r="O437">
        <v>0.16666666666666666</v>
      </c>
      <c r="P437" t="s">
        <v>5819</v>
      </c>
    </row>
    <row r="438" spans="1:16" x14ac:dyDescent="0.2">
      <c r="A438" t="s">
        <v>601</v>
      </c>
      <c r="B438" t="s">
        <v>602</v>
      </c>
      <c r="C438" t="s">
        <v>582</v>
      </c>
      <c r="D438" t="s">
        <v>105</v>
      </c>
      <c r="E438">
        <v>29.99</v>
      </c>
      <c r="F438" t="s">
        <v>5817</v>
      </c>
      <c r="G438">
        <v>449</v>
      </c>
      <c r="I438">
        <v>449</v>
      </c>
      <c r="L438" t="s">
        <v>5085</v>
      </c>
      <c r="M438">
        <v>0</v>
      </c>
      <c r="N438">
        <v>0</v>
      </c>
      <c r="O438">
        <v>0.58333333333333326</v>
      </c>
      <c r="P438" t="s">
        <v>5819</v>
      </c>
    </row>
    <row r="439" spans="1:16" x14ac:dyDescent="0.2">
      <c r="A439" t="s">
        <v>696</v>
      </c>
      <c r="B439" t="s">
        <v>5089</v>
      </c>
      <c r="C439" t="s">
        <v>582</v>
      </c>
      <c r="D439" t="s">
        <v>105</v>
      </c>
      <c r="E439">
        <v>44.99</v>
      </c>
      <c r="F439" t="s">
        <v>5817</v>
      </c>
      <c r="G439">
        <v>40</v>
      </c>
      <c r="I439">
        <v>40</v>
      </c>
      <c r="L439" t="s">
        <v>5085</v>
      </c>
      <c r="M439">
        <v>0</v>
      </c>
      <c r="N439">
        <v>0</v>
      </c>
      <c r="O439">
        <v>0</v>
      </c>
      <c r="P439" t="s">
        <v>5819</v>
      </c>
    </row>
    <row r="440" spans="1:16" x14ac:dyDescent="0.2">
      <c r="A440" t="s">
        <v>718</v>
      </c>
      <c r="B440" t="s">
        <v>719</v>
      </c>
      <c r="C440" t="s">
        <v>582</v>
      </c>
      <c r="D440" t="s">
        <v>105</v>
      </c>
      <c r="E440">
        <v>49.99</v>
      </c>
      <c r="F440" t="s">
        <v>5817</v>
      </c>
      <c r="G440">
        <v>77</v>
      </c>
      <c r="H440" t="s">
        <v>5830</v>
      </c>
      <c r="I440">
        <v>62</v>
      </c>
      <c r="L440" t="s">
        <v>5085</v>
      </c>
      <c r="M440">
        <v>0</v>
      </c>
      <c r="N440">
        <v>0</v>
      </c>
      <c r="O440">
        <v>0</v>
      </c>
      <c r="P440" t="s">
        <v>5819</v>
      </c>
    </row>
    <row r="441" spans="1:16" x14ac:dyDescent="0.2">
      <c r="A441" t="s">
        <v>605</v>
      </c>
      <c r="B441" t="s">
        <v>606</v>
      </c>
      <c r="C441" t="s">
        <v>582</v>
      </c>
      <c r="D441" t="s">
        <v>105</v>
      </c>
      <c r="E441">
        <v>229.99</v>
      </c>
      <c r="F441" t="s">
        <v>5817</v>
      </c>
      <c r="G441">
        <v>40</v>
      </c>
      <c r="H441" t="s">
        <v>5834</v>
      </c>
      <c r="J441">
        <v>10</v>
      </c>
      <c r="L441" t="s">
        <v>5085</v>
      </c>
      <c r="M441">
        <v>0</v>
      </c>
      <c r="N441">
        <v>0</v>
      </c>
      <c r="O441">
        <v>8.333333333333337E-2</v>
      </c>
      <c r="P441" t="s">
        <v>5819</v>
      </c>
    </row>
    <row r="442" spans="1:16" x14ac:dyDescent="0.2">
      <c r="A442" t="s">
        <v>603</v>
      </c>
      <c r="B442" t="s">
        <v>5833</v>
      </c>
      <c r="C442" t="s">
        <v>582</v>
      </c>
      <c r="D442" t="s">
        <v>138</v>
      </c>
      <c r="E442">
        <v>269.99</v>
      </c>
      <c r="F442" t="s">
        <v>5817</v>
      </c>
      <c r="G442">
        <v>19</v>
      </c>
      <c r="I442">
        <v>19</v>
      </c>
      <c r="L442" t="s">
        <v>5085</v>
      </c>
      <c r="M442">
        <v>0</v>
      </c>
      <c r="N442">
        <v>0</v>
      </c>
      <c r="O442">
        <v>8.3333333333333329E-2</v>
      </c>
      <c r="P442" t="s">
        <v>5819</v>
      </c>
    </row>
    <row r="443" spans="1:16" x14ac:dyDescent="0.2">
      <c r="A443" t="s">
        <v>688</v>
      </c>
      <c r="B443" t="s">
        <v>689</v>
      </c>
      <c r="C443" t="s">
        <v>582</v>
      </c>
      <c r="D443" t="s">
        <v>105</v>
      </c>
      <c r="E443">
        <v>44.99</v>
      </c>
      <c r="F443" t="s">
        <v>5817</v>
      </c>
      <c r="G443">
        <v>107</v>
      </c>
      <c r="I443">
        <v>107</v>
      </c>
      <c r="K443">
        <v>40</v>
      </c>
      <c r="L443" t="s">
        <v>5085</v>
      </c>
      <c r="M443">
        <v>2.166666666666667</v>
      </c>
      <c r="N443">
        <v>5.9999999999999991</v>
      </c>
      <c r="O443">
        <v>0.91666666666666674</v>
      </c>
      <c r="P443">
        <v>13</v>
      </c>
    </row>
    <row r="444" spans="1:16" x14ac:dyDescent="0.2">
      <c r="A444" t="s">
        <v>684</v>
      </c>
      <c r="B444" t="s">
        <v>685</v>
      </c>
      <c r="C444" t="s">
        <v>582</v>
      </c>
      <c r="D444" t="s">
        <v>105</v>
      </c>
      <c r="E444">
        <v>59.99</v>
      </c>
      <c r="F444" t="s">
        <v>5817</v>
      </c>
      <c r="G444">
        <v>35</v>
      </c>
      <c r="H444" t="s">
        <v>5827</v>
      </c>
      <c r="I444">
        <v>15</v>
      </c>
      <c r="L444" t="s">
        <v>5085</v>
      </c>
      <c r="M444">
        <v>0</v>
      </c>
      <c r="N444">
        <v>0</v>
      </c>
      <c r="O444">
        <v>8.3333333333333329E-2</v>
      </c>
      <c r="P444" t="s">
        <v>5819</v>
      </c>
    </row>
    <row r="445" spans="1:16" x14ac:dyDescent="0.2">
      <c r="A445" t="s">
        <v>5546</v>
      </c>
      <c r="B445" t="s">
        <v>5547</v>
      </c>
      <c r="C445" t="s">
        <v>582</v>
      </c>
      <c r="D445" t="s">
        <v>98</v>
      </c>
      <c r="E445">
        <v>89.99</v>
      </c>
      <c r="F445" t="s">
        <v>5817</v>
      </c>
      <c r="L445" t="s">
        <v>5085</v>
      </c>
      <c r="M445">
        <v>0</v>
      </c>
      <c r="N445">
        <v>0</v>
      </c>
      <c r="O445">
        <v>0</v>
      </c>
      <c r="P445" t="s">
        <v>5819</v>
      </c>
    </row>
    <row r="446" spans="1:16" x14ac:dyDescent="0.2">
      <c r="A446" t="s">
        <v>5556</v>
      </c>
      <c r="B446" t="s">
        <v>5557</v>
      </c>
      <c r="C446" t="s">
        <v>582</v>
      </c>
      <c r="D446" t="s">
        <v>98</v>
      </c>
      <c r="E446">
        <v>59.99</v>
      </c>
      <c r="F446" t="s">
        <v>5817</v>
      </c>
      <c r="L446" t="s">
        <v>5085</v>
      </c>
      <c r="M446">
        <v>0</v>
      </c>
      <c r="N446">
        <v>0</v>
      </c>
      <c r="O446">
        <v>0.33333333333333331</v>
      </c>
      <c r="P446" t="s">
        <v>5819</v>
      </c>
    </row>
    <row r="447" spans="1:16" x14ac:dyDescent="0.2">
      <c r="A447" t="s">
        <v>790</v>
      </c>
      <c r="B447" t="s">
        <v>791</v>
      </c>
      <c r="C447" t="s">
        <v>582</v>
      </c>
      <c r="D447" t="s">
        <v>105</v>
      </c>
      <c r="E447">
        <v>64.989999999999995</v>
      </c>
      <c r="F447" t="s">
        <v>5817</v>
      </c>
      <c r="G447">
        <v>120</v>
      </c>
      <c r="I447">
        <v>120</v>
      </c>
      <c r="K447">
        <v>80</v>
      </c>
      <c r="L447" t="s">
        <v>5085</v>
      </c>
      <c r="M447">
        <v>0</v>
      </c>
      <c r="N447">
        <v>0</v>
      </c>
      <c r="O447">
        <v>0.16666666666666666</v>
      </c>
      <c r="P447" t="s">
        <v>5819</v>
      </c>
    </row>
    <row r="448" spans="1:16" x14ac:dyDescent="0.2">
      <c r="A448" t="s">
        <v>792</v>
      </c>
      <c r="B448" t="s">
        <v>793</v>
      </c>
      <c r="C448" t="s">
        <v>582</v>
      </c>
      <c r="D448" t="s">
        <v>105</v>
      </c>
      <c r="E448">
        <v>69.989999999999995</v>
      </c>
      <c r="F448" t="s">
        <v>5817</v>
      </c>
      <c r="G448">
        <v>36</v>
      </c>
      <c r="I448">
        <v>36</v>
      </c>
      <c r="K448">
        <v>40</v>
      </c>
      <c r="L448" t="s">
        <v>5085</v>
      </c>
      <c r="M448">
        <v>0</v>
      </c>
      <c r="N448">
        <v>0</v>
      </c>
      <c r="O448">
        <v>8.3333333333333329E-2</v>
      </c>
      <c r="P448" t="s">
        <v>5819</v>
      </c>
    </row>
    <row r="449" spans="1:16" x14ac:dyDescent="0.2">
      <c r="A449" t="s">
        <v>738</v>
      </c>
      <c r="B449" t="s">
        <v>739</v>
      </c>
      <c r="C449" t="s">
        <v>582</v>
      </c>
      <c r="D449" t="s">
        <v>138</v>
      </c>
      <c r="E449">
        <v>59.99</v>
      </c>
      <c r="F449" t="s">
        <v>5817</v>
      </c>
      <c r="G449">
        <v>3</v>
      </c>
      <c r="I449">
        <v>3</v>
      </c>
      <c r="L449" t="s">
        <v>5085</v>
      </c>
      <c r="M449">
        <v>0</v>
      </c>
      <c r="N449">
        <v>0</v>
      </c>
      <c r="O449">
        <v>8.3333333333333329E-2</v>
      </c>
      <c r="P449" t="s">
        <v>5819</v>
      </c>
    </row>
    <row r="450" spans="1:16" x14ac:dyDescent="0.2">
      <c r="A450" t="s">
        <v>740</v>
      </c>
      <c r="B450" t="s">
        <v>741</v>
      </c>
      <c r="C450" t="s">
        <v>582</v>
      </c>
      <c r="D450" t="s">
        <v>138</v>
      </c>
      <c r="E450">
        <v>64.989999999999995</v>
      </c>
      <c r="F450" t="s">
        <v>5817</v>
      </c>
      <c r="G450">
        <v>4</v>
      </c>
      <c r="I450">
        <v>4</v>
      </c>
      <c r="L450" t="s">
        <v>5085</v>
      </c>
      <c r="M450">
        <v>0</v>
      </c>
      <c r="N450">
        <v>0</v>
      </c>
      <c r="O450">
        <v>0</v>
      </c>
      <c r="P450" t="s">
        <v>5819</v>
      </c>
    </row>
    <row r="451" spans="1:16" x14ac:dyDescent="0.2">
      <c r="A451" t="s">
        <v>805</v>
      </c>
      <c r="B451" t="s">
        <v>806</v>
      </c>
      <c r="C451" t="s">
        <v>582</v>
      </c>
      <c r="D451" t="s">
        <v>105</v>
      </c>
      <c r="E451">
        <v>59.99</v>
      </c>
      <c r="F451" t="s">
        <v>5817</v>
      </c>
      <c r="G451">
        <v>47</v>
      </c>
      <c r="I451">
        <v>47</v>
      </c>
      <c r="L451" t="s">
        <v>5085</v>
      </c>
      <c r="M451">
        <v>0</v>
      </c>
      <c r="N451">
        <v>0</v>
      </c>
      <c r="O451">
        <v>0</v>
      </c>
      <c r="P451" t="s">
        <v>5819</v>
      </c>
    </row>
    <row r="452" spans="1:16" x14ac:dyDescent="0.2">
      <c r="A452" t="s">
        <v>807</v>
      </c>
      <c r="B452" t="s">
        <v>808</v>
      </c>
      <c r="C452" t="s">
        <v>582</v>
      </c>
      <c r="D452" t="s">
        <v>138</v>
      </c>
      <c r="E452">
        <v>59.99</v>
      </c>
      <c r="F452" t="s">
        <v>5817</v>
      </c>
      <c r="G452">
        <v>5</v>
      </c>
      <c r="H452" t="s">
        <v>5835</v>
      </c>
      <c r="L452" t="s">
        <v>5085</v>
      </c>
      <c r="M452">
        <v>0</v>
      </c>
      <c r="N452">
        <v>0</v>
      </c>
      <c r="O452">
        <v>8.3333333333333329E-2</v>
      </c>
      <c r="P452" t="s">
        <v>5819</v>
      </c>
    </row>
    <row r="453" spans="1:16" x14ac:dyDescent="0.2">
      <c r="A453" t="s">
        <v>809</v>
      </c>
      <c r="B453" t="s">
        <v>810</v>
      </c>
      <c r="C453" t="s">
        <v>582</v>
      </c>
      <c r="D453" t="s">
        <v>98</v>
      </c>
      <c r="E453">
        <v>69.989999999999995</v>
      </c>
      <c r="F453" t="s">
        <v>5817</v>
      </c>
      <c r="L453" t="s">
        <v>5085</v>
      </c>
      <c r="M453">
        <v>0</v>
      </c>
      <c r="N453">
        <v>0</v>
      </c>
      <c r="O453">
        <v>8.3333333333333329E-2</v>
      </c>
      <c r="P453" t="s">
        <v>5819</v>
      </c>
    </row>
    <row r="454" spans="1:16" x14ac:dyDescent="0.2">
      <c r="A454" t="s">
        <v>823</v>
      </c>
      <c r="B454" t="s">
        <v>824</v>
      </c>
      <c r="C454" t="s">
        <v>582</v>
      </c>
      <c r="D454" t="s">
        <v>98</v>
      </c>
      <c r="E454">
        <v>79.989999999999995</v>
      </c>
      <c r="F454" t="s">
        <v>5817</v>
      </c>
      <c r="L454" t="s">
        <v>5085</v>
      </c>
      <c r="M454">
        <v>0</v>
      </c>
      <c r="N454">
        <v>0</v>
      </c>
      <c r="O454">
        <v>0</v>
      </c>
      <c r="P454" t="s">
        <v>5819</v>
      </c>
    </row>
    <row r="455" spans="1:16" x14ac:dyDescent="0.2">
      <c r="A455" t="s">
        <v>5562</v>
      </c>
      <c r="B455" t="s">
        <v>5563</v>
      </c>
      <c r="C455" t="s">
        <v>582</v>
      </c>
      <c r="D455" t="s">
        <v>98</v>
      </c>
      <c r="E455">
        <v>99.99</v>
      </c>
      <c r="F455" t="s">
        <v>5817</v>
      </c>
      <c r="L455" t="s">
        <v>5085</v>
      </c>
      <c r="M455">
        <v>0</v>
      </c>
      <c r="N455">
        <v>0</v>
      </c>
      <c r="O455">
        <v>0</v>
      </c>
      <c r="P455" t="s">
        <v>5819</v>
      </c>
    </row>
    <row r="456" spans="1:16" x14ac:dyDescent="0.2">
      <c r="A456" t="s">
        <v>5094</v>
      </c>
      <c r="B456" t="s">
        <v>5095</v>
      </c>
      <c r="C456" t="s">
        <v>582</v>
      </c>
      <c r="D456" t="s">
        <v>98</v>
      </c>
      <c r="E456">
        <v>69.989999999999995</v>
      </c>
      <c r="F456" t="s">
        <v>5817</v>
      </c>
      <c r="L456" t="s">
        <v>5085</v>
      </c>
      <c r="M456">
        <v>0</v>
      </c>
      <c r="N456">
        <v>0</v>
      </c>
      <c r="O456">
        <v>0.25</v>
      </c>
      <c r="P456" t="s">
        <v>5819</v>
      </c>
    </row>
    <row r="457" spans="1:16" x14ac:dyDescent="0.2">
      <c r="A457" t="s">
        <v>5610</v>
      </c>
      <c r="B457" t="s">
        <v>5611</v>
      </c>
      <c r="C457" t="s">
        <v>582</v>
      </c>
      <c r="D457" t="s">
        <v>98</v>
      </c>
      <c r="E457">
        <v>59.99</v>
      </c>
      <c r="F457" t="s">
        <v>5817</v>
      </c>
      <c r="L457" t="s">
        <v>5085</v>
      </c>
      <c r="M457">
        <v>0</v>
      </c>
      <c r="N457">
        <v>0</v>
      </c>
      <c r="O457">
        <v>0</v>
      </c>
      <c r="P457" t="s">
        <v>5819</v>
      </c>
    </row>
    <row r="458" spans="1:16" x14ac:dyDescent="0.2">
      <c r="A458" t="s">
        <v>5608</v>
      </c>
      <c r="B458" t="s">
        <v>5609</v>
      </c>
      <c r="C458" t="s">
        <v>582</v>
      </c>
      <c r="D458" t="s">
        <v>98</v>
      </c>
      <c r="E458">
        <v>59.99</v>
      </c>
      <c r="F458" t="s">
        <v>5817</v>
      </c>
      <c r="L458" t="s">
        <v>5085</v>
      </c>
      <c r="M458">
        <v>0</v>
      </c>
      <c r="N458">
        <v>0</v>
      </c>
      <c r="O458">
        <v>0</v>
      </c>
      <c r="P458" t="s">
        <v>5819</v>
      </c>
    </row>
    <row r="459" spans="1:16" x14ac:dyDescent="0.2">
      <c r="A459" t="s">
        <v>5602</v>
      </c>
      <c r="B459" t="s">
        <v>5603</v>
      </c>
      <c r="C459" t="s">
        <v>582</v>
      </c>
      <c r="D459" t="s">
        <v>98</v>
      </c>
      <c r="E459">
        <v>79.989999999999995</v>
      </c>
      <c r="F459" t="s">
        <v>5817</v>
      </c>
      <c r="L459" t="s">
        <v>5085</v>
      </c>
      <c r="M459">
        <v>0</v>
      </c>
      <c r="N459">
        <v>0</v>
      </c>
      <c r="O459">
        <v>0</v>
      </c>
      <c r="P459" t="s">
        <v>5819</v>
      </c>
    </row>
    <row r="460" spans="1:16" x14ac:dyDescent="0.2">
      <c r="A460" t="s">
        <v>5604</v>
      </c>
      <c r="B460" t="s">
        <v>5605</v>
      </c>
      <c r="C460" t="s">
        <v>582</v>
      </c>
      <c r="D460" t="s">
        <v>98</v>
      </c>
      <c r="E460">
        <v>39.99</v>
      </c>
      <c r="F460" t="s">
        <v>5817</v>
      </c>
      <c r="L460" t="s">
        <v>5085</v>
      </c>
      <c r="M460">
        <v>0</v>
      </c>
      <c r="N460">
        <v>0</v>
      </c>
      <c r="O460">
        <v>0</v>
      </c>
      <c r="P460" t="s">
        <v>5819</v>
      </c>
    </row>
    <row r="461" spans="1:16" x14ac:dyDescent="0.2">
      <c r="A461" t="s">
        <v>746</v>
      </c>
      <c r="B461" t="s">
        <v>747</v>
      </c>
      <c r="C461" t="s">
        <v>582</v>
      </c>
      <c r="D461" t="s">
        <v>105</v>
      </c>
      <c r="E461">
        <v>29.99</v>
      </c>
      <c r="F461" t="s">
        <v>5817</v>
      </c>
      <c r="G461">
        <v>57</v>
      </c>
      <c r="I461">
        <v>57</v>
      </c>
      <c r="L461" t="s">
        <v>5085</v>
      </c>
      <c r="M461">
        <v>0</v>
      </c>
      <c r="N461">
        <v>0</v>
      </c>
      <c r="O461">
        <v>0.33333333333333326</v>
      </c>
      <c r="P461">
        <v>22</v>
      </c>
    </row>
    <row r="462" spans="1:16" x14ac:dyDescent="0.2">
      <c r="A462" t="s">
        <v>778</v>
      </c>
      <c r="B462" t="s">
        <v>779</v>
      </c>
      <c r="C462" t="s">
        <v>582</v>
      </c>
      <c r="D462" t="s">
        <v>105</v>
      </c>
      <c r="E462">
        <v>59.99</v>
      </c>
      <c r="F462" t="s">
        <v>5817</v>
      </c>
      <c r="G462">
        <v>30</v>
      </c>
      <c r="H462" t="s">
        <v>5827</v>
      </c>
      <c r="I462">
        <v>10</v>
      </c>
      <c r="K462">
        <v>80</v>
      </c>
      <c r="L462" t="s">
        <v>5085</v>
      </c>
      <c r="M462">
        <v>0</v>
      </c>
      <c r="N462">
        <v>0</v>
      </c>
      <c r="O462">
        <v>0.5</v>
      </c>
      <c r="P462">
        <v>12</v>
      </c>
    </row>
    <row r="463" spans="1:16" x14ac:dyDescent="0.2">
      <c r="A463" t="s">
        <v>700</v>
      </c>
      <c r="B463" t="s">
        <v>701</v>
      </c>
      <c r="C463" t="s">
        <v>582</v>
      </c>
      <c r="D463" t="s">
        <v>105</v>
      </c>
      <c r="E463">
        <v>59.99</v>
      </c>
      <c r="F463" t="s">
        <v>5817</v>
      </c>
      <c r="G463">
        <v>89</v>
      </c>
      <c r="H463" t="s">
        <v>5823</v>
      </c>
      <c r="I463">
        <v>88</v>
      </c>
      <c r="L463" t="s">
        <v>5085</v>
      </c>
      <c r="M463">
        <v>0</v>
      </c>
      <c r="N463">
        <v>0</v>
      </c>
      <c r="O463">
        <v>0.33333333333333337</v>
      </c>
      <c r="P463" t="s">
        <v>5819</v>
      </c>
    </row>
    <row r="464" spans="1:16" x14ac:dyDescent="0.2">
      <c r="A464" t="s">
        <v>766</v>
      </c>
      <c r="B464" t="s">
        <v>767</v>
      </c>
      <c r="C464" t="s">
        <v>582</v>
      </c>
      <c r="D464" t="s">
        <v>105</v>
      </c>
      <c r="E464">
        <v>59.99</v>
      </c>
      <c r="F464" t="s">
        <v>5817</v>
      </c>
      <c r="L464" t="s">
        <v>5085</v>
      </c>
      <c r="M464">
        <v>0</v>
      </c>
      <c r="N464">
        <v>0</v>
      </c>
      <c r="O464">
        <v>0</v>
      </c>
      <c r="P464" t="s">
        <v>5819</v>
      </c>
    </row>
    <row r="465" spans="1:16" x14ac:dyDescent="0.2">
      <c r="A465" t="s">
        <v>650</v>
      </c>
      <c r="B465" t="s">
        <v>651</v>
      </c>
      <c r="C465" t="s">
        <v>582</v>
      </c>
      <c r="D465" t="s">
        <v>105</v>
      </c>
      <c r="E465">
        <v>119.99</v>
      </c>
      <c r="F465" t="s">
        <v>5817</v>
      </c>
      <c r="J465">
        <v>15</v>
      </c>
      <c r="K465">
        <v>120</v>
      </c>
      <c r="L465" t="s">
        <v>5085</v>
      </c>
      <c r="M465">
        <v>0</v>
      </c>
      <c r="N465">
        <v>0</v>
      </c>
      <c r="O465">
        <v>0</v>
      </c>
      <c r="P465" t="s">
        <v>5819</v>
      </c>
    </row>
    <row r="466" spans="1:16" x14ac:dyDescent="0.2">
      <c r="A466" t="s">
        <v>720</v>
      </c>
      <c r="B466" t="s">
        <v>721</v>
      </c>
      <c r="C466" t="s">
        <v>582</v>
      </c>
      <c r="D466" t="s">
        <v>105</v>
      </c>
      <c r="E466">
        <v>69.989999999999995</v>
      </c>
      <c r="F466" t="s">
        <v>5817</v>
      </c>
      <c r="G466">
        <v>58</v>
      </c>
      <c r="I466">
        <v>58</v>
      </c>
      <c r="L466" t="s">
        <v>5085</v>
      </c>
      <c r="M466">
        <v>0</v>
      </c>
      <c r="N466">
        <v>0</v>
      </c>
      <c r="O466">
        <v>0</v>
      </c>
      <c r="P466" t="s">
        <v>5819</v>
      </c>
    </row>
    <row r="467" spans="1:16" x14ac:dyDescent="0.2">
      <c r="A467" t="s">
        <v>764</v>
      </c>
      <c r="B467" t="s">
        <v>765</v>
      </c>
      <c r="C467" t="s">
        <v>582</v>
      </c>
      <c r="D467" t="s">
        <v>98</v>
      </c>
      <c r="E467">
        <v>59.99</v>
      </c>
      <c r="F467" t="s">
        <v>5817</v>
      </c>
      <c r="L467" t="s">
        <v>5085</v>
      </c>
      <c r="M467">
        <v>0</v>
      </c>
      <c r="N467">
        <v>0</v>
      </c>
      <c r="O467">
        <v>0</v>
      </c>
      <c r="P467" t="s">
        <v>5819</v>
      </c>
    </row>
    <row r="468" spans="1:16" x14ac:dyDescent="0.2">
      <c r="A468" t="s">
        <v>5257</v>
      </c>
      <c r="B468" t="s">
        <v>5258</v>
      </c>
      <c r="C468" t="s">
        <v>582</v>
      </c>
      <c r="D468" t="s">
        <v>138</v>
      </c>
      <c r="E468">
        <v>69.989999999999995</v>
      </c>
      <c r="F468" t="s">
        <v>5817</v>
      </c>
      <c r="G468">
        <v>119</v>
      </c>
      <c r="I468">
        <v>119</v>
      </c>
      <c r="L468" t="s">
        <v>5085</v>
      </c>
      <c r="M468">
        <v>0</v>
      </c>
      <c r="N468">
        <v>0</v>
      </c>
      <c r="O468">
        <v>0.33333333333333331</v>
      </c>
      <c r="P468" t="s">
        <v>5819</v>
      </c>
    </row>
    <row r="469" spans="1:16" x14ac:dyDescent="0.2">
      <c r="A469" t="s">
        <v>5241</v>
      </c>
      <c r="B469" t="s">
        <v>5242</v>
      </c>
      <c r="C469" t="s">
        <v>582</v>
      </c>
      <c r="D469" t="s">
        <v>98</v>
      </c>
      <c r="E469">
        <v>79.989999999999995</v>
      </c>
      <c r="F469" t="s">
        <v>5817</v>
      </c>
      <c r="L469" t="s">
        <v>5085</v>
      </c>
      <c r="M469">
        <v>0</v>
      </c>
      <c r="N469">
        <v>0</v>
      </c>
      <c r="O469">
        <v>0</v>
      </c>
      <c r="P469" t="s">
        <v>5819</v>
      </c>
    </row>
    <row r="470" spans="1:16" x14ac:dyDescent="0.2">
      <c r="A470" t="s">
        <v>788</v>
      </c>
      <c r="B470" t="s">
        <v>5828</v>
      </c>
      <c r="C470" t="s">
        <v>582</v>
      </c>
      <c r="D470" t="s">
        <v>105</v>
      </c>
      <c r="E470">
        <v>39.99</v>
      </c>
      <c r="F470" t="s">
        <v>5817</v>
      </c>
      <c r="G470">
        <v>101</v>
      </c>
      <c r="H470" t="s">
        <v>5829</v>
      </c>
      <c r="I470">
        <v>76</v>
      </c>
      <c r="K470">
        <v>120</v>
      </c>
      <c r="L470" t="s">
        <v>5085</v>
      </c>
      <c r="M470">
        <v>0</v>
      </c>
      <c r="N470">
        <v>0</v>
      </c>
      <c r="O470">
        <v>8.3333333333333329E-2</v>
      </c>
      <c r="P470">
        <v>3</v>
      </c>
    </row>
    <row r="471" spans="1:16" x14ac:dyDescent="0.2">
      <c r="A471" t="s">
        <v>698</v>
      </c>
      <c r="B471" t="s">
        <v>699</v>
      </c>
      <c r="C471" t="s">
        <v>582</v>
      </c>
      <c r="D471" t="s">
        <v>105</v>
      </c>
      <c r="E471">
        <v>59.99</v>
      </c>
      <c r="F471" t="s">
        <v>5817</v>
      </c>
      <c r="G471">
        <v>22</v>
      </c>
      <c r="I471">
        <v>22</v>
      </c>
      <c r="K471">
        <v>40</v>
      </c>
      <c r="L471" t="s">
        <v>5085</v>
      </c>
      <c r="M471">
        <v>0</v>
      </c>
      <c r="N471">
        <v>0</v>
      </c>
      <c r="O471">
        <v>8.3333333333333329E-2</v>
      </c>
      <c r="P471" t="s">
        <v>5819</v>
      </c>
    </row>
    <row r="472" spans="1:16" x14ac:dyDescent="0.2">
      <c r="A472" t="s">
        <v>776</v>
      </c>
      <c r="B472" t="s">
        <v>777</v>
      </c>
      <c r="C472" t="s">
        <v>582</v>
      </c>
      <c r="D472" t="s">
        <v>105</v>
      </c>
      <c r="E472">
        <v>69.989999999999995</v>
      </c>
      <c r="F472" t="s">
        <v>5817</v>
      </c>
      <c r="G472">
        <v>98</v>
      </c>
      <c r="H472" t="s">
        <v>5827</v>
      </c>
      <c r="I472">
        <v>78</v>
      </c>
      <c r="K472">
        <v>40</v>
      </c>
      <c r="L472" t="s">
        <v>5085</v>
      </c>
      <c r="M472">
        <v>0</v>
      </c>
      <c r="N472">
        <v>0</v>
      </c>
      <c r="O472">
        <v>0.41666666666666663</v>
      </c>
      <c r="P472" t="s">
        <v>5819</v>
      </c>
    </row>
    <row r="473" spans="1:16" x14ac:dyDescent="0.2">
      <c r="A473" t="s">
        <v>748</v>
      </c>
      <c r="B473" t="s">
        <v>749</v>
      </c>
      <c r="C473" t="s">
        <v>582</v>
      </c>
      <c r="D473" t="s">
        <v>105</v>
      </c>
      <c r="E473">
        <v>19.989999999999998</v>
      </c>
      <c r="F473" t="s">
        <v>5817</v>
      </c>
      <c r="G473">
        <v>453</v>
      </c>
      <c r="I473">
        <v>453</v>
      </c>
      <c r="L473" t="s">
        <v>5085</v>
      </c>
      <c r="M473">
        <v>0</v>
      </c>
      <c r="N473">
        <v>0</v>
      </c>
      <c r="O473">
        <v>1.5833333333333333</v>
      </c>
      <c r="P473" t="s">
        <v>5819</v>
      </c>
    </row>
    <row r="474" spans="1:16" x14ac:dyDescent="0.2">
      <c r="A474" t="s">
        <v>754</v>
      </c>
      <c r="B474" t="s">
        <v>755</v>
      </c>
      <c r="C474" t="s">
        <v>582</v>
      </c>
      <c r="D474" t="s">
        <v>98</v>
      </c>
      <c r="E474">
        <v>44.99</v>
      </c>
      <c r="F474" t="s">
        <v>5817</v>
      </c>
      <c r="L474" t="s">
        <v>5085</v>
      </c>
      <c r="M474">
        <v>0</v>
      </c>
      <c r="N474">
        <v>0</v>
      </c>
      <c r="O474">
        <v>0</v>
      </c>
      <c r="P474" t="s">
        <v>5819</v>
      </c>
    </row>
    <row r="475" spans="1:16" x14ac:dyDescent="0.2">
      <c r="A475" t="s">
        <v>782</v>
      </c>
      <c r="B475" t="s">
        <v>783</v>
      </c>
      <c r="C475" t="s">
        <v>582</v>
      </c>
      <c r="D475" t="s">
        <v>105</v>
      </c>
      <c r="E475">
        <v>19.989999999999998</v>
      </c>
      <c r="F475" t="s">
        <v>5817</v>
      </c>
      <c r="G475">
        <v>707</v>
      </c>
      <c r="I475">
        <v>707</v>
      </c>
      <c r="L475" t="s">
        <v>5085</v>
      </c>
      <c r="M475">
        <v>0</v>
      </c>
      <c r="N475">
        <v>0</v>
      </c>
      <c r="O475">
        <v>8.3333333333333329E-2</v>
      </c>
      <c r="P475" t="s">
        <v>5819</v>
      </c>
    </row>
    <row r="476" spans="1:16" x14ac:dyDescent="0.2">
      <c r="A476" t="s">
        <v>760</v>
      </c>
      <c r="B476" t="s">
        <v>761</v>
      </c>
      <c r="C476" t="s">
        <v>582</v>
      </c>
      <c r="D476" t="s">
        <v>105</v>
      </c>
      <c r="E476">
        <v>59.99</v>
      </c>
      <c r="F476" t="s">
        <v>5817</v>
      </c>
      <c r="L476" t="s">
        <v>5085</v>
      </c>
      <c r="M476">
        <v>0</v>
      </c>
      <c r="N476">
        <v>0</v>
      </c>
      <c r="O476">
        <v>0</v>
      </c>
      <c r="P476" t="s">
        <v>5819</v>
      </c>
    </row>
    <row r="477" spans="1:16" x14ac:dyDescent="0.2">
      <c r="A477" t="s">
        <v>30</v>
      </c>
      <c r="B477" t="s">
        <v>802</v>
      </c>
      <c r="C477" t="s">
        <v>582</v>
      </c>
      <c r="D477" t="s">
        <v>105</v>
      </c>
      <c r="E477">
        <v>19.989999999999998</v>
      </c>
      <c r="F477" t="s">
        <v>5817</v>
      </c>
      <c r="G477">
        <v>766</v>
      </c>
      <c r="H477" t="s">
        <v>5827</v>
      </c>
      <c r="I477">
        <v>746</v>
      </c>
      <c r="K477">
        <v>120</v>
      </c>
      <c r="L477" t="s">
        <v>5085</v>
      </c>
      <c r="M477">
        <v>0</v>
      </c>
      <c r="N477">
        <v>0</v>
      </c>
      <c r="O477">
        <v>0.33333333333333337</v>
      </c>
      <c r="P477" t="s">
        <v>5819</v>
      </c>
    </row>
    <row r="478" spans="1:16" x14ac:dyDescent="0.2">
      <c r="A478" t="s">
        <v>762</v>
      </c>
      <c r="B478" t="s">
        <v>763</v>
      </c>
      <c r="C478" t="s">
        <v>582</v>
      </c>
      <c r="D478" t="s">
        <v>98</v>
      </c>
      <c r="E478">
        <v>59.99</v>
      </c>
      <c r="F478" t="s">
        <v>5817</v>
      </c>
      <c r="L478" t="s">
        <v>5085</v>
      </c>
      <c r="M478">
        <v>0</v>
      </c>
      <c r="N478">
        <v>0</v>
      </c>
      <c r="O478">
        <v>0</v>
      </c>
      <c r="P478" t="s">
        <v>5819</v>
      </c>
    </row>
    <row r="479" spans="1:16" x14ac:dyDescent="0.2">
      <c r="A479" t="s">
        <v>5608</v>
      </c>
      <c r="B479" t="s">
        <v>5609</v>
      </c>
      <c r="C479" t="s">
        <v>582</v>
      </c>
      <c r="D479" t="s">
        <v>98</v>
      </c>
      <c r="E479">
        <v>59.99</v>
      </c>
      <c r="F479" t="s">
        <v>5817</v>
      </c>
      <c r="L479" t="s">
        <v>5065</v>
      </c>
      <c r="M479">
        <v>0</v>
      </c>
      <c r="N479">
        <v>0</v>
      </c>
      <c r="P479">
        <v>0</v>
      </c>
    </row>
    <row r="480" spans="1:16" x14ac:dyDescent="0.2">
      <c r="A480" t="s">
        <v>5602</v>
      </c>
      <c r="B480" t="s">
        <v>5603</v>
      </c>
      <c r="C480" t="s">
        <v>582</v>
      </c>
      <c r="D480" t="s">
        <v>98</v>
      </c>
      <c r="E480">
        <v>79.989999999999995</v>
      </c>
      <c r="F480" t="s">
        <v>5817</v>
      </c>
      <c r="L480" t="s">
        <v>5065</v>
      </c>
      <c r="M480">
        <v>0</v>
      </c>
      <c r="N480">
        <v>0</v>
      </c>
      <c r="P480">
        <v>0</v>
      </c>
    </row>
    <row r="481" spans="1:16" x14ac:dyDescent="0.2">
      <c r="A481" t="s">
        <v>776</v>
      </c>
      <c r="B481" t="s">
        <v>777</v>
      </c>
      <c r="C481" t="s">
        <v>582</v>
      </c>
      <c r="D481" t="s">
        <v>105</v>
      </c>
      <c r="E481">
        <v>69.989999999999995</v>
      </c>
      <c r="F481" t="s">
        <v>5817</v>
      </c>
      <c r="G481">
        <v>98</v>
      </c>
      <c r="H481" t="s">
        <v>5827</v>
      </c>
      <c r="I481">
        <v>78</v>
      </c>
      <c r="K481">
        <v>40</v>
      </c>
      <c r="L481" t="s">
        <v>5065</v>
      </c>
      <c r="M481">
        <v>6.166666666666667</v>
      </c>
      <c r="N481">
        <v>6.486486486486486</v>
      </c>
      <c r="O481">
        <v>6.25</v>
      </c>
      <c r="P481">
        <v>40</v>
      </c>
    </row>
    <row r="482" spans="1:16" x14ac:dyDescent="0.2">
      <c r="A482" t="s">
        <v>5610</v>
      </c>
      <c r="B482" t="s">
        <v>5611</v>
      </c>
      <c r="C482" t="s">
        <v>582</v>
      </c>
      <c r="D482" t="s">
        <v>98</v>
      </c>
      <c r="E482">
        <v>59.99</v>
      </c>
      <c r="F482" t="s">
        <v>5817</v>
      </c>
      <c r="L482" t="s">
        <v>5065</v>
      </c>
      <c r="M482">
        <v>0</v>
      </c>
      <c r="N482">
        <v>0</v>
      </c>
      <c r="P482">
        <v>0</v>
      </c>
    </row>
    <row r="483" spans="1:16" x14ac:dyDescent="0.2">
      <c r="A483" t="s">
        <v>698</v>
      </c>
      <c r="B483" t="s">
        <v>699</v>
      </c>
      <c r="C483" t="s">
        <v>582</v>
      </c>
      <c r="D483" t="s">
        <v>105</v>
      </c>
      <c r="E483">
        <v>59.99</v>
      </c>
      <c r="F483" t="s">
        <v>5817</v>
      </c>
      <c r="G483">
        <v>22</v>
      </c>
      <c r="I483">
        <v>22</v>
      </c>
      <c r="K483">
        <v>40</v>
      </c>
      <c r="L483" t="s">
        <v>5065</v>
      </c>
      <c r="N483">
        <v>0</v>
      </c>
      <c r="P483">
        <v>33</v>
      </c>
    </row>
    <row r="484" spans="1:16" x14ac:dyDescent="0.2">
      <c r="A484" t="s">
        <v>782</v>
      </c>
      <c r="B484" t="s">
        <v>783</v>
      </c>
      <c r="C484" t="s">
        <v>582</v>
      </c>
      <c r="D484" t="s">
        <v>105</v>
      </c>
      <c r="E484">
        <v>19.989999999999998</v>
      </c>
      <c r="F484" t="s">
        <v>5817</v>
      </c>
      <c r="G484">
        <v>707</v>
      </c>
      <c r="I484">
        <v>707</v>
      </c>
      <c r="L484" t="s">
        <v>5065</v>
      </c>
      <c r="N484">
        <v>0</v>
      </c>
      <c r="P484">
        <v>79</v>
      </c>
    </row>
    <row r="485" spans="1:16" x14ac:dyDescent="0.2">
      <c r="A485" t="s">
        <v>30</v>
      </c>
      <c r="B485" t="s">
        <v>802</v>
      </c>
      <c r="C485" t="s">
        <v>582</v>
      </c>
      <c r="D485" t="s">
        <v>105</v>
      </c>
      <c r="E485">
        <v>19.989999999999998</v>
      </c>
      <c r="F485" t="s">
        <v>5817</v>
      </c>
      <c r="G485">
        <v>766</v>
      </c>
      <c r="H485" t="s">
        <v>5827</v>
      </c>
      <c r="I485">
        <v>746</v>
      </c>
      <c r="K485">
        <v>120</v>
      </c>
      <c r="L485" t="s">
        <v>5065</v>
      </c>
      <c r="N485">
        <v>0</v>
      </c>
      <c r="P485">
        <v>51</v>
      </c>
    </row>
    <row r="486" spans="1:16" x14ac:dyDescent="0.2">
      <c r="A486" t="s">
        <v>720</v>
      </c>
      <c r="B486" t="s">
        <v>721</v>
      </c>
      <c r="C486" t="s">
        <v>582</v>
      </c>
      <c r="D486" t="s">
        <v>105</v>
      </c>
      <c r="E486">
        <v>69.989999999999995</v>
      </c>
      <c r="F486" t="s">
        <v>5817</v>
      </c>
      <c r="G486">
        <v>58</v>
      </c>
      <c r="I486">
        <v>58</v>
      </c>
      <c r="L486" t="s">
        <v>5065</v>
      </c>
      <c r="N486">
        <v>0</v>
      </c>
      <c r="P486">
        <v>46</v>
      </c>
    </row>
    <row r="487" spans="1:16" x14ac:dyDescent="0.2">
      <c r="A487" t="s">
        <v>778</v>
      </c>
      <c r="B487" t="s">
        <v>779</v>
      </c>
      <c r="C487" t="s">
        <v>582</v>
      </c>
      <c r="D487" t="s">
        <v>105</v>
      </c>
      <c r="E487">
        <v>59.99</v>
      </c>
      <c r="F487" t="s">
        <v>5817</v>
      </c>
      <c r="G487">
        <v>30</v>
      </c>
      <c r="H487" t="s">
        <v>5827</v>
      </c>
      <c r="I487">
        <v>10</v>
      </c>
      <c r="K487">
        <v>80</v>
      </c>
      <c r="L487" t="s">
        <v>5065</v>
      </c>
      <c r="M487">
        <v>3.1666666666666665</v>
      </c>
      <c r="N487">
        <v>12.947368421052632</v>
      </c>
      <c r="O487">
        <v>3.75</v>
      </c>
      <c r="P487">
        <v>41</v>
      </c>
    </row>
    <row r="488" spans="1:16" x14ac:dyDescent="0.2">
      <c r="A488" t="s">
        <v>5257</v>
      </c>
      <c r="B488" t="s">
        <v>5258</v>
      </c>
      <c r="C488" t="s">
        <v>582</v>
      </c>
      <c r="D488" t="s">
        <v>138</v>
      </c>
      <c r="E488">
        <v>69.989999999999995</v>
      </c>
      <c r="F488" t="s">
        <v>5817</v>
      </c>
      <c r="G488">
        <v>119</v>
      </c>
      <c r="I488">
        <v>119</v>
      </c>
      <c r="L488" t="s">
        <v>5065</v>
      </c>
      <c r="M488">
        <v>1.6666666666666665</v>
      </c>
      <c r="N488">
        <v>6.6000000000000005</v>
      </c>
      <c r="O488">
        <v>1.5</v>
      </c>
      <c r="P488">
        <v>11</v>
      </c>
    </row>
    <row r="489" spans="1:16" x14ac:dyDescent="0.2">
      <c r="A489" t="s">
        <v>650</v>
      </c>
      <c r="B489" t="s">
        <v>651</v>
      </c>
      <c r="C489" t="s">
        <v>582</v>
      </c>
      <c r="D489" t="s">
        <v>105</v>
      </c>
      <c r="E489">
        <v>119.99</v>
      </c>
      <c r="F489" t="s">
        <v>5817</v>
      </c>
      <c r="J489">
        <v>15</v>
      </c>
      <c r="K489">
        <v>120</v>
      </c>
      <c r="L489" t="s">
        <v>5065</v>
      </c>
      <c r="M489">
        <v>0</v>
      </c>
      <c r="N489">
        <v>0</v>
      </c>
      <c r="P489">
        <v>0</v>
      </c>
    </row>
    <row r="490" spans="1:16" x14ac:dyDescent="0.2">
      <c r="A490" t="s">
        <v>730</v>
      </c>
      <c r="B490" t="s">
        <v>731</v>
      </c>
      <c r="C490" t="s">
        <v>582</v>
      </c>
      <c r="D490" t="s">
        <v>105</v>
      </c>
      <c r="E490">
        <v>59.99</v>
      </c>
      <c r="F490" t="s">
        <v>5817</v>
      </c>
      <c r="G490">
        <v>10</v>
      </c>
      <c r="H490" t="s">
        <v>5832</v>
      </c>
      <c r="J490">
        <v>28</v>
      </c>
      <c r="K490">
        <v>120</v>
      </c>
      <c r="L490" t="s">
        <v>5065</v>
      </c>
      <c r="M490">
        <v>0</v>
      </c>
      <c r="N490">
        <v>0</v>
      </c>
      <c r="O490">
        <v>0.22222222222222221</v>
      </c>
      <c r="P490">
        <v>0</v>
      </c>
    </row>
    <row r="491" spans="1:16" x14ac:dyDescent="0.2">
      <c r="A491" t="s">
        <v>762</v>
      </c>
      <c r="B491" t="s">
        <v>763</v>
      </c>
      <c r="C491" t="s">
        <v>582</v>
      </c>
      <c r="D491" t="s">
        <v>98</v>
      </c>
      <c r="E491">
        <v>59.99</v>
      </c>
      <c r="F491" t="s">
        <v>5817</v>
      </c>
      <c r="L491" t="s">
        <v>5065</v>
      </c>
      <c r="M491">
        <v>0</v>
      </c>
      <c r="N491">
        <v>0</v>
      </c>
      <c r="P491">
        <v>0</v>
      </c>
    </row>
    <row r="492" spans="1:16" x14ac:dyDescent="0.2">
      <c r="A492" t="s">
        <v>632</v>
      </c>
      <c r="B492" t="s">
        <v>633</v>
      </c>
      <c r="C492" t="s">
        <v>582</v>
      </c>
      <c r="D492" t="s">
        <v>138</v>
      </c>
      <c r="E492">
        <v>159.99</v>
      </c>
      <c r="F492" t="s">
        <v>5817</v>
      </c>
      <c r="G492">
        <v>19</v>
      </c>
      <c r="I492">
        <v>19</v>
      </c>
      <c r="L492" t="s">
        <v>5065</v>
      </c>
      <c r="M492">
        <v>1.8333333333333333</v>
      </c>
      <c r="N492">
        <v>18</v>
      </c>
      <c r="O492">
        <v>1.3333333333333335</v>
      </c>
      <c r="P492">
        <v>33</v>
      </c>
    </row>
    <row r="493" spans="1:16" x14ac:dyDescent="0.2">
      <c r="A493" t="s">
        <v>716</v>
      </c>
      <c r="B493" t="s">
        <v>717</v>
      </c>
      <c r="C493" t="s">
        <v>582</v>
      </c>
      <c r="D493" t="s">
        <v>105</v>
      </c>
      <c r="E493">
        <v>49.99</v>
      </c>
      <c r="F493" t="s">
        <v>5817</v>
      </c>
      <c r="G493">
        <v>219</v>
      </c>
      <c r="I493">
        <v>219</v>
      </c>
      <c r="K493">
        <v>80</v>
      </c>
      <c r="L493" t="s">
        <v>5065</v>
      </c>
      <c r="M493">
        <v>5.5</v>
      </c>
      <c r="N493">
        <v>6.9090909090909092</v>
      </c>
      <c r="O493">
        <v>7.583333333333333</v>
      </c>
      <c r="P493">
        <v>38</v>
      </c>
    </row>
    <row r="494" spans="1:16" x14ac:dyDescent="0.2">
      <c r="A494" t="s">
        <v>704</v>
      </c>
      <c r="B494" t="s">
        <v>705</v>
      </c>
      <c r="C494" t="s">
        <v>582</v>
      </c>
      <c r="D494" t="s">
        <v>105</v>
      </c>
      <c r="E494">
        <v>39.99</v>
      </c>
      <c r="F494" t="s">
        <v>5817</v>
      </c>
      <c r="G494">
        <v>63</v>
      </c>
      <c r="I494">
        <v>63</v>
      </c>
      <c r="K494">
        <v>40</v>
      </c>
      <c r="L494" t="s">
        <v>5065</v>
      </c>
      <c r="M494">
        <v>4.166666666666667</v>
      </c>
      <c r="N494">
        <v>8.16</v>
      </c>
      <c r="O494">
        <v>5.75</v>
      </c>
      <c r="P494">
        <v>34</v>
      </c>
    </row>
    <row r="495" spans="1:16" x14ac:dyDescent="0.2">
      <c r="A495" t="s">
        <v>764</v>
      </c>
      <c r="B495" t="s">
        <v>765</v>
      </c>
      <c r="C495" t="s">
        <v>582</v>
      </c>
      <c r="D495" t="s">
        <v>98</v>
      </c>
      <c r="E495">
        <v>59.99</v>
      </c>
      <c r="F495" t="s">
        <v>5817</v>
      </c>
      <c r="L495" t="s">
        <v>5065</v>
      </c>
      <c r="M495">
        <v>0</v>
      </c>
      <c r="N495">
        <v>0</v>
      </c>
      <c r="P495">
        <v>0</v>
      </c>
    </row>
    <row r="496" spans="1:16" x14ac:dyDescent="0.2">
      <c r="A496" t="s">
        <v>694</v>
      </c>
      <c r="B496" t="s">
        <v>695</v>
      </c>
      <c r="C496" t="s">
        <v>582</v>
      </c>
      <c r="D496" t="s">
        <v>105</v>
      </c>
      <c r="E496">
        <v>44.99</v>
      </c>
      <c r="F496" t="s">
        <v>5817</v>
      </c>
      <c r="G496">
        <v>184</v>
      </c>
      <c r="I496">
        <v>184</v>
      </c>
      <c r="K496">
        <v>40</v>
      </c>
      <c r="L496" t="s">
        <v>5065</v>
      </c>
      <c r="M496">
        <v>7.666666666666667</v>
      </c>
      <c r="N496">
        <v>3.652173913043478</v>
      </c>
      <c r="O496">
        <v>11.833333333333334</v>
      </c>
      <c r="P496">
        <v>28</v>
      </c>
    </row>
    <row r="497" spans="1:16" x14ac:dyDescent="0.2">
      <c r="A497" t="s">
        <v>722</v>
      </c>
      <c r="B497" t="s">
        <v>723</v>
      </c>
      <c r="C497" t="s">
        <v>582</v>
      </c>
      <c r="D497" t="s">
        <v>105</v>
      </c>
      <c r="E497">
        <v>59.99</v>
      </c>
      <c r="F497" t="s">
        <v>5817</v>
      </c>
      <c r="G497">
        <v>28</v>
      </c>
      <c r="H497" t="s">
        <v>5832</v>
      </c>
      <c r="I497">
        <v>18</v>
      </c>
      <c r="K497">
        <v>40</v>
      </c>
      <c r="L497" t="s">
        <v>5065</v>
      </c>
      <c r="M497">
        <v>0</v>
      </c>
      <c r="N497">
        <v>0</v>
      </c>
      <c r="P497">
        <v>0</v>
      </c>
    </row>
    <row r="498" spans="1:16" x14ac:dyDescent="0.2">
      <c r="A498" t="s">
        <v>638</v>
      </c>
      <c r="B498" t="s">
        <v>639</v>
      </c>
      <c r="C498" t="s">
        <v>582</v>
      </c>
      <c r="D498" t="s">
        <v>138</v>
      </c>
      <c r="E498">
        <v>199.99</v>
      </c>
      <c r="F498" t="s">
        <v>5817</v>
      </c>
      <c r="G498">
        <v>2</v>
      </c>
      <c r="I498">
        <v>2</v>
      </c>
      <c r="L498" t="s">
        <v>5065</v>
      </c>
      <c r="M498">
        <v>1.5</v>
      </c>
      <c r="N498">
        <v>23.333333333333332</v>
      </c>
      <c r="O498">
        <v>0.66666666666666663</v>
      </c>
      <c r="P498">
        <v>35</v>
      </c>
    </row>
    <row r="499" spans="1:16" x14ac:dyDescent="0.2">
      <c r="A499" t="s">
        <v>746</v>
      </c>
      <c r="B499" t="s">
        <v>747</v>
      </c>
      <c r="C499" t="s">
        <v>582</v>
      </c>
      <c r="D499" t="s">
        <v>105</v>
      </c>
      <c r="E499">
        <v>29.99</v>
      </c>
      <c r="F499" t="s">
        <v>5817</v>
      </c>
      <c r="G499">
        <v>57</v>
      </c>
      <c r="I499">
        <v>57</v>
      </c>
      <c r="L499" t="s">
        <v>5065</v>
      </c>
      <c r="M499">
        <v>0</v>
      </c>
      <c r="N499">
        <v>0</v>
      </c>
      <c r="P499">
        <v>0</v>
      </c>
    </row>
    <row r="500" spans="1:16" x14ac:dyDescent="0.2">
      <c r="A500" t="s">
        <v>601</v>
      </c>
      <c r="B500" t="s">
        <v>602</v>
      </c>
      <c r="C500" t="s">
        <v>582</v>
      </c>
      <c r="D500" t="s">
        <v>105</v>
      </c>
      <c r="E500">
        <v>29.99</v>
      </c>
      <c r="F500" t="s">
        <v>5817</v>
      </c>
      <c r="G500">
        <v>449</v>
      </c>
      <c r="I500">
        <v>449</v>
      </c>
      <c r="L500" t="s">
        <v>5065</v>
      </c>
      <c r="M500">
        <v>3</v>
      </c>
      <c r="N500">
        <v>6.333333333333333</v>
      </c>
      <c r="O500">
        <v>3.8181818181818183</v>
      </c>
      <c r="P500">
        <v>19</v>
      </c>
    </row>
    <row r="501" spans="1:16" x14ac:dyDescent="0.2">
      <c r="A501" t="s">
        <v>760</v>
      </c>
      <c r="B501" t="s">
        <v>761</v>
      </c>
      <c r="C501" t="s">
        <v>582</v>
      </c>
      <c r="D501" t="s">
        <v>105</v>
      </c>
      <c r="E501">
        <v>59.99</v>
      </c>
      <c r="F501" t="s">
        <v>5817</v>
      </c>
      <c r="L501" t="s">
        <v>5065</v>
      </c>
      <c r="M501">
        <v>0</v>
      </c>
      <c r="N501">
        <v>0</v>
      </c>
      <c r="P501">
        <v>0</v>
      </c>
    </row>
    <row r="502" spans="1:16" x14ac:dyDescent="0.2">
      <c r="A502" t="s">
        <v>5556</v>
      </c>
      <c r="B502" t="s">
        <v>5557</v>
      </c>
      <c r="C502" t="s">
        <v>582</v>
      </c>
      <c r="D502" t="s">
        <v>98</v>
      </c>
      <c r="E502">
        <v>59.99</v>
      </c>
      <c r="F502" t="s">
        <v>5817</v>
      </c>
      <c r="L502" t="s">
        <v>5065</v>
      </c>
      <c r="M502">
        <v>0</v>
      </c>
      <c r="N502">
        <v>0</v>
      </c>
      <c r="P502">
        <v>0</v>
      </c>
    </row>
    <row r="503" spans="1:16" x14ac:dyDescent="0.2">
      <c r="A503" t="s">
        <v>790</v>
      </c>
      <c r="B503" t="s">
        <v>791</v>
      </c>
      <c r="C503" t="s">
        <v>582</v>
      </c>
      <c r="D503" t="s">
        <v>105</v>
      </c>
      <c r="E503">
        <v>64.989999999999995</v>
      </c>
      <c r="F503" t="s">
        <v>5817</v>
      </c>
      <c r="G503">
        <v>120</v>
      </c>
      <c r="I503">
        <v>120</v>
      </c>
      <c r="K503">
        <v>80</v>
      </c>
      <c r="L503" t="s">
        <v>5065</v>
      </c>
      <c r="M503">
        <v>9.1666666666666661</v>
      </c>
      <c r="N503">
        <v>5.5636363636363644</v>
      </c>
      <c r="O503">
        <v>7.0833333333333339</v>
      </c>
      <c r="P503">
        <v>51</v>
      </c>
    </row>
    <row r="504" spans="1:16" x14ac:dyDescent="0.2">
      <c r="A504" t="s">
        <v>792</v>
      </c>
      <c r="B504" t="s">
        <v>793</v>
      </c>
      <c r="C504" t="s">
        <v>582</v>
      </c>
      <c r="D504" t="s">
        <v>105</v>
      </c>
      <c r="E504">
        <v>69.989999999999995</v>
      </c>
      <c r="F504" t="s">
        <v>5817</v>
      </c>
      <c r="G504">
        <v>36</v>
      </c>
      <c r="I504">
        <v>36</v>
      </c>
      <c r="K504">
        <v>40</v>
      </c>
      <c r="L504" t="s">
        <v>5065</v>
      </c>
      <c r="M504">
        <v>6.666666666666667</v>
      </c>
      <c r="N504">
        <v>6.8999999999999995</v>
      </c>
      <c r="O504">
        <v>5.25</v>
      </c>
      <c r="P504">
        <v>46</v>
      </c>
    </row>
    <row r="505" spans="1:16" x14ac:dyDescent="0.2">
      <c r="A505" t="s">
        <v>5241</v>
      </c>
      <c r="B505" t="s">
        <v>5242</v>
      </c>
      <c r="C505" t="s">
        <v>582</v>
      </c>
      <c r="D505" t="s">
        <v>98</v>
      </c>
      <c r="E505">
        <v>79.989999999999995</v>
      </c>
      <c r="F505" t="s">
        <v>5817</v>
      </c>
      <c r="L505" t="s">
        <v>5065</v>
      </c>
      <c r="M505">
        <v>0</v>
      </c>
      <c r="N505">
        <v>0</v>
      </c>
      <c r="P505">
        <v>0</v>
      </c>
    </row>
    <row r="506" spans="1:16" x14ac:dyDescent="0.2">
      <c r="A506" t="s">
        <v>5562</v>
      </c>
      <c r="B506" t="s">
        <v>5563</v>
      </c>
      <c r="C506" t="s">
        <v>582</v>
      </c>
      <c r="D506" t="s">
        <v>98</v>
      </c>
      <c r="E506">
        <v>99.99</v>
      </c>
      <c r="F506" t="s">
        <v>5817</v>
      </c>
      <c r="L506" t="s">
        <v>5065</v>
      </c>
      <c r="M506">
        <v>0</v>
      </c>
      <c r="N506">
        <v>0</v>
      </c>
      <c r="P506">
        <v>0</v>
      </c>
    </row>
    <row r="507" spans="1:16" x14ac:dyDescent="0.2">
      <c r="A507" t="s">
        <v>5604</v>
      </c>
      <c r="B507" t="s">
        <v>5605</v>
      </c>
      <c r="C507" t="s">
        <v>582</v>
      </c>
      <c r="D507" t="s">
        <v>98</v>
      </c>
      <c r="E507">
        <v>39.99</v>
      </c>
      <c r="F507" t="s">
        <v>5817</v>
      </c>
      <c r="L507" t="s">
        <v>5065</v>
      </c>
      <c r="M507">
        <v>0</v>
      </c>
      <c r="N507">
        <v>0</v>
      </c>
      <c r="P507">
        <v>0</v>
      </c>
    </row>
    <row r="508" spans="1:16" x14ac:dyDescent="0.2">
      <c r="A508" t="s">
        <v>5094</v>
      </c>
      <c r="B508" t="s">
        <v>5095</v>
      </c>
      <c r="C508" t="s">
        <v>582</v>
      </c>
      <c r="D508" t="s">
        <v>98</v>
      </c>
      <c r="E508">
        <v>69.989999999999995</v>
      </c>
      <c r="F508" t="s">
        <v>5817</v>
      </c>
      <c r="L508" t="s">
        <v>5065</v>
      </c>
      <c r="M508">
        <v>0</v>
      </c>
      <c r="N508">
        <v>0</v>
      </c>
      <c r="P508">
        <v>0</v>
      </c>
    </row>
    <row r="509" spans="1:16" x14ac:dyDescent="0.2">
      <c r="A509" t="s">
        <v>5700</v>
      </c>
      <c r="B509" t="s">
        <v>5701</v>
      </c>
      <c r="C509" t="s">
        <v>582</v>
      </c>
      <c r="D509" t="s">
        <v>98</v>
      </c>
      <c r="E509">
        <v>59.99</v>
      </c>
      <c r="F509" t="s">
        <v>5817</v>
      </c>
      <c r="L509" t="s">
        <v>5065</v>
      </c>
      <c r="M509">
        <v>0</v>
      </c>
      <c r="N509">
        <v>0</v>
      </c>
      <c r="P509">
        <v>0</v>
      </c>
    </row>
    <row r="510" spans="1:16" x14ac:dyDescent="0.2">
      <c r="A510" t="s">
        <v>5546</v>
      </c>
      <c r="B510" t="s">
        <v>5547</v>
      </c>
      <c r="C510" t="s">
        <v>582</v>
      </c>
      <c r="D510" t="s">
        <v>98</v>
      </c>
      <c r="E510">
        <v>89.99</v>
      </c>
      <c r="F510" t="s">
        <v>5817</v>
      </c>
      <c r="L510" t="s">
        <v>5065</v>
      </c>
      <c r="M510">
        <v>2.3333333333333335</v>
      </c>
      <c r="N510">
        <v>9.4285714285714288</v>
      </c>
      <c r="O510">
        <v>1.5</v>
      </c>
      <c r="P510">
        <v>22</v>
      </c>
    </row>
    <row r="511" spans="1:16" x14ac:dyDescent="0.2">
      <c r="A511" t="s">
        <v>648</v>
      </c>
      <c r="B511" t="s">
        <v>5066</v>
      </c>
      <c r="C511" t="s">
        <v>582</v>
      </c>
      <c r="D511" t="s">
        <v>105</v>
      </c>
      <c r="E511">
        <v>69.989999999999995</v>
      </c>
      <c r="F511" t="s">
        <v>5817</v>
      </c>
      <c r="G511">
        <v>138</v>
      </c>
      <c r="H511" t="s">
        <v>5827</v>
      </c>
      <c r="I511">
        <v>118</v>
      </c>
      <c r="K511">
        <v>40</v>
      </c>
      <c r="L511" t="s">
        <v>5065</v>
      </c>
      <c r="M511">
        <v>6.166666666666667</v>
      </c>
      <c r="N511">
        <v>4.0540540540540535</v>
      </c>
      <c r="O511">
        <v>5.0833333333333339</v>
      </c>
      <c r="P511">
        <v>25</v>
      </c>
    </row>
    <row r="512" spans="1:16" x14ac:dyDescent="0.2">
      <c r="A512" t="s">
        <v>613</v>
      </c>
      <c r="B512" t="s">
        <v>614</v>
      </c>
      <c r="C512" t="s">
        <v>582</v>
      </c>
      <c r="D512" t="s">
        <v>105</v>
      </c>
      <c r="E512">
        <v>119.99</v>
      </c>
      <c r="F512" t="s">
        <v>5817</v>
      </c>
      <c r="G512">
        <v>105</v>
      </c>
      <c r="H512" t="s">
        <v>5831</v>
      </c>
      <c r="I512">
        <v>75</v>
      </c>
      <c r="K512">
        <v>50</v>
      </c>
      <c r="L512" t="s">
        <v>5065</v>
      </c>
      <c r="M512">
        <v>1.75</v>
      </c>
      <c r="N512">
        <v>28</v>
      </c>
      <c r="O512">
        <v>1.5</v>
      </c>
      <c r="P512">
        <v>49</v>
      </c>
    </row>
    <row r="513" spans="1:16" x14ac:dyDescent="0.2">
      <c r="A513" t="s">
        <v>766</v>
      </c>
      <c r="B513" t="s">
        <v>767</v>
      </c>
      <c r="C513" t="s">
        <v>582</v>
      </c>
      <c r="D513" t="s">
        <v>105</v>
      </c>
      <c r="E513">
        <v>59.99</v>
      </c>
      <c r="F513" t="s">
        <v>5817</v>
      </c>
      <c r="L513" t="s">
        <v>5065</v>
      </c>
      <c r="M513">
        <v>0</v>
      </c>
      <c r="N513">
        <v>0</v>
      </c>
      <c r="P513">
        <v>0</v>
      </c>
    </row>
    <row r="514" spans="1:16" x14ac:dyDescent="0.2">
      <c r="A514" t="s">
        <v>740</v>
      </c>
      <c r="B514" t="s">
        <v>741</v>
      </c>
      <c r="C514" t="s">
        <v>582</v>
      </c>
      <c r="D514" t="s">
        <v>138</v>
      </c>
      <c r="E514">
        <v>64.989999999999995</v>
      </c>
      <c r="F514" t="s">
        <v>5817</v>
      </c>
      <c r="G514">
        <v>4</v>
      </c>
      <c r="I514">
        <v>4</v>
      </c>
      <c r="L514" t="s">
        <v>5065</v>
      </c>
      <c r="M514">
        <v>1.8</v>
      </c>
      <c r="N514">
        <v>26.666666666666664</v>
      </c>
      <c r="O514">
        <v>0.66666666666666663</v>
      </c>
      <c r="P514">
        <v>48</v>
      </c>
    </row>
    <row r="515" spans="1:16" x14ac:dyDescent="0.2">
      <c r="A515" t="s">
        <v>5292</v>
      </c>
      <c r="B515" t="s">
        <v>5293</v>
      </c>
      <c r="C515" t="s">
        <v>582</v>
      </c>
      <c r="D515" t="s">
        <v>98</v>
      </c>
      <c r="E515">
        <v>69.989999999999995</v>
      </c>
      <c r="F515" t="s">
        <v>5817</v>
      </c>
      <c r="L515" t="s">
        <v>5065</v>
      </c>
      <c r="M515">
        <v>0</v>
      </c>
      <c r="N515">
        <v>0</v>
      </c>
      <c r="P515">
        <v>0</v>
      </c>
    </row>
    <row r="516" spans="1:16" x14ac:dyDescent="0.2">
      <c r="A516" t="s">
        <v>736</v>
      </c>
      <c r="B516" t="s">
        <v>737</v>
      </c>
      <c r="C516" t="s">
        <v>582</v>
      </c>
      <c r="D516" t="s">
        <v>105</v>
      </c>
      <c r="E516">
        <v>29.99</v>
      </c>
      <c r="F516" t="s">
        <v>5817</v>
      </c>
      <c r="G516">
        <v>43</v>
      </c>
      <c r="H516" t="s">
        <v>5827</v>
      </c>
      <c r="I516">
        <v>23</v>
      </c>
      <c r="K516">
        <v>1000</v>
      </c>
      <c r="L516" t="s">
        <v>5065</v>
      </c>
      <c r="M516">
        <v>0</v>
      </c>
      <c r="N516">
        <v>0</v>
      </c>
      <c r="P516">
        <v>0</v>
      </c>
    </row>
    <row r="517" spans="1:16" x14ac:dyDescent="0.2">
      <c r="A517" t="s">
        <v>5298</v>
      </c>
      <c r="B517" t="s">
        <v>5299</v>
      </c>
      <c r="C517" t="s">
        <v>582</v>
      </c>
      <c r="D517" t="s">
        <v>98</v>
      </c>
      <c r="E517">
        <v>39.99</v>
      </c>
      <c r="F517" t="s">
        <v>5817</v>
      </c>
      <c r="L517" t="s">
        <v>5065</v>
      </c>
      <c r="M517">
        <v>0</v>
      </c>
      <c r="N517">
        <v>0</v>
      </c>
      <c r="P517">
        <v>0</v>
      </c>
    </row>
    <row r="518" spans="1:16" x14ac:dyDescent="0.2">
      <c r="A518" t="s">
        <v>5300</v>
      </c>
      <c r="B518" t="s">
        <v>5301</v>
      </c>
      <c r="C518" t="s">
        <v>582</v>
      </c>
      <c r="D518" t="s">
        <v>98</v>
      </c>
      <c r="E518">
        <v>19.989999999999998</v>
      </c>
      <c r="F518" t="s">
        <v>5817</v>
      </c>
      <c r="L518" t="s">
        <v>5065</v>
      </c>
      <c r="M518">
        <v>0</v>
      </c>
      <c r="N518">
        <v>0</v>
      </c>
      <c r="P518">
        <v>0</v>
      </c>
    </row>
    <row r="519" spans="1:16" x14ac:dyDescent="0.2">
      <c r="A519" t="s">
        <v>823</v>
      </c>
      <c r="B519" t="s">
        <v>824</v>
      </c>
      <c r="C519" t="s">
        <v>582</v>
      </c>
      <c r="D519" t="s">
        <v>98</v>
      </c>
      <c r="E519">
        <v>79.989999999999995</v>
      </c>
      <c r="F519" t="s">
        <v>5817</v>
      </c>
      <c r="L519" t="s">
        <v>5065</v>
      </c>
      <c r="M519">
        <v>1.25</v>
      </c>
      <c r="N519">
        <v>22.4</v>
      </c>
      <c r="O519">
        <v>1.0833333333333333</v>
      </c>
      <c r="P519">
        <v>28</v>
      </c>
    </row>
    <row r="520" spans="1:16" x14ac:dyDescent="0.2">
      <c r="A520" t="s">
        <v>5296</v>
      </c>
      <c r="B520" t="s">
        <v>5297</v>
      </c>
      <c r="C520" t="s">
        <v>582</v>
      </c>
      <c r="D520" t="s">
        <v>98</v>
      </c>
      <c r="E520">
        <v>24.99</v>
      </c>
      <c r="F520" t="s">
        <v>5817</v>
      </c>
      <c r="L520" t="s">
        <v>5065</v>
      </c>
      <c r="M520">
        <v>0</v>
      </c>
      <c r="N520">
        <v>0</v>
      </c>
      <c r="P520">
        <v>0</v>
      </c>
    </row>
    <row r="521" spans="1:16" x14ac:dyDescent="0.2">
      <c r="A521" t="s">
        <v>738</v>
      </c>
      <c r="B521" t="s">
        <v>739</v>
      </c>
      <c r="C521" t="s">
        <v>582</v>
      </c>
      <c r="D521" t="s">
        <v>138</v>
      </c>
      <c r="E521">
        <v>59.99</v>
      </c>
      <c r="F521" t="s">
        <v>5817</v>
      </c>
      <c r="G521">
        <v>3</v>
      </c>
      <c r="I521">
        <v>3</v>
      </c>
      <c r="L521" t="s">
        <v>5065</v>
      </c>
      <c r="M521">
        <v>1.6666666666666665</v>
      </c>
      <c r="N521">
        <v>25.8</v>
      </c>
      <c r="O521">
        <v>1.0833333333333335</v>
      </c>
      <c r="P521">
        <v>43</v>
      </c>
    </row>
    <row r="522" spans="1:16" x14ac:dyDescent="0.2">
      <c r="A522" t="s">
        <v>748</v>
      </c>
      <c r="B522" t="s">
        <v>749</v>
      </c>
      <c r="C522" t="s">
        <v>582</v>
      </c>
      <c r="D522" t="s">
        <v>105</v>
      </c>
      <c r="E522">
        <v>19.989999999999998</v>
      </c>
      <c r="F522" t="s">
        <v>5817</v>
      </c>
      <c r="G522">
        <v>453</v>
      </c>
      <c r="I522">
        <v>453</v>
      </c>
      <c r="L522" t="s">
        <v>5065</v>
      </c>
      <c r="M522">
        <v>0</v>
      </c>
      <c r="N522">
        <v>0</v>
      </c>
      <c r="P522">
        <v>0</v>
      </c>
    </row>
    <row r="523" spans="1:16" x14ac:dyDescent="0.2">
      <c r="A523" t="s">
        <v>712</v>
      </c>
      <c r="B523" t="s">
        <v>713</v>
      </c>
      <c r="C523" t="s">
        <v>582</v>
      </c>
      <c r="D523" t="s">
        <v>105</v>
      </c>
      <c r="E523">
        <v>49.99</v>
      </c>
      <c r="F523" t="s">
        <v>5817</v>
      </c>
      <c r="G523">
        <v>38</v>
      </c>
      <c r="I523">
        <v>38</v>
      </c>
      <c r="L523" t="s">
        <v>5065</v>
      </c>
      <c r="N523">
        <v>0</v>
      </c>
      <c r="P523">
        <v>40</v>
      </c>
    </row>
    <row r="524" spans="1:16" x14ac:dyDescent="0.2">
      <c r="A524" t="s">
        <v>710</v>
      </c>
      <c r="B524" t="s">
        <v>711</v>
      </c>
      <c r="C524" t="s">
        <v>582</v>
      </c>
      <c r="D524" t="s">
        <v>105</v>
      </c>
      <c r="E524">
        <v>49.99</v>
      </c>
      <c r="F524" t="s">
        <v>5817</v>
      </c>
      <c r="G524">
        <v>41</v>
      </c>
      <c r="I524">
        <v>41</v>
      </c>
      <c r="L524" t="s">
        <v>5065</v>
      </c>
      <c r="N524">
        <v>0</v>
      </c>
      <c r="P524">
        <v>38</v>
      </c>
    </row>
    <row r="525" spans="1:16" x14ac:dyDescent="0.2">
      <c r="A525" t="s">
        <v>690</v>
      </c>
      <c r="B525" t="s">
        <v>5072</v>
      </c>
      <c r="C525" t="s">
        <v>582</v>
      </c>
      <c r="D525" t="s">
        <v>105</v>
      </c>
      <c r="E525">
        <v>44.99</v>
      </c>
      <c r="F525" t="s">
        <v>5817</v>
      </c>
      <c r="G525">
        <v>25</v>
      </c>
      <c r="I525">
        <v>25</v>
      </c>
      <c r="L525" t="s">
        <v>5065</v>
      </c>
      <c r="N525">
        <v>0</v>
      </c>
      <c r="P525">
        <v>31</v>
      </c>
    </row>
    <row r="526" spans="1:16" x14ac:dyDescent="0.2">
      <c r="A526" t="s">
        <v>692</v>
      </c>
      <c r="B526" t="s">
        <v>5080</v>
      </c>
      <c r="C526" t="s">
        <v>582</v>
      </c>
      <c r="D526" t="s">
        <v>105</v>
      </c>
      <c r="E526">
        <v>44.99</v>
      </c>
      <c r="F526" t="s">
        <v>5817</v>
      </c>
      <c r="G526">
        <v>49</v>
      </c>
      <c r="I526">
        <v>49</v>
      </c>
      <c r="L526" t="s">
        <v>5065</v>
      </c>
      <c r="N526">
        <v>0</v>
      </c>
      <c r="P526">
        <v>41</v>
      </c>
    </row>
    <row r="527" spans="1:16" x14ac:dyDescent="0.2">
      <c r="A527" t="s">
        <v>5241</v>
      </c>
      <c r="B527" t="s">
        <v>5242</v>
      </c>
      <c r="C527" t="s">
        <v>582</v>
      </c>
      <c r="D527" t="s">
        <v>98</v>
      </c>
      <c r="E527">
        <v>79.989999999999995</v>
      </c>
      <c r="F527" t="s">
        <v>5817</v>
      </c>
      <c r="L527" t="s">
        <v>8</v>
      </c>
      <c r="M527">
        <v>0</v>
      </c>
      <c r="N527">
        <v>0</v>
      </c>
      <c r="O527">
        <v>0</v>
      </c>
      <c r="P527">
        <v>0</v>
      </c>
    </row>
    <row r="528" spans="1:16" x14ac:dyDescent="0.2">
      <c r="A528" t="s">
        <v>5562</v>
      </c>
      <c r="B528" t="s">
        <v>5563</v>
      </c>
      <c r="C528" t="s">
        <v>582</v>
      </c>
      <c r="D528" t="s">
        <v>98</v>
      </c>
      <c r="E528">
        <v>99.99</v>
      </c>
      <c r="F528" t="s">
        <v>5817</v>
      </c>
      <c r="L528" t="s">
        <v>8</v>
      </c>
      <c r="M528">
        <v>0</v>
      </c>
      <c r="N528">
        <v>0</v>
      </c>
      <c r="O528">
        <v>0</v>
      </c>
      <c r="P528">
        <v>0</v>
      </c>
    </row>
    <row r="529" spans="1:16" x14ac:dyDescent="0.2">
      <c r="A529" t="s">
        <v>823</v>
      </c>
      <c r="B529" t="s">
        <v>824</v>
      </c>
      <c r="C529" t="s">
        <v>582</v>
      </c>
      <c r="D529" t="s">
        <v>98</v>
      </c>
      <c r="E529">
        <v>79.989999999999995</v>
      </c>
      <c r="F529" t="s">
        <v>5817</v>
      </c>
      <c r="L529" t="s">
        <v>8</v>
      </c>
      <c r="M529">
        <v>1.2</v>
      </c>
      <c r="N529">
        <v>40.833333333333336</v>
      </c>
      <c r="O529">
        <v>0.5</v>
      </c>
      <c r="P529">
        <v>49</v>
      </c>
    </row>
    <row r="530" spans="1:16" x14ac:dyDescent="0.2">
      <c r="A530" t="s">
        <v>764</v>
      </c>
      <c r="B530" t="s">
        <v>765</v>
      </c>
      <c r="C530" t="s">
        <v>582</v>
      </c>
      <c r="D530" t="s">
        <v>98</v>
      </c>
      <c r="E530">
        <v>59.99</v>
      </c>
      <c r="F530" t="s">
        <v>5817</v>
      </c>
      <c r="L530" t="s">
        <v>8</v>
      </c>
      <c r="M530">
        <v>0</v>
      </c>
      <c r="N530">
        <v>0</v>
      </c>
      <c r="O530">
        <v>0</v>
      </c>
      <c r="P530">
        <v>0</v>
      </c>
    </row>
    <row r="531" spans="1:16" x14ac:dyDescent="0.2">
      <c r="A531" t="s">
        <v>766</v>
      </c>
      <c r="B531" t="s">
        <v>767</v>
      </c>
      <c r="C531" t="s">
        <v>582</v>
      </c>
      <c r="D531" t="s">
        <v>105</v>
      </c>
      <c r="E531">
        <v>59.99</v>
      </c>
      <c r="F531" t="s">
        <v>5817</v>
      </c>
      <c r="L531" t="s">
        <v>8</v>
      </c>
      <c r="M531">
        <v>0</v>
      </c>
      <c r="N531">
        <v>0</v>
      </c>
      <c r="O531">
        <v>0</v>
      </c>
      <c r="P531">
        <v>0</v>
      </c>
    </row>
    <row r="532" spans="1:16" x14ac:dyDescent="0.2">
      <c r="A532" t="s">
        <v>5546</v>
      </c>
      <c r="B532" t="s">
        <v>5547</v>
      </c>
      <c r="C532" t="s">
        <v>582</v>
      </c>
      <c r="D532" t="s">
        <v>98</v>
      </c>
      <c r="E532">
        <v>89.99</v>
      </c>
      <c r="F532" t="s">
        <v>5817</v>
      </c>
      <c r="L532" t="s">
        <v>8</v>
      </c>
      <c r="M532">
        <v>2</v>
      </c>
      <c r="N532">
        <v>30.5</v>
      </c>
      <c r="O532">
        <v>1.6666666666666667</v>
      </c>
      <c r="P532">
        <v>61</v>
      </c>
    </row>
    <row r="533" spans="1:16" x14ac:dyDescent="0.2">
      <c r="A533" t="s">
        <v>738</v>
      </c>
      <c r="B533" t="s">
        <v>739</v>
      </c>
      <c r="C533" t="s">
        <v>582</v>
      </c>
      <c r="D533" t="s">
        <v>138</v>
      </c>
      <c r="E533">
        <v>59.99</v>
      </c>
      <c r="F533" t="s">
        <v>5817</v>
      </c>
      <c r="G533">
        <v>3</v>
      </c>
      <c r="I533">
        <v>3</v>
      </c>
      <c r="L533" t="s">
        <v>8</v>
      </c>
      <c r="M533">
        <v>0.75</v>
      </c>
      <c r="N533">
        <v>42.666666666666664</v>
      </c>
      <c r="O533">
        <v>0.75</v>
      </c>
      <c r="P533">
        <v>32</v>
      </c>
    </row>
    <row r="534" spans="1:16" x14ac:dyDescent="0.2">
      <c r="A534" t="s">
        <v>778</v>
      </c>
      <c r="B534" t="s">
        <v>779</v>
      </c>
      <c r="C534" t="s">
        <v>582</v>
      </c>
      <c r="D534" t="s">
        <v>105</v>
      </c>
      <c r="E534">
        <v>59.99</v>
      </c>
      <c r="F534" t="s">
        <v>5817</v>
      </c>
      <c r="G534">
        <v>30</v>
      </c>
      <c r="H534" t="s">
        <v>5827</v>
      </c>
      <c r="I534">
        <v>10</v>
      </c>
      <c r="K534">
        <v>80</v>
      </c>
      <c r="L534" t="s">
        <v>8</v>
      </c>
      <c r="M534">
        <v>0</v>
      </c>
      <c r="N534">
        <v>0</v>
      </c>
      <c r="O534">
        <v>0</v>
      </c>
      <c r="P534">
        <v>0</v>
      </c>
    </row>
    <row r="535" spans="1:16" x14ac:dyDescent="0.2">
      <c r="A535" t="s">
        <v>790</v>
      </c>
      <c r="B535" t="s">
        <v>791</v>
      </c>
      <c r="C535" t="s">
        <v>582</v>
      </c>
      <c r="D535" t="s">
        <v>105</v>
      </c>
      <c r="E535">
        <v>64.989999999999995</v>
      </c>
      <c r="F535" t="s">
        <v>5817</v>
      </c>
      <c r="G535">
        <v>120</v>
      </c>
      <c r="I535">
        <v>120</v>
      </c>
      <c r="K535">
        <v>80</v>
      </c>
      <c r="L535" t="s">
        <v>8</v>
      </c>
      <c r="M535">
        <v>4.5999999999999996</v>
      </c>
      <c r="N535">
        <v>10</v>
      </c>
      <c r="O535">
        <v>2.25</v>
      </c>
      <c r="P535">
        <v>46</v>
      </c>
    </row>
    <row r="536" spans="1:16" x14ac:dyDescent="0.2">
      <c r="A536" t="s">
        <v>792</v>
      </c>
      <c r="B536" t="s">
        <v>793</v>
      </c>
      <c r="C536" t="s">
        <v>582</v>
      </c>
      <c r="D536" t="s">
        <v>105</v>
      </c>
      <c r="E536">
        <v>69.989999999999995</v>
      </c>
      <c r="F536" t="s">
        <v>5817</v>
      </c>
      <c r="G536">
        <v>36</v>
      </c>
      <c r="I536">
        <v>36</v>
      </c>
      <c r="K536">
        <v>40</v>
      </c>
      <c r="L536" t="s">
        <v>8</v>
      </c>
      <c r="M536">
        <v>0</v>
      </c>
      <c r="N536">
        <v>0</v>
      </c>
      <c r="O536">
        <v>0</v>
      </c>
      <c r="P536">
        <v>0</v>
      </c>
    </row>
    <row r="537" spans="1:16" x14ac:dyDescent="0.2">
      <c r="A537" t="s">
        <v>740</v>
      </c>
      <c r="B537" t="s">
        <v>741</v>
      </c>
      <c r="C537" t="s">
        <v>582</v>
      </c>
      <c r="D537" t="s">
        <v>138</v>
      </c>
      <c r="E537">
        <v>64.989999999999995</v>
      </c>
      <c r="F537" t="s">
        <v>5817</v>
      </c>
      <c r="G537">
        <v>4</v>
      </c>
      <c r="I537">
        <v>4</v>
      </c>
      <c r="L537" t="s">
        <v>8</v>
      </c>
      <c r="N537">
        <v>0</v>
      </c>
      <c r="O537">
        <v>0</v>
      </c>
      <c r="P537">
        <v>1</v>
      </c>
    </row>
    <row r="538" spans="1:16" x14ac:dyDescent="0.2">
      <c r="A538" t="s">
        <v>776</v>
      </c>
      <c r="B538" t="s">
        <v>777</v>
      </c>
      <c r="C538" t="s">
        <v>582</v>
      </c>
      <c r="D538" t="s">
        <v>105</v>
      </c>
      <c r="E538">
        <v>69.989999999999995</v>
      </c>
      <c r="F538" t="s">
        <v>5817</v>
      </c>
      <c r="G538">
        <v>98</v>
      </c>
      <c r="H538" t="s">
        <v>5827</v>
      </c>
      <c r="I538">
        <v>78</v>
      </c>
      <c r="K538">
        <v>40</v>
      </c>
      <c r="L538" t="s">
        <v>8</v>
      </c>
      <c r="M538">
        <v>2.3333333333333335</v>
      </c>
      <c r="N538">
        <v>21.428571428571427</v>
      </c>
      <c r="O538">
        <v>2.833333333333333</v>
      </c>
      <c r="P538">
        <v>50</v>
      </c>
    </row>
    <row r="539" spans="1:16" x14ac:dyDescent="0.2">
      <c r="A539" t="s">
        <v>748</v>
      </c>
      <c r="B539" t="s">
        <v>749</v>
      </c>
      <c r="C539" t="s">
        <v>582</v>
      </c>
      <c r="D539" t="s">
        <v>105</v>
      </c>
      <c r="E539">
        <v>19.989999999999998</v>
      </c>
      <c r="F539" t="s">
        <v>5817</v>
      </c>
      <c r="G539">
        <v>453</v>
      </c>
      <c r="I539">
        <v>453</v>
      </c>
      <c r="L539" t="s">
        <v>8</v>
      </c>
      <c r="M539">
        <v>17</v>
      </c>
      <c r="N539">
        <v>16.411764705882351</v>
      </c>
      <c r="O539">
        <v>15.416666666666668</v>
      </c>
      <c r="P539">
        <v>279</v>
      </c>
    </row>
    <row r="540" spans="1:16" x14ac:dyDescent="0.2">
      <c r="A540" t="s">
        <v>5257</v>
      </c>
      <c r="B540" t="s">
        <v>5258</v>
      </c>
      <c r="C540" t="s">
        <v>582</v>
      </c>
      <c r="D540" t="s">
        <v>138</v>
      </c>
      <c r="E540">
        <v>69.989999999999995</v>
      </c>
      <c r="F540" t="s">
        <v>5817</v>
      </c>
      <c r="G540">
        <v>119</v>
      </c>
      <c r="I540">
        <v>119</v>
      </c>
      <c r="L540" t="s">
        <v>8</v>
      </c>
      <c r="M540">
        <v>0</v>
      </c>
      <c r="N540">
        <v>0</v>
      </c>
      <c r="O540">
        <v>0</v>
      </c>
      <c r="P540">
        <v>0</v>
      </c>
    </row>
    <row r="541" spans="1:16" x14ac:dyDescent="0.2">
      <c r="A541" t="s">
        <v>5556</v>
      </c>
      <c r="B541" t="s">
        <v>5557</v>
      </c>
      <c r="C541" t="s">
        <v>582</v>
      </c>
      <c r="D541" t="s">
        <v>98</v>
      </c>
      <c r="E541">
        <v>59.99</v>
      </c>
      <c r="F541" t="s">
        <v>5817</v>
      </c>
      <c r="L541" t="s">
        <v>8</v>
      </c>
      <c r="M541">
        <v>0</v>
      </c>
      <c r="N541">
        <v>0</v>
      </c>
      <c r="O541">
        <v>8.3333333333333329E-2</v>
      </c>
      <c r="P541">
        <v>0</v>
      </c>
    </row>
    <row r="542" spans="1:16" x14ac:dyDescent="0.2">
      <c r="A542" t="s">
        <v>613</v>
      </c>
      <c r="B542" t="s">
        <v>614</v>
      </c>
      <c r="C542" t="s">
        <v>582</v>
      </c>
      <c r="D542" t="s">
        <v>105</v>
      </c>
      <c r="E542">
        <v>119.99</v>
      </c>
      <c r="F542" t="s">
        <v>5817</v>
      </c>
      <c r="G542">
        <v>105</v>
      </c>
      <c r="H542" t="s">
        <v>5831</v>
      </c>
      <c r="I542">
        <v>75</v>
      </c>
      <c r="K542">
        <v>50</v>
      </c>
      <c r="L542" t="s">
        <v>8</v>
      </c>
      <c r="M542">
        <v>4.166666666666667</v>
      </c>
      <c r="N542">
        <v>18.48</v>
      </c>
      <c r="O542">
        <v>2.25</v>
      </c>
      <c r="P542">
        <v>77</v>
      </c>
    </row>
    <row r="543" spans="1:16" x14ac:dyDescent="0.2">
      <c r="A543" t="s">
        <v>694</v>
      </c>
      <c r="B543" t="s">
        <v>695</v>
      </c>
      <c r="C543" t="s">
        <v>582</v>
      </c>
      <c r="D543" t="s">
        <v>105</v>
      </c>
      <c r="E543">
        <v>44.99</v>
      </c>
      <c r="F543" t="s">
        <v>5817</v>
      </c>
      <c r="G543">
        <v>184</v>
      </c>
      <c r="I543">
        <v>184</v>
      </c>
      <c r="K543">
        <v>40</v>
      </c>
      <c r="L543" t="s">
        <v>8</v>
      </c>
      <c r="M543">
        <v>2.5</v>
      </c>
      <c r="N543">
        <v>21.6</v>
      </c>
      <c r="O543">
        <v>3.25</v>
      </c>
      <c r="P543">
        <v>54</v>
      </c>
    </row>
    <row r="544" spans="1:16" x14ac:dyDescent="0.2">
      <c r="A544" t="s">
        <v>5604</v>
      </c>
      <c r="B544" t="s">
        <v>5605</v>
      </c>
      <c r="C544" t="s">
        <v>582</v>
      </c>
      <c r="D544" t="s">
        <v>98</v>
      </c>
      <c r="E544">
        <v>39.99</v>
      </c>
      <c r="F544" t="s">
        <v>5817</v>
      </c>
      <c r="L544" t="s">
        <v>8</v>
      </c>
      <c r="M544">
        <v>0</v>
      </c>
      <c r="N544">
        <v>0</v>
      </c>
      <c r="O544">
        <v>0</v>
      </c>
      <c r="P544">
        <v>0</v>
      </c>
    </row>
    <row r="545" spans="1:16" x14ac:dyDescent="0.2">
      <c r="A545" t="s">
        <v>5610</v>
      </c>
      <c r="B545" t="s">
        <v>5611</v>
      </c>
      <c r="C545" t="s">
        <v>582</v>
      </c>
      <c r="D545" t="s">
        <v>98</v>
      </c>
      <c r="E545">
        <v>59.99</v>
      </c>
      <c r="F545" t="s">
        <v>5817</v>
      </c>
      <c r="L545" t="s">
        <v>8</v>
      </c>
      <c r="N545">
        <v>0</v>
      </c>
      <c r="O545">
        <v>0</v>
      </c>
      <c r="P545">
        <v>0</v>
      </c>
    </row>
    <row r="546" spans="1:16" x14ac:dyDescent="0.2">
      <c r="A546" t="s">
        <v>632</v>
      </c>
      <c r="B546" t="s">
        <v>633</v>
      </c>
      <c r="C546" t="s">
        <v>582</v>
      </c>
      <c r="D546" t="s">
        <v>138</v>
      </c>
      <c r="E546">
        <v>159.99</v>
      </c>
      <c r="F546" t="s">
        <v>5817</v>
      </c>
      <c r="G546">
        <v>19</v>
      </c>
      <c r="I546">
        <v>19</v>
      </c>
      <c r="L546" t="s">
        <v>8</v>
      </c>
      <c r="M546">
        <v>1</v>
      </c>
      <c r="N546">
        <v>19</v>
      </c>
      <c r="O546">
        <v>1.75</v>
      </c>
      <c r="P546">
        <v>19</v>
      </c>
    </row>
    <row r="547" spans="1:16" x14ac:dyDescent="0.2">
      <c r="A547" t="s">
        <v>5602</v>
      </c>
      <c r="B547" t="s">
        <v>5603</v>
      </c>
      <c r="C547" t="s">
        <v>582</v>
      </c>
      <c r="D547" t="s">
        <v>98</v>
      </c>
      <c r="E547">
        <v>79.989999999999995</v>
      </c>
      <c r="F547" t="s">
        <v>5817</v>
      </c>
      <c r="L547" t="s">
        <v>8</v>
      </c>
      <c r="M547">
        <v>0</v>
      </c>
      <c r="N547">
        <v>0</v>
      </c>
      <c r="O547">
        <v>0</v>
      </c>
      <c r="P547">
        <v>0</v>
      </c>
    </row>
    <row r="548" spans="1:16" x14ac:dyDescent="0.2">
      <c r="A548" t="s">
        <v>5608</v>
      </c>
      <c r="B548" t="s">
        <v>5609</v>
      </c>
      <c r="C548" t="s">
        <v>582</v>
      </c>
      <c r="D548" t="s">
        <v>98</v>
      </c>
      <c r="E548">
        <v>59.99</v>
      </c>
      <c r="F548" t="s">
        <v>5817</v>
      </c>
      <c r="L548" t="s">
        <v>8</v>
      </c>
      <c r="M548">
        <v>1</v>
      </c>
      <c r="N548">
        <v>0</v>
      </c>
      <c r="O548">
        <v>0.5</v>
      </c>
      <c r="P548">
        <v>0</v>
      </c>
    </row>
    <row r="549" spans="1:16" x14ac:dyDescent="0.2">
      <c r="A549" t="s">
        <v>722</v>
      </c>
      <c r="B549" t="s">
        <v>723</v>
      </c>
      <c r="C549" t="s">
        <v>582</v>
      </c>
      <c r="D549" t="s">
        <v>105</v>
      </c>
      <c r="E549">
        <v>59.99</v>
      </c>
      <c r="F549" t="s">
        <v>5817</v>
      </c>
      <c r="G549">
        <v>28</v>
      </c>
      <c r="H549" t="s">
        <v>5832</v>
      </c>
      <c r="I549">
        <v>18</v>
      </c>
      <c r="K549">
        <v>40</v>
      </c>
      <c r="L549" t="s">
        <v>8</v>
      </c>
      <c r="N549">
        <v>0</v>
      </c>
      <c r="O549">
        <v>-8.3333333333333329E-2</v>
      </c>
      <c r="P549">
        <v>1</v>
      </c>
    </row>
    <row r="550" spans="1:16" x14ac:dyDescent="0.2">
      <c r="A550" t="s">
        <v>638</v>
      </c>
      <c r="B550" t="s">
        <v>639</v>
      </c>
      <c r="C550" t="s">
        <v>582</v>
      </c>
      <c r="D550" t="s">
        <v>138</v>
      </c>
      <c r="E550">
        <v>199.99</v>
      </c>
      <c r="F550" t="s">
        <v>5817</v>
      </c>
      <c r="G550">
        <v>2</v>
      </c>
      <c r="I550">
        <v>2</v>
      </c>
      <c r="L550" t="s">
        <v>8</v>
      </c>
      <c r="N550">
        <v>0</v>
      </c>
      <c r="O550">
        <v>0.33333333333333331</v>
      </c>
      <c r="P550">
        <v>0</v>
      </c>
    </row>
    <row r="551" spans="1:16" x14ac:dyDescent="0.2">
      <c r="A551" t="s">
        <v>730</v>
      </c>
      <c r="B551" t="s">
        <v>731</v>
      </c>
      <c r="C551" t="s">
        <v>582</v>
      </c>
      <c r="D551" t="s">
        <v>105</v>
      </c>
      <c r="E551">
        <v>59.99</v>
      </c>
      <c r="F551" t="s">
        <v>5817</v>
      </c>
      <c r="G551">
        <v>10</v>
      </c>
      <c r="H551" t="s">
        <v>5832</v>
      </c>
      <c r="J551">
        <v>28</v>
      </c>
      <c r="K551">
        <v>120</v>
      </c>
      <c r="L551" t="s">
        <v>8</v>
      </c>
      <c r="M551">
        <v>3.6666666666666665</v>
      </c>
      <c r="N551">
        <v>18</v>
      </c>
      <c r="O551">
        <v>1.916666666666667</v>
      </c>
      <c r="P551">
        <v>66</v>
      </c>
    </row>
    <row r="552" spans="1:16" x14ac:dyDescent="0.2">
      <c r="A552" t="s">
        <v>762</v>
      </c>
      <c r="B552" t="s">
        <v>763</v>
      </c>
      <c r="C552" t="s">
        <v>582</v>
      </c>
      <c r="D552" t="s">
        <v>98</v>
      </c>
      <c r="E552">
        <v>59.99</v>
      </c>
      <c r="F552" t="s">
        <v>5817</v>
      </c>
      <c r="L552" t="s">
        <v>8</v>
      </c>
      <c r="M552">
        <v>0</v>
      </c>
      <c r="N552">
        <v>0</v>
      </c>
      <c r="O552">
        <v>0</v>
      </c>
      <c r="P552">
        <v>0</v>
      </c>
    </row>
    <row r="553" spans="1:16" x14ac:dyDescent="0.2">
      <c r="A553" t="s">
        <v>704</v>
      </c>
      <c r="B553" t="s">
        <v>705</v>
      </c>
      <c r="C553" t="s">
        <v>582</v>
      </c>
      <c r="D553" t="s">
        <v>105</v>
      </c>
      <c r="E553">
        <v>39.99</v>
      </c>
      <c r="F553" t="s">
        <v>5817</v>
      </c>
      <c r="G553">
        <v>63</v>
      </c>
      <c r="I553">
        <v>63</v>
      </c>
      <c r="K553">
        <v>40</v>
      </c>
      <c r="L553" t="s">
        <v>8</v>
      </c>
      <c r="M553">
        <v>3.5</v>
      </c>
      <c r="N553">
        <v>16.571428571428573</v>
      </c>
      <c r="O553">
        <v>3.8333333333333335</v>
      </c>
      <c r="P553">
        <v>58</v>
      </c>
    </row>
    <row r="554" spans="1:16" x14ac:dyDescent="0.2">
      <c r="A554" t="s">
        <v>760</v>
      </c>
      <c r="B554" t="s">
        <v>761</v>
      </c>
      <c r="C554" t="s">
        <v>582</v>
      </c>
      <c r="D554" t="s">
        <v>105</v>
      </c>
      <c r="E554">
        <v>59.99</v>
      </c>
      <c r="F554" t="s">
        <v>5817</v>
      </c>
      <c r="L554" t="s">
        <v>8</v>
      </c>
      <c r="M554">
        <v>0</v>
      </c>
      <c r="N554">
        <v>0</v>
      </c>
      <c r="O554">
        <v>0</v>
      </c>
      <c r="P554">
        <v>0</v>
      </c>
    </row>
    <row r="555" spans="1:16" x14ac:dyDescent="0.2">
      <c r="A555" t="s">
        <v>5094</v>
      </c>
      <c r="B555" t="s">
        <v>5095</v>
      </c>
      <c r="C555" t="s">
        <v>582</v>
      </c>
      <c r="D555" t="s">
        <v>98</v>
      </c>
      <c r="E555">
        <v>69.989999999999995</v>
      </c>
      <c r="F555" t="s">
        <v>5817</v>
      </c>
      <c r="L555" t="s">
        <v>8</v>
      </c>
      <c r="M555">
        <v>0</v>
      </c>
      <c r="N555">
        <v>0</v>
      </c>
      <c r="O555">
        <v>0</v>
      </c>
      <c r="P555">
        <v>0</v>
      </c>
    </row>
    <row r="556" spans="1:16" x14ac:dyDescent="0.2">
      <c r="A556" t="s">
        <v>601</v>
      </c>
      <c r="B556" t="s">
        <v>602</v>
      </c>
      <c r="C556" t="s">
        <v>582</v>
      </c>
      <c r="D556" t="s">
        <v>105</v>
      </c>
      <c r="E556">
        <v>29.99</v>
      </c>
      <c r="F556" t="s">
        <v>5817</v>
      </c>
      <c r="G556">
        <v>449</v>
      </c>
      <c r="I556">
        <v>449</v>
      </c>
      <c r="L556" t="s">
        <v>8</v>
      </c>
      <c r="M556">
        <v>4.666666666666667</v>
      </c>
      <c r="N556">
        <v>93.642857142857139</v>
      </c>
      <c r="O556">
        <v>5.583333333333333</v>
      </c>
      <c r="P556">
        <v>437</v>
      </c>
    </row>
    <row r="557" spans="1:16" x14ac:dyDescent="0.2">
      <c r="A557" t="s">
        <v>648</v>
      </c>
      <c r="B557" t="s">
        <v>5066</v>
      </c>
      <c r="C557" t="s">
        <v>582</v>
      </c>
      <c r="D557" t="s">
        <v>105</v>
      </c>
      <c r="E557">
        <v>69.989999999999995</v>
      </c>
      <c r="F557" t="s">
        <v>5817</v>
      </c>
      <c r="G557">
        <v>138</v>
      </c>
      <c r="H557" t="s">
        <v>5827</v>
      </c>
      <c r="I557">
        <v>118</v>
      </c>
      <c r="K557">
        <v>40</v>
      </c>
      <c r="L557" t="s">
        <v>8</v>
      </c>
      <c r="M557">
        <v>2.6</v>
      </c>
      <c r="N557">
        <v>25</v>
      </c>
      <c r="O557">
        <v>4.583333333333333</v>
      </c>
      <c r="P557">
        <v>65</v>
      </c>
    </row>
    <row r="558" spans="1:16" x14ac:dyDescent="0.2">
      <c r="A558" t="s">
        <v>716</v>
      </c>
      <c r="B558" t="s">
        <v>717</v>
      </c>
      <c r="C558" t="s">
        <v>582</v>
      </c>
      <c r="D558" t="s">
        <v>105</v>
      </c>
      <c r="E558">
        <v>49.99</v>
      </c>
      <c r="F558" t="s">
        <v>5817</v>
      </c>
      <c r="G558">
        <v>219</v>
      </c>
      <c r="I558">
        <v>219</v>
      </c>
      <c r="K558">
        <v>80</v>
      </c>
      <c r="L558" t="s">
        <v>8</v>
      </c>
      <c r="M558">
        <v>3.75</v>
      </c>
      <c r="N558">
        <v>16.266666666666666</v>
      </c>
      <c r="O558">
        <v>3.25</v>
      </c>
      <c r="P558">
        <v>61</v>
      </c>
    </row>
    <row r="559" spans="1:16" x14ac:dyDescent="0.2">
      <c r="A559" t="s">
        <v>746</v>
      </c>
      <c r="B559" t="s">
        <v>747</v>
      </c>
      <c r="C559" t="s">
        <v>582</v>
      </c>
      <c r="D559" t="s">
        <v>105</v>
      </c>
      <c r="E559">
        <v>29.99</v>
      </c>
      <c r="F559" t="s">
        <v>5817</v>
      </c>
      <c r="G559">
        <v>57</v>
      </c>
      <c r="I559">
        <v>57</v>
      </c>
      <c r="L559" t="s">
        <v>8</v>
      </c>
      <c r="M559">
        <v>1.75</v>
      </c>
      <c r="N559">
        <v>0</v>
      </c>
      <c r="O559">
        <v>0.33333333333333331</v>
      </c>
      <c r="P559">
        <v>0</v>
      </c>
    </row>
    <row r="560" spans="1:16" x14ac:dyDescent="0.2">
      <c r="A560" t="s">
        <v>774</v>
      </c>
      <c r="B560" t="s">
        <v>775</v>
      </c>
      <c r="C560" t="s">
        <v>582</v>
      </c>
      <c r="D560" t="s">
        <v>105</v>
      </c>
      <c r="E560">
        <v>99.99</v>
      </c>
      <c r="F560" t="s">
        <v>5817</v>
      </c>
      <c r="G560">
        <v>44</v>
      </c>
      <c r="I560">
        <v>44</v>
      </c>
      <c r="L560" t="s">
        <v>8</v>
      </c>
      <c r="M560">
        <v>1.4</v>
      </c>
      <c r="N560">
        <v>35.714285714285715</v>
      </c>
      <c r="O560">
        <v>0.16666666666666666</v>
      </c>
      <c r="P560">
        <v>50</v>
      </c>
    </row>
    <row r="561" spans="1:16" x14ac:dyDescent="0.2">
      <c r="A561" t="s">
        <v>736</v>
      </c>
      <c r="B561" t="s">
        <v>737</v>
      </c>
      <c r="C561" t="s">
        <v>582</v>
      </c>
      <c r="D561" t="s">
        <v>105</v>
      </c>
      <c r="E561">
        <v>29.99</v>
      </c>
      <c r="F561" t="s">
        <v>5817</v>
      </c>
      <c r="G561">
        <v>43</v>
      </c>
      <c r="H561" t="s">
        <v>5827</v>
      </c>
      <c r="I561">
        <v>23</v>
      </c>
      <c r="K561">
        <v>1000</v>
      </c>
      <c r="L561" t="s">
        <v>8</v>
      </c>
      <c r="M561">
        <v>2.5</v>
      </c>
      <c r="N561">
        <v>17.600000000000001</v>
      </c>
      <c r="O561">
        <v>1.75</v>
      </c>
      <c r="P561">
        <v>44</v>
      </c>
    </row>
    <row r="562" spans="1:16" x14ac:dyDescent="0.2">
      <c r="A562" t="s">
        <v>5298</v>
      </c>
      <c r="B562" t="s">
        <v>5299</v>
      </c>
      <c r="C562" t="s">
        <v>582</v>
      </c>
      <c r="D562" t="s">
        <v>98</v>
      </c>
      <c r="E562">
        <v>39.99</v>
      </c>
      <c r="F562" t="s">
        <v>5817</v>
      </c>
      <c r="L562" t="s">
        <v>8</v>
      </c>
      <c r="N562">
        <v>0</v>
      </c>
      <c r="O562">
        <v>8.3333333333333329E-2</v>
      </c>
      <c r="P562">
        <v>0</v>
      </c>
    </row>
    <row r="563" spans="1:16" x14ac:dyDescent="0.2">
      <c r="A563" t="s">
        <v>5300</v>
      </c>
      <c r="B563" t="s">
        <v>5301</v>
      </c>
      <c r="C563" t="s">
        <v>582</v>
      </c>
      <c r="D563" t="s">
        <v>98</v>
      </c>
      <c r="E563">
        <v>19.989999999999998</v>
      </c>
      <c r="F563" t="s">
        <v>5817</v>
      </c>
      <c r="L563" t="s">
        <v>8</v>
      </c>
      <c r="M563">
        <v>0</v>
      </c>
      <c r="N563">
        <v>0</v>
      </c>
      <c r="O563">
        <v>0</v>
      </c>
      <c r="P563">
        <v>0</v>
      </c>
    </row>
    <row r="564" spans="1:16" x14ac:dyDescent="0.2">
      <c r="A564" t="s">
        <v>5296</v>
      </c>
      <c r="B564" t="s">
        <v>5297</v>
      </c>
      <c r="C564" t="s">
        <v>582</v>
      </c>
      <c r="D564" t="s">
        <v>98</v>
      </c>
      <c r="E564">
        <v>24.99</v>
      </c>
      <c r="F564" t="s">
        <v>5817</v>
      </c>
      <c r="L564" t="s">
        <v>8</v>
      </c>
      <c r="M564">
        <v>0</v>
      </c>
      <c r="N564">
        <v>0</v>
      </c>
      <c r="O564">
        <v>0</v>
      </c>
      <c r="P564">
        <v>0</v>
      </c>
    </row>
    <row r="565" spans="1:16" x14ac:dyDescent="0.2">
      <c r="A565" t="s">
        <v>786</v>
      </c>
      <c r="B565" t="s">
        <v>787</v>
      </c>
      <c r="C565" t="s">
        <v>582</v>
      </c>
      <c r="D565" t="s">
        <v>105</v>
      </c>
      <c r="E565">
        <v>44.99</v>
      </c>
      <c r="F565" t="s">
        <v>5817</v>
      </c>
      <c r="G565">
        <v>377</v>
      </c>
      <c r="H565" t="s">
        <v>5830</v>
      </c>
      <c r="I565">
        <v>362</v>
      </c>
      <c r="L565" t="s">
        <v>8</v>
      </c>
      <c r="M565">
        <v>2.6</v>
      </c>
      <c r="N565">
        <v>18.076923076923077</v>
      </c>
      <c r="O565">
        <v>0.5</v>
      </c>
      <c r="P565">
        <v>47</v>
      </c>
    </row>
    <row r="566" spans="1:16" x14ac:dyDescent="0.2">
      <c r="A566" t="s">
        <v>686</v>
      </c>
      <c r="B566" t="s">
        <v>687</v>
      </c>
      <c r="C566" t="s">
        <v>582</v>
      </c>
      <c r="D566" t="s">
        <v>105</v>
      </c>
      <c r="E566">
        <v>59.99</v>
      </c>
      <c r="F566" t="s">
        <v>5817</v>
      </c>
      <c r="G566">
        <v>67</v>
      </c>
      <c r="H566" t="s">
        <v>5827</v>
      </c>
      <c r="I566">
        <v>47</v>
      </c>
      <c r="L566" t="s">
        <v>8</v>
      </c>
      <c r="M566">
        <v>2.5</v>
      </c>
      <c r="N566">
        <v>20.399999999999999</v>
      </c>
      <c r="O566">
        <v>0</v>
      </c>
      <c r="P566">
        <v>51</v>
      </c>
    </row>
    <row r="567" spans="1:16" x14ac:dyDescent="0.2">
      <c r="A567" t="s">
        <v>700</v>
      </c>
      <c r="B567" t="s">
        <v>701</v>
      </c>
      <c r="C567" t="s">
        <v>582</v>
      </c>
      <c r="D567" t="s">
        <v>105</v>
      </c>
      <c r="E567">
        <v>59.99</v>
      </c>
      <c r="F567" t="s">
        <v>5817</v>
      </c>
      <c r="G567">
        <v>89</v>
      </c>
      <c r="H567" t="s">
        <v>5823</v>
      </c>
      <c r="I567">
        <v>88</v>
      </c>
      <c r="L567" t="s">
        <v>8</v>
      </c>
      <c r="M567">
        <v>2.1666666666666665</v>
      </c>
      <c r="N567">
        <v>21.692307692307693</v>
      </c>
      <c r="O567">
        <v>0.91666666666666652</v>
      </c>
      <c r="P567">
        <v>47</v>
      </c>
    </row>
    <row r="568" spans="1:16" x14ac:dyDescent="0.2">
      <c r="A568" t="s">
        <v>650</v>
      </c>
      <c r="B568" t="s">
        <v>651</v>
      </c>
      <c r="C568" t="s">
        <v>582</v>
      </c>
      <c r="D568" t="s">
        <v>105</v>
      </c>
      <c r="E568">
        <v>119.99</v>
      </c>
      <c r="F568" t="s">
        <v>5817</v>
      </c>
      <c r="J568">
        <v>15</v>
      </c>
      <c r="K568">
        <v>120</v>
      </c>
      <c r="L568" t="s">
        <v>8</v>
      </c>
      <c r="M568">
        <v>2.2000000000000002</v>
      </c>
      <c r="N568">
        <v>20.454545454545453</v>
      </c>
      <c r="O568">
        <v>1.25</v>
      </c>
      <c r="P568">
        <v>45</v>
      </c>
    </row>
    <row r="569" spans="1:16" x14ac:dyDescent="0.2">
      <c r="A569" t="s">
        <v>720</v>
      </c>
      <c r="B569" t="s">
        <v>721</v>
      </c>
      <c r="C569" t="s">
        <v>582</v>
      </c>
      <c r="D569" t="s">
        <v>105</v>
      </c>
      <c r="E569">
        <v>69.989999999999995</v>
      </c>
      <c r="F569" t="s">
        <v>5817</v>
      </c>
      <c r="G569">
        <v>58</v>
      </c>
      <c r="I569">
        <v>58</v>
      </c>
      <c r="L569" t="s">
        <v>8</v>
      </c>
      <c r="M569">
        <v>1.3333333333333333</v>
      </c>
      <c r="N569">
        <v>39</v>
      </c>
      <c r="O569">
        <v>0</v>
      </c>
      <c r="P569">
        <v>52</v>
      </c>
    </row>
    <row r="570" spans="1:16" x14ac:dyDescent="0.2">
      <c r="A570" t="s">
        <v>782</v>
      </c>
      <c r="B570" t="s">
        <v>783</v>
      </c>
      <c r="C570" t="s">
        <v>582</v>
      </c>
      <c r="D570" t="s">
        <v>105</v>
      </c>
      <c r="E570">
        <v>19.989999999999998</v>
      </c>
      <c r="F570" t="s">
        <v>5817</v>
      </c>
      <c r="G570">
        <v>707</v>
      </c>
      <c r="I570">
        <v>707</v>
      </c>
      <c r="L570" t="s">
        <v>8</v>
      </c>
      <c r="M570">
        <v>3</v>
      </c>
      <c r="N570">
        <v>14.666666666666666</v>
      </c>
      <c r="O570">
        <v>0.33333333333333348</v>
      </c>
      <c r="P570">
        <v>44</v>
      </c>
    </row>
    <row r="571" spans="1:16" x14ac:dyDescent="0.2">
      <c r="A571" t="s">
        <v>30</v>
      </c>
      <c r="B571" t="s">
        <v>802</v>
      </c>
      <c r="C571" t="s">
        <v>582</v>
      </c>
      <c r="D571" t="s">
        <v>105</v>
      </c>
      <c r="E571">
        <v>19.989999999999998</v>
      </c>
      <c r="F571" t="s">
        <v>5817</v>
      </c>
      <c r="G571">
        <v>766</v>
      </c>
      <c r="H571" t="s">
        <v>5827</v>
      </c>
      <c r="I571">
        <v>746</v>
      </c>
      <c r="K571">
        <v>120</v>
      </c>
      <c r="L571" t="s">
        <v>8</v>
      </c>
      <c r="M571">
        <v>5</v>
      </c>
      <c r="N571">
        <v>7.8</v>
      </c>
      <c r="O571">
        <v>0.75</v>
      </c>
      <c r="P571">
        <v>39</v>
      </c>
    </row>
    <row r="572" spans="1:16" x14ac:dyDescent="0.2">
      <c r="A572" t="s">
        <v>788</v>
      </c>
      <c r="B572" t="s">
        <v>5828</v>
      </c>
      <c r="C572" t="s">
        <v>582</v>
      </c>
      <c r="D572" t="s">
        <v>105</v>
      </c>
      <c r="E572">
        <v>39.99</v>
      </c>
      <c r="F572" t="s">
        <v>5817</v>
      </c>
      <c r="G572">
        <v>101</v>
      </c>
      <c r="H572" t="s">
        <v>5829</v>
      </c>
      <c r="I572">
        <v>76</v>
      </c>
      <c r="K572">
        <v>120</v>
      </c>
      <c r="L572" t="s">
        <v>8</v>
      </c>
      <c r="M572">
        <v>1.4</v>
      </c>
      <c r="N572">
        <v>37.142857142857146</v>
      </c>
      <c r="O572">
        <v>0.66666666666666674</v>
      </c>
      <c r="P572">
        <v>52</v>
      </c>
    </row>
    <row r="573" spans="1:16" x14ac:dyDescent="0.2">
      <c r="A573" t="s">
        <v>5292</v>
      </c>
      <c r="B573" t="s">
        <v>5293</v>
      </c>
      <c r="C573" t="s">
        <v>582</v>
      </c>
      <c r="D573" t="s">
        <v>98</v>
      </c>
      <c r="E573">
        <v>69.989999999999995</v>
      </c>
      <c r="F573" t="s">
        <v>5817</v>
      </c>
      <c r="L573" t="s">
        <v>8</v>
      </c>
      <c r="N573">
        <v>0</v>
      </c>
      <c r="O573">
        <v>0</v>
      </c>
      <c r="P573">
        <v>0</v>
      </c>
    </row>
    <row r="574" spans="1:16" x14ac:dyDescent="0.2">
      <c r="A574" t="s">
        <v>5728</v>
      </c>
      <c r="B574" t="s">
        <v>5729</v>
      </c>
      <c r="C574" t="s">
        <v>582</v>
      </c>
      <c r="D574" t="s">
        <v>98</v>
      </c>
      <c r="E574">
        <v>29.99</v>
      </c>
      <c r="F574" t="s">
        <v>5817</v>
      </c>
      <c r="L574" t="s">
        <v>8</v>
      </c>
      <c r="M574">
        <v>0</v>
      </c>
      <c r="N574">
        <v>0</v>
      </c>
      <c r="O574">
        <v>0</v>
      </c>
      <c r="P574">
        <v>0</v>
      </c>
    </row>
    <row r="575" spans="1:16" x14ac:dyDescent="0.2">
      <c r="A575" t="s">
        <v>726</v>
      </c>
      <c r="B575" t="s">
        <v>727</v>
      </c>
      <c r="C575" t="s">
        <v>582</v>
      </c>
      <c r="D575" t="s">
        <v>105</v>
      </c>
      <c r="E575">
        <v>149.99</v>
      </c>
      <c r="F575" t="s">
        <v>5817</v>
      </c>
      <c r="G575">
        <v>144</v>
      </c>
      <c r="I575">
        <v>144</v>
      </c>
      <c r="L575" t="s">
        <v>8</v>
      </c>
      <c r="M575">
        <v>1.2</v>
      </c>
      <c r="N575">
        <v>41.666666666666671</v>
      </c>
      <c r="O575">
        <v>0.58333333333333326</v>
      </c>
      <c r="P575">
        <v>50</v>
      </c>
    </row>
    <row r="576" spans="1:16" x14ac:dyDescent="0.2">
      <c r="A576" t="s">
        <v>702</v>
      </c>
      <c r="B576" t="s">
        <v>703</v>
      </c>
      <c r="C576" t="s">
        <v>582</v>
      </c>
      <c r="D576" t="s">
        <v>105</v>
      </c>
      <c r="E576">
        <v>179.99</v>
      </c>
      <c r="F576" t="s">
        <v>5817</v>
      </c>
      <c r="G576">
        <v>42</v>
      </c>
      <c r="H576" t="s">
        <v>5827</v>
      </c>
      <c r="I576">
        <v>22</v>
      </c>
      <c r="L576" t="s">
        <v>8</v>
      </c>
      <c r="M576">
        <v>1</v>
      </c>
      <c r="N576">
        <v>51</v>
      </c>
      <c r="O576">
        <v>0.5</v>
      </c>
      <c r="P576">
        <v>51</v>
      </c>
    </row>
    <row r="577" spans="1:16" x14ac:dyDescent="0.2">
      <c r="A577" t="s">
        <v>5722</v>
      </c>
      <c r="B577" t="s">
        <v>5723</v>
      </c>
      <c r="C577" t="s">
        <v>582</v>
      </c>
      <c r="D577" t="s">
        <v>98</v>
      </c>
      <c r="E577">
        <v>129.99</v>
      </c>
      <c r="F577" t="s">
        <v>5817</v>
      </c>
      <c r="L577" t="s">
        <v>8</v>
      </c>
      <c r="M577">
        <v>0</v>
      </c>
      <c r="N577">
        <v>0</v>
      </c>
      <c r="O577">
        <v>0</v>
      </c>
      <c r="P577">
        <v>0</v>
      </c>
    </row>
    <row r="578" spans="1:16" x14ac:dyDescent="0.2">
      <c r="A578" t="s">
        <v>5272</v>
      </c>
      <c r="B578" t="s">
        <v>5273</v>
      </c>
      <c r="C578" t="s">
        <v>582</v>
      </c>
      <c r="D578" t="s">
        <v>98</v>
      </c>
      <c r="E578">
        <v>189.99</v>
      </c>
      <c r="F578" t="s">
        <v>5817</v>
      </c>
      <c r="L578" t="s">
        <v>8</v>
      </c>
      <c r="M578">
        <v>0</v>
      </c>
      <c r="N578">
        <v>0</v>
      </c>
      <c r="O578">
        <v>0</v>
      </c>
      <c r="P578">
        <v>0</v>
      </c>
    </row>
    <row r="579" spans="1:16" x14ac:dyDescent="0.2">
      <c r="A579" t="s">
        <v>5280</v>
      </c>
      <c r="B579" t="s">
        <v>5281</v>
      </c>
      <c r="C579" t="s">
        <v>582</v>
      </c>
      <c r="D579" t="s">
        <v>98</v>
      </c>
      <c r="E579">
        <v>179.99</v>
      </c>
      <c r="F579" t="s">
        <v>5817</v>
      </c>
      <c r="L579" t="s">
        <v>8</v>
      </c>
      <c r="M579">
        <v>0</v>
      </c>
      <c r="N579">
        <v>0</v>
      </c>
      <c r="O579">
        <v>0</v>
      </c>
      <c r="P579">
        <v>0</v>
      </c>
    </row>
    <row r="580" spans="1:16" x14ac:dyDescent="0.2">
      <c r="A580" t="s">
        <v>5268</v>
      </c>
      <c r="B580" t="s">
        <v>5269</v>
      </c>
      <c r="C580" t="s">
        <v>582</v>
      </c>
      <c r="D580" t="s">
        <v>98</v>
      </c>
      <c r="E580">
        <v>39.99</v>
      </c>
      <c r="F580" t="s">
        <v>5817</v>
      </c>
      <c r="L580" t="s">
        <v>8</v>
      </c>
      <c r="M580">
        <v>0</v>
      </c>
      <c r="N580">
        <v>0</v>
      </c>
      <c r="O580">
        <v>0</v>
      </c>
      <c r="P580">
        <v>0</v>
      </c>
    </row>
    <row r="581" spans="1:16" x14ac:dyDescent="0.2">
      <c r="A581" t="s">
        <v>5700</v>
      </c>
      <c r="B581" t="s">
        <v>5701</v>
      </c>
      <c r="C581" t="s">
        <v>582</v>
      </c>
      <c r="D581" t="s">
        <v>98</v>
      </c>
      <c r="E581">
        <v>59.99</v>
      </c>
      <c r="F581" t="s">
        <v>5817</v>
      </c>
      <c r="L581" t="s">
        <v>8</v>
      </c>
      <c r="M581">
        <v>0</v>
      </c>
      <c r="N581">
        <v>0</v>
      </c>
      <c r="O581">
        <v>0</v>
      </c>
      <c r="P581">
        <v>0</v>
      </c>
    </row>
    <row r="582" spans="1:16" x14ac:dyDescent="0.2">
      <c r="A582" t="s">
        <v>5264</v>
      </c>
      <c r="B582" t="s">
        <v>5265</v>
      </c>
      <c r="C582" t="s">
        <v>582</v>
      </c>
      <c r="D582" t="s">
        <v>98</v>
      </c>
      <c r="E582">
        <v>59.99</v>
      </c>
      <c r="F582" t="s">
        <v>5817</v>
      </c>
      <c r="L582" t="s">
        <v>8</v>
      </c>
      <c r="M582">
        <v>0</v>
      </c>
      <c r="N582">
        <v>0</v>
      </c>
      <c r="O582">
        <v>0</v>
      </c>
      <c r="P582">
        <v>0</v>
      </c>
    </row>
    <row r="583" spans="1:16" x14ac:dyDescent="0.2">
      <c r="A583" t="s">
        <v>5724</v>
      </c>
      <c r="B583" t="s">
        <v>5725</v>
      </c>
      <c r="C583" t="s">
        <v>582</v>
      </c>
      <c r="D583" t="s">
        <v>98</v>
      </c>
      <c r="E583">
        <v>49.99</v>
      </c>
      <c r="F583" t="s">
        <v>5817</v>
      </c>
      <c r="L583" t="s">
        <v>8</v>
      </c>
      <c r="M583">
        <v>0</v>
      </c>
      <c r="N583">
        <v>0</v>
      </c>
      <c r="O583">
        <v>0</v>
      </c>
      <c r="P583">
        <v>0</v>
      </c>
    </row>
    <row r="584" spans="1:16" x14ac:dyDescent="0.2">
      <c r="A584" t="s">
        <v>5726</v>
      </c>
      <c r="B584" t="s">
        <v>5727</v>
      </c>
      <c r="C584" t="s">
        <v>582</v>
      </c>
      <c r="D584" t="s">
        <v>98</v>
      </c>
      <c r="E584">
        <v>19.989999999999998</v>
      </c>
      <c r="F584" t="s">
        <v>5817</v>
      </c>
      <c r="L584" t="s">
        <v>8</v>
      </c>
      <c r="M584">
        <v>0</v>
      </c>
      <c r="N584">
        <v>0</v>
      </c>
      <c r="O584">
        <v>0</v>
      </c>
      <c r="P584">
        <v>0</v>
      </c>
    </row>
    <row r="585" spans="1:16" x14ac:dyDescent="0.2">
      <c r="A585" t="s">
        <v>5305</v>
      </c>
      <c r="B585" t="s">
        <v>5306</v>
      </c>
      <c r="C585" t="s">
        <v>582</v>
      </c>
      <c r="D585" t="s">
        <v>98</v>
      </c>
      <c r="E585">
        <v>24.99</v>
      </c>
      <c r="F585" t="s">
        <v>5817</v>
      </c>
      <c r="L585" t="s">
        <v>8</v>
      </c>
      <c r="M585">
        <v>0</v>
      </c>
      <c r="N585">
        <v>0</v>
      </c>
      <c r="O585">
        <v>0</v>
      </c>
      <c r="P585">
        <v>0</v>
      </c>
    </row>
    <row r="586" spans="1:16" x14ac:dyDescent="0.2">
      <c r="A586" t="s">
        <v>5307</v>
      </c>
      <c r="B586" t="s">
        <v>5308</v>
      </c>
      <c r="C586" t="s">
        <v>582</v>
      </c>
      <c r="D586" t="s">
        <v>98</v>
      </c>
      <c r="E586">
        <v>29.99</v>
      </c>
      <c r="F586" t="s">
        <v>5817</v>
      </c>
      <c r="L586" t="s">
        <v>8</v>
      </c>
      <c r="M586">
        <v>0</v>
      </c>
      <c r="N586">
        <v>0</v>
      </c>
      <c r="O586">
        <v>0</v>
      </c>
      <c r="P586">
        <v>0</v>
      </c>
    </row>
    <row r="587" spans="1:16" x14ac:dyDescent="0.2">
      <c r="A587" t="s">
        <v>5311</v>
      </c>
      <c r="B587" t="s">
        <v>5312</v>
      </c>
      <c r="C587" t="s">
        <v>582</v>
      </c>
      <c r="D587" t="s">
        <v>98</v>
      </c>
      <c r="E587">
        <v>29.99</v>
      </c>
      <c r="F587" t="s">
        <v>5817</v>
      </c>
      <c r="L587" t="s">
        <v>8</v>
      </c>
      <c r="M587">
        <v>0</v>
      </c>
      <c r="N587">
        <v>0</v>
      </c>
      <c r="O587">
        <v>0</v>
      </c>
      <c r="P587">
        <v>0</v>
      </c>
    </row>
    <row r="588" spans="1:16" x14ac:dyDescent="0.2">
      <c r="A588" t="s">
        <v>5164</v>
      </c>
      <c r="B588" t="s">
        <v>875</v>
      </c>
      <c r="C588" t="s">
        <v>874</v>
      </c>
      <c r="D588" t="s">
        <v>98</v>
      </c>
      <c r="E588">
        <v>79.989999999999995</v>
      </c>
      <c r="F588" t="s">
        <v>5817</v>
      </c>
      <c r="L588" t="s">
        <v>73</v>
      </c>
      <c r="M588">
        <v>0</v>
      </c>
      <c r="N588">
        <v>0</v>
      </c>
      <c r="O588">
        <v>0</v>
      </c>
      <c r="P588">
        <v>0</v>
      </c>
    </row>
    <row r="589" spans="1:16" x14ac:dyDescent="0.2">
      <c r="A589" t="s">
        <v>5136</v>
      </c>
      <c r="B589" t="s">
        <v>5137</v>
      </c>
      <c r="C589" t="s">
        <v>874</v>
      </c>
      <c r="D589" t="s">
        <v>98</v>
      </c>
      <c r="E589">
        <v>59.99</v>
      </c>
      <c r="F589" t="s">
        <v>5817</v>
      </c>
      <c r="L589" t="s">
        <v>73</v>
      </c>
      <c r="M589">
        <v>0</v>
      </c>
      <c r="N589">
        <v>0</v>
      </c>
      <c r="O589">
        <v>0</v>
      </c>
      <c r="P589">
        <v>0</v>
      </c>
    </row>
    <row r="590" spans="1:16" x14ac:dyDescent="0.2">
      <c r="A590" t="s">
        <v>5148</v>
      </c>
      <c r="B590" t="s">
        <v>5149</v>
      </c>
      <c r="C590" t="s">
        <v>874</v>
      </c>
      <c r="D590" t="s">
        <v>98</v>
      </c>
      <c r="E590">
        <v>39.99</v>
      </c>
      <c r="F590" t="s">
        <v>5817</v>
      </c>
      <c r="L590" t="s">
        <v>73</v>
      </c>
      <c r="M590">
        <v>0</v>
      </c>
      <c r="N590">
        <v>0</v>
      </c>
      <c r="O590">
        <v>0</v>
      </c>
      <c r="P590">
        <v>0</v>
      </c>
    </row>
    <row r="591" spans="1:16" x14ac:dyDescent="0.2">
      <c r="A591" t="s">
        <v>5323</v>
      </c>
      <c r="B591" t="s">
        <v>5324</v>
      </c>
      <c r="C591" t="s">
        <v>874</v>
      </c>
      <c r="D591" t="s">
        <v>98</v>
      </c>
      <c r="E591">
        <v>79.989999999999995</v>
      </c>
      <c r="F591" t="s">
        <v>5817</v>
      </c>
      <c r="L591" t="s">
        <v>73</v>
      </c>
      <c r="M591">
        <v>0</v>
      </c>
      <c r="N591">
        <v>0</v>
      </c>
      <c r="O591">
        <v>0</v>
      </c>
      <c r="P591">
        <v>0</v>
      </c>
    </row>
    <row r="592" spans="1:16" x14ac:dyDescent="0.2">
      <c r="A592" t="s">
        <v>5313</v>
      </c>
      <c r="B592" t="s">
        <v>5314</v>
      </c>
      <c r="C592" t="s">
        <v>874</v>
      </c>
      <c r="D592" t="s">
        <v>98</v>
      </c>
      <c r="E592">
        <v>39.99</v>
      </c>
      <c r="F592" t="s">
        <v>5817</v>
      </c>
      <c r="L592" t="s">
        <v>73</v>
      </c>
      <c r="M592">
        <v>0</v>
      </c>
      <c r="N592">
        <v>0</v>
      </c>
      <c r="O592">
        <v>0</v>
      </c>
      <c r="P592">
        <v>0</v>
      </c>
    </row>
    <row r="593" spans="1:16" x14ac:dyDescent="0.2">
      <c r="A593" t="s">
        <v>5337</v>
      </c>
      <c r="B593" t="s">
        <v>5338</v>
      </c>
      <c r="C593" t="s">
        <v>874</v>
      </c>
      <c r="D593" t="s">
        <v>98</v>
      </c>
      <c r="E593">
        <v>119.99</v>
      </c>
      <c r="F593" t="s">
        <v>5817</v>
      </c>
      <c r="L593" t="s">
        <v>73</v>
      </c>
      <c r="M593">
        <v>0</v>
      </c>
      <c r="N593">
        <v>0</v>
      </c>
      <c r="O593">
        <v>0</v>
      </c>
      <c r="P593">
        <v>0</v>
      </c>
    </row>
    <row r="594" spans="1:16" x14ac:dyDescent="0.2">
      <c r="A594" t="s">
        <v>5183</v>
      </c>
      <c r="B594" t="s">
        <v>5184</v>
      </c>
      <c r="C594" t="s">
        <v>874</v>
      </c>
      <c r="D594" t="s">
        <v>98</v>
      </c>
      <c r="E594">
        <v>29.99</v>
      </c>
      <c r="F594" t="s">
        <v>5817</v>
      </c>
      <c r="L594" t="s">
        <v>73</v>
      </c>
      <c r="M594">
        <v>0</v>
      </c>
      <c r="N594">
        <v>0</v>
      </c>
      <c r="O594">
        <v>0</v>
      </c>
      <c r="P594">
        <v>0</v>
      </c>
    </row>
    <row r="595" spans="1:16" x14ac:dyDescent="0.2">
      <c r="A595" t="s">
        <v>5197</v>
      </c>
      <c r="B595" t="s">
        <v>5198</v>
      </c>
      <c r="C595" t="s">
        <v>874</v>
      </c>
      <c r="D595" t="s">
        <v>98</v>
      </c>
      <c r="E595">
        <v>29.99</v>
      </c>
      <c r="F595" t="s">
        <v>5817</v>
      </c>
      <c r="L595" t="s">
        <v>73</v>
      </c>
      <c r="M595">
        <v>0</v>
      </c>
      <c r="N595">
        <v>0</v>
      </c>
      <c r="O595">
        <v>0</v>
      </c>
      <c r="P595">
        <v>0</v>
      </c>
    </row>
    <row r="596" spans="1:16" x14ac:dyDescent="0.2">
      <c r="A596" t="s">
        <v>5187</v>
      </c>
      <c r="B596" t="s">
        <v>5188</v>
      </c>
      <c r="C596" t="s">
        <v>874</v>
      </c>
      <c r="D596" t="s">
        <v>98</v>
      </c>
      <c r="E596">
        <v>19.989999999999998</v>
      </c>
      <c r="F596" t="s">
        <v>5817</v>
      </c>
      <c r="L596" t="s">
        <v>73</v>
      </c>
      <c r="M596">
        <v>0</v>
      </c>
      <c r="N596">
        <v>0</v>
      </c>
      <c r="O596">
        <v>0</v>
      </c>
      <c r="P596">
        <v>0</v>
      </c>
    </row>
    <row r="597" spans="1:16" x14ac:dyDescent="0.2">
      <c r="A597" t="s">
        <v>5185</v>
      </c>
      <c r="B597" t="s">
        <v>5186</v>
      </c>
      <c r="C597" t="s">
        <v>874</v>
      </c>
      <c r="D597" t="s">
        <v>98</v>
      </c>
      <c r="E597">
        <v>59.99</v>
      </c>
      <c r="F597" t="s">
        <v>5817</v>
      </c>
      <c r="L597" t="s">
        <v>73</v>
      </c>
      <c r="M597">
        <v>0</v>
      </c>
      <c r="N597">
        <v>0</v>
      </c>
      <c r="O597">
        <v>0</v>
      </c>
      <c r="P597">
        <v>0</v>
      </c>
    </row>
    <row r="598" spans="1:16" x14ac:dyDescent="0.2">
      <c r="A598" t="s">
        <v>5365</v>
      </c>
      <c r="B598" t="s">
        <v>5366</v>
      </c>
      <c r="C598" t="s">
        <v>874</v>
      </c>
      <c r="D598" t="s">
        <v>98</v>
      </c>
      <c r="E598">
        <v>79.989999999999995</v>
      </c>
      <c r="F598" t="s">
        <v>5817</v>
      </c>
      <c r="L598" t="s">
        <v>73</v>
      </c>
      <c r="M598">
        <v>0</v>
      </c>
      <c r="N598">
        <v>0</v>
      </c>
      <c r="O598">
        <v>0</v>
      </c>
      <c r="P598">
        <v>0</v>
      </c>
    </row>
    <row r="599" spans="1:16" x14ac:dyDescent="0.2">
      <c r="A599" t="s">
        <v>5288</v>
      </c>
      <c r="B599" t="s">
        <v>5289</v>
      </c>
      <c r="C599" t="s">
        <v>874</v>
      </c>
      <c r="D599" t="s">
        <v>98</v>
      </c>
      <c r="E599">
        <v>39.99</v>
      </c>
      <c r="F599" t="s">
        <v>5817</v>
      </c>
      <c r="L599" t="s">
        <v>73</v>
      </c>
      <c r="M599">
        <v>0</v>
      </c>
      <c r="N599">
        <v>0</v>
      </c>
      <c r="O599">
        <v>0</v>
      </c>
      <c r="P599">
        <v>0</v>
      </c>
    </row>
    <row r="600" spans="1:16" x14ac:dyDescent="0.2">
      <c r="A600" t="s">
        <v>5355</v>
      </c>
      <c r="B600" t="s">
        <v>5356</v>
      </c>
      <c r="C600" t="s">
        <v>874</v>
      </c>
      <c r="D600" t="s">
        <v>98</v>
      </c>
      <c r="E600">
        <v>19.989999999999998</v>
      </c>
      <c r="F600" t="s">
        <v>5817</v>
      </c>
      <c r="L600" t="s">
        <v>73</v>
      </c>
      <c r="M600">
        <v>0</v>
      </c>
      <c r="N600">
        <v>0</v>
      </c>
      <c r="O600">
        <v>0</v>
      </c>
      <c r="P600">
        <v>0</v>
      </c>
    </row>
    <row r="601" spans="1:16" x14ac:dyDescent="0.2">
      <c r="A601" t="s">
        <v>5378</v>
      </c>
      <c r="B601" t="s">
        <v>5379</v>
      </c>
      <c r="C601" t="s">
        <v>874</v>
      </c>
      <c r="D601" t="s">
        <v>98</v>
      </c>
      <c r="E601">
        <v>69.989999999999995</v>
      </c>
      <c r="F601" t="s">
        <v>5817</v>
      </c>
      <c r="L601" t="s">
        <v>73</v>
      </c>
      <c r="M601">
        <v>0</v>
      </c>
      <c r="N601">
        <v>0</v>
      </c>
      <c r="O601">
        <v>0</v>
      </c>
      <c r="P601">
        <v>0</v>
      </c>
    </row>
    <row r="602" spans="1:16" x14ac:dyDescent="0.2">
      <c r="A602" t="s">
        <v>5187</v>
      </c>
      <c r="B602" t="s">
        <v>5188</v>
      </c>
      <c r="C602" t="s">
        <v>874</v>
      </c>
      <c r="D602" t="s">
        <v>98</v>
      </c>
      <c r="E602">
        <v>19.989999999999998</v>
      </c>
      <c r="F602" t="s">
        <v>5817</v>
      </c>
      <c r="L602" t="s">
        <v>5818</v>
      </c>
      <c r="M602">
        <v>0</v>
      </c>
      <c r="N602">
        <v>0</v>
      </c>
      <c r="O602">
        <v>0</v>
      </c>
      <c r="P602" t="s">
        <v>5819</v>
      </c>
    </row>
    <row r="603" spans="1:16" x14ac:dyDescent="0.2">
      <c r="A603" t="s">
        <v>5164</v>
      </c>
      <c r="B603" t="s">
        <v>875</v>
      </c>
      <c r="C603" t="s">
        <v>874</v>
      </c>
      <c r="D603" t="s">
        <v>98</v>
      </c>
      <c r="E603">
        <v>79.989999999999995</v>
      </c>
      <c r="F603" t="s">
        <v>5817</v>
      </c>
      <c r="L603" t="s">
        <v>5818</v>
      </c>
      <c r="M603">
        <v>0</v>
      </c>
      <c r="N603">
        <v>0</v>
      </c>
      <c r="O603">
        <v>0</v>
      </c>
      <c r="P603" t="s">
        <v>5819</v>
      </c>
    </row>
    <row r="604" spans="1:16" x14ac:dyDescent="0.2">
      <c r="A604" t="s">
        <v>5288</v>
      </c>
      <c r="B604" t="s">
        <v>5289</v>
      </c>
      <c r="C604" t="s">
        <v>874</v>
      </c>
      <c r="D604" t="s">
        <v>98</v>
      </c>
      <c r="E604">
        <v>39.99</v>
      </c>
      <c r="F604" t="s">
        <v>5817</v>
      </c>
      <c r="L604" t="s">
        <v>5818</v>
      </c>
      <c r="M604">
        <v>0</v>
      </c>
      <c r="N604">
        <v>0</v>
      </c>
      <c r="O604">
        <v>0</v>
      </c>
      <c r="P604" t="s">
        <v>5819</v>
      </c>
    </row>
    <row r="605" spans="1:16" x14ac:dyDescent="0.2">
      <c r="A605" t="s">
        <v>5355</v>
      </c>
      <c r="B605" t="s">
        <v>5356</v>
      </c>
      <c r="C605" t="s">
        <v>874</v>
      </c>
      <c r="D605" t="s">
        <v>98</v>
      </c>
      <c r="E605">
        <v>19.989999999999998</v>
      </c>
      <c r="F605" t="s">
        <v>5817</v>
      </c>
      <c r="L605" t="s">
        <v>5818</v>
      </c>
      <c r="M605">
        <v>0</v>
      </c>
      <c r="N605">
        <v>0</v>
      </c>
      <c r="O605">
        <v>0</v>
      </c>
      <c r="P605" t="s">
        <v>5819</v>
      </c>
    </row>
    <row r="606" spans="1:16" x14ac:dyDescent="0.2">
      <c r="A606" t="s">
        <v>5378</v>
      </c>
      <c r="B606" t="s">
        <v>5379</v>
      </c>
      <c r="C606" t="s">
        <v>874</v>
      </c>
      <c r="D606" t="s">
        <v>98</v>
      </c>
      <c r="E606">
        <v>69.989999999999995</v>
      </c>
      <c r="F606" t="s">
        <v>5817</v>
      </c>
      <c r="L606" t="s">
        <v>5818</v>
      </c>
      <c r="M606">
        <v>0</v>
      </c>
      <c r="N606">
        <v>0</v>
      </c>
      <c r="O606">
        <v>0</v>
      </c>
      <c r="P606" t="s">
        <v>5819</v>
      </c>
    </row>
    <row r="607" spans="1:16" x14ac:dyDescent="0.2">
      <c r="A607" t="s">
        <v>5365</v>
      </c>
      <c r="B607" t="s">
        <v>5366</v>
      </c>
      <c r="C607" t="s">
        <v>874</v>
      </c>
      <c r="D607" t="s">
        <v>98</v>
      </c>
      <c r="E607">
        <v>79.989999999999995</v>
      </c>
      <c r="F607" t="s">
        <v>5817</v>
      </c>
      <c r="L607" t="s">
        <v>5818</v>
      </c>
      <c r="M607">
        <v>0</v>
      </c>
      <c r="N607">
        <v>0</v>
      </c>
      <c r="O607">
        <v>0</v>
      </c>
      <c r="P607" t="s">
        <v>5819</v>
      </c>
    </row>
    <row r="608" spans="1:16" x14ac:dyDescent="0.2">
      <c r="A608" t="s">
        <v>5323</v>
      </c>
      <c r="B608" t="s">
        <v>5324</v>
      </c>
      <c r="C608" t="s">
        <v>874</v>
      </c>
      <c r="D608" t="s">
        <v>98</v>
      </c>
      <c r="E608">
        <v>79.989999999999995</v>
      </c>
      <c r="F608" t="s">
        <v>5817</v>
      </c>
      <c r="L608" t="s">
        <v>5818</v>
      </c>
      <c r="M608">
        <v>0</v>
      </c>
      <c r="N608">
        <v>0</v>
      </c>
      <c r="O608">
        <v>0</v>
      </c>
      <c r="P608" t="s">
        <v>5819</v>
      </c>
    </row>
    <row r="609" spans="1:16" x14ac:dyDescent="0.2">
      <c r="A609" t="s">
        <v>5313</v>
      </c>
      <c r="B609" t="s">
        <v>5314</v>
      </c>
      <c r="C609" t="s">
        <v>874</v>
      </c>
      <c r="D609" t="s">
        <v>98</v>
      </c>
      <c r="E609">
        <v>39.99</v>
      </c>
      <c r="F609" t="s">
        <v>5817</v>
      </c>
      <c r="L609" t="s">
        <v>5818</v>
      </c>
      <c r="M609">
        <v>0</v>
      </c>
      <c r="N609">
        <v>0</v>
      </c>
      <c r="O609">
        <v>0</v>
      </c>
      <c r="P609" t="s">
        <v>5819</v>
      </c>
    </row>
    <row r="610" spans="1:16" x14ac:dyDescent="0.2">
      <c r="A610" t="s">
        <v>5337</v>
      </c>
      <c r="B610" t="s">
        <v>5338</v>
      </c>
      <c r="C610" t="s">
        <v>874</v>
      </c>
      <c r="D610" t="s">
        <v>98</v>
      </c>
      <c r="E610">
        <v>119.99</v>
      </c>
      <c r="F610" t="s">
        <v>5817</v>
      </c>
      <c r="L610" t="s">
        <v>5818</v>
      </c>
      <c r="M610">
        <v>0</v>
      </c>
      <c r="N610">
        <v>0</v>
      </c>
      <c r="O610">
        <v>0</v>
      </c>
      <c r="P610" t="s">
        <v>5819</v>
      </c>
    </row>
    <row r="611" spans="1:16" x14ac:dyDescent="0.2">
      <c r="A611" t="s">
        <v>5185</v>
      </c>
      <c r="B611" t="s">
        <v>5186</v>
      </c>
      <c r="C611" t="s">
        <v>874</v>
      </c>
      <c r="D611" t="s">
        <v>98</v>
      </c>
      <c r="E611">
        <v>59.99</v>
      </c>
      <c r="F611" t="s">
        <v>5817</v>
      </c>
      <c r="L611" t="s">
        <v>5818</v>
      </c>
      <c r="M611">
        <v>0</v>
      </c>
      <c r="N611">
        <v>0</v>
      </c>
      <c r="P611">
        <v>1</v>
      </c>
    </row>
    <row r="612" spans="1:16" x14ac:dyDescent="0.2">
      <c r="A612" t="s">
        <v>5183</v>
      </c>
      <c r="B612" t="s">
        <v>5184</v>
      </c>
      <c r="C612" t="s">
        <v>874</v>
      </c>
      <c r="D612" t="s">
        <v>98</v>
      </c>
      <c r="E612">
        <v>29.99</v>
      </c>
      <c r="F612" t="s">
        <v>5817</v>
      </c>
      <c r="L612" t="s">
        <v>5818</v>
      </c>
      <c r="M612">
        <v>0</v>
      </c>
      <c r="N612">
        <v>0</v>
      </c>
      <c r="O612">
        <v>0</v>
      </c>
      <c r="P612" t="s">
        <v>5819</v>
      </c>
    </row>
    <row r="613" spans="1:16" x14ac:dyDescent="0.2">
      <c r="A613" t="s">
        <v>5197</v>
      </c>
      <c r="B613" t="s">
        <v>5198</v>
      </c>
      <c r="C613" t="s">
        <v>874</v>
      </c>
      <c r="D613" t="s">
        <v>98</v>
      </c>
      <c r="E613">
        <v>29.99</v>
      </c>
      <c r="F613" t="s">
        <v>5817</v>
      </c>
      <c r="L613" t="s">
        <v>5818</v>
      </c>
      <c r="M613">
        <v>0</v>
      </c>
      <c r="N613">
        <v>0</v>
      </c>
      <c r="O613">
        <v>0</v>
      </c>
      <c r="P613" t="s">
        <v>5819</v>
      </c>
    </row>
    <row r="614" spans="1:16" x14ac:dyDescent="0.2">
      <c r="A614" t="s">
        <v>5148</v>
      </c>
      <c r="B614" t="s">
        <v>5149</v>
      </c>
      <c r="C614" t="s">
        <v>874</v>
      </c>
      <c r="D614" t="s">
        <v>98</v>
      </c>
      <c r="E614">
        <v>39.99</v>
      </c>
      <c r="F614" t="s">
        <v>5817</v>
      </c>
      <c r="L614" t="s">
        <v>5818</v>
      </c>
      <c r="M614">
        <v>0</v>
      </c>
      <c r="N614">
        <v>0</v>
      </c>
      <c r="O614">
        <v>0</v>
      </c>
      <c r="P614" t="s">
        <v>5819</v>
      </c>
    </row>
    <row r="615" spans="1:16" x14ac:dyDescent="0.2">
      <c r="A615" t="s">
        <v>5136</v>
      </c>
      <c r="B615" t="s">
        <v>5137</v>
      </c>
      <c r="C615" t="s">
        <v>874</v>
      </c>
      <c r="D615" t="s">
        <v>98</v>
      </c>
      <c r="E615">
        <v>59.99</v>
      </c>
      <c r="F615" t="s">
        <v>5817</v>
      </c>
      <c r="L615" t="s">
        <v>5818</v>
      </c>
      <c r="M615">
        <v>0</v>
      </c>
      <c r="N615">
        <v>0</v>
      </c>
      <c r="O615">
        <v>0</v>
      </c>
      <c r="P615" t="s">
        <v>5819</v>
      </c>
    </row>
    <row r="616" spans="1:16" x14ac:dyDescent="0.2">
      <c r="A616" t="s">
        <v>5164</v>
      </c>
      <c r="B616" t="s">
        <v>875</v>
      </c>
      <c r="C616" t="s">
        <v>874</v>
      </c>
      <c r="D616" t="s">
        <v>98</v>
      </c>
      <c r="E616">
        <v>79.989999999999995</v>
      </c>
      <c r="F616" t="s">
        <v>5817</v>
      </c>
      <c r="L616" t="s">
        <v>5085</v>
      </c>
      <c r="M616">
        <v>0</v>
      </c>
      <c r="N616">
        <v>0</v>
      </c>
      <c r="O616">
        <v>0</v>
      </c>
      <c r="P616" t="s">
        <v>5819</v>
      </c>
    </row>
    <row r="617" spans="1:16" x14ac:dyDescent="0.2">
      <c r="A617" t="s">
        <v>5164</v>
      </c>
      <c r="B617" t="s">
        <v>875</v>
      </c>
      <c r="C617" t="s">
        <v>874</v>
      </c>
      <c r="D617" t="s">
        <v>98</v>
      </c>
      <c r="E617">
        <v>79.989999999999995</v>
      </c>
      <c r="F617" t="s">
        <v>5817</v>
      </c>
      <c r="L617" t="s">
        <v>5065</v>
      </c>
      <c r="M617">
        <v>0</v>
      </c>
      <c r="N617">
        <v>0</v>
      </c>
      <c r="P617">
        <v>0</v>
      </c>
    </row>
    <row r="618" spans="1:16" x14ac:dyDescent="0.2">
      <c r="A618" t="s">
        <v>5365</v>
      </c>
      <c r="B618" t="s">
        <v>5366</v>
      </c>
      <c r="C618" t="s">
        <v>874</v>
      </c>
      <c r="D618" t="s">
        <v>98</v>
      </c>
      <c r="E618">
        <v>79.989999999999995</v>
      </c>
      <c r="F618" t="s">
        <v>5817</v>
      </c>
      <c r="L618" t="s">
        <v>5065</v>
      </c>
      <c r="M618">
        <v>0</v>
      </c>
      <c r="N618">
        <v>0</v>
      </c>
      <c r="P618">
        <v>0</v>
      </c>
    </row>
    <row r="619" spans="1:16" x14ac:dyDescent="0.2">
      <c r="A619" t="s">
        <v>5136</v>
      </c>
      <c r="B619" t="s">
        <v>5137</v>
      </c>
      <c r="C619" t="s">
        <v>874</v>
      </c>
      <c r="D619" t="s">
        <v>98</v>
      </c>
      <c r="E619">
        <v>59.99</v>
      </c>
      <c r="F619" t="s">
        <v>5817</v>
      </c>
      <c r="L619" t="s">
        <v>5065</v>
      </c>
      <c r="M619">
        <v>0</v>
      </c>
      <c r="N619">
        <v>0</v>
      </c>
      <c r="P619">
        <v>0</v>
      </c>
    </row>
    <row r="620" spans="1:16" x14ac:dyDescent="0.2">
      <c r="A620" t="s">
        <v>5378</v>
      </c>
      <c r="B620" t="s">
        <v>5379</v>
      </c>
      <c r="C620" t="s">
        <v>874</v>
      </c>
      <c r="D620" t="s">
        <v>98</v>
      </c>
      <c r="E620">
        <v>69.989999999999995</v>
      </c>
      <c r="F620" t="s">
        <v>5817</v>
      </c>
      <c r="L620" t="s">
        <v>5065</v>
      </c>
      <c r="M620">
        <v>0</v>
      </c>
      <c r="N620">
        <v>0</v>
      </c>
      <c r="P620">
        <v>0</v>
      </c>
    </row>
    <row r="621" spans="1:16" x14ac:dyDescent="0.2">
      <c r="A621" t="s">
        <v>5323</v>
      </c>
      <c r="B621" t="s">
        <v>5324</v>
      </c>
      <c r="C621" t="s">
        <v>874</v>
      </c>
      <c r="D621" t="s">
        <v>98</v>
      </c>
      <c r="E621">
        <v>79.989999999999995</v>
      </c>
      <c r="F621" t="s">
        <v>5817</v>
      </c>
      <c r="L621" t="s">
        <v>5065</v>
      </c>
      <c r="M621">
        <v>0</v>
      </c>
      <c r="N621">
        <v>0</v>
      </c>
      <c r="P621">
        <v>0</v>
      </c>
    </row>
    <row r="622" spans="1:16" x14ac:dyDescent="0.2">
      <c r="A622" t="s">
        <v>5288</v>
      </c>
      <c r="B622" t="s">
        <v>5289</v>
      </c>
      <c r="C622" t="s">
        <v>874</v>
      </c>
      <c r="D622" t="s">
        <v>98</v>
      </c>
      <c r="E622">
        <v>39.99</v>
      </c>
      <c r="F622" t="s">
        <v>5817</v>
      </c>
      <c r="L622" t="s">
        <v>5065</v>
      </c>
      <c r="M622">
        <v>0</v>
      </c>
      <c r="N622">
        <v>0</v>
      </c>
      <c r="P622">
        <v>0</v>
      </c>
    </row>
    <row r="623" spans="1:16" x14ac:dyDescent="0.2">
      <c r="A623" t="s">
        <v>5355</v>
      </c>
      <c r="B623" t="s">
        <v>5356</v>
      </c>
      <c r="C623" t="s">
        <v>874</v>
      </c>
      <c r="D623" t="s">
        <v>98</v>
      </c>
      <c r="E623">
        <v>19.989999999999998</v>
      </c>
      <c r="F623" t="s">
        <v>5817</v>
      </c>
      <c r="L623" t="s">
        <v>5065</v>
      </c>
      <c r="M623">
        <v>0</v>
      </c>
      <c r="N623">
        <v>0</v>
      </c>
      <c r="P623">
        <v>0</v>
      </c>
    </row>
    <row r="624" spans="1:16" x14ac:dyDescent="0.2">
      <c r="A624" t="s">
        <v>5148</v>
      </c>
      <c r="B624" t="s">
        <v>5149</v>
      </c>
      <c r="C624" t="s">
        <v>874</v>
      </c>
      <c r="D624" t="s">
        <v>98</v>
      </c>
      <c r="E624">
        <v>39.99</v>
      </c>
      <c r="F624" t="s">
        <v>5817</v>
      </c>
      <c r="L624" t="s">
        <v>5065</v>
      </c>
      <c r="M624">
        <v>0</v>
      </c>
      <c r="N624">
        <v>0</v>
      </c>
      <c r="P624">
        <v>0</v>
      </c>
    </row>
    <row r="625" spans="1:16" x14ac:dyDescent="0.2">
      <c r="A625" t="s">
        <v>5187</v>
      </c>
      <c r="B625" t="s">
        <v>5188</v>
      </c>
      <c r="C625" t="s">
        <v>874</v>
      </c>
      <c r="D625" t="s">
        <v>98</v>
      </c>
      <c r="E625">
        <v>19.989999999999998</v>
      </c>
      <c r="F625" t="s">
        <v>5817</v>
      </c>
      <c r="L625" t="s">
        <v>5065</v>
      </c>
      <c r="M625">
        <v>0</v>
      </c>
      <c r="N625">
        <v>0</v>
      </c>
      <c r="P625">
        <v>0</v>
      </c>
    </row>
    <row r="626" spans="1:16" x14ac:dyDescent="0.2">
      <c r="A626" t="s">
        <v>5197</v>
      </c>
      <c r="B626" t="s">
        <v>5198</v>
      </c>
      <c r="C626" t="s">
        <v>874</v>
      </c>
      <c r="D626" t="s">
        <v>98</v>
      </c>
      <c r="E626">
        <v>29.99</v>
      </c>
      <c r="F626" t="s">
        <v>5817</v>
      </c>
      <c r="L626" t="s">
        <v>5065</v>
      </c>
      <c r="M626">
        <v>0</v>
      </c>
      <c r="N626">
        <v>0</v>
      </c>
      <c r="P626">
        <v>0</v>
      </c>
    </row>
    <row r="627" spans="1:16" x14ac:dyDescent="0.2">
      <c r="A627" t="s">
        <v>5183</v>
      </c>
      <c r="B627" t="s">
        <v>5184</v>
      </c>
      <c r="C627" t="s">
        <v>874</v>
      </c>
      <c r="D627" t="s">
        <v>98</v>
      </c>
      <c r="E627">
        <v>29.99</v>
      </c>
      <c r="F627" t="s">
        <v>5817</v>
      </c>
      <c r="L627" t="s">
        <v>5065</v>
      </c>
      <c r="M627">
        <v>0</v>
      </c>
      <c r="N627">
        <v>0</v>
      </c>
      <c r="P627">
        <v>0</v>
      </c>
    </row>
    <row r="628" spans="1:16" x14ac:dyDescent="0.2">
      <c r="A628" t="s">
        <v>5185</v>
      </c>
      <c r="B628" t="s">
        <v>5186</v>
      </c>
      <c r="C628" t="s">
        <v>874</v>
      </c>
      <c r="D628" t="s">
        <v>98</v>
      </c>
      <c r="E628">
        <v>59.99</v>
      </c>
      <c r="F628" t="s">
        <v>5817</v>
      </c>
      <c r="L628" t="s">
        <v>5065</v>
      </c>
      <c r="M628">
        <v>0</v>
      </c>
      <c r="N628">
        <v>0</v>
      </c>
      <c r="P628">
        <v>0</v>
      </c>
    </row>
    <row r="629" spans="1:16" x14ac:dyDescent="0.2">
      <c r="A629" t="s">
        <v>5337</v>
      </c>
      <c r="B629" t="s">
        <v>5338</v>
      </c>
      <c r="C629" t="s">
        <v>874</v>
      </c>
      <c r="D629" t="s">
        <v>98</v>
      </c>
      <c r="E629">
        <v>119.99</v>
      </c>
      <c r="F629" t="s">
        <v>5817</v>
      </c>
      <c r="L629" t="s">
        <v>5065</v>
      </c>
      <c r="M629">
        <v>0</v>
      </c>
      <c r="N629">
        <v>0</v>
      </c>
      <c r="P629">
        <v>0</v>
      </c>
    </row>
    <row r="630" spans="1:16" x14ac:dyDescent="0.2">
      <c r="A630" t="s">
        <v>5313</v>
      </c>
      <c r="B630" t="s">
        <v>5314</v>
      </c>
      <c r="C630" t="s">
        <v>874</v>
      </c>
      <c r="D630" t="s">
        <v>98</v>
      </c>
      <c r="E630">
        <v>39.99</v>
      </c>
      <c r="F630" t="s">
        <v>5817</v>
      </c>
      <c r="L630" t="s">
        <v>5065</v>
      </c>
      <c r="M630">
        <v>0</v>
      </c>
      <c r="N630">
        <v>0</v>
      </c>
      <c r="P630">
        <v>0</v>
      </c>
    </row>
    <row r="631" spans="1:16" x14ac:dyDescent="0.2">
      <c r="A631" t="s">
        <v>5164</v>
      </c>
      <c r="B631" t="s">
        <v>875</v>
      </c>
      <c r="C631" t="s">
        <v>874</v>
      </c>
      <c r="D631" t="s">
        <v>98</v>
      </c>
      <c r="E631">
        <v>79.989999999999995</v>
      </c>
      <c r="F631" t="s">
        <v>5817</v>
      </c>
      <c r="L631" t="s">
        <v>8</v>
      </c>
      <c r="M631">
        <v>0</v>
      </c>
      <c r="N631">
        <v>0</v>
      </c>
      <c r="O631">
        <v>0</v>
      </c>
      <c r="P631">
        <v>0</v>
      </c>
    </row>
    <row r="632" spans="1:16" x14ac:dyDescent="0.2">
      <c r="A632" t="s">
        <v>5378</v>
      </c>
      <c r="B632" t="s">
        <v>5379</v>
      </c>
      <c r="C632" t="s">
        <v>874</v>
      </c>
      <c r="D632" t="s">
        <v>98</v>
      </c>
      <c r="E632">
        <v>69.989999999999995</v>
      </c>
      <c r="F632" t="s">
        <v>5817</v>
      </c>
      <c r="L632" t="s">
        <v>8</v>
      </c>
      <c r="M632">
        <v>0</v>
      </c>
      <c r="N632">
        <v>0</v>
      </c>
      <c r="O632">
        <v>0</v>
      </c>
      <c r="P632">
        <v>0</v>
      </c>
    </row>
    <row r="633" spans="1:16" x14ac:dyDescent="0.2">
      <c r="A633" t="s">
        <v>5355</v>
      </c>
      <c r="B633" t="s">
        <v>5356</v>
      </c>
      <c r="C633" t="s">
        <v>874</v>
      </c>
      <c r="D633" t="s">
        <v>98</v>
      </c>
      <c r="E633">
        <v>19.989999999999998</v>
      </c>
      <c r="F633" t="s">
        <v>5817</v>
      </c>
      <c r="L633" t="s">
        <v>8</v>
      </c>
      <c r="M633">
        <v>0</v>
      </c>
      <c r="N633">
        <v>0</v>
      </c>
      <c r="O633">
        <v>0</v>
      </c>
      <c r="P633">
        <v>0</v>
      </c>
    </row>
    <row r="634" spans="1:16" x14ac:dyDescent="0.2">
      <c r="A634" t="s">
        <v>5288</v>
      </c>
      <c r="B634" t="s">
        <v>5289</v>
      </c>
      <c r="C634" t="s">
        <v>874</v>
      </c>
      <c r="D634" t="s">
        <v>98</v>
      </c>
      <c r="E634">
        <v>39.99</v>
      </c>
      <c r="F634" t="s">
        <v>5817</v>
      </c>
      <c r="L634" t="s">
        <v>8</v>
      </c>
      <c r="M634">
        <v>0</v>
      </c>
      <c r="N634">
        <v>0</v>
      </c>
      <c r="O634">
        <v>0</v>
      </c>
      <c r="P634">
        <v>0</v>
      </c>
    </row>
    <row r="635" spans="1:16" x14ac:dyDescent="0.2">
      <c r="A635" t="s">
        <v>5365</v>
      </c>
      <c r="B635" t="s">
        <v>5366</v>
      </c>
      <c r="C635" t="s">
        <v>874</v>
      </c>
      <c r="D635" t="s">
        <v>98</v>
      </c>
      <c r="E635">
        <v>79.989999999999995</v>
      </c>
      <c r="F635" t="s">
        <v>5817</v>
      </c>
      <c r="L635" t="s">
        <v>8</v>
      </c>
      <c r="M635">
        <v>0</v>
      </c>
      <c r="N635">
        <v>0</v>
      </c>
      <c r="O635">
        <v>0</v>
      </c>
      <c r="P635">
        <v>0</v>
      </c>
    </row>
    <row r="636" spans="1:16" x14ac:dyDescent="0.2">
      <c r="A636" t="s">
        <v>5323</v>
      </c>
      <c r="B636" t="s">
        <v>5324</v>
      </c>
      <c r="C636" t="s">
        <v>874</v>
      </c>
      <c r="D636" t="s">
        <v>98</v>
      </c>
      <c r="E636">
        <v>79.989999999999995</v>
      </c>
      <c r="F636" t="s">
        <v>5817</v>
      </c>
      <c r="L636" t="s">
        <v>8</v>
      </c>
      <c r="M636">
        <v>0</v>
      </c>
      <c r="N636">
        <v>0</v>
      </c>
      <c r="O636">
        <v>0</v>
      </c>
      <c r="P636">
        <v>0</v>
      </c>
    </row>
    <row r="637" spans="1:16" x14ac:dyDescent="0.2">
      <c r="A637" t="s">
        <v>5313</v>
      </c>
      <c r="B637" t="s">
        <v>5314</v>
      </c>
      <c r="C637" t="s">
        <v>874</v>
      </c>
      <c r="D637" t="s">
        <v>98</v>
      </c>
      <c r="E637">
        <v>39.99</v>
      </c>
      <c r="F637" t="s">
        <v>5817</v>
      </c>
      <c r="L637" t="s">
        <v>8</v>
      </c>
      <c r="M637">
        <v>0</v>
      </c>
      <c r="N637">
        <v>0</v>
      </c>
      <c r="O637">
        <v>0</v>
      </c>
      <c r="P637">
        <v>0</v>
      </c>
    </row>
    <row r="638" spans="1:16" x14ac:dyDescent="0.2">
      <c r="A638" t="s">
        <v>5136</v>
      </c>
      <c r="B638" t="s">
        <v>5137</v>
      </c>
      <c r="C638" t="s">
        <v>874</v>
      </c>
      <c r="D638" t="s">
        <v>98</v>
      </c>
      <c r="E638">
        <v>59.99</v>
      </c>
      <c r="F638" t="s">
        <v>5817</v>
      </c>
      <c r="L638" t="s">
        <v>8</v>
      </c>
      <c r="M638">
        <v>0</v>
      </c>
      <c r="N638">
        <v>0</v>
      </c>
      <c r="O638">
        <v>0</v>
      </c>
      <c r="P638">
        <v>0</v>
      </c>
    </row>
    <row r="639" spans="1:16" x14ac:dyDescent="0.2">
      <c r="A639" t="s">
        <v>5148</v>
      </c>
      <c r="B639" t="s">
        <v>5149</v>
      </c>
      <c r="C639" t="s">
        <v>874</v>
      </c>
      <c r="D639" t="s">
        <v>98</v>
      </c>
      <c r="E639">
        <v>39.99</v>
      </c>
      <c r="F639" t="s">
        <v>5817</v>
      </c>
      <c r="L639" t="s">
        <v>8</v>
      </c>
      <c r="M639">
        <v>0</v>
      </c>
      <c r="N639">
        <v>0</v>
      </c>
      <c r="O639">
        <v>0</v>
      </c>
      <c r="P639">
        <v>0</v>
      </c>
    </row>
    <row r="640" spans="1:16" x14ac:dyDescent="0.2">
      <c r="A640" t="s">
        <v>5187</v>
      </c>
      <c r="B640" t="s">
        <v>5188</v>
      </c>
      <c r="C640" t="s">
        <v>874</v>
      </c>
      <c r="D640" t="s">
        <v>98</v>
      </c>
      <c r="E640">
        <v>19.989999999999998</v>
      </c>
      <c r="F640" t="s">
        <v>5817</v>
      </c>
      <c r="L640" t="s">
        <v>8</v>
      </c>
      <c r="M640">
        <v>0</v>
      </c>
      <c r="N640">
        <v>0</v>
      </c>
      <c r="O640">
        <v>0</v>
      </c>
      <c r="P640">
        <v>0</v>
      </c>
    </row>
    <row r="641" spans="1:16" x14ac:dyDescent="0.2">
      <c r="A641" t="s">
        <v>5197</v>
      </c>
      <c r="B641" t="s">
        <v>5198</v>
      </c>
      <c r="C641" t="s">
        <v>874</v>
      </c>
      <c r="D641" t="s">
        <v>98</v>
      </c>
      <c r="E641">
        <v>29.99</v>
      </c>
      <c r="F641" t="s">
        <v>5817</v>
      </c>
      <c r="L641" t="s">
        <v>8</v>
      </c>
      <c r="M641">
        <v>0</v>
      </c>
      <c r="N641">
        <v>0</v>
      </c>
      <c r="O641">
        <v>0</v>
      </c>
      <c r="P641">
        <v>0</v>
      </c>
    </row>
    <row r="642" spans="1:16" x14ac:dyDescent="0.2">
      <c r="A642" t="s">
        <v>5183</v>
      </c>
      <c r="B642" t="s">
        <v>5184</v>
      </c>
      <c r="C642" t="s">
        <v>874</v>
      </c>
      <c r="D642" t="s">
        <v>98</v>
      </c>
      <c r="E642">
        <v>29.99</v>
      </c>
      <c r="F642" t="s">
        <v>5817</v>
      </c>
      <c r="L642" t="s">
        <v>8</v>
      </c>
      <c r="M642">
        <v>0</v>
      </c>
      <c r="N642">
        <v>0</v>
      </c>
      <c r="O642">
        <v>0</v>
      </c>
      <c r="P642">
        <v>0</v>
      </c>
    </row>
    <row r="643" spans="1:16" x14ac:dyDescent="0.2">
      <c r="A643" t="s">
        <v>5185</v>
      </c>
      <c r="B643" t="s">
        <v>5186</v>
      </c>
      <c r="C643" t="s">
        <v>874</v>
      </c>
      <c r="D643" t="s">
        <v>98</v>
      </c>
      <c r="E643">
        <v>59.99</v>
      </c>
      <c r="F643" t="s">
        <v>5817</v>
      </c>
      <c r="L643" t="s">
        <v>8</v>
      </c>
      <c r="M643">
        <v>0</v>
      </c>
      <c r="N643">
        <v>0</v>
      </c>
      <c r="O643">
        <v>0</v>
      </c>
      <c r="P643">
        <v>0</v>
      </c>
    </row>
    <row r="644" spans="1:16" x14ac:dyDescent="0.2">
      <c r="A644" t="s">
        <v>5337</v>
      </c>
      <c r="B644" t="s">
        <v>5338</v>
      </c>
      <c r="C644" t="s">
        <v>874</v>
      </c>
      <c r="D644" t="s">
        <v>98</v>
      </c>
      <c r="E644">
        <v>119.99</v>
      </c>
      <c r="F644" t="s">
        <v>5817</v>
      </c>
      <c r="L644" t="s">
        <v>8</v>
      </c>
      <c r="M644">
        <v>0</v>
      </c>
      <c r="N644">
        <v>0</v>
      </c>
      <c r="O644">
        <v>0</v>
      </c>
      <c r="P644">
        <v>0</v>
      </c>
    </row>
    <row r="645" spans="1:16" x14ac:dyDescent="0.2">
      <c r="A645" t="s">
        <v>5189</v>
      </c>
      <c r="B645" t="s">
        <v>5190</v>
      </c>
      <c r="C645" t="s">
        <v>904</v>
      </c>
      <c r="D645" t="s">
        <v>98</v>
      </c>
      <c r="E645">
        <v>59.99</v>
      </c>
      <c r="F645" t="s">
        <v>5817</v>
      </c>
      <c r="L645" t="s">
        <v>73</v>
      </c>
      <c r="M645">
        <v>0</v>
      </c>
      <c r="N645">
        <v>0</v>
      </c>
      <c r="O645">
        <v>0</v>
      </c>
      <c r="P645">
        <v>0</v>
      </c>
    </row>
    <row r="646" spans="1:16" x14ac:dyDescent="0.2">
      <c r="A646" t="s">
        <v>5179</v>
      </c>
      <c r="B646" t="s">
        <v>5180</v>
      </c>
      <c r="C646" t="s">
        <v>904</v>
      </c>
      <c r="D646" t="s">
        <v>98</v>
      </c>
      <c r="E646">
        <v>49.99</v>
      </c>
      <c r="F646" t="s">
        <v>5817</v>
      </c>
      <c r="L646" t="s">
        <v>73</v>
      </c>
      <c r="M646">
        <v>0</v>
      </c>
      <c r="N646">
        <v>0</v>
      </c>
      <c r="O646">
        <v>0</v>
      </c>
      <c r="P646">
        <v>0</v>
      </c>
    </row>
    <row r="647" spans="1:16" x14ac:dyDescent="0.2">
      <c r="A647" t="s">
        <v>5173</v>
      </c>
      <c r="B647" t="s">
        <v>5174</v>
      </c>
      <c r="C647" t="s">
        <v>904</v>
      </c>
      <c r="D647" t="s">
        <v>98</v>
      </c>
      <c r="E647">
        <v>169.99</v>
      </c>
      <c r="F647" t="s">
        <v>5817</v>
      </c>
      <c r="L647" t="s">
        <v>73</v>
      </c>
      <c r="M647">
        <v>0</v>
      </c>
      <c r="N647">
        <v>0</v>
      </c>
      <c r="O647">
        <v>0</v>
      </c>
      <c r="P647">
        <v>0</v>
      </c>
    </row>
    <row r="648" spans="1:16" x14ac:dyDescent="0.2">
      <c r="A648" t="s">
        <v>5152</v>
      </c>
      <c r="B648" t="s">
        <v>5153</v>
      </c>
      <c r="C648" t="s">
        <v>904</v>
      </c>
      <c r="D648" t="s">
        <v>98</v>
      </c>
      <c r="E648">
        <v>79.989999999999995</v>
      </c>
      <c r="F648" t="s">
        <v>5817</v>
      </c>
      <c r="L648" t="s">
        <v>73</v>
      </c>
      <c r="M648">
        <v>0</v>
      </c>
      <c r="N648">
        <v>0</v>
      </c>
      <c r="O648">
        <v>0</v>
      </c>
      <c r="P648">
        <v>0</v>
      </c>
    </row>
    <row r="649" spans="1:16" x14ac:dyDescent="0.2">
      <c r="A649" t="s">
        <v>5134</v>
      </c>
      <c r="B649" t="s">
        <v>5135</v>
      </c>
      <c r="C649" t="s">
        <v>904</v>
      </c>
      <c r="D649" t="s">
        <v>98</v>
      </c>
      <c r="E649">
        <v>49.99</v>
      </c>
      <c r="F649" t="s">
        <v>5817</v>
      </c>
      <c r="L649" t="s">
        <v>73</v>
      </c>
      <c r="M649">
        <v>0</v>
      </c>
      <c r="N649">
        <v>0</v>
      </c>
      <c r="O649">
        <v>0</v>
      </c>
      <c r="P649">
        <v>0</v>
      </c>
    </row>
    <row r="650" spans="1:16" x14ac:dyDescent="0.2">
      <c r="A650" t="s">
        <v>5146</v>
      </c>
      <c r="B650" t="s">
        <v>5147</v>
      </c>
      <c r="C650" t="s">
        <v>904</v>
      </c>
      <c r="D650" t="s">
        <v>98</v>
      </c>
      <c r="E650">
        <v>179.99</v>
      </c>
      <c r="F650" t="s">
        <v>5817</v>
      </c>
      <c r="L650" t="s">
        <v>73</v>
      </c>
      <c r="M650">
        <v>0</v>
      </c>
      <c r="N650">
        <v>0</v>
      </c>
      <c r="O650">
        <v>0</v>
      </c>
      <c r="P650">
        <v>0</v>
      </c>
    </row>
    <row r="651" spans="1:16" x14ac:dyDescent="0.2">
      <c r="A651" t="s">
        <v>5150</v>
      </c>
      <c r="B651" t="s">
        <v>5151</v>
      </c>
      <c r="C651" t="s">
        <v>904</v>
      </c>
      <c r="D651" t="s">
        <v>98</v>
      </c>
      <c r="E651">
        <v>49.99</v>
      </c>
      <c r="F651" t="s">
        <v>5817</v>
      </c>
      <c r="L651" t="s">
        <v>73</v>
      </c>
      <c r="M651">
        <v>0</v>
      </c>
      <c r="N651">
        <v>0</v>
      </c>
      <c r="O651">
        <v>0</v>
      </c>
      <c r="P651">
        <v>0</v>
      </c>
    </row>
    <row r="652" spans="1:16" x14ac:dyDescent="0.2">
      <c r="A652" t="s">
        <v>5140</v>
      </c>
      <c r="B652" t="s">
        <v>5141</v>
      </c>
      <c r="C652" t="s">
        <v>904</v>
      </c>
      <c r="D652" t="s">
        <v>98</v>
      </c>
      <c r="E652">
        <v>29.99</v>
      </c>
      <c r="F652" t="s">
        <v>5817</v>
      </c>
      <c r="L652" t="s">
        <v>73</v>
      </c>
      <c r="M652">
        <v>0</v>
      </c>
      <c r="N652">
        <v>0</v>
      </c>
      <c r="O652">
        <v>0</v>
      </c>
      <c r="P652">
        <v>0</v>
      </c>
    </row>
    <row r="653" spans="1:16" x14ac:dyDescent="0.2">
      <c r="A653" t="s">
        <v>5165</v>
      </c>
      <c r="B653" t="s">
        <v>5166</v>
      </c>
      <c r="C653" t="s">
        <v>904</v>
      </c>
      <c r="D653" t="s">
        <v>98</v>
      </c>
      <c r="E653">
        <v>99.99</v>
      </c>
      <c r="F653" t="s">
        <v>5817</v>
      </c>
      <c r="L653" t="s">
        <v>73</v>
      </c>
      <c r="M653">
        <v>0</v>
      </c>
      <c r="N653">
        <v>0</v>
      </c>
      <c r="O653">
        <v>0</v>
      </c>
      <c r="P653">
        <v>0</v>
      </c>
    </row>
    <row r="654" spans="1:16" x14ac:dyDescent="0.2">
      <c r="A654" t="s">
        <v>5570</v>
      </c>
      <c r="B654" t="s">
        <v>5571</v>
      </c>
      <c r="C654" t="s">
        <v>904</v>
      </c>
      <c r="D654" t="s">
        <v>98</v>
      </c>
      <c r="E654">
        <v>29.99</v>
      </c>
      <c r="F654" t="s">
        <v>5817</v>
      </c>
      <c r="L654" t="s">
        <v>73</v>
      </c>
      <c r="M654">
        <v>0</v>
      </c>
      <c r="N654">
        <v>0</v>
      </c>
      <c r="O654">
        <v>0</v>
      </c>
      <c r="P654">
        <v>0</v>
      </c>
    </row>
    <row r="655" spans="1:16" x14ac:dyDescent="0.2">
      <c r="A655" t="s">
        <v>5566</v>
      </c>
      <c r="B655" t="s">
        <v>5567</v>
      </c>
      <c r="C655" t="s">
        <v>904</v>
      </c>
      <c r="D655" t="s">
        <v>98</v>
      </c>
      <c r="E655">
        <v>9.99</v>
      </c>
      <c r="F655" t="s">
        <v>5817</v>
      </c>
      <c r="L655" t="s">
        <v>73</v>
      </c>
      <c r="M655">
        <v>0</v>
      </c>
      <c r="N655">
        <v>0</v>
      </c>
      <c r="O655">
        <v>0</v>
      </c>
      <c r="P655">
        <v>0</v>
      </c>
    </row>
    <row r="656" spans="1:16" x14ac:dyDescent="0.2">
      <c r="A656" t="s">
        <v>5580</v>
      </c>
      <c r="B656" t="s">
        <v>5581</v>
      </c>
      <c r="C656" t="s">
        <v>904</v>
      </c>
      <c r="D656" t="s">
        <v>98</v>
      </c>
      <c r="E656">
        <v>9.99</v>
      </c>
      <c r="F656" t="s">
        <v>5817</v>
      </c>
      <c r="L656" t="s">
        <v>73</v>
      </c>
      <c r="M656">
        <v>0</v>
      </c>
      <c r="N656">
        <v>0</v>
      </c>
      <c r="O656">
        <v>0</v>
      </c>
      <c r="P656">
        <v>0</v>
      </c>
    </row>
    <row r="657" spans="1:16" x14ac:dyDescent="0.2">
      <c r="A657" t="s">
        <v>5576</v>
      </c>
      <c r="B657" t="s">
        <v>5577</v>
      </c>
      <c r="C657" t="s">
        <v>904</v>
      </c>
      <c r="D657" t="s">
        <v>98</v>
      </c>
      <c r="E657">
        <v>9.99</v>
      </c>
      <c r="F657" t="s">
        <v>5817</v>
      </c>
      <c r="L657" t="s">
        <v>73</v>
      </c>
      <c r="M657">
        <v>0</v>
      </c>
      <c r="N657">
        <v>0</v>
      </c>
      <c r="O657">
        <v>0</v>
      </c>
      <c r="P657">
        <v>0</v>
      </c>
    </row>
    <row r="658" spans="1:16" x14ac:dyDescent="0.2">
      <c r="A658" t="s">
        <v>5540</v>
      </c>
      <c r="B658" t="s">
        <v>5541</v>
      </c>
      <c r="C658" t="s">
        <v>904</v>
      </c>
      <c r="D658" t="s">
        <v>98</v>
      </c>
      <c r="E658">
        <v>9.99</v>
      </c>
      <c r="F658" t="s">
        <v>5817</v>
      </c>
      <c r="L658" t="s">
        <v>73</v>
      </c>
      <c r="M658">
        <v>0</v>
      </c>
      <c r="N658">
        <v>0</v>
      </c>
      <c r="O658">
        <v>0</v>
      </c>
      <c r="P658">
        <v>0</v>
      </c>
    </row>
    <row r="659" spans="1:16" x14ac:dyDescent="0.2">
      <c r="A659" t="s">
        <v>5558</v>
      </c>
      <c r="B659" t="s">
        <v>5559</v>
      </c>
      <c r="C659" t="s">
        <v>904</v>
      </c>
      <c r="D659" t="s">
        <v>98</v>
      </c>
      <c r="E659">
        <v>29.99</v>
      </c>
      <c r="F659" t="s">
        <v>5817</v>
      </c>
      <c r="L659" t="s">
        <v>73</v>
      </c>
      <c r="M659">
        <v>0</v>
      </c>
      <c r="N659">
        <v>0</v>
      </c>
      <c r="O659">
        <v>0</v>
      </c>
      <c r="P659">
        <v>0</v>
      </c>
    </row>
    <row r="660" spans="1:16" x14ac:dyDescent="0.2">
      <c r="A660" t="s">
        <v>5554</v>
      </c>
      <c r="B660" t="s">
        <v>5555</v>
      </c>
      <c r="C660" t="s">
        <v>904</v>
      </c>
      <c r="D660" t="s">
        <v>98</v>
      </c>
      <c r="E660">
        <v>29.99</v>
      </c>
      <c r="F660" t="s">
        <v>5817</v>
      </c>
      <c r="L660" t="s">
        <v>73</v>
      </c>
      <c r="M660">
        <v>0</v>
      </c>
      <c r="N660">
        <v>0</v>
      </c>
      <c r="O660">
        <v>0</v>
      </c>
      <c r="P660">
        <v>0</v>
      </c>
    </row>
    <row r="661" spans="1:16" x14ac:dyDescent="0.2">
      <c r="A661" t="s">
        <v>5600</v>
      </c>
      <c r="B661" t="s">
        <v>5601</v>
      </c>
      <c r="C661" t="s">
        <v>904</v>
      </c>
      <c r="D661" t="s">
        <v>98</v>
      </c>
      <c r="E661">
        <v>119.99</v>
      </c>
      <c r="F661" t="s">
        <v>5817</v>
      </c>
      <c r="L661" t="s">
        <v>73</v>
      </c>
      <c r="M661">
        <v>0</v>
      </c>
      <c r="N661">
        <v>0</v>
      </c>
      <c r="O661">
        <v>0</v>
      </c>
      <c r="P661">
        <v>0</v>
      </c>
    </row>
    <row r="662" spans="1:16" x14ac:dyDescent="0.2">
      <c r="A662" t="s">
        <v>5217</v>
      </c>
      <c r="B662" t="s">
        <v>5218</v>
      </c>
      <c r="C662" t="s">
        <v>904</v>
      </c>
      <c r="D662" t="s">
        <v>98</v>
      </c>
      <c r="E662">
        <v>29.99</v>
      </c>
      <c r="F662" t="s">
        <v>5817</v>
      </c>
      <c r="L662" t="s">
        <v>73</v>
      </c>
      <c r="M662">
        <v>0</v>
      </c>
      <c r="N662">
        <v>0</v>
      </c>
      <c r="O662">
        <v>0</v>
      </c>
      <c r="P662">
        <v>0</v>
      </c>
    </row>
    <row r="663" spans="1:16" x14ac:dyDescent="0.2">
      <c r="A663" t="s">
        <v>5169</v>
      </c>
      <c r="B663" t="s">
        <v>5170</v>
      </c>
      <c r="C663" t="s">
        <v>904</v>
      </c>
      <c r="D663" t="s">
        <v>98</v>
      </c>
      <c r="E663">
        <v>59.99</v>
      </c>
      <c r="F663" t="s">
        <v>5817</v>
      </c>
      <c r="L663" t="s">
        <v>73</v>
      </c>
      <c r="M663">
        <v>0</v>
      </c>
      <c r="N663">
        <v>0</v>
      </c>
      <c r="O663">
        <v>0</v>
      </c>
      <c r="P663">
        <v>0</v>
      </c>
    </row>
    <row r="664" spans="1:16" x14ac:dyDescent="0.2">
      <c r="A664" t="s">
        <v>5158</v>
      </c>
      <c r="B664" t="s">
        <v>5159</v>
      </c>
      <c r="C664" t="s">
        <v>904</v>
      </c>
      <c r="D664" t="s">
        <v>98</v>
      </c>
      <c r="E664">
        <v>59.99</v>
      </c>
      <c r="F664" t="s">
        <v>5817</v>
      </c>
      <c r="L664" t="s">
        <v>73</v>
      </c>
      <c r="M664">
        <v>0</v>
      </c>
      <c r="N664">
        <v>0</v>
      </c>
      <c r="O664">
        <v>0</v>
      </c>
      <c r="P664">
        <v>0</v>
      </c>
    </row>
    <row r="665" spans="1:16" x14ac:dyDescent="0.2">
      <c r="A665" t="s">
        <v>5229</v>
      </c>
      <c r="B665" t="s">
        <v>5230</v>
      </c>
      <c r="C665" t="s">
        <v>904</v>
      </c>
      <c r="D665" t="s">
        <v>98</v>
      </c>
      <c r="E665">
        <v>79.989999999999995</v>
      </c>
      <c r="F665" t="s">
        <v>5817</v>
      </c>
      <c r="L665" t="s">
        <v>73</v>
      </c>
      <c r="M665">
        <v>0</v>
      </c>
      <c r="N665">
        <v>0</v>
      </c>
      <c r="O665">
        <v>0</v>
      </c>
      <c r="P665">
        <v>0</v>
      </c>
    </row>
    <row r="666" spans="1:16" x14ac:dyDescent="0.2">
      <c r="A666" t="s">
        <v>5255</v>
      </c>
      <c r="B666" t="s">
        <v>5256</v>
      </c>
      <c r="C666" t="s">
        <v>904</v>
      </c>
      <c r="D666" t="s">
        <v>98</v>
      </c>
      <c r="E666">
        <v>49.99</v>
      </c>
      <c r="F666" t="s">
        <v>5817</v>
      </c>
      <c r="L666" t="s">
        <v>73</v>
      </c>
      <c r="M666">
        <v>0</v>
      </c>
      <c r="N666">
        <v>0</v>
      </c>
      <c r="O666">
        <v>0</v>
      </c>
      <c r="P666">
        <v>0</v>
      </c>
    </row>
    <row r="667" spans="1:16" x14ac:dyDescent="0.2">
      <c r="A667" t="s">
        <v>5245</v>
      </c>
      <c r="B667" t="s">
        <v>5246</v>
      </c>
      <c r="C667" t="s">
        <v>904</v>
      </c>
      <c r="D667" t="s">
        <v>98</v>
      </c>
      <c r="E667">
        <v>69.989999999999995</v>
      </c>
      <c r="F667" t="s">
        <v>5817</v>
      </c>
      <c r="L667" t="s">
        <v>73</v>
      </c>
      <c r="M667">
        <v>0</v>
      </c>
      <c r="N667">
        <v>0</v>
      </c>
      <c r="O667">
        <v>0</v>
      </c>
      <c r="P667">
        <v>0</v>
      </c>
    </row>
    <row r="668" spans="1:16" x14ac:dyDescent="0.2">
      <c r="A668" t="s">
        <v>5209</v>
      </c>
      <c r="B668" t="s">
        <v>5210</v>
      </c>
      <c r="C668" t="s">
        <v>904</v>
      </c>
      <c r="D668" t="s">
        <v>98</v>
      </c>
      <c r="E668">
        <v>49.99</v>
      </c>
      <c r="F668" t="s">
        <v>5817</v>
      </c>
      <c r="L668" t="s">
        <v>73</v>
      </c>
      <c r="M668">
        <v>0</v>
      </c>
      <c r="N668">
        <v>0</v>
      </c>
      <c r="O668">
        <v>0</v>
      </c>
      <c r="P668">
        <v>0</v>
      </c>
    </row>
    <row r="669" spans="1:16" x14ac:dyDescent="0.2">
      <c r="A669" t="s">
        <v>5201</v>
      </c>
      <c r="B669" t="s">
        <v>5202</v>
      </c>
      <c r="C669" t="s">
        <v>904</v>
      </c>
      <c r="D669" t="s">
        <v>98</v>
      </c>
      <c r="E669">
        <v>29.99</v>
      </c>
      <c r="F669" t="s">
        <v>5817</v>
      </c>
      <c r="L669" t="s">
        <v>73</v>
      </c>
      <c r="M669">
        <v>0</v>
      </c>
      <c r="N669">
        <v>0</v>
      </c>
      <c r="O669">
        <v>0</v>
      </c>
      <c r="P669">
        <v>0</v>
      </c>
    </row>
    <row r="670" spans="1:16" x14ac:dyDescent="0.2">
      <c r="A670" t="s">
        <v>5219</v>
      </c>
      <c r="B670" t="s">
        <v>5220</v>
      </c>
      <c r="C670" t="s">
        <v>904</v>
      </c>
      <c r="D670" t="s">
        <v>98</v>
      </c>
      <c r="E670">
        <v>29.99</v>
      </c>
      <c r="F670" t="s">
        <v>5817</v>
      </c>
      <c r="L670" t="s">
        <v>73</v>
      </c>
      <c r="M670">
        <v>0</v>
      </c>
      <c r="N670">
        <v>0</v>
      </c>
      <c r="O670">
        <v>0</v>
      </c>
      <c r="P670">
        <v>0</v>
      </c>
    </row>
    <row r="671" spans="1:16" x14ac:dyDescent="0.2">
      <c r="A671" t="s">
        <v>5598</v>
      </c>
      <c r="B671" t="s">
        <v>5599</v>
      </c>
      <c r="C671" t="s">
        <v>904</v>
      </c>
      <c r="D671" t="s">
        <v>98</v>
      </c>
      <c r="E671">
        <v>119.99</v>
      </c>
      <c r="F671" t="s">
        <v>5817</v>
      </c>
      <c r="L671" t="s">
        <v>73</v>
      </c>
      <c r="M671">
        <v>0</v>
      </c>
      <c r="N671">
        <v>0</v>
      </c>
      <c r="O671">
        <v>0</v>
      </c>
      <c r="P671">
        <v>0</v>
      </c>
    </row>
    <row r="672" spans="1:16" x14ac:dyDescent="0.2">
      <c r="A672" t="s">
        <v>5586</v>
      </c>
      <c r="B672" t="s">
        <v>5587</v>
      </c>
      <c r="C672" t="s">
        <v>904</v>
      </c>
      <c r="D672" t="s">
        <v>98</v>
      </c>
      <c r="E672">
        <v>119.99</v>
      </c>
      <c r="F672" t="s">
        <v>5817</v>
      </c>
      <c r="L672" t="s">
        <v>73</v>
      </c>
      <c r="M672">
        <v>0</v>
      </c>
      <c r="N672">
        <v>0</v>
      </c>
      <c r="O672">
        <v>0</v>
      </c>
      <c r="P672">
        <v>0</v>
      </c>
    </row>
    <row r="673" spans="1:16" x14ac:dyDescent="0.2">
      <c r="A673" t="s">
        <v>5596</v>
      </c>
      <c r="B673" t="s">
        <v>5597</v>
      </c>
      <c r="C673" t="s">
        <v>904</v>
      </c>
      <c r="D673" t="s">
        <v>98</v>
      </c>
      <c r="E673">
        <v>69.989999999999995</v>
      </c>
      <c r="F673" t="s">
        <v>5817</v>
      </c>
      <c r="L673" t="s">
        <v>73</v>
      </c>
      <c r="M673">
        <v>0</v>
      </c>
      <c r="N673">
        <v>0</v>
      </c>
      <c r="O673">
        <v>0</v>
      </c>
      <c r="P673">
        <v>0</v>
      </c>
    </row>
    <row r="674" spans="1:16" x14ac:dyDescent="0.2">
      <c r="A674" t="s">
        <v>5590</v>
      </c>
      <c r="B674" t="s">
        <v>5591</v>
      </c>
      <c r="C674" t="s">
        <v>904</v>
      </c>
      <c r="D674" t="s">
        <v>98</v>
      </c>
      <c r="E674">
        <v>99.99</v>
      </c>
      <c r="F674" t="s">
        <v>5817</v>
      </c>
      <c r="L674" t="s">
        <v>73</v>
      </c>
      <c r="M674">
        <v>0</v>
      </c>
      <c r="N674">
        <v>0</v>
      </c>
      <c r="O674">
        <v>0</v>
      </c>
      <c r="P674">
        <v>0</v>
      </c>
    </row>
    <row r="675" spans="1:16" x14ac:dyDescent="0.2">
      <c r="A675" t="s">
        <v>5433</v>
      </c>
      <c r="B675" t="s">
        <v>5434</v>
      </c>
      <c r="C675" t="s">
        <v>904</v>
      </c>
      <c r="D675" t="s">
        <v>98</v>
      </c>
      <c r="E675">
        <v>39.99</v>
      </c>
      <c r="F675" t="s">
        <v>5817</v>
      </c>
      <c r="L675" t="s">
        <v>73</v>
      </c>
      <c r="M675">
        <v>0</v>
      </c>
      <c r="N675">
        <v>0</v>
      </c>
      <c r="O675">
        <v>0</v>
      </c>
      <c r="P675">
        <v>0</v>
      </c>
    </row>
    <row r="676" spans="1:16" x14ac:dyDescent="0.2">
      <c r="A676" t="s">
        <v>5429</v>
      </c>
      <c r="B676" t="s">
        <v>5430</v>
      </c>
      <c r="C676" t="s">
        <v>904</v>
      </c>
      <c r="D676" t="s">
        <v>98</v>
      </c>
      <c r="E676">
        <v>169.99</v>
      </c>
      <c r="F676" t="s">
        <v>5817</v>
      </c>
      <c r="L676" t="s">
        <v>73</v>
      </c>
      <c r="M676">
        <v>0</v>
      </c>
      <c r="N676">
        <v>0</v>
      </c>
      <c r="O676">
        <v>0</v>
      </c>
      <c r="P676">
        <v>0</v>
      </c>
    </row>
    <row r="677" spans="1:16" x14ac:dyDescent="0.2">
      <c r="A677" t="s">
        <v>5449</v>
      </c>
      <c r="B677" t="s">
        <v>5450</v>
      </c>
      <c r="C677" t="s">
        <v>904</v>
      </c>
      <c r="D677" t="s">
        <v>98</v>
      </c>
      <c r="E677">
        <v>199.99</v>
      </c>
      <c r="F677" t="s">
        <v>5817</v>
      </c>
      <c r="L677" t="s">
        <v>73</v>
      </c>
      <c r="M677">
        <v>0</v>
      </c>
      <c r="N677">
        <v>0</v>
      </c>
      <c r="O677">
        <v>0</v>
      </c>
      <c r="P677">
        <v>0</v>
      </c>
    </row>
    <row r="678" spans="1:16" x14ac:dyDescent="0.2">
      <c r="A678" t="s">
        <v>5612</v>
      </c>
      <c r="B678" t="s">
        <v>5613</v>
      </c>
      <c r="C678" t="s">
        <v>904</v>
      </c>
      <c r="D678" t="s">
        <v>98</v>
      </c>
      <c r="E678">
        <v>119.99</v>
      </c>
      <c r="F678" t="s">
        <v>5817</v>
      </c>
      <c r="L678" t="s">
        <v>73</v>
      </c>
      <c r="M678">
        <v>0</v>
      </c>
      <c r="N678">
        <v>0</v>
      </c>
      <c r="O678">
        <v>0</v>
      </c>
      <c r="P678">
        <v>0</v>
      </c>
    </row>
    <row r="679" spans="1:16" x14ac:dyDescent="0.2">
      <c r="A679" t="s">
        <v>5622</v>
      </c>
      <c r="B679" t="s">
        <v>5623</v>
      </c>
      <c r="C679" t="s">
        <v>904</v>
      </c>
      <c r="D679" t="s">
        <v>98</v>
      </c>
      <c r="E679">
        <v>44.99</v>
      </c>
      <c r="F679" t="s">
        <v>5817</v>
      </c>
      <c r="L679" t="s">
        <v>5818</v>
      </c>
      <c r="M679">
        <v>0</v>
      </c>
      <c r="N679">
        <v>0</v>
      </c>
      <c r="P679" t="s">
        <v>5819</v>
      </c>
    </row>
    <row r="680" spans="1:16" x14ac:dyDescent="0.2">
      <c r="A680" t="s">
        <v>5614</v>
      </c>
      <c r="B680" t="s">
        <v>5615</v>
      </c>
      <c r="C680" t="s">
        <v>904</v>
      </c>
      <c r="D680" t="s">
        <v>98</v>
      </c>
      <c r="E680">
        <v>44.99</v>
      </c>
      <c r="F680" t="s">
        <v>5817</v>
      </c>
      <c r="L680" t="s">
        <v>5818</v>
      </c>
      <c r="M680">
        <v>0</v>
      </c>
      <c r="N680">
        <v>0</v>
      </c>
      <c r="O680">
        <v>0</v>
      </c>
      <c r="P680" t="s">
        <v>5819</v>
      </c>
    </row>
    <row r="681" spans="1:16" x14ac:dyDescent="0.2">
      <c r="A681" t="s">
        <v>5618</v>
      </c>
      <c r="B681" t="s">
        <v>5619</v>
      </c>
      <c r="C681" t="s">
        <v>904</v>
      </c>
      <c r="D681" t="s">
        <v>98</v>
      </c>
      <c r="E681">
        <v>49.99</v>
      </c>
      <c r="F681" t="s">
        <v>5817</v>
      </c>
      <c r="L681" t="s">
        <v>5818</v>
      </c>
      <c r="M681">
        <v>0</v>
      </c>
      <c r="N681">
        <v>0</v>
      </c>
      <c r="O681">
        <v>0</v>
      </c>
      <c r="P681" t="s">
        <v>5819</v>
      </c>
    </row>
    <row r="682" spans="1:16" x14ac:dyDescent="0.2">
      <c r="A682" t="s">
        <v>907</v>
      </c>
      <c r="B682" t="s">
        <v>908</v>
      </c>
      <c r="C682" t="s">
        <v>904</v>
      </c>
      <c r="D682" t="s">
        <v>98</v>
      </c>
      <c r="E682">
        <v>49.99</v>
      </c>
      <c r="F682" t="s">
        <v>5817</v>
      </c>
      <c r="L682" t="s">
        <v>5818</v>
      </c>
      <c r="M682">
        <v>0</v>
      </c>
      <c r="N682">
        <v>0</v>
      </c>
      <c r="O682">
        <v>0</v>
      </c>
      <c r="P682" t="s">
        <v>5819</v>
      </c>
    </row>
    <row r="683" spans="1:16" x14ac:dyDescent="0.2">
      <c r="A683" t="s">
        <v>5616</v>
      </c>
      <c r="B683" t="s">
        <v>5617</v>
      </c>
      <c r="C683" t="s">
        <v>904</v>
      </c>
      <c r="D683" t="s">
        <v>98</v>
      </c>
      <c r="E683">
        <v>49.99</v>
      </c>
      <c r="F683" t="s">
        <v>5817</v>
      </c>
      <c r="L683" t="s">
        <v>5818</v>
      </c>
      <c r="M683">
        <v>0</v>
      </c>
      <c r="N683">
        <v>0</v>
      </c>
      <c r="O683">
        <v>0</v>
      </c>
      <c r="P683" t="s">
        <v>5819</v>
      </c>
    </row>
    <row r="684" spans="1:16" x14ac:dyDescent="0.2">
      <c r="A684" t="s">
        <v>5140</v>
      </c>
      <c r="B684" t="s">
        <v>5141</v>
      </c>
      <c r="C684" t="s">
        <v>904</v>
      </c>
      <c r="D684" t="s">
        <v>98</v>
      </c>
      <c r="E684">
        <v>29.99</v>
      </c>
      <c r="F684" t="s">
        <v>5817</v>
      </c>
      <c r="L684" t="s">
        <v>5818</v>
      </c>
      <c r="M684">
        <v>0</v>
      </c>
      <c r="N684">
        <v>0</v>
      </c>
      <c r="O684">
        <v>0</v>
      </c>
      <c r="P684" t="s">
        <v>5819</v>
      </c>
    </row>
    <row r="685" spans="1:16" x14ac:dyDescent="0.2">
      <c r="A685" t="s">
        <v>5146</v>
      </c>
      <c r="B685" t="s">
        <v>5147</v>
      </c>
      <c r="C685" t="s">
        <v>904</v>
      </c>
      <c r="D685" t="s">
        <v>98</v>
      </c>
      <c r="E685">
        <v>179.99</v>
      </c>
      <c r="F685" t="s">
        <v>5817</v>
      </c>
      <c r="L685" t="s">
        <v>5818</v>
      </c>
      <c r="M685">
        <v>0</v>
      </c>
      <c r="N685">
        <v>0</v>
      </c>
      <c r="O685">
        <v>0</v>
      </c>
      <c r="P685" t="s">
        <v>5819</v>
      </c>
    </row>
    <row r="686" spans="1:16" x14ac:dyDescent="0.2">
      <c r="A686" t="s">
        <v>5150</v>
      </c>
      <c r="B686" t="s">
        <v>5151</v>
      </c>
      <c r="C686" t="s">
        <v>904</v>
      </c>
      <c r="D686" t="s">
        <v>98</v>
      </c>
      <c r="E686">
        <v>49.99</v>
      </c>
      <c r="F686" t="s">
        <v>5817</v>
      </c>
      <c r="L686" t="s">
        <v>5818</v>
      </c>
      <c r="M686">
        <v>0</v>
      </c>
      <c r="N686">
        <v>0</v>
      </c>
      <c r="O686">
        <v>0</v>
      </c>
      <c r="P686" t="s">
        <v>5819</v>
      </c>
    </row>
    <row r="687" spans="1:16" x14ac:dyDescent="0.2">
      <c r="A687" t="s">
        <v>5179</v>
      </c>
      <c r="B687" t="s">
        <v>5180</v>
      </c>
      <c r="C687" t="s">
        <v>904</v>
      </c>
      <c r="D687" t="s">
        <v>98</v>
      </c>
      <c r="E687">
        <v>49.99</v>
      </c>
      <c r="F687" t="s">
        <v>5817</v>
      </c>
      <c r="L687" t="s">
        <v>5818</v>
      </c>
      <c r="M687">
        <v>0</v>
      </c>
      <c r="N687">
        <v>0</v>
      </c>
      <c r="O687">
        <v>0</v>
      </c>
      <c r="P687" t="s">
        <v>5819</v>
      </c>
    </row>
    <row r="688" spans="1:16" x14ac:dyDescent="0.2">
      <c r="A688" t="s">
        <v>5189</v>
      </c>
      <c r="B688" t="s">
        <v>5190</v>
      </c>
      <c r="C688" t="s">
        <v>904</v>
      </c>
      <c r="D688" t="s">
        <v>98</v>
      </c>
      <c r="E688">
        <v>59.99</v>
      </c>
      <c r="F688" t="s">
        <v>5817</v>
      </c>
      <c r="L688" t="s">
        <v>5818</v>
      </c>
      <c r="M688">
        <v>0</v>
      </c>
      <c r="N688">
        <v>0</v>
      </c>
      <c r="O688">
        <v>0</v>
      </c>
      <c r="P688" t="s">
        <v>5819</v>
      </c>
    </row>
    <row r="689" spans="1:16" x14ac:dyDescent="0.2">
      <c r="A689" t="s">
        <v>5134</v>
      </c>
      <c r="B689" t="s">
        <v>5135</v>
      </c>
      <c r="C689" t="s">
        <v>904</v>
      </c>
      <c r="D689" t="s">
        <v>98</v>
      </c>
      <c r="E689">
        <v>49.99</v>
      </c>
      <c r="F689" t="s">
        <v>5817</v>
      </c>
      <c r="L689" t="s">
        <v>5818</v>
      </c>
      <c r="M689">
        <v>0</v>
      </c>
      <c r="N689">
        <v>0</v>
      </c>
      <c r="O689">
        <v>0</v>
      </c>
      <c r="P689" t="s">
        <v>5819</v>
      </c>
    </row>
    <row r="690" spans="1:16" x14ac:dyDescent="0.2">
      <c r="A690" t="s">
        <v>5152</v>
      </c>
      <c r="B690" t="s">
        <v>5153</v>
      </c>
      <c r="C690" t="s">
        <v>904</v>
      </c>
      <c r="D690" t="s">
        <v>98</v>
      </c>
      <c r="E690">
        <v>79.989999999999995</v>
      </c>
      <c r="F690" t="s">
        <v>5817</v>
      </c>
      <c r="L690" t="s">
        <v>5818</v>
      </c>
      <c r="M690">
        <v>0</v>
      </c>
      <c r="N690">
        <v>0</v>
      </c>
      <c r="O690">
        <v>0</v>
      </c>
      <c r="P690" t="s">
        <v>5819</v>
      </c>
    </row>
    <row r="691" spans="1:16" x14ac:dyDescent="0.2">
      <c r="A691" t="s">
        <v>5165</v>
      </c>
      <c r="B691" t="s">
        <v>5166</v>
      </c>
      <c r="C691" t="s">
        <v>904</v>
      </c>
      <c r="D691" t="s">
        <v>98</v>
      </c>
      <c r="E691">
        <v>99.99</v>
      </c>
      <c r="F691" t="s">
        <v>5817</v>
      </c>
      <c r="L691" t="s">
        <v>5818</v>
      </c>
      <c r="M691">
        <v>0</v>
      </c>
      <c r="N691">
        <v>0</v>
      </c>
      <c r="O691">
        <v>0</v>
      </c>
      <c r="P691" t="s">
        <v>5819</v>
      </c>
    </row>
    <row r="692" spans="1:16" x14ac:dyDescent="0.2">
      <c r="A692" t="s">
        <v>5173</v>
      </c>
      <c r="B692" t="s">
        <v>5174</v>
      </c>
      <c r="C692" t="s">
        <v>904</v>
      </c>
      <c r="D692" t="s">
        <v>98</v>
      </c>
      <c r="E692">
        <v>169.99</v>
      </c>
      <c r="F692" t="s">
        <v>5817</v>
      </c>
      <c r="L692" t="s">
        <v>5818</v>
      </c>
      <c r="M692">
        <v>0</v>
      </c>
      <c r="N692">
        <v>0</v>
      </c>
      <c r="O692">
        <v>0</v>
      </c>
      <c r="P692" t="s">
        <v>5819</v>
      </c>
    </row>
    <row r="693" spans="1:16" x14ac:dyDescent="0.2">
      <c r="A693" t="s">
        <v>5169</v>
      </c>
      <c r="B693" t="s">
        <v>5170</v>
      </c>
      <c r="C693" t="s">
        <v>904</v>
      </c>
      <c r="D693" t="s">
        <v>98</v>
      </c>
      <c r="E693">
        <v>59.99</v>
      </c>
      <c r="F693" t="s">
        <v>5817</v>
      </c>
      <c r="L693" t="s">
        <v>5818</v>
      </c>
      <c r="M693">
        <v>0</v>
      </c>
      <c r="N693">
        <v>0</v>
      </c>
      <c r="O693">
        <v>0</v>
      </c>
      <c r="P693" t="s">
        <v>5819</v>
      </c>
    </row>
    <row r="694" spans="1:16" x14ac:dyDescent="0.2">
      <c r="A694" t="s">
        <v>5158</v>
      </c>
      <c r="B694" t="s">
        <v>5159</v>
      </c>
      <c r="C694" t="s">
        <v>904</v>
      </c>
      <c r="D694" t="s">
        <v>98</v>
      </c>
      <c r="E694">
        <v>59.99</v>
      </c>
      <c r="F694" t="s">
        <v>5817</v>
      </c>
      <c r="L694" t="s">
        <v>5818</v>
      </c>
      <c r="M694">
        <v>0</v>
      </c>
      <c r="N694">
        <v>0</v>
      </c>
      <c r="O694">
        <v>0</v>
      </c>
      <c r="P694" t="s">
        <v>5819</v>
      </c>
    </row>
    <row r="695" spans="1:16" x14ac:dyDescent="0.2">
      <c r="A695" t="s">
        <v>5586</v>
      </c>
      <c r="B695" t="s">
        <v>5587</v>
      </c>
      <c r="C695" t="s">
        <v>904</v>
      </c>
      <c r="D695" t="s">
        <v>98</v>
      </c>
      <c r="E695">
        <v>119.99</v>
      </c>
      <c r="F695" t="s">
        <v>5817</v>
      </c>
      <c r="L695" t="s">
        <v>5818</v>
      </c>
      <c r="M695">
        <v>0</v>
      </c>
      <c r="N695">
        <v>0</v>
      </c>
      <c r="O695">
        <v>0</v>
      </c>
      <c r="P695" t="s">
        <v>5819</v>
      </c>
    </row>
    <row r="696" spans="1:16" x14ac:dyDescent="0.2">
      <c r="A696" t="s">
        <v>5596</v>
      </c>
      <c r="B696" t="s">
        <v>5597</v>
      </c>
      <c r="C696" t="s">
        <v>904</v>
      </c>
      <c r="D696" t="s">
        <v>98</v>
      </c>
      <c r="E696">
        <v>69.989999999999995</v>
      </c>
      <c r="F696" t="s">
        <v>5817</v>
      </c>
      <c r="L696" t="s">
        <v>5818</v>
      </c>
      <c r="M696">
        <v>0</v>
      </c>
      <c r="N696">
        <v>0</v>
      </c>
      <c r="O696">
        <v>0</v>
      </c>
      <c r="P696" t="s">
        <v>5819</v>
      </c>
    </row>
    <row r="697" spans="1:16" x14ac:dyDescent="0.2">
      <c r="A697" t="s">
        <v>5590</v>
      </c>
      <c r="B697" t="s">
        <v>5591</v>
      </c>
      <c r="C697" t="s">
        <v>904</v>
      </c>
      <c r="D697" t="s">
        <v>98</v>
      </c>
      <c r="E697">
        <v>99.99</v>
      </c>
      <c r="F697" t="s">
        <v>5817</v>
      </c>
      <c r="L697" t="s">
        <v>5818</v>
      </c>
      <c r="M697">
        <v>0</v>
      </c>
      <c r="N697">
        <v>0</v>
      </c>
      <c r="O697">
        <v>0</v>
      </c>
      <c r="P697" t="s">
        <v>5819</v>
      </c>
    </row>
    <row r="698" spans="1:16" x14ac:dyDescent="0.2">
      <c r="A698" t="s">
        <v>5433</v>
      </c>
      <c r="B698" t="s">
        <v>5434</v>
      </c>
      <c r="C698" t="s">
        <v>904</v>
      </c>
      <c r="D698" t="s">
        <v>98</v>
      </c>
      <c r="E698">
        <v>39.99</v>
      </c>
      <c r="F698" t="s">
        <v>5817</v>
      </c>
      <c r="L698" t="s">
        <v>5818</v>
      </c>
      <c r="M698">
        <v>0</v>
      </c>
      <c r="N698">
        <v>0</v>
      </c>
      <c r="P698">
        <v>0</v>
      </c>
    </row>
    <row r="699" spans="1:16" x14ac:dyDescent="0.2">
      <c r="A699" t="s">
        <v>5429</v>
      </c>
      <c r="B699" t="s">
        <v>5430</v>
      </c>
      <c r="C699" t="s">
        <v>904</v>
      </c>
      <c r="D699" t="s">
        <v>98</v>
      </c>
      <c r="E699">
        <v>169.99</v>
      </c>
      <c r="F699" t="s">
        <v>5817</v>
      </c>
      <c r="L699" t="s">
        <v>5818</v>
      </c>
      <c r="M699">
        <v>0</v>
      </c>
      <c r="N699">
        <v>0</v>
      </c>
      <c r="O699">
        <v>0</v>
      </c>
      <c r="P699" t="s">
        <v>5819</v>
      </c>
    </row>
    <row r="700" spans="1:16" x14ac:dyDescent="0.2">
      <c r="A700" t="s">
        <v>5449</v>
      </c>
      <c r="B700" t="s">
        <v>5450</v>
      </c>
      <c r="C700" t="s">
        <v>904</v>
      </c>
      <c r="D700" t="s">
        <v>98</v>
      </c>
      <c r="E700">
        <v>199.99</v>
      </c>
      <c r="F700" t="s">
        <v>5817</v>
      </c>
      <c r="L700" t="s">
        <v>5818</v>
      </c>
      <c r="M700">
        <v>0</v>
      </c>
      <c r="N700">
        <v>0</v>
      </c>
      <c r="O700">
        <v>0</v>
      </c>
      <c r="P700" t="s">
        <v>5819</v>
      </c>
    </row>
    <row r="701" spans="1:16" x14ac:dyDescent="0.2">
      <c r="A701" t="s">
        <v>5598</v>
      </c>
      <c r="B701" t="s">
        <v>5599</v>
      </c>
      <c r="C701" t="s">
        <v>904</v>
      </c>
      <c r="D701" t="s">
        <v>98</v>
      </c>
      <c r="E701">
        <v>119.99</v>
      </c>
      <c r="F701" t="s">
        <v>5817</v>
      </c>
      <c r="L701" t="s">
        <v>5818</v>
      </c>
      <c r="M701">
        <v>0</v>
      </c>
      <c r="N701">
        <v>0</v>
      </c>
      <c r="O701">
        <v>0</v>
      </c>
      <c r="P701" t="s">
        <v>5819</v>
      </c>
    </row>
    <row r="702" spans="1:16" x14ac:dyDescent="0.2">
      <c r="A702" t="s">
        <v>5612</v>
      </c>
      <c r="B702" t="s">
        <v>5613</v>
      </c>
      <c r="C702" t="s">
        <v>904</v>
      </c>
      <c r="D702" t="s">
        <v>98</v>
      </c>
      <c r="E702">
        <v>119.99</v>
      </c>
      <c r="F702" t="s">
        <v>5817</v>
      </c>
      <c r="L702" t="s">
        <v>5818</v>
      </c>
      <c r="M702">
        <v>0</v>
      </c>
      <c r="N702">
        <v>0</v>
      </c>
      <c r="O702">
        <v>0</v>
      </c>
      <c r="P702" t="s">
        <v>5819</v>
      </c>
    </row>
    <row r="703" spans="1:16" x14ac:dyDescent="0.2">
      <c r="A703" t="s">
        <v>5600</v>
      </c>
      <c r="B703" t="s">
        <v>5601</v>
      </c>
      <c r="C703" t="s">
        <v>904</v>
      </c>
      <c r="D703" t="s">
        <v>98</v>
      </c>
      <c r="E703">
        <v>119.99</v>
      </c>
      <c r="F703" t="s">
        <v>5817</v>
      </c>
      <c r="L703" t="s">
        <v>5818</v>
      </c>
      <c r="M703">
        <v>0</v>
      </c>
      <c r="N703">
        <v>0</v>
      </c>
      <c r="O703">
        <v>0</v>
      </c>
      <c r="P703" t="s">
        <v>5819</v>
      </c>
    </row>
    <row r="704" spans="1:16" x14ac:dyDescent="0.2">
      <c r="A704" t="s">
        <v>5229</v>
      </c>
      <c r="B704" t="s">
        <v>5230</v>
      </c>
      <c r="C704" t="s">
        <v>904</v>
      </c>
      <c r="D704" t="s">
        <v>98</v>
      </c>
      <c r="E704">
        <v>79.989999999999995</v>
      </c>
      <c r="F704" t="s">
        <v>5817</v>
      </c>
      <c r="L704" t="s">
        <v>5818</v>
      </c>
      <c r="M704">
        <v>0</v>
      </c>
      <c r="N704">
        <v>0</v>
      </c>
      <c r="O704">
        <v>0</v>
      </c>
      <c r="P704" t="s">
        <v>5819</v>
      </c>
    </row>
    <row r="705" spans="1:16" x14ac:dyDescent="0.2">
      <c r="A705" t="s">
        <v>5255</v>
      </c>
      <c r="B705" t="s">
        <v>5256</v>
      </c>
      <c r="C705" t="s">
        <v>904</v>
      </c>
      <c r="D705" t="s">
        <v>98</v>
      </c>
      <c r="E705">
        <v>49.99</v>
      </c>
      <c r="F705" t="s">
        <v>5817</v>
      </c>
      <c r="L705" t="s">
        <v>5818</v>
      </c>
      <c r="M705">
        <v>0</v>
      </c>
      <c r="N705">
        <v>0</v>
      </c>
      <c r="O705">
        <v>0</v>
      </c>
      <c r="P705" t="s">
        <v>5819</v>
      </c>
    </row>
    <row r="706" spans="1:16" x14ac:dyDescent="0.2">
      <c r="A706" t="s">
        <v>5245</v>
      </c>
      <c r="B706" t="s">
        <v>5246</v>
      </c>
      <c r="C706" t="s">
        <v>904</v>
      </c>
      <c r="D706" t="s">
        <v>98</v>
      </c>
      <c r="E706">
        <v>69.989999999999995</v>
      </c>
      <c r="F706" t="s">
        <v>5817</v>
      </c>
      <c r="L706" t="s">
        <v>5818</v>
      </c>
      <c r="M706">
        <v>0</v>
      </c>
      <c r="N706">
        <v>0</v>
      </c>
      <c r="O706">
        <v>0</v>
      </c>
      <c r="P706" t="s">
        <v>5819</v>
      </c>
    </row>
    <row r="707" spans="1:16" x14ac:dyDescent="0.2">
      <c r="A707" t="s">
        <v>5209</v>
      </c>
      <c r="B707" t="s">
        <v>5210</v>
      </c>
      <c r="C707" t="s">
        <v>904</v>
      </c>
      <c r="D707" t="s">
        <v>98</v>
      </c>
      <c r="E707">
        <v>49.99</v>
      </c>
      <c r="F707" t="s">
        <v>5817</v>
      </c>
      <c r="L707" t="s">
        <v>5818</v>
      </c>
      <c r="M707">
        <v>0</v>
      </c>
      <c r="N707">
        <v>0</v>
      </c>
      <c r="O707">
        <v>0</v>
      </c>
      <c r="P707" t="s">
        <v>5819</v>
      </c>
    </row>
    <row r="708" spans="1:16" x14ac:dyDescent="0.2">
      <c r="A708" t="s">
        <v>5201</v>
      </c>
      <c r="B708" t="s">
        <v>5202</v>
      </c>
      <c r="C708" t="s">
        <v>904</v>
      </c>
      <c r="D708" t="s">
        <v>98</v>
      </c>
      <c r="E708">
        <v>29.99</v>
      </c>
      <c r="F708" t="s">
        <v>5817</v>
      </c>
      <c r="L708" t="s">
        <v>5818</v>
      </c>
      <c r="M708">
        <v>0</v>
      </c>
      <c r="N708">
        <v>0</v>
      </c>
      <c r="O708">
        <v>0</v>
      </c>
      <c r="P708" t="s">
        <v>5819</v>
      </c>
    </row>
    <row r="709" spans="1:16" x14ac:dyDescent="0.2">
      <c r="A709" t="s">
        <v>5219</v>
      </c>
      <c r="B709" t="s">
        <v>5220</v>
      </c>
      <c r="C709" t="s">
        <v>904</v>
      </c>
      <c r="D709" t="s">
        <v>98</v>
      </c>
      <c r="E709">
        <v>29.99</v>
      </c>
      <c r="F709" t="s">
        <v>5817</v>
      </c>
      <c r="L709" t="s">
        <v>5818</v>
      </c>
      <c r="M709">
        <v>0</v>
      </c>
      <c r="N709">
        <v>0</v>
      </c>
      <c r="O709">
        <v>0</v>
      </c>
      <c r="P709" t="s">
        <v>5819</v>
      </c>
    </row>
    <row r="710" spans="1:16" x14ac:dyDescent="0.2">
      <c r="A710" t="s">
        <v>5217</v>
      </c>
      <c r="B710" t="s">
        <v>5218</v>
      </c>
      <c r="C710" t="s">
        <v>904</v>
      </c>
      <c r="D710" t="s">
        <v>98</v>
      </c>
      <c r="E710">
        <v>29.99</v>
      </c>
      <c r="F710" t="s">
        <v>5817</v>
      </c>
      <c r="L710" t="s">
        <v>5818</v>
      </c>
      <c r="M710">
        <v>0</v>
      </c>
      <c r="N710">
        <v>0</v>
      </c>
      <c r="O710">
        <v>0</v>
      </c>
      <c r="P710" t="s">
        <v>5819</v>
      </c>
    </row>
    <row r="711" spans="1:16" x14ac:dyDescent="0.2">
      <c r="A711" t="s">
        <v>5570</v>
      </c>
      <c r="B711" t="s">
        <v>5571</v>
      </c>
      <c r="C711" t="s">
        <v>904</v>
      </c>
      <c r="D711" t="s">
        <v>98</v>
      </c>
      <c r="E711">
        <v>29.99</v>
      </c>
      <c r="F711" t="s">
        <v>5817</v>
      </c>
      <c r="L711" t="s">
        <v>5818</v>
      </c>
      <c r="M711">
        <v>0</v>
      </c>
      <c r="N711">
        <v>0</v>
      </c>
      <c r="O711">
        <v>0</v>
      </c>
      <c r="P711" t="s">
        <v>5819</v>
      </c>
    </row>
    <row r="712" spans="1:16" x14ac:dyDescent="0.2">
      <c r="A712" t="s">
        <v>5566</v>
      </c>
      <c r="B712" t="s">
        <v>5567</v>
      </c>
      <c r="C712" t="s">
        <v>904</v>
      </c>
      <c r="D712" t="s">
        <v>98</v>
      </c>
      <c r="E712">
        <v>9.99</v>
      </c>
      <c r="F712" t="s">
        <v>5817</v>
      </c>
      <c r="L712" t="s">
        <v>5818</v>
      </c>
      <c r="M712">
        <v>0</v>
      </c>
      <c r="N712">
        <v>0</v>
      </c>
      <c r="O712">
        <v>0</v>
      </c>
      <c r="P712" t="s">
        <v>5819</v>
      </c>
    </row>
    <row r="713" spans="1:16" x14ac:dyDescent="0.2">
      <c r="A713" t="s">
        <v>5580</v>
      </c>
      <c r="B713" t="s">
        <v>5581</v>
      </c>
      <c r="C713" t="s">
        <v>904</v>
      </c>
      <c r="D713" t="s">
        <v>98</v>
      </c>
      <c r="E713">
        <v>9.99</v>
      </c>
      <c r="F713" t="s">
        <v>5817</v>
      </c>
      <c r="L713" t="s">
        <v>5818</v>
      </c>
      <c r="M713">
        <v>0</v>
      </c>
      <c r="N713">
        <v>0</v>
      </c>
      <c r="O713">
        <v>0</v>
      </c>
      <c r="P713" t="s">
        <v>5819</v>
      </c>
    </row>
    <row r="714" spans="1:16" x14ac:dyDescent="0.2">
      <c r="A714" t="s">
        <v>5576</v>
      </c>
      <c r="B714" t="s">
        <v>5577</v>
      </c>
      <c r="C714" t="s">
        <v>904</v>
      </c>
      <c r="D714" t="s">
        <v>98</v>
      </c>
      <c r="E714">
        <v>9.99</v>
      </c>
      <c r="F714" t="s">
        <v>5817</v>
      </c>
      <c r="L714" t="s">
        <v>5818</v>
      </c>
      <c r="M714">
        <v>0</v>
      </c>
      <c r="N714">
        <v>0</v>
      </c>
      <c r="O714">
        <v>0</v>
      </c>
      <c r="P714" t="s">
        <v>5819</v>
      </c>
    </row>
    <row r="715" spans="1:16" x14ac:dyDescent="0.2">
      <c r="A715" t="s">
        <v>5540</v>
      </c>
      <c r="B715" t="s">
        <v>5541</v>
      </c>
      <c r="C715" t="s">
        <v>904</v>
      </c>
      <c r="D715" t="s">
        <v>98</v>
      </c>
      <c r="E715">
        <v>9.99</v>
      </c>
      <c r="F715" t="s">
        <v>5817</v>
      </c>
      <c r="L715" t="s">
        <v>5818</v>
      </c>
      <c r="M715">
        <v>0</v>
      </c>
      <c r="N715">
        <v>0</v>
      </c>
      <c r="O715">
        <v>0</v>
      </c>
      <c r="P715" t="s">
        <v>5819</v>
      </c>
    </row>
    <row r="716" spans="1:16" x14ac:dyDescent="0.2">
      <c r="A716" t="s">
        <v>5558</v>
      </c>
      <c r="B716" t="s">
        <v>5559</v>
      </c>
      <c r="C716" t="s">
        <v>904</v>
      </c>
      <c r="D716" t="s">
        <v>98</v>
      </c>
      <c r="E716">
        <v>29.99</v>
      </c>
      <c r="F716" t="s">
        <v>5817</v>
      </c>
      <c r="L716" t="s">
        <v>5818</v>
      </c>
      <c r="M716">
        <v>0</v>
      </c>
      <c r="N716">
        <v>0</v>
      </c>
      <c r="O716">
        <v>0</v>
      </c>
      <c r="P716" t="s">
        <v>5819</v>
      </c>
    </row>
    <row r="717" spans="1:16" x14ac:dyDescent="0.2">
      <c r="A717" t="s">
        <v>5554</v>
      </c>
      <c r="B717" t="s">
        <v>5555</v>
      </c>
      <c r="C717" t="s">
        <v>904</v>
      </c>
      <c r="D717" t="s">
        <v>98</v>
      </c>
      <c r="E717">
        <v>29.99</v>
      </c>
      <c r="F717" t="s">
        <v>5817</v>
      </c>
      <c r="L717" t="s">
        <v>5818</v>
      </c>
      <c r="M717">
        <v>0</v>
      </c>
      <c r="N717">
        <v>0</v>
      </c>
      <c r="O717">
        <v>0</v>
      </c>
      <c r="P717" t="s">
        <v>5819</v>
      </c>
    </row>
    <row r="718" spans="1:16" x14ac:dyDescent="0.2">
      <c r="A718" t="s">
        <v>5150</v>
      </c>
      <c r="B718" t="s">
        <v>5151</v>
      </c>
      <c r="C718" t="s">
        <v>904</v>
      </c>
      <c r="D718" t="s">
        <v>98</v>
      </c>
      <c r="E718">
        <v>49.99</v>
      </c>
      <c r="F718" t="s">
        <v>5817</v>
      </c>
      <c r="L718" t="s">
        <v>5085</v>
      </c>
      <c r="M718">
        <v>0</v>
      </c>
      <c r="N718">
        <v>0</v>
      </c>
      <c r="O718">
        <v>0</v>
      </c>
      <c r="P718" t="s">
        <v>5819</v>
      </c>
    </row>
    <row r="719" spans="1:16" x14ac:dyDescent="0.2">
      <c r="A719" t="s">
        <v>5179</v>
      </c>
      <c r="B719" t="s">
        <v>5180</v>
      </c>
      <c r="C719" t="s">
        <v>904</v>
      </c>
      <c r="D719" t="s">
        <v>98</v>
      </c>
      <c r="E719">
        <v>49.99</v>
      </c>
      <c r="F719" t="s">
        <v>5817</v>
      </c>
      <c r="L719" t="s">
        <v>5085</v>
      </c>
      <c r="M719">
        <v>0</v>
      </c>
      <c r="N719">
        <v>0</v>
      </c>
      <c r="O719">
        <v>0</v>
      </c>
      <c r="P719" t="s">
        <v>5819</v>
      </c>
    </row>
    <row r="720" spans="1:16" x14ac:dyDescent="0.2">
      <c r="A720" t="s">
        <v>5189</v>
      </c>
      <c r="B720" t="s">
        <v>5190</v>
      </c>
      <c r="C720" t="s">
        <v>904</v>
      </c>
      <c r="D720" t="s">
        <v>98</v>
      </c>
      <c r="E720">
        <v>59.99</v>
      </c>
      <c r="F720" t="s">
        <v>5817</v>
      </c>
      <c r="L720" t="s">
        <v>5085</v>
      </c>
      <c r="M720">
        <v>0</v>
      </c>
      <c r="N720">
        <v>0</v>
      </c>
      <c r="O720">
        <v>0</v>
      </c>
      <c r="P720" t="s">
        <v>5819</v>
      </c>
    </row>
    <row r="721" spans="1:16" x14ac:dyDescent="0.2">
      <c r="A721" t="s">
        <v>5173</v>
      </c>
      <c r="B721" t="s">
        <v>5174</v>
      </c>
      <c r="C721" t="s">
        <v>904</v>
      </c>
      <c r="D721" t="s">
        <v>98</v>
      </c>
      <c r="E721">
        <v>169.99</v>
      </c>
      <c r="F721" t="s">
        <v>5817</v>
      </c>
      <c r="L721" t="s">
        <v>5085</v>
      </c>
      <c r="M721">
        <v>0</v>
      </c>
      <c r="N721">
        <v>0</v>
      </c>
      <c r="O721">
        <v>0</v>
      </c>
      <c r="P721" t="s">
        <v>5819</v>
      </c>
    </row>
    <row r="722" spans="1:16" x14ac:dyDescent="0.2">
      <c r="A722" t="s">
        <v>5152</v>
      </c>
      <c r="B722" t="s">
        <v>5153</v>
      </c>
      <c r="C722" t="s">
        <v>904</v>
      </c>
      <c r="D722" t="s">
        <v>98</v>
      </c>
      <c r="E722">
        <v>79.989999999999995</v>
      </c>
      <c r="F722" t="s">
        <v>5817</v>
      </c>
      <c r="L722" t="s">
        <v>5085</v>
      </c>
      <c r="M722">
        <v>0</v>
      </c>
      <c r="N722">
        <v>0</v>
      </c>
      <c r="O722">
        <v>0</v>
      </c>
      <c r="P722" t="s">
        <v>5819</v>
      </c>
    </row>
    <row r="723" spans="1:16" x14ac:dyDescent="0.2">
      <c r="A723" t="s">
        <v>5165</v>
      </c>
      <c r="B723" t="s">
        <v>5166</v>
      </c>
      <c r="C723" t="s">
        <v>904</v>
      </c>
      <c r="D723" t="s">
        <v>98</v>
      </c>
      <c r="E723">
        <v>99.99</v>
      </c>
      <c r="F723" t="s">
        <v>5817</v>
      </c>
      <c r="L723" t="s">
        <v>5085</v>
      </c>
      <c r="M723">
        <v>0</v>
      </c>
      <c r="N723">
        <v>0</v>
      </c>
      <c r="O723">
        <v>0</v>
      </c>
      <c r="P723" t="s">
        <v>5819</v>
      </c>
    </row>
    <row r="724" spans="1:16" x14ac:dyDescent="0.2">
      <c r="A724" t="s">
        <v>5134</v>
      </c>
      <c r="B724" t="s">
        <v>5135</v>
      </c>
      <c r="C724" t="s">
        <v>904</v>
      </c>
      <c r="D724" t="s">
        <v>98</v>
      </c>
      <c r="E724">
        <v>49.99</v>
      </c>
      <c r="F724" t="s">
        <v>5817</v>
      </c>
      <c r="L724" t="s">
        <v>5085</v>
      </c>
      <c r="M724">
        <v>0</v>
      </c>
      <c r="N724">
        <v>0</v>
      </c>
      <c r="O724">
        <v>0</v>
      </c>
      <c r="P724" t="s">
        <v>5819</v>
      </c>
    </row>
    <row r="725" spans="1:16" x14ac:dyDescent="0.2">
      <c r="A725" t="s">
        <v>5140</v>
      </c>
      <c r="B725" t="s">
        <v>5141</v>
      </c>
      <c r="C725" t="s">
        <v>904</v>
      </c>
      <c r="D725" t="s">
        <v>98</v>
      </c>
      <c r="E725">
        <v>29.99</v>
      </c>
      <c r="F725" t="s">
        <v>5817</v>
      </c>
      <c r="L725" t="s">
        <v>5085</v>
      </c>
      <c r="M725">
        <v>0</v>
      </c>
      <c r="N725">
        <v>0</v>
      </c>
      <c r="O725">
        <v>0</v>
      </c>
      <c r="P725" t="s">
        <v>5819</v>
      </c>
    </row>
    <row r="726" spans="1:16" x14ac:dyDescent="0.2">
      <c r="A726" t="s">
        <v>5146</v>
      </c>
      <c r="B726" t="s">
        <v>5147</v>
      </c>
      <c r="C726" t="s">
        <v>904</v>
      </c>
      <c r="D726" t="s">
        <v>98</v>
      </c>
      <c r="E726">
        <v>179.99</v>
      </c>
      <c r="F726" t="s">
        <v>5817</v>
      </c>
      <c r="L726" t="s">
        <v>5085</v>
      </c>
      <c r="M726">
        <v>0</v>
      </c>
      <c r="N726">
        <v>0</v>
      </c>
      <c r="O726">
        <v>0</v>
      </c>
      <c r="P726" t="s">
        <v>5819</v>
      </c>
    </row>
    <row r="727" spans="1:16" x14ac:dyDescent="0.2">
      <c r="A727" t="s">
        <v>5576</v>
      </c>
      <c r="B727" t="s">
        <v>5577</v>
      </c>
      <c r="C727" t="s">
        <v>904</v>
      </c>
      <c r="D727" t="s">
        <v>98</v>
      </c>
      <c r="E727">
        <v>9.99</v>
      </c>
      <c r="F727" t="s">
        <v>5817</v>
      </c>
      <c r="L727" t="s">
        <v>5065</v>
      </c>
      <c r="M727">
        <v>0</v>
      </c>
      <c r="N727">
        <v>0</v>
      </c>
      <c r="P727">
        <v>0</v>
      </c>
    </row>
    <row r="728" spans="1:16" x14ac:dyDescent="0.2">
      <c r="A728" t="s">
        <v>5540</v>
      </c>
      <c r="B728" t="s">
        <v>5541</v>
      </c>
      <c r="C728" t="s">
        <v>904</v>
      </c>
      <c r="D728" t="s">
        <v>98</v>
      </c>
      <c r="E728">
        <v>9.99</v>
      </c>
      <c r="F728" t="s">
        <v>5817</v>
      </c>
      <c r="L728" t="s">
        <v>5065</v>
      </c>
      <c r="M728">
        <v>0</v>
      </c>
      <c r="N728">
        <v>0</v>
      </c>
      <c r="P728">
        <v>0</v>
      </c>
    </row>
    <row r="729" spans="1:16" x14ac:dyDescent="0.2">
      <c r="A729" t="s">
        <v>5554</v>
      </c>
      <c r="B729" t="s">
        <v>5555</v>
      </c>
      <c r="C729" t="s">
        <v>904</v>
      </c>
      <c r="D729" t="s">
        <v>98</v>
      </c>
      <c r="E729">
        <v>29.99</v>
      </c>
      <c r="F729" t="s">
        <v>5817</v>
      </c>
      <c r="L729" t="s">
        <v>5065</v>
      </c>
      <c r="M729">
        <v>0</v>
      </c>
      <c r="N729">
        <v>0</v>
      </c>
      <c r="P729">
        <v>0</v>
      </c>
    </row>
    <row r="730" spans="1:16" x14ac:dyDescent="0.2">
      <c r="A730" t="s">
        <v>5600</v>
      </c>
      <c r="B730" t="s">
        <v>5601</v>
      </c>
      <c r="C730" t="s">
        <v>904</v>
      </c>
      <c r="D730" t="s">
        <v>98</v>
      </c>
      <c r="E730">
        <v>119.99</v>
      </c>
      <c r="F730" t="s">
        <v>5817</v>
      </c>
      <c r="L730" t="s">
        <v>5065</v>
      </c>
      <c r="M730">
        <v>0</v>
      </c>
      <c r="N730">
        <v>0</v>
      </c>
      <c r="P730">
        <v>0</v>
      </c>
    </row>
    <row r="731" spans="1:16" x14ac:dyDescent="0.2">
      <c r="A731" t="s">
        <v>5558</v>
      </c>
      <c r="B731" t="s">
        <v>5559</v>
      </c>
      <c r="C731" t="s">
        <v>904</v>
      </c>
      <c r="D731" t="s">
        <v>98</v>
      </c>
      <c r="E731">
        <v>29.99</v>
      </c>
      <c r="F731" t="s">
        <v>5817</v>
      </c>
      <c r="L731" t="s">
        <v>5065</v>
      </c>
      <c r="M731">
        <v>0</v>
      </c>
      <c r="N731">
        <v>0</v>
      </c>
      <c r="P731">
        <v>0</v>
      </c>
    </row>
    <row r="732" spans="1:16" x14ac:dyDescent="0.2">
      <c r="A732" t="s">
        <v>5245</v>
      </c>
      <c r="B732" t="s">
        <v>5246</v>
      </c>
      <c r="C732" t="s">
        <v>904</v>
      </c>
      <c r="D732" t="s">
        <v>98</v>
      </c>
      <c r="E732">
        <v>69.989999999999995</v>
      </c>
      <c r="F732" t="s">
        <v>5817</v>
      </c>
      <c r="L732" t="s">
        <v>5065</v>
      </c>
      <c r="M732">
        <v>0</v>
      </c>
      <c r="N732">
        <v>0</v>
      </c>
      <c r="P732">
        <v>0</v>
      </c>
    </row>
    <row r="733" spans="1:16" x14ac:dyDescent="0.2">
      <c r="A733" t="s">
        <v>5255</v>
      </c>
      <c r="B733" t="s">
        <v>5256</v>
      </c>
      <c r="C733" t="s">
        <v>904</v>
      </c>
      <c r="D733" t="s">
        <v>98</v>
      </c>
      <c r="E733">
        <v>49.99</v>
      </c>
      <c r="F733" t="s">
        <v>5817</v>
      </c>
      <c r="L733" t="s">
        <v>5065</v>
      </c>
      <c r="M733">
        <v>0</v>
      </c>
      <c r="N733">
        <v>0</v>
      </c>
      <c r="P733">
        <v>0</v>
      </c>
    </row>
    <row r="734" spans="1:16" x14ac:dyDescent="0.2">
      <c r="A734" t="s">
        <v>5229</v>
      </c>
      <c r="B734" t="s">
        <v>5230</v>
      </c>
      <c r="C734" t="s">
        <v>904</v>
      </c>
      <c r="D734" t="s">
        <v>98</v>
      </c>
      <c r="E734">
        <v>79.989999999999995</v>
      </c>
      <c r="F734" t="s">
        <v>5817</v>
      </c>
      <c r="L734" t="s">
        <v>5065</v>
      </c>
      <c r="M734">
        <v>0</v>
      </c>
      <c r="N734">
        <v>0</v>
      </c>
      <c r="P734">
        <v>0</v>
      </c>
    </row>
    <row r="735" spans="1:16" x14ac:dyDescent="0.2">
      <c r="A735" t="s">
        <v>5158</v>
      </c>
      <c r="B735" t="s">
        <v>5159</v>
      </c>
      <c r="C735" t="s">
        <v>904</v>
      </c>
      <c r="D735" t="s">
        <v>98</v>
      </c>
      <c r="E735">
        <v>59.99</v>
      </c>
      <c r="F735" t="s">
        <v>5817</v>
      </c>
      <c r="L735" t="s">
        <v>5065</v>
      </c>
      <c r="M735">
        <v>0</v>
      </c>
      <c r="N735">
        <v>0</v>
      </c>
      <c r="P735">
        <v>0</v>
      </c>
    </row>
    <row r="736" spans="1:16" x14ac:dyDescent="0.2">
      <c r="A736" t="s">
        <v>5165</v>
      </c>
      <c r="B736" t="s">
        <v>5166</v>
      </c>
      <c r="C736" t="s">
        <v>904</v>
      </c>
      <c r="D736" t="s">
        <v>98</v>
      </c>
      <c r="E736">
        <v>99.99</v>
      </c>
      <c r="F736" t="s">
        <v>5817</v>
      </c>
      <c r="L736" t="s">
        <v>5065</v>
      </c>
      <c r="M736">
        <v>0</v>
      </c>
      <c r="N736">
        <v>0</v>
      </c>
      <c r="P736">
        <v>0</v>
      </c>
    </row>
    <row r="737" spans="1:16" x14ac:dyDescent="0.2">
      <c r="A737" t="s">
        <v>5580</v>
      </c>
      <c r="B737" t="s">
        <v>5581</v>
      </c>
      <c r="C737" t="s">
        <v>904</v>
      </c>
      <c r="D737" t="s">
        <v>98</v>
      </c>
      <c r="E737">
        <v>9.99</v>
      </c>
      <c r="F737" t="s">
        <v>5817</v>
      </c>
      <c r="L737" t="s">
        <v>5065</v>
      </c>
      <c r="M737">
        <v>0</v>
      </c>
      <c r="N737">
        <v>0</v>
      </c>
      <c r="P737">
        <v>0</v>
      </c>
    </row>
    <row r="738" spans="1:16" x14ac:dyDescent="0.2">
      <c r="A738" t="s">
        <v>5209</v>
      </c>
      <c r="B738" t="s">
        <v>5210</v>
      </c>
      <c r="C738" t="s">
        <v>904</v>
      </c>
      <c r="D738" t="s">
        <v>98</v>
      </c>
      <c r="E738">
        <v>49.99</v>
      </c>
      <c r="F738" t="s">
        <v>5817</v>
      </c>
      <c r="L738" t="s">
        <v>5065</v>
      </c>
      <c r="M738">
        <v>0</v>
      </c>
      <c r="N738">
        <v>0</v>
      </c>
      <c r="P738">
        <v>0</v>
      </c>
    </row>
    <row r="739" spans="1:16" x14ac:dyDescent="0.2">
      <c r="A739" t="s">
        <v>5612</v>
      </c>
      <c r="B739" t="s">
        <v>5613</v>
      </c>
      <c r="C739" t="s">
        <v>904</v>
      </c>
      <c r="D739" t="s">
        <v>98</v>
      </c>
      <c r="E739">
        <v>119.99</v>
      </c>
      <c r="F739" t="s">
        <v>5817</v>
      </c>
      <c r="L739" t="s">
        <v>5065</v>
      </c>
      <c r="M739">
        <v>0</v>
      </c>
      <c r="N739">
        <v>0</v>
      </c>
      <c r="P739">
        <v>0</v>
      </c>
    </row>
    <row r="740" spans="1:16" x14ac:dyDescent="0.2">
      <c r="A740" t="s">
        <v>5566</v>
      </c>
      <c r="B740" t="s">
        <v>5567</v>
      </c>
      <c r="C740" t="s">
        <v>904</v>
      </c>
      <c r="D740" t="s">
        <v>98</v>
      </c>
      <c r="E740">
        <v>9.99</v>
      </c>
      <c r="F740" t="s">
        <v>5817</v>
      </c>
      <c r="L740" t="s">
        <v>5065</v>
      </c>
      <c r="M740">
        <v>0</v>
      </c>
      <c r="N740">
        <v>0</v>
      </c>
      <c r="P740">
        <v>0</v>
      </c>
    </row>
    <row r="741" spans="1:16" x14ac:dyDescent="0.2">
      <c r="A741" t="s">
        <v>5570</v>
      </c>
      <c r="B741" t="s">
        <v>5571</v>
      </c>
      <c r="C741" t="s">
        <v>904</v>
      </c>
      <c r="D741" t="s">
        <v>98</v>
      </c>
      <c r="E741">
        <v>29.99</v>
      </c>
      <c r="F741" t="s">
        <v>5817</v>
      </c>
      <c r="L741" t="s">
        <v>5065</v>
      </c>
      <c r="M741">
        <v>0</v>
      </c>
      <c r="N741">
        <v>0</v>
      </c>
      <c r="P741">
        <v>0</v>
      </c>
    </row>
    <row r="742" spans="1:16" x14ac:dyDescent="0.2">
      <c r="A742" t="s">
        <v>5217</v>
      </c>
      <c r="B742" t="s">
        <v>5218</v>
      </c>
      <c r="C742" t="s">
        <v>904</v>
      </c>
      <c r="D742" t="s">
        <v>98</v>
      </c>
      <c r="E742">
        <v>29.99</v>
      </c>
      <c r="F742" t="s">
        <v>5817</v>
      </c>
      <c r="L742" t="s">
        <v>5065</v>
      </c>
      <c r="M742">
        <v>0</v>
      </c>
      <c r="N742">
        <v>0</v>
      </c>
      <c r="P742">
        <v>0</v>
      </c>
    </row>
    <row r="743" spans="1:16" x14ac:dyDescent="0.2">
      <c r="A743" t="s">
        <v>5219</v>
      </c>
      <c r="B743" t="s">
        <v>5220</v>
      </c>
      <c r="C743" t="s">
        <v>904</v>
      </c>
      <c r="D743" t="s">
        <v>98</v>
      </c>
      <c r="E743">
        <v>29.99</v>
      </c>
      <c r="F743" t="s">
        <v>5817</v>
      </c>
      <c r="L743" t="s">
        <v>5065</v>
      </c>
      <c r="M743">
        <v>0</v>
      </c>
      <c r="N743">
        <v>0</v>
      </c>
      <c r="P743">
        <v>0</v>
      </c>
    </row>
    <row r="744" spans="1:16" x14ac:dyDescent="0.2">
      <c r="A744" t="s">
        <v>5201</v>
      </c>
      <c r="B744" t="s">
        <v>5202</v>
      </c>
      <c r="C744" t="s">
        <v>904</v>
      </c>
      <c r="D744" t="s">
        <v>98</v>
      </c>
      <c r="E744">
        <v>29.99</v>
      </c>
      <c r="F744" t="s">
        <v>5817</v>
      </c>
      <c r="L744" t="s">
        <v>5065</v>
      </c>
      <c r="M744">
        <v>0</v>
      </c>
      <c r="N744">
        <v>0</v>
      </c>
      <c r="P744">
        <v>0</v>
      </c>
    </row>
    <row r="745" spans="1:16" x14ac:dyDescent="0.2">
      <c r="A745" t="s">
        <v>5433</v>
      </c>
      <c r="B745" t="s">
        <v>5434</v>
      </c>
      <c r="C745" t="s">
        <v>904</v>
      </c>
      <c r="D745" t="s">
        <v>98</v>
      </c>
      <c r="E745">
        <v>39.99</v>
      </c>
      <c r="F745" t="s">
        <v>5817</v>
      </c>
      <c r="L745" t="s">
        <v>5065</v>
      </c>
      <c r="M745">
        <v>0</v>
      </c>
      <c r="N745">
        <v>0</v>
      </c>
      <c r="P745">
        <v>0</v>
      </c>
    </row>
    <row r="746" spans="1:16" x14ac:dyDescent="0.2">
      <c r="A746" t="s">
        <v>5590</v>
      </c>
      <c r="B746" t="s">
        <v>5591</v>
      </c>
      <c r="C746" t="s">
        <v>904</v>
      </c>
      <c r="D746" t="s">
        <v>98</v>
      </c>
      <c r="E746">
        <v>99.99</v>
      </c>
      <c r="F746" t="s">
        <v>5817</v>
      </c>
      <c r="L746" t="s">
        <v>5065</v>
      </c>
      <c r="M746">
        <v>0</v>
      </c>
      <c r="N746">
        <v>0</v>
      </c>
      <c r="P746">
        <v>0</v>
      </c>
    </row>
    <row r="747" spans="1:16" x14ac:dyDescent="0.2">
      <c r="A747" t="s">
        <v>5596</v>
      </c>
      <c r="B747" t="s">
        <v>5597</v>
      </c>
      <c r="C747" t="s">
        <v>904</v>
      </c>
      <c r="D747" t="s">
        <v>98</v>
      </c>
      <c r="E747">
        <v>69.989999999999995</v>
      </c>
      <c r="F747" t="s">
        <v>5817</v>
      </c>
      <c r="L747" t="s">
        <v>5065</v>
      </c>
      <c r="M747">
        <v>0</v>
      </c>
      <c r="N747">
        <v>0</v>
      </c>
      <c r="P747">
        <v>0</v>
      </c>
    </row>
    <row r="748" spans="1:16" x14ac:dyDescent="0.2">
      <c r="A748" t="s">
        <v>5586</v>
      </c>
      <c r="B748" t="s">
        <v>5587</v>
      </c>
      <c r="C748" t="s">
        <v>904</v>
      </c>
      <c r="D748" t="s">
        <v>98</v>
      </c>
      <c r="E748">
        <v>119.99</v>
      </c>
      <c r="F748" t="s">
        <v>5817</v>
      </c>
      <c r="L748" t="s">
        <v>5065</v>
      </c>
      <c r="M748">
        <v>0</v>
      </c>
      <c r="N748">
        <v>0</v>
      </c>
      <c r="P748">
        <v>0</v>
      </c>
    </row>
    <row r="749" spans="1:16" x14ac:dyDescent="0.2">
      <c r="A749" t="s">
        <v>5598</v>
      </c>
      <c r="B749" t="s">
        <v>5599</v>
      </c>
      <c r="C749" t="s">
        <v>904</v>
      </c>
      <c r="D749" t="s">
        <v>98</v>
      </c>
      <c r="E749">
        <v>119.99</v>
      </c>
      <c r="F749" t="s">
        <v>5817</v>
      </c>
      <c r="L749" t="s">
        <v>5065</v>
      </c>
      <c r="M749">
        <v>0</v>
      </c>
      <c r="N749">
        <v>0</v>
      </c>
      <c r="P749">
        <v>0</v>
      </c>
    </row>
    <row r="750" spans="1:16" x14ac:dyDescent="0.2">
      <c r="A750" t="s">
        <v>5429</v>
      </c>
      <c r="B750" t="s">
        <v>5430</v>
      </c>
      <c r="C750" t="s">
        <v>904</v>
      </c>
      <c r="D750" t="s">
        <v>98</v>
      </c>
      <c r="E750">
        <v>169.99</v>
      </c>
      <c r="F750" t="s">
        <v>5817</v>
      </c>
      <c r="L750" t="s">
        <v>5065</v>
      </c>
      <c r="M750">
        <v>0</v>
      </c>
      <c r="N750">
        <v>0</v>
      </c>
      <c r="P750">
        <v>0</v>
      </c>
    </row>
    <row r="751" spans="1:16" x14ac:dyDescent="0.2">
      <c r="A751" t="s">
        <v>5169</v>
      </c>
      <c r="B751" t="s">
        <v>5170</v>
      </c>
      <c r="C751" t="s">
        <v>904</v>
      </c>
      <c r="D751" t="s">
        <v>98</v>
      </c>
      <c r="E751">
        <v>59.99</v>
      </c>
      <c r="F751" t="s">
        <v>5817</v>
      </c>
      <c r="L751" t="s">
        <v>5065</v>
      </c>
      <c r="M751">
        <v>0</v>
      </c>
      <c r="N751">
        <v>0</v>
      </c>
      <c r="P751">
        <v>0</v>
      </c>
    </row>
    <row r="752" spans="1:16" x14ac:dyDescent="0.2">
      <c r="A752" t="s">
        <v>5449</v>
      </c>
      <c r="B752" t="s">
        <v>5450</v>
      </c>
      <c r="C752" t="s">
        <v>904</v>
      </c>
      <c r="D752" t="s">
        <v>98</v>
      </c>
      <c r="E752">
        <v>199.99</v>
      </c>
      <c r="F752" t="s">
        <v>5817</v>
      </c>
      <c r="L752" t="s">
        <v>5065</v>
      </c>
      <c r="M752">
        <v>0</v>
      </c>
      <c r="N752">
        <v>0</v>
      </c>
      <c r="P752">
        <v>0</v>
      </c>
    </row>
    <row r="753" spans="1:16" x14ac:dyDescent="0.2">
      <c r="A753" t="s">
        <v>5189</v>
      </c>
      <c r="B753" t="s">
        <v>5190</v>
      </c>
      <c r="C753" t="s">
        <v>904</v>
      </c>
      <c r="D753" t="s">
        <v>98</v>
      </c>
      <c r="E753">
        <v>59.99</v>
      </c>
      <c r="F753" t="s">
        <v>5817</v>
      </c>
      <c r="L753" t="s">
        <v>5065</v>
      </c>
      <c r="M753">
        <v>0</v>
      </c>
      <c r="N753">
        <v>0</v>
      </c>
      <c r="P753">
        <v>0</v>
      </c>
    </row>
    <row r="754" spans="1:16" x14ac:dyDescent="0.2">
      <c r="A754" t="s">
        <v>5179</v>
      </c>
      <c r="B754" t="s">
        <v>5180</v>
      </c>
      <c r="C754" t="s">
        <v>904</v>
      </c>
      <c r="D754" t="s">
        <v>98</v>
      </c>
      <c r="E754">
        <v>49.99</v>
      </c>
      <c r="F754" t="s">
        <v>5817</v>
      </c>
      <c r="L754" t="s">
        <v>5065</v>
      </c>
      <c r="M754">
        <v>0</v>
      </c>
      <c r="N754">
        <v>0</v>
      </c>
      <c r="P754">
        <v>0</v>
      </c>
    </row>
    <row r="755" spans="1:16" x14ac:dyDescent="0.2">
      <c r="A755" t="s">
        <v>5152</v>
      </c>
      <c r="B755" t="s">
        <v>5153</v>
      </c>
      <c r="C755" t="s">
        <v>904</v>
      </c>
      <c r="D755" t="s">
        <v>98</v>
      </c>
      <c r="E755">
        <v>79.989999999999995</v>
      </c>
      <c r="F755" t="s">
        <v>5817</v>
      </c>
      <c r="L755" t="s">
        <v>5065</v>
      </c>
      <c r="M755">
        <v>0</v>
      </c>
      <c r="N755">
        <v>0</v>
      </c>
      <c r="P755">
        <v>0</v>
      </c>
    </row>
    <row r="756" spans="1:16" x14ac:dyDescent="0.2">
      <c r="A756" t="s">
        <v>5173</v>
      </c>
      <c r="B756" t="s">
        <v>5174</v>
      </c>
      <c r="C756" t="s">
        <v>904</v>
      </c>
      <c r="D756" t="s">
        <v>98</v>
      </c>
      <c r="E756">
        <v>169.99</v>
      </c>
      <c r="F756" t="s">
        <v>5817</v>
      </c>
      <c r="L756" t="s">
        <v>5065</v>
      </c>
      <c r="M756">
        <v>0</v>
      </c>
      <c r="N756">
        <v>0</v>
      </c>
      <c r="P756">
        <v>0</v>
      </c>
    </row>
    <row r="757" spans="1:16" x14ac:dyDescent="0.2">
      <c r="A757" t="s">
        <v>5150</v>
      </c>
      <c r="B757" t="s">
        <v>5151</v>
      </c>
      <c r="C757" t="s">
        <v>904</v>
      </c>
      <c r="D757" t="s">
        <v>98</v>
      </c>
      <c r="E757">
        <v>49.99</v>
      </c>
      <c r="F757" t="s">
        <v>5817</v>
      </c>
      <c r="L757" t="s">
        <v>5065</v>
      </c>
      <c r="M757">
        <v>0</v>
      </c>
      <c r="N757">
        <v>0</v>
      </c>
      <c r="P757">
        <v>0</v>
      </c>
    </row>
    <row r="758" spans="1:16" x14ac:dyDescent="0.2">
      <c r="A758" t="s">
        <v>5146</v>
      </c>
      <c r="B758" t="s">
        <v>5147</v>
      </c>
      <c r="C758" t="s">
        <v>904</v>
      </c>
      <c r="D758" t="s">
        <v>98</v>
      </c>
      <c r="E758">
        <v>179.99</v>
      </c>
      <c r="F758" t="s">
        <v>5817</v>
      </c>
      <c r="L758" t="s">
        <v>5065</v>
      </c>
      <c r="M758">
        <v>0</v>
      </c>
      <c r="N758">
        <v>0</v>
      </c>
      <c r="P758">
        <v>0</v>
      </c>
    </row>
    <row r="759" spans="1:16" x14ac:dyDescent="0.2">
      <c r="A759" t="s">
        <v>5134</v>
      </c>
      <c r="B759" t="s">
        <v>5135</v>
      </c>
      <c r="C759" t="s">
        <v>904</v>
      </c>
      <c r="D759" t="s">
        <v>98</v>
      </c>
      <c r="E759">
        <v>49.99</v>
      </c>
      <c r="F759" t="s">
        <v>5817</v>
      </c>
      <c r="L759" t="s">
        <v>5065</v>
      </c>
      <c r="M759">
        <v>0</v>
      </c>
      <c r="N759">
        <v>0</v>
      </c>
      <c r="P759">
        <v>0</v>
      </c>
    </row>
    <row r="760" spans="1:16" x14ac:dyDescent="0.2">
      <c r="A760" t="s">
        <v>5140</v>
      </c>
      <c r="B760" t="s">
        <v>5141</v>
      </c>
      <c r="C760" t="s">
        <v>904</v>
      </c>
      <c r="D760" t="s">
        <v>98</v>
      </c>
      <c r="E760">
        <v>29.99</v>
      </c>
      <c r="F760" t="s">
        <v>5817</v>
      </c>
      <c r="L760" t="s">
        <v>5065</v>
      </c>
      <c r="M760">
        <v>0</v>
      </c>
      <c r="N760">
        <v>0</v>
      </c>
      <c r="P760">
        <v>0</v>
      </c>
    </row>
    <row r="761" spans="1:16" x14ac:dyDescent="0.2">
      <c r="A761" t="s">
        <v>5140</v>
      </c>
      <c r="B761" t="s">
        <v>5141</v>
      </c>
      <c r="C761" t="s">
        <v>904</v>
      </c>
      <c r="D761" t="s">
        <v>98</v>
      </c>
      <c r="E761">
        <v>29.99</v>
      </c>
      <c r="F761" t="s">
        <v>5817</v>
      </c>
      <c r="L761" t="s">
        <v>8</v>
      </c>
      <c r="M761">
        <v>0</v>
      </c>
      <c r="N761">
        <v>0</v>
      </c>
      <c r="O761">
        <v>0</v>
      </c>
      <c r="P761">
        <v>0</v>
      </c>
    </row>
    <row r="762" spans="1:16" x14ac:dyDescent="0.2">
      <c r="A762" t="s">
        <v>5134</v>
      </c>
      <c r="B762" t="s">
        <v>5135</v>
      </c>
      <c r="C762" t="s">
        <v>904</v>
      </c>
      <c r="D762" t="s">
        <v>98</v>
      </c>
      <c r="E762">
        <v>49.99</v>
      </c>
      <c r="F762" t="s">
        <v>5817</v>
      </c>
      <c r="L762" t="s">
        <v>8</v>
      </c>
      <c r="M762">
        <v>0</v>
      </c>
      <c r="N762">
        <v>0</v>
      </c>
      <c r="O762">
        <v>0</v>
      </c>
      <c r="P762">
        <v>0</v>
      </c>
    </row>
    <row r="763" spans="1:16" x14ac:dyDescent="0.2">
      <c r="A763" t="s">
        <v>5152</v>
      </c>
      <c r="B763" t="s">
        <v>5153</v>
      </c>
      <c r="C763" t="s">
        <v>904</v>
      </c>
      <c r="D763" t="s">
        <v>98</v>
      </c>
      <c r="E763">
        <v>79.989999999999995</v>
      </c>
      <c r="F763" t="s">
        <v>5817</v>
      </c>
      <c r="L763" t="s">
        <v>8</v>
      </c>
      <c r="M763">
        <v>0</v>
      </c>
      <c r="N763">
        <v>0</v>
      </c>
      <c r="O763">
        <v>0</v>
      </c>
      <c r="P763">
        <v>0</v>
      </c>
    </row>
    <row r="764" spans="1:16" x14ac:dyDescent="0.2">
      <c r="A764" t="s">
        <v>5173</v>
      </c>
      <c r="B764" t="s">
        <v>5174</v>
      </c>
      <c r="C764" t="s">
        <v>904</v>
      </c>
      <c r="D764" t="s">
        <v>98</v>
      </c>
      <c r="E764">
        <v>169.99</v>
      </c>
      <c r="F764" t="s">
        <v>5817</v>
      </c>
      <c r="L764" t="s">
        <v>8</v>
      </c>
      <c r="M764">
        <v>0</v>
      </c>
      <c r="N764">
        <v>0</v>
      </c>
      <c r="O764">
        <v>0</v>
      </c>
      <c r="P764">
        <v>0</v>
      </c>
    </row>
    <row r="765" spans="1:16" x14ac:dyDescent="0.2">
      <c r="A765" t="s">
        <v>5165</v>
      </c>
      <c r="B765" t="s">
        <v>5166</v>
      </c>
      <c r="C765" t="s">
        <v>904</v>
      </c>
      <c r="D765" t="s">
        <v>98</v>
      </c>
      <c r="E765">
        <v>99.99</v>
      </c>
      <c r="F765" t="s">
        <v>5817</v>
      </c>
      <c r="L765" t="s">
        <v>8</v>
      </c>
      <c r="M765">
        <v>0</v>
      </c>
      <c r="N765">
        <v>0</v>
      </c>
      <c r="O765">
        <v>0</v>
      </c>
      <c r="P765">
        <v>0</v>
      </c>
    </row>
    <row r="766" spans="1:16" x14ac:dyDescent="0.2">
      <c r="A766" t="s">
        <v>5146</v>
      </c>
      <c r="B766" t="s">
        <v>5147</v>
      </c>
      <c r="C766" t="s">
        <v>904</v>
      </c>
      <c r="D766" t="s">
        <v>98</v>
      </c>
      <c r="E766">
        <v>179.99</v>
      </c>
      <c r="F766" t="s">
        <v>5817</v>
      </c>
      <c r="L766" t="s">
        <v>8</v>
      </c>
      <c r="M766">
        <v>0</v>
      </c>
      <c r="N766">
        <v>0</v>
      </c>
      <c r="O766">
        <v>0</v>
      </c>
      <c r="P766">
        <v>0</v>
      </c>
    </row>
    <row r="767" spans="1:16" x14ac:dyDescent="0.2">
      <c r="A767" t="s">
        <v>5150</v>
      </c>
      <c r="B767" t="s">
        <v>5151</v>
      </c>
      <c r="C767" t="s">
        <v>904</v>
      </c>
      <c r="D767" t="s">
        <v>98</v>
      </c>
      <c r="E767">
        <v>49.99</v>
      </c>
      <c r="F767" t="s">
        <v>5817</v>
      </c>
      <c r="L767" t="s">
        <v>8</v>
      </c>
      <c r="M767">
        <v>0</v>
      </c>
      <c r="N767">
        <v>0</v>
      </c>
      <c r="O767">
        <v>0</v>
      </c>
      <c r="P767">
        <v>0</v>
      </c>
    </row>
    <row r="768" spans="1:16" x14ac:dyDescent="0.2">
      <c r="A768" t="s">
        <v>5189</v>
      </c>
      <c r="B768" t="s">
        <v>5190</v>
      </c>
      <c r="C768" t="s">
        <v>904</v>
      </c>
      <c r="D768" t="s">
        <v>98</v>
      </c>
      <c r="E768">
        <v>59.99</v>
      </c>
      <c r="F768" t="s">
        <v>5817</v>
      </c>
      <c r="L768" t="s">
        <v>8</v>
      </c>
      <c r="M768">
        <v>0</v>
      </c>
      <c r="N768">
        <v>0</v>
      </c>
      <c r="O768">
        <v>0</v>
      </c>
      <c r="P768">
        <v>0</v>
      </c>
    </row>
    <row r="769" spans="1:16" x14ac:dyDescent="0.2">
      <c r="A769" t="s">
        <v>5179</v>
      </c>
      <c r="B769" t="s">
        <v>5180</v>
      </c>
      <c r="C769" t="s">
        <v>904</v>
      </c>
      <c r="D769" t="s">
        <v>98</v>
      </c>
      <c r="E769">
        <v>49.99</v>
      </c>
      <c r="F769" t="s">
        <v>5817</v>
      </c>
      <c r="L769" t="s">
        <v>8</v>
      </c>
      <c r="M769">
        <v>0</v>
      </c>
      <c r="N769">
        <v>0</v>
      </c>
      <c r="O769">
        <v>0</v>
      </c>
      <c r="P769">
        <v>0</v>
      </c>
    </row>
    <row r="770" spans="1:16" x14ac:dyDescent="0.2">
      <c r="A770" t="s">
        <v>5449</v>
      </c>
      <c r="B770" t="s">
        <v>5450</v>
      </c>
      <c r="C770" t="s">
        <v>904</v>
      </c>
      <c r="D770" t="s">
        <v>98</v>
      </c>
      <c r="E770">
        <v>199.99</v>
      </c>
      <c r="F770" t="s">
        <v>5817</v>
      </c>
      <c r="L770" t="s">
        <v>8</v>
      </c>
      <c r="M770">
        <v>0</v>
      </c>
      <c r="N770">
        <v>0</v>
      </c>
      <c r="O770">
        <v>0</v>
      </c>
      <c r="P770">
        <v>0</v>
      </c>
    </row>
    <row r="771" spans="1:16" x14ac:dyDescent="0.2">
      <c r="A771" t="s">
        <v>5429</v>
      </c>
      <c r="B771" t="s">
        <v>5430</v>
      </c>
      <c r="C771" t="s">
        <v>904</v>
      </c>
      <c r="D771" t="s">
        <v>98</v>
      </c>
      <c r="E771">
        <v>169.99</v>
      </c>
      <c r="F771" t="s">
        <v>5817</v>
      </c>
      <c r="L771" t="s">
        <v>8</v>
      </c>
      <c r="M771">
        <v>0</v>
      </c>
      <c r="N771">
        <v>0</v>
      </c>
      <c r="O771">
        <v>0</v>
      </c>
      <c r="P771">
        <v>0</v>
      </c>
    </row>
    <row r="772" spans="1:16" x14ac:dyDescent="0.2">
      <c r="A772" t="s">
        <v>5433</v>
      </c>
      <c r="B772" t="s">
        <v>5434</v>
      </c>
      <c r="C772" t="s">
        <v>904</v>
      </c>
      <c r="D772" t="s">
        <v>98</v>
      </c>
      <c r="E772">
        <v>39.99</v>
      </c>
      <c r="F772" t="s">
        <v>5817</v>
      </c>
      <c r="L772" t="s">
        <v>8</v>
      </c>
      <c r="M772">
        <v>0</v>
      </c>
      <c r="N772">
        <v>0</v>
      </c>
      <c r="O772">
        <v>0</v>
      </c>
      <c r="P772">
        <v>0</v>
      </c>
    </row>
    <row r="773" spans="1:16" x14ac:dyDescent="0.2">
      <c r="A773" t="s">
        <v>5590</v>
      </c>
      <c r="B773" t="s">
        <v>5591</v>
      </c>
      <c r="C773" t="s">
        <v>904</v>
      </c>
      <c r="D773" t="s">
        <v>98</v>
      </c>
      <c r="E773">
        <v>99.99</v>
      </c>
      <c r="F773" t="s">
        <v>5817</v>
      </c>
      <c r="L773" t="s">
        <v>8</v>
      </c>
      <c r="M773">
        <v>0</v>
      </c>
      <c r="N773">
        <v>0</v>
      </c>
      <c r="O773">
        <v>0</v>
      </c>
      <c r="P773">
        <v>0</v>
      </c>
    </row>
    <row r="774" spans="1:16" x14ac:dyDescent="0.2">
      <c r="A774" t="s">
        <v>5596</v>
      </c>
      <c r="B774" t="s">
        <v>5597</v>
      </c>
      <c r="C774" t="s">
        <v>904</v>
      </c>
      <c r="D774" t="s">
        <v>98</v>
      </c>
      <c r="E774">
        <v>69.989999999999995</v>
      </c>
      <c r="F774" t="s">
        <v>5817</v>
      </c>
      <c r="L774" t="s">
        <v>8</v>
      </c>
      <c r="M774">
        <v>0</v>
      </c>
      <c r="N774">
        <v>0</v>
      </c>
      <c r="O774">
        <v>0</v>
      </c>
      <c r="P774">
        <v>0</v>
      </c>
    </row>
    <row r="775" spans="1:16" x14ac:dyDescent="0.2">
      <c r="A775" t="s">
        <v>5586</v>
      </c>
      <c r="B775" t="s">
        <v>5587</v>
      </c>
      <c r="C775" t="s">
        <v>904</v>
      </c>
      <c r="D775" t="s">
        <v>98</v>
      </c>
      <c r="E775">
        <v>119.99</v>
      </c>
      <c r="F775" t="s">
        <v>5817</v>
      </c>
      <c r="L775" t="s">
        <v>8</v>
      </c>
      <c r="M775">
        <v>0</v>
      </c>
      <c r="N775">
        <v>0</v>
      </c>
      <c r="O775">
        <v>0</v>
      </c>
      <c r="P775">
        <v>0</v>
      </c>
    </row>
    <row r="776" spans="1:16" x14ac:dyDescent="0.2">
      <c r="A776" t="s">
        <v>5598</v>
      </c>
      <c r="B776" t="s">
        <v>5599</v>
      </c>
      <c r="C776" t="s">
        <v>904</v>
      </c>
      <c r="D776" t="s">
        <v>98</v>
      </c>
      <c r="E776">
        <v>119.99</v>
      </c>
      <c r="F776" t="s">
        <v>5817</v>
      </c>
      <c r="L776" t="s">
        <v>8</v>
      </c>
      <c r="M776">
        <v>0</v>
      </c>
      <c r="N776">
        <v>0</v>
      </c>
      <c r="O776">
        <v>0</v>
      </c>
      <c r="P776">
        <v>0</v>
      </c>
    </row>
    <row r="777" spans="1:16" x14ac:dyDescent="0.2">
      <c r="A777" t="s">
        <v>5612</v>
      </c>
      <c r="B777" t="s">
        <v>5613</v>
      </c>
      <c r="C777" t="s">
        <v>904</v>
      </c>
      <c r="D777" t="s">
        <v>98</v>
      </c>
      <c r="E777">
        <v>119.99</v>
      </c>
      <c r="F777" t="s">
        <v>5817</v>
      </c>
      <c r="L777" t="s">
        <v>8</v>
      </c>
      <c r="M777">
        <v>0</v>
      </c>
      <c r="N777">
        <v>0</v>
      </c>
      <c r="O777">
        <v>0</v>
      </c>
      <c r="P777">
        <v>0</v>
      </c>
    </row>
    <row r="778" spans="1:16" x14ac:dyDescent="0.2">
      <c r="A778" t="s">
        <v>5600</v>
      </c>
      <c r="B778" t="s">
        <v>5601</v>
      </c>
      <c r="C778" t="s">
        <v>904</v>
      </c>
      <c r="D778" t="s">
        <v>98</v>
      </c>
      <c r="E778">
        <v>119.99</v>
      </c>
      <c r="F778" t="s">
        <v>5817</v>
      </c>
      <c r="L778" t="s">
        <v>8</v>
      </c>
      <c r="M778">
        <v>0</v>
      </c>
      <c r="N778">
        <v>0</v>
      </c>
      <c r="O778">
        <v>0</v>
      </c>
      <c r="P778">
        <v>0</v>
      </c>
    </row>
    <row r="779" spans="1:16" x14ac:dyDescent="0.2">
      <c r="A779" t="s">
        <v>5554</v>
      </c>
      <c r="B779" t="s">
        <v>5555</v>
      </c>
      <c r="C779" t="s">
        <v>904</v>
      </c>
      <c r="D779" t="s">
        <v>98</v>
      </c>
      <c r="E779">
        <v>29.99</v>
      </c>
      <c r="F779" t="s">
        <v>5817</v>
      </c>
      <c r="L779" t="s">
        <v>8</v>
      </c>
      <c r="M779">
        <v>0</v>
      </c>
      <c r="N779">
        <v>0</v>
      </c>
      <c r="O779">
        <v>0</v>
      </c>
      <c r="P779">
        <v>0</v>
      </c>
    </row>
    <row r="780" spans="1:16" x14ac:dyDescent="0.2">
      <c r="A780" t="s">
        <v>5558</v>
      </c>
      <c r="B780" t="s">
        <v>5559</v>
      </c>
      <c r="C780" t="s">
        <v>904</v>
      </c>
      <c r="D780" t="s">
        <v>98</v>
      </c>
      <c r="E780">
        <v>29.99</v>
      </c>
      <c r="F780" t="s">
        <v>5817</v>
      </c>
      <c r="L780" t="s">
        <v>8</v>
      </c>
      <c r="M780">
        <v>0</v>
      </c>
      <c r="N780">
        <v>0</v>
      </c>
      <c r="O780">
        <v>0</v>
      </c>
      <c r="P780">
        <v>0</v>
      </c>
    </row>
    <row r="781" spans="1:16" x14ac:dyDescent="0.2">
      <c r="A781" t="s">
        <v>5540</v>
      </c>
      <c r="B781" t="s">
        <v>5541</v>
      </c>
      <c r="C781" t="s">
        <v>904</v>
      </c>
      <c r="D781" t="s">
        <v>98</v>
      </c>
      <c r="E781">
        <v>9.99</v>
      </c>
      <c r="F781" t="s">
        <v>5817</v>
      </c>
      <c r="L781" t="s">
        <v>8</v>
      </c>
      <c r="M781">
        <v>0</v>
      </c>
      <c r="N781">
        <v>0</v>
      </c>
      <c r="O781">
        <v>0</v>
      </c>
      <c r="P781">
        <v>0</v>
      </c>
    </row>
    <row r="782" spans="1:16" x14ac:dyDescent="0.2">
      <c r="A782" t="s">
        <v>5576</v>
      </c>
      <c r="B782" t="s">
        <v>5577</v>
      </c>
      <c r="C782" t="s">
        <v>904</v>
      </c>
      <c r="D782" t="s">
        <v>98</v>
      </c>
      <c r="E782">
        <v>9.99</v>
      </c>
      <c r="F782" t="s">
        <v>5817</v>
      </c>
      <c r="L782" t="s">
        <v>8</v>
      </c>
      <c r="M782">
        <v>0</v>
      </c>
      <c r="N782">
        <v>0</v>
      </c>
      <c r="O782">
        <v>0</v>
      </c>
      <c r="P782">
        <v>0</v>
      </c>
    </row>
    <row r="783" spans="1:16" x14ac:dyDescent="0.2">
      <c r="A783" t="s">
        <v>5580</v>
      </c>
      <c r="B783" t="s">
        <v>5581</v>
      </c>
      <c r="C783" t="s">
        <v>904</v>
      </c>
      <c r="D783" t="s">
        <v>98</v>
      </c>
      <c r="E783">
        <v>9.99</v>
      </c>
      <c r="F783" t="s">
        <v>5817</v>
      </c>
      <c r="L783" t="s">
        <v>8</v>
      </c>
      <c r="M783">
        <v>0</v>
      </c>
      <c r="N783">
        <v>0</v>
      </c>
      <c r="O783">
        <v>0</v>
      </c>
      <c r="P783">
        <v>0</v>
      </c>
    </row>
    <row r="784" spans="1:16" x14ac:dyDescent="0.2">
      <c r="A784" t="s">
        <v>5566</v>
      </c>
      <c r="B784" t="s">
        <v>5567</v>
      </c>
      <c r="C784" t="s">
        <v>904</v>
      </c>
      <c r="D784" t="s">
        <v>98</v>
      </c>
      <c r="E784">
        <v>9.99</v>
      </c>
      <c r="F784" t="s">
        <v>5817</v>
      </c>
      <c r="L784" t="s">
        <v>8</v>
      </c>
      <c r="M784">
        <v>0</v>
      </c>
      <c r="N784">
        <v>0</v>
      </c>
      <c r="O784">
        <v>0</v>
      </c>
      <c r="P784">
        <v>0</v>
      </c>
    </row>
    <row r="785" spans="1:16" x14ac:dyDescent="0.2">
      <c r="A785" t="s">
        <v>5570</v>
      </c>
      <c r="B785" t="s">
        <v>5571</v>
      </c>
      <c r="C785" t="s">
        <v>904</v>
      </c>
      <c r="D785" t="s">
        <v>98</v>
      </c>
      <c r="E785">
        <v>29.99</v>
      </c>
      <c r="F785" t="s">
        <v>5817</v>
      </c>
      <c r="L785" t="s">
        <v>8</v>
      </c>
      <c r="M785">
        <v>0</v>
      </c>
      <c r="N785">
        <v>0</v>
      </c>
      <c r="O785">
        <v>0</v>
      </c>
      <c r="P785">
        <v>0</v>
      </c>
    </row>
    <row r="786" spans="1:16" x14ac:dyDescent="0.2">
      <c r="A786" t="s">
        <v>5217</v>
      </c>
      <c r="B786" t="s">
        <v>5218</v>
      </c>
      <c r="C786" t="s">
        <v>904</v>
      </c>
      <c r="D786" t="s">
        <v>98</v>
      </c>
      <c r="E786">
        <v>29.99</v>
      </c>
      <c r="F786" t="s">
        <v>5817</v>
      </c>
      <c r="L786" t="s">
        <v>8</v>
      </c>
      <c r="M786">
        <v>0</v>
      </c>
      <c r="N786">
        <v>0</v>
      </c>
      <c r="O786">
        <v>0</v>
      </c>
      <c r="P786">
        <v>0</v>
      </c>
    </row>
    <row r="787" spans="1:16" x14ac:dyDescent="0.2">
      <c r="A787" t="s">
        <v>5219</v>
      </c>
      <c r="B787" t="s">
        <v>5220</v>
      </c>
      <c r="C787" t="s">
        <v>904</v>
      </c>
      <c r="D787" t="s">
        <v>98</v>
      </c>
      <c r="E787">
        <v>29.99</v>
      </c>
      <c r="F787" t="s">
        <v>5817</v>
      </c>
      <c r="L787" t="s">
        <v>8</v>
      </c>
      <c r="M787">
        <v>0</v>
      </c>
      <c r="N787">
        <v>0</v>
      </c>
      <c r="O787">
        <v>0</v>
      </c>
      <c r="P787">
        <v>0</v>
      </c>
    </row>
    <row r="788" spans="1:16" x14ac:dyDescent="0.2">
      <c r="A788" t="s">
        <v>5201</v>
      </c>
      <c r="B788" t="s">
        <v>5202</v>
      </c>
      <c r="C788" t="s">
        <v>904</v>
      </c>
      <c r="D788" t="s">
        <v>98</v>
      </c>
      <c r="E788">
        <v>29.99</v>
      </c>
      <c r="F788" t="s">
        <v>5817</v>
      </c>
      <c r="L788" t="s">
        <v>8</v>
      </c>
      <c r="M788">
        <v>0</v>
      </c>
      <c r="N788">
        <v>0</v>
      </c>
      <c r="O788">
        <v>0</v>
      </c>
      <c r="P788">
        <v>0</v>
      </c>
    </row>
    <row r="789" spans="1:16" x14ac:dyDescent="0.2">
      <c r="A789" t="s">
        <v>5209</v>
      </c>
      <c r="B789" t="s">
        <v>5210</v>
      </c>
      <c r="C789" t="s">
        <v>904</v>
      </c>
      <c r="D789" t="s">
        <v>98</v>
      </c>
      <c r="E789">
        <v>49.99</v>
      </c>
      <c r="F789" t="s">
        <v>5817</v>
      </c>
      <c r="L789" t="s">
        <v>8</v>
      </c>
      <c r="M789">
        <v>0</v>
      </c>
      <c r="N789">
        <v>0</v>
      </c>
      <c r="O789">
        <v>0</v>
      </c>
      <c r="P789">
        <v>0</v>
      </c>
    </row>
    <row r="790" spans="1:16" x14ac:dyDescent="0.2">
      <c r="A790" t="s">
        <v>5245</v>
      </c>
      <c r="B790" t="s">
        <v>5246</v>
      </c>
      <c r="C790" t="s">
        <v>904</v>
      </c>
      <c r="D790" t="s">
        <v>98</v>
      </c>
      <c r="E790">
        <v>69.989999999999995</v>
      </c>
      <c r="F790" t="s">
        <v>5817</v>
      </c>
      <c r="L790" t="s">
        <v>8</v>
      </c>
      <c r="M790">
        <v>0</v>
      </c>
      <c r="N790">
        <v>0</v>
      </c>
      <c r="O790">
        <v>0</v>
      </c>
      <c r="P790">
        <v>0</v>
      </c>
    </row>
    <row r="791" spans="1:16" x14ac:dyDescent="0.2">
      <c r="A791" t="s">
        <v>5255</v>
      </c>
      <c r="B791" t="s">
        <v>5256</v>
      </c>
      <c r="C791" t="s">
        <v>904</v>
      </c>
      <c r="D791" t="s">
        <v>98</v>
      </c>
      <c r="E791">
        <v>49.99</v>
      </c>
      <c r="F791" t="s">
        <v>5817</v>
      </c>
      <c r="L791" t="s">
        <v>8</v>
      </c>
      <c r="M791">
        <v>0</v>
      </c>
      <c r="N791">
        <v>0</v>
      </c>
      <c r="O791">
        <v>0</v>
      </c>
      <c r="P791">
        <v>0</v>
      </c>
    </row>
    <row r="792" spans="1:16" x14ac:dyDescent="0.2">
      <c r="A792" t="s">
        <v>5229</v>
      </c>
      <c r="B792" t="s">
        <v>5230</v>
      </c>
      <c r="C792" t="s">
        <v>904</v>
      </c>
      <c r="D792" t="s">
        <v>98</v>
      </c>
      <c r="E792">
        <v>79.989999999999995</v>
      </c>
      <c r="F792" t="s">
        <v>5817</v>
      </c>
      <c r="L792" t="s">
        <v>8</v>
      </c>
      <c r="M792">
        <v>0</v>
      </c>
      <c r="N792">
        <v>0</v>
      </c>
      <c r="O792">
        <v>0</v>
      </c>
      <c r="P792">
        <v>0</v>
      </c>
    </row>
    <row r="793" spans="1:16" x14ac:dyDescent="0.2">
      <c r="A793" t="s">
        <v>5158</v>
      </c>
      <c r="B793" t="s">
        <v>5159</v>
      </c>
      <c r="C793" t="s">
        <v>904</v>
      </c>
      <c r="D793" t="s">
        <v>98</v>
      </c>
      <c r="E793">
        <v>59.99</v>
      </c>
      <c r="F793" t="s">
        <v>5817</v>
      </c>
      <c r="L793" t="s">
        <v>8</v>
      </c>
      <c r="M793">
        <v>0</v>
      </c>
      <c r="N793">
        <v>0</v>
      </c>
      <c r="O793">
        <v>0</v>
      </c>
      <c r="P793">
        <v>0</v>
      </c>
    </row>
    <row r="794" spans="1:16" x14ac:dyDescent="0.2">
      <c r="A794" t="s">
        <v>5169</v>
      </c>
      <c r="B794" t="s">
        <v>5170</v>
      </c>
      <c r="C794" t="s">
        <v>904</v>
      </c>
      <c r="D794" t="s">
        <v>98</v>
      </c>
      <c r="E794">
        <v>59.99</v>
      </c>
      <c r="F794" t="s">
        <v>5817</v>
      </c>
      <c r="L794" t="s">
        <v>8</v>
      </c>
      <c r="M794">
        <v>0</v>
      </c>
      <c r="N794">
        <v>0</v>
      </c>
      <c r="O794">
        <v>0</v>
      </c>
      <c r="P794">
        <v>0</v>
      </c>
    </row>
    <row r="795" spans="1:16" x14ac:dyDescent="0.2">
      <c r="A795" t="s">
        <v>918</v>
      </c>
      <c r="B795" t="s">
        <v>919</v>
      </c>
      <c r="C795" t="s">
        <v>911</v>
      </c>
      <c r="D795" t="s">
        <v>105</v>
      </c>
      <c r="E795">
        <v>59.99</v>
      </c>
      <c r="F795" t="s">
        <v>5817</v>
      </c>
      <c r="J795">
        <v>25</v>
      </c>
      <c r="L795" t="s">
        <v>73</v>
      </c>
      <c r="M795">
        <v>1</v>
      </c>
      <c r="N795">
        <v>0</v>
      </c>
      <c r="O795">
        <v>0.58333333333333337</v>
      </c>
      <c r="P795">
        <v>0</v>
      </c>
    </row>
    <row r="796" spans="1:16" x14ac:dyDescent="0.2">
      <c r="A796" t="s">
        <v>956</v>
      </c>
      <c r="B796" t="s">
        <v>957</v>
      </c>
      <c r="C796" t="s">
        <v>911</v>
      </c>
      <c r="D796" t="s">
        <v>105</v>
      </c>
      <c r="E796">
        <v>89.99</v>
      </c>
      <c r="F796" t="s">
        <v>5817</v>
      </c>
      <c r="G796">
        <v>36</v>
      </c>
      <c r="I796">
        <v>36</v>
      </c>
      <c r="L796" t="s">
        <v>73</v>
      </c>
      <c r="M796">
        <v>3</v>
      </c>
      <c r="N796">
        <v>10.666666666666666</v>
      </c>
      <c r="O796">
        <v>1.3333333333333335</v>
      </c>
      <c r="P796">
        <v>32</v>
      </c>
    </row>
    <row r="797" spans="1:16" x14ac:dyDescent="0.2">
      <c r="A797" t="s">
        <v>954</v>
      </c>
      <c r="B797" t="s">
        <v>955</v>
      </c>
      <c r="C797" t="s">
        <v>911</v>
      </c>
      <c r="D797" t="s">
        <v>105</v>
      </c>
      <c r="E797">
        <v>49.99</v>
      </c>
      <c r="F797" t="s">
        <v>5817</v>
      </c>
      <c r="G797">
        <v>63</v>
      </c>
      <c r="I797">
        <v>63</v>
      </c>
      <c r="L797" t="s">
        <v>73</v>
      </c>
      <c r="M797">
        <v>1.6666666666666667</v>
      </c>
      <c r="N797">
        <v>43.8</v>
      </c>
      <c r="O797">
        <v>0.66666666666666663</v>
      </c>
      <c r="P797">
        <v>73</v>
      </c>
    </row>
    <row r="798" spans="1:16" x14ac:dyDescent="0.2">
      <c r="A798" t="s">
        <v>958</v>
      </c>
      <c r="B798" t="s">
        <v>959</v>
      </c>
      <c r="C798" t="s">
        <v>911</v>
      </c>
      <c r="D798" t="s">
        <v>105</v>
      </c>
      <c r="E798">
        <v>169.99</v>
      </c>
      <c r="F798" t="s">
        <v>5817</v>
      </c>
      <c r="G798">
        <v>73</v>
      </c>
      <c r="I798">
        <v>73</v>
      </c>
      <c r="L798" t="s">
        <v>73</v>
      </c>
      <c r="M798">
        <v>1.5</v>
      </c>
      <c r="N798">
        <v>13.333333333333334</v>
      </c>
      <c r="O798">
        <v>0.5</v>
      </c>
      <c r="P798">
        <v>20</v>
      </c>
    </row>
    <row r="799" spans="1:16" x14ac:dyDescent="0.2">
      <c r="A799" t="s">
        <v>920</v>
      </c>
      <c r="B799" t="s">
        <v>921</v>
      </c>
      <c r="C799" t="s">
        <v>911</v>
      </c>
      <c r="D799" t="s">
        <v>105</v>
      </c>
      <c r="E799">
        <v>89.99</v>
      </c>
      <c r="F799" t="s">
        <v>5817</v>
      </c>
      <c r="G799">
        <v>113</v>
      </c>
      <c r="I799">
        <v>113</v>
      </c>
      <c r="L799" t="s">
        <v>73</v>
      </c>
      <c r="M799">
        <v>1</v>
      </c>
      <c r="N799">
        <v>0</v>
      </c>
      <c r="O799">
        <v>0.33333333333333331</v>
      </c>
      <c r="P799">
        <v>0</v>
      </c>
    </row>
    <row r="800" spans="1:16" x14ac:dyDescent="0.2">
      <c r="A800" t="s">
        <v>942</v>
      </c>
      <c r="B800" t="s">
        <v>943</v>
      </c>
      <c r="C800" t="s">
        <v>911</v>
      </c>
      <c r="D800" t="s">
        <v>138</v>
      </c>
      <c r="E800">
        <v>49.99</v>
      </c>
      <c r="F800" t="s">
        <v>5817</v>
      </c>
      <c r="L800" t="s">
        <v>5818</v>
      </c>
      <c r="M800">
        <v>0</v>
      </c>
      <c r="N800">
        <v>0</v>
      </c>
      <c r="O800">
        <v>3.6666666666666665</v>
      </c>
      <c r="P800">
        <v>3</v>
      </c>
    </row>
    <row r="801" spans="1:16" x14ac:dyDescent="0.2">
      <c r="A801" t="s">
        <v>944</v>
      </c>
      <c r="B801" t="s">
        <v>945</v>
      </c>
      <c r="C801" t="s">
        <v>911</v>
      </c>
      <c r="D801" t="s">
        <v>138</v>
      </c>
      <c r="E801">
        <v>49.99</v>
      </c>
      <c r="F801" t="s">
        <v>5817</v>
      </c>
      <c r="G801">
        <v>39</v>
      </c>
      <c r="I801">
        <v>39</v>
      </c>
      <c r="L801" t="s">
        <v>5818</v>
      </c>
      <c r="M801">
        <v>0</v>
      </c>
      <c r="N801">
        <v>0</v>
      </c>
      <c r="P801">
        <v>5</v>
      </c>
    </row>
    <row r="802" spans="1:16" x14ac:dyDescent="0.2">
      <c r="A802" t="s">
        <v>948</v>
      </c>
      <c r="B802" t="s">
        <v>949</v>
      </c>
      <c r="C802" t="s">
        <v>911</v>
      </c>
      <c r="D802" t="s">
        <v>138</v>
      </c>
      <c r="E802">
        <v>49.99</v>
      </c>
      <c r="F802" t="s">
        <v>5817</v>
      </c>
      <c r="G802">
        <v>55</v>
      </c>
      <c r="I802">
        <v>55</v>
      </c>
      <c r="L802" t="s">
        <v>5818</v>
      </c>
      <c r="M802">
        <v>0</v>
      </c>
      <c r="N802">
        <v>0</v>
      </c>
      <c r="P802">
        <v>24</v>
      </c>
    </row>
    <row r="803" spans="1:16" x14ac:dyDescent="0.2">
      <c r="A803" t="s">
        <v>946</v>
      </c>
      <c r="B803" t="s">
        <v>947</v>
      </c>
      <c r="C803" t="s">
        <v>911</v>
      </c>
      <c r="D803" t="s">
        <v>138</v>
      </c>
      <c r="E803">
        <v>49.99</v>
      </c>
      <c r="F803" t="s">
        <v>5817</v>
      </c>
      <c r="G803">
        <v>67</v>
      </c>
      <c r="I803">
        <v>67</v>
      </c>
      <c r="L803" t="s">
        <v>5818</v>
      </c>
      <c r="M803">
        <v>0</v>
      </c>
      <c r="N803">
        <v>0</v>
      </c>
      <c r="P803">
        <v>36</v>
      </c>
    </row>
    <row r="804" spans="1:16" x14ac:dyDescent="0.2">
      <c r="A804" t="s">
        <v>918</v>
      </c>
      <c r="B804" t="s">
        <v>919</v>
      </c>
      <c r="C804" t="s">
        <v>911</v>
      </c>
      <c r="D804" t="s">
        <v>105</v>
      </c>
      <c r="E804">
        <v>59.99</v>
      </c>
      <c r="F804" t="s">
        <v>5817</v>
      </c>
      <c r="J804">
        <v>25</v>
      </c>
      <c r="L804" t="s">
        <v>5818</v>
      </c>
      <c r="M804">
        <v>4.5</v>
      </c>
      <c r="N804">
        <v>8</v>
      </c>
      <c r="O804">
        <v>5.416666666666667</v>
      </c>
      <c r="P804">
        <v>36</v>
      </c>
    </row>
    <row r="805" spans="1:16" x14ac:dyDescent="0.2">
      <c r="A805" t="s">
        <v>956</v>
      </c>
      <c r="B805" t="s">
        <v>957</v>
      </c>
      <c r="C805" t="s">
        <v>911</v>
      </c>
      <c r="D805" t="s">
        <v>105</v>
      </c>
      <c r="E805">
        <v>89.99</v>
      </c>
      <c r="F805" t="s">
        <v>5817</v>
      </c>
      <c r="G805">
        <v>36</v>
      </c>
      <c r="I805">
        <v>36</v>
      </c>
      <c r="L805" t="s">
        <v>5818</v>
      </c>
      <c r="M805">
        <v>7.5</v>
      </c>
      <c r="N805">
        <v>10.133333333333333</v>
      </c>
      <c r="O805">
        <v>3.8333333333333335</v>
      </c>
      <c r="P805">
        <v>76</v>
      </c>
    </row>
    <row r="806" spans="1:16" x14ac:dyDescent="0.2">
      <c r="A806" t="s">
        <v>954</v>
      </c>
      <c r="B806" t="s">
        <v>955</v>
      </c>
      <c r="C806" t="s">
        <v>911</v>
      </c>
      <c r="D806" t="s">
        <v>105</v>
      </c>
      <c r="E806">
        <v>49.99</v>
      </c>
      <c r="F806" t="s">
        <v>5817</v>
      </c>
      <c r="G806">
        <v>63</v>
      </c>
      <c r="I806">
        <v>63</v>
      </c>
      <c r="L806" t="s">
        <v>5818</v>
      </c>
      <c r="M806">
        <v>9.3333333333333339</v>
      </c>
      <c r="N806">
        <v>23.892857142857142</v>
      </c>
      <c r="O806">
        <v>6.666666666666667</v>
      </c>
      <c r="P806">
        <v>223</v>
      </c>
    </row>
    <row r="807" spans="1:16" x14ac:dyDescent="0.2">
      <c r="A807" t="s">
        <v>958</v>
      </c>
      <c r="B807" t="s">
        <v>959</v>
      </c>
      <c r="C807" t="s">
        <v>911</v>
      </c>
      <c r="D807" t="s">
        <v>105</v>
      </c>
      <c r="E807">
        <v>169.99</v>
      </c>
      <c r="F807" t="s">
        <v>5817</v>
      </c>
      <c r="G807">
        <v>73</v>
      </c>
      <c r="I807">
        <v>73</v>
      </c>
      <c r="L807" t="s">
        <v>5818</v>
      </c>
      <c r="M807">
        <v>0</v>
      </c>
      <c r="N807">
        <v>0</v>
      </c>
      <c r="P807">
        <v>2</v>
      </c>
    </row>
    <row r="808" spans="1:16" x14ac:dyDescent="0.2">
      <c r="A808" t="s">
        <v>920</v>
      </c>
      <c r="B808" t="s">
        <v>921</v>
      </c>
      <c r="C808" t="s">
        <v>911</v>
      </c>
      <c r="D808" t="s">
        <v>105</v>
      </c>
      <c r="E808">
        <v>89.99</v>
      </c>
      <c r="F808" t="s">
        <v>5817</v>
      </c>
      <c r="G808">
        <v>113</v>
      </c>
      <c r="I808">
        <v>113</v>
      </c>
      <c r="L808" t="s">
        <v>5818</v>
      </c>
      <c r="M808">
        <v>0</v>
      </c>
      <c r="N808">
        <v>0</v>
      </c>
      <c r="P808">
        <v>2</v>
      </c>
    </row>
    <row r="809" spans="1:16" x14ac:dyDescent="0.2">
      <c r="A809" t="s">
        <v>920</v>
      </c>
      <c r="B809" t="s">
        <v>921</v>
      </c>
      <c r="C809" t="s">
        <v>911</v>
      </c>
      <c r="D809" t="s">
        <v>105</v>
      </c>
      <c r="E809">
        <v>89.99</v>
      </c>
      <c r="F809" t="s">
        <v>5817</v>
      </c>
      <c r="G809">
        <v>113</v>
      </c>
      <c r="I809">
        <v>113</v>
      </c>
      <c r="L809" t="s">
        <v>5818</v>
      </c>
      <c r="M809">
        <v>0</v>
      </c>
      <c r="N809">
        <v>0</v>
      </c>
      <c r="P809">
        <v>2</v>
      </c>
    </row>
    <row r="810" spans="1:16" x14ac:dyDescent="0.2">
      <c r="A810" t="s">
        <v>918</v>
      </c>
      <c r="B810" t="s">
        <v>919</v>
      </c>
      <c r="C810" t="s">
        <v>911</v>
      </c>
      <c r="D810" t="s">
        <v>105</v>
      </c>
      <c r="E810">
        <v>59.99</v>
      </c>
      <c r="F810" t="s">
        <v>5817</v>
      </c>
      <c r="J810">
        <v>25</v>
      </c>
      <c r="L810" t="s">
        <v>5085</v>
      </c>
      <c r="M810">
        <v>0</v>
      </c>
      <c r="N810">
        <v>0</v>
      </c>
      <c r="O810">
        <v>1</v>
      </c>
      <c r="P810" t="s">
        <v>5819</v>
      </c>
    </row>
    <row r="811" spans="1:16" x14ac:dyDescent="0.2">
      <c r="A811" t="s">
        <v>956</v>
      </c>
      <c r="B811" t="s">
        <v>957</v>
      </c>
      <c r="C811" t="s">
        <v>911</v>
      </c>
      <c r="D811" t="s">
        <v>105</v>
      </c>
      <c r="E811">
        <v>89.99</v>
      </c>
      <c r="F811" t="s">
        <v>5817</v>
      </c>
      <c r="G811">
        <v>36</v>
      </c>
      <c r="I811">
        <v>36</v>
      </c>
      <c r="L811" t="s">
        <v>5085</v>
      </c>
      <c r="M811">
        <v>0</v>
      </c>
      <c r="N811">
        <v>0</v>
      </c>
      <c r="O811">
        <v>0</v>
      </c>
      <c r="P811">
        <v>3</v>
      </c>
    </row>
    <row r="812" spans="1:16" x14ac:dyDescent="0.2">
      <c r="A812" t="s">
        <v>954</v>
      </c>
      <c r="B812" t="s">
        <v>955</v>
      </c>
      <c r="C812" t="s">
        <v>911</v>
      </c>
      <c r="D812" t="s">
        <v>105</v>
      </c>
      <c r="E812">
        <v>49.99</v>
      </c>
      <c r="F812" t="s">
        <v>5817</v>
      </c>
      <c r="G812">
        <v>63</v>
      </c>
      <c r="I812">
        <v>63</v>
      </c>
      <c r="L812" t="s">
        <v>5085</v>
      </c>
      <c r="M812">
        <v>0</v>
      </c>
      <c r="N812">
        <v>0</v>
      </c>
      <c r="O812">
        <v>0.41666666666666669</v>
      </c>
      <c r="P812" t="s">
        <v>5819</v>
      </c>
    </row>
    <row r="813" spans="1:16" x14ac:dyDescent="0.2">
      <c r="A813" t="s">
        <v>912</v>
      </c>
      <c r="B813" t="s">
        <v>913</v>
      </c>
      <c r="C813" t="s">
        <v>911</v>
      </c>
      <c r="D813" t="s">
        <v>138</v>
      </c>
      <c r="E813">
        <v>59.99</v>
      </c>
      <c r="F813" t="s">
        <v>5817</v>
      </c>
      <c r="G813">
        <v>6</v>
      </c>
      <c r="I813">
        <v>6</v>
      </c>
      <c r="L813" t="s">
        <v>5085</v>
      </c>
      <c r="M813">
        <v>0</v>
      </c>
      <c r="N813">
        <v>0</v>
      </c>
      <c r="O813">
        <v>0</v>
      </c>
      <c r="P813" t="s">
        <v>5819</v>
      </c>
    </row>
    <row r="814" spans="1:16" x14ac:dyDescent="0.2">
      <c r="A814" t="s">
        <v>920</v>
      </c>
      <c r="B814" t="s">
        <v>921</v>
      </c>
      <c r="C814" t="s">
        <v>911</v>
      </c>
      <c r="D814" t="s">
        <v>105</v>
      </c>
      <c r="E814">
        <v>89.99</v>
      </c>
      <c r="F814" t="s">
        <v>5817</v>
      </c>
      <c r="G814">
        <v>113</v>
      </c>
      <c r="I814">
        <v>113</v>
      </c>
      <c r="L814" t="s">
        <v>5085</v>
      </c>
      <c r="M814">
        <v>0</v>
      </c>
      <c r="N814">
        <v>0</v>
      </c>
      <c r="O814">
        <v>0</v>
      </c>
      <c r="P814">
        <v>12</v>
      </c>
    </row>
    <row r="815" spans="1:16" x14ac:dyDescent="0.2">
      <c r="A815" t="s">
        <v>958</v>
      </c>
      <c r="B815" t="s">
        <v>959</v>
      </c>
      <c r="C815" t="s">
        <v>911</v>
      </c>
      <c r="D815" t="s">
        <v>105</v>
      </c>
      <c r="E815">
        <v>169.99</v>
      </c>
      <c r="F815" t="s">
        <v>5817</v>
      </c>
      <c r="G815">
        <v>73</v>
      </c>
      <c r="I815">
        <v>73</v>
      </c>
      <c r="L815" t="s">
        <v>5085</v>
      </c>
      <c r="M815">
        <v>0</v>
      </c>
      <c r="N815">
        <v>0</v>
      </c>
      <c r="O815">
        <v>0.58333333333333337</v>
      </c>
      <c r="P815" t="s">
        <v>5819</v>
      </c>
    </row>
    <row r="816" spans="1:16" x14ac:dyDescent="0.2">
      <c r="A816" t="s">
        <v>918</v>
      </c>
      <c r="B816" t="s">
        <v>919</v>
      </c>
      <c r="C816" t="s">
        <v>911</v>
      </c>
      <c r="D816" t="s">
        <v>105</v>
      </c>
      <c r="E816">
        <v>59.99</v>
      </c>
      <c r="F816" t="s">
        <v>5817</v>
      </c>
      <c r="J816">
        <v>25</v>
      </c>
      <c r="L816" t="s">
        <v>5065</v>
      </c>
      <c r="M816">
        <v>1.2</v>
      </c>
      <c r="N816">
        <v>47.5</v>
      </c>
      <c r="O816">
        <v>0.83333333333333337</v>
      </c>
      <c r="P816">
        <v>57</v>
      </c>
    </row>
    <row r="817" spans="1:16" x14ac:dyDescent="0.2">
      <c r="A817" t="s">
        <v>954</v>
      </c>
      <c r="B817" t="s">
        <v>955</v>
      </c>
      <c r="C817" t="s">
        <v>911</v>
      </c>
      <c r="D817" t="s">
        <v>105</v>
      </c>
      <c r="E817">
        <v>49.99</v>
      </c>
      <c r="F817" t="s">
        <v>5817</v>
      </c>
      <c r="G817">
        <v>63</v>
      </c>
      <c r="I817">
        <v>63</v>
      </c>
      <c r="L817" t="s">
        <v>5065</v>
      </c>
      <c r="M817">
        <v>0</v>
      </c>
      <c r="N817">
        <v>0</v>
      </c>
      <c r="P817">
        <v>0</v>
      </c>
    </row>
    <row r="818" spans="1:16" x14ac:dyDescent="0.2">
      <c r="A818" t="s">
        <v>920</v>
      </c>
      <c r="B818" t="s">
        <v>921</v>
      </c>
      <c r="C818" t="s">
        <v>911</v>
      </c>
      <c r="D818" t="s">
        <v>105</v>
      </c>
      <c r="E818">
        <v>89.99</v>
      </c>
      <c r="F818" t="s">
        <v>5817</v>
      </c>
      <c r="G818">
        <v>113</v>
      </c>
      <c r="I818">
        <v>113</v>
      </c>
      <c r="L818" t="s">
        <v>5065</v>
      </c>
      <c r="M818">
        <v>0</v>
      </c>
      <c r="N818">
        <v>0</v>
      </c>
      <c r="P818">
        <v>0</v>
      </c>
    </row>
    <row r="819" spans="1:16" x14ac:dyDescent="0.2">
      <c r="A819" t="s">
        <v>958</v>
      </c>
      <c r="B819" t="s">
        <v>959</v>
      </c>
      <c r="C819" t="s">
        <v>911</v>
      </c>
      <c r="D819" t="s">
        <v>105</v>
      </c>
      <c r="E819">
        <v>169.99</v>
      </c>
      <c r="F819" t="s">
        <v>5817</v>
      </c>
      <c r="G819">
        <v>73</v>
      </c>
      <c r="I819">
        <v>73</v>
      </c>
      <c r="L819" t="s">
        <v>5065</v>
      </c>
      <c r="M819">
        <v>0</v>
      </c>
      <c r="N819">
        <v>0</v>
      </c>
      <c r="P819">
        <v>0</v>
      </c>
    </row>
    <row r="820" spans="1:16" x14ac:dyDescent="0.2">
      <c r="A820" t="s">
        <v>912</v>
      </c>
      <c r="B820" t="s">
        <v>913</v>
      </c>
      <c r="C820" t="s">
        <v>911</v>
      </c>
      <c r="D820" t="s">
        <v>138</v>
      </c>
      <c r="E820">
        <v>59.99</v>
      </c>
      <c r="F820" t="s">
        <v>5817</v>
      </c>
      <c r="G820">
        <v>6</v>
      </c>
      <c r="I820">
        <v>6</v>
      </c>
      <c r="L820" t="s">
        <v>5065</v>
      </c>
      <c r="M820">
        <v>1</v>
      </c>
      <c r="N820">
        <v>75</v>
      </c>
      <c r="O820">
        <v>0.33333333333333331</v>
      </c>
      <c r="P820">
        <v>75</v>
      </c>
    </row>
    <row r="821" spans="1:16" x14ac:dyDescent="0.2">
      <c r="A821" t="s">
        <v>920</v>
      </c>
      <c r="B821" t="s">
        <v>921</v>
      </c>
      <c r="C821" t="s">
        <v>911</v>
      </c>
      <c r="D821" t="s">
        <v>105</v>
      </c>
      <c r="E821">
        <v>89.99</v>
      </c>
      <c r="F821" t="s">
        <v>5817</v>
      </c>
      <c r="G821">
        <v>113</v>
      </c>
      <c r="I821">
        <v>113</v>
      </c>
      <c r="L821" t="s">
        <v>8</v>
      </c>
      <c r="M821">
        <v>1.5</v>
      </c>
      <c r="N821">
        <v>32.666666666666664</v>
      </c>
      <c r="O821">
        <v>0.25</v>
      </c>
      <c r="P821">
        <v>49</v>
      </c>
    </row>
    <row r="822" spans="1:16" x14ac:dyDescent="0.2">
      <c r="A822" t="s">
        <v>958</v>
      </c>
      <c r="B822" t="s">
        <v>959</v>
      </c>
      <c r="C822" t="s">
        <v>911</v>
      </c>
      <c r="D822" t="s">
        <v>105</v>
      </c>
      <c r="E822">
        <v>169.99</v>
      </c>
      <c r="F822" t="s">
        <v>5817</v>
      </c>
      <c r="G822">
        <v>73</v>
      </c>
      <c r="I822">
        <v>73</v>
      </c>
      <c r="L822" t="s">
        <v>8</v>
      </c>
      <c r="M822">
        <v>2</v>
      </c>
      <c r="N822">
        <v>21.5</v>
      </c>
      <c r="O822">
        <v>0.91666666666666663</v>
      </c>
      <c r="P822">
        <v>43</v>
      </c>
    </row>
    <row r="823" spans="1:16" x14ac:dyDescent="0.2">
      <c r="A823" t="s">
        <v>954</v>
      </c>
      <c r="B823" t="s">
        <v>955</v>
      </c>
      <c r="C823" t="s">
        <v>911</v>
      </c>
      <c r="D823" t="s">
        <v>105</v>
      </c>
      <c r="E823">
        <v>49.99</v>
      </c>
      <c r="F823" t="s">
        <v>5817</v>
      </c>
      <c r="G823">
        <v>63</v>
      </c>
      <c r="I823">
        <v>63</v>
      </c>
      <c r="L823" t="s">
        <v>8</v>
      </c>
      <c r="M823">
        <v>2</v>
      </c>
      <c r="N823">
        <v>18.5</v>
      </c>
      <c r="O823">
        <v>1.6666666666666665</v>
      </c>
      <c r="P823">
        <v>37</v>
      </c>
    </row>
    <row r="824" spans="1:16" x14ac:dyDescent="0.2">
      <c r="A824" t="s">
        <v>956</v>
      </c>
      <c r="B824" t="s">
        <v>957</v>
      </c>
      <c r="C824" t="s">
        <v>911</v>
      </c>
      <c r="D824" t="s">
        <v>105</v>
      </c>
      <c r="E824">
        <v>89.99</v>
      </c>
      <c r="F824" t="s">
        <v>5817</v>
      </c>
      <c r="G824">
        <v>36</v>
      </c>
      <c r="I824">
        <v>36</v>
      </c>
      <c r="L824" t="s">
        <v>8</v>
      </c>
      <c r="M824">
        <v>4</v>
      </c>
      <c r="N824">
        <v>10.75</v>
      </c>
      <c r="O824">
        <v>0.75</v>
      </c>
      <c r="P824">
        <v>43</v>
      </c>
    </row>
    <row r="825" spans="1:16" x14ac:dyDescent="0.2">
      <c r="A825" t="s">
        <v>918</v>
      </c>
      <c r="B825" t="s">
        <v>919</v>
      </c>
      <c r="C825" t="s">
        <v>911</v>
      </c>
      <c r="D825" t="s">
        <v>105</v>
      </c>
      <c r="E825">
        <v>59.99</v>
      </c>
      <c r="F825" t="s">
        <v>5817</v>
      </c>
      <c r="J825">
        <v>25</v>
      </c>
      <c r="L825" t="s">
        <v>8</v>
      </c>
      <c r="M825">
        <v>1.6666666666666667</v>
      </c>
      <c r="N825">
        <v>28.2</v>
      </c>
      <c r="O825">
        <v>0.83333333333333326</v>
      </c>
      <c r="P825">
        <v>47</v>
      </c>
    </row>
    <row r="826" spans="1:16" x14ac:dyDescent="0.2">
      <c r="A826" t="s">
        <v>977</v>
      </c>
      <c r="B826" t="s">
        <v>978</v>
      </c>
      <c r="C826" t="s">
        <v>976</v>
      </c>
      <c r="D826" t="s">
        <v>98</v>
      </c>
      <c r="E826">
        <v>3499.99</v>
      </c>
      <c r="F826" t="s">
        <v>5817</v>
      </c>
      <c r="L826" t="s">
        <v>73</v>
      </c>
      <c r="M826">
        <v>0</v>
      </c>
      <c r="N826">
        <v>0</v>
      </c>
      <c r="O826">
        <v>0</v>
      </c>
      <c r="P826">
        <v>0</v>
      </c>
    </row>
    <row r="827" spans="1:16" x14ac:dyDescent="0.2">
      <c r="A827" t="s">
        <v>977</v>
      </c>
      <c r="B827" t="s">
        <v>978</v>
      </c>
      <c r="C827" t="s">
        <v>976</v>
      </c>
      <c r="D827" t="s">
        <v>98</v>
      </c>
      <c r="E827">
        <v>3499.99</v>
      </c>
      <c r="F827" t="s">
        <v>5817</v>
      </c>
      <c r="L827" t="s">
        <v>5818</v>
      </c>
      <c r="M827">
        <v>0</v>
      </c>
      <c r="N827">
        <v>0</v>
      </c>
      <c r="O827">
        <v>0</v>
      </c>
      <c r="P827" t="s">
        <v>5819</v>
      </c>
    </row>
    <row r="828" spans="1:16" x14ac:dyDescent="0.2">
      <c r="A828" t="s">
        <v>977</v>
      </c>
      <c r="B828" t="s">
        <v>978</v>
      </c>
      <c r="C828" t="s">
        <v>976</v>
      </c>
      <c r="D828" t="s">
        <v>98</v>
      </c>
      <c r="E828">
        <v>3499.99</v>
      </c>
      <c r="F828" t="s">
        <v>5817</v>
      </c>
      <c r="L828" t="s">
        <v>5065</v>
      </c>
      <c r="M828">
        <v>0</v>
      </c>
      <c r="N828">
        <v>0</v>
      </c>
      <c r="P828">
        <v>0</v>
      </c>
    </row>
    <row r="829" spans="1:16" x14ac:dyDescent="0.2">
      <c r="A829" t="s">
        <v>977</v>
      </c>
      <c r="B829" t="s">
        <v>978</v>
      </c>
      <c r="C829" t="s">
        <v>976</v>
      </c>
      <c r="D829" t="s">
        <v>98</v>
      </c>
      <c r="E829">
        <v>3499.99</v>
      </c>
      <c r="F829" t="s">
        <v>5817</v>
      </c>
      <c r="L829" t="s">
        <v>8</v>
      </c>
      <c r="M829">
        <v>0</v>
      </c>
      <c r="N829">
        <v>0</v>
      </c>
      <c r="O829">
        <v>0</v>
      </c>
      <c r="P829">
        <v>0</v>
      </c>
    </row>
    <row r="830" spans="1:16" x14ac:dyDescent="0.2">
      <c r="A830" t="s">
        <v>5507</v>
      </c>
      <c r="B830" t="s">
        <v>5508</v>
      </c>
      <c r="C830" t="s">
        <v>5509</v>
      </c>
      <c r="D830" t="s">
        <v>98</v>
      </c>
      <c r="E830">
        <v>19.989999999999998</v>
      </c>
      <c r="F830" t="s">
        <v>5817</v>
      </c>
      <c r="L830" t="s">
        <v>73</v>
      </c>
      <c r="M830">
        <v>0</v>
      </c>
      <c r="N830">
        <v>0</v>
      </c>
      <c r="O830">
        <v>0</v>
      </c>
      <c r="P830">
        <v>0</v>
      </c>
    </row>
    <row r="831" spans="1:16" x14ac:dyDescent="0.2">
      <c r="A831" t="s">
        <v>5507</v>
      </c>
      <c r="B831" t="s">
        <v>5508</v>
      </c>
      <c r="C831" t="s">
        <v>5509</v>
      </c>
      <c r="D831" t="s">
        <v>98</v>
      </c>
      <c r="E831">
        <v>19.989999999999998</v>
      </c>
      <c r="F831" t="s">
        <v>5817</v>
      </c>
      <c r="L831" t="s">
        <v>5818</v>
      </c>
      <c r="M831">
        <v>0</v>
      </c>
      <c r="N831">
        <v>0</v>
      </c>
      <c r="O831">
        <v>0</v>
      </c>
      <c r="P831" t="s">
        <v>5819</v>
      </c>
    </row>
    <row r="832" spans="1:16" x14ac:dyDescent="0.2">
      <c r="A832" t="s">
        <v>5507</v>
      </c>
      <c r="B832" t="s">
        <v>5508</v>
      </c>
      <c r="C832" t="s">
        <v>5509</v>
      </c>
      <c r="D832" t="s">
        <v>98</v>
      </c>
      <c r="E832">
        <v>19.989999999999998</v>
      </c>
      <c r="F832" t="s">
        <v>5817</v>
      </c>
      <c r="L832" t="s">
        <v>5065</v>
      </c>
      <c r="M832">
        <v>0</v>
      </c>
      <c r="N832">
        <v>0</v>
      </c>
      <c r="P832">
        <v>0</v>
      </c>
    </row>
    <row r="833" spans="1:16" x14ac:dyDescent="0.2">
      <c r="A833" t="s">
        <v>5507</v>
      </c>
      <c r="B833" t="s">
        <v>5508</v>
      </c>
      <c r="C833" t="s">
        <v>5509</v>
      </c>
      <c r="D833" t="s">
        <v>98</v>
      </c>
      <c r="E833">
        <v>19.989999999999998</v>
      </c>
      <c r="F833" t="s">
        <v>5817</v>
      </c>
      <c r="L833" t="s">
        <v>8</v>
      </c>
      <c r="M833">
        <v>0</v>
      </c>
      <c r="N833">
        <v>0</v>
      </c>
      <c r="O833">
        <v>0</v>
      </c>
      <c r="P833">
        <v>0</v>
      </c>
    </row>
    <row r="834" spans="1:16" x14ac:dyDescent="0.2">
      <c r="A834" t="s">
        <v>2101</v>
      </c>
      <c r="B834" t="s">
        <v>2102</v>
      </c>
      <c r="C834" t="s">
        <v>2094</v>
      </c>
      <c r="D834" t="s">
        <v>138</v>
      </c>
      <c r="E834">
        <v>219.99</v>
      </c>
      <c r="F834" t="s">
        <v>5817</v>
      </c>
      <c r="G834">
        <v>47</v>
      </c>
      <c r="I834">
        <v>47</v>
      </c>
      <c r="L834" t="s">
        <v>73</v>
      </c>
      <c r="M834">
        <v>0</v>
      </c>
      <c r="N834">
        <v>0</v>
      </c>
      <c r="O834">
        <v>0</v>
      </c>
      <c r="P834">
        <v>0</v>
      </c>
    </row>
    <row r="835" spans="1:16" x14ac:dyDescent="0.2">
      <c r="A835" t="s">
        <v>2095</v>
      </c>
      <c r="B835" t="s">
        <v>2096</v>
      </c>
      <c r="C835" t="s">
        <v>2094</v>
      </c>
      <c r="D835" t="s">
        <v>98</v>
      </c>
      <c r="E835">
        <v>119.99</v>
      </c>
      <c r="F835" t="s">
        <v>5817</v>
      </c>
      <c r="L835" t="s">
        <v>73</v>
      </c>
      <c r="M835">
        <v>0</v>
      </c>
      <c r="N835">
        <v>0</v>
      </c>
      <c r="O835">
        <v>0</v>
      </c>
      <c r="P835">
        <v>0</v>
      </c>
    </row>
    <row r="836" spans="1:16" x14ac:dyDescent="0.2">
      <c r="A836" t="s">
        <v>2099</v>
      </c>
      <c r="B836" t="s">
        <v>2100</v>
      </c>
      <c r="C836" t="s">
        <v>2094</v>
      </c>
      <c r="D836" t="s">
        <v>98</v>
      </c>
      <c r="E836">
        <v>99.99</v>
      </c>
      <c r="F836" t="s">
        <v>5817</v>
      </c>
      <c r="L836" t="s">
        <v>73</v>
      </c>
      <c r="M836">
        <v>0</v>
      </c>
      <c r="N836">
        <v>0</v>
      </c>
      <c r="O836">
        <v>0</v>
      </c>
      <c r="P836">
        <v>0</v>
      </c>
    </row>
    <row r="837" spans="1:16" x14ac:dyDescent="0.2">
      <c r="A837" t="s">
        <v>2103</v>
      </c>
      <c r="B837" t="s">
        <v>2104</v>
      </c>
      <c r="C837" t="s">
        <v>2094</v>
      </c>
      <c r="D837" t="s">
        <v>98</v>
      </c>
      <c r="E837">
        <v>139.99</v>
      </c>
      <c r="F837" t="s">
        <v>5817</v>
      </c>
      <c r="L837" t="s">
        <v>73</v>
      </c>
      <c r="M837">
        <v>0</v>
      </c>
      <c r="N837">
        <v>0</v>
      </c>
      <c r="O837">
        <v>0</v>
      </c>
      <c r="P837">
        <v>0</v>
      </c>
    </row>
    <row r="838" spans="1:16" x14ac:dyDescent="0.2">
      <c r="A838" t="s">
        <v>2097</v>
      </c>
      <c r="B838" t="s">
        <v>2098</v>
      </c>
      <c r="C838" t="s">
        <v>2094</v>
      </c>
      <c r="D838" t="s">
        <v>98</v>
      </c>
      <c r="E838">
        <v>159.99</v>
      </c>
      <c r="F838" t="s">
        <v>5817</v>
      </c>
      <c r="L838" t="s">
        <v>73</v>
      </c>
      <c r="M838">
        <v>0</v>
      </c>
      <c r="N838">
        <v>0</v>
      </c>
      <c r="O838">
        <v>0</v>
      </c>
      <c r="P838">
        <v>0</v>
      </c>
    </row>
    <row r="839" spans="1:16" x14ac:dyDescent="0.2">
      <c r="A839" t="s">
        <v>2099</v>
      </c>
      <c r="B839" t="s">
        <v>2100</v>
      </c>
      <c r="C839" t="s">
        <v>2094</v>
      </c>
      <c r="D839" t="s">
        <v>98</v>
      </c>
      <c r="E839">
        <v>99.99</v>
      </c>
      <c r="F839" t="s">
        <v>5817</v>
      </c>
      <c r="L839" t="s">
        <v>5818</v>
      </c>
      <c r="M839">
        <v>0</v>
      </c>
      <c r="N839">
        <v>0</v>
      </c>
      <c r="O839">
        <v>0</v>
      </c>
      <c r="P839" t="s">
        <v>5819</v>
      </c>
    </row>
    <row r="840" spans="1:16" x14ac:dyDescent="0.2">
      <c r="A840" t="s">
        <v>2101</v>
      </c>
      <c r="B840" t="s">
        <v>2102</v>
      </c>
      <c r="C840" t="s">
        <v>2094</v>
      </c>
      <c r="D840" t="s">
        <v>138</v>
      </c>
      <c r="E840">
        <v>219.99</v>
      </c>
      <c r="F840" t="s">
        <v>5817</v>
      </c>
      <c r="G840">
        <v>47</v>
      </c>
      <c r="I840">
        <v>47</v>
      </c>
      <c r="L840" t="s">
        <v>5818</v>
      </c>
      <c r="M840">
        <v>0</v>
      </c>
      <c r="N840">
        <v>0</v>
      </c>
      <c r="O840">
        <v>0</v>
      </c>
      <c r="P840" t="s">
        <v>5819</v>
      </c>
    </row>
    <row r="841" spans="1:16" x14ac:dyDescent="0.2">
      <c r="A841" t="s">
        <v>2095</v>
      </c>
      <c r="B841" t="s">
        <v>2096</v>
      </c>
      <c r="C841" t="s">
        <v>2094</v>
      </c>
      <c r="D841" t="s">
        <v>98</v>
      </c>
      <c r="E841">
        <v>119.99</v>
      </c>
      <c r="F841" t="s">
        <v>5817</v>
      </c>
      <c r="L841" t="s">
        <v>5818</v>
      </c>
      <c r="M841">
        <v>0</v>
      </c>
      <c r="N841">
        <v>0</v>
      </c>
      <c r="O841">
        <v>0</v>
      </c>
      <c r="P841" t="s">
        <v>5819</v>
      </c>
    </row>
    <row r="842" spans="1:16" x14ac:dyDescent="0.2">
      <c r="A842" t="s">
        <v>2103</v>
      </c>
      <c r="B842" t="s">
        <v>2104</v>
      </c>
      <c r="C842" t="s">
        <v>2094</v>
      </c>
      <c r="D842" t="s">
        <v>98</v>
      </c>
      <c r="E842">
        <v>139.99</v>
      </c>
      <c r="F842" t="s">
        <v>5817</v>
      </c>
      <c r="L842" t="s">
        <v>5818</v>
      </c>
      <c r="M842">
        <v>0</v>
      </c>
      <c r="N842">
        <v>0</v>
      </c>
      <c r="O842">
        <v>0</v>
      </c>
      <c r="P842" t="s">
        <v>5819</v>
      </c>
    </row>
    <row r="843" spans="1:16" x14ac:dyDescent="0.2">
      <c r="A843" t="s">
        <v>2097</v>
      </c>
      <c r="B843" t="s">
        <v>2098</v>
      </c>
      <c r="C843" t="s">
        <v>2094</v>
      </c>
      <c r="D843" t="s">
        <v>98</v>
      </c>
      <c r="E843">
        <v>159.99</v>
      </c>
      <c r="F843" t="s">
        <v>5817</v>
      </c>
      <c r="L843" t="s">
        <v>5818</v>
      </c>
      <c r="M843">
        <v>0</v>
      </c>
      <c r="N843">
        <v>0</v>
      </c>
      <c r="O843">
        <v>0</v>
      </c>
      <c r="P843" t="s">
        <v>5819</v>
      </c>
    </row>
    <row r="844" spans="1:16" x14ac:dyDescent="0.2">
      <c r="A844" t="s">
        <v>2103</v>
      </c>
      <c r="B844" t="s">
        <v>2104</v>
      </c>
      <c r="C844" t="s">
        <v>2094</v>
      </c>
      <c r="D844" t="s">
        <v>98</v>
      </c>
      <c r="E844">
        <v>139.99</v>
      </c>
      <c r="F844" t="s">
        <v>5817</v>
      </c>
      <c r="L844" t="s">
        <v>5085</v>
      </c>
      <c r="M844">
        <v>0</v>
      </c>
      <c r="N844">
        <v>0</v>
      </c>
      <c r="O844">
        <v>8.3333333333333329E-2</v>
      </c>
      <c r="P844" t="s">
        <v>5819</v>
      </c>
    </row>
    <row r="845" spans="1:16" x14ac:dyDescent="0.2">
      <c r="A845" t="s">
        <v>2097</v>
      </c>
      <c r="B845" t="s">
        <v>2098</v>
      </c>
      <c r="C845" t="s">
        <v>2094</v>
      </c>
      <c r="D845" t="s">
        <v>98</v>
      </c>
      <c r="E845">
        <v>159.99</v>
      </c>
      <c r="F845" t="s">
        <v>5817</v>
      </c>
      <c r="L845" t="s">
        <v>5085</v>
      </c>
      <c r="M845">
        <v>0</v>
      </c>
      <c r="N845">
        <v>0</v>
      </c>
      <c r="O845">
        <v>0.16666666666666666</v>
      </c>
      <c r="P845" t="s">
        <v>5819</v>
      </c>
    </row>
    <row r="846" spans="1:16" x14ac:dyDescent="0.2">
      <c r="A846" t="s">
        <v>2101</v>
      </c>
      <c r="B846" t="s">
        <v>2102</v>
      </c>
      <c r="C846" t="s">
        <v>2094</v>
      </c>
      <c r="D846" t="s">
        <v>138</v>
      </c>
      <c r="E846">
        <v>219.99</v>
      </c>
      <c r="F846" t="s">
        <v>5817</v>
      </c>
      <c r="G846">
        <v>47</v>
      </c>
      <c r="I846">
        <v>47</v>
      </c>
      <c r="L846" t="s">
        <v>5085</v>
      </c>
      <c r="M846">
        <v>0</v>
      </c>
      <c r="N846">
        <v>0</v>
      </c>
      <c r="O846">
        <v>0</v>
      </c>
      <c r="P846">
        <v>4</v>
      </c>
    </row>
    <row r="847" spans="1:16" x14ac:dyDescent="0.2">
      <c r="A847" t="s">
        <v>2095</v>
      </c>
      <c r="B847" t="s">
        <v>2096</v>
      </c>
      <c r="C847" t="s">
        <v>2094</v>
      </c>
      <c r="D847" t="s">
        <v>98</v>
      </c>
      <c r="E847">
        <v>119.99</v>
      </c>
      <c r="F847" t="s">
        <v>5817</v>
      </c>
      <c r="L847" t="s">
        <v>5085</v>
      </c>
      <c r="M847">
        <v>0</v>
      </c>
      <c r="N847">
        <v>0</v>
      </c>
      <c r="O847">
        <v>0</v>
      </c>
      <c r="P847" t="s">
        <v>5819</v>
      </c>
    </row>
    <row r="848" spans="1:16" x14ac:dyDescent="0.2">
      <c r="A848" t="s">
        <v>2099</v>
      </c>
      <c r="B848" t="s">
        <v>2100</v>
      </c>
      <c r="C848" t="s">
        <v>2094</v>
      </c>
      <c r="D848" t="s">
        <v>98</v>
      </c>
      <c r="E848">
        <v>99.99</v>
      </c>
      <c r="F848" t="s">
        <v>5817</v>
      </c>
      <c r="L848" t="s">
        <v>5085</v>
      </c>
      <c r="M848">
        <v>0</v>
      </c>
      <c r="N848">
        <v>0</v>
      </c>
      <c r="O848">
        <v>0</v>
      </c>
      <c r="P848" t="s">
        <v>5819</v>
      </c>
    </row>
    <row r="849" spans="1:16" x14ac:dyDescent="0.2">
      <c r="A849" t="s">
        <v>2099</v>
      </c>
      <c r="B849" t="s">
        <v>2100</v>
      </c>
      <c r="C849" t="s">
        <v>2094</v>
      </c>
      <c r="D849" t="s">
        <v>98</v>
      </c>
      <c r="E849">
        <v>99.99</v>
      </c>
      <c r="F849" t="s">
        <v>5817</v>
      </c>
      <c r="L849" t="s">
        <v>5065</v>
      </c>
      <c r="M849">
        <v>0</v>
      </c>
      <c r="N849">
        <v>0</v>
      </c>
      <c r="P849">
        <v>0</v>
      </c>
    </row>
    <row r="850" spans="1:16" x14ac:dyDescent="0.2">
      <c r="A850" t="s">
        <v>2103</v>
      </c>
      <c r="B850" t="s">
        <v>2104</v>
      </c>
      <c r="C850" t="s">
        <v>2094</v>
      </c>
      <c r="D850" t="s">
        <v>98</v>
      </c>
      <c r="E850">
        <v>139.99</v>
      </c>
      <c r="F850" t="s">
        <v>5817</v>
      </c>
      <c r="L850" t="s">
        <v>5065</v>
      </c>
      <c r="M850">
        <v>0</v>
      </c>
      <c r="N850">
        <v>0</v>
      </c>
      <c r="P850">
        <v>0</v>
      </c>
    </row>
    <row r="851" spans="1:16" x14ac:dyDescent="0.2">
      <c r="A851" t="s">
        <v>2095</v>
      </c>
      <c r="B851" t="s">
        <v>2096</v>
      </c>
      <c r="C851" t="s">
        <v>2094</v>
      </c>
      <c r="D851" t="s">
        <v>98</v>
      </c>
      <c r="E851">
        <v>119.99</v>
      </c>
      <c r="F851" t="s">
        <v>5817</v>
      </c>
      <c r="L851" t="s">
        <v>5065</v>
      </c>
      <c r="M851">
        <v>0</v>
      </c>
      <c r="N851">
        <v>0</v>
      </c>
      <c r="P851">
        <v>0</v>
      </c>
    </row>
    <row r="852" spans="1:16" x14ac:dyDescent="0.2">
      <c r="A852" t="s">
        <v>2097</v>
      </c>
      <c r="B852" t="s">
        <v>2098</v>
      </c>
      <c r="C852" t="s">
        <v>2094</v>
      </c>
      <c r="D852" t="s">
        <v>98</v>
      </c>
      <c r="E852">
        <v>159.99</v>
      </c>
      <c r="F852" t="s">
        <v>5817</v>
      </c>
      <c r="L852" t="s">
        <v>5065</v>
      </c>
      <c r="M852">
        <v>0</v>
      </c>
      <c r="N852">
        <v>0</v>
      </c>
      <c r="P852">
        <v>0</v>
      </c>
    </row>
    <row r="853" spans="1:16" x14ac:dyDescent="0.2">
      <c r="A853" t="s">
        <v>2101</v>
      </c>
      <c r="B853" t="s">
        <v>2102</v>
      </c>
      <c r="C853" t="s">
        <v>2094</v>
      </c>
      <c r="D853" t="s">
        <v>138</v>
      </c>
      <c r="E853">
        <v>219.99</v>
      </c>
      <c r="F853" t="s">
        <v>5817</v>
      </c>
      <c r="G853">
        <v>47</v>
      </c>
      <c r="I853">
        <v>47</v>
      </c>
      <c r="L853" t="s">
        <v>5065</v>
      </c>
      <c r="M853">
        <v>0</v>
      </c>
      <c r="N853">
        <v>0</v>
      </c>
      <c r="P853">
        <v>0</v>
      </c>
    </row>
    <row r="854" spans="1:16" x14ac:dyDescent="0.2">
      <c r="A854" t="s">
        <v>2103</v>
      </c>
      <c r="B854" t="s">
        <v>2104</v>
      </c>
      <c r="C854" t="s">
        <v>2094</v>
      </c>
      <c r="D854" t="s">
        <v>98</v>
      </c>
      <c r="E854">
        <v>139.99</v>
      </c>
      <c r="F854" t="s">
        <v>5817</v>
      </c>
      <c r="L854" t="s">
        <v>8</v>
      </c>
      <c r="M854">
        <v>0</v>
      </c>
      <c r="N854">
        <v>0</v>
      </c>
      <c r="O854">
        <v>0</v>
      </c>
      <c r="P854">
        <v>0</v>
      </c>
    </row>
    <row r="855" spans="1:16" x14ac:dyDescent="0.2">
      <c r="A855" t="s">
        <v>2097</v>
      </c>
      <c r="B855" t="s">
        <v>2098</v>
      </c>
      <c r="C855" t="s">
        <v>2094</v>
      </c>
      <c r="D855" t="s">
        <v>98</v>
      </c>
      <c r="E855">
        <v>159.99</v>
      </c>
      <c r="F855" t="s">
        <v>5817</v>
      </c>
      <c r="L855" t="s">
        <v>8</v>
      </c>
      <c r="M855">
        <v>0</v>
      </c>
      <c r="N855">
        <v>0</v>
      </c>
      <c r="O855">
        <v>0</v>
      </c>
      <c r="P855">
        <v>0</v>
      </c>
    </row>
    <row r="856" spans="1:16" x14ac:dyDescent="0.2">
      <c r="A856" t="s">
        <v>2095</v>
      </c>
      <c r="B856" t="s">
        <v>2096</v>
      </c>
      <c r="C856" t="s">
        <v>2094</v>
      </c>
      <c r="D856" t="s">
        <v>98</v>
      </c>
      <c r="E856">
        <v>119.99</v>
      </c>
      <c r="F856" t="s">
        <v>5817</v>
      </c>
      <c r="L856" t="s">
        <v>8</v>
      </c>
      <c r="M856">
        <v>0</v>
      </c>
      <c r="N856">
        <v>0</v>
      </c>
      <c r="O856">
        <v>0</v>
      </c>
      <c r="P856">
        <v>0</v>
      </c>
    </row>
    <row r="857" spans="1:16" x14ac:dyDescent="0.2">
      <c r="A857" t="s">
        <v>2101</v>
      </c>
      <c r="B857" t="s">
        <v>2102</v>
      </c>
      <c r="C857" t="s">
        <v>2094</v>
      </c>
      <c r="D857" t="s">
        <v>138</v>
      </c>
      <c r="E857">
        <v>219.99</v>
      </c>
      <c r="F857" t="s">
        <v>5817</v>
      </c>
      <c r="G857">
        <v>47</v>
      </c>
      <c r="I857">
        <v>47</v>
      </c>
      <c r="L857" t="s">
        <v>8</v>
      </c>
      <c r="M857">
        <v>0</v>
      </c>
      <c r="N857">
        <v>0</v>
      </c>
      <c r="O857">
        <v>0</v>
      </c>
      <c r="P857">
        <v>0</v>
      </c>
    </row>
    <row r="858" spans="1:16" x14ac:dyDescent="0.2">
      <c r="A858" t="s">
        <v>2099</v>
      </c>
      <c r="B858" t="s">
        <v>2100</v>
      </c>
      <c r="C858" t="s">
        <v>2094</v>
      </c>
      <c r="D858" t="s">
        <v>98</v>
      </c>
      <c r="E858">
        <v>99.99</v>
      </c>
      <c r="F858" t="s">
        <v>5817</v>
      </c>
      <c r="L858" t="s">
        <v>8</v>
      </c>
      <c r="M858">
        <v>0</v>
      </c>
      <c r="N858">
        <v>0</v>
      </c>
      <c r="O858">
        <v>0</v>
      </c>
      <c r="P858">
        <v>0</v>
      </c>
    </row>
    <row r="859" spans="1:16" x14ac:dyDescent="0.2">
      <c r="A859" t="s">
        <v>5335</v>
      </c>
      <c r="B859" t="s">
        <v>5336</v>
      </c>
      <c r="C859" t="s">
        <v>2174</v>
      </c>
      <c r="D859" t="s">
        <v>98</v>
      </c>
      <c r="E859">
        <v>89.99</v>
      </c>
      <c r="F859" t="s">
        <v>5817</v>
      </c>
      <c r="L859" t="s">
        <v>73</v>
      </c>
      <c r="M859">
        <v>0</v>
      </c>
      <c r="N859">
        <v>0</v>
      </c>
      <c r="O859">
        <v>0</v>
      </c>
      <c r="P859">
        <v>0</v>
      </c>
    </row>
    <row r="860" spans="1:16" x14ac:dyDescent="0.2">
      <c r="A860" t="s">
        <v>2181</v>
      </c>
      <c r="B860" t="s">
        <v>2182</v>
      </c>
      <c r="C860" t="s">
        <v>2174</v>
      </c>
      <c r="D860" t="s">
        <v>98</v>
      </c>
      <c r="E860">
        <v>44.99</v>
      </c>
      <c r="F860" t="s">
        <v>5817</v>
      </c>
      <c r="L860" t="s">
        <v>73</v>
      </c>
      <c r="M860">
        <v>0</v>
      </c>
      <c r="N860">
        <v>0</v>
      </c>
      <c r="O860">
        <v>0</v>
      </c>
      <c r="P860">
        <v>0</v>
      </c>
    </row>
    <row r="861" spans="1:16" x14ac:dyDescent="0.2">
      <c r="A861" t="s">
        <v>2183</v>
      </c>
      <c r="B861" t="s">
        <v>5836</v>
      </c>
      <c r="C861" t="s">
        <v>2174</v>
      </c>
      <c r="D861" t="s">
        <v>98</v>
      </c>
      <c r="E861">
        <v>69.989999999999995</v>
      </c>
      <c r="F861" t="s">
        <v>5817</v>
      </c>
      <c r="L861" t="s">
        <v>73</v>
      </c>
      <c r="M861">
        <v>0</v>
      </c>
      <c r="N861">
        <v>0</v>
      </c>
      <c r="O861">
        <v>0</v>
      </c>
      <c r="P861">
        <v>0</v>
      </c>
    </row>
    <row r="862" spans="1:16" x14ac:dyDescent="0.2">
      <c r="A862" t="s">
        <v>2205</v>
      </c>
      <c r="B862" t="s">
        <v>5837</v>
      </c>
      <c r="C862" t="s">
        <v>2174</v>
      </c>
      <c r="D862" t="s">
        <v>98</v>
      </c>
      <c r="E862">
        <v>79.989999999999995</v>
      </c>
      <c r="F862" t="s">
        <v>5817</v>
      </c>
      <c r="L862" t="s">
        <v>73</v>
      </c>
      <c r="M862">
        <v>0</v>
      </c>
      <c r="N862">
        <v>0</v>
      </c>
      <c r="O862">
        <v>0</v>
      </c>
      <c r="P862">
        <v>0</v>
      </c>
    </row>
    <row r="863" spans="1:16" x14ac:dyDescent="0.2">
      <c r="A863" t="s">
        <v>2201</v>
      </c>
      <c r="B863" t="s">
        <v>5838</v>
      </c>
      <c r="C863" t="s">
        <v>2174</v>
      </c>
      <c r="D863" t="s">
        <v>98</v>
      </c>
      <c r="E863">
        <v>69.989999999999995</v>
      </c>
      <c r="F863" t="s">
        <v>5817</v>
      </c>
      <c r="L863" t="s">
        <v>73</v>
      </c>
      <c r="M863">
        <v>0</v>
      </c>
      <c r="N863">
        <v>0</v>
      </c>
      <c r="O863">
        <v>0</v>
      </c>
      <c r="P863">
        <v>0</v>
      </c>
    </row>
    <row r="864" spans="1:16" x14ac:dyDescent="0.2">
      <c r="A864" t="s">
        <v>2199</v>
      </c>
      <c r="B864" t="s">
        <v>2200</v>
      </c>
      <c r="C864" t="s">
        <v>2174</v>
      </c>
      <c r="D864" t="s">
        <v>98</v>
      </c>
      <c r="E864">
        <v>59.99</v>
      </c>
      <c r="F864" t="s">
        <v>5817</v>
      </c>
      <c r="L864" t="s">
        <v>73</v>
      </c>
      <c r="M864">
        <v>0</v>
      </c>
      <c r="N864">
        <v>0</v>
      </c>
      <c r="O864">
        <v>0.25</v>
      </c>
      <c r="P864">
        <v>0</v>
      </c>
    </row>
    <row r="865" spans="1:16" x14ac:dyDescent="0.2">
      <c r="A865" t="s">
        <v>2207</v>
      </c>
      <c r="B865" t="s">
        <v>2208</v>
      </c>
      <c r="C865" t="s">
        <v>2174</v>
      </c>
      <c r="D865" t="s">
        <v>98</v>
      </c>
      <c r="E865">
        <v>79.989999999999995</v>
      </c>
      <c r="F865" t="s">
        <v>5817</v>
      </c>
      <c r="L865" t="s">
        <v>73</v>
      </c>
      <c r="M865">
        <v>0</v>
      </c>
      <c r="N865">
        <v>0</v>
      </c>
      <c r="O865">
        <v>0</v>
      </c>
      <c r="P865">
        <v>0</v>
      </c>
    </row>
    <row r="866" spans="1:16" x14ac:dyDescent="0.2">
      <c r="A866" t="s">
        <v>2179</v>
      </c>
      <c r="B866" t="s">
        <v>2180</v>
      </c>
      <c r="C866" t="s">
        <v>2174</v>
      </c>
      <c r="D866" t="s">
        <v>98</v>
      </c>
      <c r="E866">
        <v>34.99</v>
      </c>
      <c r="F866" t="s">
        <v>5817</v>
      </c>
      <c r="L866" t="s">
        <v>73</v>
      </c>
      <c r="M866">
        <v>0</v>
      </c>
      <c r="N866">
        <v>0</v>
      </c>
      <c r="O866">
        <v>0</v>
      </c>
      <c r="P866">
        <v>0</v>
      </c>
    </row>
    <row r="867" spans="1:16" x14ac:dyDescent="0.2">
      <c r="A867" t="s">
        <v>5361</v>
      </c>
      <c r="B867" t="s">
        <v>5362</v>
      </c>
      <c r="C867" t="s">
        <v>2174</v>
      </c>
      <c r="D867" t="s">
        <v>138</v>
      </c>
      <c r="E867">
        <v>89.99</v>
      </c>
      <c r="F867" t="s">
        <v>5817</v>
      </c>
      <c r="L867" t="s">
        <v>73</v>
      </c>
      <c r="M867">
        <v>-1</v>
      </c>
      <c r="N867">
        <v>-1</v>
      </c>
      <c r="O867">
        <v>0</v>
      </c>
      <c r="P867">
        <v>1</v>
      </c>
    </row>
    <row r="868" spans="1:16" x14ac:dyDescent="0.2">
      <c r="A868" t="s">
        <v>2189</v>
      </c>
      <c r="B868" t="s">
        <v>2190</v>
      </c>
      <c r="C868" t="s">
        <v>2174</v>
      </c>
      <c r="D868" t="s">
        <v>98</v>
      </c>
      <c r="E868">
        <v>99.99</v>
      </c>
      <c r="F868" t="s">
        <v>5817</v>
      </c>
      <c r="L868" t="s">
        <v>73</v>
      </c>
      <c r="M868">
        <v>0</v>
      </c>
      <c r="N868">
        <v>0</v>
      </c>
      <c r="O868">
        <v>0</v>
      </c>
      <c r="P868">
        <v>0</v>
      </c>
    </row>
    <row r="869" spans="1:16" x14ac:dyDescent="0.2">
      <c r="A869" t="s">
        <v>2193</v>
      </c>
      <c r="B869" t="s">
        <v>2194</v>
      </c>
      <c r="C869" t="s">
        <v>2174</v>
      </c>
      <c r="D869" t="s">
        <v>98</v>
      </c>
      <c r="E869">
        <v>99.99</v>
      </c>
      <c r="F869" t="s">
        <v>5817</v>
      </c>
      <c r="L869" t="s">
        <v>73</v>
      </c>
      <c r="M869">
        <v>0</v>
      </c>
      <c r="N869">
        <v>0</v>
      </c>
      <c r="O869">
        <v>0</v>
      </c>
      <c r="P869">
        <v>0</v>
      </c>
    </row>
    <row r="870" spans="1:16" x14ac:dyDescent="0.2">
      <c r="A870" t="s">
        <v>2191</v>
      </c>
      <c r="B870" t="s">
        <v>2192</v>
      </c>
      <c r="C870" t="s">
        <v>2174</v>
      </c>
      <c r="D870" t="s">
        <v>98</v>
      </c>
      <c r="E870">
        <v>99.99</v>
      </c>
      <c r="F870" t="s">
        <v>5817</v>
      </c>
      <c r="L870" t="s">
        <v>73</v>
      </c>
      <c r="M870">
        <v>0</v>
      </c>
      <c r="N870">
        <v>0</v>
      </c>
      <c r="O870">
        <v>0</v>
      </c>
      <c r="P870">
        <v>0</v>
      </c>
    </row>
    <row r="871" spans="1:16" x14ac:dyDescent="0.2">
      <c r="A871" t="s">
        <v>5483</v>
      </c>
      <c r="B871" t="s">
        <v>5484</v>
      </c>
      <c r="C871" t="s">
        <v>2174</v>
      </c>
      <c r="D871" t="s">
        <v>98</v>
      </c>
      <c r="E871">
        <v>99.99</v>
      </c>
      <c r="F871" t="s">
        <v>5817</v>
      </c>
      <c r="L871" t="s">
        <v>73</v>
      </c>
      <c r="M871">
        <v>0</v>
      </c>
      <c r="N871">
        <v>0</v>
      </c>
      <c r="O871">
        <v>0</v>
      </c>
      <c r="P871">
        <v>0</v>
      </c>
    </row>
    <row r="872" spans="1:16" x14ac:dyDescent="0.2">
      <c r="A872" t="s">
        <v>2187</v>
      </c>
      <c r="B872" t="s">
        <v>2188</v>
      </c>
      <c r="C872" t="s">
        <v>2174</v>
      </c>
      <c r="D872" t="s">
        <v>98</v>
      </c>
      <c r="E872">
        <v>99.99</v>
      </c>
      <c r="F872" t="s">
        <v>5817</v>
      </c>
      <c r="L872" t="s">
        <v>73</v>
      </c>
      <c r="M872">
        <v>0</v>
      </c>
      <c r="N872">
        <v>0</v>
      </c>
      <c r="O872">
        <v>0</v>
      </c>
      <c r="P872">
        <v>0</v>
      </c>
    </row>
    <row r="873" spans="1:16" x14ac:dyDescent="0.2">
      <c r="A873" t="s">
        <v>2203</v>
      </c>
      <c r="B873" t="s">
        <v>2204</v>
      </c>
      <c r="C873" t="s">
        <v>2174</v>
      </c>
      <c r="D873" t="s">
        <v>98</v>
      </c>
      <c r="E873">
        <v>69.989999999999995</v>
      </c>
      <c r="F873" t="s">
        <v>5817</v>
      </c>
      <c r="L873" t="s">
        <v>73</v>
      </c>
      <c r="M873">
        <v>0</v>
      </c>
      <c r="N873">
        <v>0</v>
      </c>
      <c r="O873">
        <v>0</v>
      </c>
      <c r="P873">
        <v>0</v>
      </c>
    </row>
    <row r="874" spans="1:16" x14ac:dyDescent="0.2">
      <c r="A874" t="s">
        <v>2175</v>
      </c>
      <c r="B874" t="s">
        <v>2176</v>
      </c>
      <c r="C874" t="s">
        <v>2174</v>
      </c>
      <c r="D874" t="s">
        <v>98</v>
      </c>
      <c r="E874">
        <v>69.989999999999995</v>
      </c>
      <c r="F874" t="s">
        <v>5817</v>
      </c>
      <c r="L874" t="s">
        <v>73</v>
      </c>
      <c r="M874">
        <v>0</v>
      </c>
      <c r="N874">
        <v>0</v>
      </c>
      <c r="O874">
        <v>0</v>
      </c>
      <c r="P874">
        <v>0</v>
      </c>
    </row>
    <row r="875" spans="1:16" x14ac:dyDescent="0.2">
      <c r="A875" t="s">
        <v>2195</v>
      </c>
      <c r="B875" t="s">
        <v>2196</v>
      </c>
      <c r="C875" t="s">
        <v>2174</v>
      </c>
      <c r="D875" t="s">
        <v>98</v>
      </c>
      <c r="E875">
        <v>99.99</v>
      </c>
      <c r="F875" t="s">
        <v>5817</v>
      </c>
      <c r="L875" t="s">
        <v>73</v>
      </c>
      <c r="M875">
        <v>0</v>
      </c>
      <c r="N875">
        <v>0</v>
      </c>
      <c r="O875">
        <v>0</v>
      </c>
      <c r="P875">
        <v>0</v>
      </c>
    </row>
    <row r="876" spans="1:16" x14ac:dyDescent="0.2">
      <c r="A876" t="s">
        <v>2177</v>
      </c>
      <c r="B876" t="s">
        <v>2178</v>
      </c>
      <c r="C876" t="s">
        <v>2174</v>
      </c>
      <c r="D876" t="s">
        <v>98</v>
      </c>
      <c r="E876">
        <v>69.989999999999995</v>
      </c>
      <c r="F876" t="s">
        <v>5817</v>
      </c>
      <c r="L876" t="s">
        <v>73</v>
      </c>
      <c r="M876">
        <v>0</v>
      </c>
      <c r="N876">
        <v>0</v>
      </c>
      <c r="O876">
        <v>0</v>
      </c>
      <c r="P876">
        <v>0</v>
      </c>
    </row>
    <row r="877" spans="1:16" x14ac:dyDescent="0.2">
      <c r="A877" t="s">
        <v>2213</v>
      </c>
      <c r="B877" t="s">
        <v>2214</v>
      </c>
      <c r="C877" t="s">
        <v>2174</v>
      </c>
      <c r="D877" t="s">
        <v>98</v>
      </c>
      <c r="E877">
        <v>99.99</v>
      </c>
      <c r="F877" t="s">
        <v>5817</v>
      </c>
      <c r="L877" t="s">
        <v>73</v>
      </c>
      <c r="M877">
        <v>0</v>
      </c>
      <c r="N877">
        <v>0</v>
      </c>
      <c r="O877">
        <v>0</v>
      </c>
      <c r="P877">
        <v>0</v>
      </c>
    </row>
    <row r="878" spans="1:16" x14ac:dyDescent="0.2">
      <c r="A878" t="s">
        <v>5524</v>
      </c>
      <c r="B878" t="s">
        <v>5525</v>
      </c>
      <c r="C878" t="s">
        <v>2174</v>
      </c>
      <c r="D878" t="s">
        <v>98</v>
      </c>
      <c r="E878">
        <v>99.99</v>
      </c>
      <c r="F878" t="s">
        <v>5817</v>
      </c>
      <c r="L878" t="s">
        <v>73</v>
      </c>
      <c r="M878">
        <v>0</v>
      </c>
      <c r="N878">
        <v>0</v>
      </c>
      <c r="O878">
        <v>0</v>
      </c>
      <c r="P878">
        <v>0</v>
      </c>
    </row>
    <row r="879" spans="1:16" x14ac:dyDescent="0.2">
      <c r="A879" t="s">
        <v>2211</v>
      </c>
      <c r="B879" t="s">
        <v>2212</v>
      </c>
      <c r="C879" t="s">
        <v>2174</v>
      </c>
      <c r="D879" t="s">
        <v>98</v>
      </c>
      <c r="E879">
        <v>99.99</v>
      </c>
      <c r="F879" t="s">
        <v>5817</v>
      </c>
      <c r="L879" t="s">
        <v>73</v>
      </c>
      <c r="M879">
        <v>0</v>
      </c>
      <c r="N879">
        <v>0</v>
      </c>
      <c r="O879">
        <v>0</v>
      </c>
      <c r="P879">
        <v>0</v>
      </c>
    </row>
    <row r="880" spans="1:16" x14ac:dyDescent="0.2">
      <c r="A880" t="s">
        <v>2209</v>
      </c>
      <c r="B880" t="s">
        <v>2210</v>
      </c>
      <c r="C880" t="s">
        <v>2174</v>
      </c>
      <c r="D880" t="s">
        <v>98</v>
      </c>
      <c r="E880">
        <v>99.99</v>
      </c>
      <c r="F880" t="s">
        <v>5817</v>
      </c>
      <c r="L880" t="s">
        <v>73</v>
      </c>
      <c r="M880">
        <v>0</v>
      </c>
      <c r="N880">
        <v>0</v>
      </c>
      <c r="O880">
        <v>0</v>
      </c>
      <c r="P880">
        <v>0</v>
      </c>
    </row>
    <row r="881" spans="1:16" x14ac:dyDescent="0.2">
      <c r="A881" t="s">
        <v>2187</v>
      </c>
      <c r="B881" t="s">
        <v>2188</v>
      </c>
      <c r="C881" t="s">
        <v>2174</v>
      </c>
      <c r="D881" t="s">
        <v>98</v>
      </c>
      <c r="E881">
        <v>99.99</v>
      </c>
      <c r="F881" t="s">
        <v>5817</v>
      </c>
      <c r="L881" t="s">
        <v>5818</v>
      </c>
      <c r="M881">
        <v>0</v>
      </c>
      <c r="N881">
        <v>0</v>
      </c>
      <c r="P881">
        <v>6</v>
      </c>
    </row>
    <row r="882" spans="1:16" x14ac:dyDescent="0.2">
      <c r="A882" t="s">
        <v>2189</v>
      </c>
      <c r="B882" t="s">
        <v>2190</v>
      </c>
      <c r="C882" t="s">
        <v>2174</v>
      </c>
      <c r="D882" t="s">
        <v>98</v>
      </c>
      <c r="E882">
        <v>99.99</v>
      </c>
      <c r="F882" t="s">
        <v>5817</v>
      </c>
      <c r="L882" t="s">
        <v>5818</v>
      </c>
      <c r="M882">
        <v>0</v>
      </c>
      <c r="N882">
        <v>0</v>
      </c>
      <c r="O882">
        <v>0</v>
      </c>
      <c r="P882" t="s">
        <v>5819</v>
      </c>
    </row>
    <row r="883" spans="1:16" x14ac:dyDescent="0.2">
      <c r="A883" t="s">
        <v>2195</v>
      </c>
      <c r="B883" t="s">
        <v>2196</v>
      </c>
      <c r="C883" t="s">
        <v>2174</v>
      </c>
      <c r="D883" t="s">
        <v>98</v>
      </c>
      <c r="E883">
        <v>99.99</v>
      </c>
      <c r="F883" t="s">
        <v>5817</v>
      </c>
      <c r="L883" t="s">
        <v>5818</v>
      </c>
      <c r="M883">
        <v>0</v>
      </c>
      <c r="N883">
        <v>0</v>
      </c>
      <c r="P883">
        <v>1</v>
      </c>
    </row>
    <row r="884" spans="1:16" x14ac:dyDescent="0.2">
      <c r="A884" t="s">
        <v>2213</v>
      </c>
      <c r="B884" t="s">
        <v>2214</v>
      </c>
      <c r="C884" t="s">
        <v>2174</v>
      </c>
      <c r="D884" t="s">
        <v>98</v>
      </c>
      <c r="E884">
        <v>99.99</v>
      </c>
      <c r="F884" t="s">
        <v>5817</v>
      </c>
      <c r="L884" t="s">
        <v>5818</v>
      </c>
      <c r="M884">
        <v>0</v>
      </c>
      <c r="N884">
        <v>0</v>
      </c>
      <c r="P884">
        <v>4</v>
      </c>
    </row>
    <row r="885" spans="1:16" x14ac:dyDescent="0.2">
      <c r="A885" t="s">
        <v>5483</v>
      </c>
      <c r="B885" t="s">
        <v>5484</v>
      </c>
      <c r="C885" t="s">
        <v>2174</v>
      </c>
      <c r="D885" t="s">
        <v>98</v>
      </c>
      <c r="E885">
        <v>99.99</v>
      </c>
      <c r="F885" t="s">
        <v>5817</v>
      </c>
      <c r="L885" t="s">
        <v>5818</v>
      </c>
      <c r="M885">
        <v>0</v>
      </c>
      <c r="N885">
        <v>0</v>
      </c>
      <c r="O885">
        <v>0</v>
      </c>
      <c r="P885" t="s">
        <v>5819</v>
      </c>
    </row>
    <row r="886" spans="1:16" x14ac:dyDescent="0.2">
      <c r="A886" t="s">
        <v>2197</v>
      </c>
      <c r="B886" t="s">
        <v>2198</v>
      </c>
      <c r="C886" t="s">
        <v>2174</v>
      </c>
      <c r="D886" t="s">
        <v>98</v>
      </c>
      <c r="E886">
        <v>99.99</v>
      </c>
      <c r="F886" t="s">
        <v>5817</v>
      </c>
      <c r="L886" t="s">
        <v>5818</v>
      </c>
      <c r="M886">
        <v>0</v>
      </c>
      <c r="N886">
        <v>0</v>
      </c>
      <c r="O886">
        <v>0</v>
      </c>
      <c r="P886" t="s">
        <v>5819</v>
      </c>
    </row>
    <row r="887" spans="1:16" x14ac:dyDescent="0.2">
      <c r="A887" t="s">
        <v>2185</v>
      </c>
      <c r="B887" t="s">
        <v>2186</v>
      </c>
      <c r="C887" t="s">
        <v>2174</v>
      </c>
      <c r="D887" t="s">
        <v>98</v>
      </c>
      <c r="E887">
        <v>99.99</v>
      </c>
      <c r="F887" t="s">
        <v>5817</v>
      </c>
      <c r="L887" t="s">
        <v>5818</v>
      </c>
      <c r="M887">
        <v>0</v>
      </c>
      <c r="N887">
        <v>0</v>
      </c>
      <c r="O887">
        <v>0</v>
      </c>
      <c r="P887" t="s">
        <v>5819</v>
      </c>
    </row>
    <row r="888" spans="1:16" x14ac:dyDescent="0.2">
      <c r="A888" t="s">
        <v>2191</v>
      </c>
      <c r="B888" t="s">
        <v>2192</v>
      </c>
      <c r="C888" t="s">
        <v>2174</v>
      </c>
      <c r="D888" t="s">
        <v>98</v>
      </c>
      <c r="E888">
        <v>99.99</v>
      </c>
      <c r="F888" t="s">
        <v>5817</v>
      </c>
      <c r="L888" t="s">
        <v>5818</v>
      </c>
      <c r="M888">
        <v>0</v>
      </c>
      <c r="N888">
        <v>0</v>
      </c>
      <c r="P888">
        <v>3</v>
      </c>
    </row>
    <row r="889" spans="1:16" x14ac:dyDescent="0.2">
      <c r="A889" t="s">
        <v>2203</v>
      </c>
      <c r="B889" t="s">
        <v>2204</v>
      </c>
      <c r="C889" t="s">
        <v>2174</v>
      </c>
      <c r="D889" t="s">
        <v>98</v>
      </c>
      <c r="E889">
        <v>69.989999999999995</v>
      </c>
      <c r="F889" t="s">
        <v>5817</v>
      </c>
      <c r="L889" t="s">
        <v>5818</v>
      </c>
      <c r="M889">
        <v>0</v>
      </c>
      <c r="N889">
        <v>0</v>
      </c>
      <c r="P889">
        <v>1</v>
      </c>
    </row>
    <row r="890" spans="1:16" x14ac:dyDescent="0.2">
      <c r="A890" t="s">
        <v>2209</v>
      </c>
      <c r="B890" t="s">
        <v>2210</v>
      </c>
      <c r="C890" t="s">
        <v>2174</v>
      </c>
      <c r="D890" t="s">
        <v>98</v>
      </c>
      <c r="E890">
        <v>99.99</v>
      </c>
      <c r="F890" t="s">
        <v>5817</v>
      </c>
      <c r="L890" t="s">
        <v>5818</v>
      </c>
      <c r="M890">
        <v>0</v>
      </c>
      <c r="N890">
        <v>0</v>
      </c>
      <c r="O890">
        <v>0</v>
      </c>
      <c r="P890" t="s">
        <v>5819</v>
      </c>
    </row>
    <row r="891" spans="1:16" x14ac:dyDescent="0.2">
      <c r="A891" t="s">
        <v>2211</v>
      </c>
      <c r="B891" t="s">
        <v>2212</v>
      </c>
      <c r="C891" t="s">
        <v>2174</v>
      </c>
      <c r="D891" t="s">
        <v>98</v>
      </c>
      <c r="E891">
        <v>99.99</v>
      </c>
      <c r="F891" t="s">
        <v>5817</v>
      </c>
      <c r="L891" t="s">
        <v>5818</v>
      </c>
      <c r="M891">
        <v>0</v>
      </c>
      <c r="N891">
        <v>0</v>
      </c>
      <c r="O891">
        <v>0</v>
      </c>
      <c r="P891" t="s">
        <v>5819</v>
      </c>
    </row>
    <row r="892" spans="1:16" x14ac:dyDescent="0.2">
      <c r="A892" t="s">
        <v>2175</v>
      </c>
      <c r="B892" t="s">
        <v>2176</v>
      </c>
      <c r="C892" t="s">
        <v>2174</v>
      </c>
      <c r="D892" t="s">
        <v>98</v>
      </c>
      <c r="E892">
        <v>69.989999999999995</v>
      </c>
      <c r="F892" t="s">
        <v>5817</v>
      </c>
      <c r="L892" t="s">
        <v>5818</v>
      </c>
      <c r="M892">
        <v>0</v>
      </c>
      <c r="N892">
        <v>0</v>
      </c>
      <c r="O892">
        <v>0</v>
      </c>
      <c r="P892" t="s">
        <v>5819</v>
      </c>
    </row>
    <row r="893" spans="1:16" x14ac:dyDescent="0.2">
      <c r="A893" t="s">
        <v>2177</v>
      </c>
      <c r="B893" t="s">
        <v>2178</v>
      </c>
      <c r="C893" t="s">
        <v>2174</v>
      </c>
      <c r="D893" t="s">
        <v>98</v>
      </c>
      <c r="E893">
        <v>69.989999999999995</v>
      </c>
      <c r="F893" t="s">
        <v>5817</v>
      </c>
      <c r="L893" t="s">
        <v>5818</v>
      </c>
      <c r="M893">
        <v>0</v>
      </c>
      <c r="N893">
        <v>0</v>
      </c>
      <c r="P893">
        <v>1</v>
      </c>
    </row>
    <row r="894" spans="1:16" x14ac:dyDescent="0.2">
      <c r="A894" t="s">
        <v>5524</v>
      </c>
      <c r="B894" t="s">
        <v>5525</v>
      </c>
      <c r="C894" t="s">
        <v>2174</v>
      </c>
      <c r="D894" t="s">
        <v>98</v>
      </c>
      <c r="E894">
        <v>99.99</v>
      </c>
      <c r="F894" t="s">
        <v>5817</v>
      </c>
      <c r="L894" t="s">
        <v>5818</v>
      </c>
      <c r="M894">
        <v>0</v>
      </c>
      <c r="N894">
        <v>0</v>
      </c>
      <c r="O894">
        <v>0</v>
      </c>
      <c r="P894" t="s">
        <v>5819</v>
      </c>
    </row>
    <row r="895" spans="1:16" x14ac:dyDescent="0.2">
      <c r="A895" t="s">
        <v>2205</v>
      </c>
      <c r="B895" t="s">
        <v>5837</v>
      </c>
      <c r="C895" t="s">
        <v>2174</v>
      </c>
      <c r="D895" t="s">
        <v>98</v>
      </c>
      <c r="E895">
        <v>79.989999999999995</v>
      </c>
      <c r="F895" t="s">
        <v>5817</v>
      </c>
      <c r="L895" t="s">
        <v>5818</v>
      </c>
      <c r="M895">
        <v>0</v>
      </c>
      <c r="N895">
        <v>0</v>
      </c>
      <c r="P895" t="s">
        <v>5819</v>
      </c>
    </row>
    <row r="896" spans="1:16" x14ac:dyDescent="0.2">
      <c r="A896" t="s">
        <v>5361</v>
      </c>
      <c r="B896" t="s">
        <v>5362</v>
      </c>
      <c r="C896" t="s">
        <v>2174</v>
      </c>
      <c r="D896" t="s">
        <v>138</v>
      </c>
      <c r="E896">
        <v>89.99</v>
      </c>
      <c r="F896" t="s">
        <v>5817</v>
      </c>
      <c r="L896" t="s">
        <v>5818</v>
      </c>
      <c r="M896">
        <v>0</v>
      </c>
      <c r="N896">
        <v>0</v>
      </c>
      <c r="O896">
        <v>0</v>
      </c>
      <c r="P896" t="s">
        <v>5819</v>
      </c>
    </row>
    <row r="897" spans="1:16" x14ac:dyDescent="0.2">
      <c r="A897" t="s">
        <v>5335</v>
      </c>
      <c r="B897" t="s">
        <v>5336</v>
      </c>
      <c r="C897" t="s">
        <v>2174</v>
      </c>
      <c r="D897" t="s">
        <v>98</v>
      </c>
      <c r="E897">
        <v>89.99</v>
      </c>
      <c r="F897" t="s">
        <v>5817</v>
      </c>
      <c r="L897" t="s">
        <v>5818</v>
      </c>
      <c r="M897">
        <v>0</v>
      </c>
      <c r="N897">
        <v>0</v>
      </c>
      <c r="O897">
        <v>0</v>
      </c>
      <c r="P897" t="s">
        <v>5819</v>
      </c>
    </row>
    <row r="898" spans="1:16" x14ac:dyDescent="0.2">
      <c r="A898" t="s">
        <v>2181</v>
      </c>
      <c r="B898" t="s">
        <v>2182</v>
      </c>
      <c r="C898" t="s">
        <v>2174</v>
      </c>
      <c r="D898" t="s">
        <v>98</v>
      </c>
      <c r="E898">
        <v>44.99</v>
      </c>
      <c r="F898" t="s">
        <v>5817</v>
      </c>
      <c r="L898" t="s">
        <v>5818</v>
      </c>
      <c r="M898">
        <v>0</v>
      </c>
      <c r="N898">
        <v>0</v>
      </c>
      <c r="O898">
        <v>0</v>
      </c>
      <c r="P898" t="s">
        <v>5819</v>
      </c>
    </row>
    <row r="899" spans="1:16" x14ac:dyDescent="0.2">
      <c r="A899" t="s">
        <v>2201</v>
      </c>
      <c r="B899" t="s">
        <v>5838</v>
      </c>
      <c r="C899" t="s">
        <v>2174</v>
      </c>
      <c r="D899" t="s">
        <v>98</v>
      </c>
      <c r="E899">
        <v>69.989999999999995</v>
      </c>
      <c r="F899" t="s">
        <v>5817</v>
      </c>
      <c r="L899" t="s">
        <v>5818</v>
      </c>
      <c r="M899">
        <v>0</v>
      </c>
      <c r="N899">
        <v>0</v>
      </c>
      <c r="O899">
        <v>0</v>
      </c>
      <c r="P899" t="s">
        <v>5819</v>
      </c>
    </row>
    <row r="900" spans="1:16" x14ac:dyDescent="0.2">
      <c r="A900" t="s">
        <v>2199</v>
      </c>
      <c r="B900" t="s">
        <v>2200</v>
      </c>
      <c r="C900" t="s">
        <v>2174</v>
      </c>
      <c r="D900" t="s">
        <v>98</v>
      </c>
      <c r="E900">
        <v>59.99</v>
      </c>
      <c r="F900" t="s">
        <v>5817</v>
      </c>
      <c r="L900" t="s">
        <v>5818</v>
      </c>
      <c r="M900">
        <v>0</v>
      </c>
      <c r="N900">
        <v>0</v>
      </c>
      <c r="O900">
        <v>0</v>
      </c>
      <c r="P900" t="s">
        <v>5819</v>
      </c>
    </row>
    <row r="901" spans="1:16" x14ac:dyDescent="0.2">
      <c r="A901" t="s">
        <v>2179</v>
      </c>
      <c r="B901" t="s">
        <v>2180</v>
      </c>
      <c r="C901" t="s">
        <v>2174</v>
      </c>
      <c r="D901" t="s">
        <v>98</v>
      </c>
      <c r="E901">
        <v>34.99</v>
      </c>
      <c r="F901" t="s">
        <v>5817</v>
      </c>
      <c r="L901" t="s">
        <v>5818</v>
      </c>
      <c r="M901">
        <v>0</v>
      </c>
      <c r="N901">
        <v>0</v>
      </c>
      <c r="O901">
        <v>0</v>
      </c>
      <c r="P901" t="s">
        <v>5819</v>
      </c>
    </row>
    <row r="902" spans="1:16" x14ac:dyDescent="0.2">
      <c r="A902" t="s">
        <v>2207</v>
      </c>
      <c r="B902" t="s">
        <v>2208</v>
      </c>
      <c r="C902" t="s">
        <v>2174</v>
      </c>
      <c r="D902" t="s">
        <v>98</v>
      </c>
      <c r="E902">
        <v>79.989999999999995</v>
      </c>
      <c r="F902" t="s">
        <v>5817</v>
      </c>
      <c r="L902" t="s">
        <v>5818</v>
      </c>
      <c r="M902">
        <v>0</v>
      </c>
      <c r="N902">
        <v>0</v>
      </c>
      <c r="O902">
        <v>0</v>
      </c>
      <c r="P902" t="s">
        <v>5819</v>
      </c>
    </row>
    <row r="903" spans="1:16" x14ac:dyDescent="0.2">
      <c r="A903" t="s">
        <v>2183</v>
      </c>
      <c r="B903" t="s">
        <v>5836</v>
      </c>
      <c r="C903" t="s">
        <v>2174</v>
      </c>
      <c r="D903" t="s">
        <v>98</v>
      </c>
      <c r="E903">
        <v>69.989999999999995</v>
      </c>
      <c r="F903" t="s">
        <v>5817</v>
      </c>
      <c r="L903" t="s">
        <v>5818</v>
      </c>
      <c r="M903">
        <v>0</v>
      </c>
      <c r="N903">
        <v>0</v>
      </c>
      <c r="P903">
        <v>3</v>
      </c>
    </row>
    <row r="904" spans="1:16" x14ac:dyDescent="0.2">
      <c r="A904" t="s">
        <v>2183</v>
      </c>
      <c r="B904" t="s">
        <v>5836</v>
      </c>
      <c r="C904" t="s">
        <v>2174</v>
      </c>
      <c r="D904" t="s">
        <v>98</v>
      </c>
      <c r="E904">
        <v>69.989999999999995</v>
      </c>
      <c r="F904" t="s">
        <v>5817</v>
      </c>
      <c r="L904" t="s">
        <v>5085</v>
      </c>
      <c r="M904">
        <v>0</v>
      </c>
      <c r="N904">
        <v>0</v>
      </c>
      <c r="O904">
        <v>0</v>
      </c>
      <c r="P904" t="s">
        <v>5819</v>
      </c>
    </row>
    <row r="905" spans="1:16" x14ac:dyDescent="0.2">
      <c r="A905" t="s">
        <v>2181</v>
      </c>
      <c r="B905" t="s">
        <v>2182</v>
      </c>
      <c r="C905" t="s">
        <v>2174</v>
      </c>
      <c r="D905" t="s">
        <v>98</v>
      </c>
      <c r="E905">
        <v>44.99</v>
      </c>
      <c r="F905" t="s">
        <v>5817</v>
      </c>
      <c r="L905" t="s">
        <v>5085</v>
      </c>
      <c r="M905">
        <v>0</v>
      </c>
      <c r="N905">
        <v>0</v>
      </c>
      <c r="O905">
        <v>8.3333333333333329E-2</v>
      </c>
      <c r="P905" t="s">
        <v>5819</v>
      </c>
    </row>
    <row r="906" spans="1:16" x14ac:dyDescent="0.2">
      <c r="A906" t="s">
        <v>5335</v>
      </c>
      <c r="B906" t="s">
        <v>5336</v>
      </c>
      <c r="C906" t="s">
        <v>2174</v>
      </c>
      <c r="D906" t="s">
        <v>98</v>
      </c>
      <c r="E906">
        <v>89.99</v>
      </c>
      <c r="F906" t="s">
        <v>5817</v>
      </c>
      <c r="L906" t="s">
        <v>5085</v>
      </c>
      <c r="M906">
        <v>0</v>
      </c>
      <c r="N906">
        <v>0</v>
      </c>
      <c r="O906">
        <v>0</v>
      </c>
      <c r="P906" t="s">
        <v>5819</v>
      </c>
    </row>
    <row r="907" spans="1:16" x14ac:dyDescent="0.2">
      <c r="A907" t="s">
        <v>2205</v>
      </c>
      <c r="B907" t="s">
        <v>5837</v>
      </c>
      <c r="C907" t="s">
        <v>2174</v>
      </c>
      <c r="D907" t="s">
        <v>98</v>
      </c>
      <c r="E907">
        <v>79.989999999999995</v>
      </c>
      <c r="F907" t="s">
        <v>5817</v>
      </c>
      <c r="L907" t="s">
        <v>5085</v>
      </c>
      <c r="M907">
        <v>0</v>
      </c>
      <c r="N907">
        <v>0</v>
      </c>
      <c r="O907">
        <v>0</v>
      </c>
      <c r="P907" t="s">
        <v>5819</v>
      </c>
    </row>
    <row r="908" spans="1:16" x14ac:dyDescent="0.2">
      <c r="A908" t="s">
        <v>2179</v>
      </c>
      <c r="B908" t="s">
        <v>2180</v>
      </c>
      <c r="C908" t="s">
        <v>2174</v>
      </c>
      <c r="D908" t="s">
        <v>98</v>
      </c>
      <c r="E908">
        <v>34.99</v>
      </c>
      <c r="F908" t="s">
        <v>5817</v>
      </c>
      <c r="L908" t="s">
        <v>5085</v>
      </c>
      <c r="M908">
        <v>0</v>
      </c>
      <c r="N908">
        <v>0</v>
      </c>
      <c r="O908">
        <v>0</v>
      </c>
      <c r="P908" t="s">
        <v>5819</v>
      </c>
    </row>
    <row r="909" spans="1:16" x14ac:dyDescent="0.2">
      <c r="A909" t="s">
        <v>2207</v>
      </c>
      <c r="B909" t="s">
        <v>2208</v>
      </c>
      <c r="C909" t="s">
        <v>2174</v>
      </c>
      <c r="D909" t="s">
        <v>98</v>
      </c>
      <c r="E909">
        <v>79.989999999999995</v>
      </c>
      <c r="F909" t="s">
        <v>5817</v>
      </c>
      <c r="L909" t="s">
        <v>5085</v>
      </c>
      <c r="M909">
        <v>0</v>
      </c>
      <c r="N909">
        <v>0</v>
      </c>
      <c r="O909">
        <v>0</v>
      </c>
      <c r="P909" t="s">
        <v>5819</v>
      </c>
    </row>
    <row r="910" spans="1:16" x14ac:dyDescent="0.2">
      <c r="A910" t="s">
        <v>5361</v>
      </c>
      <c r="B910" t="s">
        <v>5362</v>
      </c>
      <c r="C910" t="s">
        <v>2174</v>
      </c>
      <c r="D910" t="s">
        <v>138</v>
      </c>
      <c r="E910">
        <v>89.99</v>
      </c>
      <c r="F910" t="s">
        <v>5817</v>
      </c>
      <c r="L910" t="s">
        <v>5085</v>
      </c>
      <c r="M910">
        <v>0</v>
      </c>
      <c r="N910">
        <v>0</v>
      </c>
      <c r="O910">
        <v>0</v>
      </c>
      <c r="P910" t="s">
        <v>5819</v>
      </c>
    </row>
    <row r="911" spans="1:16" x14ac:dyDescent="0.2">
      <c r="A911" t="s">
        <v>2199</v>
      </c>
      <c r="B911" t="s">
        <v>2200</v>
      </c>
      <c r="C911" t="s">
        <v>2174</v>
      </c>
      <c r="D911" t="s">
        <v>98</v>
      </c>
      <c r="E911">
        <v>59.99</v>
      </c>
      <c r="F911" t="s">
        <v>5817</v>
      </c>
      <c r="L911" t="s">
        <v>5085</v>
      </c>
      <c r="M911">
        <v>0</v>
      </c>
      <c r="N911">
        <v>0</v>
      </c>
      <c r="O911">
        <v>0</v>
      </c>
      <c r="P911" t="s">
        <v>5819</v>
      </c>
    </row>
    <row r="912" spans="1:16" x14ac:dyDescent="0.2">
      <c r="A912" t="s">
        <v>2201</v>
      </c>
      <c r="B912" t="s">
        <v>5838</v>
      </c>
      <c r="C912" t="s">
        <v>2174</v>
      </c>
      <c r="D912" t="s">
        <v>98</v>
      </c>
      <c r="E912">
        <v>69.989999999999995</v>
      </c>
      <c r="F912" t="s">
        <v>5817</v>
      </c>
      <c r="L912" t="s">
        <v>5085</v>
      </c>
      <c r="M912">
        <v>0</v>
      </c>
      <c r="N912">
        <v>0</v>
      </c>
      <c r="O912">
        <v>0</v>
      </c>
      <c r="P912" t="s">
        <v>5819</v>
      </c>
    </row>
    <row r="913" spans="1:16" x14ac:dyDescent="0.2">
      <c r="A913" t="s">
        <v>2195</v>
      </c>
      <c r="B913" t="s">
        <v>2196</v>
      </c>
      <c r="C913" t="s">
        <v>2174</v>
      </c>
      <c r="D913" t="s">
        <v>98</v>
      </c>
      <c r="E913">
        <v>99.99</v>
      </c>
      <c r="F913" t="s">
        <v>5817</v>
      </c>
      <c r="L913" t="s">
        <v>5065</v>
      </c>
      <c r="M913">
        <v>0</v>
      </c>
      <c r="N913">
        <v>0</v>
      </c>
      <c r="P913">
        <v>0</v>
      </c>
    </row>
    <row r="914" spans="1:16" x14ac:dyDescent="0.2">
      <c r="A914" t="s">
        <v>2175</v>
      </c>
      <c r="B914" t="s">
        <v>2176</v>
      </c>
      <c r="C914" t="s">
        <v>2174</v>
      </c>
      <c r="D914" t="s">
        <v>98</v>
      </c>
      <c r="E914">
        <v>69.989999999999995</v>
      </c>
      <c r="F914" t="s">
        <v>5817</v>
      </c>
      <c r="L914" t="s">
        <v>5065</v>
      </c>
      <c r="M914">
        <v>0</v>
      </c>
      <c r="N914">
        <v>0</v>
      </c>
      <c r="P914">
        <v>0</v>
      </c>
    </row>
    <row r="915" spans="1:16" x14ac:dyDescent="0.2">
      <c r="A915" t="s">
        <v>2177</v>
      </c>
      <c r="B915" t="s">
        <v>2178</v>
      </c>
      <c r="C915" t="s">
        <v>2174</v>
      </c>
      <c r="D915" t="s">
        <v>98</v>
      </c>
      <c r="E915">
        <v>69.989999999999995</v>
      </c>
      <c r="F915" t="s">
        <v>5817</v>
      </c>
      <c r="L915" t="s">
        <v>5065</v>
      </c>
      <c r="M915">
        <v>0</v>
      </c>
      <c r="N915">
        <v>0</v>
      </c>
      <c r="P915">
        <v>0</v>
      </c>
    </row>
    <row r="916" spans="1:16" x14ac:dyDescent="0.2">
      <c r="A916" t="s">
        <v>2189</v>
      </c>
      <c r="B916" t="s">
        <v>2190</v>
      </c>
      <c r="C916" t="s">
        <v>2174</v>
      </c>
      <c r="D916" t="s">
        <v>98</v>
      </c>
      <c r="E916">
        <v>99.99</v>
      </c>
      <c r="F916" t="s">
        <v>5817</v>
      </c>
      <c r="L916" t="s">
        <v>5065</v>
      </c>
      <c r="M916">
        <v>0</v>
      </c>
      <c r="N916">
        <v>0</v>
      </c>
      <c r="P916">
        <v>0</v>
      </c>
    </row>
    <row r="917" spans="1:16" x14ac:dyDescent="0.2">
      <c r="A917" t="s">
        <v>2213</v>
      </c>
      <c r="B917" t="s">
        <v>2214</v>
      </c>
      <c r="C917" t="s">
        <v>2174</v>
      </c>
      <c r="D917" t="s">
        <v>98</v>
      </c>
      <c r="E917">
        <v>99.99</v>
      </c>
      <c r="F917" t="s">
        <v>5817</v>
      </c>
      <c r="L917" t="s">
        <v>5065</v>
      </c>
      <c r="M917">
        <v>0</v>
      </c>
      <c r="N917">
        <v>0</v>
      </c>
      <c r="P917">
        <v>0</v>
      </c>
    </row>
    <row r="918" spans="1:16" x14ac:dyDescent="0.2">
      <c r="A918" t="s">
        <v>2211</v>
      </c>
      <c r="B918" t="s">
        <v>2212</v>
      </c>
      <c r="C918" t="s">
        <v>2174</v>
      </c>
      <c r="D918" t="s">
        <v>98</v>
      </c>
      <c r="E918">
        <v>99.99</v>
      </c>
      <c r="F918" t="s">
        <v>5817</v>
      </c>
      <c r="L918" t="s">
        <v>5065</v>
      </c>
      <c r="M918">
        <v>0</v>
      </c>
      <c r="N918">
        <v>0</v>
      </c>
      <c r="P918">
        <v>0</v>
      </c>
    </row>
    <row r="919" spans="1:16" x14ac:dyDescent="0.2">
      <c r="A919" t="s">
        <v>5524</v>
      </c>
      <c r="B919" t="s">
        <v>5525</v>
      </c>
      <c r="C919" t="s">
        <v>2174</v>
      </c>
      <c r="D919" t="s">
        <v>98</v>
      </c>
      <c r="E919">
        <v>99.99</v>
      </c>
      <c r="F919" t="s">
        <v>5817</v>
      </c>
      <c r="L919" t="s">
        <v>5065</v>
      </c>
      <c r="M919">
        <v>0</v>
      </c>
      <c r="N919">
        <v>0</v>
      </c>
      <c r="P919">
        <v>0</v>
      </c>
    </row>
    <row r="920" spans="1:16" x14ac:dyDescent="0.2">
      <c r="A920" t="s">
        <v>2209</v>
      </c>
      <c r="B920" t="s">
        <v>2210</v>
      </c>
      <c r="C920" t="s">
        <v>2174</v>
      </c>
      <c r="D920" t="s">
        <v>98</v>
      </c>
      <c r="E920">
        <v>99.99</v>
      </c>
      <c r="F920" t="s">
        <v>5817</v>
      </c>
      <c r="L920" t="s">
        <v>5065</v>
      </c>
      <c r="M920">
        <v>0</v>
      </c>
      <c r="N920">
        <v>0</v>
      </c>
      <c r="P920">
        <v>0</v>
      </c>
    </row>
    <row r="921" spans="1:16" x14ac:dyDescent="0.2">
      <c r="A921" t="s">
        <v>2187</v>
      </c>
      <c r="B921" t="s">
        <v>2188</v>
      </c>
      <c r="C921" t="s">
        <v>2174</v>
      </c>
      <c r="D921" t="s">
        <v>98</v>
      </c>
      <c r="E921">
        <v>99.99</v>
      </c>
      <c r="F921" t="s">
        <v>5817</v>
      </c>
      <c r="L921" t="s">
        <v>5065</v>
      </c>
      <c r="M921">
        <v>0</v>
      </c>
      <c r="N921">
        <v>0</v>
      </c>
      <c r="P921">
        <v>0</v>
      </c>
    </row>
    <row r="922" spans="1:16" x14ac:dyDescent="0.2">
      <c r="A922" t="s">
        <v>5483</v>
      </c>
      <c r="B922" t="s">
        <v>5484</v>
      </c>
      <c r="C922" t="s">
        <v>2174</v>
      </c>
      <c r="D922" t="s">
        <v>98</v>
      </c>
      <c r="E922">
        <v>99.99</v>
      </c>
      <c r="F922" t="s">
        <v>5817</v>
      </c>
      <c r="L922" t="s">
        <v>5065</v>
      </c>
      <c r="M922">
        <v>0</v>
      </c>
      <c r="N922">
        <v>0</v>
      </c>
      <c r="P922">
        <v>0</v>
      </c>
    </row>
    <row r="923" spans="1:16" x14ac:dyDescent="0.2">
      <c r="A923" t="s">
        <v>2203</v>
      </c>
      <c r="B923" t="s">
        <v>2204</v>
      </c>
      <c r="C923" t="s">
        <v>2174</v>
      </c>
      <c r="D923" t="s">
        <v>98</v>
      </c>
      <c r="E923">
        <v>69.989999999999995</v>
      </c>
      <c r="F923" t="s">
        <v>5817</v>
      </c>
      <c r="L923" t="s">
        <v>5065</v>
      </c>
      <c r="M923">
        <v>0</v>
      </c>
      <c r="N923">
        <v>0</v>
      </c>
      <c r="P923">
        <v>0</v>
      </c>
    </row>
    <row r="924" spans="1:16" x14ac:dyDescent="0.2">
      <c r="A924" t="s">
        <v>5361</v>
      </c>
      <c r="B924" t="s">
        <v>5362</v>
      </c>
      <c r="C924" t="s">
        <v>2174</v>
      </c>
      <c r="D924" t="s">
        <v>138</v>
      </c>
      <c r="E924">
        <v>89.99</v>
      </c>
      <c r="F924" t="s">
        <v>5817</v>
      </c>
      <c r="L924" t="s">
        <v>5065</v>
      </c>
      <c r="M924">
        <v>0</v>
      </c>
      <c r="N924">
        <v>0</v>
      </c>
      <c r="P924">
        <v>0</v>
      </c>
    </row>
    <row r="925" spans="1:16" x14ac:dyDescent="0.2">
      <c r="A925" t="s">
        <v>2181</v>
      </c>
      <c r="B925" t="s">
        <v>2182</v>
      </c>
      <c r="C925" t="s">
        <v>2174</v>
      </c>
      <c r="D925" t="s">
        <v>98</v>
      </c>
      <c r="E925">
        <v>44.99</v>
      </c>
      <c r="F925" t="s">
        <v>5817</v>
      </c>
      <c r="L925" t="s">
        <v>5065</v>
      </c>
      <c r="M925">
        <v>0</v>
      </c>
      <c r="N925">
        <v>0</v>
      </c>
      <c r="P925">
        <v>0</v>
      </c>
    </row>
    <row r="926" spans="1:16" x14ac:dyDescent="0.2">
      <c r="A926" t="s">
        <v>5335</v>
      </c>
      <c r="B926" t="s">
        <v>5336</v>
      </c>
      <c r="C926" t="s">
        <v>2174</v>
      </c>
      <c r="D926" t="s">
        <v>98</v>
      </c>
      <c r="E926">
        <v>89.99</v>
      </c>
      <c r="F926" t="s">
        <v>5817</v>
      </c>
      <c r="L926" t="s">
        <v>5065</v>
      </c>
      <c r="M926">
        <v>0</v>
      </c>
      <c r="N926">
        <v>0</v>
      </c>
      <c r="P926">
        <v>0</v>
      </c>
    </row>
    <row r="927" spans="1:16" x14ac:dyDescent="0.2">
      <c r="A927" t="s">
        <v>2183</v>
      </c>
      <c r="B927" t="s">
        <v>5836</v>
      </c>
      <c r="C927" t="s">
        <v>2174</v>
      </c>
      <c r="D927" t="s">
        <v>98</v>
      </c>
      <c r="E927">
        <v>69.989999999999995</v>
      </c>
      <c r="F927" t="s">
        <v>5817</v>
      </c>
      <c r="L927" t="s">
        <v>5065</v>
      </c>
      <c r="M927">
        <v>0</v>
      </c>
      <c r="N927">
        <v>0</v>
      </c>
      <c r="P927">
        <v>0</v>
      </c>
    </row>
    <row r="928" spans="1:16" x14ac:dyDescent="0.2">
      <c r="A928" t="s">
        <v>2207</v>
      </c>
      <c r="B928" t="s">
        <v>2208</v>
      </c>
      <c r="C928" t="s">
        <v>2174</v>
      </c>
      <c r="D928" t="s">
        <v>98</v>
      </c>
      <c r="E928">
        <v>79.989999999999995</v>
      </c>
      <c r="F928" t="s">
        <v>5817</v>
      </c>
      <c r="L928" t="s">
        <v>5065</v>
      </c>
      <c r="M928">
        <v>0</v>
      </c>
      <c r="N928">
        <v>0</v>
      </c>
      <c r="P928">
        <v>0</v>
      </c>
    </row>
    <row r="929" spans="1:16" x14ac:dyDescent="0.2">
      <c r="A929" t="s">
        <v>2199</v>
      </c>
      <c r="B929" t="s">
        <v>2200</v>
      </c>
      <c r="C929" t="s">
        <v>2174</v>
      </c>
      <c r="D929" t="s">
        <v>98</v>
      </c>
      <c r="E929">
        <v>59.99</v>
      </c>
      <c r="F929" t="s">
        <v>5817</v>
      </c>
      <c r="L929" t="s">
        <v>5065</v>
      </c>
      <c r="M929">
        <v>0</v>
      </c>
      <c r="N929">
        <v>0</v>
      </c>
      <c r="P929">
        <v>0</v>
      </c>
    </row>
    <row r="930" spans="1:16" x14ac:dyDescent="0.2">
      <c r="A930" t="s">
        <v>2201</v>
      </c>
      <c r="B930" t="s">
        <v>5838</v>
      </c>
      <c r="C930" t="s">
        <v>2174</v>
      </c>
      <c r="D930" t="s">
        <v>98</v>
      </c>
      <c r="E930">
        <v>69.989999999999995</v>
      </c>
      <c r="F930" t="s">
        <v>5817</v>
      </c>
      <c r="L930" t="s">
        <v>5065</v>
      </c>
      <c r="M930">
        <v>0</v>
      </c>
      <c r="N930">
        <v>0</v>
      </c>
      <c r="P930">
        <v>0</v>
      </c>
    </row>
    <row r="931" spans="1:16" x14ac:dyDescent="0.2">
      <c r="A931" t="s">
        <v>2205</v>
      </c>
      <c r="B931" t="s">
        <v>5837</v>
      </c>
      <c r="C931" t="s">
        <v>2174</v>
      </c>
      <c r="D931" t="s">
        <v>98</v>
      </c>
      <c r="E931">
        <v>79.989999999999995</v>
      </c>
      <c r="F931" t="s">
        <v>5817</v>
      </c>
      <c r="L931" t="s">
        <v>5065</v>
      </c>
      <c r="M931">
        <v>0</v>
      </c>
      <c r="N931">
        <v>0</v>
      </c>
      <c r="P931">
        <v>0</v>
      </c>
    </row>
    <row r="932" spans="1:16" x14ac:dyDescent="0.2">
      <c r="A932" t="s">
        <v>2179</v>
      </c>
      <c r="B932" t="s">
        <v>2180</v>
      </c>
      <c r="C932" t="s">
        <v>2174</v>
      </c>
      <c r="D932" t="s">
        <v>98</v>
      </c>
      <c r="E932">
        <v>34.99</v>
      </c>
      <c r="F932" t="s">
        <v>5817</v>
      </c>
      <c r="L932" t="s">
        <v>5065</v>
      </c>
      <c r="M932">
        <v>0</v>
      </c>
      <c r="N932">
        <v>0</v>
      </c>
      <c r="P932">
        <v>0</v>
      </c>
    </row>
    <row r="933" spans="1:16" x14ac:dyDescent="0.2">
      <c r="A933" t="s">
        <v>2179</v>
      </c>
      <c r="B933" t="s">
        <v>2180</v>
      </c>
      <c r="C933" t="s">
        <v>2174</v>
      </c>
      <c r="D933" t="s">
        <v>98</v>
      </c>
      <c r="E933">
        <v>34.99</v>
      </c>
      <c r="F933" t="s">
        <v>5817</v>
      </c>
      <c r="L933" t="s">
        <v>8</v>
      </c>
      <c r="M933">
        <v>0</v>
      </c>
      <c r="N933">
        <v>0</v>
      </c>
      <c r="O933">
        <v>0</v>
      </c>
      <c r="P933">
        <v>0</v>
      </c>
    </row>
    <row r="934" spans="1:16" x14ac:dyDescent="0.2">
      <c r="A934" t="s">
        <v>2207</v>
      </c>
      <c r="B934" t="s">
        <v>2208</v>
      </c>
      <c r="C934" t="s">
        <v>2174</v>
      </c>
      <c r="D934" t="s">
        <v>98</v>
      </c>
      <c r="E934">
        <v>79.989999999999995</v>
      </c>
      <c r="F934" t="s">
        <v>5817</v>
      </c>
      <c r="L934" t="s">
        <v>8</v>
      </c>
      <c r="M934">
        <v>0</v>
      </c>
      <c r="N934">
        <v>0</v>
      </c>
      <c r="O934">
        <v>0</v>
      </c>
      <c r="P934">
        <v>0</v>
      </c>
    </row>
    <row r="935" spans="1:16" x14ac:dyDescent="0.2">
      <c r="A935" t="s">
        <v>2199</v>
      </c>
      <c r="B935" t="s">
        <v>2200</v>
      </c>
      <c r="C935" t="s">
        <v>2174</v>
      </c>
      <c r="D935" t="s">
        <v>98</v>
      </c>
      <c r="E935">
        <v>59.99</v>
      </c>
      <c r="F935" t="s">
        <v>5817</v>
      </c>
      <c r="L935" t="s">
        <v>8</v>
      </c>
      <c r="M935">
        <v>0</v>
      </c>
      <c r="N935">
        <v>0</v>
      </c>
      <c r="O935">
        <v>0</v>
      </c>
      <c r="P935">
        <v>0</v>
      </c>
    </row>
    <row r="936" spans="1:16" x14ac:dyDescent="0.2">
      <c r="A936" t="s">
        <v>2201</v>
      </c>
      <c r="B936" t="s">
        <v>5838</v>
      </c>
      <c r="C936" t="s">
        <v>2174</v>
      </c>
      <c r="D936" t="s">
        <v>98</v>
      </c>
      <c r="E936">
        <v>69.989999999999995</v>
      </c>
      <c r="F936" t="s">
        <v>5817</v>
      </c>
      <c r="L936" t="s">
        <v>8</v>
      </c>
      <c r="M936">
        <v>0</v>
      </c>
      <c r="N936">
        <v>0</v>
      </c>
      <c r="O936">
        <v>0</v>
      </c>
      <c r="P936">
        <v>0</v>
      </c>
    </row>
    <row r="937" spans="1:16" x14ac:dyDescent="0.2">
      <c r="A937" t="s">
        <v>2205</v>
      </c>
      <c r="B937" t="s">
        <v>5837</v>
      </c>
      <c r="C937" t="s">
        <v>2174</v>
      </c>
      <c r="D937" t="s">
        <v>98</v>
      </c>
      <c r="E937">
        <v>79.989999999999995</v>
      </c>
      <c r="F937" t="s">
        <v>5817</v>
      </c>
      <c r="L937" t="s">
        <v>8</v>
      </c>
      <c r="M937">
        <v>0</v>
      </c>
      <c r="N937">
        <v>0</v>
      </c>
      <c r="O937">
        <v>0</v>
      </c>
      <c r="P937">
        <v>0</v>
      </c>
    </row>
    <row r="938" spans="1:16" x14ac:dyDescent="0.2">
      <c r="A938" t="s">
        <v>2183</v>
      </c>
      <c r="B938" t="s">
        <v>5836</v>
      </c>
      <c r="C938" t="s">
        <v>2174</v>
      </c>
      <c r="D938" t="s">
        <v>98</v>
      </c>
      <c r="E938">
        <v>69.989999999999995</v>
      </c>
      <c r="F938" t="s">
        <v>5817</v>
      </c>
      <c r="L938" t="s">
        <v>8</v>
      </c>
      <c r="M938">
        <v>0</v>
      </c>
      <c r="N938">
        <v>0</v>
      </c>
      <c r="O938">
        <v>0</v>
      </c>
      <c r="P938">
        <v>0</v>
      </c>
    </row>
    <row r="939" spans="1:16" x14ac:dyDescent="0.2">
      <c r="A939" t="s">
        <v>5361</v>
      </c>
      <c r="B939" t="s">
        <v>5362</v>
      </c>
      <c r="C939" t="s">
        <v>2174</v>
      </c>
      <c r="D939" t="s">
        <v>138</v>
      </c>
      <c r="E939">
        <v>89.99</v>
      </c>
      <c r="F939" t="s">
        <v>5817</v>
      </c>
      <c r="L939" t="s">
        <v>8</v>
      </c>
      <c r="M939">
        <v>0</v>
      </c>
      <c r="N939">
        <v>0</v>
      </c>
      <c r="O939">
        <v>0</v>
      </c>
      <c r="P939">
        <v>0</v>
      </c>
    </row>
    <row r="940" spans="1:16" x14ac:dyDescent="0.2">
      <c r="A940" t="s">
        <v>2181</v>
      </c>
      <c r="B940" t="s">
        <v>2182</v>
      </c>
      <c r="C940" t="s">
        <v>2174</v>
      </c>
      <c r="D940" t="s">
        <v>98</v>
      </c>
      <c r="E940">
        <v>44.99</v>
      </c>
      <c r="F940" t="s">
        <v>5817</v>
      </c>
      <c r="L940" t="s">
        <v>8</v>
      </c>
      <c r="M940">
        <v>0</v>
      </c>
      <c r="N940">
        <v>0</v>
      </c>
      <c r="O940">
        <v>0</v>
      </c>
      <c r="P940">
        <v>0</v>
      </c>
    </row>
    <row r="941" spans="1:16" x14ac:dyDescent="0.2">
      <c r="A941" t="s">
        <v>5335</v>
      </c>
      <c r="B941" t="s">
        <v>5336</v>
      </c>
      <c r="C941" t="s">
        <v>2174</v>
      </c>
      <c r="D941" t="s">
        <v>98</v>
      </c>
      <c r="E941">
        <v>89.99</v>
      </c>
      <c r="F941" t="s">
        <v>5817</v>
      </c>
      <c r="L941" t="s">
        <v>8</v>
      </c>
      <c r="M941">
        <v>0</v>
      </c>
      <c r="N941">
        <v>0</v>
      </c>
      <c r="O941">
        <v>0</v>
      </c>
      <c r="P941">
        <v>0</v>
      </c>
    </row>
    <row r="942" spans="1:16" x14ac:dyDescent="0.2">
      <c r="A942" t="s">
        <v>2209</v>
      </c>
      <c r="B942" t="s">
        <v>2210</v>
      </c>
      <c r="C942" t="s">
        <v>2174</v>
      </c>
      <c r="D942" t="s">
        <v>98</v>
      </c>
      <c r="E942">
        <v>99.99</v>
      </c>
      <c r="F942" t="s">
        <v>5817</v>
      </c>
      <c r="L942" t="s">
        <v>8</v>
      </c>
      <c r="M942">
        <v>0</v>
      </c>
      <c r="N942">
        <v>0</v>
      </c>
      <c r="O942">
        <v>0</v>
      </c>
      <c r="P942">
        <v>0</v>
      </c>
    </row>
    <row r="943" spans="1:16" x14ac:dyDescent="0.2">
      <c r="A943" t="s">
        <v>2203</v>
      </c>
      <c r="B943" t="s">
        <v>2204</v>
      </c>
      <c r="C943" t="s">
        <v>2174</v>
      </c>
      <c r="D943" t="s">
        <v>98</v>
      </c>
      <c r="E943">
        <v>69.989999999999995</v>
      </c>
      <c r="F943" t="s">
        <v>5817</v>
      </c>
      <c r="L943" t="s">
        <v>8</v>
      </c>
      <c r="M943">
        <v>0</v>
      </c>
      <c r="N943">
        <v>0</v>
      </c>
      <c r="O943">
        <v>0</v>
      </c>
      <c r="P943">
        <v>0</v>
      </c>
    </row>
    <row r="944" spans="1:16" x14ac:dyDescent="0.2">
      <c r="A944" t="s">
        <v>5483</v>
      </c>
      <c r="B944" t="s">
        <v>5484</v>
      </c>
      <c r="C944" t="s">
        <v>2174</v>
      </c>
      <c r="D944" t="s">
        <v>98</v>
      </c>
      <c r="E944">
        <v>99.99</v>
      </c>
      <c r="F944" t="s">
        <v>5817</v>
      </c>
      <c r="L944" t="s">
        <v>8</v>
      </c>
      <c r="M944">
        <v>0</v>
      </c>
      <c r="N944">
        <v>0</v>
      </c>
      <c r="O944">
        <v>0</v>
      </c>
      <c r="P944">
        <v>0</v>
      </c>
    </row>
    <row r="945" spans="1:16" x14ac:dyDescent="0.2">
      <c r="A945" t="s">
        <v>2187</v>
      </c>
      <c r="B945" t="s">
        <v>2188</v>
      </c>
      <c r="C945" t="s">
        <v>2174</v>
      </c>
      <c r="D945" t="s">
        <v>98</v>
      </c>
      <c r="E945">
        <v>99.99</v>
      </c>
      <c r="F945" t="s">
        <v>5817</v>
      </c>
      <c r="L945" t="s">
        <v>8</v>
      </c>
      <c r="M945">
        <v>0</v>
      </c>
      <c r="N945">
        <v>0</v>
      </c>
      <c r="O945">
        <v>0</v>
      </c>
      <c r="P945">
        <v>0</v>
      </c>
    </row>
    <row r="946" spans="1:16" x14ac:dyDescent="0.2">
      <c r="A946" t="s">
        <v>2195</v>
      </c>
      <c r="B946" t="s">
        <v>2196</v>
      </c>
      <c r="C946" t="s">
        <v>2174</v>
      </c>
      <c r="D946" t="s">
        <v>98</v>
      </c>
      <c r="E946">
        <v>99.99</v>
      </c>
      <c r="F946" t="s">
        <v>5817</v>
      </c>
      <c r="L946" t="s">
        <v>8</v>
      </c>
      <c r="M946">
        <v>0</v>
      </c>
      <c r="N946">
        <v>0</v>
      </c>
      <c r="O946">
        <v>0</v>
      </c>
      <c r="P946">
        <v>0</v>
      </c>
    </row>
    <row r="947" spans="1:16" x14ac:dyDescent="0.2">
      <c r="A947" t="s">
        <v>2213</v>
      </c>
      <c r="B947" t="s">
        <v>2214</v>
      </c>
      <c r="C947" t="s">
        <v>2174</v>
      </c>
      <c r="D947" t="s">
        <v>98</v>
      </c>
      <c r="E947">
        <v>99.99</v>
      </c>
      <c r="F947" t="s">
        <v>5817</v>
      </c>
      <c r="L947" t="s">
        <v>8</v>
      </c>
      <c r="M947">
        <v>0</v>
      </c>
      <c r="N947">
        <v>0</v>
      </c>
      <c r="O947">
        <v>0</v>
      </c>
      <c r="P947">
        <v>0</v>
      </c>
    </row>
    <row r="948" spans="1:16" x14ac:dyDescent="0.2">
      <c r="A948" t="s">
        <v>2189</v>
      </c>
      <c r="B948" t="s">
        <v>2190</v>
      </c>
      <c r="C948" t="s">
        <v>2174</v>
      </c>
      <c r="D948" t="s">
        <v>98</v>
      </c>
      <c r="E948">
        <v>99.99</v>
      </c>
      <c r="F948" t="s">
        <v>5817</v>
      </c>
      <c r="L948" t="s">
        <v>8</v>
      </c>
      <c r="M948">
        <v>0</v>
      </c>
      <c r="N948">
        <v>0</v>
      </c>
      <c r="O948">
        <v>0</v>
      </c>
      <c r="P948">
        <v>0</v>
      </c>
    </row>
    <row r="949" spans="1:16" x14ac:dyDescent="0.2">
      <c r="A949" t="s">
        <v>2211</v>
      </c>
      <c r="B949" t="s">
        <v>2212</v>
      </c>
      <c r="C949" t="s">
        <v>2174</v>
      </c>
      <c r="D949" t="s">
        <v>98</v>
      </c>
      <c r="E949">
        <v>99.99</v>
      </c>
      <c r="F949" t="s">
        <v>5817</v>
      </c>
      <c r="L949" t="s">
        <v>8</v>
      </c>
      <c r="M949">
        <v>0</v>
      </c>
      <c r="N949">
        <v>0</v>
      </c>
      <c r="O949">
        <v>0</v>
      </c>
      <c r="P949">
        <v>0</v>
      </c>
    </row>
    <row r="950" spans="1:16" x14ac:dyDescent="0.2">
      <c r="A950" t="s">
        <v>5524</v>
      </c>
      <c r="B950" t="s">
        <v>5525</v>
      </c>
      <c r="C950" t="s">
        <v>2174</v>
      </c>
      <c r="D950" t="s">
        <v>98</v>
      </c>
      <c r="E950">
        <v>99.99</v>
      </c>
      <c r="F950" t="s">
        <v>5817</v>
      </c>
      <c r="L950" t="s">
        <v>8</v>
      </c>
      <c r="M950">
        <v>0</v>
      </c>
      <c r="N950">
        <v>0</v>
      </c>
      <c r="O950">
        <v>0</v>
      </c>
      <c r="P950">
        <v>0</v>
      </c>
    </row>
    <row r="951" spans="1:16" x14ac:dyDescent="0.2">
      <c r="A951" t="s">
        <v>2177</v>
      </c>
      <c r="B951" t="s">
        <v>2178</v>
      </c>
      <c r="C951" t="s">
        <v>2174</v>
      </c>
      <c r="D951" t="s">
        <v>98</v>
      </c>
      <c r="E951">
        <v>69.989999999999995</v>
      </c>
      <c r="F951" t="s">
        <v>5817</v>
      </c>
      <c r="L951" t="s">
        <v>8</v>
      </c>
      <c r="M951">
        <v>0</v>
      </c>
      <c r="N951">
        <v>0</v>
      </c>
      <c r="O951">
        <v>0</v>
      </c>
      <c r="P951">
        <v>0</v>
      </c>
    </row>
    <row r="952" spans="1:16" x14ac:dyDescent="0.2">
      <c r="A952" t="s">
        <v>2175</v>
      </c>
      <c r="B952" t="s">
        <v>2176</v>
      </c>
      <c r="C952" t="s">
        <v>2174</v>
      </c>
      <c r="D952" t="s">
        <v>98</v>
      </c>
      <c r="E952">
        <v>69.989999999999995</v>
      </c>
      <c r="F952" t="s">
        <v>5817</v>
      </c>
      <c r="L952" t="s">
        <v>8</v>
      </c>
      <c r="M952">
        <v>0</v>
      </c>
      <c r="N952">
        <v>0</v>
      </c>
      <c r="O952">
        <v>0</v>
      </c>
      <c r="P952">
        <v>0</v>
      </c>
    </row>
    <row r="953" spans="1:16" x14ac:dyDescent="0.2">
      <c r="A953" t="s">
        <v>5386</v>
      </c>
      <c r="B953" t="s">
        <v>5387</v>
      </c>
      <c r="C953" t="s">
        <v>5388</v>
      </c>
      <c r="D953" t="s">
        <v>98</v>
      </c>
      <c r="E953">
        <v>689.99</v>
      </c>
      <c r="F953" t="s">
        <v>5817</v>
      </c>
      <c r="L953" t="s">
        <v>73</v>
      </c>
      <c r="M953">
        <v>0</v>
      </c>
      <c r="N953">
        <v>0</v>
      </c>
      <c r="O953">
        <v>0</v>
      </c>
      <c r="P953">
        <v>0</v>
      </c>
    </row>
    <row r="954" spans="1:16" x14ac:dyDescent="0.2">
      <c r="A954" t="s">
        <v>5403</v>
      </c>
      <c r="B954" t="s">
        <v>5404</v>
      </c>
      <c r="C954" t="s">
        <v>5388</v>
      </c>
      <c r="D954" t="s">
        <v>98</v>
      </c>
      <c r="E954">
        <v>5599.99</v>
      </c>
      <c r="F954" t="s">
        <v>5817</v>
      </c>
      <c r="L954" t="s">
        <v>73</v>
      </c>
      <c r="M954">
        <v>0</v>
      </c>
      <c r="N954">
        <v>0</v>
      </c>
      <c r="O954">
        <v>0</v>
      </c>
      <c r="P954">
        <v>0</v>
      </c>
    </row>
    <row r="955" spans="1:16" x14ac:dyDescent="0.2">
      <c r="A955" t="s">
        <v>5423</v>
      </c>
      <c r="B955" t="s">
        <v>5424</v>
      </c>
      <c r="C955" t="s">
        <v>5388</v>
      </c>
      <c r="D955" t="s">
        <v>98</v>
      </c>
      <c r="E955">
        <v>3999.99</v>
      </c>
      <c r="F955" t="s">
        <v>5817</v>
      </c>
      <c r="L955" t="s">
        <v>73</v>
      </c>
      <c r="M955">
        <v>0</v>
      </c>
      <c r="N955">
        <v>0</v>
      </c>
      <c r="O955">
        <v>0</v>
      </c>
      <c r="P955">
        <v>0</v>
      </c>
    </row>
    <row r="956" spans="1:16" x14ac:dyDescent="0.2">
      <c r="A956" t="s">
        <v>5423</v>
      </c>
      <c r="B956" t="s">
        <v>5424</v>
      </c>
      <c r="C956" t="s">
        <v>5388</v>
      </c>
      <c r="D956" t="s">
        <v>98</v>
      </c>
      <c r="E956">
        <v>3999.99</v>
      </c>
      <c r="F956" t="s">
        <v>5817</v>
      </c>
      <c r="L956" t="s">
        <v>5818</v>
      </c>
      <c r="M956">
        <v>0</v>
      </c>
      <c r="N956">
        <v>0</v>
      </c>
      <c r="O956">
        <v>0</v>
      </c>
      <c r="P956" t="s">
        <v>5819</v>
      </c>
    </row>
    <row r="957" spans="1:16" x14ac:dyDescent="0.2">
      <c r="A957" t="s">
        <v>5386</v>
      </c>
      <c r="B957" t="s">
        <v>5387</v>
      </c>
      <c r="C957" t="s">
        <v>5388</v>
      </c>
      <c r="D957" t="s">
        <v>98</v>
      </c>
      <c r="E957">
        <v>689.99</v>
      </c>
      <c r="F957" t="s">
        <v>5817</v>
      </c>
      <c r="L957" t="s">
        <v>5818</v>
      </c>
      <c r="M957">
        <v>0</v>
      </c>
      <c r="N957">
        <v>0</v>
      </c>
      <c r="O957">
        <v>0</v>
      </c>
      <c r="P957" t="s">
        <v>5819</v>
      </c>
    </row>
    <row r="958" spans="1:16" x14ac:dyDescent="0.2">
      <c r="A958" t="s">
        <v>5403</v>
      </c>
      <c r="B958" t="s">
        <v>5404</v>
      </c>
      <c r="C958" t="s">
        <v>5388</v>
      </c>
      <c r="D958" t="s">
        <v>98</v>
      </c>
      <c r="E958">
        <v>5599.99</v>
      </c>
      <c r="F958" t="s">
        <v>5817</v>
      </c>
      <c r="L958" t="s">
        <v>5818</v>
      </c>
      <c r="M958">
        <v>0</v>
      </c>
      <c r="N958">
        <v>0</v>
      </c>
      <c r="O958">
        <v>0</v>
      </c>
      <c r="P958" t="s">
        <v>5819</v>
      </c>
    </row>
    <row r="959" spans="1:16" x14ac:dyDescent="0.2">
      <c r="A959" t="s">
        <v>5403</v>
      </c>
      <c r="B959" t="s">
        <v>5404</v>
      </c>
      <c r="C959" t="s">
        <v>5388</v>
      </c>
      <c r="D959" t="s">
        <v>98</v>
      </c>
      <c r="E959">
        <v>5599.99</v>
      </c>
      <c r="F959" t="s">
        <v>5817</v>
      </c>
      <c r="L959" t="s">
        <v>5065</v>
      </c>
      <c r="M959">
        <v>0</v>
      </c>
      <c r="N959">
        <v>0</v>
      </c>
      <c r="P959">
        <v>0</v>
      </c>
    </row>
    <row r="960" spans="1:16" x14ac:dyDescent="0.2">
      <c r="A960" t="s">
        <v>5423</v>
      </c>
      <c r="B960" t="s">
        <v>5424</v>
      </c>
      <c r="C960" t="s">
        <v>5388</v>
      </c>
      <c r="D960" t="s">
        <v>98</v>
      </c>
      <c r="E960">
        <v>3999.99</v>
      </c>
      <c r="F960" t="s">
        <v>5817</v>
      </c>
      <c r="L960" t="s">
        <v>5065</v>
      </c>
      <c r="M960">
        <v>0</v>
      </c>
      <c r="N960">
        <v>0</v>
      </c>
      <c r="P960">
        <v>0</v>
      </c>
    </row>
    <row r="961" spans="1:16" x14ac:dyDescent="0.2">
      <c r="A961" t="s">
        <v>5386</v>
      </c>
      <c r="B961" t="s">
        <v>5387</v>
      </c>
      <c r="C961" t="s">
        <v>5388</v>
      </c>
      <c r="D961" t="s">
        <v>98</v>
      </c>
      <c r="E961">
        <v>689.99</v>
      </c>
      <c r="F961" t="s">
        <v>5817</v>
      </c>
      <c r="L961" t="s">
        <v>5065</v>
      </c>
      <c r="M961">
        <v>0</v>
      </c>
      <c r="N961">
        <v>0</v>
      </c>
      <c r="P961">
        <v>0</v>
      </c>
    </row>
    <row r="962" spans="1:16" x14ac:dyDescent="0.2">
      <c r="A962" t="s">
        <v>5423</v>
      </c>
      <c r="B962" t="s">
        <v>5424</v>
      </c>
      <c r="C962" t="s">
        <v>5388</v>
      </c>
      <c r="D962" t="s">
        <v>98</v>
      </c>
      <c r="E962">
        <v>3999.99</v>
      </c>
      <c r="F962" t="s">
        <v>5817</v>
      </c>
      <c r="L962" t="s">
        <v>8</v>
      </c>
      <c r="M962">
        <v>0</v>
      </c>
      <c r="N962">
        <v>0</v>
      </c>
      <c r="O962">
        <v>0</v>
      </c>
      <c r="P962">
        <v>0</v>
      </c>
    </row>
    <row r="963" spans="1:16" x14ac:dyDescent="0.2">
      <c r="A963" t="s">
        <v>5386</v>
      </c>
      <c r="B963" t="s">
        <v>5387</v>
      </c>
      <c r="C963" t="s">
        <v>5388</v>
      </c>
      <c r="D963" t="s">
        <v>98</v>
      </c>
      <c r="E963">
        <v>689.99</v>
      </c>
      <c r="F963" t="s">
        <v>5817</v>
      </c>
      <c r="L963" t="s">
        <v>8</v>
      </c>
      <c r="M963">
        <v>0</v>
      </c>
      <c r="N963">
        <v>0</v>
      </c>
      <c r="O963">
        <v>0</v>
      </c>
      <c r="P963">
        <v>0</v>
      </c>
    </row>
    <row r="964" spans="1:16" x14ac:dyDescent="0.2">
      <c r="A964" t="s">
        <v>5403</v>
      </c>
      <c r="B964" t="s">
        <v>5404</v>
      </c>
      <c r="C964" t="s">
        <v>5388</v>
      </c>
      <c r="D964" t="s">
        <v>98</v>
      </c>
      <c r="E964">
        <v>5599.99</v>
      </c>
      <c r="F964" t="s">
        <v>5817</v>
      </c>
      <c r="L964" t="s">
        <v>8</v>
      </c>
      <c r="M964">
        <v>0</v>
      </c>
      <c r="N964">
        <v>0</v>
      </c>
      <c r="O964">
        <v>0</v>
      </c>
      <c r="P964">
        <v>0</v>
      </c>
    </row>
    <row r="965" spans="1:16" x14ac:dyDescent="0.2">
      <c r="A965" t="s">
        <v>5371</v>
      </c>
      <c r="B965" t="s">
        <v>5372</v>
      </c>
      <c r="C965" t="s">
        <v>2415</v>
      </c>
      <c r="D965" t="s">
        <v>98</v>
      </c>
      <c r="E965">
        <v>119.99</v>
      </c>
      <c r="F965" t="s">
        <v>5817</v>
      </c>
      <c r="L965" t="s">
        <v>73</v>
      </c>
      <c r="M965">
        <v>0</v>
      </c>
      <c r="N965">
        <v>0</v>
      </c>
      <c r="O965">
        <v>0</v>
      </c>
      <c r="P965">
        <v>0</v>
      </c>
    </row>
    <row r="966" spans="1:16" x14ac:dyDescent="0.2">
      <c r="A966" t="s">
        <v>2420</v>
      </c>
      <c r="B966" t="s">
        <v>2421</v>
      </c>
      <c r="C966" t="s">
        <v>2415</v>
      </c>
      <c r="D966" t="s">
        <v>98</v>
      </c>
      <c r="E966">
        <v>189.99</v>
      </c>
      <c r="F966" t="s">
        <v>5817</v>
      </c>
      <c r="L966" t="s">
        <v>73</v>
      </c>
      <c r="M966">
        <v>0</v>
      </c>
      <c r="N966">
        <v>0</v>
      </c>
      <c r="O966">
        <v>0</v>
      </c>
      <c r="P966">
        <v>0</v>
      </c>
    </row>
    <row r="967" spans="1:16" x14ac:dyDescent="0.2">
      <c r="A967" t="s">
        <v>5359</v>
      </c>
      <c r="B967" t="s">
        <v>5360</v>
      </c>
      <c r="C967" t="s">
        <v>2415</v>
      </c>
      <c r="D967" t="s">
        <v>98</v>
      </c>
      <c r="E967">
        <v>499.99</v>
      </c>
      <c r="F967" t="s">
        <v>5817</v>
      </c>
      <c r="L967" t="s">
        <v>73</v>
      </c>
      <c r="M967">
        <v>0</v>
      </c>
      <c r="N967">
        <v>0</v>
      </c>
      <c r="O967">
        <v>0</v>
      </c>
      <c r="P967">
        <v>0</v>
      </c>
    </row>
    <row r="968" spans="1:16" x14ac:dyDescent="0.2">
      <c r="A968" t="s">
        <v>2418</v>
      </c>
      <c r="B968" t="s">
        <v>2419</v>
      </c>
      <c r="C968" t="s">
        <v>2415</v>
      </c>
      <c r="D968" t="s">
        <v>98</v>
      </c>
      <c r="E968">
        <v>349.99</v>
      </c>
      <c r="F968" t="s">
        <v>5817</v>
      </c>
      <c r="L968" t="s">
        <v>73</v>
      </c>
      <c r="M968">
        <v>0</v>
      </c>
      <c r="N968">
        <v>0</v>
      </c>
      <c r="O968">
        <v>0</v>
      </c>
      <c r="P968">
        <v>0</v>
      </c>
    </row>
    <row r="969" spans="1:16" x14ac:dyDescent="0.2">
      <c r="A969" t="s">
        <v>5353</v>
      </c>
      <c r="B969" t="s">
        <v>5354</v>
      </c>
      <c r="C969" t="s">
        <v>2415</v>
      </c>
      <c r="D969" t="s">
        <v>98</v>
      </c>
      <c r="E969">
        <v>159.99</v>
      </c>
      <c r="F969" t="s">
        <v>5817</v>
      </c>
      <c r="L969" t="s">
        <v>73</v>
      </c>
      <c r="M969">
        <v>0</v>
      </c>
      <c r="N969">
        <v>0</v>
      </c>
      <c r="O969">
        <v>0</v>
      </c>
      <c r="P969">
        <v>0</v>
      </c>
    </row>
    <row r="970" spans="1:16" x14ac:dyDescent="0.2">
      <c r="A970" t="s">
        <v>5363</v>
      </c>
      <c r="B970" t="s">
        <v>5364</v>
      </c>
      <c r="C970" t="s">
        <v>2415</v>
      </c>
      <c r="D970" t="s">
        <v>98</v>
      </c>
      <c r="E970">
        <v>149.99</v>
      </c>
      <c r="F970" t="s">
        <v>5817</v>
      </c>
      <c r="L970" t="s">
        <v>73</v>
      </c>
      <c r="M970">
        <v>0</v>
      </c>
      <c r="N970">
        <v>0</v>
      </c>
      <c r="O970">
        <v>0</v>
      </c>
      <c r="P970">
        <v>0</v>
      </c>
    </row>
    <row r="971" spans="1:16" x14ac:dyDescent="0.2">
      <c r="A971" t="s">
        <v>5594</v>
      </c>
      <c r="B971" t="s">
        <v>5595</v>
      </c>
      <c r="C971" t="s">
        <v>2415</v>
      </c>
      <c r="D971" t="s">
        <v>98</v>
      </c>
      <c r="E971">
        <v>139.99</v>
      </c>
      <c r="F971" t="s">
        <v>5817</v>
      </c>
      <c r="L971" t="s">
        <v>73</v>
      </c>
      <c r="M971">
        <v>0</v>
      </c>
      <c r="N971">
        <v>0</v>
      </c>
      <c r="O971">
        <v>0</v>
      </c>
      <c r="P971">
        <v>0</v>
      </c>
    </row>
    <row r="972" spans="1:16" x14ac:dyDescent="0.2">
      <c r="A972" t="s">
        <v>5588</v>
      </c>
      <c r="B972" t="s">
        <v>5589</v>
      </c>
      <c r="C972" t="s">
        <v>2415</v>
      </c>
      <c r="D972" t="s">
        <v>98</v>
      </c>
      <c r="E972">
        <v>449</v>
      </c>
      <c r="F972" t="s">
        <v>5817</v>
      </c>
      <c r="L972" t="s">
        <v>73</v>
      </c>
      <c r="M972">
        <v>0</v>
      </c>
      <c r="N972">
        <v>0</v>
      </c>
      <c r="O972">
        <v>0</v>
      </c>
      <c r="P972">
        <v>0</v>
      </c>
    </row>
    <row r="973" spans="1:16" x14ac:dyDescent="0.2">
      <c r="A973" t="s">
        <v>5592</v>
      </c>
      <c r="B973" t="s">
        <v>5593</v>
      </c>
      <c r="C973" t="s">
        <v>2415</v>
      </c>
      <c r="D973" t="s">
        <v>98</v>
      </c>
      <c r="E973">
        <v>139.99</v>
      </c>
      <c r="F973" t="s">
        <v>5817</v>
      </c>
      <c r="L973" t="s">
        <v>73</v>
      </c>
      <c r="M973">
        <v>0</v>
      </c>
      <c r="N973">
        <v>0</v>
      </c>
      <c r="O973">
        <v>0</v>
      </c>
      <c r="P973">
        <v>0</v>
      </c>
    </row>
    <row r="974" spans="1:16" x14ac:dyDescent="0.2">
      <c r="A974" t="s">
        <v>5427</v>
      </c>
      <c r="B974" t="s">
        <v>5428</v>
      </c>
      <c r="C974" t="s">
        <v>2415</v>
      </c>
      <c r="D974" t="s">
        <v>98</v>
      </c>
      <c r="E974">
        <v>189.99</v>
      </c>
      <c r="F974" t="s">
        <v>5817</v>
      </c>
      <c r="L974" t="s">
        <v>73</v>
      </c>
      <c r="M974">
        <v>0</v>
      </c>
      <c r="N974">
        <v>0</v>
      </c>
      <c r="O974">
        <v>0</v>
      </c>
      <c r="P974">
        <v>0</v>
      </c>
    </row>
    <row r="975" spans="1:16" x14ac:dyDescent="0.2">
      <c r="A975" t="s">
        <v>5445</v>
      </c>
      <c r="B975" t="s">
        <v>5446</v>
      </c>
      <c r="C975" t="s">
        <v>2415</v>
      </c>
      <c r="D975" t="s">
        <v>98</v>
      </c>
      <c r="E975">
        <v>199.99</v>
      </c>
      <c r="F975" t="s">
        <v>5817</v>
      </c>
      <c r="L975" t="s">
        <v>73</v>
      </c>
      <c r="M975">
        <v>0</v>
      </c>
      <c r="N975">
        <v>0</v>
      </c>
      <c r="O975">
        <v>0</v>
      </c>
      <c r="P975">
        <v>0</v>
      </c>
    </row>
    <row r="976" spans="1:16" x14ac:dyDescent="0.2">
      <c r="A976" t="s">
        <v>5389</v>
      </c>
      <c r="B976" t="s">
        <v>5390</v>
      </c>
      <c r="C976" t="s">
        <v>2415</v>
      </c>
      <c r="D976" t="s">
        <v>98</v>
      </c>
      <c r="E976">
        <v>149.99</v>
      </c>
      <c r="F976" t="s">
        <v>5817</v>
      </c>
      <c r="L976" t="s">
        <v>73</v>
      </c>
      <c r="M976">
        <v>0</v>
      </c>
      <c r="N976">
        <v>0</v>
      </c>
      <c r="O976">
        <v>0</v>
      </c>
      <c r="P976">
        <v>0</v>
      </c>
    </row>
    <row r="977" spans="1:16" x14ac:dyDescent="0.2">
      <c r="A977" t="s">
        <v>5415</v>
      </c>
      <c r="B977" t="s">
        <v>5416</v>
      </c>
      <c r="C977" t="s">
        <v>2415</v>
      </c>
      <c r="D977" t="s">
        <v>98</v>
      </c>
      <c r="E977">
        <v>159.99</v>
      </c>
      <c r="F977" t="s">
        <v>5817</v>
      </c>
      <c r="L977" t="s">
        <v>73</v>
      </c>
      <c r="M977">
        <v>0</v>
      </c>
      <c r="N977">
        <v>0</v>
      </c>
      <c r="O977">
        <v>0</v>
      </c>
      <c r="P977">
        <v>0</v>
      </c>
    </row>
    <row r="978" spans="1:16" x14ac:dyDescent="0.2">
      <c r="A978" t="s">
        <v>2416</v>
      </c>
      <c r="B978" t="s">
        <v>2417</v>
      </c>
      <c r="C978" t="s">
        <v>2415</v>
      </c>
      <c r="D978" t="s">
        <v>98</v>
      </c>
      <c r="E978">
        <v>49.99</v>
      </c>
      <c r="F978" t="s">
        <v>5817</v>
      </c>
      <c r="L978" t="s">
        <v>73</v>
      </c>
      <c r="M978">
        <v>0</v>
      </c>
      <c r="N978">
        <v>0</v>
      </c>
      <c r="O978">
        <v>0</v>
      </c>
      <c r="P978">
        <v>0</v>
      </c>
    </row>
    <row r="979" spans="1:16" x14ac:dyDescent="0.2">
      <c r="A979" t="s">
        <v>5514</v>
      </c>
      <c r="B979" t="s">
        <v>5515</v>
      </c>
      <c r="C979" t="s">
        <v>2415</v>
      </c>
      <c r="D979" t="s">
        <v>98</v>
      </c>
      <c r="E979">
        <v>69.989999999999995</v>
      </c>
      <c r="F979" t="s">
        <v>5817</v>
      </c>
      <c r="L979" t="s">
        <v>73</v>
      </c>
      <c r="M979">
        <v>0</v>
      </c>
      <c r="N979">
        <v>0</v>
      </c>
      <c r="O979">
        <v>0</v>
      </c>
      <c r="P979">
        <v>0</v>
      </c>
    </row>
    <row r="980" spans="1:16" x14ac:dyDescent="0.2">
      <c r="A980" t="s">
        <v>5427</v>
      </c>
      <c r="B980" t="s">
        <v>5428</v>
      </c>
      <c r="C980" t="s">
        <v>2415</v>
      </c>
      <c r="D980" t="s">
        <v>98</v>
      </c>
      <c r="E980">
        <v>189.99</v>
      </c>
      <c r="F980" t="s">
        <v>5817</v>
      </c>
      <c r="L980" t="s">
        <v>5818</v>
      </c>
      <c r="M980">
        <v>0</v>
      </c>
      <c r="N980">
        <v>0</v>
      </c>
      <c r="O980">
        <v>0</v>
      </c>
      <c r="P980" t="s">
        <v>5819</v>
      </c>
    </row>
    <row r="981" spans="1:16" x14ac:dyDescent="0.2">
      <c r="A981" t="s">
        <v>5594</v>
      </c>
      <c r="B981" t="s">
        <v>5595</v>
      </c>
      <c r="C981" t="s">
        <v>2415</v>
      </c>
      <c r="D981" t="s">
        <v>98</v>
      </c>
      <c r="E981">
        <v>139.99</v>
      </c>
      <c r="F981" t="s">
        <v>5817</v>
      </c>
      <c r="L981" t="s">
        <v>5818</v>
      </c>
      <c r="M981">
        <v>0</v>
      </c>
      <c r="N981">
        <v>0</v>
      </c>
      <c r="O981">
        <v>0</v>
      </c>
      <c r="P981" t="s">
        <v>5819</v>
      </c>
    </row>
    <row r="982" spans="1:16" x14ac:dyDescent="0.2">
      <c r="A982" t="s">
        <v>5445</v>
      </c>
      <c r="B982" t="s">
        <v>5446</v>
      </c>
      <c r="C982" t="s">
        <v>2415</v>
      </c>
      <c r="D982" t="s">
        <v>98</v>
      </c>
      <c r="E982">
        <v>199.99</v>
      </c>
      <c r="F982" t="s">
        <v>5817</v>
      </c>
      <c r="L982" t="s">
        <v>5818</v>
      </c>
      <c r="M982">
        <v>0</v>
      </c>
      <c r="N982">
        <v>0</v>
      </c>
      <c r="O982">
        <v>0</v>
      </c>
      <c r="P982" t="s">
        <v>5819</v>
      </c>
    </row>
    <row r="983" spans="1:16" x14ac:dyDescent="0.2">
      <c r="A983" t="s">
        <v>5592</v>
      </c>
      <c r="B983" t="s">
        <v>5593</v>
      </c>
      <c r="C983" t="s">
        <v>2415</v>
      </c>
      <c r="D983" t="s">
        <v>98</v>
      </c>
      <c r="E983">
        <v>139.99</v>
      </c>
      <c r="F983" t="s">
        <v>5817</v>
      </c>
      <c r="L983" t="s">
        <v>5818</v>
      </c>
      <c r="M983">
        <v>0</v>
      </c>
      <c r="N983">
        <v>0</v>
      </c>
      <c r="O983">
        <v>0</v>
      </c>
      <c r="P983" t="s">
        <v>5819</v>
      </c>
    </row>
    <row r="984" spans="1:16" x14ac:dyDescent="0.2">
      <c r="A984" t="s">
        <v>5588</v>
      </c>
      <c r="B984" t="s">
        <v>5589</v>
      </c>
      <c r="C984" t="s">
        <v>2415</v>
      </c>
      <c r="D984" t="s">
        <v>98</v>
      </c>
      <c r="E984">
        <v>449</v>
      </c>
      <c r="F984" t="s">
        <v>5817</v>
      </c>
      <c r="L984" t="s">
        <v>5818</v>
      </c>
      <c r="M984">
        <v>0</v>
      </c>
      <c r="N984">
        <v>0</v>
      </c>
      <c r="O984">
        <v>0</v>
      </c>
      <c r="P984" t="s">
        <v>5819</v>
      </c>
    </row>
    <row r="985" spans="1:16" x14ac:dyDescent="0.2">
      <c r="A985" t="s">
        <v>5415</v>
      </c>
      <c r="B985" t="s">
        <v>5416</v>
      </c>
      <c r="C985" t="s">
        <v>2415</v>
      </c>
      <c r="D985" t="s">
        <v>98</v>
      </c>
      <c r="E985">
        <v>159.99</v>
      </c>
      <c r="F985" t="s">
        <v>5817</v>
      </c>
      <c r="L985" t="s">
        <v>5818</v>
      </c>
      <c r="M985">
        <v>0</v>
      </c>
      <c r="N985">
        <v>0</v>
      </c>
      <c r="O985">
        <v>0</v>
      </c>
      <c r="P985" t="s">
        <v>5819</v>
      </c>
    </row>
    <row r="986" spans="1:16" x14ac:dyDescent="0.2">
      <c r="A986" t="s">
        <v>5514</v>
      </c>
      <c r="B986" t="s">
        <v>5515</v>
      </c>
      <c r="C986" t="s">
        <v>2415</v>
      </c>
      <c r="D986" t="s">
        <v>98</v>
      </c>
      <c r="E986">
        <v>69.989999999999995</v>
      </c>
      <c r="F986" t="s">
        <v>5817</v>
      </c>
      <c r="L986" t="s">
        <v>5818</v>
      </c>
      <c r="M986">
        <v>0</v>
      </c>
      <c r="N986">
        <v>0</v>
      </c>
      <c r="O986">
        <v>0</v>
      </c>
      <c r="P986" t="s">
        <v>5819</v>
      </c>
    </row>
    <row r="987" spans="1:16" x14ac:dyDescent="0.2">
      <c r="A987" t="s">
        <v>2416</v>
      </c>
      <c r="B987" t="s">
        <v>2417</v>
      </c>
      <c r="C987" t="s">
        <v>2415</v>
      </c>
      <c r="D987" t="s">
        <v>98</v>
      </c>
      <c r="E987">
        <v>49.99</v>
      </c>
      <c r="F987" t="s">
        <v>5817</v>
      </c>
      <c r="L987" t="s">
        <v>5818</v>
      </c>
      <c r="M987">
        <v>0</v>
      </c>
      <c r="N987">
        <v>0</v>
      </c>
      <c r="O987">
        <v>0</v>
      </c>
      <c r="P987" t="s">
        <v>5819</v>
      </c>
    </row>
    <row r="988" spans="1:16" x14ac:dyDescent="0.2">
      <c r="A988" t="s">
        <v>5389</v>
      </c>
      <c r="B988" t="s">
        <v>5390</v>
      </c>
      <c r="C988" t="s">
        <v>2415</v>
      </c>
      <c r="D988" t="s">
        <v>98</v>
      </c>
      <c r="E988">
        <v>149.99</v>
      </c>
      <c r="F988" t="s">
        <v>5817</v>
      </c>
      <c r="L988" t="s">
        <v>5818</v>
      </c>
      <c r="M988">
        <v>0</v>
      </c>
      <c r="N988">
        <v>0</v>
      </c>
      <c r="O988">
        <v>0</v>
      </c>
      <c r="P988" t="s">
        <v>5819</v>
      </c>
    </row>
    <row r="989" spans="1:16" x14ac:dyDescent="0.2">
      <c r="A989" t="s">
        <v>5363</v>
      </c>
      <c r="B989" t="s">
        <v>5364</v>
      </c>
      <c r="C989" t="s">
        <v>2415</v>
      </c>
      <c r="D989" t="s">
        <v>98</v>
      </c>
      <c r="E989">
        <v>149.99</v>
      </c>
      <c r="F989" t="s">
        <v>5817</v>
      </c>
      <c r="L989" t="s">
        <v>5818</v>
      </c>
      <c r="M989">
        <v>0</v>
      </c>
      <c r="N989">
        <v>0</v>
      </c>
      <c r="O989">
        <v>0</v>
      </c>
      <c r="P989" t="s">
        <v>5819</v>
      </c>
    </row>
    <row r="990" spans="1:16" x14ac:dyDescent="0.2">
      <c r="A990" t="s">
        <v>5353</v>
      </c>
      <c r="B990" t="s">
        <v>5354</v>
      </c>
      <c r="C990" t="s">
        <v>2415</v>
      </c>
      <c r="D990" t="s">
        <v>98</v>
      </c>
      <c r="E990">
        <v>159.99</v>
      </c>
      <c r="F990" t="s">
        <v>5817</v>
      </c>
      <c r="L990" t="s">
        <v>5818</v>
      </c>
      <c r="M990">
        <v>0</v>
      </c>
      <c r="N990">
        <v>0</v>
      </c>
      <c r="O990">
        <v>0</v>
      </c>
      <c r="P990" t="s">
        <v>5819</v>
      </c>
    </row>
    <row r="991" spans="1:16" x14ac:dyDescent="0.2">
      <c r="A991" t="s">
        <v>2418</v>
      </c>
      <c r="B991" t="s">
        <v>2419</v>
      </c>
      <c r="C991" t="s">
        <v>2415</v>
      </c>
      <c r="D991" t="s">
        <v>98</v>
      </c>
      <c r="E991">
        <v>349.99</v>
      </c>
      <c r="F991" t="s">
        <v>5817</v>
      </c>
      <c r="L991" t="s">
        <v>5818</v>
      </c>
      <c r="M991">
        <v>0</v>
      </c>
      <c r="N991">
        <v>0</v>
      </c>
      <c r="O991">
        <v>0</v>
      </c>
      <c r="P991" t="s">
        <v>5819</v>
      </c>
    </row>
    <row r="992" spans="1:16" x14ac:dyDescent="0.2">
      <c r="A992" t="s">
        <v>5359</v>
      </c>
      <c r="B992" t="s">
        <v>5360</v>
      </c>
      <c r="C992" t="s">
        <v>2415</v>
      </c>
      <c r="D992" t="s">
        <v>98</v>
      </c>
      <c r="E992">
        <v>499.99</v>
      </c>
      <c r="F992" t="s">
        <v>5817</v>
      </c>
      <c r="L992" t="s">
        <v>5818</v>
      </c>
      <c r="M992">
        <v>0</v>
      </c>
      <c r="N992">
        <v>0</v>
      </c>
      <c r="O992">
        <v>0</v>
      </c>
      <c r="P992" t="s">
        <v>5819</v>
      </c>
    </row>
    <row r="993" spans="1:16" x14ac:dyDescent="0.2">
      <c r="A993" t="s">
        <v>2420</v>
      </c>
      <c r="B993" t="s">
        <v>2421</v>
      </c>
      <c r="C993" t="s">
        <v>2415</v>
      </c>
      <c r="D993" t="s">
        <v>98</v>
      </c>
      <c r="E993">
        <v>189.99</v>
      </c>
      <c r="F993" t="s">
        <v>5817</v>
      </c>
      <c r="L993" t="s">
        <v>5818</v>
      </c>
      <c r="M993">
        <v>0</v>
      </c>
      <c r="N993">
        <v>0</v>
      </c>
      <c r="O993">
        <v>0</v>
      </c>
      <c r="P993" t="s">
        <v>5819</v>
      </c>
    </row>
    <row r="994" spans="1:16" x14ac:dyDescent="0.2">
      <c r="A994" t="s">
        <v>5371</v>
      </c>
      <c r="B994" t="s">
        <v>5372</v>
      </c>
      <c r="C994" t="s">
        <v>2415</v>
      </c>
      <c r="D994" t="s">
        <v>98</v>
      </c>
      <c r="E994">
        <v>119.99</v>
      </c>
      <c r="F994" t="s">
        <v>5817</v>
      </c>
      <c r="L994" t="s">
        <v>5818</v>
      </c>
      <c r="M994">
        <v>0</v>
      </c>
      <c r="N994">
        <v>0</v>
      </c>
      <c r="O994">
        <v>0</v>
      </c>
      <c r="P994" t="s">
        <v>5819</v>
      </c>
    </row>
    <row r="995" spans="1:16" x14ac:dyDescent="0.2">
      <c r="A995" t="s">
        <v>2418</v>
      </c>
      <c r="B995" t="s">
        <v>2419</v>
      </c>
      <c r="C995" t="s">
        <v>2415</v>
      </c>
      <c r="D995" t="s">
        <v>98</v>
      </c>
      <c r="E995">
        <v>349.99</v>
      </c>
      <c r="F995" t="s">
        <v>5817</v>
      </c>
      <c r="L995" t="s">
        <v>5085</v>
      </c>
      <c r="M995">
        <v>0</v>
      </c>
      <c r="N995">
        <v>0</v>
      </c>
      <c r="O995">
        <v>0</v>
      </c>
      <c r="P995" t="s">
        <v>5819</v>
      </c>
    </row>
    <row r="996" spans="1:16" x14ac:dyDescent="0.2">
      <c r="A996" t="s">
        <v>5359</v>
      </c>
      <c r="B996" t="s">
        <v>5360</v>
      </c>
      <c r="C996" t="s">
        <v>2415</v>
      </c>
      <c r="D996" t="s">
        <v>98</v>
      </c>
      <c r="E996">
        <v>499.99</v>
      </c>
      <c r="F996" t="s">
        <v>5817</v>
      </c>
      <c r="L996" t="s">
        <v>5085</v>
      </c>
      <c r="M996">
        <v>0</v>
      </c>
      <c r="N996">
        <v>0</v>
      </c>
      <c r="O996">
        <v>0</v>
      </c>
      <c r="P996" t="s">
        <v>5819</v>
      </c>
    </row>
    <row r="997" spans="1:16" x14ac:dyDescent="0.2">
      <c r="A997" t="s">
        <v>2420</v>
      </c>
      <c r="B997" t="s">
        <v>2421</v>
      </c>
      <c r="C997" t="s">
        <v>2415</v>
      </c>
      <c r="D997" t="s">
        <v>98</v>
      </c>
      <c r="E997">
        <v>189.99</v>
      </c>
      <c r="F997" t="s">
        <v>5817</v>
      </c>
      <c r="L997" t="s">
        <v>5085</v>
      </c>
      <c r="M997">
        <v>0</v>
      </c>
      <c r="N997">
        <v>0</v>
      </c>
      <c r="O997">
        <v>0</v>
      </c>
      <c r="P997" t="s">
        <v>5819</v>
      </c>
    </row>
    <row r="998" spans="1:16" x14ac:dyDescent="0.2">
      <c r="A998" t="s">
        <v>5371</v>
      </c>
      <c r="B998" t="s">
        <v>5372</v>
      </c>
      <c r="C998" t="s">
        <v>2415</v>
      </c>
      <c r="D998" t="s">
        <v>98</v>
      </c>
      <c r="E998">
        <v>119.99</v>
      </c>
      <c r="F998" t="s">
        <v>5817</v>
      </c>
      <c r="L998" t="s">
        <v>5085</v>
      </c>
      <c r="M998">
        <v>0</v>
      </c>
      <c r="N998">
        <v>0</v>
      </c>
      <c r="O998">
        <v>0</v>
      </c>
      <c r="P998" t="s">
        <v>5819</v>
      </c>
    </row>
    <row r="999" spans="1:16" x14ac:dyDescent="0.2">
      <c r="A999" t="s">
        <v>5363</v>
      </c>
      <c r="B999" t="s">
        <v>5364</v>
      </c>
      <c r="C999" t="s">
        <v>2415</v>
      </c>
      <c r="D999" t="s">
        <v>98</v>
      </c>
      <c r="E999">
        <v>149.99</v>
      </c>
      <c r="F999" t="s">
        <v>5817</v>
      </c>
      <c r="L999" t="s">
        <v>5085</v>
      </c>
      <c r="M999">
        <v>0</v>
      </c>
      <c r="N999">
        <v>0</v>
      </c>
      <c r="O999">
        <v>0</v>
      </c>
      <c r="P999" t="s">
        <v>5819</v>
      </c>
    </row>
    <row r="1000" spans="1:16" x14ac:dyDescent="0.2">
      <c r="A1000" t="s">
        <v>5353</v>
      </c>
      <c r="B1000" t="s">
        <v>5354</v>
      </c>
      <c r="C1000" t="s">
        <v>2415</v>
      </c>
      <c r="D1000" t="s">
        <v>98</v>
      </c>
      <c r="E1000">
        <v>159.99</v>
      </c>
      <c r="F1000" t="s">
        <v>5817</v>
      </c>
      <c r="L1000" t="s">
        <v>5085</v>
      </c>
      <c r="M1000">
        <v>0</v>
      </c>
      <c r="N1000">
        <v>0</v>
      </c>
      <c r="O1000">
        <v>0</v>
      </c>
      <c r="P1000" t="s">
        <v>5819</v>
      </c>
    </row>
    <row r="1001" spans="1:16" x14ac:dyDescent="0.2">
      <c r="A1001" t="s">
        <v>5415</v>
      </c>
      <c r="B1001" t="s">
        <v>5416</v>
      </c>
      <c r="C1001" t="s">
        <v>2415</v>
      </c>
      <c r="D1001" t="s">
        <v>98</v>
      </c>
      <c r="E1001">
        <v>159.99</v>
      </c>
      <c r="F1001" t="s">
        <v>5817</v>
      </c>
      <c r="L1001" t="s">
        <v>5065</v>
      </c>
      <c r="M1001">
        <v>0</v>
      </c>
      <c r="N1001">
        <v>0</v>
      </c>
      <c r="P1001">
        <v>0</v>
      </c>
    </row>
    <row r="1002" spans="1:16" x14ac:dyDescent="0.2">
      <c r="A1002" t="s">
        <v>2416</v>
      </c>
      <c r="B1002" t="s">
        <v>2417</v>
      </c>
      <c r="C1002" t="s">
        <v>2415</v>
      </c>
      <c r="D1002" t="s">
        <v>98</v>
      </c>
      <c r="E1002">
        <v>49.99</v>
      </c>
      <c r="F1002" t="s">
        <v>5817</v>
      </c>
      <c r="L1002" t="s">
        <v>5065</v>
      </c>
      <c r="M1002">
        <v>0</v>
      </c>
      <c r="N1002">
        <v>0</v>
      </c>
      <c r="P1002">
        <v>0</v>
      </c>
    </row>
    <row r="1003" spans="1:16" x14ac:dyDescent="0.2">
      <c r="A1003" t="s">
        <v>5445</v>
      </c>
      <c r="B1003" t="s">
        <v>5446</v>
      </c>
      <c r="C1003" t="s">
        <v>2415</v>
      </c>
      <c r="D1003" t="s">
        <v>98</v>
      </c>
      <c r="E1003">
        <v>199.99</v>
      </c>
      <c r="F1003" t="s">
        <v>5817</v>
      </c>
      <c r="L1003" t="s">
        <v>5065</v>
      </c>
      <c r="M1003">
        <v>0</v>
      </c>
      <c r="N1003">
        <v>0</v>
      </c>
      <c r="P1003">
        <v>0</v>
      </c>
    </row>
    <row r="1004" spans="1:16" x14ac:dyDescent="0.2">
      <c r="A1004" t="s">
        <v>5389</v>
      </c>
      <c r="B1004" t="s">
        <v>5390</v>
      </c>
      <c r="C1004" t="s">
        <v>2415</v>
      </c>
      <c r="D1004" t="s">
        <v>98</v>
      </c>
      <c r="E1004">
        <v>149.99</v>
      </c>
      <c r="F1004" t="s">
        <v>5817</v>
      </c>
      <c r="L1004" t="s">
        <v>5065</v>
      </c>
      <c r="M1004">
        <v>0</v>
      </c>
      <c r="N1004">
        <v>0</v>
      </c>
      <c r="P1004">
        <v>0</v>
      </c>
    </row>
    <row r="1005" spans="1:16" x14ac:dyDescent="0.2">
      <c r="A1005" t="s">
        <v>5514</v>
      </c>
      <c r="B1005" t="s">
        <v>5515</v>
      </c>
      <c r="C1005" t="s">
        <v>2415</v>
      </c>
      <c r="D1005" t="s">
        <v>98</v>
      </c>
      <c r="E1005">
        <v>69.989999999999995</v>
      </c>
      <c r="F1005" t="s">
        <v>5817</v>
      </c>
      <c r="L1005" t="s">
        <v>5065</v>
      </c>
      <c r="M1005">
        <v>0</v>
      </c>
      <c r="N1005">
        <v>0</v>
      </c>
      <c r="P1005">
        <v>0</v>
      </c>
    </row>
    <row r="1006" spans="1:16" x14ac:dyDescent="0.2">
      <c r="A1006" t="s">
        <v>2420</v>
      </c>
      <c r="B1006" t="s">
        <v>2421</v>
      </c>
      <c r="C1006" t="s">
        <v>2415</v>
      </c>
      <c r="D1006" t="s">
        <v>98</v>
      </c>
      <c r="E1006">
        <v>189.99</v>
      </c>
      <c r="F1006" t="s">
        <v>5817</v>
      </c>
      <c r="L1006" t="s">
        <v>5065</v>
      </c>
      <c r="M1006">
        <v>0</v>
      </c>
      <c r="N1006">
        <v>0</v>
      </c>
      <c r="P1006">
        <v>0</v>
      </c>
    </row>
    <row r="1007" spans="1:16" x14ac:dyDescent="0.2">
      <c r="A1007" t="s">
        <v>5371</v>
      </c>
      <c r="B1007" t="s">
        <v>5372</v>
      </c>
      <c r="C1007" t="s">
        <v>2415</v>
      </c>
      <c r="D1007" t="s">
        <v>98</v>
      </c>
      <c r="E1007">
        <v>119.99</v>
      </c>
      <c r="F1007" t="s">
        <v>5817</v>
      </c>
      <c r="L1007" t="s">
        <v>5065</v>
      </c>
      <c r="M1007">
        <v>0</v>
      </c>
      <c r="N1007">
        <v>0</v>
      </c>
      <c r="P1007">
        <v>0</v>
      </c>
    </row>
    <row r="1008" spans="1:16" x14ac:dyDescent="0.2">
      <c r="A1008" t="s">
        <v>5363</v>
      </c>
      <c r="B1008" t="s">
        <v>5364</v>
      </c>
      <c r="C1008" t="s">
        <v>2415</v>
      </c>
      <c r="D1008" t="s">
        <v>98</v>
      </c>
      <c r="E1008">
        <v>149.99</v>
      </c>
      <c r="F1008" t="s">
        <v>5817</v>
      </c>
      <c r="L1008" t="s">
        <v>5065</v>
      </c>
      <c r="M1008">
        <v>0</v>
      </c>
      <c r="N1008">
        <v>0</v>
      </c>
      <c r="P1008">
        <v>0</v>
      </c>
    </row>
    <row r="1009" spans="1:16" x14ac:dyDescent="0.2">
      <c r="A1009" t="s">
        <v>5359</v>
      </c>
      <c r="B1009" t="s">
        <v>5360</v>
      </c>
      <c r="C1009" t="s">
        <v>2415</v>
      </c>
      <c r="D1009" t="s">
        <v>98</v>
      </c>
      <c r="E1009">
        <v>499.99</v>
      </c>
      <c r="F1009" t="s">
        <v>5817</v>
      </c>
      <c r="L1009" t="s">
        <v>5065</v>
      </c>
      <c r="M1009">
        <v>0</v>
      </c>
      <c r="N1009">
        <v>0</v>
      </c>
      <c r="P1009">
        <v>0</v>
      </c>
    </row>
    <row r="1010" spans="1:16" x14ac:dyDescent="0.2">
      <c r="A1010" t="s">
        <v>5353</v>
      </c>
      <c r="B1010" t="s">
        <v>5354</v>
      </c>
      <c r="C1010" t="s">
        <v>2415</v>
      </c>
      <c r="D1010" t="s">
        <v>98</v>
      </c>
      <c r="E1010">
        <v>159.99</v>
      </c>
      <c r="F1010" t="s">
        <v>5817</v>
      </c>
      <c r="L1010" t="s">
        <v>5065</v>
      </c>
      <c r="M1010">
        <v>0</v>
      </c>
      <c r="N1010">
        <v>0</v>
      </c>
      <c r="P1010">
        <v>0</v>
      </c>
    </row>
    <row r="1011" spans="1:16" x14ac:dyDescent="0.2">
      <c r="A1011" t="s">
        <v>2418</v>
      </c>
      <c r="B1011" t="s">
        <v>2419</v>
      </c>
      <c r="C1011" t="s">
        <v>2415</v>
      </c>
      <c r="D1011" t="s">
        <v>98</v>
      </c>
      <c r="E1011">
        <v>349.99</v>
      </c>
      <c r="F1011" t="s">
        <v>5817</v>
      </c>
      <c r="L1011" t="s">
        <v>5065</v>
      </c>
      <c r="M1011">
        <v>0</v>
      </c>
      <c r="N1011">
        <v>0</v>
      </c>
      <c r="P1011">
        <v>0</v>
      </c>
    </row>
    <row r="1012" spans="1:16" x14ac:dyDescent="0.2">
      <c r="A1012" t="s">
        <v>5427</v>
      </c>
      <c r="B1012" t="s">
        <v>5428</v>
      </c>
      <c r="C1012" t="s">
        <v>2415</v>
      </c>
      <c r="D1012" t="s">
        <v>98</v>
      </c>
      <c r="E1012">
        <v>189.99</v>
      </c>
      <c r="F1012" t="s">
        <v>5817</v>
      </c>
      <c r="L1012" t="s">
        <v>5065</v>
      </c>
      <c r="M1012">
        <v>0</v>
      </c>
      <c r="N1012">
        <v>0</v>
      </c>
      <c r="P1012">
        <v>0</v>
      </c>
    </row>
    <row r="1013" spans="1:16" x14ac:dyDescent="0.2">
      <c r="A1013" t="s">
        <v>5594</v>
      </c>
      <c r="B1013" t="s">
        <v>5595</v>
      </c>
      <c r="C1013" t="s">
        <v>2415</v>
      </c>
      <c r="D1013" t="s">
        <v>98</v>
      </c>
      <c r="E1013">
        <v>139.99</v>
      </c>
      <c r="F1013" t="s">
        <v>5817</v>
      </c>
      <c r="L1013" t="s">
        <v>5065</v>
      </c>
      <c r="M1013">
        <v>0</v>
      </c>
      <c r="N1013">
        <v>0</v>
      </c>
      <c r="P1013">
        <v>0</v>
      </c>
    </row>
    <row r="1014" spans="1:16" x14ac:dyDescent="0.2">
      <c r="A1014" t="s">
        <v>5588</v>
      </c>
      <c r="B1014" t="s">
        <v>5589</v>
      </c>
      <c r="C1014" t="s">
        <v>2415</v>
      </c>
      <c r="D1014" t="s">
        <v>98</v>
      </c>
      <c r="E1014">
        <v>449</v>
      </c>
      <c r="F1014" t="s">
        <v>5817</v>
      </c>
      <c r="L1014" t="s">
        <v>5065</v>
      </c>
      <c r="M1014">
        <v>0</v>
      </c>
      <c r="N1014">
        <v>0</v>
      </c>
      <c r="P1014">
        <v>0</v>
      </c>
    </row>
    <row r="1015" spans="1:16" x14ac:dyDescent="0.2">
      <c r="A1015" t="s">
        <v>5592</v>
      </c>
      <c r="B1015" t="s">
        <v>5593</v>
      </c>
      <c r="C1015" t="s">
        <v>2415</v>
      </c>
      <c r="D1015" t="s">
        <v>98</v>
      </c>
      <c r="E1015">
        <v>139.99</v>
      </c>
      <c r="F1015" t="s">
        <v>5817</v>
      </c>
      <c r="L1015" t="s">
        <v>5065</v>
      </c>
      <c r="M1015">
        <v>0</v>
      </c>
      <c r="N1015">
        <v>0</v>
      </c>
      <c r="P1015">
        <v>0</v>
      </c>
    </row>
    <row r="1016" spans="1:16" x14ac:dyDescent="0.2">
      <c r="A1016" t="s">
        <v>5594</v>
      </c>
      <c r="B1016" t="s">
        <v>5595</v>
      </c>
      <c r="C1016" t="s">
        <v>2415</v>
      </c>
      <c r="D1016" t="s">
        <v>98</v>
      </c>
      <c r="E1016">
        <v>139.99</v>
      </c>
      <c r="F1016" t="s">
        <v>5817</v>
      </c>
      <c r="L1016" t="s">
        <v>8</v>
      </c>
      <c r="M1016">
        <v>0</v>
      </c>
      <c r="N1016">
        <v>0</v>
      </c>
      <c r="O1016">
        <v>0</v>
      </c>
      <c r="P1016">
        <v>0</v>
      </c>
    </row>
    <row r="1017" spans="1:16" x14ac:dyDescent="0.2">
      <c r="A1017" t="s">
        <v>5588</v>
      </c>
      <c r="B1017" t="s">
        <v>5589</v>
      </c>
      <c r="C1017" t="s">
        <v>2415</v>
      </c>
      <c r="D1017" t="s">
        <v>98</v>
      </c>
      <c r="E1017">
        <v>449</v>
      </c>
      <c r="F1017" t="s">
        <v>5817</v>
      </c>
      <c r="L1017" t="s">
        <v>8</v>
      </c>
      <c r="M1017">
        <v>0</v>
      </c>
      <c r="N1017">
        <v>0</v>
      </c>
      <c r="O1017">
        <v>0</v>
      </c>
      <c r="P1017">
        <v>0</v>
      </c>
    </row>
    <row r="1018" spans="1:16" x14ac:dyDescent="0.2">
      <c r="A1018" t="s">
        <v>5592</v>
      </c>
      <c r="B1018" t="s">
        <v>5593</v>
      </c>
      <c r="C1018" t="s">
        <v>2415</v>
      </c>
      <c r="D1018" t="s">
        <v>98</v>
      </c>
      <c r="E1018">
        <v>139.99</v>
      </c>
      <c r="F1018" t="s">
        <v>5817</v>
      </c>
      <c r="L1018" t="s">
        <v>8</v>
      </c>
      <c r="M1018">
        <v>0</v>
      </c>
      <c r="N1018">
        <v>0</v>
      </c>
      <c r="O1018">
        <v>0</v>
      </c>
      <c r="P1018">
        <v>0</v>
      </c>
    </row>
    <row r="1019" spans="1:16" x14ac:dyDescent="0.2">
      <c r="A1019" t="s">
        <v>5427</v>
      </c>
      <c r="B1019" t="s">
        <v>5428</v>
      </c>
      <c r="C1019" t="s">
        <v>2415</v>
      </c>
      <c r="D1019" t="s">
        <v>98</v>
      </c>
      <c r="E1019">
        <v>189.99</v>
      </c>
      <c r="F1019" t="s">
        <v>5817</v>
      </c>
      <c r="L1019" t="s">
        <v>8</v>
      </c>
      <c r="M1019">
        <v>0</v>
      </c>
      <c r="N1019">
        <v>0</v>
      </c>
      <c r="O1019">
        <v>0</v>
      </c>
      <c r="P1019">
        <v>0</v>
      </c>
    </row>
    <row r="1020" spans="1:16" x14ac:dyDescent="0.2">
      <c r="A1020" t="s">
        <v>5445</v>
      </c>
      <c r="B1020" t="s">
        <v>5446</v>
      </c>
      <c r="C1020" t="s">
        <v>2415</v>
      </c>
      <c r="D1020" t="s">
        <v>98</v>
      </c>
      <c r="E1020">
        <v>199.99</v>
      </c>
      <c r="F1020" t="s">
        <v>5817</v>
      </c>
      <c r="L1020" t="s">
        <v>8</v>
      </c>
      <c r="M1020">
        <v>0</v>
      </c>
      <c r="N1020">
        <v>0</v>
      </c>
      <c r="O1020">
        <v>0</v>
      </c>
      <c r="P1020">
        <v>0</v>
      </c>
    </row>
    <row r="1021" spans="1:16" x14ac:dyDescent="0.2">
      <c r="A1021" t="s">
        <v>2418</v>
      </c>
      <c r="B1021" t="s">
        <v>2419</v>
      </c>
      <c r="C1021" t="s">
        <v>2415</v>
      </c>
      <c r="D1021" t="s">
        <v>98</v>
      </c>
      <c r="E1021">
        <v>349.99</v>
      </c>
      <c r="F1021" t="s">
        <v>5817</v>
      </c>
      <c r="L1021" t="s">
        <v>8</v>
      </c>
      <c r="M1021">
        <v>0</v>
      </c>
      <c r="N1021">
        <v>0</v>
      </c>
      <c r="O1021">
        <v>0</v>
      </c>
      <c r="P1021">
        <v>0</v>
      </c>
    </row>
    <row r="1022" spans="1:16" x14ac:dyDescent="0.2">
      <c r="A1022" t="s">
        <v>5359</v>
      </c>
      <c r="B1022" t="s">
        <v>5360</v>
      </c>
      <c r="C1022" t="s">
        <v>2415</v>
      </c>
      <c r="D1022" t="s">
        <v>98</v>
      </c>
      <c r="E1022">
        <v>499.99</v>
      </c>
      <c r="F1022" t="s">
        <v>5817</v>
      </c>
      <c r="L1022" t="s">
        <v>8</v>
      </c>
      <c r="M1022">
        <v>0</v>
      </c>
      <c r="N1022">
        <v>0</v>
      </c>
      <c r="O1022">
        <v>0</v>
      </c>
      <c r="P1022">
        <v>0</v>
      </c>
    </row>
    <row r="1023" spans="1:16" x14ac:dyDescent="0.2">
      <c r="A1023" t="s">
        <v>2420</v>
      </c>
      <c r="B1023" t="s">
        <v>2421</v>
      </c>
      <c r="C1023" t="s">
        <v>2415</v>
      </c>
      <c r="D1023" t="s">
        <v>98</v>
      </c>
      <c r="E1023">
        <v>189.99</v>
      </c>
      <c r="F1023" t="s">
        <v>5817</v>
      </c>
      <c r="L1023" t="s">
        <v>8</v>
      </c>
      <c r="M1023">
        <v>0</v>
      </c>
      <c r="N1023">
        <v>0</v>
      </c>
      <c r="O1023">
        <v>0</v>
      </c>
      <c r="P1023">
        <v>0</v>
      </c>
    </row>
    <row r="1024" spans="1:16" x14ac:dyDescent="0.2">
      <c r="A1024" t="s">
        <v>5371</v>
      </c>
      <c r="B1024" t="s">
        <v>5372</v>
      </c>
      <c r="C1024" t="s">
        <v>2415</v>
      </c>
      <c r="D1024" t="s">
        <v>98</v>
      </c>
      <c r="E1024">
        <v>119.99</v>
      </c>
      <c r="F1024" t="s">
        <v>5817</v>
      </c>
      <c r="L1024" t="s">
        <v>8</v>
      </c>
      <c r="M1024">
        <v>0</v>
      </c>
      <c r="N1024">
        <v>0</v>
      </c>
      <c r="O1024">
        <v>0</v>
      </c>
      <c r="P1024">
        <v>0</v>
      </c>
    </row>
    <row r="1025" spans="1:16" x14ac:dyDescent="0.2">
      <c r="A1025" t="s">
        <v>5363</v>
      </c>
      <c r="B1025" t="s">
        <v>5364</v>
      </c>
      <c r="C1025" t="s">
        <v>2415</v>
      </c>
      <c r="D1025" t="s">
        <v>98</v>
      </c>
      <c r="E1025">
        <v>149.99</v>
      </c>
      <c r="F1025" t="s">
        <v>5817</v>
      </c>
      <c r="L1025" t="s">
        <v>8</v>
      </c>
      <c r="M1025">
        <v>0</v>
      </c>
      <c r="N1025">
        <v>0</v>
      </c>
      <c r="O1025">
        <v>0</v>
      </c>
      <c r="P1025">
        <v>0</v>
      </c>
    </row>
    <row r="1026" spans="1:16" x14ac:dyDescent="0.2">
      <c r="A1026" t="s">
        <v>5353</v>
      </c>
      <c r="B1026" t="s">
        <v>5354</v>
      </c>
      <c r="C1026" t="s">
        <v>2415</v>
      </c>
      <c r="D1026" t="s">
        <v>98</v>
      </c>
      <c r="E1026">
        <v>159.99</v>
      </c>
      <c r="F1026" t="s">
        <v>5817</v>
      </c>
      <c r="L1026" t="s">
        <v>8</v>
      </c>
      <c r="M1026">
        <v>0</v>
      </c>
      <c r="N1026">
        <v>0</v>
      </c>
      <c r="O1026">
        <v>0</v>
      </c>
      <c r="P1026">
        <v>0</v>
      </c>
    </row>
    <row r="1027" spans="1:16" x14ac:dyDescent="0.2">
      <c r="A1027" t="s">
        <v>5389</v>
      </c>
      <c r="B1027" t="s">
        <v>5390</v>
      </c>
      <c r="C1027" t="s">
        <v>2415</v>
      </c>
      <c r="D1027" t="s">
        <v>98</v>
      </c>
      <c r="E1027">
        <v>149.99</v>
      </c>
      <c r="F1027" t="s">
        <v>5817</v>
      </c>
      <c r="L1027" t="s">
        <v>8</v>
      </c>
      <c r="M1027">
        <v>0</v>
      </c>
      <c r="N1027">
        <v>0</v>
      </c>
      <c r="O1027">
        <v>0</v>
      </c>
      <c r="P1027">
        <v>0</v>
      </c>
    </row>
    <row r="1028" spans="1:16" x14ac:dyDescent="0.2">
      <c r="A1028" t="s">
        <v>5415</v>
      </c>
      <c r="B1028" t="s">
        <v>5416</v>
      </c>
      <c r="C1028" t="s">
        <v>2415</v>
      </c>
      <c r="D1028" t="s">
        <v>98</v>
      </c>
      <c r="E1028">
        <v>159.99</v>
      </c>
      <c r="F1028" t="s">
        <v>5817</v>
      </c>
      <c r="L1028" t="s">
        <v>8</v>
      </c>
      <c r="M1028">
        <v>0</v>
      </c>
      <c r="N1028">
        <v>0</v>
      </c>
      <c r="O1028">
        <v>0</v>
      </c>
      <c r="P1028">
        <v>0</v>
      </c>
    </row>
    <row r="1029" spans="1:16" x14ac:dyDescent="0.2">
      <c r="A1029" t="s">
        <v>2416</v>
      </c>
      <c r="B1029" t="s">
        <v>2417</v>
      </c>
      <c r="C1029" t="s">
        <v>2415</v>
      </c>
      <c r="D1029" t="s">
        <v>98</v>
      </c>
      <c r="E1029">
        <v>49.99</v>
      </c>
      <c r="F1029" t="s">
        <v>5817</v>
      </c>
      <c r="L1029" t="s">
        <v>8</v>
      </c>
      <c r="M1029">
        <v>0</v>
      </c>
      <c r="N1029">
        <v>0</v>
      </c>
      <c r="O1029">
        <v>0</v>
      </c>
      <c r="P1029">
        <v>0</v>
      </c>
    </row>
    <row r="1030" spans="1:16" x14ac:dyDescent="0.2">
      <c r="A1030" t="s">
        <v>5514</v>
      </c>
      <c r="B1030" t="s">
        <v>5515</v>
      </c>
      <c r="C1030" t="s">
        <v>2415</v>
      </c>
      <c r="D1030" t="s">
        <v>98</v>
      </c>
      <c r="E1030">
        <v>69.989999999999995</v>
      </c>
      <c r="F1030" t="s">
        <v>5817</v>
      </c>
      <c r="L1030" t="s">
        <v>8</v>
      </c>
      <c r="M1030">
        <v>0</v>
      </c>
      <c r="N1030">
        <v>0</v>
      </c>
      <c r="O1030">
        <v>0</v>
      </c>
      <c r="P1030">
        <v>0</v>
      </c>
    </row>
    <row r="1031" spans="1:16" x14ac:dyDescent="0.2">
      <c r="A1031" t="s">
        <v>3180</v>
      </c>
      <c r="B1031" t="s">
        <v>3181</v>
      </c>
      <c r="C1031" t="s">
        <v>3133</v>
      </c>
      <c r="D1031" t="s">
        <v>138</v>
      </c>
      <c r="E1031">
        <v>131.99</v>
      </c>
      <c r="F1031" t="s">
        <v>5817</v>
      </c>
      <c r="G1031">
        <v>1</v>
      </c>
      <c r="I1031">
        <v>1</v>
      </c>
      <c r="L1031" t="s">
        <v>73</v>
      </c>
      <c r="M1031">
        <v>0</v>
      </c>
      <c r="N1031">
        <v>0</v>
      </c>
      <c r="O1031">
        <v>0</v>
      </c>
      <c r="P1031">
        <v>0</v>
      </c>
    </row>
    <row r="1032" spans="1:16" x14ac:dyDescent="0.2">
      <c r="A1032" t="s">
        <v>3178</v>
      </c>
      <c r="B1032" t="s">
        <v>3179</v>
      </c>
      <c r="C1032" t="s">
        <v>3133</v>
      </c>
      <c r="D1032" t="s">
        <v>98</v>
      </c>
      <c r="E1032">
        <v>229.99</v>
      </c>
      <c r="F1032" t="s">
        <v>5817</v>
      </c>
      <c r="L1032" t="s">
        <v>73</v>
      </c>
      <c r="M1032">
        <v>0</v>
      </c>
      <c r="N1032">
        <v>0</v>
      </c>
      <c r="O1032">
        <v>0</v>
      </c>
      <c r="P1032">
        <v>0</v>
      </c>
    </row>
    <row r="1033" spans="1:16" x14ac:dyDescent="0.2">
      <c r="A1033" t="s">
        <v>3134</v>
      </c>
      <c r="B1033" t="s">
        <v>3135</v>
      </c>
      <c r="C1033" t="s">
        <v>3133</v>
      </c>
      <c r="D1033" t="s">
        <v>138</v>
      </c>
      <c r="E1033">
        <v>53.99</v>
      </c>
      <c r="F1033" t="s">
        <v>5817</v>
      </c>
      <c r="G1033">
        <v>15</v>
      </c>
      <c r="I1033">
        <v>15</v>
      </c>
      <c r="L1033" t="s">
        <v>73</v>
      </c>
      <c r="N1033">
        <v>0</v>
      </c>
      <c r="O1033">
        <v>0.16666666666666666</v>
      </c>
      <c r="P1033">
        <v>3</v>
      </c>
    </row>
    <row r="1034" spans="1:16" x14ac:dyDescent="0.2">
      <c r="A1034" t="s">
        <v>3136</v>
      </c>
      <c r="B1034" t="s">
        <v>3137</v>
      </c>
      <c r="C1034" t="s">
        <v>3133</v>
      </c>
      <c r="D1034" t="s">
        <v>98</v>
      </c>
      <c r="E1034">
        <v>79.989999999999995</v>
      </c>
      <c r="F1034" t="s">
        <v>5817</v>
      </c>
      <c r="L1034" t="s">
        <v>73</v>
      </c>
      <c r="M1034">
        <v>0</v>
      </c>
      <c r="N1034">
        <v>0</v>
      </c>
      <c r="O1034">
        <v>0.58333333333333326</v>
      </c>
      <c r="P1034">
        <v>8</v>
      </c>
    </row>
    <row r="1035" spans="1:16" x14ac:dyDescent="0.2">
      <c r="A1035" t="s">
        <v>3164</v>
      </c>
      <c r="B1035" t="s">
        <v>3165</v>
      </c>
      <c r="C1035" t="s">
        <v>3133</v>
      </c>
      <c r="D1035" t="s">
        <v>98</v>
      </c>
      <c r="E1035">
        <v>99.99</v>
      </c>
      <c r="F1035" t="s">
        <v>5817</v>
      </c>
      <c r="L1035" t="s">
        <v>73</v>
      </c>
      <c r="M1035">
        <v>2.333333333333333</v>
      </c>
      <c r="N1035">
        <v>2.5714285714285716</v>
      </c>
      <c r="O1035">
        <v>0.41666666666666652</v>
      </c>
      <c r="P1035">
        <v>6</v>
      </c>
    </row>
    <row r="1036" spans="1:16" x14ac:dyDescent="0.2">
      <c r="A1036" t="s">
        <v>3162</v>
      </c>
      <c r="B1036" t="s">
        <v>3163</v>
      </c>
      <c r="C1036" t="s">
        <v>3133</v>
      </c>
      <c r="D1036" t="s">
        <v>98</v>
      </c>
      <c r="E1036">
        <v>119.99</v>
      </c>
      <c r="F1036" t="s">
        <v>5817</v>
      </c>
      <c r="L1036" t="s">
        <v>73</v>
      </c>
      <c r="M1036">
        <v>0</v>
      </c>
      <c r="N1036">
        <v>0</v>
      </c>
      <c r="O1036">
        <v>0</v>
      </c>
      <c r="P1036">
        <v>0</v>
      </c>
    </row>
    <row r="1037" spans="1:16" x14ac:dyDescent="0.2">
      <c r="A1037" t="s">
        <v>3160</v>
      </c>
      <c r="B1037" t="s">
        <v>3161</v>
      </c>
      <c r="C1037" t="s">
        <v>3133</v>
      </c>
      <c r="D1037" t="s">
        <v>138</v>
      </c>
      <c r="E1037">
        <v>217.99</v>
      </c>
      <c r="F1037" t="s">
        <v>5817</v>
      </c>
      <c r="G1037">
        <v>19</v>
      </c>
      <c r="I1037">
        <v>19</v>
      </c>
      <c r="L1037" t="s">
        <v>73</v>
      </c>
      <c r="N1037">
        <v>0</v>
      </c>
      <c r="O1037">
        <v>8.3333333333333329E-2</v>
      </c>
      <c r="P1037">
        <v>0</v>
      </c>
    </row>
    <row r="1038" spans="1:16" x14ac:dyDescent="0.2">
      <c r="A1038" t="s">
        <v>3158</v>
      </c>
      <c r="B1038" t="s">
        <v>3159</v>
      </c>
      <c r="C1038" t="s">
        <v>3133</v>
      </c>
      <c r="D1038" t="s">
        <v>98</v>
      </c>
      <c r="E1038">
        <v>199.99</v>
      </c>
      <c r="F1038" t="s">
        <v>5817</v>
      </c>
      <c r="L1038" t="s">
        <v>73</v>
      </c>
      <c r="M1038">
        <v>0</v>
      </c>
      <c r="N1038">
        <v>0</v>
      </c>
      <c r="O1038">
        <v>0</v>
      </c>
      <c r="P1038">
        <v>0</v>
      </c>
    </row>
    <row r="1039" spans="1:16" x14ac:dyDescent="0.2">
      <c r="A1039" t="s">
        <v>3176</v>
      </c>
      <c r="B1039" t="s">
        <v>3177</v>
      </c>
      <c r="C1039" t="s">
        <v>3133</v>
      </c>
      <c r="D1039" t="s">
        <v>98</v>
      </c>
      <c r="E1039">
        <v>99.99</v>
      </c>
      <c r="F1039" t="s">
        <v>5817</v>
      </c>
      <c r="L1039" t="s">
        <v>73</v>
      </c>
      <c r="M1039">
        <v>0</v>
      </c>
      <c r="N1039">
        <v>0</v>
      </c>
      <c r="O1039">
        <v>0</v>
      </c>
      <c r="P1039">
        <v>0</v>
      </c>
    </row>
    <row r="1040" spans="1:16" x14ac:dyDescent="0.2">
      <c r="A1040" t="s">
        <v>3174</v>
      </c>
      <c r="B1040" t="s">
        <v>3175</v>
      </c>
      <c r="C1040" t="s">
        <v>3133</v>
      </c>
      <c r="D1040" t="s">
        <v>98</v>
      </c>
      <c r="E1040">
        <v>329.99</v>
      </c>
      <c r="F1040" t="s">
        <v>5817</v>
      </c>
      <c r="L1040" t="s">
        <v>73</v>
      </c>
      <c r="M1040">
        <v>0</v>
      </c>
      <c r="N1040">
        <v>0</v>
      </c>
      <c r="O1040">
        <v>0</v>
      </c>
      <c r="P1040">
        <v>0</v>
      </c>
    </row>
    <row r="1041" spans="1:16" x14ac:dyDescent="0.2">
      <c r="A1041" t="s">
        <v>3172</v>
      </c>
      <c r="B1041" t="s">
        <v>3173</v>
      </c>
      <c r="C1041" t="s">
        <v>3133</v>
      </c>
      <c r="D1041" t="s">
        <v>98</v>
      </c>
      <c r="E1041">
        <v>139.99</v>
      </c>
      <c r="F1041" t="s">
        <v>5817</v>
      </c>
      <c r="L1041" t="s">
        <v>73</v>
      </c>
      <c r="M1041">
        <v>0</v>
      </c>
      <c r="N1041">
        <v>0</v>
      </c>
      <c r="O1041">
        <v>0</v>
      </c>
      <c r="P1041">
        <v>0</v>
      </c>
    </row>
    <row r="1042" spans="1:16" x14ac:dyDescent="0.2">
      <c r="A1042" t="s">
        <v>3170</v>
      </c>
      <c r="B1042" t="s">
        <v>3171</v>
      </c>
      <c r="C1042" t="s">
        <v>3133</v>
      </c>
      <c r="D1042" t="s">
        <v>98</v>
      </c>
      <c r="E1042">
        <v>179.99</v>
      </c>
      <c r="F1042" t="s">
        <v>5817</v>
      </c>
      <c r="L1042" t="s">
        <v>73</v>
      </c>
      <c r="M1042">
        <v>0</v>
      </c>
      <c r="N1042">
        <v>0</v>
      </c>
      <c r="O1042">
        <v>0</v>
      </c>
      <c r="P1042">
        <v>0</v>
      </c>
    </row>
    <row r="1043" spans="1:16" x14ac:dyDescent="0.2">
      <c r="A1043" t="s">
        <v>3168</v>
      </c>
      <c r="B1043" t="s">
        <v>3169</v>
      </c>
      <c r="C1043" t="s">
        <v>3133</v>
      </c>
      <c r="D1043" t="s">
        <v>138</v>
      </c>
      <c r="E1043">
        <v>74.989999999999995</v>
      </c>
      <c r="F1043" t="s">
        <v>5817</v>
      </c>
      <c r="G1043">
        <v>10</v>
      </c>
      <c r="I1043">
        <v>10</v>
      </c>
      <c r="L1043" t="s">
        <v>73</v>
      </c>
      <c r="M1043">
        <v>0</v>
      </c>
      <c r="N1043">
        <v>0</v>
      </c>
      <c r="O1043">
        <v>0</v>
      </c>
      <c r="P1043">
        <v>0</v>
      </c>
    </row>
    <row r="1044" spans="1:16" x14ac:dyDescent="0.2">
      <c r="A1044" t="s">
        <v>3166</v>
      </c>
      <c r="B1044" t="s">
        <v>3167</v>
      </c>
      <c r="C1044" t="s">
        <v>3133</v>
      </c>
      <c r="D1044" t="s">
        <v>98</v>
      </c>
      <c r="E1044">
        <v>239.99</v>
      </c>
      <c r="F1044" t="s">
        <v>5817</v>
      </c>
      <c r="L1044" t="s">
        <v>73</v>
      </c>
      <c r="M1044">
        <v>1</v>
      </c>
      <c r="N1044">
        <v>1</v>
      </c>
      <c r="O1044">
        <v>0</v>
      </c>
      <c r="P1044">
        <v>1</v>
      </c>
    </row>
    <row r="1045" spans="1:16" x14ac:dyDescent="0.2">
      <c r="A1045" t="s">
        <v>3156</v>
      </c>
      <c r="B1045" t="s">
        <v>3157</v>
      </c>
      <c r="C1045" t="s">
        <v>3133</v>
      </c>
      <c r="D1045" t="s">
        <v>98</v>
      </c>
      <c r="E1045">
        <v>149.99</v>
      </c>
      <c r="F1045" t="s">
        <v>5817</v>
      </c>
      <c r="L1045" t="s">
        <v>73</v>
      </c>
      <c r="M1045">
        <v>2.333333333333333</v>
      </c>
      <c r="N1045">
        <v>6.0000000000000009</v>
      </c>
      <c r="O1045">
        <v>0.83333333333333348</v>
      </c>
      <c r="P1045">
        <v>14</v>
      </c>
    </row>
    <row r="1046" spans="1:16" x14ac:dyDescent="0.2">
      <c r="A1046" t="s">
        <v>3144</v>
      </c>
      <c r="B1046" t="s">
        <v>3145</v>
      </c>
      <c r="C1046" t="s">
        <v>3133</v>
      </c>
      <c r="D1046" t="s">
        <v>98</v>
      </c>
      <c r="E1046">
        <v>69.989999999999995</v>
      </c>
      <c r="F1046" t="s">
        <v>5817</v>
      </c>
      <c r="L1046" t="s">
        <v>73</v>
      </c>
      <c r="M1046">
        <v>1</v>
      </c>
      <c r="N1046">
        <v>1</v>
      </c>
      <c r="O1046">
        <v>0</v>
      </c>
      <c r="P1046">
        <v>1</v>
      </c>
    </row>
    <row r="1047" spans="1:16" x14ac:dyDescent="0.2">
      <c r="A1047" t="s">
        <v>3142</v>
      </c>
      <c r="B1047" t="s">
        <v>3143</v>
      </c>
      <c r="C1047" t="s">
        <v>3133</v>
      </c>
      <c r="D1047" t="s">
        <v>98</v>
      </c>
      <c r="E1047">
        <v>59.99</v>
      </c>
      <c r="F1047" t="s">
        <v>5817</v>
      </c>
      <c r="L1047" t="s">
        <v>73</v>
      </c>
      <c r="M1047">
        <v>0</v>
      </c>
      <c r="N1047">
        <v>0</v>
      </c>
      <c r="O1047">
        <v>0</v>
      </c>
      <c r="P1047">
        <v>0</v>
      </c>
    </row>
    <row r="1048" spans="1:16" x14ac:dyDescent="0.2">
      <c r="A1048" t="s">
        <v>3140</v>
      </c>
      <c r="B1048" t="s">
        <v>3141</v>
      </c>
      <c r="C1048" t="s">
        <v>3133</v>
      </c>
      <c r="D1048" t="s">
        <v>98</v>
      </c>
      <c r="E1048">
        <v>24.99</v>
      </c>
      <c r="F1048" t="s">
        <v>5817</v>
      </c>
      <c r="L1048" t="s">
        <v>73</v>
      </c>
      <c r="M1048">
        <v>0</v>
      </c>
      <c r="N1048">
        <v>0</v>
      </c>
      <c r="O1048">
        <v>0</v>
      </c>
      <c r="P1048">
        <v>0</v>
      </c>
    </row>
    <row r="1049" spans="1:16" x14ac:dyDescent="0.2">
      <c r="A1049" t="s">
        <v>3138</v>
      </c>
      <c r="B1049" t="s">
        <v>3139</v>
      </c>
      <c r="C1049" t="s">
        <v>3133</v>
      </c>
      <c r="D1049" t="s">
        <v>98</v>
      </c>
      <c r="E1049">
        <v>119.99</v>
      </c>
      <c r="F1049" t="s">
        <v>5817</v>
      </c>
      <c r="L1049" t="s">
        <v>73</v>
      </c>
      <c r="M1049">
        <v>0</v>
      </c>
      <c r="N1049">
        <v>0</v>
      </c>
      <c r="O1049">
        <v>0.58333333333333337</v>
      </c>
      <c r="P1049">
        <v>8</v>
      </c>
    </row>
    <row r="1050" spans="1:16" x14ac:dyDescent="0.2">
      <c r="A1050" t="s">
        <v>3146</v>
      </c>
      <c r="B1050" t="s">
        <v>3147</v>
      </c>
      <c r="C1050" t="s">
        <v>3133</v>
      </c>
      <c r="D1050" t="s">
        <v>138</v>
      </c>
      <c r="E1050">
        <v>644.99</v>
      </c>
      <c r="F1050" t="s">
        <v>5817</v>
      </c>
      <c r="G1050">
        <v>14</v>
      </c>
      <c r="I1050">
        <v>14</v>
      </c>
      <c r="L1050" t="s">
        <v>73</v>
      </c>
      <c r="M1050">
        <v>0</v>
      </c>
      <c r="N1050">
        <v>0</v>
      </c>
      <c r="O1050">
        <v>0</v>
      </c>
      <c r="P1050">
        <v>0</v>
      </c>
    </row>
    <row r="1051" spans="1:16" x14ac:dyDescent="0.2">
      <c r="A1051" t="s">
        <v>3154</v>
      </c>
      <c r="B1051" t="s">
        <v>3155</v>
      </c>
      <c r="C1051" t="s">
        <v>3133</v>
      </c>
      <c r="D1051" t="s">
        <v>98</v>
      </c>
      <c r="E1051">
        <v>99.99</v>
      </c>
      <c r="F1051" t="s">
        <v>5817</v>
      </c>
      <c r="L1051" t="s">
        <v>73</v>
      </c>
      <c r="M1051">
        <v>0</v>
      </c>
      <c r="N1051">
        <v>0</v>
      </c>
      <c r="O1051">
        <v>0</v>
      </c>
      <c r="P1051">
        <v>0</v>
      </c>
    </row>
    <row r="1052" spans="1:16" x14ac:dyDescent="0.2">
      <c r="A1052" t="s">
        <v>3152</v>
      </c>
      <c r="B1052" t="s">
        <v>3153</v>
      </c>
      <c r="C1052" t="s">
        <v>3133</v>
      </c>
      <c r="D1052" t="s">
        <v>98</v>
      </c>
      <c r="E1052">
        <v>79.989999999999995</v>
      </c>
      <c r="F1052" t="s">
        <v>5817</v>
      </c>
      <c r="L1052" t="s">
        <v>73</v>
      </c>
      <c r="M1052">
        <v>0</v>
      </c>
      <c r="N1052">
        <v>0</v>
      </c>
      <c r="O1052">
        <v>0</v>
      </c>
      <c r="P1052">
        <v>0</v>
      </c>
    </row>
    <row r="1053" spans="1:16" x14ac:dyDescent="0.2">
      <c r="A1053" t="s">
        <v>3150</v>
      </c>
      <c r="B1053" t="s">
        <v>3151</v>
      </c>
      <c r="C1053" t="s">
        <v>3133</v>
      </c>
      <c r="D1053" t="s">
        <v>98</v>
      </c>
      <c r="E1053">
        <v>59.99</v>
      </c>
      <c r="F1053" t="s">
        <v>5817</v>
      </c>
      <c r="L1053" t="s">
        <v>73</v>
      </c>
      <c r="M1053">
        <v>0</v>
      </c>
      <c r="N1053">
        <v>0</v>
      </c>
      <c r="O1053">
        <v>0</v>
      </c>
      <c r="P1053">
        <v>0</v>
      </c>
    </row>
    <row r="1054" spans="1:16" x14ac:dyDescent="0.2">
      <c r="A1054" t="s">
        <v>3148</v>
      </c>
      <c r="B1054" t="s">
        <v>3149</v>
      </c>
      <c r="C1054" t="s">
        <v>3133</v>
      </c>
      <c r="D1054" t="s">
        <v>98</v>
      </c>
      <c r="E1054">
        <v>999.99</v>
      </c>
      <c r="F1054" t="s">
        <v>5817</v>
      </c>
      <c r="L1054" t="s">
        <v>73</v>
      </c>
      <c r="M1054">
        <v>0</v>
      </c>
      <c r="N1054">
        <v>0</v>
      </c>
      <c r="O1054">
        <v>0</v>
      </c>
      <c r="P1054">
        <v>0</v>
      </c>
    </row>
    <row r="1055" spans="1:16" x14ac:dyDescent="0.2">
      <c r="A1055" t="s">
        <v>3142</v>
      </c>
      <c r="B1055" t="s">
        <v>3143</v>
      </c>
      <c r="C1055" t="s">
        <v>3133</v>
      </c>
      <c r="D1055" t="s">
        <v>98</v>
      </c>
      <c r="E1055">
        <v>59.99</v>
      </c>
      <c r="F1055" t="s">
        <v>5817</v>
      </c>
      <c r="L1055" t="s">
        <v>5818</v>
      </c>
      <c r="M1055">
        <v>0</v>
      </c>
      <c r="N1055">
        <v>0</v>
      </c>
      <c r="O1055">
        <v>0</v>
      </c>
      <c r="P1055" t="s">
        <v>5819</v>
      </c>
    </row>
    <row r="1056" spans="1:16" x14ac:dyDescent="0.2">
      <c r="A1056" t="s">
        <v>3150</v>
      </c>
      <c r="B1056" t="s">
        <v>3151</v>
      </c>
      <c r="C1056" t="s">
        <v>3133</v>
      </c>
      <c r="D1056" t="s">
        <v>98</v>
      </c>
      <c r="E1056">
        <v>59.99</v>
      </c>
      <c r="F1056" t="s">
        <v>5817</v>
      </c>
      <c r="L1056" t="s">
        <v>5818</v>
      </c>
      <c r="M1056">
        <v>0</v>
      </c>
      <c r="N1056">
        <v>0</v>
      </c>
      <c r="O1056">
        <v>0</v>
      </c>
      <c r="P1056" t="s">
        <v>5819</v>
      </c>
    </row>
    <row r="1057" spans="1:16" x14ac:dyDescent="0.2">
      <c r="A1057" t="s">
        <v>3144</v>
      </c>
      <c r="B1057" t="s">
        <v>3145</v>
      </c>
      <c r="C1057" t="s">
        <v>3133</v>
      </c>
      <c r="D1057" t="s">
        <v>98</v>
      </c>
      <c r="E1057">
        <v>69.989999999999995</v>
      </c>
      <c r="F1057" t="s">
        <v>5817</v>
      </c>
      <c r="L1057" t="s">
        <v>5818</v>
      </c>
      <c r="M1057">
        <v>0</v>
      </c>
      <c r="N1057">
        <v>0</v>
      </c>
      <c r="O1057">
        <v>0</v>
      </c>
      <c r="P1057" t="s">
        <v>5819</v>
      </c>
    </row>
    <row r="1058" spans="1:16" x14ac:dyDescent="0.2">
      <c r="A1058" t="s">
        <v>3134</v>
      </c>
      <c r="B1058" t="s">
        <v>3135</v>
      </c>
      <c r="C1058" t="s">
        <v>3133</v>
      </c>
      <c r="D1058" t="s">
        <v>138</v>
      </c>
      <c r="E1058">
        <v>53.99</v>
      </c>
      <c r="F1058" t="s">
        <v>5817</v>
      </c>
      <c r="G1058">
        <v>15</v>
      </c>
      <c r="I1058">
        <v>15</v>
      </c>
      <c r="L1058" t="s">
        <v>5818</v>
      </c>
      <c r="M1058">
        <v>0</v>
      </c>
      <c r="N1058">
        <v>0</v>
      </c>
      <c r="O1058">
        <v>0</v>
      </c>
      <c r="P1058" t="s">
        <v>5819</v>
      </c>
    </row>
    <row r="1059" spans="1:16" x14ac:dyDescent="0.2">
      <c r="A1059" t="s">
        <v>3140</v>
      </c>
      <c r="B1059" t="s">
        <v>3141</v>
      </c>
      <c r="C1059" t="s">
        <v>3133</v>
      </c>
      <c r="D1059" t="s">
        <v>98</v>
      </c>
      <c r="E1059">
        <v>24.99</v>
      </c>
      <c r="F1059" t="s">
        <v>5817</v>
      </c>
      <c r="L1059" t="s">
        <v>5818</v>
      </c>
      <c r="M1059">
        <v>0</v>
      </c>
      <c r="N1059">
        <v>0</v>
      </c>
      <c r="P1059">
        <v>1</v>
      </c>
    </row>
    <row r="1060" spans="1:16" x14ac:dyDescent="0.2">
      <c r="A1060" t="s">
        <v>3138</v>
      </c>
      <c r="B1060" t="s">
        <v>3139</v>
      </c>
      <c r="C1060" t="s">
        <v>3133</v>
      </c>
      <c r="D1060" t="s">
        <v>98</v>
      </c>
      <c r="E1060">
        <v>119.99</v>
      </c>
      <c r="F1060" t="s">
        <v>5817</v>
      </c>
      <c r="L1060" t="s">
        <v>5818</v>
      </c>
      <c r="M1060">
        <v>0</v>
      </c>
      <c r="N1060">
        <v>0</v>
      </c>
      <c r="O1060">
        <v>0</v>
      </c>
      <c r="P1060" t="s">
        <v>5819</v>
      </c>
    </row>
    <row r="1061" spans="1:16" x14ac:dyDescent="0.2">
      <c r="A1061" t="s">
        <v>3136</v>
      </c>
      <c r="B1061" t="s">
        <v>3137</v>
      </c>
      <c r="C1061" t="s">
        <v>3133</v>
      </c>
      <c r="D1061" t="s">
        <v>98</v>
      </c>
      <c r="E1061">
        <v>79.989999999999995</v>
      </c>
      <c r="F1061" t="s">
        <v>5817</v>
      </c>
      <c r="L1061" t="s">
        <v>5818</v>
      </c>
      <c r="M1061">
        <v>0</v>
      </c>
      <c r="N1061">
        <v>0</v>
      </c>
      <c r="O1061">
        <v>0</v>
      </c>
      <c r="P1061" t="s">
        <v>5819</v>
      </c>
    </row>
    <row r="1062" spans="1:16" x14ac:dyDescent="0.2">
      <c r="A1062" t="s">
        <v>3166</v>
      </c>
      <c r="B1062" t="s">
        <v>3167</v>
      </c>
      <c r="C1062" t="s">
        <v>3133</v>
      </c>
      <c r="D1062" t="s">
        <v>98</v>
      </c>
      <c r="E1062">
        <v>239.99</v>
      </c>
      <c r="F1062" t="s">
        <v>5817</v>
      </c>
      <c r="L1062" t="s">
        <v>5818</v>
      </c>
      <c r="M1062">
        <v>0</v>
      </c>
      <c r="N1062">
        <v>0</v>
      </c>
      <c r="O1062">
        <v>0</v>
      </c>
      <c r="P1062" t="s">
        <v>5819</v>
      </c>
    </row>
    <row r="1063" spans="1:16" x14ac:dyDescent="0.2">
      <c r="A1063" t="s">
        <v>3168</v>
      </c>
      <c r="B1063" t="s">
        <v>3169</v>
      </c>
      <c r="C1063" t="s">
        <v>3133</v>
      </c>
      <c r="D1063" t="s">
        <v>138</v>
      </c>
      <c r="E1063">
        <v>74.989999999999995</v>
      </c>
      <c r="F1063" t="s">
        <v>5817</v>
      </c>
      <c r="G1063">
        <v>10</v>
      </c>
      <c r="I1063">
        <v>10</v>
      </c>
      <c r="L1063" t="s">
        <v>5818</v>
      </c>
      <c r="M1063">
        <v>0</v>
      </c>
      <c r="N1063">
        <v>0</v>
      </c>
      <c r="O1063">
        <v>0</v>
      </c>
      <c r="P1063" t="s">
        <v>5819</v>
      </c>
    </row>
    <row r="1064" spans="1:16" x14ac:dyDescent="0.2">
      <c r="A1064" t="s">
        <v>3170</v>
      </c>
      <c r="B1064" t="s">
        <v>3171</v>
      </c>
      <c r="C1064" t="s">
        <v>3133</v>
      </c>
      <c r="D1064" t="s">
        <v>98</v>
      </c>
      <c r="E1064">
        <v>179.99</v>
      </c>
      <c r="F1064" t="s">
        <v>5817</v>
      </c>
      <c r="L1064" t="s">
        <v>5818</v>
      </c>
      <c r="M1064">
        <v>0</v>
      </c>
      <c r="N1064">
        <v>0</v>
      </c>
      <c r="O1064">
        <v>0</v>
      </c>
      <c r="P1064" t="s">
        <v>5819</v>
      </c>
    </row>
    <row r="1065" spans="1:16" x14ac:dyDescent="0.2">
      <c r="A1065" t="s">
        <v>3172</v>
      </c>
      <c r="B1065" t="s">
        <v>3173</v>
      </c>
      <c r="C1065" t="s">
        <v>3133</v>
      </c>
      <c r="D1065" t="s">
        <v>98</v>
      </c>
      <c r="E1065">
        <v>139.99</v>
      </c>
      <c r="F1065" t="s">
        <v>5817</v>
      </c>
      <c r="L1065" t="s">
        <v>5818</v>
      </c>
      <c r="M1065">
        <v>0</v>
      </c>
      <c r="N1065">
        <v>0</v>
      </c>
      <c r="O1065">
        <v>0</v>
      </c>
      <c r="P1065" t="s">
        <v>5819</v>
      </c>
    </row>
    <row r="1066" spans="1:16" x14ac:dyDescent="0.2">
      <c r="A1066" t="s">
        <v>3174</v>
      </c>
      <c r="B1066" t="s">
        <v>3175</v>
      </c>
      <c r="C1066" t="s">
        <v>3133</v>
      </c>
      <c r="D1066" t="s">
        <v>98</v>
      </c>
      <c r="E1066">
        <v>329.99</v>
      </c>
      <c r="F1066" t="s">
        <v>5817</v>
      </c>
      <c r="L1066" t="s">
        <v>5818</v>
      </c>
      <c r="M1066">
        <v>0</v>
      </c>
      <c r="N1066">
        <v>0</v>
      </c>
      <c r="O1066">
        <v>0</v>
      </c>
      <c r="P1066" t="s">
        <v>5819</v>
      </c>
    </row>
    <row r="1067" spans="1:16" x14ac:dyDescent="0.2">
      <c r="A1067" t="s">
        <v>3176</v>
      </c>
      <c r="B1067" t="s">
        <v>3177</v>
      </c>
      <c r="C1067" t="s">
        <v>3133</v>
      </c>
      <c r="D1067" t="s">
        <v>98</v>
      </c>
      <c r="E1067">
        <v>99.99</v>
      </c>
      <c r="F1067" t="s">
        <v>5817</v>
      </c>
      <c r="L1067" t="s">
        <v>5818</v>
      </c>
      <c r="M1067">
        <v>0</v>
      </c>
      <c r="N1067">
        <v>0</v>
      </c>
      <c r="O1067">
        <v>0</v>
      </c>
      <c r="P1067" t="s">
        <v>5819</v>
      </c>
    </row>
    <row r="1068" spans="1:16" x14ac:dyDescent="0.2">
      <c r="A1068" t="s">
        <v>3164</v>
      </c>
      <c r="B1068" t="s">
        <v>3165</v>
      </c>
      <c r="C1068" t="s">
        <v>3133</v>
      </c>
      <c r="D1068" t="s">
        <v>98</v>
      </c>
      <c r="E1068">
        <v>99.99</v>
      </c>
      <c r="F1068" t="s">
        <v>5817</v>
      </c>
      <c r="L1068" t="s">
        <v>5818</v>
      </c>
      <c r="M1068">
        <v>0</v>
      </c>
      <c r="N1068">
        <v>0</v>
      </c>
      <c r="O1068">
        <v>0</v>
      </c>
      <c r="P1068" t="s">
        <v>5819</v>
      </c>
    </row>
    <row r="1069" spans="1:16" x14ac:dyDescent="0.2">
      <c r="A1069" t="s">
        <v>3152</v>
      </c>
      <c r="B1069" t="s">
        <v>3153</v>
      </c>
      <c r="C1069" t="s">
        <v>3133</v>
      </c>
      <c r="D1069" t="s">
        <v>98</v>
      </c>
      <c r="E1069">
        <v>79.989999999999995</v>
      </c>
      <c r="F1069" t="s">
        <v>5817</v>
      </c>
      <c r="L1069" t="s">
        <v>5818</v>
      </c>
      <c r="M1069">
        <v>0</v>
      </c>
      <c r="N1069">
        <v>0</v>
      </c>
      <c r="O1069">
        <v>0</v>
      </c>
      <c r="P1069" t="s">
        <v>5819</v>
      </c>
    </row>
    <row r="1070" spans="1:16" x14ac:dyDescent="0.2">
      <c r="A1070" t="s">
        <v>3154</v>
      </c>
      <c r="B1070" t="s">
        <v>3155</v>
      </c>
      <c r="C1070" t="s">
        <v>3133</v>
      </c>
      <c r="D1070" t="s">
        <v>98</v>
      </c>
      <c r="E1070">
        <v>99.99</v>
      </c>
      <c r="F1070" t="s">
        <v>5817</v>
      </c>
      <c r="L1070" t="s">
        <v>5818</v>
      </c>
      <c r="M1070">
        <v>0</v>
      </c>
      <c r="N1070">
        <v>0</v>
      </c>
      <c r="O1070">
        <v>0</v>
      </c>
      <c r="P1070" t="s">
        <v>5819</v>
      </c>
    </row>
    <row r="1071" spans="1:16" x14ac:dyDescent="0.2">
      <c r="A1071" t="s">
        <v>3156</v>
      </c>
      <c r="B1071" t="s">
        <v>3157</v>
      </c>
      <c r="C1071" t="s">
        <v>3133</v>
      </c>
      <c r="D1071" t="s">
        <v>98</v>
      </c>
      <c r="E1071">
        <v>149.99</v>
      </c>
      <c r="F1071" t="s">
        <v>5817</v>
      </c>
      <c r="L1071" t="s">
        <v>5818</v>
      </c>
      <c r="M1071">
        <v>0</v>
      </c>
      <c r="N1071">
        <v>0</v>
      </c>
      <c r="O1071">
        <v>0</v>
      </c>
      <c r="P1071" t="s">
        <v>5819</v>
      </c>
    </row>
    <row r="1072" spans="1:16" x14ac:dyDescent="0.2">
      <c r="A1072" t="s">
        <v>3158</v>
      </c>
      <c r="B1072" t="s">
        <v>3159</v>
      </c>
      <c r="C1072" t="s">
        <v>3133</v>
      </c>
      <c r="D1072" t="s">
        <v>98</v>
      </c>
      <c r="E1072">
        <v>199.99</v>
      </c>
      <c r="F1072" t="s">
        <v>5817</v>
      </c>
      <c r="L1072" t="s">
        <v>5818</v>
      </c>
      <c r="M1072">
        <v>0</v>
      </c>
      <c r="N1072">
        <v>0</v>
      </c>
      <c r="O1072">
        <v>0</v>
      </c>
      <c r="P1072" t="s">
        <v>5819</v>
      </c>
    </row>
    <row r="1073" spans="1:16" x14ac:dyDescent="0.2">
      <c r="A1073" t="s">
        <v>3160</v>
      </c>
      <c r="B1073" t="s">
        <v>3161</v>
      </c>
      <c r="C1073" t="s">
        <v>3133</v>
      </c>
      <c r="D1073" t="s">
        <v>138</v>
      </c>
      <c r="E1073">
        <v>217.99</v>
      </c>
      <c r="F1073" t="s">
        <v>5817</v>
      </c>
      <c r="G1073">
        <v>19</v>
      </c>
      <c r="I1073">
        <v>19</v>
      </c>
      <c r="L1073" t="s">
        <v>5818</v>
      </c>
      <c r="M1073">
        <v>0</v>
      </c>
      <c r="N1073">
        <v>0</v>
      </c>
      <c r="O1073">
        <v>0</v>
      </c>
      <c r="P1073" t="s">
        <v>5819</v>
      </c>
    </row>
    <row r="1074" spans="1:16" x14ac:dyDescent="0.2">
      <c r="A1074" t="s">
        <v>3162</v>
      </c>
      <c r="B1074" t="s">
        <v>3163</v>
      </c>
      <c r="C1074" t="s">
        <v>3133</v>
      </c>
      <c r="D1074" t="s">
        <v>98</v>
      </c>
      <c r="E1074">
        <v>119.99</v>
      </c>
      <c r="F1074" t="s">
        <v>5817</v>
      </c>
      <c r="L1074" t="s">
        <v>5818</v>
      </c>
      <c r="M1074">
        <v>0</v>
      </c>
      <c r="N1074">
        <v>0</v>
      </c>
      <c r="O1074">
        <v>0</v>
      </c>
      <c r="P1074" t="s">
        <v>5819</v>
      </c>
    </row>
    <row r="1075" spans="1:16" x14ac:dyDescent="0.2">
      <c r="A1075" t="s">
        <v>3178</v>
      </c>
      <c r="B1075" t="s">
        <v>3179</v>
      </c>
      <c r="C1075" t="s">
        <v>3133</v>
      </c>
      <c r="D1075" t="s">
        <v>98</v>
      </c>
      <c r="E1075">
        <v>229.99</v>
      </c>
      <c r="F1075" t="s">
        <v>5817</v>
      </c>
      <c r="L1075" t="s">
        <v>5818</v>
      </c>
      <c r="M1075">
        <v>0</v>
      </c>
      <c r="N1075">
        <v>0</v>
      </c>
      <c r="O1075">
        <v>0</v>
      </c>
      <c r="P1075" t="s">
        <v>5819</v>
      </c>
    </row>
    <row r="1076" spans="1:16" x14ac:dyDescent="0.2">
      <c r="A1076" t="s">
        <v>3180</v>
      </c>
      <c r="B1076" t="s">
        <v>3181</v>
      </c>
      <c r="C1076" t="s">
        <v>3133</v>
      </c>
      <c r="D1076" t="s">
        <v>138</v>
      </c>
      <c r="E1076">
        <v>131.99</v>
      </c>
      <c r="F1076" t="s">
        <v>5817</v>
      </c>
      <c r="G1076">
        <v>1</v>
      </c>
      <c r="I1076">
        <v>1</v>
      </c>
      <c r="L1076" t="s">
        <v>5818</v>
      </c>
      <c r="M1076">
        <v>0</v>
      </c>
      <c r="N1076">
        <v>0</v>
      </c>
      <c r="O1076">
        <v>0</v>
      </c>
      <c r="P1076" t="s">
        <v>5819</v>
      </c>
    </row>
    <row r="1077" spans="1:16" x14ac:dyDescent="0.2">
      <c r="A1077" t="s">
        <v>3140</v>
      </c>
      <c r="B1077" t="s">
        <v>3141</v>
      </c>
      <c r="C1077" t="s">
        <v>3133</v>
      </c>
      <c r="D1077" t="s">
        <v>98</v>
      </c>
      <c r="E1077">
        <v>24.99</v>
      </c>
      <c r="F1077" t="s">
        <v>5817</v>
      </c>
      <c r="L1077" t="s">
        <v>5085</v>
      </c>
      <c r="M1077">
        <v>0</v>
      </c>
      <c r="N1077">
        <v>0</v>
      </c>
      <c r="O1077">
        <v>0.33333333333333331</v>
      </c>
      <c r="P1077" t="s">
        <v>5819</v>
      </c>
    </row>
    <row r="1078" spans="1:16" x14ac:dyDescent="0.2">
      <c r="A1078" t="s">
        <v>3166</v>
      </c>
      <c r="B1078" t="s">
        <v>3167</v>
      </c>
      <c r="C1078" t="s">
        <v>3133</v>
      </c>
      <c r="D1078" t="s">
        <v>98</v>
      </c>
      <c r="E1078">
        <v>239.99</v>
      </c>
      <c r="F1078" t="s">
        <v>5817</v>
      </c>
      <c r="L1078" t="s">
        <v>5085</v>
      </c>
      <c r="M1078">
        <v>0</v>
      </c>
      <c r="N1078">
        <v>0</v>
      </c>
      <c r="O1078">
        <v>8.3333333333333329E-2</v>
      </c>
      <c r="P1078" t="s">
        <v>5819</v>
      </c>
    </row>
    <row r="1079" spans="1:16" x14ac:dyDescent="0.2">
      <c r="A1079" t="s">
        <v>3168</v>
      </c>
      <c r="B1079" t="s">
        <v>3169</v>
      </c>
      <c r="C1079" t="s">
        <v>3133</v>
      </c>
      <c r="D1079" t="s">
        <v>138</v>
      </c>
      <c r="E1079">
        <v>74.989999999999995</v>
      </c>
      <c r="F1079" t="s">
        <v>5817</v>
      </c>
      <c r="G1079">
        <v>10</v>
      </c>
      <c r="I1079">
        <v>10</v>
      </c>
      <c r="L1079" t="s">
        <v>5085</v>
      </c>
      <c r="M1079">
        <v>0</v>
      </c>
      <c r="N1079">
        <v>0</v>
      </c>
      <c r="O1079">
        <v>0</v>
      </c>
      <c r="P1079" t="s">
        <v>5819</v>
      </c>
    </row>
    <row r="1080" spans="1:16" x14ac:dyDescent="0.2">
      <c r="A1080" t="s">
        <v>3170</v>
      </c>
      <c r="B1080" t="s">
        <v>3171</v>
      </c>
      <c r="C1080" t="s">
        <v>3133</v>
      </c>
      <c r="D1080" t="s">
        <v>98</v>
      </c>
      <c r="E1080">
        <v>179.99</v>
      </c>
      <c r="F1080" t="s">
        <v>5817</v>
      </c>
      <c r="L1080" t="s">
        <v>5085</v>
      </c>
      <c r="M1080">
        <v>0</v>
      </c>
      <c r="N1080">
        <v>0</v>
      </c>
      <c r="O1080">
        <v>0</v>
      </c>
      <c r="P1080" t="s">
        <v>5819</v>
      </c>
    </row>
    <row r="1081" spans="1:16" x14ac:dyDescent="0.2">
      <c r="A1081" t="s">
        <v>3176</v>
      </c>
      <c r="B1081" t="s">
        <v>3177</v>
      </c>
      <c r="C1081" t="s">
        <v>3133</v>
      </c>
      <c r="D1081" t="s">
        <v>98</v>
      </c>
      <c r="E1081">
        <v>99.99</v>
      </c>
      <c r="F1081" t="s">
        <v>5817</v>
      </c>
      <c r="L1081" t="s">
        <v>5085</v>
      </c>
      <c r="M1081">
        <v>0</v>
      </c>
      <c r="N1081">
        <v>0</v>
      </c>
      <c r="O1081">
        <v>0</v>
      </c>
      <c r="P1081" t="s">
        <v>5819</v>
      </c>
    </row>
    <row r="1082" spans="1:16" x14ac:dyDescent="0.2">
      <c r="A1082" t="s">
        <v>3160</v>
      </c>
      <c r="B1082" t="s">
        <v>3161</v>
      </c>
      <c r="C1082" t="s">
        <v>3133</v>
      </c>
      <c r="D1082" t="s">
        <v>138</v>
      </c>
      <c r="E1082">
        <v>217.99</v>
      </c>
      <c r="F1082" t="s">
        <v>5817</v>
      </c>
      <c r="G1082">
        <v>19</v>
      </c>
      <c r="I1082">
        <v>19</v>
      </c>
      <c r="L1082" t="s">
        <v>5085</v>
      </c>
      <c r="M1082">
        <v>0</v>
      </c>
      <c r="N1082">
        <v>0</v>
      </c>
      <c r="O1082">
        <v>0</v>
      </c>
      <c r="P1082" t="s">
        <v>5819</v>
      </c>
    </row>
    <row r="1083" spans="1:16" x14ac:dyDescent="0.2">
      <c r="A1083" t="s">
        <v>3134</v>
      </c>
      <c r="B1083" t="s">
        <v>3135</v>
      </c>
      <c r="C1083" t="s">
        <v>3133</v>
      </c>
      <c r="D1083" t="s">
        <v>138</v>
      </c>
      <c r="E1083">
        <v>53.99</v>
      </c>
      <c r="F1083" t="s">
        <v>5817</v>
      </c>
      <c r="G1083">
        <v>15</v>
      </c>
      <c r="I1083">
        <v>15</v>
      </c>
      <c r="L1083" t="s">
        <v>5085</v>
      </c>
      <c r="M1083">
        <v>0</v>
      </c>
      <c r="N1083">
        <v>0</v>
      </c>
      <c r="O1083">
        <v>0</v>
      </c>
      <c r="P1083" t="s">
        <v>5819</v>
      </c>
    </row>
    <row r="1084" spans="1:16" x14ac:dyDescent="0.2">
      <c r="A1084" t="s">
        <v>3142</v>
      </c>
      <c r="B1084" t="s">
        <v>3143</v>
      </c>
      <c r="C1084" t="s">
        <v>3133</v>
      </c>
      <c r="D1084" t="s">
        <v>98</v>
      </c>
      <c r="E1084">
        <v>59.99</v>
      </c>
      <c r="F1084" t="s">
        <v>5817</v>
      </c>
      <c r="L1084" t="s">
        <v>5085</v>
      </c>
      <c r="M1084">
        <v>0</v>
      </c>
      <c r="N1084">
        <v>0</v>
      </c>
      <c r="O1084">
        <v>0.33333333333333326</v>
      </c>
      <c r="P1084" t="s">
        <v>5819</v>
      </c>
    </row>
    <row r="1085" spans="1:16" x14ac:dyDescent="0.2">
      <c r="A1085" t="s">
        <v>3178</v>
      </c>
      <c r="B1085" t="s">
        <v>3179</v>
      </c>
      <c r="C1085" t="s">
        <v>3133</v>
      </c>
      <c r="D1085" t="s">
        <v>98</v>
      </c>
      <c r="E1085">
        <v>229.99</v>
      </c>
      <c r="F1085" t="s">
        <v>5817</v>
      </c>
      <c r="L1085" t="s">
        <v>5085</v>
      </c>
      <c r="M1085">
        <v>0</v>
      </c>
      <c r="N1085">
        <v>0</v>
      </c>
      <c r="O1085">
        <v>0</v>
      </c>
      <c r="P1085" t="s">
        <v>5819</v>
      </c>
    </row>
    <row r="1086" spans="1:16" x14ac:dyDescent="0.2">
      <c r="A1086" t="s">
        <v>3146</v>
      </c>
      <c r="B1086" t="s">
        <v>3147</v>
      </c>
      <c r="C1086" t="s">
        <v>3133</v>
      </c>
      <c r="D1086" t="s">
        <v>138</v>
      </c>
      <c r="E1086">
        <v>644.99</v>
      </c>
      <c r="F1086" t="s">
        <v>5817</v>
      </c>
      <c r="G1086">
        <v>14</v>
      </c>
      <c r="I1086">
        <v>14</v>
      </c>
      <c r="L1086" t="s">
        <v>5085</v>
      </c>
      <c r="M1086">
        <v>0</v>
      </c>
      <c r="N1086">
        <v>0</v>
      </c>
      <c r="O1086">
        <v>0</v>
      </c>
      <c r="P1086" t="s">
        <v>5819</v>
      </c>
    </row>
    <row r="1087" spans="1:16" x14ac:dyDescent="0.2">
      <c r="A1087" t="s">
        <v>3148</v>
      </c>
      <c r="B1087" t="s">
        <v>3149</v>
      </c>
      <c r="C1087" t="s">
        <v>3133</v>
      </c>
      <c r="D1087" t="s">
        <v>98</v>
      </c>
      <c r="E1087">
        <v>999.99</v>
      </c>
      <c r="F1087" t="s">
        <v>5817</v>
      </c>
      <c r="L1087" t="s">
        <v>5085</v>
      </c>
      <c r="M1087">
        <v>0</v>
      </c>
      <c r="N1087">
        <v>0</v>
      </c>
      <c r="O1087">
        <v>0</v>
      </c>
      <c r="P1087" t="s">
        <v>5819</v>
      </c>
    </row>
    <row r="1088" spans="1:16" x14ac:dyDescent="0.2">
      <c r="A1088" t="s">
        <v>3150</v>
      </c>
      <c r="B1088" t="s">
        <v>3151</v>
      </c>
      <c r="C1088" t="s">
        <v>3133</v>
      </c>
      <c r="D1088" t="s">
        <v>98</v>
      </c>
      <c r="E1088">
        <v>59.99</v>
      </c>
      <c r="F1088" t="s">
        <v>5817</v>
      </c>
      <c r="L1088" t="s">
        <v>5085</v>
      </c>
      <c r="M1088">
        <v>0</v>
      </c>
      <c r="N1088">
        <v>0</v>
      </c>
      <c r="O1088">
        <v>0.41666666666666669</v>
      </c>
      <c r="P1088" t="s">
        <v>5819</v>
      </c>
    </row>
    <row r="1089" spans="1:16" x14ac:dyDescent="0.2">
      <c r="A1089" t="s">
        <v>3152</v>
      </c>
      <c r="B1089" t="s">
        <v>3153</v>
      </c>
      <c r="C1089" t="s">
        <v>3133</v>
      </c>
      <c r="D1089" t="s">
        <v>98</v>
      </c>
      <c r="E1089">
        <v>79.989999999999995</v>
      </c>
      <c r="F1089" t="s">
        <v>5817</v>
      </c>
      <c r="L1089" t="s">
        <v>5085</v>
      </c>
      <c r="M1089">
        <v>0</v>
      </c>
      <c r="N1089">
        <v>0</v>
      </c>
      <c r="O1089">
        <v>1.0833333333333333</v>
      </c>
      <c r="P1089" t="s">
        <v>5819</v>
      </c>
    </row>
    <row r="1090" spans="1:16" x14ac:dyDescent="0.2">
      <c r="A1090" t="s">
        <v>3144</v>
      </c>
      <c r="B1090" t="s">
        <v>3145</v>
      </c>
      <c r="C1090" t="s">
        <v>3133</v>
      </c>
      <c r="D1090" t="s">
        <v>98</v>
      </c>
      <c r="E1090">
        <v>69.989999999999995</v>
      </c>
      <c r="F1090" t="s">
        <v>5817</v>
      </c>
      <c r="L1090" t="s">
        <v>5085</v>
      </c>
      <c r="M1090">
        <v>0</v>
      </c>
      <c r="N1090">
        <v>0</v>
      </c>
      <c r="O1090">
        <v>0</v>
      </c>
      <c r="P1090" t="s">
        <v>5819</v>
      </c>
    </row>
    <row r="1091" spans="1:16" x14ac:dyDescent="0.2">
      <c r="A1091" t="s">
        <v>3180</v>
      </c>
      <c r="B1091" t="s">
        <v>3181</v>
      </c>
      <c r="C1091" t="s">
        <v>3133</v>
      </c>
      <c r="D1091" t="s">
        <v>138</v>
      </c>
      <c r="E1091">
        <v>131.99</v>
      </c>
      <c r="F1091" t="s">
        <v>5817</v>
      </c>
      <c r="G1091">
        <v>1</v>
      </c>
      <c r="I1091">
        <v>1</v>
      </c>
      <c r="L1091" t="s">
        <v>5085</v>
      </c>
      <c r="M1091">
        <v>0</v>
      </c>
      <c r="N1091">
        <v>0</v>
      </c>
      <c r="O1091">
        <v>0</v>
      </c>
      <c r="P1091" t="s">
        <v>5819</v>
      </c>
    </row>
    <row r="1092" spans="1:16" x14ac:dyDescent="0.2">
      <c r="A1092" t="s">
        <v>3178</v>
      </c>
      <c r="B1092" t="s">
        <v>3179</v>
      </c>
      <c r="C1092" t="s">
        <v>3133</v>
      </c>
      <c r="D1092" t="s">
        <v>98</v>
      </c>
      <c r="E1092">
        <v>229.99</v>
      </c>
      <c r="F1092" t="s">
        <v>5817</v>
      </c>
      <c r="L1092" t="s">
        <v>5065</v>
      </c>
      <c r="M1092">
        <v>0</v>
      </c>
      <c r="N1092">
        <v>0</v>
      </c>
      <c r="P1092">
        <v>0</v>
      </c>
    </row>
    <row r="1093" spans="1:16" x14ac:dyDescent="0.2">
      <c r="A1093" t="s">
        <v>3176</v>
      </c>
      <c r="B1093" t="s">
        <v>3177</v>
      </c>
      <c r="C1093" t="s">
        <v>3133</v>
      </c>
      <c r="D1093" t="s">
        <v>98</v>
      </c>
      <c r="E1093">
        <v>99.99</v>
      </c>
      <c r="F1093" t="s">
        <v>5817</v>
      </c>
      <c r="L1093" t="s">
        <v>5065</v>
      </c>
      <c r="M1093">
        <v>0</v>
      </c>
      <c r="N1093">
        <v>0</v>
      </c>
      <c r="P1093">
        <v>0</v>
      </c>
    </row>
    <row r="1094" spans="1:16" x14ac:dyDescent="0.2">
      <c r="A1094" t="s">
        <v>3174</v>
      </c>
      <c r="B1094" t="s">
        <v>3175</v>
      </c>
      <c r="C1094" t="s">
        <v>3133</v>
      </c>
      <c r="D1094" t="s">
        <v>98</v>
      </c>
      <c r="E1094">
        <v>329.99</v>
      </c>
      <c r="F1094" t="s">
        <v>5817</v>
      </c>
      <c r="L1094" t="s">
        <v>5065</v>
      </c>
      <c r="M1094">
        <v>0</v>
      </c>
      <c r="N1094">
        <v>0</v>
      </c>
      <c r="P1094">
        <v>0</v>
      </c>
    </row>
    <row r="1095" spans="1:16" x14ac:dyDescent="0.2">
      <c r="A1095" t="s">
        <v>3172</v>
      </c>
      <c r="B1095" t="s">
        <v>3173</v>
      </c>
      <c r="C1095" t="s">
        <v>3133</v>
      </c>
      <c r="D1095" t="s">
        <v>98</v>
      </c>
      <c r="E1095">
        <v>139.99</v>
      </c>
      <c r="F1095" t="s">
        <v>5817</v>
      </c>
      <c r="L1095" t="s">
        <v>5065</v>
      </c>
      <c r="M1095">
        <v>0</v>
      </c>
      <c r="N1095">
        <v>0</v>
      </c>
      <c r="P1095">
        <v>0</v>
      </c>
    </row>
    <row r="1096" spans="1:16" x14ac:dyDescent="0.2">
      <c r="A1096" t="s">
        <v>3180</v>
      </c>
      <c r="B1096" t="s">
        <v>3181</v>
      </c>
      <c r="C1096" t="s">
        <v>3133</v>
      </c>
      <c r="D1096" t="s">
        <v>138</v>
      </c>
      <c r="E1096">
        <v>131.99</v>
      </c>
      <c r="F1096" t="s">
        <v>5817</v>
      </c>
      <c r="G1096">
        <v>1</v>
      </c>
      <c r="I1096">
        <v>1</v>
      </c>
      <c r="L1096" t="s">
        <v>5065</v>
      </c>
      <c r="M1096">
        <v>0</v>
      </c>
      <c r="N1096">
        <v>0</v>
      </c>
      <c r="P1096">
        <v>0</v>
      </c>
    </row>
    <row r="1097" spans="1:16" x14ac:dyDescent="0.2">
      <c r="A1097" t="s">
        <v>3168</v>
      </c>
      <c r="B1097" t="s">
        <v>3169</v>
      </c>
      <c r="C1097" t="s">
        <v>3133</v>
      </c>
      <c r="D1097" t="s">
        <v>138</v>
      </c>
      <c r="E1097">
        <v>74.989999999999995</v>
      </c>
      <c r="F1097" t="s">
        <v>5817</v>
      </c>
      <c r="G1097">
        <v>10</v>
      </c>
      <c r="I1097">
        <v>10</v>
      </c>
      <c r="L1097" t="s">
        <v>5065</v>
      </c>
      <c r="M1097">
        <v>0</v>
      </c>
      <c r="N1097">
        <v>0</v>
      </c>
      <c r="P1097">
        <v>0</v>
      </c>
    </row>
    <row r="1098" spans="1:16" x14ac:dyDescent="0.2">
      <c r="A1098" t="s">
        <v>3166</v>
      </c>
      <c r="B1098" t="s">
        <v>3167</v>
      </c>
      <c r="C1098" t="s">
        <v>3133</v>
      </c>
      <c r="D1098" t="s">
        <v>98</v>
      </c>
      <c r="E1098">
        <v>239.99</v>
      </c>
      <c r="F1098" t="s">
        <v>5817</v>
      </c>
      <c r="L1098" t="s">
        <v>5065</v>
      </c>
      <c r="M1098">
        <v>0</v>
      </c>
      <c r="N1098">
        <v>0</v>
      </c>
      <c r="P1098">
        <v>0</v>
      </c>
    </row>
    <row r="1099" spans="1:16" x14ac:dyDescent="0.2">
      <c r="A1099" t="s">
        <v>3164</v>
      </c>
      <c r="B1099" t="s">
        <v>3165</v>
      </c>
      <c r="C1099" t="s">
        <v>3133</v>
      </c>
      <c r="D1099" t="s">
        <v>98</v>
      </c>
      <c r="E1099">
        <v>99.99</v>
      </c>
      <c r="F1099" t="s">
        <v>5817</v>
      </c>
      <c r="L1099" t="s">
        <v>5065</v>
      </c>
      <c r="M1099">
        <v>0</v>
      </c>
      <c r="N1099">
        <v>0</v>
      </c>
      <c r="P1099">
        <v>0</v>
      </c>
    </row>
    <row r="1100" spans="1:16" x14ac:dyDescent="0.2">
      <c r="A1100" t="s">
        <v>3170</v>
      </c>
      <c r="B1100" t="s">
        <v>3171</v>
      </c>
      <c r="C1100" t="s">
        <v>3133</v>
      </c>
      <c r="D1100" t="s">
        <v>98</v>
      </c>
      <c r="E1100">
        <v>179.99</v>
      </c>
      <c r="F1100" t="s">
        <v>5817</v>
      </c>
      <c r="L1100" t="s">
        <v>5065</v>
      </c>
      <c r="M1100">
        <v>0</v>
      </c>
      <c r="N1100">
        <v>0</v>
      </c>
      <c r="P1100">
        <v>0</v>
      </c>
    </row>
    <row r="1101" spans="1:16" x14ac:dyDescent="0.2">
      <c r="A1101" t="s">
        <v>3162</v>
      </c>
      <c r="B1101" t="s">
        <v>3163</v>
      </c>
      <c r="C1101" t="s">
        <v>3133</v>
      </c>
      <c r="D1101" t="s">
        <v>98</v>
      </c>
      <c r="E1101">
        <v>119.99</v>
      </c>
      <c r="F1101" t="s">
        <v>5817</v>
      </c>
      <c r="L1101" t="s">
        <v>5065</v>
      </c>
      <c r="M1101">
        <v>0</v>
      </c>
      <c r="N1101">
        <v>0</v>
      </c>
      <c r="P1101">
        <v>0</v>
      </c>
    </row>
    <row r="1102" spans="1:16" x14ac:dyDescent="0.2">
      <c r="A1102" t="s">
        <v>3136</v>
      </c>
      <c r="B1102" t="s">
        <v>3137</v>
      </c>
      <c r="C1102" t="s">
        <v>3133</v>
      </c>
      <c r="D1102" t="s">
        <v>98</v>
      </c>
      <c r="E1102">
        <v>79.989999999999995</v>
      </c>
      <c r="F1102" t="s">
        <v>5817</v>
      </c>
      <c r="L1102" t="s">
        <v>5065</v>
      </c>
      <c r="M1102">
        <v>0</v>
      </c>
      <c r="N1102">
        <v>0</v>
      </c>
      <c r="P1102">
        <v>0</v>
      </c>
    </row>
    <row r="1103" spans="1:16" x14ac:dyDescent="0.2">
      <c r="A1103" t="s">
        <v>3134</v>
      </c>
      <c r="B1103" t="s">
        <v>3135</v>
      </c>
      <c r="C1103" t="s">
        <v>3133</v>
      </c>
      <c r="D1103" t="s">
        <v>138</v>
      </c>
      <c r="E1103">
        <v>53.99</v>
      </c>
      <c r="F1103" t="s">
        <v>5817</v>
      </c>
      <c r="G1103">
        <v>15</v>
      </c>
      <c r="I1103">
        <v>15</v>
      </c>
      <c r="L1103" t="s">
        <v>5065</v>
      </c>
      <c r="M1103">
        <v>0</v>
      </c>
      <c r="N1103">
        <v>0</v>
      </c>
      <c r="P1103">
        <v>0</v>
      </c>
    </row>
    <row r="1104" spans="1:16" x14ac:dyDescent="0.2">
      <c r="A1104" t="s">
        <v>3138</v>
      </c>
      <c r="B1104" t="s">
        <v>3139</v>
      </c>
      <c r="C1104" t="s">
        <v>3133</v>
      </c>
      <c r="D1104" t="s">
        <v>98</v>
      </c>
      <c r="E1104">
        <v>119.99</v>
      </c>
      <c r="F1104" t="s">
        <v>5817</v>
      </c>
      <c r="L1104" t="s">
        <v>5065</v>
      </c>
      <c r="M1104">
        <v>0</v>
      </c>
      <c r="N1104">
        <v>0</v>
      </c>
      <c r="P1104">
        <v>0</v>
      </c>
    </row>
    <row r="1105" spans="1:16" x14ac:dyDescent="0.2">
      <c r="A1105" t="s">
        <v>3140</v>
      </c>
      <c r="B1105" t="s">
        <v>3141</v>
      </c>
      <c r="C1105" t="s">
        <v>3133</v>
      </c>
      <c r="D1105" t="s">
        <v>98</v>
      </c>
      <c r="E1105">
        <v>24.99</v>
      </c>
      <c r="F1105" t="s">
        <v>5817</v>
      </c>
      <c r="L1105" t="s">
        <v>5065</v>
      </c>
      <c r="M1105">
        <v>0</v>
      </c>
      <c r="N1105">
        <v>0</v>
      </c>
      <c r="P1105">
        <v>0</v>
      </c>
    </row>
    <row r="1106" spans="1:16" x14ac:dyDescent="0.2">
      <c r="A1106" t="s">
        <v>3160</v>
      </c>
      <c r="B1106" t="s">
        <v>3161</v>
      </c>
      <c r="C1106" t="s">
        <v>3133</v>
      </c>
      <c r="D1106" t="s">
        <v>138</v>
      </c>
      <c r="E1106">
        <v>217.99</v>
      </c>
      <c r="F1106" t="s">
        <v>5817</v>
      </c>
      <c r="G1106">
        <v>19</v>
      </c>
      <c r="I1106">
        <v>19</v>
      </c>
      <c r="L1106" t="s">
        <v>5065</v>
      </c>
      <c r="M1106">
        <v>0</v>
      </c>
      <c r="N1106">
        <v>0</v>
      </c>
      <c r="P1106">
        <v>0</v>
      </c>
    </row>
    <row r="1107" spans="1:16" x14ac:dyDescent="0.2">
      <c r="A1107" t="s">
        <v>3158</v>
      </c>
      <c r="B1107" t="s">
        <v>3159</v>
      </c>
      <c r="C1107" t="s">
        <v>3133</v>
      </c>
      <c r="D1107" t="s">
        <v>98</v>
      </c>
      <c r="E1107">
        <v>199.99</v>
      </c>
      <c r="F1107" t="s">
        <v>5817</v>
      </c>
      <c r="L1107" t="s">
        <v>5065</v>
      </c>
      <c r="M1107">
        <v>0</v>
      </c>
      <c r="N1107">
        <v>0</v>
      </c>
      <c r="P1107">
        <v>0</v>
      </c>
    </row>
    <row r="1108" spans="1:16" x14ac:dyDescent="0.2">
      <c r="A1108" t="s">
        <v>3156</v>
      </c>
      <c r="B1108" t="s">
        <v>3157</v>
      </c>
      <c r="C1108" t="s">
        <v>3133</v>
      </c>
      <c r="D1108" t="s">
        <v>98</v>
      </c>
      <c r="E1108">
        <v>149.99</v>
      </c>
      <c r="F1108" t="s">
        <v>5817</v>
      </c>
      <c r="L1108" t="s">
        <v>5065</v>
      </c>
      <c r="M1108">
        <v>0</v>
      </c>
      <c r="N1108">
        <v>0</v>
      </c>
      <c r="P1108">
        <v>0</v>
      </c>
    </row>
    <row r="1109" spans="1:16" x14ac:dyDescent="0.2">
      <c r="A1109" t="s">
        <v>3154</v>
      </c>
      <c r="B1109" t="s">
        <v>3155</v>
      </c>
      <c r="C1109" t="s">
        <v>3133</v>
      </c>
      <c r="D1109" t="s">
        <v>98</v>
      </c>
      <c r="E1109">
        <v>99.99</v>
      </c>
      <c r="F1109" t="s">
        <v>5817</v>
      </c>
      <c r="L1109" t="s">
        <v>5065</v>
      </c>
      <c r="M1109">
        <v>0</v>
      </c>
      <c r="N1109">
        <v>0</v>
      </c>
      <c r="P1109">
        <v>0</v>
      </c>
    </row>
    <row r="1110" spans="1:16" x14ac:dyDescent="0.2">
      <c r="A1110" t="s">
        <v>3152</v>
      </c>
      <c r="B1110" t="s">
        <v>3153</v>
      </c>
      <c r="C1110" t="s">
        <v>3133</v>
      </c>
      <c r="D1110" t="s">
        <v>98</v>
      </c>
      <c r="E1110">
        <v>79.989999999999995</v>
      </c>
      <c r="F1110" t="s">
        <v>5817</v>
      </c>
      <c r="L1110" t="s">
        <v>5065</v>
      </c>
      <c r="M1110">
        <v>0</v>
      </c>
      <c r="N1110">
        <v>0</v>
      </c>
      <c r="P1110">
        <v>0</v>
      </c>
    </row>
    <row r="1111" spans="1:16" x14ac:dyDescent="0.2">
      <c r="A1111" t="s">
        <v>3150</v>
      </c>
      <c r="B1111" t="s">
        <v>3151</v>
      </c>
      <c r="C1111" t="s">
        <v>3133</v>
      </c>
      <c r="D1111" t="s">
        <v>98</v>
      </c>
      <c r="E1111">
        <v>59.99</v>
      </c>
      <c r="F1111" t="s">
        <v>5817</v>
      </c>
      <c r="L1111" t="s">
        <v>5065</v>
      </c>
      <c r="M1111">
        <v>0</v>
      </c>
      <c r="N1111">
        <v>0</v>
      </c>
      <c r="P1111">
        <v>0</v>
      </c>
    </row>
    <row r="1112" spans="1:16" x14ac:dyDescent="0.2">
      <c r="A1112" t="s">
        <v>3148</v>
      </c>
      <c r="B1112" t="s">
        <v>3149</v>
      </c>
      <c r="C1112" t="s">
        <v>3133</v>
      </c>
      <c r="D1112" t="s">
        <v>98</v>
      </c>
      <c r="E1112">
        <v>999.99</v>
      </c>
      <c r="F1112" t="s">
        <v>5817</v>
      </c>
      <c r="L1112" t="s">
        <v>5065</v>
      </c>
      <c r="M1112">
        <v>0</v>
      </c>
      <c r="N1112">
        <v>0</v>
      </c>
      <c r="P1112">
        <v>0</v>
      </c>
    </row>
    <row r="1113" spans="1:16" x14ac:dyDescent="0.2">
      <c r="A1113" t="s">
        <v>3144</v>
      </c>
      <c r="B1113" t="s">
        <v>3145</v>
      </c>
      <c r="C1113" t="s">
        <v>3133</v>
      </c>
      <c r="D1113" t="s">
        <v>98</v>
      </c>
      <c r="E1113">
        <v>69.989999999999995</v>
      </c>
      <c r="F1113" t="s">
        <v>5817</v>
      </c>
      <c r="L1113" t="s">
        <v>5065</v>
      </c>
      <c r="M1113">
        <v>0</v>
      </c>
      <c r="N1113">
        <v>0</v>
      </c>
      <c r="P1113">
        <v>0</v>
      </c>
    </row>
    <row r="1114" spans="1:16" x14ac:dyDescent="0.2">
      <c r="A1114" t="s">
        <v>3142</v>
      </c>
      <c r="B1114" t="s">
        <v>3143</v>
      </c>
      <c r="C1114" t="s">
        <v>3133</v>
      </c>
      <c r="D1114" t="s">
        <v>98</v>
      </c>
      <c r="E1114">
        <v>59.99</v>
      </c>
      <c r="F1114" t="s">
        <v>5817</v>
      </c>
      <c r="L1114" t="s">
        <v>5065</v>
      </c>
      <c r="M1114">
        <v>0</v>
      </c>
      <c r="N1114">
        <v>0</v>
      </c>
      <c r="P1114">
        <v>0</v>
      </c>
    </row>
    <row r="1115" spans="1:16" x14ac:dyDescent="0.2">
      <c r="A1115" t="s">
        <v>3152</v>
      </c>
      <c r="B1115" t="s">
        <v>3153</v>
      </c>
      <c r="C1115" t="s">
        <v>3133</v>
      </c>
      <c r="D1115" t="s">
        <v>98</v>
      </c>
      <c r="E1115">
        <v>79.989999999999995</v>
      </c>
      <c r="F1115" t="s">
        <v>5817</v>
      </c>
      <c r="L1115" t="s">
        <v>8</v>
      </c>
      <c r="M1115">
        <v>0</v>
      </c>
      <c r="N1115">
        <v>0</v>
      </c>
      <c r="O1115">
        <v>0</v>
      </c>
      <c r="P1115">
        <v>0</v>
      </c>
    </row>
    <row r="1116" spans="1:16" x14ac:dyDescent="0.2">
      <c r="A1116" t="s">
        <v>3150</v>
      </c>
      <c r="B1116" t="s">
        <v>3151</v>
      </c>
      <c r="C1116" t="s">
        <v>3133</v>
      </c>
      <c r="D1116" t="s">
        <v>98</v>
      </c>
      <c r="E1116">
        <v>59.99</v>
      </c>
      <c r="F1116" t="s">
        <v>5817</v>
      </c>
      <c r="L1116" t="s">
        <v>8</v>
      </c>
      <c r="M1116">
        <v>0</v>
      </c>
      <c r="N1116">
        <v>0</v>
      </c>
      <c r="O1116">
        <v>0</v>
      </c>
      <c r="P1116">
        <v>0</v>
      </c>
    </row>
    <row r="1117" spans="1:16" x14ac:dyDescent="0.2">
      <c r="A1117" t="s">
        <v>3144</v>
      </c>
      <c r="B1117" t="s">
        <v>3145</v>
      </c>
      <c r="C1117" t="s">
        <v>3133</v>
      </c>
      <c r="D1117" t="s">
        <v>98</v>
      </c>
      <c r="E1117">
        <v>69.989999999999995</v>
      </c>
      <c r="F1117" t="s">
        <v>5817</v>
      </c>
      <c r="L1117" t="s">
        <v>8</v>
      </c>
      <c r="M1117">
        <v>0</v>
      </c>
      <c r="N1117">
        <v>0</v>
      </c>
      <c r="O1117">
        <v>0</v>
      </c>
      <c r="P1117">
        <v>0</v>
      </c>
    </row>
    <row r="1118" spans="1:16" x14ac:dyDescent="0.2">
      <c r="A1118" t="s">
        <v>3142</v>
      </c>
      <c r="B1118" t="s">
        <v>3143</v>
      </c>
      <c r="C1118" t="s">
        <v>3133</v>
      </c>
      <c r="D1118" t="s">
        <v>98</v>
      </c>
      <c r="E1118">
        <v>59.99</v>
      </c>
      <c r="F1118" t="s">
        <v>5817</v>
      </c>
      <c r="L1118" t="s">
        <v>8</v>
      </c>
      <c r="M1118">
        <v>0</v>
      </c>
      <c r="N1118">
        <v>0</v>
      </c>
      <c r="O1118">
        <v>0</v>
      </c>
      <c r="P1118">
        <v>0</v>
      </c>
    </row>
    <row r="1119" spans="1:16" x14ac:dyDescent="0.2">
      <c r="A1119" t="s">
        <v>3140</v>
      </c>
      <c r="B1119" t="s">
        <v>3141</v>
      </c>
      <c r="C1119" t="s">
        <v>3133</v>
      </c>
      <c r="D1119" t="s">
        <v>98</v>
      </c>
      <c r="E1119">
        <v>24.99</v>
      </c>
      <c r="F1119" t="s">
        <v>5817</v>
      </c>
      <c r="L1119" t="s">
        <v>8</v>
      </c>
      <c r="M1119">
        <v>0</v>
      </c>
      <c r="N1119">
        <v>0</v>
      </c>
      <c r="O1119">
        <v>0</v>
      </c>
      <c r="P1119">
        <v>0</v>
      </c>
    </row>
    <row r="1120" spans="1:16" x14ac:dyDescent="0.2">
      <c r="A1120" t="s">
        <v>3138</v>
      </c>
      <c r="B1120" t="s">
        <v>3139</v>
      </c>
      <c r="C1120" t="s">
        <v>3133</v>
      </c>
      <c r="D1120" t="s">
        <v>98</v>
      </c>
      <c r="E1120">
        <v>119.99</v>
      </c>
      <c r="F1120" t="s">
        <v>5817</v>
      </c>
      <c r="L1120" t="s">
        <v>8</v>
      </c>
      <c r="M1120">
        <v>0</v>
      </c>
      <c r="N1120">
        <v>0</v>
      </c>
      <c r="O1120">
        <v>0</v>
      </c>
      <c r="P1120">
        <v>0</v>
      </c>
    </row>
    <row r="1121" spans="1:16" x14ac:dyDescent="0.2">
      <c r="A1121" t="s">
        <v>3154</v>
      </c>
      <c r="B1121" t="s">
        <v>3155</v>
      </c>
      <c r="C1121" t="s">
        <v>3133</v>
      </c>
      <c r="D1121" t="s">
        <v>98</v>
      </c>
      <c r="E1121">
        <v>99.99</v>
      </c>
      <c r="F1121" t="s">
        <v>5817</v>
      </c>
      <c r="L1121" t="s">
        <v>8</v>
      </c>
      <c r="M1121">
        <v>0</v>
      </c>
      <c r="N1121">
        <v>0</v>
      </c>
      <c r="O1121">
        <v>0</v>
      </c>
      <c r="P1121">
        <v>0</v>
      </c>
    </row>
    <row r="1122" spans="1:16" x14ac:dyDescent="0.2">
      <c r="A1122" t="s">
        <v>3134</v>
      </c>
      <c r="B1122" t="s">
        <v>3135</v>
      </c>
      <c r="C1122" t="s">
        <v>3133</v>
      </c>
      <c r="D1122" t="s">
        <v>138</v>
      </c>
      <c r="E1122">
        <v>53.99</v>
      </c>
      <c r="F1122" t="s">
        <v>5817</v>
      </c>
      <c r="G1122">
        <v>15</v>
      </c>
      <c r="I1122">
        <v>15</v>
      </c>
      <c r="L1122" t="s">
        <v>8</v>
      </c>
      <c r="M1122">
        <v>0</v>
      </c>
      <c r="N1122">
        <v>0</v>
      </c>
      <c r="O1122">
        <v>0</v>
      </c>
      <c r="P1122">
        <v>0</v>
      </c>
    </row>
    <row r="1123" spans="1:16" x14ac:dyDescent="0.2">
      <c r="A1123" t="s">
        <v>3136</v>
      </c>
      <c r="B1123" t="s">
        <v>3137</v>
      </c>
      <c r="C1123" t="s">
        <v>3133</v>
      </c>
      <c r="D1123" t="s">
        <v>98</v>
      </c>
      <c r="E1123">
        <v>79.989999999999995</v>
      </c>
      <c r="F1123" t="s">
        <v>5817</v>
      </c>
      <c r="L1123" t="s">
        <v>8</v>
      </c>
      <c r="M1123">
        <v>0</v>
      </c>
      <c r="N1123">
        <v>0</v>
      </c>
      <c r="O1123">
        <v>0</v>
      </c>
      <c r="P1123">
        <v>0</v>
      </c>
    </row>
    <row r="1124" spans="1:16" x14ac:dyDescent="0.2">
      <c r="A1124" t="s">
        <v>3156</v>
      </c>
      <c r="B1124" t="s">
        <v>3157</v>
      </c>
      <c r="C1124" t="s">
        <v>3133</v>
      </c>
      <c r="D1124" t="s">
        <v>98</v>
      </c>
      <c r="E1124">
        <v>149.99</v>
      </c>
      <c r="F1124" t="s">
        <v>5817</v>
      </c>
      <c r="L1124" t="s">
        <v>8</v>
      </c>
      <c r="M1124">
        <v>0</v>
      </c>
      <c r="N1124">
        <v>0</v>
      </c>
      <c r="O1124">
        <v>0</v>
      </c>
      <c r="P1124">
        <v>0</v>
      </c>
    </row>
    <row r="1125" spans="1:16" x14ac:dyDescent="0.2">
      <c r="A1125" t="s">
        <v>3158</v>
      </c>
      <c r="B1125" t="s">
        <v>3159</v>
      </c>
      <c r="C1125" t="s">
        <v>3133</v>
      </c>
      <c r="D1125" t="s">
        <v>98</v>
      </c>
      <c r="E1125">
        <v>199.99</v>
      </c>
      <c r="F1125" t="s">
        <v>5817</v>
      </c>
      <c r="L1125" t="s">
        <v>8</v>
      </c>
      <c r="M1125">
        <v>0</v>
      </c>
      <c r="N1125">
        <v>0</v>
      </c>
      <c r="O1125">
        <v>0</v>
      </c>
      <c r="P1125">
        <v>0</v>
      </c>
    </row>
    <row r="1126" spans="1:16" x14ac:dyDescent="0.2">
      <c r="A1126" t="s">
        <v>3180</v>
      </c>
      <c r="B1126" t="s">
        <v>3181</v>
      </c>
      <c r="C1126" t="s">
        <v>3133</v>
      </c>
      <c r="D1126" t="s">
        <v>138</v>
      </c>
      <c r="E1126">
        <v>131.99</v>
      </c>
      <c r="F1126" t="s">
        <v>5817</v>
      </c>
      <c r="G1126">
        <v>1</v>
      </c>
      <c r="I1126">
        <v>1</v>
      </c>
      <c r="L1126" t="s">
        <v>8</v>
      </c>
      <c r="M1126">
        <v>0</v>
      </c>
      <c r="N1126">
        <v>0</v>
      </c>
      <c r="O1126">
        <v>0</v>
      </c>
      <c r="P1126">
        <v>0</v>
      </c>
    </row>
    <row r="1127" spans="1:16" x14ac:dyDescent="0.2">
      <c r="A1127" t="s">
        <v>3178</v>
      </c>
      <c r="B1127" t="s">
        <v>3179</v>
      </c>
      <c r="C1127" t="s">
        <v>3133</v>
      </c>
      <c r="D1127" t="s">
        <v>98</v>
      </c>
      <c r="E1127">
        <v>229.99</v>
      </c>
      <c r="F1127" t="s">
        <v>5817</v>
      </c>
      <c r="L1127" t="s">
        <v>8</v>
      </c>
      <c r="M1127">
        <v>0</v>
      </c>
      <c r="N1127">
        <v>0</v>
      </c>
      <c r="O1127">
        <v>0</v>
      </c>
      <c r="P1127">
        <v>0</v>
      </c>
    </row>
    <row r="1128" spans="1:16" x14ac:dyDescent="0.2">
      <c r="A1128" t="s">
        <v>3176</v>
      </c>
      <c r="B1128" t="s">
        <v>3177</v>
      </c>
      <c r="C1128" t="s">
        <v>3133</v>
      </c>
      <c r="D1128" t="s">
        <v>98</v>
      </c>
      <c r="E1128">
        <v>99.99</v>
      </c>
      <c r="F1128" t="s">
        <v>5817</v>
      </c>
      <c r="L1128" t="s">
        <v>8</v>
      </c>
      <c r="M1128">
        <v>0</v>
      </c>
      <c r="N1128">
        <v>0</v>
      </c>
      <c r="O1128">
        <v>0</v>
      </c>
      <c r="P1128">
        <v>0</v>
      </c>
    </row>
    <row r="1129" spans="1:16" x14ac:dyDescent="0.2">
      <c r="A1129" t="s">
        <v>3174</v>
      </c>
      <c r="B1129" t="s">
        <v>3175</v>
      </c>
      <c r="C1129" t="s">
        <v>3133</v>
      </c>
      <c r="D1129" t="s">
        <v>98</v>
      </c>
      <c r="E1129">
        <v>329.99</v>
      </c>
      <c r="F1129" t="s">
        <v>5817</v>
      </c>
      <c r="L1129" t="s">
        <v>8</v>
      </c>
      <c r="M1129">
        <v>0</v>
      </c>
      <c r="N1129">
        <v>0</v>
      </c>
      <c r="O1129">
        <v>0</v>
      </c>
      <c r="P1129">
        <v>0</v>
      </c>
    </row>
    <row r="1130" spans="1:16" x14ac:dyDescent="0.2">
      <c r="A1130" t="s">
        <v>3172</v>
      </c>
      <c r="B1130" t="s">
        <v>3173</v>
      </c>
      <c r="C1130" t="s">
        <v>3133</v>
      </c>
      <c r="D1130" t="s">
        <v>98</v>
      </c>
      <c r="E1130">
        <v>139.99</v>
      </c>
      <c r="F1130" t="s">
        <v>5817</v>
      </c>
      <c r="L1130" t="s">
        <v>8</v>
      </c>
      <c r="M1130">
        <v>0</v>
      </c>
      <c r="N1130">
        <v>0</v>
      </c>
      <c r="O1130">
        <v>0</v>
      </c>
      <c r="P1130">
        <v>0</v>
      </c>
    </row>
    <row r="1131" spans="1:16" x14ac:dyDescent="0.2">
      <c r="A1131" t="s">
        <v>3170</v>
      </c>
      <c r="B1131" t="s">
        <v>3171</v>
      </c>
      <c r="C1131" t="s">
        <v>3133</v>
      </c>
      <c r="D1131" t="s">
        <v>98</v>
      </c>
      <c r="E1131">
        <v>179.99</v>
      </c>
      <c r="F1131" t="s">
        <v>5817</v>
      </c>
      <c r="L1131" t="s">
        <v>8</v>
      </c>
      <c r="M1131">
        <v>0</v>
      </c>
      <c r="N1131">
        <v>0</v>
      </c>
      <c r="O1131">
        <v>0</v>
      </c>
      <c r="P1131">
        <v>0</v>
      </c>
    </row>
    <row r="1132" spans="1:16" x14ac:dyDescent="0.2">
      <c r="A1132" t="s">
        <v>3168</v>
      </c>
      <c r="B1132" t="s">
        <v>3169</v>
      </c>
      <c r="C1132" t="s">
        <v>3133</v>
      </c>
      <c r="D1132" t="s">
        <v>138</v>
      </c>
      <c r="E1132">
        <v>74.989999999999995</v>
      </c>
      <c r="F1132" t="s">
        <v>5817</v>
      </c>
      <c r="G1132">
        <v>10</v>
      </c>
      <c r="I1132">
        <v>10</v>
      </c>
      <c r="L1132" t="s">
        <v>8</v>
      </c>
      <c r="M1132">
        <v>0</v>
      </c>
      <c r="N1132">
        <v>0</v>
      </c>
      <c r="O1132">
        <v>0</v>
      </c>
      <c r="P1132">
        <v>0</v>
      </c>
    </row>
    <row r="1133" spans="1:16" x14ac:dyDescent="0.2">
      <c r="A1133" t="s">
        <v>3166</v>
      </c>
      <c r="B1133" t="s">
        <v>3167</v>
      </c>
      <c r="C1133" t="s">
        <v>3133</v>
      </c>
      <c r="D1133" t="s">
        <v>98</v>
      </c>
      <c r="E1133">
        <v>239.99</v>
      </c>
      <c r="F1133" t="s">
        <v>5817</v>
      </c>
      <c r="L1133" t="s">
        <v>8</v>
      </c>
      <c r="M1133">
        <v>0</v>
      </c>
      <c r="N1133">
        <v>0</v>
      </c>
      <c r="O1133">
        <v>0</v>
      </c>
      <c r="P1133">
        <v>0</v>
      </c>
    </row>
    <row r="1134" spans="1:16" x14ac:dyDescent="0.2">
      <c r="A1134" t="s">
        <v>3164</v>
      </c>
      <c r="B1134" t="s">
        <v>3165</v>
      </c>
      <c r="C1134" t="s">
        <v>3133</v>
      </c>
      <c r="D1134" t="s">
        <v>98</v>
      </c>
      <c r="E1134">
        <v>99.99</v>
      </c>
      <c r="F1134" t="s">
        <v>5817</v>
      </c>
      <c r="L1134" t="s">
        <v>8</v>
      </c>
      <c r="M1134">
        <v>0</v>
      </c>
      <c r="N1134">
        <v>0</v>
      </c>
      <c r="O1134">
        <v>0</v>
      </c>
      <c r="P1134">
        <v>0</v>
      </c>
    </row>
    <row r="1135" spans="1:16" x14ac:dyDescent="0.2">
      <c r="A1135" t="s">
        <v>3162</v>
      </c>
      <c r="B1135" t="s">
        <v>3163</v>
      </c>
      <c r="C1135" t="s">
        <v>3133</v>
      </c>
      <c r="D1135" t="s">
        <v>98</v>
      </c>
      <c r="E1135">
        <v>119.99</v>
      </c>
      <c r="F1135" t="s">
        <v>5817</v>
      </c>
      <c r="L1135" t="s">
        <v>8</v>
      </c>
      <c r="M1135">
        <v>0</v>
      </c>
      <c r="N1135">
        <v>0</v>
      </c>
      <c r="O1135">
        <v>0</v>
      </c>
      <c r="P1135">
        <v>0</v>
      </c>
    </row>
    <row r="1136" spans="1:16" x14ac:dyDescent="0.2">
      <c r="A1136" t="s">
        <v>3160</v>
      </c>
      <c r="B1136" t="s">
        <v>3161</v>
      </c>
      <c r="C1136" t="s">
        <v>3133</v>
      </c>
      <c r="D1136" t="s">
        <v>138</v>
      </c>
      <c r="E1136">
        <v>217.99</v>
      </c>
      <c r="F1136" t="s">
        <v>5817</v>
      </c>
      <c r="G1136">
        <v>19</v>
      </c>
      <c r="I1136">
        <v>19</v>
      </c>
      <c r="L1136" t="s">
        <v>8</v>
      </c>
      <c r="M1136">
        <v>0</v>
      </c>
      <c r="N1136">
        <v>0</v>
      </c>
      <c r="O1136">
        <v>0</v>
      </c>
      <c r="P1136">
        <v>0</v>
      </c>
    </row>
    <row r="1137" spans="1:16" x14ac:dyDescent="0.2">
      <c r="A1137" t="s">
        <v>5634</v>
      </c>
      <c r="B1137" t="s">
        <v>5635</v>
      </c>
      <c r="C1137" t="s">
        <v>3182</v>
      </c>
      <c r="D1137" t="s">
        <v>98</v>
      </c>
      <c r="E1137">
        <v>259.99</v>
      </c>
      <c r="F1137" t="s">
        <v>5817</v>
      </c>
      <c r="L1137" t="s">
        <v>5818</v>
      </c>
      <c r="M1137">
        <v>0</v>
      </c>
      <c r="N1137">
        <v>0</v>
      </c>
      <c r="P1137">
        <v>1</v>
      </c>
    </row>
    <row r="1138" spans="1:16" x14ac:dyDescent="0.2">
      <c r="A1138" t="s">
        <v>5634</v>
      </c>
      <c r="B1138" t="s">
        <v>5635</v>
      </c>
      <c r="C1138" t="s">
        <v>3182</v>
      </c>
      <c r="D1138" t="s">
        <v>98</v>
      </c>
      <c r="E1138">
        <v>259.99</v>
      </c>
      <c r="F1138" t="s">
        <v>5817</v>
      </c>
      <c r="L1138" t="s">
        <v>8</v>
      </c>
      <c r="M1138">
        <v>0</v>
      </c>
      <c r="N1138">
        <v>0</v>
      </c>
      <c r="O1138">
        <v>0</v>
      </c>
      <c r="P1138">
        <v>0</v>
      </c>
    </row>
    <row r="1139" spans="1:16" x14ac:dyDescent="0.2">
      <c r="A1139" t="s">
        <v>5716</v>
      </c>
      <c r="B1139" t="s">
        <v>5717</v>
      </c>
      <c r="C1139" t="s">
        <v>3182</v>
      </c>
      <c r="D1139" t="s">
        <v>98</v>
      </c>
      <c r="E1139">
        <v>119.99</v>
      </c>
      <c r="F1139" t="s">
        <v>5817</v>
      </c>
      <c r="L1139" t="s">
        <v>8</v>
      </c>
      <c r="M1139">
        <v>0</v>
      </c>
      <c r="N1139">
        <v>0</v>
      </c>
      <c r="O1139">
        <v>0</v>
      </c>
      <c r="P1139">
        <v>0</v>
      </c>
    </row>
    <row r="1140" spans="1:16" x14ac:dyDescent="0.2">
      <c r="A1140" t="s">
        <v>3186</v>
      </c>
      <c r="B1140" t="s">
        <v>3187</v>
      </c>
      <c r="C1140" t="s">
        <v>3183</v>
      </c>
      <c r="D1140" t="s">
        <v>98</v>
      </c>
      <c r="E1140">
        <v>29.99</v>
      </c>
      <c r="F1140" t="s">
        <v>5817</v>
      </c>
      <c r="L1140" t="s">
        <v>73</v>
      </c>
      <c r="M1140">
        <v>0</v>
      </c>
      <c r="N1140">
        <v>0</v>
      </c>
      <c r="O1140">
        <v>0</v>
      </c>
      <c r="P1140">
        <v>0</v>
      </c>
    </row>
    <row r="1141" spans="1:16" x14ac:dyDescent="0.2">
      <c r="A1141" t="s">
        <v>3184</v>
      </c>
      <c r="B1141" t="s">
        <v>3185</v>
      </c>
      <c r="C1141" t="s">
        <v>3183</v>
      </c>
      <c r="D1141" t="s">
        <v>98</v>
      </c>
      <c r="E1141">
        <v>29.99</v>
      </c>
      <c r="F1141" t="s">
        <v>5817</v>
      </c>
      <c r="L1141" t="s">
        <v>73</v>
      </c>
      <c r="M1141">
        <v>0</v>
      </c>
      <c r="N1141">
        <v>0</v>
      </c>
      <c r="O1141">
        <v>0</v>
      </c>
      <c r="P1141">
        <v>0</v>
      </c>
    </row>
    <row r="1142" spans="1:16" x14ac:dyDescent="0.2">
      <c r="A1142" t="s">
        <v>3184</v>
      </c>
      <c r="B1142" t="s">
        <v>3185</v>
      </c>
      <c r="C1142" t="s">
        <v>3183</v>
      </c>
      <c r="D1142" t="s">
        <v>98</v>
      </c>
      <c r="E1142">
        <v>29.99</v>
      </c>
      <c r="F1142" t="s">
        <v>5817</v>
      </c>
      <c r="L1142" t="s">
        <v>5818</v>
      </c>
      <c r="M1142">
        <v>0</v>
      </c>
      <c r="N1142">
        <v>0</v>
      </c>
      <c r="O1142">
        <v>0</v>
      </c>
      <c r="P1142" t="s">
        <v>5819</v>
      </c>
    </row>
    <row r="1143" spans="1:16" x14ac:dyDescent="0.2">
      <c r="A1143" t="s">
        <v>3186</v>
      </c>
      <c r="B1143" t="s">
        <v>3187</v>
      </c>
      <c r="C1143" t="s">
        <v>3183</v>
      </c>
      <c r="D1143" t="s">
        <v>98</v>
      </c>
      <c r="E1143">
        <v>29.99</v>
      </c>
      <c r="F1143" t="s">
        <v>5817</v>
      </c>
      <c r="L1143" t="s">
        <v>5818</v>
      </c>
      <c r="M1143">
        <v>0</v>
      </c>
      <c r="N1143">
        <v>0</v>
      </c>
      <c r="O1143">
        <v>0</v>
      </c>
      <c r="P1143" t="s">
        <v>5819</v>
      </c>
    </row>
    <row r="1144" spans="1:16" x14ac:dyDescent="0.2">
      <c r="A1144" t="s">
        <v>5696</v>
      </c>
      <c r="B1144" t="s">
        <v>5697</v>
      </c>
      <c r="C1144" t="s">
        <v>3183</v>
      </c>
      <c r="D1144" t="s">
        <v>98</v>
      </c>
      <c r="E1144">
        <v>99.99</v>
      </c>
      <c r="F1144" t="s">
        <v>5817</v>
      </c>
      <c r="L1144" t="s">
        <v>5085</v>
      </c>
      <c r="M1144">
        <v>0</v>
      </c>
      <c r="N1144">
        <v>0</v>
      </c>
      <c r="O1144">
        <v>0</v>
      </c>
      <c r="P1144" t="s">
        <v>5819</v>
      </c>
    </row>
    <row r="1145" spans="1:16" x14ac:dyDescent="0.2">
      <c r="A1145" t="s">
        <v>5698</v>
      </c>
      <c r="B1145" t="s">
        <v>5699</v>
      </c>
      <c r="C1145" t="s">
        <v>3183</v>
      </c>
      <c r="D1145" t="s">
        <v>98</v>
      </c>
      <c r="E1145">
        <v>69.989999999999995</v>
      </c>
      <c r="F1145" t="s">
        <v>5817</v>
      </c>
      <c r="L1145" t="s">
        <v>5085</v>
      </c>
      <c r="M1145">
        <v>0</v>
      </c>
      <c r="N1145">
        <v>0</v>
      </c>
      <c r="O1145">
        <v>0</v>
      </c>
      <c r="P1145" t="s">
        <v>5819</v>
      </c>
    </row>
    <row r="1146" spans="1:16" x14ac:dyDescent="0.2">
      <c r="A1146" t="s">
        <v>3186</v>
      </c>
      <c r="B1146" t="s">
        <v>3187</v>
      </c>
      <c r="C1146" t="s">
        <v>3183</v>
      </c>
      <c r="D1146" t="s">
        <v>98</v>
      </c>
      <c r="E1146">
        <v>29.99</v>
      </c>
      <c r="F1146" t="s">
        <v>5817</v>
      </c>
      <c r="L1146" t="s">
        <v>5065</v>
      </c>
      <c r="M1146">
        <v>0</v>
      </c>
      <c r="N1146">
        <v>0</v>
      </c>
      <c r="P1146">
        <v>0</v>
      </c>
    </row>
    <row r="1147" spans="1:16" x14ac:dyDescent="0.2">
      <c r="A1147" t="s">
        <v>3184</v>
      </c>
      <c r="B1147" t="s">
        <v>3185</v>
      </c>
      <c r="C1147" t="s">
        <v>3183</v>
      </c>
      <c r="D1147" t="s">
        <v>98</v>
      </c>
      <c r="E1147">
        <v>29.99</v>
      </c>
      <c r="F1147" t="s">
        <v>5817</v>
      </c>
      <c r="L1147" t="s">
        <v>5065</v>
      </c>
      <c r="M1147">
        <v>0</v>
      </c>
      <c r="N1147">
        <v>0</v>
      </c>
      <c r="P1147">
        <v>0</v>
      </c>
    </row>
    <row r="1148" spans="1:16" x14ac:dyDescent="0.2">
      <c r="A1148" t="s">
        <v>5698</v>
      </c>
      <c r="B1148" t="s">
        <v>5699</v>
      </c>
      <c r="C1148" t="s">
        <v>3183</v>
      </c>
      <c r="D1148" t="s">
        <v>98</v>
      </c>
      <c r="E1148">
        <v>69.989999999999995</v>
      </c>
      <c r="F1148" t="s">
        <v>5817</v>
      </c>
      <c r="L1148" t="s">
        <v>8</v>
      </c>
      <c r="M1148">
        <v>0</v>
      </c>
      <c r="N1148">
        <v>0</v>
      </c>
      <c r="O1148">
        <v>0</v>
      </c>
      <c r="P1148">
        <v>0</v>
      </c>
    </row>
    <row r="1149" spans="1:16" x14ac:dyDescent="0.2">
      <c r="A1149" t="s">
        <v>3186</v>
      </c>
      <c r="B1149" t="s">
        <v>3187</v>
      </c>
      <c r="C1149" t="s">
        <v>3183</v>
      </c>
      <c r="D1149" t="s">
        <v>98</v>
      </c>
      <c r="E1149">
        <v>29.99</v>
      </c>
      <c r="F1149" t="s">
        <v>5817</v>
      </c>
      <c r="L1149" t="s">
        <v>8</v>
      </c>
      <c r="M1149">
        <v>0</v>
      </c>
      <c r="N1149">
        <v>0</v>
      </c>
      <c r="O1149">
        <v>0</v>
      </c>
      <c r="P1149">
        <v>0</v>
      </c>
    </row>
    <row r="1150" spans="1:16" x14ac:dyDescent="0.2">
      <c r="A1150" t="s">
        <v>3184</v>
      </c>
      <c r="B1150" t="s">
        <v>3185</v>
      </c>
      <c r="C1150" t="s">
        <v>3183</v>
      </c>
      <c r="D1150" t="s">
        <v>98</v>
      </c>
      <c r="E1150">
        <v>29.99</v>
      </c>
      <c r="F1150" t="s">
        <v>5817</v>
      </c>
      <c r="L1150" t="s">
        <v>8</v>
      </c>
      <c r="M1150">
        <v>0</v>
      </c>
      <c r="N1150">
        <v>0</v>
      </c>
      <c r="O1150">
        <v>0</v>
      </c>
      <c r="P1150">
        <v>0</v>
      </c>
    </row>
    <row r="1151" spans="1:16" x14ac:dyDescent="0.2">
      <c r="A1151" t="s">
        <v>3199</v>
      </c>
      <c r="B1151" t="s">
        <v>3200</v>
      </c>
      <c r="C1151" t="s">
        <v>3188</v>
      </c>
      <c r="D1151" t="s">
        <v>98</v>
      </c>
      <c r="E1151">
        <v>54.99</v>
      </c>
      <c r="F1151" t="s">
        <v>5817</v>
      </c>
      <c r="L1151" t="s">
        <v>73</v>
      </c>
      <c r="M1151">
        <v>0</v>
      </c>
      <c r="N1151">
        <v>0</v>
      </c>
      <c r="O1151">
        <v>0</v>
      </c>
      <c r="P1151">
        <v>0</v>
      </c>
    </row>
    <row r="1152" spans="1:16" x14ac:dyDescent="0.2">
      <c r="A1152" t="s">
        <v>5373</v>
      </c>
      <c r="B1152" t="s">
        <v>5374</v>
      </c>
      <c r="C1152" t="s">
        <v>3188</v>
      </c>
      <c r="D1152" t="s">
        <v>98</v>
      </c>
      <c r="E1152">
        <v>59.99</v>
      </c>
      <c r="F1152" t="s">
        <v>5817</v>
      </c>
      <c r="L1152" t="s">
        <v>73</v>
      </c>
      <c r="M1152">
        <v>0</v>
      </c>
      <c r="N1152">
        <v>0</v>
      </c>
      <c r="O1152">
        <v>0</v>
      </c>
      <c r="P1152">
        <v>0</v>
      </c>
    </row>
    <row r="1153" spans="1:16" x14ac:dyDescent="0.2">
      <c r="A1153" t="s">
        <v>5376</v>
      </c>
      <c r="B1153" t="s">
        <v>5377</v>
      </c>
      <c r="C1153" t="s">
        <v>3188</v>
      </c>
      <c r="D1153" t="s">
        <v>98</v>
      </c>
      <c r="E1153">
        <v>69.989999999999995</v>
      </c>
      <c r="F1153" t="s">
        <v>5817</v>
      </c>
      <c r="L1153" t="s">
        <v>73</v>
      </c>
      <c r="M1153">
        <v>0</v>
      </c>
      <c r="N1153">
        <v>0</v>
      </c>
      <c r="O1153">
        <v>0</v>
      </c>
      <c r="P1153">
        <v>0</v>
      </c>
    </row>
    <row r="1154" spans="1:16" x14ac:dyDescent="0.2">
      <c r="A1154" t="s">
        <v>5367</v>
      </c>
      <c r="B1154" t="s">
        <v>5368</v>
      </c>
      <c r="C1154" t="s">
        <v>3188</v>
      </c>
      <c r="D1154" t="s">
        <v>98</v>
      </c>
      <c r="E1154">
        <v>99.99</v>
      </c>
      <c r="F1154" t="s">
        <v>5817</v>
      </c>
      <c r="L1154" t="s">
        <v>73</v>
      </c>
      <c r="M1154">
        <v>0</v>
      </c>
      <c r="N1154">
        <v>0</v>
      </c>
      <c r="O1154">
        <v>0</v>
      </c>
      <c r="P1154">
        <v>0</v>
      </c>
    </row>
    <row r="1155" spans="1:16" x14ac:dyDescent="0.2">
      <c r="A1155" t="s">
        <v>5347</v>
      </c>
      <c r="B1155" t="s">
        <v>5348</v>
      </c>
      <c r="C1155" t="s">
        <v>3188</v>
      </c>
      <c r="D1155" t="s">
        <v>98</v>
      </c>
      <c r="E1155">
        <v>99.99</v>
      </c>
      <c r="F1155" t="s">
        <v>5817</v>
      </c>
      <c r="L1155" t="s">
        <v>73</v>
      </c>
      <c r="M1155">
        <v>0</v>
      </c>
      <c r="N1155">
        <v>0</v>
      </c>
      <c r="O1155">
        <v>0</v>
      </c>
      <c r="P1155">
        <v>0</v>
      </c>
    </row>
    <row r="1156" spans="1:16" x14ac:dyDescent="0.2">
      <c r="A1156" t="s">
        <v>3197</v>
      </c>
      <c r="B1156" t="s">
        <v>3198</v>
      </c>
      <c r="C1156" t="s">
        <v>3188</v>
      </c>
      <c r="D1156" t="s">
        <v>98</v>
      </c>
      <c r="E1156">
        <v>19.989999999999998</v>
      </c>
      <c r="F1156" t="s">
        <v>5817</v>
      </c>
      <c r="L1156" t="s">
        <v>73</v>
      </c>
      <c r="M1156">
        <v>0</v>
      </c>
      <c r="N1156">
        <v>0</v>
      </c>
      <c r="O1156">
        <v>0</v>
      </c>
      <c r="P1156">
        <v>0</v>
      </c>
    </row>
    <row r="1157" spans="1:16" x14ac:dyDescent="0.2">
      <c r="A1157" t="s">
        <v>3201</v>
      </c>
      <c r="B1157" t="s">
        <v>3202</v>
      </c>
      <c r="C1157" t="s">
        <v>3188</v>
      </c>
      <c r="D1157" t="s">
        <v>98</v>
      </c>
      <c r="E1157">
        <v>49.99</v>
      </c>
      <c r="F1157" t="s">
        <v>5817</v>
      </c>
      <c r="L1157" t="s">
        <v>73</v>
      </c>
      <c r="M1157">
        <v>0</v>
      </c>
      <c r="N1157">
        <v>0</v>
      </c>
      <c r="O1157">
        <v>0</v>
      </c>
      <c r="P1157">
        <v>0</v>
      </c>
    </row>
    <row r="1158" spans="1:16" x14ac:dyDescent="0.2">
      <c r="A1158" t="s">
        <v>3205</v>
      </c>
      <c r="B1158" t="s">
        <v>3206</v>
      </c>
      <c r="C1158" t="s">
        <v>3188</v>
      </c>
      <c r="D1158" t="s">
        <v>98</v>
      </c>
      <c r="E1158">
        <v>19.989999999999998</v>
      </c>
      <c r="F1158" t="s">
        <v>5817</v>
      </c>
      <c r="L1158" t="s">
        <v>73</v>
      </c>
      <c r="M1158">
        <v>0</v>
      </c>
      <c r="N1158">
        <v>0</v>
      </c>
      <c r="O1158">
        <v>0</v>
      </c>
      <c r="P1158">
        <v>0</v>
      </c>
    </row>
    <row r="1159" spans="1:16" x14ac:dyDescent="0.2">
      <c r="A1159" t="s">
        <v>5315</v>
      </c>
      <c r="B1159" t="s">
        <v>5316</v>
      </c>
      <c r="C1159" t="s">
        <v>3188</v>
      </c>
      <c r="D1159" t="s">
        <v>98</v>
      </c>
      <c r="E1159">
        <v>19.989999999999998</v>
      </c>
      <c r="F1159" t="s">
        <v>5817</v>
      </c>
      <c r="L1159" t="s">
        <v>73</v>
      </c>
      <c r="M1159">
        <v>0</v>
      </c>
      <c r="N1159">
        <v>0</v>
      </c>
      <c r="O1159">
        <v>0</v>
      </c>
      <c r="P1159">
        <v>0</v>
      </c>
    </row>
    <row r="1160" spans="1:16" x14ac:dyDescent="0.2">
      <c r="A1160" t="s">
        <v>5319</v>
      </c>
      <c r="B1160" t="s">
        <v>5320</v>
      </c>
      <c r="C1160" t="s">
        <v>3188</v>
      </c>
      <c r="D1160" t="s">
        <v>98</v>
      </c>
      <c r="E1160">
        <v>19.989999999999998</v>
      </c>
      <c r="F1160" t="s">
        <v>5817</v>
      </c>
      <c r="L1160" t="s">
        <v>73</v>
      </c>
      <c r="M1160">
        <v>0</v>
      </c>
      <c r="N1160">
        <v>0</v>
      </c>
      <c r="O1160">
        <v>0</v>
      </c>
      <c r="P1160">
        <v>0</v>
      </c>
    </row>
    <row r="1161" spans="1:16" x14ac:dyDescent="0.2">
      <c r="A1161" t="s">
        <v>3203</v>
      </c>
      <c r="B1161" t="s">
        <v>3204</v>
      </c>
      <c r="C1161" t="s">
        <v>3188</v>
      </c>
      <c r="D1161" t="s">
        <v>98</v>
      </c>
      <c r="E1161">
        <v>42.99</v>
      </c>
      <c r="F1161" t="s">
        <v>5817</v>
      </c>
      <c r="L1161" t="s">
        <v>73</v>
      </c>
      <c r="M1161">
        <v>0</v>
      </c>
      <c r="N1161">
        <v>0</v>
      </c>
      <c r="O1161">
        <v>0</v>
      </c>
      <c r="P1161">
        <v>0</v>
      </c>
    </row>
    <row r="1162" spans="1:16" x14ac:dyDescent="0.2">
      <c r="A1162" t="s">
        <v>3195</v>
      </c>
      <c r="B1162" t="s">
        <v>3196</v>
      </c>
      <c r="C1162" t="s">
        <v>3188</v>
      </c>
      <c r="D1162" t="s">
        <v>98</v>
      </c>
      <c r="E1162">
        <v>19.989999999999998</v>
      </c>
      <c r="F1162" t="s">
        <v>5817</v>
      </c>
      <c r="L1162" t="s">
        <v>73</v>
      </c>
      <c r="M1162">
        <v>0</v>
      </c>
      <c r="N1162">
        <v>0</v>
      </c>
      <c r="O1162">
        <v>0</v>
      </c>
      <c r="P1162">
        <v>0</v>
      </c>
    </row>
    <row r="1163" spans="1:16" x14ac:dyDescent="0.2">
      <c r="A1163" t="s">
        <v>3193</v>
      </c>
      <c r="B1163" t="s">
        <v>3194</v>
      </c>
      <c r="C1163" t="s">
        <v>3188</v>
      </c>
      <c r="D1163" t="s">
        <v>98</v>
      </c>
      <c r="E1163">
        <v>89.99</v>
      </c>
      <c r="F1163" t="s">
        <v>5817</v>
      </c>
      <c r="L1163" t="s">
        <v>73</v>
      </c>
      <c r="M1163">
        <v>0</v>
      </c>
      <c r="N1163">
        <v>0</v>
      </c>
      <c r="O1163">
        <v>0</v>
      </c>
      <c r="P1163">
        <v>0</v>
      </c>
    </row>
    <row r="1164" spans="1:16" x14ac:dyDescent="0.2">
      <c r="A1164" t="s">
        <v>3191</v>
      </c>
      <c r="B1164" t="s">
        <v>3192</v>
      </c>
      <c r="C1164" t="s">
        <v>3188</v>
      </c>
      <c r="D1164" t="s">
        <v>98</v>
      </c>
      <c r="E1164">
        <v>39.99</v>
      </c>
      <c r="F1164" t="s">
        <v>5817</v>
      </c>
      <c r="L1164" t="s">
        <v>73</v>
      </c>
      <c r="M1164">
        <v>0</v>
      </c>
      <c r="N1164">
        <v>0</v>
      </c>
      <c r="O1164">
        <v>0</v>
      </c>
      <c r="P1164">
        <v>0</v>
      </c>
    </row>
    <row r="1165" spans="1:16" x14ac:dyDescent="0.2">
      <c r="A1165" t="s">
        <v>5274</v>
      </c>
      <c r="B1165" t="s">
        <v>5275</v>
      </c>
      <c r="C1165" t="s">
        <v>3188</v>
      </c>
      <c r="D1165" t="s">
        <v>98</v>
      </c>
      <c r="E1165">
        <v>19.989999999999998</v>
      </c>
      <c r="F1165" t="s">
        <v>5817</v>
      </c>
      <c r="L1165" t="s">
        <v>73</v>
      </c>
      <c r="M1165">
        <v>0</v>
      </c>
      <c r="N1165">
        <v>0</v>
      </c>
      <c r="O1165">
        <v>0</v>
      </c>
      <c r="P1165">
        <v>0</v>
      </c>
    </row>
    <row r="1166" spans="1:16" x14ac:dyDescent="0.2">
      <c r="A1166" t="s">
        <v>5286</v>
      </c>
      <c r="B1166" t="s">
        <v>5287</v>
      </c>
      <c r="C1166" t="s">
        <v>3188</v>
      </c>
      <c r="D1166" t="s">
        <v>98</v>
      </c>
      <c r="E1166">
        <v>19.989999999999998</v>
      </c>
      <c r="F1166" t="s">
        <v>5817</v>
      </c>
      <c r="L1166" t="s">
        <v>73</v>
      </c>
      <c r="M1166">
        <v>0</v>
      </c>
      <c r="N1166">
        <v>0</v>
      </c>
      <c r="O1166">
        <v>0</v>
      </c>
      <c r="P1166">
        <v>0</v>
      </c>
    </row>
    <row r="1167" spans="1:16" x14ac:dyDescent="0.2">
      <c r="A1167" t="s">
        <v>3189</v>
      </c>
      <c r="B1167" t="s">
        <v>3190</v>
      </c>
      <c r="C1167" t="s">
        <v>3188</v>
      </c>
      <c r="D1167" t="s">
        <v>98</v>
      </c>
      <c r="E1167">
        <v>19.989999999999998</v>
      </c>
      <c r="F1167" t="s">
        <v>5817</v>
      </c>
      <c r="L1167" t="s">
        <v>73</v>
      </c>
      <c r="M1167">
        <v>0</v>
      </c>
      <c r="N1167">
        <v>0</v>
      </c>
      <c r="O1167">
        <v>0</v>
      </c>
      <c r="P1167">
        <v>0</v>
      </c>
    </row>
    <row r="1168" spans="1:16" x14ac:dyDescent="0.2">
      <c r="A1168" t="s">
        <v>5327</v>
      </c>
      <c r="B1168" t="s">
        <v>5328</v>
      </c>
      <c r="C1168" t="s">
        <v>3188</v>
      </c>
      <c r="D1168" t="s">
        <v>98</v>
      </c>
      <c r="E1168">
        <v>399.99</v>
      </c>
      <c r="F1168" t="s">
        <v>5817</v>
      </c>
      <c r="L1168" t="s">
        <v>73</v>
      </c>
      <c r="M1168">
        <v>0</v>
      </c>
      <c r="N1168">
        <v>0</v>
      </c>
      <c r="O1168">
        <v>0</v>
      </c>
      <c r="P1168">
        <v>0</v>
      </c>
    </row>
    <row r="1169" spans="1:16" x14ac:dyDescent="0.2">
      <c r="A1169" t="s">
        <v>3213</v>
      </c>
      <c r="B1169" t="s">
        <v>3214</v>
      </c>
      <c r="C1169" t="s">
        <v>3188</v>
      </c>
      <c r="D1169" t="s">
        <v>98</v>
      </c>
      <c r="E1169">
        <v>19.989999999999998</v>
      </c>
      <c r="F1169" t="s">
        <v>5817</v>
      </c>
      <c r="L1169" t="s">
        <v>73</v>
      </c>
      <c r="M1169">
        <v>0</v>
      </c>
      <c r="N1169">
        <v>0</v>
      </c>
      <c r="O1169">
        <v>0</v>
      </c>
      <c r="P1169">
        <v>0</v>
      </c>
    </row>
    <row r="1170" spans="1:16" x14ac:dyDescent="0.2">
      <c r="A1170" t="s">
        <v>3211</v>
      </c>
      <c r="B1170" t="s">
        <v>3212</v>
      </c>
      <c r="C1170" t="s">
        <v>3188</v>
      </c>
      <c r="D1170" t="s">
        <v>98</v>
      </c>
      <c r="E1170">
        <v>74.989999999999995</v>
      </c>
      <c r="F1170" t="s">
        <v>5817</v>
      </c>
      <c r="L1170" t="s">
        <v>73</v>
      </c>
      <c r="M1170">
        <v>0</v>
      </c>
      <c r="N1170">
        <v>0</v>
      </c>
      <c r="O1170">
        <v>0</v>
      </c>
      <c r="P1170">
        <v>0</v>
      </c>
    </row>
    <row r="1171" spans="1:16" x14ac:dyDescent="0.2">
      <c r="A1171" t="s">
        <v>3209</v>
      </c>
      <c r="B1171" t="s">
        <v>3210</v>
      </c>
      <c r="C1171" t="s">
        <v>3188</v>
      </c>
      <c r="D1171" t="s">
        <v>98</v>
      </c>
      <c r="E1171">
        <v>139.99</v>
      </c>
      <c r="F1171" t="s">
        <v>5817</v>
      </c>
      <c r="L1171" t="s">
        <v>73</v>
      </c>
      <c r="M1171">
        <v>0</v>
      </c>
      <c r="N1171">
        <v>0</v>
      </c>
      <c r="O1171">
        <v>0</v>
      </c>
      <c r="P1171">
        <v>0</v>
      </c>
    </row>
    <row r="1172" spans="1:16" x14ac:dyDescent="0.2">
      <c r="A1172" t="s">
        <v>5331</v>
      </c>
      <c r="B1172" t="s">
        <v>5332</v>
      </c>
      <c r="C1172" t="s">
        <v>3188</v>
      </c>
      <c r="D1172" t="s">
        <v>98</v>
      </c>
      <c r="E1172">
        <v>169.99</v>
      </c>
      <c r="F1172" t="s">
        <v>5817</v>
      </c>
      <c r="L1172" t="s">
        <v>73</v>
      </c>
      <c r="M1172">
        <v>0</v>
      </c>
      <c r="N1172">
        <v>0</v>
      </c>
      <c r="O1172">
        <v>0</v>
      </c>
      <c r="P1172">
        <v>0</v>
      </c>
    </row>
    <row r="1173" spans="1:16" x14ac:dyDescent="0.2">
      <c r="A1173" t="s">
        <v>3207</v>
      </c>
      <c r="B1173" t="s">
        <v>3208</v>
      </c>
      <c r="C1173" t="s">
        <v>3188</v>
      </c>
      <c r="D1173" t="s">
        <v>98</v>
      </c>
      <c r="E1173">
        <v>59.99</v>
      </c>
      <c r="F1173" t="s">
        <v>5817</v>
      </c>
      <c r="L1173" t="s">
        <v>73</v>
      </c>
      <c r="M1173">
        <v>0</v>
      </c>
      <c r="N1173">
        <v>0</v>
      </c>
      <c r="O1173">
        <v>0</v>
      </c>
      <c r="P1173">
        <v>0</v>
      </c>
    </row>
    <row r="1174" spans="1:16" x14ac:dyDescent="0.2">
      <c r="A1174" t="s">
        <v>5339</v>
      </c>
      <c r="B1174" t="s">
        <v>5340</v>
      </c>
      <c r="C1174" t="s">
        <v>3188</v>
      </c>
      <c r="D1174" t="s">
        <v>98</v>
      </c>
      <c r="E1174">
        <v>139.99</v>
      </c>
      <c r="F1174" t="s">
        <v>5817</v>
      </c>
      <c r="L1174" t="s">
        <v>73</v>
      </c>
      <c r="M1174">
        <v>0</v>
      </c>
      <c r="N1174">
        <v>0</v>
      </c>
      <c r="O1174">
        <v>0</v>
      </c>
      <c r="P1174">
        <v>0</v>
      </c>
    </row>
    <row r="1175" spans="1:16" x14ac:dyDescent="0.2">
      <c r="A1175" t="s">
        <v>3215</v>
      </c>
      <c r="B1175" t="s">
        <v>3216</v>
      </c>
      <c r="C1175" t="s">
        <v>3188</v>
      </c>
      <c r="D1175" t="s">
        <v>98</v>
      </c>
      <c r="E1175">
        <v>19.989999999999998</v>
      </c>
      <c r="F1175" t="s">
        <v>5817</v>
      </c>
      <c r="L1175" t="s">
        <v>73</v>
      </c>
      <c r="M1175">
        <v>0</v>
      </c>
      <c r="N1175">
        <v>0</v>
      </c>
      <c r="O1175">
        <v>0</v>
      </c>
      <c r="P1175">
        <v>0</v>
      </c>
    </row>
    <row r="1176" spans="1:16" x14ac:dyDescent="0.2">
      <c r="A1176" t="s">
        <v>3219</v>
      </c>
      <c r="B1176" t="s">
        <v>3220</v>
      </c>
      <c r="C1176" t="s">
        <v>3188</v>
      </c>
      <c r="D1176" t="s">
        <v>98</v>
      </c>
      <c r="E1176">
        <v>44.99</v>
      </c>
      <c r="F1176" t="s">
        <v>5817</v>
      </c>
      <c r="L1176" t="s">
        <v>73</v>
      </c>
      <c r="M1176">
        <v>0</v>
      </c>
      <c r="N1176">
        <v>0</v>
      </c>
      <c r="O1176">
        <v>0</v>
      </c>
      <c r="P1176">
        <v>0</v>
      </c>
    </row>
    <row r="1177" spans="1:16" x14ac:dyDescent="0.2">
      <c r="A1177" t="s">
        <v>3217</v>
      </c>
      <c r="B1177" t="s">
        <v>3218</v>
      </c>
      <c r="C1177" t="s">
        <v>3188</v>
      </c>
      <c r="D1177" t="s">
        <v>98</v>
      </c>
      <c r="E1177">
        <v>19.989999999999998</v>
      </c>
      <c r="F1177" t="s">
        <v>5817</v>
      </c>
      <c r="L1177" t="s">
        <v>73</v>
      </c>
      <c r="M1177">
        <v>0</v>
      </c>
      <c r="N1177">
        <v>0</v>
      </c>
      <c r="O1177">
        <v>0</v>
      </c>
      <c r="P1177">
        <v>0</v>
      </c>
    </row>
    <row r="1178" spans="1:16" x14ac:dyDescent="0.2">
      <c r="A1178" t="s">
        <v>5339</v>
      </c>
      <c r="B1178" t="s">
        <v>5340</v>
      </c>
      <c r="C1178" t="s">
        <v>3188</v>
      </c>
      <c r="D1178" t="s">
        <v>98</v>
      </c>
      <c r="E1178">
        <v>139.99</v>
      </c>
      <c r="F1178" t="s">
        <v>5817</v>
      </c>
      <c r="L1178" t="s">
        <v>5818</v>
      </c>
      <c r="M1178">
        <v>0</v>
      </c>
      <c r="N1178">
        <v>0</v>
      </c>
      <c r="O1178">
        <v>0</v>
      </c>
      <c r="P1178" t="s">
        <v>5819</v>
      </c>
    </row>
    <row r="1179" spans="1:16" x14ac:dyDescent="0.2">
      <c r="A1179" t="s">
        <v>5331</v>
      </c>
      <c r="B1179" t="s">
        <v>5332</v>
      </c>
      <c r="C1179" t="s">
        <v>3188</v>
      </c>
      <c r="D1179" t="s">
        <v>98</v>
      </c>
      <c r="E1179">
        <v>169.99</v>
      </c>
      <c r="F1179" t="s">
        <v>5817</v>
      </c>
      <c r="L1179" t="s">
        <v>5818</v>
      </c>
      <c r="M1179">
        <v>0</v>
      </c>
      <c r="N1179">
        <v>0</v>
      </c>
      <c r="O1179">
        <v>0</v>
      </c>
      <c r="P1179" t="s">
        <v>5819</v>
      </c>
    </row>
    <row r="1180" spans="1:16" x14ac:dyDescent="0.2">
      <c r="A1180" t="s">
        <v>3209</v>
      </c>
      <c r="B1180" t="s">
        <v>3210</v>
      </c>
      <c r="C1180" t="s">
        <v>3188</v>
      </c>
      <c r="D1180" t="s">
        <v>98</v>
      </c>
      <c r="E1180">
        <v>139.99</v>
      </c>
      <c r="F1180" t="s">
        <v>5817</v>
      </c>
      <c r="L1180" t="s">
        <v>5818</v>
      </c>
      <c r="M1180">
        <v>0</v>
      </c>
      <c r="N1180">
        <v>0</v>
      </c>
      <c r="O1180">
        <v>0</v>
      </c>
      <c r="P1180" t="s">
        <v>5819</v>
      </c>
    </row>
    <row r="1181" spans="1:16" x14ac:dyDescent="0.2">
      <c r="A1181" t="s">
        <v>5636</v>
      </c>
      <c r="B1181" t="s">
        <v>5637</v>
      </c>
      <c r="C1181" t="s">
        <v>3188</v>
      </c>
      <c r="D1181" t="s">
        <v>98</v>
      </c>
      <c r="E1181">
        <v>69.989999999999995</v>
      </c>
      <c r="F1181" t="s">
        <v>5817</v>
      </c>
      <c r="L1181" t="s">
        <v>5818</v>
      </c>
      <c r="M1181">
        <v>0</v>
      </c>
      <c r="N1181">
        <v>0</v>
      </c>
      <c r="O1181">
        <v>0</v>
      </c>
      <c r="P1181" t="s">
        <v>5819</v>
      </c>
    </row>
    <row r="1182" spans="1:16" x14ac:dyDescent="0.2">
      <c r="A1182" t="s">
        <v>3213</v>
      </c>
      <c r="B1182" t="s">
        <v>3214</v>
      </c>
      <c r="C1182" t="s">
        <v>3188</v>
      </c>
      <c r="D1182" t="s">
        <v>98</v>
      </c>
      <c r="E1182">
        <v>19.989999999999998</v>
      </c>
      <c r="F1182" t="s">
        <v>5817</v>
      </c>
      <c r="L1182" t="s">
        <v>5818</v>
      </c>
      <c r="M1182">
        <v>0</v>
      </c>
      <c r="N1182">
        <v>0</v>
      </c>
      <c r="O1182">
        <v>0</v>
      </c>
      <c r="P1182" t="s">
        <v>5819</v>
      </c>
    </row>
    <row r="1183" spans="1:16" x14ac:dyDescent="0.2">
      <c r="A1183" t="s">
        <v>3215</v>
      </c>
      <c r="B1183" t="s">
        <v>3216</v>
      </c>
      <c r="C1183" t="s">
        <v>3188</v>
      </c>
      <c r="D1183" t="s">
        <v>98</v>
      </c>
      <c r="E1183">
        <v>19.989999999999998</v>
      </c>
      <c r="F1183" t="s">
        <v>5817</v>
      </c>
      <c r="L1183" t="s">
        <v>5818</v>
      </c>
      <c r="M1183">
        <v>0</v>
      </c>
      <c r="N1183">
        <v>0</v>
      </c>
      <c r="O1183">
        <v>0</v>
      </c>
      <c r="P1183" t="s">
        <v>5819</v>
      </c>
    </row>
    <row r="1184" spans="1:16" x14ac:dyDescent="0.2">
      <c r="A1184" t="s">
        <v>3217</v>
      </c>
      <c r="B1184" t="s">
        <v>3218</v>
      </c>
      <c r="C1184" t="s">
        <v>3188</v>
      </c>
      <c r="D1184" t="s">
        <v>98</v>
      </c>
      <c r="E1184">
        <v>19.989999999999998</v>
      </c>
      <c r="F1184" t="s">
        <v>5817</v>
      </c>
      <c r="L1184" t="s">
        <v>5818</v>
      </c>
      <c r="M1184">
        <v>0</v>
      </c>
      <c r="N1184">
        <v>0</v>
      </c>
      <c r="O1184">
        <v>0</v>
      </c>
      <c r="P1184" t="s">
        <v>5819</v>
      </c>
    </row>
    <row r="1185" spans="1:16" x14ac:dyDescent="0.2">
      <c r="A1185" t="s">
        <v>3219</v>
      </c>
      <c r="B1185" t="s">
        <v>3220</v>
      </c>
      <c r="C1185" t="s">
        <v>3188</v>
      </c>
      <c r="D1185" t="s">
        <v>98</v>
      </c>
      <c r="E1185">
        <v>44.99</v>
      </c>
      <c r="F1185" t="s">
        <v>5817</v>
      </c>
      <c r="L1185" t="s">
        <v>5818</v>
      </c>
      <c r="M1185">
        <v>0</v>
      </c>
      <c r="N1185">
        <v>0</v>
      </c>
      <c r="O1185">
        <v>0</v>
      </c>
      <c r="P1185" t="s">
        <v>5819</v>
      </c>
    </row>
    <row r="1186" spans="1:16" x14ac:dyDescent="0.2">
      <c r="A1186" t="s">
        <v>5327</v>
      </c>
      <c r="B1186" t="s">
        <v>5328</v>
      </c>
      <c r="C1186" t="s">
        <v>3188</v>
      </c>
      <c r="D1186" t="s">
        <v>98</v>
      </c>
      <c r="E1186">
        <v>399.99</v>
      </c>
      <c r="F1186" t="s">
        <v>5817</v>
      </c>
      <c r="L1186" t="s">
        <v>5818</v>
      </c>
      <c r="M1186">
        <v>0</v>
      </c>
      <c r="N1186">
        <v>0</v>
      </c>
      <c r="O1186">
        <v>0</v>
      </c>
      <c r="P1186" t="s">
        <v>5819</v>
      </c>
    </row>
    <row r="1187" spans="1:16" x14ac:dyDescent="0.2">
      <c r="A1187" t="s">
        <v>5373</v>
      </c>
      <c r="B1187" t="s">
        <v>5374</v>
      </c>
      <c r="C1187" t="s">
        <v>3188</v>
      </c>
      <c r="D1187" t="s">
        <v>98</v>
      </c>
      <c r="E1187">
        <v>59.99</v>
      </c>
      <c r="F1187" t="s">
        <v>5817</v>
      </c>
      <c r="L1187" t="s">
        <v>5818</v>
      </c>
      <c r="M1187">
        <v>0</v>
      </c>
      <c r="N1187">
        <v>0</v>
      </c>
      <c r="P1187" t="s">
        <v>5819</v>
      </c>
    </row>
    <row r="1188" spans="1:16" x14ac:dyDescent="0.2">
      <c r="A1188" t="s">
        <v>3199</v>
      </c>
      <c r="B1188" t="s">
        <v>3200</v>
      </c>
      <c r="C1188" t="s">
        <v>3188</v>
      </c>
      <c r="D1188" t="s">
        <v>98</v>
      </c>
      <c r="E1188">
        <v>54.99</v>
      </c>
      <c r="F1188" t="s">
        <v>5817</v>
      </c>
      <c r="L1188" t="s">
        <v>5818</v>
      </c>
      <c r="M1188">
        <v>0</v>
      </c>
      <c r="N1188">
        <v>0</v>
      </c>
      <c r="O1188">
        <v>0</v>
      </c>
      <c r="P1188" t="s">
        <v>5819</v>
      </c>
    </row>
    <row r="1189" spans="1:16" x14ac:dyDescent="0.2">
      <c r="A1189" t="s">
        <v>3201</v>
      </c>
      <c r="B1189" t="s">
        <v>3202</v>
      </c>
      <c r="C1189" t="s">
        <v>3188</v>
      </c>
      <c r="D1189" t="s">
        <v>98</v>
      </c>
      <c r="E1189">
        <v>49.99</v>
      </c>
      <c r="F1189" t="s">
        <v>5817</v>
      </c>
      <c r="L1189" t="s">
        <v>5818</v>
      </c>
      <c r="M1189">
        <v>0</v>
      </c>
      <c r="N1189">
        <v>0</v>
      </c>
      <c r="O1189">
        <v>0</v>
      </c>
      <c r="P1189" t="s">
        <v>5819</v>
      </c>
    </row>
    <row r="1190" spans="1:16" x14ac:dyDescent="0.2">
      <c r="A1190" t="s">
        <v>3203</v>
      </c>
      <c r="B1190" t="s">
        <v>3204</v>
      </c>
      <c r="C1190" t="s">
        <v>3188</v>
      </c>
      <c r="D1190" t="s">
        <v>98</v>
      </c>
      <c r="E1190">
        <v>42.99</v>
      </c>
      <c r="F1190" t="s">
        <v>5817</v>
      </c>
      <c r="L1190" t="s">
        <v>5818</v>
      </c>
      <c r="M1190">
        <v>0</v>
      </c>
      <c r="N1190">
        <v>0</v>
      </c>
      <c r="O1190">
        <v>0</v>
      </c>
      <c r="P1190" t="s">
        <v>5819</v>
      </c>
    </row>
    <row r="1191" spans="1:16" x14ac:dyDescent="0.2">
      <c r="A1191" t="s">
        <v>5319</v>
      </c>
      <c r="B1191" t="s">
        <v>5320</v>
      </c>
      <c r="C1191" t="s">
        <v>3188</v>
      </c>
      <c r="D1191" t="s">
        <v>98</v>
      </c>
      <c r="E1191">
        <v>19.989999999999998</v>
      </c>
      <c r="F1191" t="s">
        <v>5817</v>
      </c>
      <c r="L1191" t="s">
        <v>5818</v>
      </c>
      <c r="M1191">
        <v>0</v>
      </c>
      <c r="N1191">
        <v>0</v>
      </c>
      <c r="O1191">
        <v>0</v>
      </c>
      <c r="P1191" t="s">
        <v>5819</v>
      </c>
    </row>
    <row r="1192" spans="1:16" x14ac:dyDescent="0.2">
      <c r="A1192" t="s">
        <v>5315</v>
      </c>
      <c r="B1192" t="s">
        <v>5316</v>
      </c>
      <c r="C1192" t="s">
        <v>3188</v>
      </c>
      <c r="D1192" t="s">
        <v>98</v>
      </c>
      <c r="E1192">
        <v>19.989999999999998</v>
      </c>
      <c r="F1192" t="s">
        <v>5817</v>
      </c>
      <c r="L1192" t="s">
        <v>5818</v>
      </c>
      <c r="M1192">
        <v>0</v>
      </c>
      <c r="N1192">
        <v>0</v>
      </c>
      <c r="O1192">
        <v>0</v>
      </c>
      <c r="P1192" t="s">
        <v>5819</v>
      </c>
    </row>
    <row r="1193" spans="1:16" x14ac:dyDescent="0.2">
      <c r="A1193" t="s">
        <v>3205</v>
      </c>
      <c r="B1193" t="s">
        <v>3206</v>
      </c>
      <c r="C1193" t="s">
        <v>3188</v>
      </c>
      <c r="D1193" t="s">
        <v>98</v>
      </c>
      <c r="E1193">
        <v>19.989999999999998</v>
      </c>
      <c r="F1193" t="s">
        <v>5817</v>
      </c>
      <c r="L1193" t="s">
        <v>5818</v>
      </c>
      <c r="M1193">
        <v>0</v>
      </c>
      <c r="N1193">
        <v>0</v>
      </c>
      <c r="O1193">
        <v>0</v>
      </c>
      <c r="P1193" t="s">
        <v>5819</v>
      </c>
    </row>
    <row r="1194" spans="1:16" x14ac:dyDescent="0.2">
      <c r="A1194" t="s">
        <v>5367</v>
      </c>
      <c r="B1194" t="s">
        <v>5368</v>
      </c>
      <c r="C1194" t="s">
        <v>3188</v>
      </c>
      <c r="D1194" t="s">
        <v>98</v>
      </c>
      <c r="E1194">
        <v>99.99</v>
      </c>
      <c r="F1194" t="s">
        <v>5817</v>
      </c>
      <c r="L1194" t="s">
        <v>5818</v>
      </c>
      <c r="M1194">
        <v>0</v>
      </c>
      <c r="N1194">
        <v>0</v>
      </c>
      <c r="O1194">
        <v>0</v>
      </c>
      <c r="P1194" t="s">
        <v>5819</v>
      </c>
    </row>
    <row r="1195" spans="1:16" x14ac:dyDescent="0.2">
      <c r="A1195" t="s">
        <v>3191</v>
      </c>
      <c r="B1195" t="s">
        <v>3192</v>
      </c>
      <c r="C1195" t="s">
        <v>3188</v>
      </c>
      <c r="D1195" t="s">
        <v>98</v>
      </c>
      <c r="E1195">
        <v>39.99</v>
      </c>
      <c r="F1195" t="s">
        <v>5817</v>
      </c>
      <c r="L1195" t="s">
        <v>5818</v>
      </c>
      <c r="M1195">
        <v>0</v>
      </c>
      <c r="N1195">
        <v>0</v>
      </c>
      <c r="O1195">
        <v>0</v>
      </c>
      <c r="P1195" t="s">
        <v>5819</v>
      </c>
    </row>
    <row r="1196" spans="1:16" x14ac:dyDescent="0.2">
      <c r="A1196" t="s">
        <v>5632</v>
      </c>
      <c r="B1196" t="s">
        <v>5633</v>
      </c>
      <c r="C1196" t="s">
        <v>3188</v>
      </c>
      <c r="D1196" t="s">
        <v>98</v>
      </c>
      <c r="E1196">
        <v>39.99</v>
      </c>
      <c r="F1196" t="s">
        <v>5817</v>
      </c>
      <c r="L1196" t="s">
        <v>5818</v>
      </c>
      <c r="M1196">
        <v>0</v>
      </c>
      <c r="N1196">
        <v>0</v>
      </c>
      <c r="O1196">
        <v>0</v>
      </c>
      <c r="P1196" t="s">
        <v>5819</v>
      </c>
    </row>
    <row r="1197" spans="1:16" x14ac:dyDescent="0.2">
      <c r="A1197" t="s">
        <v>5630</v>
      </c>
      <c r="B1197" t="s">
        <v>5631</v>
      </c>
      <c r="C1197" t="s">
        <v>3188</v>
      </c>
      <c r="D1197" t="s">
        <v>98</v>
      </c>
      <c r="E1197">
        <v>39.99</v>
      </c>
      <c r="F1197" t="s">
        <v>5817</v>
      </c>
      <c r="L1197" t="s">
        <v>5818</v>
      </c>
      <c r="M1197">
        <v>0</v>
      </c>
      <c r="N1197">
        <v>0</v>
      </c>
      <c r="O1197">
        <v>0</v>
      </c>
      <c r="P1197" t="s">
        <v>5819</v>
      </c>
    </row>
    <row r="1198" spans="1:16" x14ac:dyDescent="0.2">
      <c r="A1198" t="s">
        <v>3193</v>
      </c>
      <c r="B1198" t="s">
        <v>3194</v>
      </c>
      <c r="C1198" t="s">
        <v>3188</v>
      </c>
      <c r="D1198" t="s">
        <v>98</v>
      </c>
      <c r="E1198">
        <v>89.99</v>
      </c>
      <c r="F1198" t="s">
        <v>5817</v>
      </c>
      <c r="L1198" t="s">
        <v>5818</v>
      </c>
      <c r="M1198">
        <v>0</v>
      </c>
      <c r="N1198">
        <v>0</v>
      </c>
      <c r="O1198">
        <v>0</v>
      </c>
      <c r="P1198" t="s">
        <v>5819</v>
      </c>
    </row>
    <row r="1199" spans="1:16" x14ac:dyDescent="0.2">
      <c r="A1199" t="s">
        <v>3195</v>
      </c>
      <c r="B1199" t="s">
        <v>3196</v>
      </c>
      <c r="C1199" t="s">
        <v>3188</v>
      </c>
      <c r="D1199" t="s">
        <v>98</v>
      </c>
      <c r="E1199">
        <v>19.989999999999998</v>
      </c>
      <c r="F1199" t="s">
        <v>5817</v>
      </c>
      <c r="L1199" t="s">
        <v>5818</v>
      </c>
      <c r="M1199">
        <v>0</v>
      </c>
      <c r="N1199">
        <v>0</v>
      </c>
      <c r="O1199">
        <v>0</v>
      </c>
      <c r="P1199" t="s">
        <v>5819</v>
      </c>
    </row>
    <row r="1200" spans="1:16" x14ac:dyDescent="0.2">
      <c r="A1200" t="s">
        <v>3197</v>
      </c>
      <c r="B1200" t="s">
        <v>3198</v>
      </c>
      <c r="C1200" t="s">
        <v>3188</v>
      </c>
      <c r="D1200" t="s">
        <v>98</v>
      </c>
      <c r="E1200">
        <v>19.989999999999998</v>
      </c>
      <c r="F1200" t="s">
        <v>5817</v>
      </c>
      <c r="L1200" t="s">
        <v>5818</v>
      </c>
      <c r="M1200">
        <v>0</v>
      </c>
      <c r="N1200">
        <v>0</v>
      </c>
      <c r="O1200">
        <v>0</v>
      </c>
      <c r="P1200" t="s">
        <v>5819</v>
      </c>
    </row>
    <row r="1201" spans="1:16" x14ac:dyDescent="0.2">
      <c r="A1201" t="s">
        <v>5347</v>
      </c>
      <c r="B1201" t="s">
        <v>5348</v>
      </c>
      <c r="C1201" t="s">
        <v>3188</v>
      </c>
      <c r="D1201" t="s">
        <v>98</v>
      </c>
      <c r="E1201">
        <v>99.99</v>
      </c>
      <c r="F1201" t="s">
        <v>5817</v>
      </c>
      <c r="L1201" t="s">
        <v>5818</v>
      </c>
      <c r="M1201">
        <v>0</v>
      </c>
      <c r="N1201">
        <v>0</v>
      </c>
      <c r="O1201">
        <v>0</v>
      </c>
      <c r="P1201" t="s">
        <v>5819</v>
      </c>
    </row>
    <row r="1202" spans="1:16" x14ac:dyDescent="0.2">
      <c r="A1202" t="s">
        <v>5274</v>
      </c>
      <c r="B1202" t="s">
        <v>5275</v>
      </c>
      <c r="C1202" t="s">
        <v>3188</v>
      </c>
      <c r="D1202" t="s">
        <v>98</v>
      </c>
      <c r="E1202">
        <v>19.989999999999998</v>
      </c>
      <c r="F1202" t="s">
        <v>5817</v>
      </c>
      <c r="L1202" t="s">
        <v>5818</v>
      </c>
      <c r="M1202">
        <v>0</v>
      </c>
      <c r="N1202">
        <v>0</v>
      </c>
      <c r="O1202">
        <v>0</v>
      </c>
      <c r="P1202" t="s">
        <v>5819</v>
      </c>
    </row>
    <row r="1203" spans="1:16" x14ac:dyDescent="0.2">
      <c r="A1203" t="s">
        <v>5376</v>
      </c>
      <c r="B1203" t="s">
        <v>5377</v>
      </c>
      <c r="C1203" t="s">
        <v>3188</v>
      </c>
      <c r="D1203" t="s">
        <v>98</v>
      </c>
      <c r="E1203">
        <v>69.989999999999995</v>
      </c>
      <c r="F1203" t="s">
        <v>5817</v>
      </c>
      <c r="L1203" t="s">
        <v>5818</v>
      </c>
      <c r="M1203">
        <v>0</v>
      </c>
      <c r="N1203">
        <v>0</v>
      </c>
      <c r="O1203">
        <v>0</v>
      </c>
      <c r="P1203" t="s">
        <v>5819</v>
      </c>
    </row>
    <row r="1204" spans="1:16" x14ac:dyDescent="0.2">
      <c r="A1204" t="s">
        <v>3189</v>
      </c>
      <c r="B1204" t="s">
        <v>3190</v>
      </c>
      <c r="C1204" t="s">
        <v>3188</v>
      </c>
      <c r="D1204" t="s">
        <v>98</v>
      </c>
      <c r="E1204">
        <v>19.989999999999998</v>
      </c>
      <c r="F1204" t="s">
        <v>5817</v>
      </c>
      <c r="L1204" t="s">
        <v>5818</v>
      </c>
      <c r="M1204">
        <v>0</v>
      </c>
      <c r="N1204">
        <v>0</v>
      </c>
      <c r="O1204">
        <v>0</v>
      </c>
      <c r="P1204" t="s">
        <v>5819</v>
      </c>
    </row>
    <row r="1205" spans="1:16" x14ac:dyDescent="0.2">
      <c r="A1205" t="s">
        <v>5286</v>
      </c>
      <c r="B1205" t="s">
        <v>5287</v>
      </c>
      <c r="C1205" t="s">
        <v>3188</v>
      </c>
      <c r="D1205" t="s">
        <v>98</v>
      </c>
      <c r="E1205">
        <v>19.989999999999998</v>
      </c>
      <c r="F1205" t="s">
        <v>5817</v>
      </c>
      <c r="L1205" t="s">
        <v>5818</v>
      </c>
      <c r="M1205">
        <v>0</v>
      </c>
      <c r="N1205">
        <v>0</v>
      </c>
      <c r="O1205">
        <v>0</v>
      </c>
      <c r="P1205" t="s">
        <v>5819</v>
      </c>
    </row>
    <row r="1206" spans="1:16" x14ac:dyDescent="0.2">
      <c r="A1206" t="s">
        <v>5315</v>
      </c>
      <c r="B1206" t="s">
        <v>5316</v>
      </c>
      <c r="C1206" t="s">
        <v>3188</v>
      </c>
      <c r="D1206" t="s">
        <v>98</v>
      </c>
      <c r="E1206">
        <v>19.989999999999998</v>
      </c>
      <c r="F1206" t="s">
        <v>5817</v>
      </c>
      <c r="L1206" t="s">
        <v>5085</v>
      </c>
      <c r="M1206">
        <v>0</v>
      </c>
      <c r="N1206">
        <v>0</v>
      </c>
      <c r="O1206">
        <v>0</v>
      </c>
      <c r="P1206" t="s">
        <v>5819</v>
      </c>
    </row>
    <row r="1207" spans="1:16" x14ac:dyDescent="0.2">
      <c r="A1207" t="s">
        <v>3197</v>
      </c>
      <c r="B1207" t="s">
        <v>3198</v>
      </c>
      <c r="C1207" t="s">
        <v>3188</v>
      </c>
      <c r="D1207" t="s">
        <v>98</v>
      </c>
      <c r="E1207">
        <v>19.989999999999998</v>
      </c>
      <c r="F1207" t="s">
        <v>5817</v>
      </c>
      <c r="L1207" t="s">
        <v>5065</v>
      </c>
      <c r="M1207">
        <v>0</v>
      </c>
      <c r="N1207">
        <v>0</v>
      </c>
      <c r="P1207">
        <v>0</v>
      </c>
    </row>
    <row r="1208" spans="1:16" x14ac:dyDescent="0.2">
      <c r="A1208" t="s">
        <v>3195</v>
      </c>
      <c r="B1208" t="s">
        <v>3196</v>
      </c>
      <c r="C1208" t="s">
        <v>3188</v>
      </c>
      <c r="D1208" t="s">
        <v>98</v>
      </c>
      <c r="E1208">
        <v>19.989999999999998</v>
      </c>
      <c r="F1208" t="s">
        <v>5817</v>
      </c>
      <c r="L1208" t="s">
        <v>5065</v>
      </c>
      <c r="M1208">
        <v>0</v>
      </c>
      <c r="N1208">
        <v>0</v>
      </c>
      <c r="P1208">
        <v>0</v>
      </c>
    </row>
    <row r="1209" spans="1:16" x14ac:dyDescent="0.2">
      <c r="A1209" t="s">
        <v>3193</v>
      </c>
      <c r="B1209" t="s">
        <v>3194</v>
      </c>
      <c r="C1209" t="s">
        <v>3188</v>
      </c>
      <c r="D1209" t="s">
        <v>98</v>
      </c>
      <c r="E1209">
        <v>89.99</v>
      </c>
      <c r="F1209" t="s">
        <v>5817</v>
      </c>
      <c r="L1209" t="s">
        <v>5065</v>
      </c>
      <c r="M1209">
        <v>0</v>
      </c>
      <c r="N1209">
        <v>0</v>
      </c>
      <c r="P1209">
        <v>0</v>
      </c>
    </row>
    <row r="1210" spans="1:16" x14ac:dyDescent="0.2">
      <c r="A1210" t="s">
        <v>5632</v>
      </c>
      <c r="B1210" t="s">
        <v>5633</v>
      </c>
      <c r="C1210" t="s">
        <v>3188</v>
      </c>
      <c r="D1210" t="s">
        <v>98</v>
      </c>
      <c r="E1210">
        <v>39.99</v>
      </c>
      <c r="F1210" t="s">
        <v>5817</v>
      </c>
      <c r="L1210" t="s">
        <v>5065</v>
      </c>
      <c r="N1210">
        <v>0</v>
      </c>
      <c r="O1210">
        <v>0</v>
      </c>
      <c r="P1210">
        <v>1</v>
      </c>
    </row>
    <row r="1211" spans="1:16" x14ac:dyDescent="0.2">
      <c r="A1211" t="s">
        <v>3191</v>
      </c>
      <c r="B1211" t="s">
        <v>3192</v>
      </c>
      <c r="C1211" t="s">
        <v>3188</v>
      </c>
      <c r="D1211" t="s">
        <v>98</v>
      </c>
      <c r="E1211">
        <v>39.99</v>
      </c>
      <c r="F1211" t="s">
        <v>5817</v>
      </c>
      <c r="L1211" t="s">
        <v>5065</v>
      </c>
      <c r="M1211">
        <v>0</v>
      </c>
      <c r="N1211">
        <v>0</v>
      </c>
      <c r="P1211">
        <v>0</v>
      </c>
    </row>
    <row r="1212" spans="1:16" x14ac:dyDescent="0.2">
      <c r="A1212" t="s">
        <v>5286</v>
      </c>
      <c r="B1212" t="s">
        <v>5287</v>
      </c>
      <c r="C1212" t="s">
        <v>3188</v>
      </c>
      <c r="D1212" t="s">
        <v>98</v>
      </c>
      <c r="E1212">
        <v>19.989999999999998</v>
      </c>
      <c r="F1212" t="s">
        <v>5817</v>
      </c>
      <c r="L1212" t="s">
        <v>5065</v>
      </c>
      <c r="M1212">
        <v>0</v>
      </c>
      <c r="N1212">
        <v>0</v>
      </c>
      <c r="P1212">
        <v>0</v>
      </c>
    </row>
    <row r="1213" spans="1:16" x14ac:dyDescent="0.2">
      <c r="A1213" t="s">
        <v>3189</v>
      </c>
      <c r="B1213" t="s">
        <v>3190</v>
      </c>
      <c r="C1213" t="s">
        <v>3188</v>
      </c>
      <c r="D1213" t="s">
        <v>98</v>
      </c>
      <c r="E1213">
        <v>19.989999999999998</v>
      </c>
      <c r="F1213" t="s">
        <v>5817</v>
      </c>
      <c r="L1213" t="s">
        <v>5065</v>
      </c>
      <c r="M1213">
        <v>0</v>
      </c>
      <c r="N1213">
        <v>0</v>
      </c>
      <c r="P1213">
        <v>0</v>
      </c>
    </row>
    <row r="1214" spans="1:16" x14ac:dyDescent="0.2">
      <c r="A1214" t="s">
        <v>5274</v>
      </c>
      <c r="B1214" t="s">
        <v>5275</v>
      </c>
      <c r="C1214" t="s">
        <v>3188</v>
      </c>
      <c r="D1214" t="s">
        <v>98</v>
      </c>
      <c r="E1214">
        <v>19.989999999999998</v>
      </c>
      <c r="F1214" t="s">
        <v>5817</v>
      </c>
      <c r="L1214" t="s">
        <v>5065</v>
      </c>
      <c r="M1214">
        <v>0</v>
      </c>
      <c r="N1214">
        <v>0</v>
      </c>
      <c r="P1214">
        <v>0</v>
      </c>
    </row>
    <row r="1215" spans="1:16" x14ac:dyDescent="0.2">
      <c r="A1215" t="s">
        <v>5347</v>
      </c>
      <c r="B1215" t="s">
        <v>5348</v>
      </c>
      <c r="C1215" t="s">
        <v>3188</v>
      </c>
      <c r="D1215" t="s">
        <v>98</v>
      </c>
      <c r="E1215">
        <v>99.99</v>
      </c>
      <c r="F1215" t="s">
        <v>5817</v>
      </c>
      <c r="L1215" t="s">
        <v>5065</v>
      </c>
      <c r="M1215">
        <v>0</v>
      </c>
      <c r="N1215">
        <v>0</v>
      </c>
      <c r="P1215">
        <v>0</v>
      </c>
    </row>
    <row r="1216" spans="1:16" x14ac:dyDescent="0.2">
      <c r="A1216" t="s">
        <v>3217</v>
      </c>
      <c r="B1216" t="s">
        <v>3218</v>
      </c>
      <c r="C1216" t="s">
        <v>3188</v>
      </c>
      <c r="D1216" t="s">
        <v>98</v>
      </c>
      <c r="E1216">
        <v>19.989999999999998</v>
      </c>
      <c r="F1216" t="s">
        <v>5817</v>
      </c>
      <c r="L1216" t="s">
        <v>5065</v>
      </c>
      <c r="M1216">
        <v>0</v>
      </c>
      <c r="N1216">
        <v>0</v>
      </c>
      <c r="P1216">
        <v>0</v>
      </c>
    </row>
    <row r="1217" spans="1:16" x14ac:dyDescent="0.2">
      <c r="A1217" t="s">
        <v>5331</v>
      </c>
      <c r="B1217" t="s">
        <v>5332</v>
      </c>
      <c r="C1217" t="s">
        <v>3188</v>
      </c>
      <c r="D1217" t="s">
        <v>98</v>
      </c>
      <c r="E1217">
        <v>169.99</v>
      </c>
      <c r="F1217" t="s">
        <v>5817</v>
      </c>
      <c r="L1217" t="s">
        <v>5065</v>
      </c>
      <c r="M1217">
        <v>0</v>
      </c>
      <c r="N1217">
        <v>0</v>
      </c>
      <c r="P1217">
        <v>0</v>
      </c>
    </row>
    <row r="1218" spans="1:16" x14ac:dyDescent="0.2">
      <c r="A1218" t="s">
        <v>3215</v>
      </c>
      <c r="B1218" t="s">
        <v>3216</v>
      </c>
      <c r="C1218" t="s">
        <v>3188</v>
      </c>
      <c r="D1218" t="s">
        <v>98</v>
      </c>
      <c r="E1218">
        <v>19.989999999999998</v>
      </c>
      <c r="F1218" t="s">
        <v>5817</v>
      </c>
      <c r="L1218" t="s">
        <v>5065</v>
      </c>
      <c r="M1218">
        <v>0</v>
      </c>
      <c r="N1218">
        <v>0</v>
      </c>
      <c r="P1218">
        <v>0</v>
      </c>
    </row>
    <row r="1219" spans="1:16" x14ac:dyDescent="0.2">
      <c r="A1219" t="s">
        <v>5373</v>
      </c>
      <c r="B1219" t="s">
        <v>5374</v>
      </c>
      <c r="C1219" t="s">
        <v>3188</v>
      </c>
      <c r="D1219" t="s">
        <v>98</v>
      </c>
      <c r="E1219">
        <v>59.99</v>
      </c>
      <c r="F1219" t="s">
        <v>5817</v>
      </c>
      <c r="L1219" t="s">
        <v>5065</v>
      </c>
      <c r="N1219">
        <v>0</v>
      </c>
      <c r="O1219">
        <v>0</v>
      </c>
      <c r="P1219">
        <v>1</v>
      </c>
    </row>
    <row r="1220" spans="1:16" x14ac:dyDescent="0.2">
      <c r="A1220" t="s">
        <v>5319</v>
      </c>
      <c r="B1220" t="s">
        <v>5320</v>
      </c>
      <c r="C1220" t="s">
        <v>3188</v>
      </c>
      <c r="D1220" t="s">
        <v>98</v>
      </c>
      <c r="E1220">
        <v>19.989999999999998</v>
      </c>
      <c r="F1220" t="s">
        <v>5817</v>
      </c>
      <c r="L1220" t="s">
        <v>5065</v>
      </c>
      <c r="M1220">
        <v>0</v>
      </c>
      <c r="N1220">
        <v>0</v>
      </c>
      <c r="P1220">
        <v>0</v>
      </c>
    </row>
    <row r="1221" spans="1:16" x14ac:dyDescent="0.2">
      <c r="A1221" t="s">
        <v>3213</v>
      </c>
      <c r="B1221" t="s">
        <v>3214</v>
      </c>
      <c r="C1221" t="s">
        <v>3188</v>
      </c>
      <c r="D1221" t="s">
        <v>98</v>
      </c>
      <c r="E1221">
        <v>19.989999999999998</v>
      </c>
      <c r="F1221" t="s">
        <v>5817</v>
      </c>
      <c r="L1221" t="s">
        <v>5065</v>
      </c>
      <c r="M1221">
        <v>0</v>
      </c>
      <c r="N1221">
        <v>0</v>
      </c>
      <c r="P1221">
        <v>0</v>
      </c>
    </row>
    <row r="1222" spans="1:16" x14ac:dyDescent="0.2">
      <c r="A1222" t="s">
        <v>3199</v>
      </c>
      <c r="B1222" t="s">
        <v>3200</v>
      </c>
      <c r="C1222" t="s">
        <v>3188</v>
      </c>
      <c r="D1222" t="s">
        <v>98</v>
      </c>
      <c r="E1222">
        <v>54.99</v>
      </c>
      <c r="F1222" t="s">
        <v>5817</v>
      </c>
      <c r="L1222" t="s">
        <v>5065</v>
      </c>
      <c r="M1222">
        <v>0</v>
      </c>
      <c r="N1222">
        <v>0</v>
      </c>
      <c r="P1222">
        <v>0</v>
      </c>
    </row>
    <row r="1223" spans="1:16" x14ac:dyDescent="0.2">
      <c r="A1223" t="s">
        <v>3209</v>
      </c>
      <c r="B1223" t="s">
        <v>3210</v>
      </c>
      <c r="C1223" t="s">
        <v>3188</v>
      </c>
      <c r="D1223" t="s">
        <v>98</v>
      </c>
      <c r="E1223">
        <v>139.99</v>
      </c>
      <c r="F1223" t="s">
        <v>5817</v>
      </c>
      <c r="L1223" t="s">
        <v>5065</v>
      </c>
      <c r="M1223">
        <v>0</v>
      </c>
      <c r="N1223">
        <v>0</v>
      </c>
      <c r="P1223">
        <v>0</v>
      </c>
    </row>
    <row r="1224" spans="1:16" x14ac:dyDescent="0.2">
      <c r="A1224" t="s">
        <v>5339</v>
      </c>
      <c r="B1224" t="s">
        <v>5340</v>
      </c>
      <c r="C1224" t="s">
        <v>3188</v>
      </c>
      <c r="D1224" t="s">
        <v>98</v>
      </c>
      <c r="E1224">
        <v>139.99</v>
      </c>
      <c r="F1224" t="s">
        <v>5817</v>
      </c>
      <c r="L1224" t="s">
        <v>5065</v>
      </c>
      <c r="M1224">
        <v>0</v>
      </c>
      <c r="N1224">
        <v>0</v>
      </c>
      <c r="P1224">
        <v>0</v>
      </c>
    </row>
    <row r="1225" spans="1:16" x14ac:dyDescent="0.2">
      <c r="A1225" t="s">
        <v>5714</v>
      </c>
      <c r="B1225" t="s">
        <v>5715</v>
      </c>
      <c r="C1225" t="s">
        <v>3188</v>
      </c>
      <c r="D1225" t="s">
        <v>98</v>
      </c>
      <c r="E1225">
        <v>39.99</v>
      </c>
      <c r="F1225" t="s">
        <v>5817</v>
      </c>
      <c r="L1225" t="s">
        <v>5065</v>
      </c>
      <c r="M1225">
        <v>0</v>
      </c>
      <c r="N1225">
        <v>0</v>
      </c>
      <c r="P1225">
        <v>0</v>
      </c>
    </row>
    <row r="1226" spans="1:16" x14ac:dyDescent="0.2">
      <c r="A1226" t="s">
        <v>3203</v>
      </c>
      <c r="B1226" t="s">
        <v>3204</v>
      </c>
      <c r="C1226" t="s">
        <v>3188</v>
      </c>
      <c r="D1226" t="s">
        <v>98</v>
      </c>
      <c r="E1226">
        <v>42.99</v>
      </c>
      <c r="F1226" t="s">
        <v>5817</v>
      </c>
      <c r="L1226" t="s">
        <v>5065</v>
      </c>
      <c r="M1226">
        <v>0</v>
      </c>
      <c r="N1226">
        <v>0</v>
      </c>
      <c r="P1226">
        <v>0</v>
      </c>
    </row>
    <row r="1227" spans="1:16" x14ac:dyDescent="0.2">
      <c r="A1227" t="s">
        <v>5712</v>
      </c>
      <c r="B1227" t="s">
        <v>5713</v>
      </c>
      <c r="C1227" t="s">
        <v>3188</v>
      </c>
      <c r="D1227" t="s">
        <v>98</v>
      </c>
      <c r="E1227">
        <v>59.99</v>
      </c>
      <c r="F1227" t="s">
        <v>5817</v>
      </c>
      <c r="L1227" t="s">
        <v>5065</v>
      </c>
      <c r="M1227">
        <v>0</v>
      </c>
      <c r="N1227">
        <v>0</v>
      </c>
      <c r="P1227">
        <v>0</v>
      </c>
    </row>
    <row r="1228" spans="1:16" x14ac:dyDescent="0.2">
      <c r="A1228" t="s">
        <v>3201</v>
      </c>
      <c r="B1228" t="s">
        <v>3202</v>
      </c>
      <c r="C1228" t="s">
        <v>3188</v>
      </c>
      <c r="D1228" t="s">
        <v>98</v>
      </c>
      <c r="E1228">
        <v>49.99</v>
      </c>
      <c r="F1228" t="s">
        <v>5817</v>
      </c>
      <c r="L1228" t="s">
        <v>5065</v>
      </c>
      <c r="M1228">
        <v>0</v>
      </c>
      <c r="N1228">
        <v>0</v>
      </c>
      <c r="P1228">
        <v>0</v>
      </c>
    </row>
    <row r="1229" spans="1:16" x14ac:dyDescent="0.2">
      <c r="A1229" t="s">
        <v>5376</v>
      </c>
      <c r="B1229" t="s">
        <v>5377</v>
      </c>
      <c r="C1229" t="s">
        <v>3188</v>
      </c>
      <c r="D1229" t="s">
        <v>98</v>
      </c>
      <c r="E1229">
        <v>69.989999999999995</v>
      </c>
      <c r="F1229" t="s">
        <v>5817</v>
      </c>
      <c r="L1229" t="s">
        <v>5065</v>
      </c>
      <c r="M1229">
        <v>0</v>
      </c>
      <c r="N1229">
        <v>0</v>
      </c>
      <c r="P1229">
        <v>0</v>
      </c>
    </row>
    <row r="1230" spans="1:16" x14ac:dyDescent="0.2">
      <c r="A1230" t="s">
        <v>5327</v>
      </c>
      <c r="B1230" t="s">
        <v>5328</v>
      </c>
      <c r="C1230" t="s">
        <v>3188</v>
      </c>
      <c r="D1230" t="s">
        <v>98</v>
      </c>
      <c r="E1230">
        <v>399.99</v>
      </c>
      <c r="F1230" t="s">
        <v>5817</v>
      </c>
      <c r="L1230" t="s">
        <v>5065</v>
      </c>
      <c r="M1230">
        <v>0</v>
      </c>
      <c r="N1230">
        <v>0</v>
      </c>
      <c r="P1230">
        <v>0</v>
      </c>
    </row>
    <row r="1231" spans="1:16" x14ac:dyDescent="0.2">
      <c r="A1231" t="s">
        <v>5367</v>
      </c>
      <c r="B1231" t="s">
        <v>5368</v>
      </c>
      <c r="C1231" t="s">
        <v>3188</v>
      </c>
      <c r="D1231" t="s">
        <v>98</v>
      </c>
      <c r="E1231">
        <v>99.99</v>
      </c>
      <c r="F1231" t="s">
        <v>5817</v>
      </c>
      <c r="L1231" t="s">
        <v>5065</v>
      </c>
      <c r="M1231">
        <v>0</v>
      </c>
      <c r="N1231">
        <v>0</v>
      </c>
      <c r="P1231">
        <v>0</v>
      </c>
    </row>
    <row r="1232" spans="1:16" x14ac:dyDescent="0.2">
      <c r="A1232" t="s">
        <v>5315</v>
      </c>
      <c r="B1232" t="s">
        <v>5316</v>
      </c>
      <c r="C1232" t="s">
        <v>3188</v>
      </c>
      <c r="D1232" t="s">
        <v>98</v>
      </c>
      <c r="E1232">
        <v>19.989999999999998</v>
      </c>
      <c r="F1232" t="s">
        <v>5817</v>
      </c>
      <c r="L1232" t="s">
        <v>5065</v>
      </c>
      <c r="M1232">
        <v>0</v>
      </c>
      <c r="N1232">
        <v>0</v>
      </c>
      <c r="P1232">
        <v>0</v>
      </c>
    </row>
    <row r="1233" spans="1:16" x14ac:dyDescent="0.2">
      <c r="A1233" t="s">
        <v>3205</v>
      </c>
      <c r="B1233" t="s">
        <v>3206</v>
      </c>
      <c r="C1233" t="s">
        <v>3188</v>
      </c>
      <c r="D1233" t="s">
        <v>98</v>
      </c>
      <c r="E1233">
        <v>19.989999999999998</v>
      </c>
      <c r="F1233" t="s">
        <v>5817</v>
      </c>
      <c r="L1233" t="s">
        <v>5065</v>
      </c>
      <c r="M1233">
        <v>0</v>
      </c>
      <c r="N1233">
        <v>0</v>
      </c>
      <c r="P1233">
        <v>0</v>
      </c>
    </row>
    <row r="1234" spans="1:16" x14ac:dyDescent="0.2">
      <c r="A1234" t="s">
        <v>3219</v>
      </c>
      <c r="B1234" t="s">
        <v>3220</v>
      </c>
      <c r="C1234" t="s">
        <v>3188</v>
      </c>
      <c r="D1234" t="s">
        <v>98</v>
      </c>
      <c r="E1234">
        <v>44.99</v>
      </c>
      <c r="F1234" t="s">
        <v>5817</v>
      </c>
      <c r="L1234" t="s">
        <v>5065</v>
      </c>
      <c r="M1234">
        <v>0</v>
      </c>
      <c r="N1234">
        <v>0</v>
      </c>
      <c r="P1234">
        <v>0</v>
      </c>
    </row>
    <row r="1235" spans="1:16" x14ac:dyDescent="0.2">
      <c r="A1235" t="s">
        <v>5319</v>
      </c>
      <c r="B1235" t="s">
        <v>5320</v>
      </c>
      <c r="C1235" t="s">
        <v>3188</v>
      </c>
      <c r="D1235" t="s">
        <v>98</v>
      </c>
      <c r="E1235">
        <v>19.989999999999998</v>
      </c>
      <c r="F1235" t="s">
        <v>5817</v>
      </c>
      <c r="L1235" t="s">
        <v>8</v>
      </c>
      <c r="M1235">
        <v>0</v>
      </c>
      <c r="N1235">
        <v>0</v>
      </c>
      <c r="O1235">
        <v>0</v>
      </c>
      <c r="P1235">
        <v>0</v>
      </c>
    </row>
    <row r="1236" spans="1:16" x14ac:dyDescent="0.2">
      <c r="A1236" t="s">
        <v>3203</v>
      </c>
      <c r="B1236" t="s">
        <v>3204</v>
      </c>
      <c r="C1236" t="s">
        <v>3188</v>
      </c>
      <c r="D1236" t="s">
        <v>98</v>
      </c>
      <c r="E1236">
        <v>42.99</v>
      </c>
      <c r="F1236" t="s">
        <v>5817</v>
      </c>
      <c r="L1236" t="s">
        <v>8</v>
      </c>
      <c r="M1236">
        <v>0</v>
      </c>
      <c r="N1236">
        <v>0</v>
      </c>
      <c r="O1236">
        <v>0</v>
      </c>
      <c r="P1236">
        <v>0</v>
      </c>
    </row>
    <row r="1237" spans="1:16" x14ac:dyDescent="0.2">
      <c r="A1237" t="s">
        <v>3201</v>
      </c>
      <c r="B1237" t="s">
        <v>3202</v>
      </c>
      <c r="C1237" t="s">
        <v>3188</v>
      </c>
      <c r="D1237" t="s">
        <v>98</v>
      </c>
      <c r="E1237">
        <v>49.99</v>
      </c>
      <c r="F1237" t="s">
        <v>5817</v>
      </c>
      <c r="L1237" t="s">
        <v>8</v>
      </c>
      <c r="M1237">
        <v>0</v>
      </c>
      <c r="N1237">
        <v>0</v>
      </c>
      <c r="O1237">
        <v>0</v>
      </c>
      <c r="P1237">
        <v>0</v>
      </c>
    </row>
    <row r="1238" spans="1:16" x14ac:dyDescent="0.2">
      <c r="A1238" t="s">
        <v>3199</v>
      </c>
      <c r="B1238" t="s">
        <v>3200</v>
      </c>
      <c r="C1238" t="s">
        <v>3188</v>
      </c>
      <c r="D1238" t="s">
        <v>98</v>
      </c>
      <c r="E1238">
        <v>54.99</v>
      </c>
      <c r="F1238" t="s">
        <v>5817</v>
      </c>
      <c r="L1238" t="s">
        <v>8</v>
      </c>
      <c r="M1238">
        <v>0</v>
      </c>
      <c r="N1238">
        <v>0</v>
      </c>
      <c r="O1238">
        <v>0</v>
      </c>
      <c r="P1238">
        <v>0</v>
      </c>
    </row>
    <row r="1239" spans="1:16" x14ac:dyDescent="0.2">
      <c r="A1239" t="s">
        <v>5373</v>
      </c>
      <c r="B1239" t="s">
        <v>5374</v>
      </c>
      <c r="C1239" t="s">
        <v>3188</v>
      </c>
      <c r="D1239" t="s">
        <v>98</v>
      </c>
      <c r="E1239">
        <v>59.99</v>
      </c>
      <c r="F1239" t="s">
        <v>5817</v>
      </c>
      <c r="L1239" t="s">
        <v>8</v>
      </c>
      <c r="M1239">
        <v>0</v>
      </c>
      <c r="N1239">
        <v>0</v>
      </c>
      <c r="O1239">
        <v>0</v>
      </c>
      <c r="P1239">
        <v>0</v>
      </c>
    </row>
    <row r="1240" spans="1:16" x14ac:dyDescent="0.2">
      <c r="A1240" t="s">
        <v>5376</v>
      </c>
      <c r="B1240" t="s">
        <v>5377</v>
      </c>
      <c r="C1240" t="s">
        <v>3188</v>
      </c>
      <c r="D1240" t="s">
        <v>98</v>
      </c>
      <c r="E1240">
        <v>69.989999999999995</v>
      </c>
      <c r="F1240" t="s">
        <v>5817</v>
      </c>
      <c r="L1240" t="s">
        <v>8</v>
      </c>
      <c r="M1240">
        <v>0</v>
      </c>
      <c r="N1240">
        <v>0</v>
      </c>
      <c r="O1240">
        <v>0</v>
      </c>
      <c r="P1240">
        <v>0</v>
      </c>
    </row>
    <row r="1241" spans="1:16" x14ac:dyDescent="0.2">
      <c r="A1241" t="s">
        <v>5367</v>
      </c>
      <c r="B1241" t="s">
        <v>5368</v>
      </c>
      <c r="C1241" t="s">
        <v>3188</v>
      </c>
      <c r="D1241" t="s">
        <v>98</v>
      </c>
      <c r="E1241">
        <v>99.99</v>
      </c>
      <c r="F1241" t="s">
        <v>5817</v>
      </c>
      <c r="L1241" t="s">
        <v>8</v>
      </c>
      <c r="M1241">
        <v>0</v>
      </c>
      <c r="N1241">
        <v>0</v>
      </c>
      <c r="O1241">
        <v>0</v>
      </c>
      <c r="P1241">
        <v>0</v>
      </c>
    </row>
    <row r="1242" spans="1:16" x14ac:dyDescent="0.2">
      <c r="A1242" t="s">
        <v>3197</v>
      </c>
      <c r="B1242" t="s">
        <v>3198</v>
      </c>
      <c r="C1242" t="s">
        <v>3188</v>
      </c>
      <c r="D1242" t="s">
        <v>98</v>
      </c>
      <c r="E1242">
        <v>19.989999999999998</v>
      </c>
      <c r="F1242" t="s">
        <v>5817</v>
      </c>
      <c r="L1242" t="s">
        <v>8</v>
      </c>
      <c r="M1242">
        <v>0</v>
      </c>
      <c r="N1242">
        <v>0</v>
      </c>
      <c r="O1242">
        <v>0</v>
      </c>
      <c r="P1242">
        <v>0</v>
      </c>
    </row>
    <row r="1243" spans="1:16" x14ac:dyDescent="0.2">
      <c r="A1243" t="s">
        <v>3195</v>
      </c>
      <c r="B1243" t="s">
        <v>3196</v>
      </c>
      <c r="C1243" t="s">
        <v>3188</v>
      </c>
      <c r="D1243" t="s">
        <v>98</v>
      </c>
      <c r="E1243">
        <v>19.989999999999998</v>
      </c>
      <c r="F1243" t="s">
        <v>5817</v>
      </c>
      <c r="L1243" t="s">
        <v>8</v>
      </c>
      <c r="M1243">
        <v>0</v>
      </c>
      <c r="N1243">
        <v>0</v>
      </c>
      <c r="O1243">
        <v>0</v>
      </c>
      <c r="P1243">
        <v>0</v>
      </c>
    </row>
    <row r="1244" spans="1:16" x14ac:dyDescent="0.2">
      <c r="A1244" t="s">
        <v>3193</v>
      </c>
      <c r="B1244" t="s">
        <v>3194</v>
      </c>
      <c r="C1244" t="s">
        <v>3188</v>
      </c>
      <c r="D1244" t="s">
        <v>98</v>
      </c>
      <c r="E1244">
        <v>89.99</v>
      </c>
      <c r="F1244" t="s">
        <v>5817</v>
      </c>
      <c r="L1244" t="s">
        <v>8</v>
      </c>
      <c r="M1244">
        <v>0</v>
      </c>
      <c r="N1244">
        <v>0</v>
      </c>
      <c r="O1244">
        <v>0</v>
      </c>
      <c r="P1244">
        <v>0</v>
      </c>
    </row>
    <row r="1245" spans="1:16" x14ac:dyDescent="0.2">
      <c r="A1245" t="s">
        <v>3191</v>
      </c>
      <c r="B1245" t="s">
        <v>3192</v>
      </c>
      <c r="C1245" t="s">
        <v>3188</v>
      </c>
      <c r="D1245" t="s">
        <v>98</v>
      </c>
      <c r="E1245">
        <v>39.99</v>
      </c>
      <c r="F1245" t="s">
        <v>5817</v>
      </c>
      <c r="L1245" t="s">
        <v>8</v>
      </c>
      <c r="M1245">
        <v>0</v>
      </c>
      <c r="N1245">
        <v>0</v>
      </c>
      <c r="O1245">
        <v>0</v>
      </c>
      <c r="P1245">
        <v>0</v>
      </c>
    </row>
    <row r="1246" spans="1:16" x14ac:dyDescent="0.2">
      <c r="A1246" t="s">
        <v>5274</v>
      </c>
      <c r="B1246" t="s">
        <v>5275</v>
      </c>
      <c r="C1246" t="s">
        <v>3188</v>
      </c>
      <c r="D1246" t="s">
        <v>98</v>
      </c>
      <c r="E1246">
        <v>19.989999999999998</v>
      </c>
      <c r="F1246" t="s">
        <v>5817</v>
      </c>
      <c r="L1246" t="s">
        <v>8</v>
      </c>
      <c r="M1246">
        <v>0</v>
      </c>
      <c r="N1246">
        <v>0</v>
      </c>
      <c r="O1246">
        <v>0</v>
      </c>
      <c r="P1246">
        <v>0</v>
      </c>
    </row>
    <row r="1247" spans="1:16" x14ac:dyDescent="0.2">
      <c r="A1247" t="s">
        <v>5286</v>
      </c>
      <c r="B1247" t="s">
        <v>5287</v>
      </c>
      <c r="C1247" t="s">
        <v>3188</v>
      </c>
      <c r="D1247" t="s">
        <v>98</v>
      </c>
      <c r="E1247">
        <v>19.989999999999998</v>
      </c>
      <c r="F1247" t="s">
        <v>5817</v>
      </c>
      <c r="L1247" t="s">
        <v>8</v>
      </c>
      <c r="M1247">
        <v>0</v>
      </c>
      <c r="N1247">
        <v>0</v>
      </c>
      <c r="O1247">
        <v>0</v>
      </c>
      <c r="P1247">
        <v>0</v>
      </c>
    </row>
    <row r="1248" spans="1:16" x14ac:dyDescent="0.2">
      <c r="A1248" t="s">
        <v>5347</v>
      </c>
      <c r="B1248" t="s">
        <v>5348</v>
      </c>
      <c r="C1248" t="s">
        <v>3188</v>
      </c>
      <c r="D1248" t="s">
        <v>98</v>
      </c>
      <c r="E1248">
        <v>99.99</v>
      </c>
      <c r="F1248" t="s">
        <v>5817</v>
      </c>
      <c r="L1248" t="s">
        <v>8</v>
      </c>
      <c r="M1248">
        <v>0</v>
      </c>
      <c r="N1248">
        <v>0</v>
      </c>
      <c r="O1248">
        <v>0</v>
      </c>
      <c r="P1248">
        <v>0</v>
      </c>
    </row>
    <row r="1249" spans="1:16" x14ac:dyDescent="0.2">
      <c r="A1249" t="s">
        <v>3189</v>
      </c>
      <c r="B1249" t="s">
        <v>3190</v>
      </c>
      <c r="C1249" t="s">
        <v>3188</v>
      </c>
      <c r="D1249" t="s">
        <v>98</v>
      </c>
      <c r="E1249">
        <v>19.989999999999998</v>
      </c>
      <c r="F1249" t="s">
        <v>5817</v>
      </c>
      <c r="L1249" t="s">
        <v>8</v>
      </c>
      <c r="M1249">
        <v>0</v>
      </c>
      <c r="N1249">
        <v>0</v>
      </c>
      <c r="O1249">
        <v>0</v>
      </c>
      <c r="P1249">
        <v>0</v>
      </c>
    </row>
    <row r="1250" spans="1:16" x14ac:dyDescent="0.2">
      <c r="A1250" t="s">
        <v>5315</v>
      </c>
      <c r="B1250" t="s">
        <v>5316</v>
      </c>
      <c r="C1250" t="s">
        <v>3188</v>
      </c>
      <c r="D1250" t="s">
        <v>98</v>
      </c>
      <c r="E1250">
        <v>19.989999999999998</v>
      </c>
      <c r="F1250" t="s">
        <v>5817</v>
      </c>
      <c r="L1250" t="s">
        <v>8</v>
      </c>
      <c r="M1250">
        <v>0</v>
      </c>
      <c r="N1250">
        <v>0</v>
      </c>
      <c r="O1250">
        <v>0</v>
      </c>
      <c r="P1250">
        <v>0</v>
      </c>
    </row>
    <row r="1251" spans="1:16" x14ac:dyDescent="0.2">
      <c r="A1251" t="s">
        <v>3205</v>
      </c>
      <c r="B1251" t="s">
        <v>3206</v>
      </c>
      <c r="C1251" t="s">
        <v>3188</v>
      </c>
      <c r="D1251" t="s">
        <v>98</v>
      </c>
      <c r="E1251">
        <v>19.989999999999998</v>
      </c>
      <c r="F1251" t="s">
        <v>5817</v>
      </c>
      <c r="L1251" t="s">
        <v>8</v>
      </c>
      <c r="M1251">
        <v>0</v>
      </c>
      <c r="N1251">
        <v>0</v>
      </c>
      <c r="O1251">
        <v>0</v>
      </c>
      <c r="P1251">
        <v>0</v>
      </c>
    </row>
    <row r="1252" spans="1:16" x14ac:dyDescent="0.2">
      <c r="A1252" t="s">
        <v>3219</v>
      </c>
      <c r="B1252" t="s">
        <v>3220</v>
      </c>
      <c r="C1252" t="s">
        <v>3188</v>
      </c>
      <c r="D1252" t="s">
        <v>98</v>
      </c>
      <c r="E1252">
        <v>44.99</v>
      </c>
      <c r="F1252" t="s">
        <v>5817</v>
      </c>
      <c r="L1252" t="s">
        <v>8</v>
      </c>
      <c r="M1252">
        <v>0</v>
      </c>
      <c r="N1252">
        <v>0</v>
      </c>
      <c r="O1252">
        <v>0</v>
      </c>
      <c r="P1252">
        <v>0</v>
      </c>
    </row>
    <row r="1253" spans="1:16" x14ac:dyDescent="0.2">
      <c r="A1253" t="s">
        <v>3217</v>
      </c>
      <c r="B1253" t="s">
        <v>3218</v>
      </c>
      <c r="C1253" t="s">
        <v>3188</v>
      </c>
      <c r="D1253" t="s">
        <v>98</v>
      </c>
      <c r="E1253">
        <v>19.989999999999998</v>
      </c>
      <c r="F1253" t="s">
        <v>5817</v>
      </c>
      <c r="L1253" t="s">
        <v>8</v>
      </c>
      <c r="M1253">
        <v>0</v>
      </c>
      <c r="N1253">
        <v>0</v>
      </c>
      <c r="O1253">
        <v>0</v>
      </c>
      <c r="P1253">
        <v>0</v>
      </c>
    </row>
    <row r="1254" spans="1:16" x14ac:dyDescent="0.2">
      <c r="A1254" t="s">
        <v>3215</v>
      </c>
      <c r="B1254" t="s">
        <v>3216</v>
      </c>
      <c r="C1254" t="s">
        <v>3188</v>
      </c>
      <c r="D1254" t="s">
        <v>98</v>
      </c>
      <c r="E1254">
        <v>19.989999999999998</v>
      </c>
      <c r="F1254" t="s">
        <v>5817</v>
      </c>
      <c r="L1254" t="s">
        <v>8</v>
      </c>
      <c r="M1254">
        <v>0</v>
      </c>
      <c r="N1254">
        <v>0</v>
      </c>
      <c r="O1254">
        <v>0</v>
      </c>
      <c r="P1254">
        <v>0</v>
      </c>
    </row>
    <row r="1255" spans="1:16" x14ac:dyDescent="0.2">
      <c r="A1255" t="s">
        <v>3213</v>
      </c>
      <c r="B1255" t="s">
        <v>3214</v>
      </c>
      <c r="C1255" t="s">
        <v>3188</v>
      </c>
      <c r="D1255" t="s">
        <v>98</v>
      </c>
      <c r="E1255">
        <v>19.989999999999998</v>
      </c>
      <c r="F1255" t="s">
        <v>5817</v>
      </c>
      <c r="L1255" t="s">
        <v>8</v>
      </c>
      <c r="M1255">
        <v>0</v>
      </c>
      <c r="N1255">
        <v>0</v>
      </c>
      <c r="O1255">
        <v>0</v>
      </c>
      <c r="P1255">
        <v>0</v>
      </c>
    </row>
    <row r="1256" spans="1:16" x14ac:dyDescent="0.2">
      <c r="A1256" t="s">
        <v>3209</v>
      </c>
      <c r="B1256" t="s">
        <v>3210</v>
      </c>
      <c r="C1256" t="s">
        <v>3188</v>
      </c>
      <c r="D1256" t="s">
        <v>98</v>
      </c>
      <c r="E1256">
        <v>139.99</v>
      </c>
      <c r="F1256" t="s">
        <v>5817</v>
      </c>
      <c r="L1256" t="s">
        <v>8</v>
      </c>
      <c r="M1256">
        <v>0</v>
      </c>
      <c r="N1256">
        <v>0</v>
      </c>
      <c r="O1256">
        <v>0</v>
      </c>
      <c r="P1256">
        <v>0</v>
      </c>
    </row>
    <row r="1257" spans="1:16" x14ac:dyDescent="0.2">
      <c r="A1257" t="s">
        <v>5331</v>
      </c>
      <c r="B1257" t="s">
        <v>5332</v>
      </c>
      <c r="C1257" t="s">
        <v>3188</v>
      </c>
      <c r="D1257" t="s">
        <v>98</v>
      </c>
      <c r="E1257">
        <v>169.99</v>
      </c>
      <c r="F1257" t="s">
        <v>5817</v>
      </c>
      <c r="L1257" t="s">
        <v>8</v>
      </c>
      <c r="M1257">
        <v>0</v>
      </c>
      <c r="N1257">
        <v>0</v>
      </c>
      <c r="O1257">
        <v>0</v>
      </c>
      <c r="P1257">
        <v>0</v>
      </c>
    </row>
    <row r="1258" spans="1:16" x14ac:dyDescent="0.2">
      <c r="A1258" t="s">
        <v>5339</v>
      </c>
      <c r="B1258" t="s">
        <v>5340</v>
      </c>
      <c r="C1258" t="s">
        <v>3188</v>
      </c>
      <c r="D1258" t="s">
        <v>98</v>
      </c>
      <c r="E1258">
        <v>139.99</v>
      </c>
      <c r="F1258" t="s">
        <v>5817</v>
      </c>
      <c r="L1258" t="s">
        <v>8</v>
      </c>
      <c r="M1258">
        <v>0</v>
      </c>
      <c r="N1258">
        <v>0</v>
      </c>
      <c r="O1258">
        <v>0</v>
      </c>
      <c r="P1258">
        <v>0</v>
      </c>
    </row>
    <row r="1259" spans="1:16" x14ac:dyDescent="0.2">
      <c r="A1259" t="s">
        <v>5327</v>
      </c>
      <c r="B1259" t="s">
        <v>5328</v>
      </c>
      <c r="C1259" t="s">
        <v>3188</v>
      </c>
      <c r="D1259" t="s">
        <v>98</v>
      </c>
      <c r="E1259">
        <v>399.99</v>
      </c>
      <c r="F1259" t="s">
        <v>5817</v>
      </c>
      <c r="L1259" t="s">
        <v>8</v>
      </c>
      <c r="M1259">
        <v>0</v>
      </c>
      <c r="N1259">
        <v>0</v>
      </c>
      <c r="O1259">
        <v>0</v>
      </c>
      <c r="P1259">
        <v>0</v>
      </c>
    </row>
    <row r="1260" spans="1:16" x14ac:dyDescent="0.2">
      <c r="A1260" t="s">
        <v>3319</v>
      </c>
      <c r="B1260" t="s">
        <v>3320</v>
      </c>
      <c r="C1260" t="s">
        <v>3291</v>
      </c>
      <c r="D1260" t="s">
        <v>98</v>
      </c>
      <c r="E1260">
        <v>59.99</v>
      </c>
      <c r="F1260" t="s">
        <v>5817</v>
      </c>
      <c r="L1260" t="s">
        <v>73</v>
      </c>
      <c r="M1260">
        <v>0</v>
      </c>
      <c r="N1260">
        <v>0</v>
      </c>
      <c r="O1260">
        <v>0</v>
      </c>
      <c r="P1260">
        <v>0</v>
      </c>
    </row>
    <row r="1261" spans="1:16" x14ac:dyDescent="0.2">
      <c r="A1261" t="s">
        <v>3317</v>
      </c>
      <c r="B1261" t="s">
        <v>3318</v>
      </c>
      <c r="C1261" t="s">
        <v>3291</v>
      </c>
      <c r="D1261" t="s">
        <v>98</v>
      </c>
      <c r="E1261">
        <v>59.99</v>
      </c>
      <c r="F1261" t="s">
        <v>5817</v>
      </c>
      <c r="L1261" t="s">
        <v>73</v>
      </c>
      <c r="M1261">
        <v>0</v>
      </c>
      <c r="N1261">
        <v>0</v>
      </c>
      <c r="O1261">
        <v>0</v>
      </c>
      <c r="P1261">
        <v>0</v>
      </c>
    </row>
    <row r="1262" spans="1:16" x14ac:dyDescent="0.2">
      <c r="A1262" t="s">
        <v>3321</v>
      </c>
      <c r="B1262" t="s">
        <v>3322</v>
      </c>
      <c r="C1262" t="s">
        <v>3291</v>
      </c>
      <c r="D1262" t="s">
        <v>98</v>
      </c>
      <c r="E1262">
        <v>74.989999999999995</v>
      </c>
      <c r="F1262" t="s">
        <v>5817</v>
      </c>
      <c r="L1262" t="s">
        <v>73</v>
      </c>
      <c r="M1262">
        <v>0</v>
      </c>
      <c r="N1262">
        <v>0</v>
      </c>
      <c r="O1262">
        <v>0</v>
      </c>
      <c r="P1262">
        <v>0</v>
      </c>
    </row>
    <row r="1263" spans="1:16" x14ac:dyDescent="0.2">
      <c r="A1263" t="s">
        <v>3315</v>
      </c>
      <c r="B1263" t="s">
        <v>3316</v>
      </c>
      <c r="C1263" t="s">
        <v>3291</v>
      </c>
      <c r="D1263" t="s">
        <v>98</v>
      </c>
      <c r="E1263">
        <v>59.99</v>
      </c>
      <c r="F1263" t="s">
        <v>5817</v>
      </c>
      <c r="L1263" t="s">
        <v>73</v>
      </c>
      <c r="M1263">
        <v>0</v>
      </c>
      <c r="N1263">
        <v>0</v>
      </c>
      <c r="O1263">
        <v>0</v>
      </c>
      <c r="P1263">
        <v>0</v>
      </c>
    </row>
    <row r="1264" spans="1:16" x14ac:dyDescent="0.2">
      <c r="A1264" t="s">
        <v>3329</v>
      </c>
      <c r="B1264" t="s">
        <v>3330</v>
      </c>
      <c r="C1264" t="s">
        <v>3291</v>
      </c>
      <c r="D1264" t="s">
        <v>98</v>
      </c>
      <c r="E1264">
        <v>74.989999999999995</v>
      </c>
      <c r="F1264" t="s">
        <v>5817</v>
      </c>
      <c r="L1264" t="s">
        <v>73</v>
      </c>
      <c r="M1264">
        <v>0</v>
      </c>
      <c r="N1264">
        <v>0</v>
      </c>
      <c r="O1264">
        <v>0</v>
      </c>
      <c r="P1264">
        <v>0</v>
      </c>
    </row>
    <row r="1265" spans="1:16" x14ac:dyDescent="0.2">
      <c r="A1265" t="s">
        <v>3327</v>
      </c>
      <c r="B1265" t="s">
        <v>3328</v>
      </c>
      <c r="C1265" t="s">
        <v>3291</v>
      </c>
      <c r="D1265" t="s">
        <v>98</v>
      </c>
      <c r="E1265">
        <v>74.989999999999995</v>
      </c>
      <c r="F1265" t="s">
        <v>5817</v>
      </c>
      <c r="L1265" t="s">
        <v>73</v>
      </c>
      <c r="M1265">
        <v>0</v>
      </c>
      <c r="N1265">
        <v>0</v>
      </c>
      <c r="O1265">
        <v>0.41666666666666669</v>
      </c>
      <c r="P1265">
        <v>0</v>
      </c>
    </row>
    <row r="1266" spans="1:16" x14ac:dyDescent="0.2">
      <c r="A1266" t="s">
        <v>3325</v>
      </c>
      <c r="B1266" t="s">
        <v>3326</v>
      </c>
      <c r="C1266" t="s">
        <v>3291</v>
      </c>
      <c r="D1266" t="s">
        <v>98</v>
      </c>
      <c r="E1266">
        <v>74.989999999999995</v>
      </c>
      <c r="F1266" t="s">
        <v>5817</v>
      </c>
      <c r="L1266" t="s">
        <v>73</v>
      </c>
      <c r="M1266">
        <v>0</v>
      </c>
      <c r="N1266">
        <v>0</v>
      </c>
      <c r="O1266">
        <v>0</v>
      </c>
      <c r="P1266">
        <v>0</v>
      </c>
    </row>
    <row r="1267" spans="1:16" x14ac:dyDescent="0.2">
      <c r="A1267" t="s">
        <v>3323</v>
      </c>
      <c r="B1267" t="s">
        <v>3324</v>
      </c>
      <c r="C1267" t="s">
        <v>3291</v>
      </c>
      <c r="D1267" t="s">
        <v>98</v>
      </c>
      <c r="E1267">
        <v>74.989999999999995</v>
      </c>
      <c r="F1267" t="s">
        <v>5817</v>
      </c>
      <c r="L1267" t="s">
        <v>73</v>
      </c>
      <c r="M1267">
        <v>0</v>
      </c>
      <c r="N1267">
        <v>0</v>
      </c>
      <c r="O1267">
        <v>0.16666666666666666</v>
      </c>
      <c r="P1267">
        <v>0</v>
      </c>
    </row>
    <row r="1268" spans="1:16" x14ac:dyDescent="0.2">
      <c r="A1268" t="s">
        <v>3296</v>
      </c>
      <c r="B1268" t="s">
        <v>3297</v>
      </c>
      <c r="C1268" t="s">
        <v>3291</v>
      </c>
      <c r="D1268" t="s">
        <v>98</v>
      </c>
      <c r="E1268">
        <v>59.99</v>
      </c>
      <c r="F1268" t="s">
        <v>5817</v>
      </c>
      <c r="L1268" t="s">
        <v>73</v>
      </c>
      <c r="M1268">
        <v>0</v>
      </c>
      <c r="N1268">
        <v>0</v>
      </c>
      <c r="O1268">
        <v>0</v>
      </c>
      <c r="P1268">
        <v>0</v>
      </c>
    </row>
    <row r="1269" spans="1:16" x14ac:dyDescent="0.2">
      <c r="A1269" t="s">
        <v>3294</v>
      </c>
      <c r="B1269" t="s">
        <v>3295</v>
      </c>
      <c r="C1269" t="s">
        <v>3291</v>
      </c>
      <c r="D1269" t="s">
        <v>98</v>
      </c>
      <c r="E1269">
        <v>59.99</v>
      </c>
      <c r="F1269" t="s">
        <v>5817</v>
      </c>
      <c r="L1269" t="s">
        <v>73</v>
      </c>
      <c r="M1269">
        <v>0</v>
      </c>
      <c r="N1269">
        <v>0</v>
      </c>
      <c r="O1269">
        <v>0</v>
      </c>
      <c r="P1269">
        <v>0</v>
      </c>
    </row>
    <row r="1270" spans="1:16" x14ac:dyDescent="0.2">
      <c r="A1270" t="s">
        <v>3292</v>
      </c>
      <c r="B1270" t="s">
        <v>3293</v>
      </c>
      <c r="C1270" t="s">
        <v>3291</v>
      </c>
      <c r="D1270" t="s">
        <v>98</v>
      </c>
      <c r="E1270">
        <v>59.99</v>
      </c>
      <c r="F1270" t="s">
        <v>5817</v>
      </c>
      <c r="L1270" t="s">
        <v>73</v>
      </c>
      <c r="M1270">
        <v>0</v>
      </c>
      <c r="N1270">
        <v>0</v>
      </c>
      <c r="O1270">
        <v>0</v>
      </c>
      <c r="P1270">
        <v>0</v>
      </c>
    </row>
    <row r="1271" spans="1:16" x14ac:dyDescent="0.2">
      <c r="A1271" t="s">
        <v>3331</v>
      </c>
      <c r="B1271" t="s">
        <v>3332</v>
      </c>
      <c r="C1271" t="s">
        <v>3291</v>
      </c>
      <c r="D1271" t="s">
        <v>98</v>
      </c>
      <c r="E1271">
        <v>74.989999999999995</v>
      </c>
      <c r="F1271" t="s">
        <v>5817</v>
      </c>
      <c r="L1271" t="s">
        <v>73</v>
      </c>
      <c r="M1271">
        <v>0</v>
      </c>
      <c r="N1271">
        <v>0</v>
      </c>
      <c r="O1271">
        <v>0.16666666666666666</v>
      </c>
      <c r="P1271">
        <v>8</v>
      </c>
    </row>
    <row r="1272" spans="1:16" x14ac:dyDescent="0.2">
      <c r="A1272" t="s">
        <v>3347</v>
      </c>
      <c r="B1272" t="s">
        <v>3348</v>
      </c>
      <c r="C1272" t="s">
        <v>3291</v>
      </c>
      <c r="D1272" t="s">
        <v>98</v>
      </c>
      <c r="E1272">
        <v>59.99</v>
      </c>
      <c r="F1272" t="s">
        <v>5817</v>
      </c>
      <c r="L1272" t="s">
        <v>73</v>
      </c>
      <c r="M1272">
        <v>0</v>
      </c>
      <c r="N1272">
        <v>0</v>
      </c>
      <c r="O1272">
        <v>0</v>
      </c>
      <c r="P1272">
        <v>0</v>
      </c>
    </row>
    <row r="1273" spans="1:16" x14ac:dyDescent="0.2">
      <c r="A1273" t="s">
        <v>3345</v>
      </c>
      <c r="B1273" t="s">
        <v>3346</v>
      </c>
      <c r="C1273" t="s">
        <v>3291</v>
      </c>
      <c r="D1273" t="s">
        <v>98</v>
      </c>
      <c r="E1273">
        <v>59.99</v>
      </c>
      <c r="F1273" t="s">
        <v>5817</v>
      </c>
      <c r="L1273" t="s">
        <v>73</v>
      </c>
      <c r="M1273">
        <v>0</v>
      </c>
      <c r="N1273">
        <v>0</v>
      </c>
      <c r="O1273">
        <v>0</v>
      </c>
      <c r="P1273">
        <v>0</v>
      </c>
    </row>
    <row r="1274" spans="1:16" x14ac:dyDescent="0.2">
      <c r="A1274" t="s">
        <v>3343</v>
      </c>
      <c r="B1274" t="s">
        <v>3344</v>
      </c>
      <c r="C1274" t="s">
        <v>3291</v>
      </c>
      <c r="D1274" t="s">
        <v>138</v>
      </c>
      <c r="E1274">
        <v>69.989999999999995</v>
      </c>
      <c r="F1274" t="s">
        <v>5817</v>
      </c>
      <c r="L1274" t="s">
        <v>73</v>
      </c>
      <c r="M1274">
        <v>0</v>
      </c>
      <c r="N1274">
        <v>0</v>
      </c>
      <c r="O1274">
        <v>0.5</v>
      </c>
      <c r="P1274">
        <v>10</v>
      </c>
    </row>
    <row r="1275" spans="1:16" x14ac:dyDescent="0.2">
      <c r="A1275" t="s">
        <v>3335</v>
      </c>
      <c r="B1275" t="s">
        <v>3336</v>
      </c>
      <c r="C1275" t="s">
        <v>3291</v>
      </c>
      <c r="D1275" t="s">
        <v>98</v>
      </c>
      <c r="E1275">
        <v>69.989999999999995</v>
      </c>
      <c r="F1275" t="s">
        <v>5817</v>
      </c>
      <c r="L1275" t="s">
        <v>73</v>
      </c>
      <c r="M1275">
        <v>0</v>
      </c>
      <c r="N1275">
        <v>0</v>
      </c>
      <c r="O1275">
        <v>8.3333333333333329E-2</v>
      </c>
      <c r="P1275">
        <v>0</v>
      </c>
    </row>
    <row r="1276" spans="1:16" x14ac:dyDescent="0.2">
      <c r="A1276" t="s">
        <v>3333</v>
      </c>
      <c r="B1276" t="s">
        <v>3334</v>
      </c>
      <c r="C1276" t="s">
        <v>3291</v>
      </c>
      <c r="D1276" t="s">
        <v>98</v>
      </c>
      <c r="E1276">
        <v>74.989999999999995</v>
      </c>
      <c r="F1276" t="s">
        <v>5817</v>
      </c>
      <c r="L1276" t="s">
        <v>73</v>
      </c>
      <c r="M1276">
        <v>0</v>
      </c>
      <c r="N1276">
        <v>0</v>
      </c>
      <c r="O1276">
        <v>0</v>
      </c>
      <c r="P1276">
        <v>0</v>
      </c>
    </row>
    <row r="1277" spans="1:16" x14ac:dyDescent="0.2">
      <c r="A1277" t="s">
        <v>3341</v>
      </c>
      <c r="B1277" t="s">
        <v>3342</v>
      </c>
      <c r="C1277" t="s">
        <v>3291</v>
      </c>
      <c r="D1277" t="s">
        <v>98</v>
      </c>
      <c r="E1277">
        <v>59.99</v>
      </c>
      <c r="F1277" t="s">
        <v>5817</v>
      </c>
      <c r="L1277" t="s">
        <v>73</v>
      </c>
      <c r="M1277">
        <v>0</v>
      </c>
      <c r="N1277">
        <v>0</v>
      </c>
      <c r="O1277">
        <v>0</v>
      </c>
      <c r="P1277">
        <v>0</v>
      </c>
    </row>
    <row r="1278" spans="1:16" x14ac:dyDescent="0.2">
      <c r="A1278" t="s">
        <v>3339</v>
      </c>
      <c r="B1278" t="s">
        <v>3340</v>
      </c>
      <c r="C1278" t="s">
        <v>3291</v>
      </c>
      <c r="D1278" t="s">
        <v>98</v>
      </c>
      <c r="E1278">
        <v>69.989999999999995</v>
      </c>
      <c r="F1278" t="s">
        <v>5817</v>
      </c>
      <c r="L1278" t="s">
        <v>73</v>
      </c>
      <c r="M1278">
        <v>0</v>
      </c>
      <c r="N1278">
        <v>0</v>
      </c>
      <c r="O1278">
        <v>8.3333333333333329E-2</v>
      </c>
      <c r="P1278">
        <v>0</v>
      </c>
    </row>
    <row r="1279" spans="1:16" x14ac:dyDescent="0.2">
      <c r="A1279" t="s">
        <v>3337</v>
      </c>
      <c r="B1279" t="s">
        <v>3338</v>
      </c>
      <c r="C1279" t="s">
        <v>3291</v>
      </c>
      <c r="D1279" t="s">
        <v>98</v>
      </c>
      <c r="E1279">
        <v>69.989999999999995</v>
      </c>
      <c r="F1279" t="s">
        <v>5817</v>
      </c>
      <c r="L1279" t="s">
        <v>73</v>
      </c>
      <c r="M1279">
        <v>0</v>
      </c>
      <c r="N1279">
        <v>0</v>
      </c>
      <c r="O1279">
        <v>0</v>
      </c>
      <c r="P1279">
        <v>0</v>
      </c>
    </row>
    <row r="1280" spans="1:16" x14ac:dyDescent="0.2">
      <c r="A1280" t="s">
        <v>3292</v>
      </c>
      <c r="B1280" t="s">
        <v>3293</v>
      </c>
      <c r="C1280" t="s">
        <v>3291</v>
      </c>
      <c r="D1280" t="s">
        <v>98</v>
      </c>
      <c r="E1280">
        <v>59.99</v>
      </c>
      <c r="F1280" t="s">
        <v>5817</v>
      </c>
      <c r="L1280" t="s">
        <v>5818</v>
      </c>
      <c r="M1280">
        <v>0</v>
      </c>
      <c r="N1280">
        <v>0</v>
      </c>
      <c r="O1280">
        <v>0</v>
      </c>
      <c r="P1280" t="s">
        <v>5819</v>
      </c>
    </row>
    <row r="1281" spans="1:16" x14ac:dyDescent="0.2">
      <c r="A1281" t="s">
        <v>3339</v>
      </c>
      <c r="B1281" t="s">
        <v>3340</v>
      </c>
      <c r="C1281" t="s">
        <v>3291</v>
      </c>
      <c r="D1281" t="s">
        <v>98</v>
      </c>
      <c r="E1281">
        <v>69.989999999999995</v>
      </c>
      <c r="F1281" t="s">
        <v>5817</v>
      </c>
      <c r="L1281" t="s">
        <v>5818</v>
      </c>
      <c r="M1281">
        <v>0</v>
      </c>
      <c r="N1281">
        <v>0</v>
      </c>
      <c r="O1281">
        <v>0</v>
      </c>
      <c r="P1281" t="s">
        <v>5819</v>
      </c>
    </row>
    <row r="1282" spans="1:16" x14ac:dyDescent="0.2">
      <c r="A1282" t="s">
        <v>3321</v>
      </c>
      <c r="B1282" t="s">
        <v>3322</v>
      </c>
      <c r="C1282" t="s">
        <v>3291</v>
      </c>
      <c r="D1282" t="s">
        <v>98</v>
      </c>
      <c r="E1282">
        <v>74.989999999999995</v>
      </c>
      <c r="F1282" t="s">
        <v>5817</v>
      </c>
      <c r="L1282" t="s">
        <v>5818</v>
      </c>
      <c r="M1282">
        <v>0</v>
      </c>
      <c r="N1282">
        <v>0</v>
      </c>
      <c r="P1282" t="s">
        <v>5824</v>
      </c>
    </row>
    <row r="1283" spans="1:16" x14ac:dyDescent="0.2">
      <c r="A1283" t="s">
        <v>3337</v>
      </c>
      <c r="B1283" t="s">
        <v>3338</v>
      </c>
      <c r="C1283" t="s">
        <v>3291</v>
      </c>
      <c r="D1283" t="s">
        <v>98</v>
      </c>
      <c r="E1283">
        <v>69.989999999999995</v>
      </c>
      <c r="F1283" t="s">
        <v>5817</v>
      </c>
      <c r="L1283" t="s">
        <v>5818</v>
      </c>
      <c r="M1283">
        <v>0</v>
      </c>
      <c r="N1283">
        <v>0</v>
      </c>
      <c r="O1283">
        <v>0</v>
      </c>
      <c r="P1283" t="s">
        <v>5819</v>
      </c>
    </row>
    <row r="1284" spans="1:16" x14ac:dyDescent="0.2">
      <c r="A1284" t="s">
        <v>3323</v>
      </c>
      <c r="B1284" t="s">
        <v>3324</v>
      </c>
      <c r="C1284" t="s">
        <v>3291</v>
      </c>
      <c r="D1284" t="s">
        <v>98</v>
      </c>
      <c r="E1284">
        <v>74.989999999999995</v>
      </c>
      <c r="F1284" t="s">
        <v>5817</v>
      </c>
      <c r="L1284" t="s">
        <v>5818</v>
      </c>
      <c r="M1284">
        <v>0</v>
      </c>
      <c r="N1284">
        <v>0</v>
      </c>
      <c r="P1284">
        <v>1</v>
      </c>
    </row>
    <row r="1285" spans="1:16" x14ac:dyDescent="0.2">
      <c r="A1285" t="s">
        <v>3325</v>
      </c>
      <c r="B1285" t="s">
        <v>3326</v>
      </c>
      <c r="C1285" t="s">
        <v>3291</v>
      </c>
      <c r="D1285" t="s">
        <v>98</v>
      </c>
      <c r="E1285">
        <v>74.989999999999995</v>
      </c>
      <c r="F1285" t="s">
        <v>5817</v>
      </c>
      <c r="L1285" t="s">
        <v>5818</v>
      </c>
      <c r="M1285">
        <v>0</v>
      </c>
      <c r="N1285">
        <v>0</v>
      </c>
      <c r="P1285">
        <v>1</v>
      </c>
    </row>
    <row r="1286" spans="1:16" x14ac:dyDescent="0.2">
      <c r="A1286" t="s">
        <v>3335</v>
      </c>
      <c r="B1286" t="s">
        <v>3336</v>
      </c>
      <c r="C1286" t="s">
        <v>3291</v>
      </c>
      <c r="D1286" t="s">
        <v>98</v>
      </c>
      <c r="E1286">
        <v>69.989999999999995</v>
      </c>
      <c r="F1286" t="s">
        <v>5817</v>
      </c>
      <c r="L1286" t="s">
        <v>5818</v>
      </c>
      <c r="M1286">
        <v>0</v>
      </c>
      <c r="N1286">
        <v>0</v>
      </c>
      <c r="O1286">
        <v>0</v>
      </c>
      <c r="P1286" t="s">
        <v>5819</v>
      </c>
    </row>
    <row r="1287" spans="1:16" x14ac:dyDescent="0.2">
      <c r="A1287" t="s">
        <v>3327</v>
      </c>
      <c r="B1287" t="s">
        <v>3328</v>
      </c>
      <c r="C1287" t="s">
        <v>3291</v>
      </c>
      <c r="D1287" t="s">
        <v>98</v>
      </c>
      <c r="E1287">
        <v>74.989999999999995</v>
      </c>
      <c r="F1287" t="s">
        <v>5817</v>
      </c>
      <c r="L1287" t="s">
        <v>5818</v>
      </c>
      <c r="M1287">
        <v>0</v>
      </c>
      <c r="N1287">
        <v>0</v>
      </c>
      <c r="P1287">
        <v>14</v>
      </c>
    </row>
    <row r="1288" spans="1:16" x14ac:dyDescent="0.2">
      <c r="A1288" t="s">
        <v>3333</v>
      </c>
      <c r="B1288" t="s">
        <v>3334</v>
      </c>
      <c r="C1288" t="s">
        <v>3291</v>
      </c>
      <c r="D1288" t="s">
        <v>98</v>
      </c>
      <c r="E1288">
        <v>74.989999999999995</v>
      </c>
      <c r="F1288" t="s">
        <v>5817</v>
      </c>
      <c r="L1288" t="s">
        <v>5818</v>
      </c>
      <c r="M1288">
        <v>0</v>
      </c>
      <c r="N1288">
        <v>0</v>
      </c>
      <c r="P1288" t="s">
        <v>5824</v>
      </c>
    </row>
    <row r="1289" spans="1:16" x14ac:dyDescent="0.2">
      <c r="A1289" t="s">
        <v>3329</v>
      </c>
      <c r="B1289" t="s">
        <v>3330</v>
      </c>
      <c r="C1289" t="s">
        <v>3291</v>
      </c>
      <c r="D1289" t="s">
        <v>98</v>
      </c>
      <c r="E1289">
        <v>74.989999999999995</v>
      </c>
      <c r="F1289" t="s">
        <v>5817</v>
      </c>
      <c r="L1289" t="s">
        <v>5818</v>
      </c>
      <c r="M1289">
        <v>0</v>
      </c>
      <c r="N1289">
        <v>0</v>
      </c>
      <c r="P1289">
        <v>1</v>
      </c>
    </row>
    <row r="1290" spans="1:16" x14ac:dyDescent="0.2">
      <c r="A1290" t="s">
        <v>3319</v>
      </c>
      <c r="B1290" t="s">
        <v>3320</v>
      </c>
      <c r="C1290" t="s">
        <v>3291</v>
      </c>
      <c r="D1290" t="s">
        <v>98</v>
      </c>
      <c r="E1290">
        <v>59.99</v>
      </c>
      <c r="F1290" t="s">
        <v>5817</v>
      </c>
      <c r="L1290" t="s">
        <v>5818</v>
      </c>
      <c r="M1290">
        <v>0</v>
      </c>
      <c r="N1290">
        <v>0</v>
      </c>
      <c r="O1290">
        <v>0</v>
      </c>
      <c r="P1290" t="s">
        <v>5819</v>
      </c>
    </row>
    <row r="1291" spans="1:16" x14ac:dyDescent="0.2">
      <c r="A1291" t="s">
        <v>3317</v>
      </c>
      <c r="B1291" t="s">
        <v>3318</v>
      </c>
      <c r="C1291" t="s">
        <v>3291</v>
      </c>
      <c r="D1291" t="s">
        <v>98</v>
      </c>
      <c r="E1291">
        <v>59.99</v>
      </c>
      <c r="F1291" t="s">
        <v>5817</v>
      </c>
      <c r="L1291" t="s">
        <v>5818</v>
      </c>
      <c r="M1291">
        <v>0</v>
      </c>
      <c r="N1291">
        <v>0</v>
      </c>
      <c r="O1291">
        <v>0</v>
      </c>
      <c r="P1291" t="s">
        <v>5819</v>
      </c>
    </row>
    <row r="1292" spans="1:16" x14ac:dyDescent="0.2">
      <c r="A1292" t="s">
        <v>3341</v>
      </c>
      <c r="B1292" t="s">
        <v>3342</v>
      </c>
      <c r="C1292" t="s">
        <v>3291</v>
      </c>
      <c r="D1292" t="s">
        <v>98</v>
      </c>
      <c r="E1292">
        <v>59.99</v>
      </c>
      <c r="F1292" t="s">
        <v>5817</v>
      </c>
      <c r="L1292" t="s">
        <v>5818</v>
      </c>
      <c r="M1292">
        <v>0</v>
      </c>
      <c r="N1292">
        <v>0</v>
      </c>
      <c r="O1292">
        <v>0</v>
      </c>
      <c r="P1292" t="s">
        <v>5819</v>
      </c>
    </row>
    <row r="1293" spans="1:16" x14ac:dyDescent="0.2">
      <c r="A1293" t="s">
        <v>3294</v>
      </c>
      <c r="B1293" t="s">
        <v>3295</v>
      </c>
      <c r="C1293" t="s">
        <v>3291</v>
      </c>
      <c r="D1293" t="s">
        <v>98</v>
      </c>
      <c r="E1293">
        <v>59.99</v>
      </c>
      <c r="F1293" t="s">
        <v>5817</v>
      </c>
      <c r="L1293" t="s">
        <v>5818</v>
      </c>
      <c r="M1293">
        <v>0</v>
      </c>
      <c r="N1293">
        <v>0</v>
      </c>
      <c r="O1293">
        <v>0</v>
      </c>
      <c r="P1293" t="s">
        <v>5819</v>
      </c>
    </row>
    <row r="1294" spans="1:16" x14ac:dyDescent="0.2">
      <c r="A1294" t="s">
        <v>3296</v>
      </c>
      <c r="B1294" t="s">
        <v>3297</v>
      </c>
      <c r="C1294" t="s">
        <v>3291</v>
      </c>
      <c r="D1294" t="s">
        <v>98</v>
      </c>
      <c r="E1294">
        <v>59.99</v>
      </c>
      <c r="F1294" t="s">
        <v>5817</v>
      </c>
      <c r="L1294" t="s">
        <v>5818</v>
      </c>
      <c r="M1294">
        <v>0</v>
      </c>
      <c r="N1294">
        <v>0</v>
      </c>
      <c r="O1294">
        <v>0</v>
      </c>
      <c r="P1294" t="s">
        <v>5819</v>
      </c>
    </row>
    <row r="1295" spans="1:16" x14ac:dyDescent="0.2">
      <c r="A1295" t="s">
        <v>3347</v>
      </c>
      <c r="B1295" t="s">
        <v>3348</v>
      </c>
      <c r="C1295" t="s">
        <v>3291</v>
      </c>
      <c r="D1295" t="s">
        <v>98</v>
      </c>
      <c r="E1295">
        <v>59.99</v>
      </c>
      <c r="F1295" t="s">
        <v>5817</v>
      </c>
      <c r="L1295" t="s">
        <v>5818</v>
      </c>
      <c r="M1295">
        <v>0</v>
      </c>
      <c r="N1295">
        <v>0</v>
      </c>
      <c r="O1295">
        <v>0</v>
      </c>
      <c r="P1295" t="s">
        <v>5819</v>
      </c>
    </row>
    <row r="1296" spans="1:16" x14ac:dyDescent="0.2">
      <c r="A1296" t="s">
        <v>3298</v>
      </c>
      <c r="B1296" t="s">
        <v>5839</v>
      </c>
      <c r="C1296" t="s">
        <v>3291</v>
      </c>
      <c r="D1296" t="s">
        <v>98</v>
      </c>
      <c r="E1296">
        <v>69.989999999999995</v>
      </c>
      <c r="F1296" t="s">
        <v>5817</v>
      </c>
      <c r="L1296" t="s">
        <v>5818</v>
      </c>
      <c r="M1296">
        <v>0</v>
      </c>
      <c r="N1296">
        <v>0</v>
      </c>
      <c r="P1296">
        <v>17</v>
      </c>
    </row>
    <row r="1297" spans="1:16" x14ac:dyDescent="0.2">
      <c r="A1297" t="s">
        <v>3304</v>
      </c>
      <c r="B1297" t="s">
        <v>5840</v>
      </c>
      <c r="C1297" t="s">
        <v>3291</v>
      </c>
      <c r="D1297" t="s">
        <v>138</v>
      </c>
      <c r="E1297">
        <v>69.989999999999995</v>
      </c>
      <c r="F1297" t="s">
        <v>5817</v>
      </c>
      <c r="L1297" t="s">
        <v>5818</v>
      </c>
      <c r="M1297">
        <v>0</v>
      </c>
      <c r="N1297">
        <v>0</v>
      </c>
      <c r="P1297">
        <v>54</v>
      </c>
    </row>
    <row r="1298" spans="1:16" x14ac:dyDescent="0.2">
      <c r="A1298" t="s">
        <v>3345</v>
      </c>
      <c r="B1298" t="s">
        <v>3346</v>
      </c>
      <c r="C1298" t="s">
        <v>3291</v>
      </c>
      <c r="D1298" t="s">
        <v>98</v>
      </c>
      <c r="E1298">
        <v>59.99</v>
      </c>
      <c r="F1298" t="s">
        <v>5817</v>
      </c>
      <c r="L1298" t="s">
        <v>5818</v>
      </c>
      <c r="M1298">
        <v>0</v>
      </c>
      <c r="N1298">
        <v>0</v>
      </c>
      <c r="O1298">
        <v>0</v>
      </c>
      <c r="P1298" t="s">
        <v>5819</v>
      </c>
    </row>
    <row r="1299" spans="1:16" x14ac:dyDescent="0.2">
      <c r="A1299" t="s">
        <v>3309</v>
      </c>
      <c r="B1299" t="s">
        <v>5841</v>
      </c>
      <c r="C1299" t="s">
        <v>3291</v>
      </c>
      <c r="D1299" t="s">
        <v>138</v>
      </c>
      <c r="E1299">
        <v>69.989999999999995</v>
      </c>
      <c r="F1299" t="s">
        <v>5817</v>
      </c>
      <c r="L1299" t="s">
        <v>5818</v>
      </c>
      <c r="M1299">
        <v>3.6</v>
      </c>
      <c r="N1299">
        <v>5.2777777777777777</v>
      </c>
      <c r="P1299">
        <v>19</v>
      </c>
    </row>
    <row r="1300" spans="1:16" x14ac:dyDescent="0.2">
      <c r="A1300" t="s">
        <v>3311</v>
      </c>
      <c r="B1300" t="s">
        <v>5842</v>
      </c>
      <c r="C1300" t="s">
        <v>3291</v>
      </c>
      <c r="D1300" t="s">
        <v>138</v>
      </c>
      <c r="E1300">
        <v>69.989999999999995</v>
      </c>
      <c r="F1300" t="s">
        <v>5817</v>
      </c>
      <c r="L1300" t="s">
        <v>5818</v>
      </c>
      <c r="M1300">
        <v>0</v>
      </c>
      <c r="N1300">
        <v>0</v>
      </c>
      <c r="O1300">
        <v>2.416666666666667</v>
      </c>
      <c r="P1300">
        <v>27</v>
      </c>
    </row>
    <row r="1301" spans="1:16" x14ac:dyDescent="0.2">
      <c r="A1301" t="s">
        <v>3313</v>
      </c>
      <c r="B1301" t="s">
        <v>3314</v>
      </c>
      <c r="C1301" t="s">
        <v>3291</v>
      </c>
      <c r="D1301" t="s">
        <v>138</v>
      </c>
      <c r="E1301">
        <v>69.989999999999995</v>
      </c>
      <c r="F1301" t="s">
        <v>5817</v>
      </c>
      <c r="L1301" t="s">
        <v>5818</v>
      </c>
      <c r="M1301">
        <v>0</v>
      </c>
      <c r="N1301">
        <v>0</v>
      </c>
      <c r="O1301">
        <v>3.833333333333333</v>
      </c>
      <c r="P1301">
        <v>21</v>
      </c>
    </row>
    <row r="1302" spans="1:16" x14ac:dyDescent="0.2">
      <c r="A1302" t="s">
        <v>3343</v>
      </c>
      <c r="B1302" t="s">
        <v>3344</v>
      </c>
      <c r="C1302" t="s">
        <v>3291</v>
      </c>
      <c r="D1302" t="s">
        <v>138</v>
      </c>
      <c r="E1302">
        <v>69.989999999999995</v>
      </c>
      <c r="F1302" t="s">
        <v>5817</v>
      </c>
      <c r="L1302" t="s">
        <v>5818</v>
      </c>
      <c r="M1302">
        <v>0</v>
      </c>
      <c r="N1302">
        <v>0</v>
      </c>
      <c r="O1302">
        <v>0</v>
      </c>
      <c r="P1302" t="s">
        <v>5819</v>
      </c>
    </row>
    <row r="1303" spans="1:16" x14ac:dyDescent="0.2">
      <c r="A1303" t="s">
        <v>3315</v>
      </c>
      <c r="B1303" t="s">
        <v>3316</v>
      </c>
      <c r="C1303" t="s">
        <v>3291</v>
      </c>
      <c r="D1303" t="s">
        <v>98</v>
      </c>
      <c r="E1303">
        <v>59.99</v>
      </c>
      <c r="F1303" t="s">
        <v>5817</v>
      </c>
      <c r="L1303" t="s">
        <v>5818</v>
      </c>
      <c r="M1303">
        <v>0</v>
      </c>
      <c r="N1303">
        <v>0</v>
      </c>
      <c r="O1303">
        <v>0</v>
      </c>
      <c r="P1303" t="s">
        <v>5819</v>
      </c>
    </row>
    <row r="1304" spans="1:16" x14ac:dyDescent="0.2">
      <c r="A1304" t="s">
        <v>3307</v>
      </c>
      <c r="B1304" t="s">
        <v>5843</v>
      </c>
      <c r="C1304" t="s">
        <v>3291</v>
      </c>
      <c r="D1304" t="s">
        <v>138</v>
      </c>
      <c r="E1304">
        <v>69.989999999999995</v>
      </c>
      <c r="F1304" t="s">
        <v>5817</v>
      </c>
      <c r="L1304" t="s">
        <v>5818</v>
      </c>
      <c r="M1304">
        <v>2.6666666666666665</v>
      </c>
      <c r="N1304">
        <v>4.5</v>
      </c>
      <c r="P1304">
        <v>12</v>
      </c>
    </row>
    <row r="1305" spans="1:16" x14ac:dyDescent="0.2">
      <c r="A1305" t="s">
        <v>3331</v>
      </c>
      <c r="B1305" t="s">
        <v>3332</v>
      </c>
      <c r="C1305" t="s">
        <v>3291</v>
      </c>
      <c r="D1305" t="s">
        <v>98</v>
      </c>
      <c r="E1305">
        <v>74.989999999999995</v>
      </c>
      <c r="F1305" t="s">
        <v>5817</v>
      </c>
      <c r="L1305" t="s">
        <v>5818</v>
      </c>
      <c r="M1305">
        <v>0</v>
      </c>
      <c r="N1305">
        <v>0</v>
      </c>
      <c r="P1305" t="s">
        <v>5819</v>
      </c>
    </row>
    <row r="1306" spans="1:16" x14ac:dyDescent="0.2">
      <c r="A1306" t="s">
        <v>3343</v>
      </c>
      <c r="B1306" t="s">
        <v>3344</v>
      </c>
      <c r="C1306" t="s">
        <v>3291</v>
      </c>
      <c r="D1306" t="s">
        <v>138</v>
      </c>
      <c r="E1306">
        <v>69.989999999999995</v>
      </c>
      <c r="F1306" t="s">
        <v>5817</v>
      </c>
      <c r="L1306" t="s">
        <v>5085</v>
      </c>
      <c r="M1306">
        <v>0</v>
      </c>
      <c r="N1306">
        <v>0</v>
      </c>
      <c r="O1306">
        <v>0</v>
      </c>
      <c r="P1306" t="s">
        <v>5819</v>
      </c>
    </row>
    <row r="1307" spans="1:16" x14ac:dyDescent="0.2">
      <c r="A1307" t="s">
        <v>3327</v>
      </c>
      <c r="B1307" t="s">
        <v>3328</v>
      </c>
      <c r="C1307" t="s">
        <v>3291</v>
      </c>
      <c r="D1307" t="s">
        <v>98</v>
      </c>
      <c r="E1307">
        <v>74.989999999999995</v>
      </c>
      <c r="F1307" t="s">
        <v>5817</v>
      </c>
      <c r="L1307" t="s">
        <v>5085</v>
      </c>
      <c r="M1307">
        <v>0</v>
      </c>
      <c r="N1307">
        <v>0</v>
      </c>
      <c r="O1307">
        <v>0</v>
      </c>
      <c r="P1307" t="s">
        <v>5819</v>
      </c>
    </row>
    <row r="1308" spans="1:16" x14ac:dyDescent="0.2">
      <c r="A1308" t="s">
        <v>3329</v>
      </c>
      <c r="B1308" t="s">
        <v>3330</v>
      </c>
      <c r="C1308" t="s">
        <v>3291</v>
      </c>
      <c r="D1308" t="s">
        <v>98</v>
      </c>
      <c r="E1308">
        <v>74.989999999999995</v>
      </c>
      <c r="F1308" t="s">
        <v>5817</v>
      </c>
      <c r="L1308" t="s">
        <v>5085</v>
      </c>
      <c r="M1308">
        <v>0</v>
      </c>
      <c r="N1308">
        <v>0</v>
      </c>
      <c r="O1308">
        <v>0</v>
      </c>
      <c r="P1308" t="s">
        <v>5819</v>
      </c>
    </row>
    <row r="1309" spans="1:16" x14ac:dyDescent="0.2">
      <c r="A1309" t="s">
        <v>3331</v>
      </c>
      <c r="B1309" t="s">
        <v>3332</v>
      </c>
      <c r="C1309" t="s">
        <v>3291</v>
      </c>
      <c r="D1309" t="s">
        <v>98</v>
      </c>
      <c r="E1309">
        <v>74.989999999999995</v>
      </c>
      <c r="F1309" t="s">
        <v>5817</v>
      </c>
      <c r="L1309" t="s">
        <v>5085</v>
      </c>
      <c r="M1309">
        <v>0</v>
      </c>
      <c r="N1309">
        <v>0</v>
      </c>
      <c r="O1309">
        <v>0</v>
      </c>
      <c r="P1309" t="s">
        <v>5819</v>
      </c>
    </row>
    <row r="1310" spans="1:16" x14ac:dyDescent="0.2">
      <c r="A1310" t="s">
        <v>3333</v>
      </c>
      <c r="B1310" t="s">
        <v>3334</v>
      </c>
      <c r="C1310" t="s">
        <v>3291</v>
      </c>
      <c r="D1310" t="s">
        <v>98</v>
      </c>
      <c r="E1310">
        <v>74.989999999999995</v>
      </c>
      <c r="F1310" t="s">
        <v>5817</v>
      </c>
      <c r="L1310" t="s">
        <v>5085</v>
      </c>
      <c r="M1310">
        <v>0</v>
      </c>
      <c r="N1310">
        <v>0</v>
      </c>
      <c r="O1310">
        <v>0</v>
      </c>
      <c r="P1310" t="s">
        <v>5819</v>
      </c>
    </row>
    <row r="1311" spans="1:16" x14ac:dyDescent="0.2">
      <c r="A1311" t="s">
        <v>3335</v>
      </c>
      <c r="B1311" t="s">
        <v>3336</v>
      </c>
      <c r="C1311" t="s">
        <v>3291</v>
      </c>
      <c r="D1311" t="s">
        <v>98</v>
      </c>
      <c r="E1311">
        <v>69.989999999999995</v>
      </c>
      <c r="F1311" t="s">
        <v>5817</v>
      </c>
      <c r="L1311" t="s">
        <v>5085</v>
      </c>
      <c r="M1311">
        <v>0</v>
      </c>
      <c r="N1311">
        <v>0</v>
      </c>
      <c r="O1311">
        <v>0.16666666666666666</v>
      </c>
      <c r="P1311" t="s">
        <v>5819</v>
      </c>
    </row>
    <row r="1312" spans="1:16" x14ac:dyDescent="0.2">
      <c r="A1312" t="s">
        <v>3339</v>
      </c>
      <c r="B1312" t="s">
        <v>3340</v>
      </c>
      <c r="C1312" t="s">
        <v>3291</v>
      </c>
      <c r="D1312" t="s">
        <v>98</v>
      </c>
      <c r="E1312">
        <v>69.989999999999995</v>
      </c>
      <c r="F1312" t="s">
        <v>5817</v>
      </c>
      <c r="L1312" t="s">
        <v>5085</v>
      </c>
      <c r="M1312">
        <v>0</v>
      </c>
      <c r="N1312">
        <v>0</v>
      </c>
      <c r="O1312">
        <v>0</v>
      </c>
      <c r="P1312" t="s">
        <v>5819</v>
      </c>
    </row>
    <row r="1313" spans="1:16" x14ac:dyDescent="0.2">
      <c r="A1313" t="s">
        <v>3325</v>
      </c>
      <c r="B1313" t="s">
        <v>3326</v>
      </c>
      <c r="C1313" t="s">
        <v>3291</v>
      </c>
      <c r="D1313" t="s">
        <v>98</v>
      </c>
      <c r="E1313">
        <v>74.989999999999995</v>
      </c>
      <c r="F1313" t="s">
        <v>5817</v>
      </c>
      <c r="L1313" t="s">
        <v>5085</v>
      </c>
      <c r="M1313">
        <v>0</v>
      </c>
      <c r="N1313">
        <v>0</v>
      </c>
      <c r="O1313">
        <v>0</v>
      </c>
      <c r="P1313" t="s">
        <v>5819</v>
      </c>
    </row>
    <row r="1314" spans="1:16" x14ac:dyDescent="0.2">
      <c r="A1314" t="s">
        <v>3323</v>
      </c>
      <c r="B1314" t="s">
        <v>3324</v>
      </c>
      <c r="C1314" t="s">
        <v>3291</v>
      </c>
      <c r="D1314" t="s">
        <v>98</v>
      </c>
      <c r="E1314">
        <v>74.989999999999995</v>
      </c>
      <c r="F1314" t="s">
        <v>5817</v>
      </c>
      <c r="L1314" t="s">
        <v>5085</v>
      </c>
      <c r="M1314">
        <v>0</v>
      </c>
      <c r="N1314">
        <v>0</v>
      </c>
      <c r="O1314">
        <v>0</v>
      </c>
      <c r="P1314" t="s">
        <v>5819</v>
      </c>
    </row>
    <row r="1315" spans="1:16" x14ac:dyDescent="0.2">
      <c r="A1315" t="s">
        <v>3298</v>
      </c>
      <c r="B1315" t="s">
        <v>5839</v>
      </c>
      <c r="C1315" t="s">
        <v>3291</v>
      </c>
      <c r="D1315" t="s">
        <v>98</v>
      </c>
      <c r="E1315">
        <v>69.989999999999995</v>
      </c>
      <c r="F1315" t="s">
        <v>5817</v>
      </c>
      <c r="L1315" t="s">
        <v>5085</v>
      </c>
      <c r="M1315">
        <v>0</v>
      </c>
      <c r="N1315">
        <v>0</v>
      </c>
      <c r="O1315">
        <v>0</v>
      </c>
      <c r="P1315" t="s">
        <v>5819</v>
      </c>
    </row>
    <row r="1316" spans="1:16" x14ac:dyDescent="0.2">
      <c r="A1316" t="s">
        <v>3313</v>
      </c>
      <c r="B1316" t="s">
        <v>3314</v>
      </c>
      <c r="C1316" t="s">
        <v>3291</v>
      </c>
      <c r="D1316" t="s">
        <v>138</v>
      </c>
      <c r="E1316">
        <v>69.989999999999995</v>
      </c>
      <c r="F1316" t="s">
        <v>5817</v>
      </c>
      <c r="L1316" t="s">
        <v>5085</v>
      </c>
      <c r="M1316">
        <v>0</v>
      </c>
      <c r="N1316">
        <v>0</v>
      </c>
      <c r="O1316">
        <v>0</v>
      </c>
      <c r="P1316" t="s">
        <v>5819</v>
      </c>
    </row>
    <row r="1317" spans="1:16" x14ac:dyDescent="0.2">
      <c r="A1317" t="s">
        <v>3321</v>
      </c>
      <c r="B1317" t="s">
        <v>3322</v>
      </c>
      <c r="C1317" t="s">
        <v>3291</v>
      </c>
      <c r="D1317" t="s">
        <v>98</v>
      </c>
      <c r="E1317">
        <v>74.989999999999995</v>
      </c>
      <c r="F1317" t="s">
        <v>5817</v>
      </c>
      <c r="L1317" t="s">
        <v>5085</v>
      </c>
      <c r="M1317">
        <v>0</v>
      </c>
      <c r="N1317">
        <v>0</v>
      </c>
      <c r="O1317">
        <v>0</v>
      </c>
      <c r="P1317" t="s">
        <v>5819</v>
      </c>
    </row>
    <row r="1318" spans="1:16" x14ac:dyDescent="0.2">
      <c r="A1318" t="s">
        <v>3307</v>
      </c>
      <c r="B1318" t="s">
        <v>5843</v>
      </c>
      <c r="C1318" t="s">
        <v>3291</v>
      </c>
      <c r="D1318" t="s">
        <v>138</v>
      </c>
      <c r="E1318">
        <v>69.989999999999995</v>
      </c>
      <c r="F1318" t="s">
        <v>5817</v>
      </c>
      <c r="L1318" t="s">
        <v>5085</v>
      </c>
      <c r="M1318">
        <v>0</v>
      </c>
      <c r="N1318">
        <v>0</v>
      </c>
      <c r="O1318">
        <v>0</v>
      </c>
      <c r="P1318" t="s">
        <v>5819</v>
      </c>
    </row>
    <row r="1319" spans="1:16" x14ac:dyDescent="0.2">
      <c r="A1319" t="s">
        <v>3337</v>
      </c>
      <c r="B1319" t="s">
        <v>3338</v>
      </c>
      <c r="C1319" t="s">
        <v>3291</v>
      </c>
      <c r="D1319" t="s">
        <v>98</v>
      </c>
      <c r="E1319">
        <v>69.989999999999995</v>
      </c>
      <c r="F1319" t="s">
        <v>5817</v>
      </c>
      <c r="L1319" t="s">
        <v>5085</v>
      </c>
      <c r="M1319">
        <v>0</v>
      </c>
      <c r="N1319">
        <v>0</v>
      </c>
      <c r="O1319">
        <v>0</v>
      </c>
      <c r="P1319" t="s">
        <v>5819</v>
      </c>
    </row>
    <row r="1320" spans="1:16" x14ac:dyDescent="0.2">
      <c r="A1320" t="s">
        <v>3347</v>
      </c>
      <c r="B1320" t="s">
        <v>3348</v>
      </c>
      <c r="C1320" t="s">
        <v>3291</v>
      </c>
      <c r="D1320" t="s">
        <v>98</v>
      </c>
      <c r="E1320">
        <v>59.99</v>
      </c>
      <c r="F1320" t="s">
        <v>5817</v>
      </c>
      <c r="L1320" t="s">
        <v>5065</v>
      </c>
      <c r="M1320">
        <v>0</v>
      </c>
      <c r="N1320">
        <v>0</v>
      </c>
      <c r="P1320">
        <v>0</v>
      </c>
    </row>
    <row r="1321" spans="1:16" x14ac:dyDescent="0.2">
      <c r="A1321" t="s">
        <v>3345</v>
      </c>
      <c r="B1321" t="s">
        <v>3346</v>
      </c>
      <c r="C1321" t="s">
        <v>3291</v>
      </c>
      <c r="D1321" t="s">
        <v>98</v>
      </c>
      <c r="E1321">
        <v>59.99</v>
      </c>
      <c r="F1321" t="s">
        <v>5817</v>
      </c>
      <c r="L1321" t="s">
        <v>5065</v>
      </c>
      <c r="M1321">
        <v>0</v>
      </c>
      <c r="N1321">
        <v>0</v>
      </c>
      <c r="P1321">
        <v>0</v>
      </c>
    </row>
    <row r="1322" spans="1:16" x14ac:dyDescent="0.2">
      <c r="A1322" t="s">
        <v>3343</v>
      </c>
      <c r="B1322" t="s">
        <v>3344</v>
      </c>
      <c r="C1322" t="s">
        <v>3291</v>
      </c>
      <c r="D1322" t="s">
        <v>138</v>
      </c>
      <c r="E1322">
        <v>69.989999999999995</v>
      </c>
      <c r="F1322" t="s">
        <v>5817</v>
      </c>
      <c r="L1322" t="s">
        <v>5065</v>
      </c>
      <c r="M1322">
        <v>0</v>
      </c>
      <c r="N1322">
        <v>0</v>
      </c>
      <c r="P1322">
        <v>0</v>
      </c>
    </row>
    <row r="1323" spans="1:16" x14ac:dyDescent="0.2">
      <c r="A1323" t="s">
        <v>3323</v>
      </c>
      <c r="B1323" t="s">
        <v>3324</v>
      </c>
      <c r="C1323" t="s">
        <v>3291</v>
      </c>
      <c r="D1323" t="s">
        <v>98</v>
      </c>
      <c r="E1323">
        <v>74.989999999999995</v>
      </c>
      <c r="F1323" t="s">
        <v>5817</v>
      </c>
      <c r="L1323" t="s">
        <v>5065</v>
      </c>
      <c r="M1323">
        <v>0</v>
      </c>
      <c r="N1323">
        <v>0</v>
      </c>
      <c r="P1323">
        <v>0</v>
      </c>
    </row>
    <row r="1324" spans="1:16" x14ac:dyDescent="0.2">
      <c r="A1324" t="s">
        <v>3321</v>
      </c>
      <c r="B1324" t="s">
        <v>3322</v>
      </c>
      <c r="C1324" t="s">
        <v>3291</v>
      </c>
      <c r="D1324" t="s">
        <v>98</v>
      </c>
      <c r="E1324">
        <v>74.989999999999995</v>
      </c>
      <c r="F1324" t="s">
        <v>5817</v>
      </c>
      <c r="L1324" t="s">
        <v>5065</v>
      </c>
      <c r="M1324">
        <v>0</v>
      </c>
      <c r="N1324">
        <v>0</v>
      </c>
      <c r="P1324">
        <v>0</v>
      </c>
    </row>
    <row r="1325" spans="1:16" x14ac:dyDescent="0.2">
      <c r="A1325" t="s">
        <v>3319</v>
      </c>
      <c r="B1325" t="s">
        <v>3320</v>
      </c>
      <c r="C1325" t="s">
        <v>3291</v>
      </c>
      <c r="D1325" t="s">
        <v>98</v>
      </c>
      <c r="E1325">
        <v>59.99</v>
      </c>
      <c r="F1325" t="s">
        <v>5817</v>
      </c>
      <c r="L1325" t="s">
        <v>5065</v>
      </c>
      <c r="M1325">
        <v>0</v>
      </c>
      <c r="N1325">
        <v>0</v>
      </c>
      <c r="P1325">
        <v>0</v>
      </c>
    </row>
    <row r="1326" spans="1:16" x14ac:dyDescent="0.2">
      <c r="A1326" t="s">
        <v>3317</v>
      </c>
      <c r="B1326" t="s">
        <v>3318</v>
      </c>
      <c r="C1326" t="s">
        <v>3291</v>
      </c>
      <c r="D1326" t="s">
        <v>98</v>
      </c>
      <c r="E1326">
        <v>59.99</v>
      </c>
      <c r="F1326" t="s">
        <v>5817</v>
      </c>
      <c r="L1326" t="s">
        <v>5065</v>
      </c>
      <c r="M1326">
        <v>0</v>
      </c>
      <c r="N1326">
        <v>0</v>
      </c>
      <c r="P1326">
        <v>0</v>
      </c>
    </row>
    <row r="1327" spans="1:16" x14ac:dyDescent="0.2">
      <c r="A1327" t="s">
        <v>3315</v>
      </c>
      <c r="B1327" t="s">
        <v>3316</v>
      </c>
      <c r="C1327" t="s">
        <v>3291</v>
      </c>
      <c r="D1327" t="s">
        <v>98</v>
      </c>
      <c r="E1327">
        <v>59.99</v>
      </c>
      <c r="F1327" t="s">
        <v>5817</v>
      </c>
      <c r="L1327" t="s">
        <v>5065</v>
      </c>
      <c r="M1327">
        <v>0</v>
      </c>
      <c r="N1327">
        <v>0</v>
      </c>
      <c r="P1327">
        <v>0</v>
      </c>
    </row>
    <row r="1328" spans="1:16" x14ac:dyDescent="0.2">
      <c r="A1328" t="s">
        <v>3296</v>
      </c>
      <c r="B1328" t="s">
        <v>3297</v>
      </c>
      <c r="C1328" t="s">
        <v>3291</v>
      </c>
      <c r="D1328" t="s">
        <v>98</v>
      </c>
      <c r="E1328">
        <v>59.99</v>
      </c>
      <c r="F1328" t="s">
        <v>5817</v>
      </c>
      <c r="L1328" t="s">
        <v>5065</v>
      </c>
      <c r="M1328">
        <v>0</v>
      </c>
      <c r="N1328">
        <v>0</v>
      </c>
      <c r="P1328">
        <v>0</v>
      </c>
    </row>
    <row r="1329" spans="1:16" x14ac:dyDescent="0.2">
      <c r="A1329" t="s">
        <v>3294</v>
      </c>
      <c r="B1329" t="s">
        <v>3295</v>
      </c>
      <c r="C1329" t="s">
        <v>3291</v>
      </c>
      <c r="D1329" t="s">
        <v>98</v>
      </c>
      <c r="E1329">
        <v>59.99</v>
      </c>
      <c r="F1329" t="s">
        <v>5817</v>
      </c>
      <c r="L1329" t="s">
        <v>5065</v>
      </c>
      <c r="M1329">
        <v>0</v>
      </c>
      <c r="N1329">
        <v>0</v>
      </c>
      <c r="P1329">
        <v>0</v>
      </c>
    </row>
    <row r="1330" spans="1:16" x14ac:dyDescent="0.2">
      <c r="A1330" t="s">
        <v>3325</v>
      </c>
      <c r="B1330" t="s">
        <v>3326</v>
      </c>
      <c r="C1330" t="s">
        <v>3291</v>
      </c>
      <c r="D1330" t="s">
        <v>98</v>
      </c>
      <c r="E1330">
        <v>74.989999999999995</v>
      </c>
      <c r="F1330" t="s">
        <v>5817</v>
      </c>
      <c r="L1330" t="s">
        <v>5065</v>
      </c>
      <c r="M1330">
        <v>0</v>
      </c>
      <c r="N1330">
        <v>0</v>
      </c>
      <c r="P1330">
        <v>0</v>
      </c>
    </row>
    <row r="1331" spans="1:16" x14ac:dyDescent="0.2">
      <c r="A1331" t="s">
        <v>3341</v>
      </c>
      <c r="B1331" t="s">
        <v>3342</v>
      </c>
      <c r="C1331" t="s">
        <v>3291</v>
      </c>
      <c r="D1331" t="s">
        <v>98</v>
      </c>
      <c r="E1331">
        <v>59.99</v>
      </c>
      <c r="F1331" t="s">
        <v>5817</v>
      </c>
      <c r="L1331" t="s">
        <v>5065</v>
      </c>
      <c r="M1331">
        <v>0</v>
      </c>
      <c r="N1331">
        <v>0</v>
      </c>
      <c r="P1331">
        <v>0</v>
      </c>
    </row>
    <row r="1332" spans="1:16" x14ac:dyDescent="0.2">
      <c r="A1332" t="s">
        <v>3339</v>
      </c>
      <c r="B1332" t="s">
        <v>3340</v>
      </c>
      <c r="C1332" t="s">
        <v>3291</v>
      </c>
      <c r="D1332" t="s">
        <v>98</v>
      </c>
      <c r="E1332">
        <v>69.989999999999995</v>
      </c>
      <c r="F1332" t="s">
        <v>5817</v>
      </c>
      <c r="L1332" t="s">
        <v>5065</v>
      </c>
      <c r="M1332">
        <v>0</v>
      </c>
      <c r="N1332">
        <v>0</v>
      </c>
      <c r="P1332">
        <v>0</v>
      </c>
    </row>
    <row r="1333" spans="1:16" x14ac:dyDescent="0.2">
      <c r="A1333" t="s">
        <v>3337</v>
      </c>
      <c r="B1333" t="s">
        <v>3338</v>
      </c>
      <c r="C1333" t="s">
        <v>3291</v>
      </c>
      <c r="D1333" t="s">
        <v>98</v>
      </c>
      <c r="E1333">
        <v>69.989999999999995</v>
      </c>
      <c r="F1333" t="s">
        <v>5817</v>
      </c>
      <c r="L1333" t="s">
        <v>5065</v>
      </c>
      <c r="M1333">
        <v>0</v>
      </c>
      <c r="N1333">
        <v>0</v>
      </c>
      <c r="P1333">
        <v>0</v>
      </c>
    </row>
    <row r="1334" spans="1:16" x14ac:dyDescent="0.2">
      <c r="A1334" t="s">
        <v>3335</v>
      </c>
      <c r="B1334" t="s">
        <v>3336</v>
      </c>
      <c r="C1334" t="s">
        <v>3291</v>
      </c>
      <c r="D1334" t="s">
        <v>98</v>
      </c>
      <c r="E1334">
        <v>69.989999999999995</v>
      </c>
      <c r="F1334" t="s">
        <v>5817</v>
      </c>
      <c r="L1334" t="s">
        <v>5065</v>
      </c>
      <c r="M1334">
        <v>0</v>
      </c>
      <c r="N1334">
        <v>0</v>
      </c>
      <c r="P1334">
        <v>0</v>
      </c>
    </row>
    <row r="1335" spans="1:16" x14ac:dyDescent="0.2">
      <c r="A1335" t="s">
        <v>3333</v>
      </c>
      <c r="B1335" t="s">
        <v>3334</v>
      </c>
      <c r="C1335" t="s">
        <v>3291</v>
      </c>
      <c r="D1335" t="s">
        <v>98</v>
      </c>
      <c r="E1335">
        <v>74.989999999999995</v>
      </c>
      <c r="F1335" t="s">
        <v>5817</v>
      </c>
      <c r="L1335" t="s">
        <v>5065</v>
      </c>
      <c r="M1335">
        <v>0</v>
      </c>
      <c r="N1335">
        <v>0</v>
      </c>
      <c r="P1335">
        <v>0</v>
      </c>
    </row>
    <row r="1336" spans="1:16" x14ac:dyDescent="0.2">
      <c r="A1336" t="s">
        <v>3331</v>
      </c>
      <c r="B1336" t="s">
        <v>3332</v>
      </c>
      <c r="C1336" t="s">
        <v>3291</v>
      </c>
      <c r="D1336" t="s">
        <v>98</v>
      </c>
      <c r="E1336">
        <v>74.989999999999995</v>
      </c>
      <c r="F1336" t="s">
        <v>5817</v>
      </c>
      <c r="L1336" t="s">
        <v>5065</v>
      </c>
      <c r="M1336">
        <v>0</v>
      </c>
      <c r="N1336">
        <v>0</v>
      </c>
      <c r="P1336">
        <v>0</v>
      </c>
    </row>
    <row r="1337" spans="1:16" x14ac:dyDescent="0.2">
      <c r="A1337" t="s">
        <v>3329</v>
      </c>
      <c r="B1337" t="s">
        <v>3330</v>
      </c>
      <c r="C1337" t="s">
        <v>3291</v>
      </c>
      <c r="D1337" t="s">
        <v>98</v>
      </c>
      <c r="E1337">
        <v>74.989999999999995</v>
      </c>
      <c r="F1337" t="s">
        <v>5817</v>
      </c>
      <c r="L1337" t="s">
        <v>5065</v>
      </c>
      <c r="M1337">
        <v>0</v>
      </c>
      <c r="N1337">
        <v>0</v>
      </c>
      <c r="P1337">
        <v>0</v>
      </c>
    </row>
    <row r="1338" spans="1:16" x14ac:dyDescent="0.2">
      <c r="A1338" t="s">
        <v>3327</v>
      </c>
      <c r="B1338" t="s">
        <v>3328</v>
      </c>
      <c r="C1338" t="s">
        <v>3291</v>
      </c>
      <c r="D1338" t="s">
        <v>98</v>
      </c>
      <c r="E1338">
        <v>74.989999999999995</v>
      </c>
      <c r="F1338" t="s">
        <v>5817</v>
      </c>
      <c r="L1338" t="s">
        <v>5065</v>
      </c>
      <c r="M1338">
        <v>0</v>
      </c>
      <c r="N1338">
        <v>0</v>
      </c>
      <c r="P1338">
        <v>0</v>
      </c>
    </row>
    <row r="1339" spans="1:16" x14ac:dyDescent="0.2">
      <c r="A1339" t="s">
        <v>3292</v>
      </c>
      <c r="B1339" t="s">
        <v>3293</v>
      </c>
      <c r="C1339" t="s">
        <v>3291</v>
      </c>
      <c r="D1339" t="s">
        <v>98</v>
      </c>
      <c r="E1339">
        <v>59.99</v>
      </c>
      <c r="F1339" t="s">
        <v>5817</v>
      </c>
      <c r="L1339" t="s">
        <v>5065</v>
      </c>
      <c r="M1339">
        <v>0</v>
      </c>
      <c r="N1339">
        <v>0</v>
      </c>
      <c r="P1339">
        <v>0</v>
      </c>
    </row>
    <row r="1340" spans="1:16" x14ac:dyDescent="0.2">
      <c r="A1340" t="s">
        <v>3323</v>
      </c>
      <c r="B1340" t="s">
        <v>3324</v>
      </c>
      <c r="C1340" t="s">
        <v>3291</v>
      </c>
      <c r="D1340" t="s">
        <v>98</v>
      </c>
      <c r="E1340">
        <v>74.989999999999995</v>
      </c>
      <c r="F1340" t="s">
        <v>5817</v>
      </c>
      <c r="L1340" t="s">
        <v>8</v>
      </c>
      <c r="M1340">
        <v>0</v>
      </c>
      <c r="N1340">
        <v>0</v>
      </c>
      <c r="O1340">
        <v>0</v>
      </c>
      <c r="P1340">
        <v>0</v>
      </c>
    </row>
    <row r="1341" spans="1:16" x14ac:dyDescent="0.2">
      <c r="A1341" t="s">
        <v>3321</v>
      </c>
      <c r="B1341" t="s">
        <v>3322</v>
      </c>
      <c r="C1341" t="s">
        <v>3291</v>
      </c>
      <c r="D1341" t="s">
        <v>98</v>
      </c>
      <c r="E1341">
        <v>74.989999999999995</v>
      </c>
      <c r="F1341" t="s">
        <v>5817</v>
      </c>
      <c r="L1341" t="s">
        <v>8</v>
      </c>
      <c r="M1341">
        <v>0</v>
      </c>
      <c r="N1341">
        <v>0</v>
      </c>
      <c r="O1341">
        <v>0</v>
      </c>
      <c r="P1341">
        <v>0</v>
      </c>
    </row>
    <row r="1342" spans="1:16" x14ac:dyDescent="0.2">
      <c r="A1342" t="s">
        <v>3319</v>
      </c>
      <c r="B1342" t="s">
        <v>3320</v>
      </c>
      <c r="C1342" t="s">
        <v>3291</v>
      </c>
      <c r="D1342" t="s">
        <v>98</v>
      </c>
      <c r="E1342">
        <v>59.99</v>
      </c>
      <c r="F1342" t="s">
        <v>5817</v>
      </c>
      <c r="L1342" t="s">
        <v>8</v>
      </c>
      <c r="M1342">
        <v>0</v>
      </c>
      <c r="N1342">
        <v>0</v>
      </c>
      <c r="O1342">
        <v>0</v>
      </c>
      <c r="P1342">
        <v>0</v>
      </c>
    </row>
    <row r="1343" spans="1:16" x14ac:dyDescent="0.2">
      <c r="A1343" t="s">
        <v>3317</v>
      </c>
      <c r="B1343" t="s">
        <v>3318</v>
      </c>
      <c r="C1343" t="s">
        <v>3291</v>
      </c>
      <c r="D1343" t="s">
        <v>98</v>
      </c>
      <c r="E1343">
        <v>59.99</v>
      </c>
      <c r="F1343" t="s">
        <v>5817</v>
      </c>
      <c r="L1343" t="s">
        <v>8</v>
      </c>
      <c r="M1343">
        <v>0</v>
      </c>
      <c r="N1343">
        <v>0</v>
      </c>
      <c r="O1343">
        <v>0</v>
      </c>
      <c r="P1343">
        <v>0</v>
      </c>
    </row>
    <row r="1344" spans="1:16" x14ac:dyDescent="0.2">
      <c r="A1344" t="s">
        <v>3315</v>
      </c>
      <c r="B1344" t="s">
        <v>3316</v>
      </c>
      <c r="C1344" t="s">
        <v>3291</v>
      </c>
      <c r="D1344" t="s">
        <v>98</v>
      </c>
      <c r="E1344">
        <v>59.99</v>
      </c>
      <c r="F1344" t="s">
        <v>5817</v>
      </c>
      <c r="L1344" t="s">
        <v>8</v>
      </c>
      <c r="M1344">
        <v>0</v>
      </c>
      <c r="N1344">
        <v>0</v>
      </c>
      <c r="O1344">
        <v>0</v>
      </c>
      <c r="P1344">
        <v>0</v>
      </c>
    </row>
    <row r="1345" spans="1:16" x14ac:dyDescent="0.2">
      <c r="A1345" t="s">
        <v>3296</v>
      </c>
      <c r="B1345" t="s">
        <v>3297</v>
      </c>
      <c r="C1345" t="s">
        <v>3291</v>
      </c>
      <c r="D1345" t="s">
        <v>98</v>
      </c>
      <c r="E1345">
        <v>59.99</v>
      </c>
      <c r="F1345" t="s">
        <v>5817</v>
      </c>
      <c r="L1345" t="s">
        <v>8</v>
      </c>
      <c r="M1345">
        <v>0</v>
      </c>
      <c r="N1345">
        <v>0</v>
      </c>
      <c r="O1345">
        <v>0</v>
      </c>
      <c r="P1345">
        <v>0</v>
      </c>
    </row>
    <row r="1346" spans="1:16" x14ac:dyDescent="0.2">
      <c r="A1346" t="s">
        <v>3292</v>
      </c>
      <c r="B1346" t="s">
        <v>3293</v>
      </c>
      <c r="C1346" t="s">
        <v>3291</v>
      </c>
      <c r="D1346" t="s">
        <v>98</v>
      </c>
      <c r="E1346">
        <v>59.99</v>
      </c>
      <c r="F1346" t="s">
        <v>5817</v>
      </c>
      <c r="L1346" t="s">
        <v>8</v>
      </c>
      <c r="M1346">
        <v>0</v>
      </c>
      <c r="N1346">
        <v>0</v>
      </c>
      <c r="O1346">
        <v>0</v>
      </c>
      <c r="P1346">
        <v>0</v>
      </c>
    </row>
    <row r="1347" spans="1:16" x14ac:dyDescent="0.2">
      <c r="A1347" t="s">
        <v>3294</v>
      </c>
      <c r="B1347" t="s">
        <v>3295</v>
      </c>
      <c r="C1347" t="s">
        <v>3291</v>
      </c>
      <c r="D1347" t="s">
        <v>98</v>
      </c>
      <c r="E1347">
        <v>59.99</v>
      </c>
      <c r="F1347" t="s">
        <v>5817</v>
      </c>
      <c r="L1347" t="s">
        <v>8</v>
      </c>
      <c r="M1347">
        <v>0</v>
      </c>
      <c r="N1347">
        <v>0</v>
      </c>
      <c r="O1347">
        <v>0</v>
      </c>
      <c r="P1347">
        <v>0</v>
      </c>
    </row>
    <row r="1348" spans="1:16" x14ac:dyDescent="0.2">
      <c r="A1348" t="s">
        <v>3325</v>
      </c>
      <c r="B1348" t="s">
        <v>3326</v>
      </c>
      <c r="C1348" t="s">
        <v>3291</v>
      </c>
      <c r="D1348" t="s">
        <v>98</v>
      </c>
      <c r="E1348">
        <v>74.989999999999995</v>
      </c>
      <c r="F1348" t="s">
        <v>5817</v>
      </c>
      <c r="L1348" t="s">
        <v>8</v>
      </c>
      <c r="M1348">
        <v>0</v>
      </c>
      <c r="N1348">
        <v>0</v>
      </c>
      <c r="O1348">
        <v>0</v>
      </c>
      <c r="P1348">
        <v>0</v>
      </c>
    </row>
    <row r="1349" spans="1:16" x14ac:dyDescent="0.2">
      <c r="A1349" t="s">
        <v>3327</v>
      </c>
      <c r="B1349" t="s">
        <v>3328</v>
      </c>
      <c r="C1349" t="s">
        <v>3291</v>
      </c>
      <c r="D1349" t="s">
        <v>98</v>
      </c>
      <c r="E1349">
        <v>74.989999999999995</v>
      </c>
      <c r="F1349" t="s">
        <v>5817</v>
      </c>
      <c r="L1349" t="s">
        <v>8</v>
      </c>
      <c r="M1349">
        <v>0</v>
      </c>
      <c r="N1349">
        <v>0</v>
      </c>
      <c r="O1349">
        <v>0</v>
      </c>
      <c r="P1349">
        <v>0</v>
      </c>
    </row>
    <row r="1350" spans="1:16" x14ac:dyDescent="0.2">
      <c r="A1350" t="s">
        <v>3347</v>
      </c>
      <c r="B1350" t="s">
        <v>3348</v>
      </c>
      <c r="C1350" t="s">
        <v>3291</v>
      </c>
      <c r="D1350" t="s">
        <v>98</v>
      </c>
      <c r="E1350">
        <v>59.99</v>
      </c>
      <c r="F1350" t="s">
        <v>5817</v>
      </c>
      <c r="L1350" t="s">
        <v>8</v>
      </c>
      <c r="M1350">
        <v>0</v>
      </c>
      <c r="N1350">
        <v>0</v>
      </c>
      <c r="O1350">
        <v>0</v>
      </c>
      <c r="P1350">
        <v>0</v>
      </c>
    </row>
    <row r="1351" spans="1:16" x14ac:dyDescent="0.2">
      <c r="A1351" t="s">
        <v>3345</v>
      </c>
      <c r="B1351" t="s">
        <v>3346</v>
      </c>
      <c r="C1351" t="s">
        <v>3291</v>
      </c>
      <c r="D1351" t="s">
        <v>98</v>
      </c>
      <c r="E1351">
        <v>59.99</v>
      </c>
      <c r="F1351" t="s">
        <v>5817</v>
      </c>
      <c r="L1351" t="s">
        <v>8</v>
      </c>
      <c r="M1351">
        <v>0</v>
      </c>
      <c r="N1351">
        <v>0</v>
      </c>
      <c r="O1351">
        <v>0</v>
      </c>
      <c r="P1351">
        <v>0</v>
      </c>
    </row>
    <row r="1352" spans="1:16" x14ac:dyDescent="0.2">
      <c r="A1352" t="s">
        <v>3343</v>
      </c>
      <c r="B1352" t="s">
        <v>3344</v>
      </c>
      <c r="C1352" t="s">
        <v>3291</v>
      </c>
      <c r="D1352" t="s">
        <v>138</v>
      </c>
      <c r="E1352">
        <v>69.989999999999995</v>
      </c>
      <c r="F1352" t="s">
        <v>5817</v>
      </c>
      <c r="L1352" t="s">
        <v>8</v>
      </c>
      <c r="M1352">
        <v>0</v>
      </c>
      <c r="N1352">
        <v>0</v>
      </c>
      <c r="O1352">
        <v>0</v>
      </c>
      <c r="P1352">
        <v>0</v>
      </c>
    </row>
    <row r="1353" spans="1:16" x14ac:dyDescent="0.2">
      <c r="A1353" t="s">
        <v>3341</v>
      </c>
      <c r="B1353" t="s">
        <v>3342</v>
      </c>
      <c r="C1353" t="s">
        <v>3291</v>
      </c>
      <c r="D1353" t="s">
        <v>98</v>
      </c>
      <c r="E1353">
        <v>59.99</v>
      </c>
      <c r="F1353" t="s">
        <v>5817</v>
      </c>
      <c r="L1353" t="s">
        <v>8</v>
      </c>
      <c r="M1353">
        <v>0</v>
      </c>
      <c r="N1353">
        <v>0</v>
      </c>
      <c r="O1353">
        <v>0</v>
      </c>
      <c r="P1353">
        <v>0</v>
      </c>
    </row>
    <row r="1354" spans="1:16" x14ac:dyDescent="0.2">
      <c r="A1354" t="s">
        <v>3337</v>
      </c>
      <c r="B1354" t="s">
        <v>3338</v>
      </c>
      <c r="C1354" t="s">
        <v>3291</v>
      </c>
      <c r="D1354" t="s">
        <v>98</v>
      </c>
      <c r="E1354">
        <v>69.989999999999995</v>
      </c>
      <c r="F1354" t="s">
        <v>5817</v>
      </c>
      <c r="L1354" t="s">
        <v>8</v>
      </c>
      <c r="M1354">
        <v>0</v>
      </c>
      <c r="N1354">
        <v>0</v>
      </c>
      <c r="O1354">
        <v>0</v>
      </c>
      <c r="P1354">
        <v>0</v>
      </c>
    </row>
    <row r="1355" spans="1:16" x14ac:dyDescent="0.2">
      <c r="A1355" t="s">
        <v>3335</v>
      </c>
      <c r="B1355" t="s">
        <v>3336</v>
      </c>
      <c r="C1355" t="s">
        <v>3291</v>
      </c>
      <c r="D1355" t="s">
        <v>98</v>
      </c>
      <c r="E1355">
        <v>69.989999999999995</v>
      </c>
      <c r="F1355" t="s">
        <v>5817</v>
      </c>
      <c r="L1355" t="s">
        <v>8</v>
      </c>
      <c r="M1355">
        <v>0</v>
      </c>
      <c r="N1355">
        <v>0</v>
      </c>
      <c r="O1355">
        <v>0</v>
      </c>
      <c r="P1355">
        <v>0</v>
      </c>
    </row>
    <row r="1356" spans="1:16" x14ac:dyDescent="0.2">
      <c r="A1356" t="s">
        <v>3333</v>
      </c>
      <c r="B1356" t="s">
        <v>3334</v>
      </c>
      <c r="C1356" t="s">
        <v>3291</v>
      </c>
      <c r="D1356" t="s">
        <v>98</v>
      </c>
      <c r="E1356">
        <v>74.989999999999995</v>
      </c>
      <c r="F1356" t="s">
        <v>5817</v>
      </c>
      <c r="L1356" t="s">
        <v>8</v>
      </c>
      <c r="M1356">
        <v>0</v>
      </c>
      <c r="N1356">
        <v>0</v>
      </c>
      <c r="O1356">
        <v>0</v>
      </c>
      <c r="P1356">
        <v>0</v>
      </c>
    </row>
    <row r="1357" spans="1:16" x14ac:dyDescent="0.2">
      <c r="A1357" t="s">
        <v>3331</v>
      </c>
      <c r="B1357" t="s">
        <v>3332</v>
      </c>
      <c r="C1357" t="s">
        <v>3291</v>
      </c>
      <c r="D1357" t="s">
        <v>98</v>
      </c>
      <c r="E1357">
        <v>74.989999999999995</v>
      </c>
      <c r="F1357" t="s">
        <v>5817</v>
      </c>
      <c r="L1357" t="s">
        <v>8</v>
      </c>
      <c r="M1357">
        <v>0</v>
      </c>
      <c r="N1357">
        <v>0</v>
      </c>
      <c r="O1357">
        <v>0</v>
      </c>
      <c r="P1357">
        <v>0</v>
      </c>
    </row>
    <row r="1358" spans="1:16" x14ac:dyDescent="0.2">
      <c r="A1358" t="s">
        <v>3329</v>
      </c>
      <c r="B1358" t="s">
        <v>3330</v>
      </c>
      <c r="C1358" t="s">
        <v>3291</v>
      </c>
      <c r="D1358" t="s">
        <v>98</v>
      </c>
      <c r="E1358">
        <v>74.989999999999995</v>
      </c>
      <c r="F1358" t="s">
        <v>5817</v>
      </c>
      <c r="L1358" t="s">
        <v>8</v>
      </c>
      <c r="M1358">
        <v>0</v>
      </c>
      <c r="N1358">
        <v>0</v>
      </c>
      <c r="O1358">
        <v>0</v>
      </c>
      <c r="P1358">
        <v>0</v>
      </c>
    </row>
    <row r="1359" spans="1:16" x14ac:dyDescent="0.2">
      <c r="A1359" t="s">
        <v>3339</v>
      </c>
      <c r="B1359" t="s">
        <v>3340</v>
      </c>
      <c r="C1359" t="s">
        <v>3291</v>
      </c>
      <c r="D1359" t="s">
        <v>98</v>
      </c>
      <c r="E1359">
        <v>69.989999999999995</v>
      </c>
      <c r="F1359" t="s">
        <v>5817</v>
      </c>
      <c r="L1359" t="s">
        <v>8</v>
      </c>
      <c r="M1359">
        <v>0</v>
      </c>
      <c r="N1359">
        <v>0</v>
      </c>
      <c r="O1359">
        <v>0</v>
      </c>
      <c r="P1359">
        <v>0</v>
      </c>
    </row>
    <row r="1360" spans="1:16" x14ac:dyDescent="0.2">
      <c r="A1360" t="s">
        <v>3438</v>
      </c>
      <c r="B1360" t="s">
        <v>3439</v>
      </c>
      <c r="C1360" t="s">
        <v>3349</v>
      </c>
      <c r="D1360" t="s">
        <v>98</v>
      </c>
      <c r="E1360">
        <v>129.99</v>
      </c>
      <c r="F1360" t="s">
        <v>5817</v>
      </c>
      <c r="L1360" t="s">
        <v>73</v>
      </c>
      <c r="M1360">
        <v>0</v>
      </c>
      <c r="N1360">
        <v>0</v>
      </c>
      <c r="O1360">
        <v>0</v>
      </c>
      <c r="P1360">
        <v>0</v>
      </c>
    </row>
    <row r="1361" spans="1:16" x14ac:dyDescent="0.2">
      <c r="A1361" t="s">
        <v>3432</v>
      </c>
      <c r="B1361" t="s">
        <v>3433</v>
      </c>
      <c r="C1361" t="s">
        <v>3349</v>
      </c>
      <c r="D1361" t="s">
        <v>105</v>
      </c>
      <c r="E1361">
        <v>119.99</v>
      </c>
      <c r="F1361" t="s">
        <v>5817</v>
      </c>
      <c r="J1361">
        <v>9</v>
      </c>
      <c r="K1361">
        <v>40</v>
      </c>
      <c r="L1361" t="s">
        <v>73</v>
      </c>
      <c r="M1361">
        <v>0</v>
      </c>
      <c r="N1361">
        <v>0</v>
      </c>
      <c r="O1361">
        <v>0.66666666666666674</v>
      </c>
      <c r="P1361">
        <v>12</v>
      </c>
    </row>
    <row r="1362" spans="1:16" x14ac:dyDescent="0.2">
      <c r="A1362" t="s">
        <v>3430</v>
      </c>
      <c r="B1362" t="s">
        <v>3431</v>
      </c>
      <c r="C1362" t="s">
        <v>3349</v>
      </c>
      <c r="D1362" t="s">
        <v>105</v>
      </c>
      <c r="E1362">
        <v>49.99</v>
      </c>
      <c r="F1362" t="s">
        <v>5817</v>
      </c>
      <c r="G1362">
        <v>28</v>
      </c>
      <c r="I1362">
        <v>28</v>
      </c>
      <c r="K1362">
        <v>40</v>
      </c>
      <c r="L1362" t="s">
        <v>73</v>
      </c>
      <c r="M1362">
        <v>0</v>
      </c>
      <c r="N1362">
        <v>0</v>
      </c>
      <c r="O1362">
        <v>0.75</v>
      </c>
      <c r="P1362">
        <v>21</v>
      </c>
    </row>
    <row r="1363" spans="1:16" x14ac:dyDescent="0.2">
      <c r="A1363" t="s">
        <v>3428</v>
      </c>
      <c r="B1363" t="s">
        <v>3429</v>
      </c>
      <c r="C1363" t="s">
        <v>3349</v>
      </c>
      <c r="D1363" t="s">
        <v>138</v>
      </c>
      <c r="E1363">
        <v>49.99</v>
      </c>
      <c r="F1363" t="s">
        <v>5817</v>
      </c>
      <c r="L1363" t="s">
        <v>73</v>
      </c>
      <c r="M1363">
        <v>0</v>
      </c>
      <c r="N1363">
        <v>0</v>
      </c>
      <c r="O1363">
        <v>0</v>
      </c>
      <c r="P1363">
        <v>0</v>
      </c>
    </row>
    <row r="1364" spans="1:16" x14ac:dyDescent="0.2">
      <c r="A1364" t="s">
        <v>3448</v>
      </c>
      <c r="B1364" t="s">
        <v>3449</v>
      </c>
      <c r="C1364" t="s">
        <v>3349</v>
      </c>
      <c r="D1364" t="s">
        <v>105</v>
      </c>
      <c r="E1364">
        <v>379.99</v>
      </c>
      <c r="F1364" t="s">
        <v>5817</v>
      </c>
      <c r="G1364">
        <v>3</v>
      </c>
      <c r="I1364">
        <v>3</v>
      </c>
      <c r="L1364" t="s">
        <v>73</v>
      </c>
      <c r="M1364">
        <v>0</v>
      </c>
      <c r="N1364">
        <v>0</v>
      </c>
      <c r="O1364">
        <v>0.25</v>
      </c>
      <c r="P1364">
        <v>10</v>
      </c>
    </row>
    <row r="1365" spans="1:16" x14ac:dyDescent="0.2">
      <c r="A1365" t="s">
        <v>3446</v>
      </c>
      <c r="B1365" t="s">
        <v>3447</v>
      </c>
      <c r="C1365" t="s">
        <v>3349</v>
      </c>
      <c r="D1365" t="s">
        <v>98</v>
      </c>
      <c r="E1365">
        <v>559.99</v>
      </c>
      <c r="F1365" t="s">
        <v>5817</v>
      </c>
      <c r="L1365" t="s">
        <v>73</v>
      </c>
      <c r="M1365">
        <v>0</v>
      </c>
      <c r="N1365">
        <v>0</v>
      </c>
      <c r="O1365">
        <v>0</v>
      </c>
      <c r="P1365">
        <v>0</v>
      </c>
    </row>
    <row r="1366" spans="1:16" x14ac:dyDescent="0.2">
      <c r="A1366" t="s">
        <v>3444</v>
      </c>
      <c r="B1366" t="s">
        <v>3445</v>
      </c>
      <c r="C1366" t="s">
        <v>3349</v>
      </c>
      <c r="D1366" t="s">
        <v>105</v>
      </c>
      <c r="E1366">
        <v>119.99</v>
      </c>
      <c r="F1366" t="s">
        <v>5817</v>
      </c>
      <c r="G1366">
        <v>18</v>
      </c>
      <c r="I1366">
        <v>18</v>
      </c>
      <c r="L1366" t="s">
        <v>73</v>
      </c>
      <c r="M1366">
        <v>0</v>
      </c>
      <c r="N1366">
        <v>0</v>
      </c>
      <c r="O1366">
        <v>8.3333333333333329E-2</v>
      </c>
      <c r="P1366">
        <v>0</v>
      </c>
    </row>
    <row r="1367" spans="1:16" x14ac:dyDescent="0.2">
      <c r="A1367" t="s">
        <v>3426</v>
      </c>
      <c r="B1367" t="s">
        <v>3427</v>
      </c>
      <c r="C1367" t="s">
        <v>3349</v>
      </c>
      <c r="D1367" t="s">
        <v>98</v>
      </c>
      <c r="E1367">
        <v>129.99</v>
      </c>
      <c r="F1367" t="s">
        <v>5817</v>
      </c>
      <c r="L1367" t="s">
        <v>73</v>
      </c>
      <c r="M1367">
        <v>0</v>
      </c>
      <c r="N1367">
        <v>0</v>
      </c>
      <c r="O1367">
        <v>0</v>
      </c>
      <c r="P1367">
        <v>0</v>
      </c>
    </row>
    <row r="1368" spans="1:16" x14ac:dyDescent="0.2">
      <c r="A1368" t="s">
        <v>3414</v>
      </c>
      <c r="B1368" t="s">
        <v>3415</v>
      </c>
      <c r="C1368" t="s">
        <v>3349</v>
      </c>
      <c r="D1368" t="s">
        <v>138</v>
      </c>
      <c r="E1368">
        <v>89.99</v>
      </c>
      <c r="F1368" t="s">
        <v>5817</v>
      </c>
      <c r="L1368" t="s">
        <v>73</v>
      </c>
      <c r="M1368">
        <v>0</v>
      </c>
      <c r="N1368">
        <v>0</v>
      </c>
      <c r="O1368">
        <v>0</v>
      </c>
      <c r="P1368">
        <v>0</v>
      </c>
    </row>
    <row r="1369" spans="1:16" x14ac:dyDescent="0.2">
      <c r="A1369" t="s">
        <v>3412</v>
      </c>
      <c r="B1369" t="s">
        <v>3413</v>
      </c>
      <c r="C1369" t="s">
        <v>3349</v>
      </c>
      <c r="D1369" t="s">
        <v>105</v>
      </c>
      <c r="E1369">
        <v>149.99</v>
      </c>
      <c r="F1369" t="s">
        <v>5817</v>
      </c>
      <c r="J1369">
        <v>26</v>
      </c>
      <c r="K1369">
        <v>36</v>
      </c>
      <c r="L1369" t="s">
        <v>73</v>
      </c>
      <c r="M1369">
        <v>1.6</v>
      </c>
      <c r="N1369">
        <v>0.625</v>
      </c>
      <c r="O1369">
        <v>0.91666666666666663</v>
      </c>
      <c r="P1369">
        <v>1</v>
      </c>
    </row>
    <row r="1370" spans="1:16" x14ac:dyDescent="0.2">
      <c r="A1370" t="s">
        <v>3416</v>
      </c>
      <c r="B1370" t="s">
        <v>3417</v>
      </c>
      <c r="C1370" t="s">
        <v>3349</v>
      </c>
      <c r="D1370" t="s">
        <v>138</v>
      </c>
      <c r="E1370">
        <v>49.99</v>
      </c>
      <c r="F1370" t="s">
        <v>5817</v>
      </c>
      <c r="L1370" t="s">
        <v>73</v>
      </c>
      <c r="M1370">
        <v>0</v>
      </c>
      <c r="N1370">
        <v>0</v>
      </c>
      <c r="O1370">
        <v>0</v>
      </c>
      <c r="P1370">
        <v>0</v>
      </c>
    </row>
    <row r="1371" spans="1:16" x14ac:dyDescent="0.2">
      <c r="A1371" t="s">
        <v>3420</v>
      </c>
      <c r="B1371" t="s">
        <v>3421</v>
      </c>
      <c r="C1371" t="s">
        <v>3349</v>
      </c>
      <c r="D1371" t="s">
        <v>105</v>
      </c>
      <c r="E1371">
        <v>119.99</v>
      </c>
      <c r="F1371" t="s">
        <v>5817</v>
      </c>
      <c r="G1371">
        <v>18</v>
      </c>
      <c r="I1371">
        <v>18</v>
      </c>
      <c r="L1371" t="s">
        <v>73</v>
      </c>
      <c r="M1371">
        <v>0</v>
      </c>
      <c r="N1371">
        <v>0</v>
      </c>
      <c r="O1371">
        <v>0.41666666666666669</v>
      </c>
      <c r="P1371">
        <v>17</v>
      </c>
    </row>
    <row r="1372" spans="1:16" x14ac:dyDescent="0.2">
      <c r="A1372" t="s">
        <v>3418</v>
      </c>
      <c r="B1372" t="s">
        <v>3419</v>
      </c>
      <c r="C1372" t="s">
        <v>3349</v>
      </c>
      <c r="D1372" t="s">
        <v>105</v>
      </c>
      <c r="E1372">
        <v>49.99</v>
      </c>
      <c r="F1372" t="s">
        <v>5817</v>
      </c>
      <c r="G1372">
        <v>42</v>
      </c>
      <c r="I1372">
        <v>42</v>
      </c>
      <c r="K1372">
        <v>40</v>
      </c>
      <c r="L1372" t="s">
        <v>73</v>
      </c>
      <c r="M1372">
        <v>0</v>
      </c>
      <c r="N1372">
        <v>0</v>
      </c>
      <c r="O1372">
        <v>0.25</v>
      </c>
      <c r="P1372">
        <v>32</v>
      </c>
    </row>
    <row r="1373" spans="1:16" x14ac:dyDescent="0.2">
      <c r="A1373" t="s">
        <v>3458</v>
      </c>
      <c r="B1373" t="s">
        <v>3459</v>
      </c>
      <c r="C1373" t="s">
        <v>3349</v>
      </c>
      <c r="D1373" t="s">
        <v>105</v>
      </c>
      <c r="E1373">
        <v>19.989999999999998</v>
      </c>
      <c r="F1373" t="s">
        <v>5817</v>
      </c>
      <c r="G1373">
        <v>40</v>
      </c>
      <c r="I1373">
        <v>40</v>
      </c>
      <c r="L1373" t="s">
        <v>73</v>
      </c>
      <c r="M1373">
        <v>0</v>
      </c>
      <c r="N1373">
        <v>0</v>
      </c>
      <c r="O1373">
        <v>0</v>
      </c>
      <c r="P1373">
        <v>0</v>
      </c>
    </row>
    <row r="1374" spans="1:16" x14ac:dyDescent="0.2">
      <c r="A1374" t="s">
        <v>3484</v>
      </c>
      <c r="B1374" t="s">
        <v>3485</v>
      </c>
      <c r="C1374" t="s">
        <v>3349</v>
      </c>
      <c r="D1374" t="s">
        <v>138</v>
      </c>
      <c r="E1374">
        <v>529.99</v>
      </c>
      <c r="F1374" t="s">
        <v>5817</v>
      </c>
      <c r="L1374" t="s">
        <v>73</v>
      </c>
      <c r="M1374">
        <v>1</v>
      </c>
      <c r="N1374">
        <v>9</v>
      </c>
      <c r="O1374">
        <v>0.25</v>
      </c>
      <c r="P1374">
        <v>9</v>
      </c>
    </row>
    <row r="1375" spans="1:16" x14ac:dyDescent="0.2">
      <c r="A1375" t="s">
        <v>3470</v>
      </c>
      <c r="B1375" t="s">
        <v>3471</v>
      </c>
      <c r="C1375" t="s">
        <v>3349</v>
      </c>
      <c r="D1375" t="s">
        <v>105</v>
      </c>
      <c r="E1375">
        <v>19.989999999999998</v>
      </c>
      <c r="F1375" t="s">
        <v>5817</v>
      </c>
      <c r="G1375">
        <v>59</v>
      </c>
      <c r="I1375">
        <v>59</v>
      </c>
      <c r="L1375" t="s">
        <v>73</v>
      </c>
      <c r="M1375">
        <v>0</v>
      </c>
      <c r="N1375">
        <v>0</v>
      </c>
      <c r="O1375">
        <v>0</v>
      </c>
      <c r="P1375">
        <v>0</v>
      </c>
    </row>
    <row r="1376" spans="1:16" x14ac:dyDescent="0.2">
      <c r="A1376" t="s">
        <v>3472</v>
      </c>
      <c r="B1376" t="s">
        <v>3473</v>
      </c>
      <c r="C1376" t="s">
        <v>3349</v>
      </c>
      <c r="D1376" t="s">
        <v>105</v>
      </c>
      <c r="E1376">
        <v>19.989999999999998</v>
      </c>
      <c r="F1376" t="s">
        <v>5817</v>
      </c>
      <c r="G1376">
        <v>45</v>
      </c>
      <c r="I1376">
        <v>45</v>
      </c>
      <c r="L1376" t="s">
        <v>73</v>
      </c>
      <c r="M1376">
        <v>0</v>
      </c>
      <c r="N1376">
        <v>0</v>
      </c>
      <c r="O1376">
        <v>0</v>
      </c>
      <c r="P1376">
        <v>0</v>
      </c>
    </row>
    <row r="1377" spans="1:16" x14ac:dyDescent="0.2">
      <c r="A1377" t="s">
        <v>3480</v>
      </c>
      <c r="B1377" t="s">
        <v>3481</v>
      </c>
      <c r="C1377" t="s">
        <v>3349</v>
      </c>
      <c r="D1377" t="s">
        <v>138</v>
      </c>
      <c r="E1377">
        <v>189.99</v>
      </c>
      <c r="F1377" t="s">
        <v>5817</v>
      </c>
      <c r="G1377">
        <v>64</v>
      </c>
      <c r="I1377">
        <v>64</v>
      </c>
      <c r="L1377" t="s">
        <v>73</v>
      </c>
      <c r="M1377">
        <v>0</v>
      </c>
      <c r="N1377">
        <v>0</v>
      </c>
      <c r="O1377">
        <v>8.3333333333333329E-2</v>
      </c>
      <c r="P1377">
        <v>14</v>
      </c>
    </row>
    <row r="1378" spans="1:16" x14ac:dyDescent="0.2">
      <c r="A1378" t="s">
        <v>3478</v>
      </c>
      <c r="B1378" t="s">
        <v>3479</v>
      </c>
      <c r="C1378" t="s">
        <v>3349</v>
      </c>
      <c r="D1378" t="s">
        <v>105</v>
      </c>
      <c r="E1378">
        <v>189.99</v>
      </c>
      <c r="F1378" t="s">
        <v>5817</v>
      </c>
      <c r="G1378">
        <v>89</v>
      </c>
      <c r="I1378">
        <v>89</v>
      </c>
      <c r="L1378" t="s">
        <v>73</v>
      </c>
      <c r="M1378">
        <v>0</v>
      </c>
      <c r="N1378">
        <v>0</v>
      </c>
      <c r="O1378">
        <v>0.25</v>
      </c>
      <c r="P1378">
        <v>0</v>
      </c>
    </row>
    <row r="1379" spans="1:16" x14ac:dyDescent="0.2">
      <c r="A1379" t="s">
        <v>3474</v>
      </c>
      <c r="B1379" t="s">
        <v>3475</v>
      </c>
      <c r="C1379" t="s">
        <v>3349</v>
      </c>
      <c r="D1379" t="s">
        <v>105</v>
      </c>
      <c r="E1379">
        <v>119.99</v>
      </c>
      <c r="F1379" t="s">
        <v>5817</v>
      </c>
      <c r="G1379">
        <v>24</v>
      </c>
      <c r="I1379">
        <v>24</v>
      </c>
      <c r="L1379" t="s">
        <v>73</v>
      </c>
      <c r="M1379">
        <v>0</v>
      </c>
      <c r="N1379">
        <v>0</v>
      </c>
      <c r="O1379">
        <v>0</v>
      </c>
      <c r="P1379">
        <v>0</v>
      </c>
    </row>
    <row r="1380" spans="1:16" x14ac:dyDescent="0.2">
      <c r="A1380" t="s">
        <v>3482</v>
      </c>
      <c r="B1380" t="s">
        <v>3483</v>
      </c>
      <c r="C1380" t="s">
        <v>3349</v>
      </c>
      <c r="D1380" t="s">
        <v>105</v>
      </c>
      <c r="E1380">
        <v>249.99</v>
      </c>
      <c r="F1380" t="s">
        <v>5817</v>
      </c>
      <c r="J1380">
        <v>11</v>
      </c>
      <c r="L1380" t="s">
        <v>73</v>
      </c>
      <c r="M1380">
        <v>0</v>
      </c>
      <c r="N1380">
        <v>0</v>
      </c>
      <c r="O1380">
        <v>0</v>
      </c>
      <c r="P1380">
        <v>4</v>
      </c>
    </row>
    <row r="1381" spans="1:16" x14ac:dyDescent="0.2">
      <c r="A1381" t="s">
        <v>3468</v>
      </c>
      <c r="B1381" t="s">
        <v>3469</v>
      </c>
      <c r="C1381" t="s">
        <v>3349</v>
      </c>
      <c r="D1381" t="s">
        <v>138</v>
      </c>
      <c r="E1381">
        <v>529.99</v>
      </c>
      <c r="F1381" t="s">
        <v>5817</v>
      </c>
      <c r="L1381" t="s">
        <v>73</v>
      </c>
      <c r="M1381">
        <v>0</v>
      </c>
      <c r="N1381">
        <v>0</v>
      </c>
      <c r="O1381">
        <v>0</v>
      </c>
      <c r="P1381">
        <v>0</v>
      </c>
    </row>
    <row r="1382" spans="1:16" x14ac:dyDescent="0.2">
      <c r="A1382" t="s">
        <v>3462</v>
      </c>
      <c r="B1382" t="s">
        <v>3463</v>
      </c>
      <c r="C1382" t="s">
        <v>3349</v>
      </c>
      <c r="D1382" t="s">
        <v>105</v>
      </c>
      <c r="E1382">
        <v>119.99</v>
      </c>
      <c r="F1382" t="s">
        <v>5817</v>
      </c>
      <c r="G1382">
        <v>15</v>
      </c>
      <c r="I1382">
        <v>15</v>
      </c>
      <c r="L1382" t="s">
        <v>73</v>
      </c>
      <c r="M1382">
        <v>0</v>
      </c>
      <c r="N1382">
        <v>0</v>
      </c>
      <c r="O1382">
        <v>0</v>
      </c>
      <c r="P1382">
        <v>0</v>
      </c>
    </row>
    <row r="1383" spans="1:16" x14ac:dyDescent="0.2">
      <c r="A1383" t="s">
        <v>3460</v>
      </c>
      <c r="B1383" t="s">
        <v>3461</v>
      </c>
      <c r="C1383" t="s">
        <v>3349</v>
      </c>
      <c r="D1383" t="s">
        <v>105</v>
      </c>
      <c r="E1383">
        <v>24.99</v>
      </c>
      <c r="F1383" t="s">
        <v>5817</v>
      </c>
      <c r="G1383">
        <v>89</v>
      </c>
      <c r="I1383">
        <v>89</v>
      </c>
      <c r="L1383" t="s">
        <v>73</v>
      </c>
      <c r="M1383">
        <v>0</v>
      </c>
      <c r="N1383">
        <v>0</v>
      </c>
      <c r="O1383">
        <v>0</v>
      </c>
      <c r="P1383">
        <v>0</v>
      </c>
    </row>
    <row r="1384" spans="1:16" x14ac:dyDescent="0.2">
      <c r="A1384" t="s">
        <v>3488</v>
      </c>
      <c r="B1384" t="s">
        <v>3489</v>
      </c>
      <c r="C1384" t="s">
        <v>3349</v>
      </c>
      <c r="D1384" t="s">
        <v>105</v>
      </c>
      <c r="E1384">
        <v>369.99</v>
      </c>
      <c r="F1384" t="s">
        <v>5817</v>
      </c>
      <c r="J1384">
        <v>4</v>
      </c>
      <c r="L1384" t="s">
        <v>73</v>
      </c>
      <c r="M1384">
        <v>1</v>
      </c>
      <c r="N1384">
        <v>14</v>
      </c>
      <c r="O1384">
        <v>0.16666666666666666</v>
      </c>
      <c r="P1384">
        <v>14</v>
      </c>
    </row>
    <row r="1385" spans="1:16" x14ac:dyDescent="0.2">
      <c r="A1385" t="s">
        <v>3486</v>
      </c>
      <c r="B1385" t="s">
        <v>3487</v>
      </c>
      <c r="C1385" t="s">
        <v>3349</v>
      </c>
      <c r="D1385" t="s">
        <v>105</v>
      </c>
      <c r="E1385">
        <v>199.99</v>
      </c>
      <c r="F1385" t="s">
        <v>5817</v>
      </c>
      <c r="G1385">
        <v>48</v>
      </c>
      <c r="I1385">
        <v>48</v>
      </c>
      <c r="L1385" t="s">
        <v>73</v>
      </c>
      <c r="M1385">
        <v>0</v>
      </c>
      <c r="N1385">
        <v>0</v>
      </c>
      <c r="O1385">
        <v>0.16666666666666666</v>
      </c>
      <c r="P1385">
        <v>0</v>
      </c>
    </row>
    <row r="1386" spans="1:16" x14ac:dyDescent="0.2">
      <c r="A1386" t="s">
        <v>3466</v>
      </c>
      <c r="B1386" t="s">
        <v>3467</v>
      </c>
      <c r="C1386" t="s">
        <v>3349</v>
      </c>
      <c r="D1386" t="s">
        <v>105</v>
      </c>
      <c r="E1386">
        <v>369.99</v>
      </c>
      <c r="F1386" t="s">
        <v>5817</v>
      </c>
      <c r="G1386">
        <v>47</v>
      </c>
      <c r="I1386">
        <v>47</v>
      </c>
      <c r="L1386" t="s">
        <v>73</v>
      </c>
      <c r="M1386">
        <v>0</v>
      </c>
      <c r="N1386">
        <v>0</v>
      </c>
      <c r="O1386">
        <v>8.3333333333333329E-2</v>
      </c>
      <c r="P1386">
        <v>11</v>
      </c>
    </row>
    <row r="1387" spans="1:16" x14ac:dyDescent="0.2">
      <c r="A1387" t="s">
        <v>3464</v>
      </c>
      <c r="B1387" t="s">
        <v>3465</v>
      </c>
      <c r="C1387" t="s">
        <v>3349</v>
      </c>
      <c r="D1387" t="s">
        <v>105</v>
      </c>
      <c r="E1387">
        <v>229.99</v>
      </c>
      <c r="F1387" t="s">
        <v>5817</v>
      </c>
      <c r="G1387">
        <v>48</v>
      </c>
      <c r="I1387">
        <v>48</v>
      </c>
      <c r="L1387" t="s">
        <v>73</v>
      </c>
      <c r="M1387">
        <v>0</v>
      </c>
      <c r="N1387">
        <v>0</v>
      </c>
      <c r="O1387">
        <v>0</v>
      </c>
      <c r="P1387">
        <v>13</v>
      </c>
    </row>
    <row r="1388" spans="1:16" x14ac:dyDescent="0.2">
      <c r="A1388" t="s">
        <v>3354</v>
      </c>
      <c r="B1388" t="s">
        <v>3355</v>
      </c>
      <c r="C1388" t="s">
        <v>3349</v>
      </c>
      <c r="D1388" t="s">
        <v>105</v>
      </c>
      <c r="E1388">
        <v>239.99</v>
      </c>
      <c r="F1388" t="s">
        <v>5817</v>
      </c>
      <c r="G1388">
        <v>14</v>
      </c>
      <c r="I1388">
        <v>14</v>
      </c>
      <c r="K1388">
        <v>51</v>
      </c>
      <c r="L1388" t="s">
        <v>73</v>
      </c>
      <c r="M1388">
        <v>1.25</v>
      </c>
      <c r="N1388">
        <v>16</v>
      </c>
      <c r="O1388">
        <v>0.33333333333333326</v>
      </c>
      <c r="P1388">
        <v>20</v>
      </c>
    </row>
    <row r="1389" spans="1:16" x14ac:dyDescent="0.2">
      <c r="A1389" t="s">
        <v>3352</v>
      </c>
      <c r="B1389" t="s">
        <v>3353</v>
      </c>
      <c r="C1389" t="s">
        <v>3349</v>
      </c>
      <c r="D1389" t="s">
        <v>105</v>
      </c>
      <c r="E1389">
        <v>179.99</v>
      </c>
      <c r="F1389" t="s">
        <v>5817</v>
      </c>
      <c r="J1389">
        <v>131</v>
      </c>
      <c r="K1389">
        <v>204</v>
      </c>
      <c r="L1389" t="s">
        <v>73</v>
      </c>
      <c r="M1389">
        <v>0</v>
      </c>
      <c r="N1389">
        <v>0</v>
      </c>
      <c r="O1389">
        <v>1.3333333333333333</v>
      </c>
      <c r="P1389">
        <v>0</v>
      </c>
    </row>
    <row r="1390" spans="1:16" x14ac:dyDescent="0.2">
      <c r="A1390" t="s">
        <v>3386</v>
      </c>
      <c r="B1390" t="s">
        <v>3387</v>
      </c>
      <c r="C1390" t="s">
        <v>3349</v>
      </c>
      <c r="D1390" t="s">
        <v>98</v>
      </c>
      <c r="E1390">
        <v>359.99</v>
      </c>
      <c r="F1390" t="s">
        <v>5817</v>
      </c>
      <c r="L1390" t="s">
        <v>73</v>
      </c>
      <c r="M1390">
        <v>0</v>
      </c>
      <c r="N1390">
        <v>0</v>
      </c>
      <c r="O1390">
        <v>0</v>
      </c>
      <c r="P1390">
        <v>0</v>
      </c>
    </row>
    <row r="1391" spans="1:16" x14ac:dyDescent="0.2">
      <c r="A1391" t="s">
        <v>3400</v>
      </c>
      <c r="B1391" t="s">
        <v>3401</v>
      </c>
      <c r="C1391" t="s">
        <v>3349</v>
      </c>
      <c r="D1391" t="s">
        <v>105</v>
      </c>
      <c r="E1391">
        <v>64.989999999999995</v>
      </c>
      <c r="F1391" t="s">
        <v>5817</v>
      </c>
      <c r="G1391">
        <v>58</v>
      </c>
      <c r="I1391">
        <v>58</v>
      </c>
      <c r="L1391" t="s">
        <v>73</v>
      </c>
      <c r="M1391">
        <v>5.25</v>
      </c>
      <c r="N1391">
        <v>9.7142857142857135</v>
      </c>
      <c r="O1391">
        <v>0.33333333333333326</v>
      </c>
      <c r="P1391">
        <v>51</v>
      </c>
    </row>
    <row r="1392" spans="1:16" x14ac:dyDescent="0.2">
      <c r="A1392" t="s">
        <v>3406</v>
      </c>
      <c r="B1392" t="s">
        <v>3407</v>
      </c>
      <c r="C1392" t="s">
        <v>3349</v>
      </c>
      <c r="D1392" t="s">
        <v>138</v>
      </c>
      <c r="E1392">
        <v>34.99</v>
      </c>
      <c r="F1392" t="s">
        <v>5817</v>
      </c>
      <c r="L1392" t="s">
        <v>73</v>
      </c>
      <c r="M1392">
        <v>0</v>
      </c>
      <c r="N1392">
        <v>0</v>
      </c>
      <c r="O1392">
        <v>0.16666666666666666</v>
      </c>
      <c r="P1392">
        <v>0</v>
      </c>
    </row>
    <row r="1393" spans="1:16" x14ac:dyDescent="0.2">
      <c r="A1393" t="s">
        <v>3394</v>
      </c>
      <c r="B1393" t="s">
        <v>3395</v>
      </c>
      <c r="C1393" t="s">
        <v>3349</v>
      </c>
      <c r="D1393" t="s">
        <v>105</v>
      </c>
      <c r="E1393">
        <v>399.99</v>
      </c>
      <c r="F1393" t="s">
        <v>5817</v>
      </c>
      <c r="G1393">
        <v>36</v>
      </c>
      <c r="I1393">
        <v>36</v>
      </c>
      <c r="L1393" t="s">
        <v>73</v>
      </c>
      <c r="M1393">
        <v>1</v>
      </c>
      <c r="N1393">
        <v>10</v>
      </c>
      <c r="O1393">
        <v>0.25</v>
      </c>
      <c r="P1393">
        <v>10</v>
      </c>
    </row>
    <row r="1394" spans="1:16" x14ac:dyDescent="0.2">
      <c r="A1394" t="s">
        <v>3402</v>
      </c>
      <c r="B1394" t="s">
        <v>3403</v>
      </c>
      <c r="C1394" t="s">
        <v>3349</v>
      </c>
      <c r="D1394" t="s">
        <v>105</v>
      </c>
      <c r="E1394">
        <v>109.99</v>
      </c>
      <c r="F1394" t="s">
        <v>5817</v>
      </c>
      <c r="G1394">
        <v>3</v>
      </c>
      <c r="H1394" t="s">
        <v>5844</v>
      </c>
      <c r="I1394">
        <v>1</v>
      </c>
      <c r="L1394" t="s">
        <v>73</v>
      </c>
      <c r="M1394">
        <v>0</v>
      </c>
      <c r="N1394">
        <v>0</v>
      </c>
      <c r="O1394">
        <v>0</v>
      </c>
      <c r="P1394">
        <v>0</v>
      </c>
    </row>
    <row r="1395" spans="1:16" x14ac:dyDescent="0.2">
      <c r="A1395" t="s">
        <v>3392</v>
      </c>
      <c r="B1395" t="s">
        <v>3393</v>
      </c>
      <c r="C1395" t="s">
        <v>3349</v>
      </c>
      <c r="D1395" t="s">
        <v>105</v>
      </c>
      <c r="E1395">
        <v>139.99</v>
      </c>
      <c r="F1395" t="s">
        <v>5817</v>
      </c>
      <c r="G1395">
        <v>43</v>
      </c>
      <c r="I1395">
        <v>43</v>
      </c>
      <c r="L1395" t="s">
        <v>73</v>
      </c>
      <c r="M1395">
        <v>0</v>
      </c>
      <c r="N1395">
        <v>0</v>
      </c>
      <c r="O1395">
        <v>0</v>
      </c>
      <c r="P1395">
        <v>0</v>
      </c>
    </row>
    <row r="1396" spans="1:16" x14ac:dyDescent="0.2">
      <c r="A1396" t="s">
        <v>3410</v>
      </c>
      <c r="B1396" t="s">
        <v>3411</v>
      </c>
      <c r="C1396" t="s">
        <v>3349</v>
      </c>
      <c r="D1396" t="s">
        <v>138</v>
      </c>
      <c r="E1396">
        <v>99.99</v>
      </c>
      <c r="F1396" t="s">
        <v>5817</v>
      </c>
      <c r="G1396">
        <v>9</v>
      </c>
      <c r="H1396" t="s">
        <v>5823</v>
      </c>
      <c r="I1396">
        <v>8</v>
      </c>
      <c r="L1396" t="s">
        <v>73</v>
      </c>
      <c r="M1396">
        <v>1.7999999999999998</v>
      </c>
      <c r="N1396">
        <v>31.666666666666671</v>
      </c>
      <c r="O1396">
        <v>0.75</v>
      </c>
      <c r="P1396">
        <v>57</v>
      </c>
    </row>
    <row r="1397" spans="1:16" x14ac:dyDescent="0.2">
      <c r="A1397" t="s">
        <v>3408</v>
      </c>
      <c r="B1397" t="s">
        <v>3409</v>
      </c>
      <c r="C1397" t="s">
        <v>3349</v>
      </c>
      <c r="D1397" t="s">
        <v>138</v>
      </c>
      <c r="E1397">
        <v>59.99</v>
      </c>
      <c r="F1397" t="s">
        <v>5817</v>
      </c>
      <c r="L1397" t="s">
        <v>73</v>
      </c>
      <c r="M1397">
        <v>1</v>
      </c>
      <c r="N1397">
        <v>6</v>
      </c>
      <c r="O1397">
        <v>0.41666666666666669</v>
      </c>
      <c r="P1397">
        <v>6</v>
      </c>
    </row>
    <row r="1398" spans="1:16" x14ac:dyDescent="0.2">
      <c r="A1398" t="s">
        <v>3480</v>
      </c>
      <c r="B1398" t="s">
        <v>3481</v>
      </c>
      <c r="C1398" t="s">
        <v>3349</v>
      </c>
      <c r="D1398" t="s">
        <v>138</v>
      </c>
      <c r="E1398">
        <v>189.99</v>
      </c>
      <c r="F1398" t="s">
        <v>5817</v>
      </c>
      <c r="G1398">
        <v>64</v>
      </c>
      <c r="I1398">
        <v>64</v>
      </c>
      <c r="L1398" t="s">
        <v>5818</v>
      </c>
      <c r="M1398">
        <v>0</v>
      </c>
      <c r="N1398">
        <v>0</v>
      </c>
      <c r="P1398">
        <v>40</v>
      </c>
    </row>
    <row r="1399" spans="1:16" x14ac:dyDescent="0.2">
      <c r="A1399" t="s">
        <v>3484</v>
      </c>
      <c r="B1399" t="s">
        <v>3485</v>
      </c>
      <c r="C1399" t="s">
        <v>3349</v>
      </c>
      <c r="D1399" t="s">
        <v>138</v>
      </c>
      <c r="E1399">
        <v>529.99</v>
      </c>
      <c r="F1399" t="s">
        <v>5817</v>
      </c>
      <c r="L1399" t="s">
        <v>5818</v>
      </c>
      <c r="M1399">
        <v>0</v>
      </c>
      <c r="N1399">
        <v>0</v>
      </c>
      <c r="O1399">
        <v>0</v>
      </c>
      <c r="P1399" t="s">
        <v>5819</v>
      </c>
    </row>
    <row r="1400" spans="1:16" x14ac:dyDescent="0.2">
      <c r="A1400" t="s">
        <v>3486</v>
      </c>
      <c r="B1400" t="s">
        <v>3487</v>
      </c>
      <c r="C1400" t="s">
        <v>3349</v>
      </c>
      <c r="D1400" t="s">
        <v>105</v>
      </c>
      <c r="E1400">
        <v>199.99</v>
      </c>
      <c r="F1400" t="s">
        <v>5817</v>
      </c>
      <c r="G1400">
        <v>48</v>
      </c>
      <c r="I1400">
        <v>48</v>
      </c>
      <c r="L1400" t="s">
        <v>5818</v>
      </c>
      <c r="M1400">
        <v>0</v>
      </c>
      <c r="N1400">
        <v>0</v>
      </c>
      <c r="P1400">
        <v>22</v>
      </c>
    </row>
    <row r="1401" spans="1:16" x14ac:dyDescent="0.2">
      <c r="A1401" t="s">
        <v>3488</v>
      </c>
      <c r="B1401" t="s">
        <v>3489</v>
      </c>
      <c r="C1401" t="s">
        <v>3349</v>
      </c>
      <c r="D1401" t="s">
        <v>105</v>
      </c>
      <c r="E1401">
        <v>369.99</v>
      </c>
      <c r="F1401" t="s">
        <v>5817</v>
      </c>
      <c r="J1401">
        <v>4</v>
      </c>
      <c r="L1401" t="s">
        <v>5818</v>
      </c>
      <c r="M1401">
        <v>0</v>
      </c>
      <c r="N1401">
        <v>0</v>
      </c>
      <c r="P1401">
        <v>31</v>
      </c>
    </row>
    <row r="1402" spans="1:16" x14ac:dyDescent="0.2">
      <c r="A1402" t="s">
        <v>3394</v>
      </c>
      <c r="B1402" t="s">
        <v>3395</v>
      </c>
      <c r="C1402" t="s">
        <v>3349</v>
      </c>
      <c r="D1402" t="s">
        <v>105</v>
      </c>
      <c r="E1402">
        <v>399.99</v>
      </c>
      <c r="F1402" t="s">
        <v>5817</v>
      </c>
      <c r="G1402">
        <v>36</v>
      </c>
      <c r="I1402">
        <v>36</v>
      </c>
      <c r="L1402" t="s">
        <v>5818</v>
      </c>
      <c r="M1402">
        <v>0</v>
      </c>
      <c r="N1402">
        <v>0</v>
      </c>
      <c r="P1402">
        <v>15</v>
      </c>
    </row>
    <row r="1403" spans="1:16" x14ac:dyDescent="0.2">
      <c r="A1403" t="s">
        <v>3392</v>
      </c>
      <c r="B1403" t="s">
        <v>3393</v>
      </c>
      <c r="C1403" t="s">
        <v>3349</v>
      </c>
      <c r="D1403" t="s">
        <v>105</v>
      </c>
      <c r="E1403">
        <v>139.99</v>
      </c>
      <c r="F1403" t="s">
        <v>5817</v>
      </c>
      <c r="G1403">
        <v>43</v>
      </c>
      <c r="I1403">
        <v>43</v>
      </c>
      <c r="L1403" t="s">
        <v>5818</v>
      </c>
      <c r="M1403">
        <v>0</v>
      </c>
      <c r="N1403">
        <v>0</v>
      </c>
      <c r="P1403">
        <v>11</v>
      </c>
    </row>
    <row r="1404" spans="1:16" x14ac:dyDescent="0.2">
      <c r="A1404" t="s">
        <v>3386</v>
      </c>
      <c r="B1404" t="s">
        <v>3387</v>
      </c>
      <c r="C1404" t="s">
        <v>3349</v>
      </c>
      <c r="D1404" t="s">
        <v>98</v>
      </c>
      <c r="E1404">
        <v>359.99</v>
      </c>
      <c r="F1404" t="s">
        <v>5817</v>
      </c>
      <c r="L1404" t="s">
        <v>5818</v>
      </c>
      <c r="M1404">
        <v>0</v>
      </c>
      <c r="N1404">
        <v>0</v>
      </c>
      <c r="O1404">
        <v>0</v>
      </c>
      <c r="P1404" t="s">
        <v>5819</v>
      </c>
    </row>
    <row r="1405" spans="1:16" x14ac:dyDescent="0.2">
      <c r="A1405" t="s">
        <v>3414</v>
      </c>
      <c r="B1405" t="s">
        <v>3415</v>
      </c>
      <c r="C1405" t="s">
        <v>3349</v>
      </c>
      <c r="D1405" t="s">
        <v>138</v>
      </c>
      <c r="E1405">
        <v>89.99</v>
      </c>
      <c r="F1405" t="s">
        <v>5817</v>
      </c>
      <c r="L1405" t="s">
        <v>5818</v>
      </c>
      <c r="M1405">
        <v>0</v>
      </c>
      <c r="N1405">
        <v>0</v>
      </c>
      <c r="P1405">
        <v>4</v>
      </c>
    </row>
    <row r="1406" spans="1:16" x14ac:dyDescent="0.2">
      <c r="A1406" t="s">
        <v>3412</v>
      </c>
      <c r="B1406" t="s">
        <v>3413</v>
      </c>
      <c r="C1406" t="s">
        <v>3349</v>
      </c>
      <c r="D1406" t="s">
        <v>105</v>
      </c>
      <c r="E1406">
        <v>149.99</v>
      </c>
      <c r="F1406" t="s">
        <v>5817</v>
      </c>
      <c r="J1406">
        <v>26</v>
      </c>
      <c r="K1406">
        <v>36</v>
      </c>
      <c r="L1406" t="s">
        <v>5818</v>
      </c>
      <c r="M1406">
        <v>0</v>
      </c>
      <c r="N1406">
        <v>0</v>
      </c>
      <c r="P1406">
        <v>28</v>
      </c>
    </row>
    <row r="1407" spans="1:16" x14ac:dyDescent="0.2">
      <c r="A1407" t="s">
        <v>3410</v>
      </c>
      <c r="B1407" t="s">
        <v>3411</v>
      </c>
      <c r="C1407" t="s">
        <v>3349</v>
      </c>
      <c r="D1407" t="s">
        <v>138</v>
      </c>
      <c r="E1407">
        <v>99.99</v>
      </c>
      <c r="F1407" t="s">
        <v>5817</v>
      </c>
      <c r="G1407">
        <v>9</v>
      </c>
      <c r="H1407" t="s">
        <v>5823</v>
      </c>
      <c r="I1407">
        <v>8</v>
      </c>
      <c r="L1407" t="s">
        <v>5818</v>
      </c>
      <c r="M1407">
        <v>0</v>
      </c>
      <c r="N1407">
        <v>0</v>
      </c>
      <c r="P1407">
        <v>81</v>
      </c>
    </row>
    <row r="1408" spans="1:16" x14ac:dyDescent="0.2">
      <c r="A1408" t="s">
        <v>3408</v>
      </c>
      <c r="B1408" t="s">
        <v>3409</v>
      </c>
      <c r="C1408" t="s">
        <v>3349</v>
      </c>
      <c r="D1408" t="s">
        <v>138</v>
      </c>
      <c r="E1408">
        <v>59.99</v>
      </c>
      <c r="F1408" t="s">
        <v>5817</v>
      </c>
      <c r="L1408" t="s">
        <v>5818</v>
      </c>
      <c r="M1408">
        <v>0</v>
      </c>
      <c r="N1408">
        <v>0</v>
      </c>
      <c r="P1408">
        <v>2</v>
      </c>
    </row>
    <row r="1409" spans="1:16" x14ac:dyDescent="0.2">
      <c r="A1409" t="s">
        <v>3406</v>
      </c>
      <c r="B1409" t="s">
        <v>3407</v>
      </c>
      <c r="C1409" t="s">
        <v>3349</v>
      </c>
      <c r="D1409" t="s">
        <v>138</v>
      </c>
      <c r="E1409">
        <v>34.99</v>
      </c>
      <c r="F1409" t="s">
        <v>5817</v>
      </c>
      <c r="L1409" t="s">
        <v>5818</v>
      </c>
      <c r="M1409">
        <v>0</v>
      </c>
      <c r="N1409">
        <v>0</v>
      </c>
      <c r="P1409">
        <v>2</v>
      </c>
    </row>
    <row r="1410" spans="1:16" x14ac:dyDescent="0.2">
      <c r="A1410" t="s">
        <v>3354</v>
      </c>
      <c r="B1410" t="s">
        <v>3355</v>
      </c>
      <c r="C1410" t="s">
        <v>3349</v>
      </c>
      <c r="D1410" t="s">
        <v>105</v>
      </c>
      <c r="E1410">
        <v>239.99</v>
      </c>
      <c r="F1410" t="s">
        <v>5817</v>
      </c>
      <c r="G1410">
        <v>14</v>
      </c>
      <c r="I1410">
        <v>14</v>
      </c>
      <c r="K1410">
        <v>51</v>
      </c>
      <c r="L1410" t="s">
        <v>5818</v>
      </c>
      <c r="M1410">
        <v>0</v>
      </c>
      <c r="N1410">
        <v>0</v>
      </c>
      <c r="P1410">
        <v>23</v>
      </c>
    </row>
    <row r="1411" spans="1:16" x14ac:dyDescent="0.2">
      <c r="A1411" t="s">
        <v>3352</v>
      </c>
      <c r="B1411" t="s">
        <v>3353</v>
      </c>
      <c r="C1411" t="s">
        <v>3349</v>
      </c>
      <c r="D1411" t="s">
        <v>105</v>
      </c>
      <c r="E1411">
        <v>179.99</v>
      </c>
      <c r="F1411" t="s">
        <v>5817</v>
      </c>
      <c r="J1411">
        <v>131</v>
      </c>
      <c r="K1411">
        <v>204</v>
      </c>
      <c r="L1411" t="s">
        <v>5818</v>
      </c>
      <c r="M1411">
        <v>6</v>
      </c>
      <c r="N1411">
        <v>5.833333333333333</v>
      </c>
      <c r="P1411">
        <v>35</v>
      </c>
    </row>
    <row r="1412" spans="1:16" x14ac:dyDescent="0.2">
      <c r="A1412" t="s">
        <v>3416</v>
      </c>
      <c r="B1412" t="s">
        <v>3417</v>
      </c>
      <c r="C1412" t="s">
        <v>3349</v>
      </c>
      <c r="D1412" t="s">
        <v>138</v>
      </c>
      <c r="E1412">
        <v>49.99</v>
      </c>
      <c r="F1412" t="s">
        <v>5817</v>
      </c>
      <c r="L1412" t="s">
        <v>5818</v>
      </c>
      <c r="M1412">
        <v>0</v>
      </c>
      <c r="N1412">
        <v>0</v>
      </c>
      <c r="P1412">
        <v>3</v>
      </c>
    </row>
    <row r="1413" spans="1:16" x14ac:dyDescent="0.2">
      <c r="A1413" t="s">
        <v>3464</v>
      </c>
      <c r="B1413" t="s">
        <v>3465</v>
      </c>
      <c r="C1413" t="s">
        <v>3349</v>
      </c>
      <c r="D1413" t="s">
        <v>105</v>
      </c>
      <c r="E1413">
        <v>229.99</v>
      </c>
      <c r="F1413" t="s">
        <v>5817</v>
      </c>
      <c r="G1413">
        <v>48</v>
      </c>
      <c r="I1413">
        <v>48</v>
      </c>
      <c r="L1413" t="s">
        <v>5818</v>
      </c>
      <c r="M1413">
        <v>0</v>
      </c>
      <c r="N1413">
        <v>0</v>
      </c>
      <c r="P1413">
        <v>35</v>
      </c>
    </row>
    <row r="1414" spans="1:16" x14ac:dyDescent="0.2">
      <c r="A1414" t="s">
        <v>3462</v>
      </c>
      <c r="B1414" t="s">
        <v>3463</v>
      </c>
      <c r="C1414" t="s">
        <v>3349</v>
      </c>
      <c r="D1414" t="s">
        <v>105</v>
      </c>
      <c r="E1414">
        <v>119.99</v>
      </c>
      <c r="F1414" t="s">
        <v>5817</v>
      </c>
      <c r="G1414">
        <v>15</v>
      </c>
      <c r="I1414">
        <v>15</v>
      </c>
      <c r="L1414" t="s">
        <v>5818</v>
      </c>
      <c r="M1414">
        <v>0</v>
      </c>
      <c r="N1414">
        <v>0</v>
      </c>
      <c r="P1414">
        <v>15</v>
      </c>
    </row>
    <row r="1415" spans="1:16" x14ac:dyDescent="0.2">
      <c r="A1415" t="s">
        <v>3460</v>
      </c>
      <c r="B1415" t="s">
        <v>3461</v>
      </c>
      <c r="C1415" t="s">
        <v>3349</v>
      </c>
      <c r="D1415" t="s">
        <v>105</v>
      </c>
      <c r="E1415">
        <v>24.99</v>
      </c>
      <c r="F1415" t="s">
        <v>5817</v>
      </c>
      <c r="G1415">
        <v>89</v>
      </c>
      <c r="I1415">
        <v>89</v>
      </c>
      <c r="L1415" t="s">
        <v>5818</v>
      </c>
      <c r="M1415">
        <v>0</v>
      </c>
      <c r="N1415">
        <v>0</v>
      </c>
      <c r="O1415">
        <v>0</v>
      </c>
      <c r="P1415" t="s">
        <v>5819</v>
      </c>
    </row>
    <row r="1416" spans="1:16" x14ac:dyDescent="0.2">
      <c r="A1416" t="s">
        <v>3466</v>
      </c>
      <c r="B1416" t="s">
        <v>3467</v>
      </c>
      <c r="C1416" t="s">
        <v>3349</v>
      </c>
      <c r="D1416" t="s">
        <v>105</v>
      </c>
      <c r="E1416">
        <v>369.99</v>
      </c>
      <c r="F1416" t="s">
        <v>5817</v>
      </c>
      <c r="G1416">
        <v>47</v>
      </c>
      <c r="I1416">
        <v>47</v>
      </c>
      <c r="L1416" t="s">
        <v>5818</v>
      </c>
      <c r="M1416">
        <v>0</v>
      </c>
      <c r="N1416">
        <v>0</v>
      </c>
      <c r="P1416">
        <v>21</v>
      </c>
    </row>
    <row r="1417" spans="1:16" x14ac:dyDescent="0.2">
      <c r="A1417" t="s">
        <v>3478</v>
      </c>
      <c r="B1417" t="s">
        <v>3479</v>
      </c>
      <c r="C1417" t="s">
        <v>3349</v>
      </c>
      <c r="D1417" t="s">
        <v>105</v>
      </c>
      <c r="E1417">
        <v>189.99</v>
      </c>
      <c r="F1417" t="s">
        <v>5817</v>
      </c>
      <c r="G1417">
        <v>89</v>
      </c>
      <c r="I1417">
        <v>89</v>
      </c>
      <c r="L1417" t="s">
        <v>5818</v>
      </c>
      <c r="M1417">
        <v>0</v>
      </c>
      <c r="N1417">
        <v>0</v>
      </c>
      <c r="O1417">
        <v>0</v>
      </c>
      <c r="P1417" t="s">
        <v>5819</v>
      </c>
    </row>
    <row r="1418" spans="1:16" x14ac:dyDescent="0.2">
      <c r="A1418" t="s">
        <v>3474</v>
      </c>
      <c r="B1418" t="s">
        <v>3475</v>
      </c>
      <c r="C1418" t="s">
        <v>3349</v>
      </c>
      <c r="D1418" t="s">
        <v>105</v>
      </c>
      <c r="E1418">
        <v>119.99</v>
      </c>
      <c r="F1418" t="s">
        <v>5817</v>
      </c>
      <c r="G1418">
        <v>24</v>
      </c>
      <c r="I1418">
        <v>24</v>
      </c>
      <c r="L1418" t="s">
        <v>5818</v>
      </c>
      <c r="M1418">
        <v>0</v>
      </c>
      <c r="N1418">
        <v>0</v>
      </c>
      <c r="P1418">
        <v>33</v>
      </c>
    </row>
    <row r="1419" spans="1:16" x14ac:dyDescent="0.2">
      <c r="A1419" t="s">
        <v>3472</v>
      </c>
      <c r="B1419" t="s">
        <v>3473</v>
      </c>
      <c r="C1419" t="s">
        <v>3349</v>
      </c>
      <c r="D1419" t="s">
        <v>105</v>
      </c>
      <c r="E1419">
        <v>19.989999999999998</v>
      </c>
      <c r="F1419" t="s">
        <v>5817</v>
      </c>
      <c r="G1419">
        <v>45</v>
      </c>
      <c r="I1419">
        <v>45</v>
      </c>
      <c r="L1419" t="s">
        <v>5818</v>
      </c>
      <c r="M1419">
        <v>0</v>
      </c>
      <c r="N1419">
        <v>0</v>
      </c>
      <c r="O1419">
        <v>0</v>
      </c>
      <c r="P1419" t="s">
        <v>5819</v>
      </c>
    </row>
    <row r="1420" spans="1:16" x14ac:dyDescent="0.2">
      <c r="A1420" t="s">
        <v>3470</v>
      </c>
      <c r="B1420" t="s">
        <v>3471</v>
      </c>
      <c r="C1420" t="s">
        <v>3349</v>
      </c>
      <c r="D1420" t="s">
        <v>105</v>
      </c>
      <c r="E1420">
        <v>19.989999999999998</v>
      </c>
      <c r="F1420" t="s">
        <v>5817</v>
      </c>
      <c r="G1420">
        <v>59</v>
      </c>
      <c r="I1420">
        <v>59</v>
      </c>
      <c r="L1420" t="s">
        <v>5818</v>
      </c>
      <c r="M1420">
        <v>0</v>
      </c>
      <c r="N1420">
        <v>0</v>
      </c>
      <c r="O1420">
        <v>0</v>
      </c>
      <c r="P1420" t="s">
        <v>5819</v>
      </c>
    </row>
    <row r="1421" spans="1:16" x14ac:dyDescent="0.2">
      <c r="A1421" t="s">
        <v>3468</v>
      </c>
      <c r="B1421" t="s">
        <v>3469</v>
      </c>
      <c r="C1421" t="s">
        <v>3349</v>
      </c>
      <c r="D1421" t="s">
        <v>138</v>
      </c>
      <c r="E1421">
        <v>529.99</v>
      </c>
      <c r="F1421" t="s">
        <v>5817</v>
      </c>
      <c r="L1421" t="s">
        <v>5818</v>
      </c>
      <c r="M1421">
        <v>0</v>
      </c>
      <c r="N1421">
        <v>0</v>
      </c>
      <c r="O1421">
        <v>0</v>
      </c>
      <c r="P1421" t="s">
        <v>5819</v>
      </c>
    </row>
    <row r="1422" spans="1:16" x14ac:dyDescent="0.2">
      <c r="A1422" t="s">
        <v>3430</v>
      </c>
      <c r="B1422" t="s">
        <v>3431</v>
      </c>
      <c r="C1422" t="s">
        <v>3349</v>
      </c>
      <c r="D1422" t="s">
        <v>105</v>
      </c>
      <c r="E1422">
        <v>49.99</v>
      </c>
      <c r="F1422" t="s">
        <v>5817</v>
      </c>
      <c r="G1422">
        <v>28</v>
      </c>
      <c r="I1422">
        <v>28</v>
      </c>
      <c r="K1422">
        <v>40</v>
      </c>
      <c r="L1422" t="s">
        <v>5818</v>
      </c>
      <c r="M1422">
        <v>0</v>
      </c>
      <c r="N1422">
        <v>0</v>
      </c>
      <c r="P1422">
        <v>73</v>
      </c>
    </row>
    <row r="1423" spans="1:16" x14ac:dyDescent="0.2">
      <c r="A1423" t="s">
        <v>3428</v>
      </c>
      <c r="B1423" t="s">
        <v>3429</v>
      </c>
      <c r="C1423" t="s">
        <v>3349</v>
      </c>
      <c r="D1423" t="s">
        <v>138</v>
      </c>
      <c r="E1423">
        <v>49.99</v>
      </c>
      <c r="F1423" t="s">
        <v>5817</v>
      </c>
      <c r="L1423" t="s">
        <v>5818</v>
      </c>
      <c r="M1423">
        <v>0</v>
      </c>
      <c r="N1423">
        <v>0</v>
      </c>
      <c r="P1423" t="s">
        <v>5824</v>
      </c>
    </row>
    <row r="1424" spans="1:16" x14ac:dyDescent="0.2">
      <c r="A1424" t="s">
        <v>3426</v>
      </c>
      <c r="B1424" t="s">
        <v>3427</v>
      </c>
      <c r="C1424" t="s">
        <v>3349</v>
      </c>
      <c r="D1424" t="s">
        <v>98</v>
      </c>
      <c r="E1424">
        <v>129.99</v>
      </c>
      <c r="F1424" t="s">
        <v>5817</v>
      </c>
      <c r="L1424" t="s">
        <v>5818</v>
      </c>
      <c r="M1424">
        <v>0</v>
      </c>
      <c r="N1424">
        <v>0</v>
      </c>
      <c r="P1424" t="s">
        <v>5819</v>
      </c>
    </row>
    <row r="1425" spans="1:16" x14ac:dyDescent="0.2">
      <c r="A1425" t="s">
        <v>3420</v>
      </c>
      <c r="B1425" t="s">
        <v>3421</v>
      </c>
      <c r="C1425" t="s">
        <v>3349</v>
      </c>
      <c r="D1425" t="s">
        <v>105</v>
      </c>
      <c r="E1425">
        <v>119.99</v>
      </c>
      <c r="F1425" t="s">
        <v>5817</v>
      </c>
      <c r="G1425">
        <v>18</v>
      </c>
      <c r="I1425">
        <v>18</v>
      </c>
      <c r="L1425" t="s">
        <v>5818</v>
      </c>
      <c r="M1425">
        <v>0</v>
      </c>
      <c r="N1425">
        <v>0</v>
      </c>
      <c r="P1425">
        <v>51</v>
      </c>
    </row>
    <row r="1426" spans="1:16" x14ac:dyDescent="0.2">
      <c r="A1426" t="s">
        <v>3418</v>
      </c>
      <c r="B1426" t="s">
        <v>3419</v>
      </c>
      <c r="C1426" t="s">
        <v>3349</v>
      </c>
      <c r="D1426" t="s">
        <v>105</v>
      </c>
      <c r="E1426">
        <v>49.99</v>
      </c>
      <c r="F1426" t="s">
        <v>5817</v>
      </c>
      <c r="G1426">
        <v>42</v>
      </c>
      <c r="I1426">
        <v>42</v>
      </c>
      <c r="K1426">
        <v>40</v>
      </c>
      <c r="L1426" t="s">
        <v>5818</v>
      </c>
      <c r="M1426">
        <v>6.833333333333333</v>
      </c>
      <c r="N1426">
        <v>12.292682926829269</v>
      </c>
      <c r="P1426">
        <v>84</v>
      </c>
    </row>
    <row r="1427" spans="1:16" x14ac:dyDescent="0.2">
      <c r="A1427" t="s">
        <v>3432</v>
      </c>
      <c r="B1427" t="s">
        <v>3433</v>
      </c>
      <c r="C1427" t="s">
        <v>3349</v>
      </c>
      <c r="D1427" t="s">
        <v>105</v>
      </c>
      <c r="E1427">
        <v>119.99</v>
      </c>
      <c r="F1427" t="s">
        <v>5817</v>
      </c>
      <c r="J1427">
        <v>9</v>
      </c>
      <c r="K1427">
        <v>40</v>
      </c>
      <c r="L1427" t="s">
        <v>5818</v>
      </c>
      <c r="M1427">
        <v>2.4</v>
      </c>
      <c r="N1427">
        <v>19.583333333333336</v>
      </c>
      <c r="P1427">
        <v>47</v>
      </c>
    </row>
    <row r="1428" spans="1:16" x14ac:dyDescent="0.2">
      <c r="A1428" t="s">
        <v>3458</v>
      </c>
      <c r="B1428" t="s">
        <v>3459</v>
      </c>
      <c r="C1428" t="s">
        <v>3349</v>
      </c>
      <c r="D1428" t="s">
        <v>105</v>
      </c>
      <c r="E1428">
        <v>19.989999999999998</v>
      </c>
      <c r="F1428" t="s">
        <v>5817</v>
      </c>
      <c r="G1428">
        <v>40</v>
      </c>
      <c r="I1428">
        <v>40</v>
      </c>
      <c r="L1428" t="s">
        <v>5818</v>
      </c>
      <c r="M1428">
        <v>0</v>
      </c>
      <c r="N1428">
        <v>0</v>
      </c>
      <c r="P1428">
        <v>4</v>
      </c>
    </row>
    <row r="1429" spans="1:16" x14ac:dyDescent="0.2">
      <c r="A1429" t="s">
        <v>3448</v>
      </c>
      <c r="B1429" t="s">
        <v>3449</v>
      </c>
      <c r="C1429" t="s">
        <v>3349</v>
      </c>
      <c r="D1429" t="s">
        <v>105</v>
      </c>
      <c r="E1429">
        <v>379.99</v>
      </c>
      <c r="F1429" t="s">
        <v>5817</v>
      </c>
      <c r="G1429">
        <v>3</v>
      </c>
      <c r="I1429">
        <v>3</v>
      </c>
      <c r="L1429" t="s">
        <v>5818</v>
      </c>
      <c r="M1429">
        <v>0</v>
      </c>
      <c r="N1429">
        <v>0</v>
      </c>
      <c r="P1429">
        <v>39</v>
      </c>
    </row>
    <row r="1430" spans="1:16" x14ac:dyDescent="0.2">
      <c r="A1430" t="s">
        <v>3444</v>
      </c>
      <c r="B1430" t="s">
        <v>3445</v>
      </c>
      <c r="C1430" t="s">
        <v>3349</v>
      </c>
      <c r="D1430" t="s">
        <v>105</v>
      </c>
      <c r="E1430">
        <v>119.99</v>
      </c>
      <c r="F1430" t="s">
        <v>5817</v>
      </c>
      <c r="G1430">
        <v>18</v>
      </c>
      <c r="I1430">
        <v>18</v>
      </c>
      <c r="L1430" t="s">
        <v>5818</v>
      </c>
      <c r="M1430">
        <v>0</v>
      </c>
      <c r="N1430">
        <v>0</v>
      </c>
      <c r="P1430">
        <v>26</v>
      </c>
    </row>
    <row r="1431" spans="1:16" x14ac:dyDescent="0.2">
      <c r="A1431" t="s">
        <v>3438</v>
      </c>
      <c r="B1431" t="s">
        <v>3439</v>
      </c>
      <c r="C1431" t="s">
        <v>3349</v>
      </c>
      <c r="D1431" t="s">
        <v>98</v>
      </c>
      <c r="E1431">
        <v>129.99</v>
      </c>
      <c r="F1431" t="s">
        <v>5817</v>
      </c>
      <c r="L1431" t="s">
        <v>5818</v>
      </c>
      <c r="M1431">
        <v>0</v>
      </c>
      <c r="N1431">
        <v>0</v>
      </c>
      <c r="O1431">
        <v>0</v>
      </c>
      <c r="P1431" t="s">
        <v>5819</v>
      </c>
    </row>
    <row r="1432" spans="1:16" x14ac:dyDescent="0.2">
      <c r="A1432" t="s">
        <v>3446</v>
      </c>
      <c r="B1432" t="s">
        <v>3447</v>
      </c>
      <c r="C1432" t="s">
        <v>3349</v>
      </c>
      <c r="D1432" t="s">
        <v>98</v>
      </c>
      <c r="E1432">
        <v>559.99</v>
      </c>
      <c r="F1432" t="s">
        <v>5817</v>
      </c>
      <c r="L1432" t="s">
        <v>5818</v>
      </c>
      <c r="M1432">
        <v>0</v>
      </c>
      <c r="N1432">
        <v>0</v>
      </c>
      <c r="P1432">
        <v>2</v>
      </c>
    </row>
    <row r="1433" spans="1:16" x14ac:dyDescent="0.2">
      <c r="A1433" t="s">
        <v>3352</v>
      </c>
      <c r="B1433" t="s">
        <v>3353</v>
      </c>
      <c r="C1433" t="s">
        <v>3349</v>
      </c>
      <c r="D1433" t="s">
        <v>105</v>
      </c>
      <c r="E1433">
        <v>179.99</v>
      </c>
      <c r="F1433" t="s">
        <v>5817</v>
      </c>
      <c r="J1433">
        <v>131</v>
      </c>
      <c r="K1433">
        <v>204</v>
      </c>
      <c r="L1433" t="s">
        <v>5085</v>
      </c>
      <c r="M1433">
        <v>0</v>
      </c>
      <c r="N1433">
        <v>0</v>
      </c>
      <c r="O1433">
        <v>0</v>
      </c>
      <c r="P1433">
        <v>7</v>
      </c>
    </row>
    <row r="1434" spans="1:16" x14ac:dyDescent="0.2">
      <c r="A1434" t="s">
        <v>3354</v>
      </c>
      <c r="B1434" t="s">
        <v>3355</v>
      </c>
      <c r="C1434" t="s">
        <v>3349</v>
      </c>
      <c r="D1434" t="s">
        <v>105</v>
      </c>
      <c r="E1434">
        <v>239.99</v>
      </c>
      <c r="F1434" t="s">
        <v>5817</v>
      </c>
      <c r="G1434">
        <v>14</v>
      </c>
      <c r="I1434">
        <v>14</v>
      </c>
      <c r="K1434">
        <v>51</v>
      </c>
      <c r="L1434" t="s">
        <v>5085</v>
      </c>
      <c r="M1434">
        <v>0</v>
      </c>
      <c r="N1434">
        <v>0</v>
      </c>
      <c r="O1434">
        <v>0.16666666666666666</v>
      </c>
      <c r="P1434" t="s">
        <v>5819</v>
      </c>
    </row>
    <row r="1435" spans="1:16" x14ac:dyDescent="0.2">
      <c r="A1435" t="s">
        <v>3392</v>
      </c>
      <c r="B1435" t="s">
        <v>3393</v>
      </c>
      <c r="C1435" t="s">
        <v>3349</v>
      </c>
      <c r="D1435" t="s">
        <v>105</v>
      </c>
      <c r="E1435">
        <v>139.99</v>
      </c>
      <c r="F1435" t="s">
        <v>5817</v>
      </c>
      <c r="G1435">
        <v>43</v>
      </c>
      <c r="I1435">
        <v>43</v>
      </c>
      <c r="L1435" t="s">
        <v>5085</v>
      </c>
      <c r="M1435">
        <v>0</v>
      </c>
      <c r="N1435">
        <v>0</v>
      </c>
      <c r="O1435">
        <v>0</v>
      </c>
      <c r="P1435" t="s">
        <v>5819</v>
      </c>
    </row>
    <row r="1436" spans="1:16" x14ac:dyDescent="0.2">
      <c r="A1436" t="s">
        <v>3394</v>
      </c>
      <c r="B1436" t="s">
        <v>3395</v>
      </c>
      <c r="C1436" t="s">
        <v>3349</v>
      </c>
      <c r="D1436" t="s">
        <v>105</v>
      </c>
      <c r="E1436">
        <v>399.99</v>
      </c>
      <c r="F1436" t="s">
        <v>5817</v>
      </c>
      <c r="G1436">
        <v>36</v>
      </c>
      <c r="I1436">
        <v>36</v>
      </c>
      <c r="L1436" t="s">
        <v>5085</v>
      </c>
      <c r="M1436">
        <v>0</v>
      </c>
      <c r="N1436">
        <v>0</v>
      </c>
      <c r="O1436">
        <v>8.3333333333333329E-2</v>
      </c>
      <c r="P1436" t="s">
        <v>5819</v>
      </c>
    </row>
    <row r="1437" spans="1:16" x14ac:dyDescent="0.2">
      <c r="A1437" t="s">
        <v>3400</v>
      </c>
      <c r="B1437" t="s">
        <v>3401</v>
      </c>
      <c r="C1437" t="s">
        <v>3349</v>
      </c>
      <c r="D1437" t="s">
        <v>105</v>
      </c>
      <c r="E1437">
        <v>64.989999999999995</v>
      </c>
      <c r="F1437" t="s">
        <v>5817</v>
      </c>
      <c r="G1437">
        <v>58</v>
      </c>
      <c r="I1437">
        <v>58</v>
      </c>
      <c r="L1437" t="s">
        <v>5085</v>
      </c>
      <c r="M1437">
        <v>0</v>
      </c>
      <c r="N1437">
        <v>0</v>
      </c>
      <c r="O1437">
        <v>8.3333333333333329E-2</v>
      </c>
      <c r="P1437" t="s">
        <v>5819</v>
      </c>
    </row>
    <row r="1438" spans="1:16" x14ac:dyDescent="0.2">
      <c r="A1438" t="s">
        <v>3402</v>
      </c>
      <c r="B1438" t="s">
        <v>3403</v>
      </c>
      <c r="C1438" t="s">
        <v>3349</v>
      </c>
      <c r="D1438" t="s">
        <v>105</v>
      </c>
      <c r="E1438">
        <v>109.99</v>
      </c>
      <c r="F1438" t="s">
        <v>5817</v>
      </c>
      <c r="G1438">
        <v>3</v>
      </c>
      <c r="H1438" t="s">
        <v>5844</v>
      </c>
      <c r="I1438">
        <v>1</v>
      </c>
      <c r="L1438" t="s">
        <v>5085</v>
      </c>
      <c r="M1438">
        <v>0</v>
      </c>
      <c r="N1438">
        <v>0</v>
      </c>
      <c r="O1438">
        <v>0.5</v>
      </c>
      <c r="P1438" t="s">
        <v>5819</v>
      </c>
    </row>
    <row r="1439" spans="1:16" x14ac:dyDescent="0.2">
      <c r="A1439" t="s">
        <v>3426</v>
      </c>
      <c r="B1439" t="s">
        <v>3427</v>
      </c>
      <c r="C1439" t="s">
        <v>3349</v>
      </c>
      <c r="D1439" t="s">
        <v>98</v>
      </c>
      <c r="E1439">
        <v>129.99</v>
      </c>
      <c r="F1439" t="s">
        <v>5817</v>
      </c>
      <c r="L1439" t="s">
        <v>5085</v>
      </c>
      <c r="M1439">
        <v>0</v>
      </c>
      <c r="N1439">
        <v>0</v>
      </c>
      <c r="O1439">
        <v>0</v>
      </c>
      <c r="P1439" t="s">
        <v>5819</v>
      </c>
    </row>
    <row r="1440" spans="1:16" x14ac:dyDescent="0.2">
      <c r="A1440" t="s">
        <v>3428</v>
      </c>
      <c r="B1440" t="s">
        <v>3429</v>
      </c>
      <c r="C1440" t="s">
        <v>3349</v>
      </c>
      <c r="D1440" t="s">
        <v>138</v>
      </c>
      <c r="E1440">
        <v>49.99</v>
      </c>
      <c r="F1440" t="s">
        <v>5817</v>
      </c>
      <c r="L1440" t="s">
        <v>5085</v>
      </c>
      <c r="M1440">
        <v>0</v>
      </c>
      <c r="N1440">
        <v>0</v>
      </c>
      <c r="O1440">
        <v>0</v>
      </c>
      <c r="P1440" t="s">
        <v>5819</v>
      </c>
    </row>
    <row r="1441" spans="1:16" x14ac:dyDescent="0.2">
      <c r="A1441" t="s">
        <v>3430</v>
      </c>
      <c r="B1441" t="s">
        <v>3431</v>
      </c>
      <c r="C1441" t="s">
        <v>3349</v>
      </c>
      <c r="D1441" t="s">
        <v>105</v>
      </c>
      <c r="E1441">
        <v>49.99</v>
      </c>
      <c r="F1441" t="s">
        <v>5817</v>
      </c>
      <c r="G1441">
        <v>28</v>
      </c>
      <c r="I1441">
        <v>28</v>
      </c>
      <c r="K1441">
        <v>40</v>
      </c>
      <c r="L1441" t="s">
        <v>5085</v>
      </c>
      <c r="M1441">
        <v>0</v>
      </c>
      <c r="N1441">
        <v>0</v>
      </c>
      <c r="O1441">
        <v>0</v>
      </c>
      <c r="P1441" t="s">
        <v>5819</v>
      </c>
    </row>
    <row r="1442" spans="1:16" x14ac:dyDescent="0.2">
      <c r="A1442" t="s">
        <v>3432</v>
      </c>
      <c r="B1442" t="s">
        <v>3433</v>
      </c>
      <c r="C1442" t="s">
        <v>3349</v>
      </c>
      <c r="D1442" t="s">
        <v>105</v>
      </c>
      <c r="E1442">
        <v>119.99</v>
      </c>
      <c r="F1442" t="s">
        <v>5817</v>
      </c>
      <c r="J1442">
        <v>9</v>
      </c>
      <c r="K1442">
        <v>40</v>
      </c>
      <c r="L1442" t="s">
        <v>5085</v>
      </c>
      <c r="M1442">
        <v>0</v>
      </c>
      <c r="N1442">
        <v>0</v>
      </c>
      <c r="O1442">
        <v>0.16666666666666666</v>
      </c>
      <c r="P1442" t="s">
        <v>5819</v>
      </c>
    </row>
    <row r="1443" spans="1:16" x14ac:dyDescent="0.2">
      <c r="A1443" t="s">
        <v>3438</v>
      </c>
      <c r="B1443" t="s">
        <v>3439</v>
      </c>
      <c r="C1443" t="s">
        <v>3349</v>
      </c>
      <c r="D1443" t="s">
        <v>98</v>
      </c>
      <c r="E1443">
        <v>129.99</v>
      </c>
      <c r="F1443" t="s">
        <v>5817</v>
      </c>
      <c r="L1443" t="s">
        <v>5085</v>
      </c>
      <c r="M1443">
        <v>0</v>
      </c>
      <c r="N1443">
        <v>0</v>
      </c>
      <c r="O1443">
        <v>0</v>
      </c>
      <c r="P1443" t="s">
        <v>5819</v>
      </c>
    </row>
    <row r="1444" spans="1:16" x14ac:dyDescent="0.2">
      <c r="A1444" t="s">
        <v>3444</v>
      </c>
      <c r="B1444" t="s">
        <v>3445</v>
      </c>
      <c r="C1444" t="s">
        <v>3349</v>
      </c>
      <c r="D1444" t="s">
        <v>105</v>
      </c>
      <c r="E1444">
        <v>119.99</v>
      </c>
      <c r="F1444" t="s">
        <v>5817</v>
      </c>
      <c r="G1444">
        <v>18</v>
      </c>
      <c r="I1444">
        <v>18</v>
      </c>
      <c r="L1444" t="s">
        <v>5085</v>
      </c>
      <c r="M1444">
        <v>0</v>
      </c>
      <c r="N1444">
        <v>0</v>
      </c>
      <c r="O1444">
        <v>8.3333333333333329E-2</v>
      </c>
      <c r="P1444" t="s">
        <v>5819</v>
      </c>
    </row>
    <row r="1445" spans="1:16" x14ac:dyDescent="0.2">
      <c r="A1445" t="s">
        <v>3420</v>
      </c>
      <c r="B1445" t="s">
        <v>3421</v>
      </c>
      <c r="C1445" t="s">
        <v>3349</v>
      </c>
      <c r="D1445" t="s">
        <v>105</v>
      </c>
      <c r="E1445">
        <v>119.99</v>
      </c>
      <c r="F1445" t="s">
        <v>5817</v>
      </c>
      <c r="G1445">
        <v>18</v>
      </c>
      <c r="I1445">
        <v>18</v>
      </c>
      <c r="L1445" t="s">
        <v>5085</v>
      </c>
      <c r="M1445">
        <v>0</v>
      </c>
      <c r="N1445">
        <v>0</v>
      </c>
      <c r="O1445">
        <v>0.25</v>
      </c>
      <c r="P1445" t="s">
        <v>5819</v>
      </c>
    </row>
    <row r="1446" spans="1:16" x14ac:dyDescent="0.2">
      <c r="A1446" t="s">
        <v>3404</v>
      </c>
      <c r="B1446" t="s">
        <v>3405</v>
      </c>
      <c r="C1446" t="s">
        <v>3349</v>
      </c>
      <c r="D1446" t="s">
        <v>105</v>
      </c>
      <c r="E1446">
        <v>199.99</v>
      </c>
      <c r="F1446" t="s">
        <v>5817</v>
      </c>
      <c r="J1446">
        <v>39</v>
      </c>
      <c r="K1446">
        <v>40</v>
      </c>
      <c r="L1446" t="s">
        <v>5085</v>
      </c>
      <c r="M1446">
        <v>0</v>
      </c>
      <c r="N1446">
        <v>0</v>
      </c>
      <c r="O1446">
        <v>0.91666666666666652</v>
      </c>
      <c r="P1446" t="s">
        <v>5819</v>
      </c>
    </row>
    <row r="1447" spans="1:16" x14ac:dyDescent="0.2">
      <c r="A1447" t="s">
        <v>3406</v>
      </c>
      <c r="B1447" t="s">
        <v>3407</v>
      </c>
      <c r="C1447" t="s">
        <v>3349</v>
      </c>
      <c r="D1447" t="s">
        <v>138</v>
      </c>
      <c r="E1447">
        <v>34.99</v>
      </c>
      <c r="F1447" t="s">
        <v>5817</v>
      </c>
      <c r="L1447" t="s">
        <v>5085</v>
      </c>
      <c r="M1447">
        <v>0</v>
      </c>
      <c r="N1447">
        <v>0</v>
      </c>
      <c r="O1447">
        <v>0.33333333333333331</v>
      </c>
      <c r="P1447" t="s">
        <v>5819</v>
      </c>
    </row>
    <row r="1448" spans="1:16" x14ac:dyDescent="0.2">
      <c r="A1448" t="s">
        <v>3410</v>
      </c>
      <c r="B1448" t="s">
        <v>3411</v>
      </c>
      <c r="C1448" t="s">
        <v>3349</v>
      </c>
      <c r="D1448" t="s">
        <v>138</v>
      </c>
      <c r="E1448">
        <v>99.99</v>
      </c>
      <c r="F1448" t="s">
        <v>5817</v>
      </c>
      <c r="G1448">
        <v>9</v>
      </c>
      <c r="H1448" t="s">
        <v>5823</v>
      </c>
      <c r="I1448">
        <v>8</v>
      </c>
      <c r="L1448" t="s">
        <v>5085</v>
      </c>
      <c r="M1448">
        <v>0</v>
      </c>
      <c r="N1448">
        <v>0</v>
      </c>
      <c r="O1448">
        <v>0.5</v>
      </c>
      <c r="P1448">
        <v>4</v>
      </c>
    </row>
    <row r="1449" spans="1:16" x14ac:dyDescent="0.2">
      <c r="A1449" t="s">
        <v>3414</v>
      </c>
      <c r="B1449" t="s">
        <v>3415</v>
      </c>
      <c r="C1449" t="s">
        <v>3349</v>
      </c>
      <c r="D1449" t="s">
        <v>138</v>
      </c>
      <c r="E1449">
        <v>89.99</v>
      </c>
      <c r="F1449" t="s">
        <v>5817</v>
      </c>
      <c r="L1449" t="s">
        <v>5085</v>
      </c>
      <c r="M1449">
        <v>0</v>
      </c>
      <c r="N1449">
        <v>0</v>
      </c>
      <c r="O1449">
        <v>0</v>
      </c>
      <c r="P1449" t="s">
        <v>5819</v>
      </c>
    </row>
    <row r="1450" spans="1:16" x14ac:dyDescent="0.2">
      <c r="A1450" t="s">
        <v>3416</v>
      </c>
      <c r="B1450" t="s">
        <v>3417</v>
      </c>
      <c r="C1450" t="s">
        <v>3349</v>
      </c>
      <c r="D1450" t="s">
        <v>138</v>
      </c>
      <c r="E1450">
        <v>49.99</v>
      </c>
      <c r="F1450" t="s">
        <v>5817</v>
      </c>
      <c r="L1450" t="s">
        <v>5085</v>
      </c>
      <c r="M1450">
        <v>0</v>
      </c>
      <c r="N1450">
        <v>0</v>
      </c>
      <c r="O1450">
        <v>0.33333333333333331</v>
      </c>
      <c r="P1450">
        <v>1</v>
      </c>
    </row>
    <row r="1451" spans="1:16" x14ac:dyDescent="0.2">
      <c r="A1451" t="s">
        <v>3418</v>
      </c>
      <c r="B1451" t="s">
        <v>3419</v>
      </c>
      <c r="C1451" t="s">
        <v>3349</v>
      </c>
      <c r="D1451" t="s">
        <v>105</v>
      </c>
      <c r="E1451">
        <v>49.99</v>
      </c>
      <c r="F1451" t="s">
        <v>5817</v>
      </c>
      <c r="G1451">
        <v>42</v>
      </c>
      <c r="I1451">
        <v>42</v>
      </c>
      <c r="K1451">
        <v>40</v>
      </c>
      <c r="L1451" t="s">
        <v>5085</v>
      </c>
      <c r="M1451">
        <v>0</v>
      </c>
      <c r="N1451">
        <v>0</v>
      </c>
      <c r="O1451">
        <v>0.25</v>
      </c>
      <c r="P1451" t="s">
        <v>5819</v>
      </c>
    </row>
    <row r="1452" spans="1:16" x14ac:dyDescent="0.2">
      <c r="A1452" t="s">
        <v>3480</v>
      </c>
      <c r="B1452" t="s">
        <v>3481</v>
      </c>
      <c r="C1452" t="s">
        <v>3349</v>
      </c>
      <c r="D1452" t="s">
        <v>138</v>
      </c>
      <c r="E1452">
        <v>189.99</v>
      </c>
      <c r="F1452" t="s">
        <v>5817</v>
      </c>
      <c r="G1452">
        <v>64</v>
      </c>
      <c r="I1452">
        <v>64</v>
      </c>
      <c r="L1452" t="s">
        <v>5085</v>
      </c>
      <c r="M1452">
        <v>0</v>
      </c>
      <c r="N1452">
        <v>0</v>
      </c>
      <c r="O1452">
        <v>0</v>
      </c>
      <c r="P1452" t="s">
        <v>5819</v>
      </c>
    </row>
    <row r="1453" spans="1:16" x14ac:dyDescent="0.2">
      <c r="A1453" t="s">
        <v>3478</v>
      </c>
      <c r="B1453" t="s">
        <v>3479</v>
      </c>
      <c r="C1453" t="s">
        <v>3349</v>
      </c>
      <c r="D1453" t="s">
        <v>105</v>
      </c>
      <c r="E1453">
        <v>189.99</v>
      </c>
      <c r="F1453" t="s">
        <v>5817</v>
      </c>
      <c r="G1453">
        <v>89</v>
      </c>
      <c r="I1453">
        <v>89</v>
      </c>
      <c r="L1453" t="s">
        <v>5085</v>
      </c>
      <c r="M1453">
        <v>0</v>
      </c>
      <c r="N1453">
        <v>0</v>
      </c>
      <c r="O1453">
        <v>8.3333333333333329E-2</v>
      </c>
      <c r="P1453" t="s">
        <v>5819</v>
      </c>
    </row>
    <row r="1454" spans="1:16" x14ac:dyDescent="0.2">
      <c r="A1454" t="s">
        <v>3474</v>
      </c>
      <c r="B1454" t="s">
        <v>3475</v>
      </c>
      <c r="C1454" t="s">
        <v>3349</v>
      </c>
      <c r="D1454" t="s">
        <v>105</v>
      </c>
      <c r="E1454">
        <v>119.99</v>
      </c>
      <c r="F1454" t="s">
        <v>5817</v>
      </c>
      <c r="G1454">
        <v>24</v>
      </c>
      <c r="I1454">
        <v>24</v>
      </c>
      <c r="L1454" t="s">
        <v>5085</v>
      </c>
      <c r="M1454">
        <v>0</v>
      </c>
      <c r="N1454">
        <v>0</v>
      </c>
      <c r="O1454">
        <v>0</v>
      </c>
      <c r="P1454" t="s">
        <v>5819</v>
      </c>
    </row>
    <row r="1455" spans="1:16" x14ac:dyDescent="0.2">
      <c r="A1455" t="s">
        <v>3472</v>
      </c>
      <c r="B1455" t="s">
        <v>3473</v>
      </c>
      <c r="C1455" t="s">
        <v>3349</v>
      </c>
      <c r="D1455" t="s">
        <v>105</v>
      </c>
      <c r="E1455">
        <v>19.989999999999998</v>
      </c>
      <c r="F1455" t="s">
        <v>5817</v>
      </c>
      <c r="G1455">
        <v>45</v>
      </c>
      <c r="I1455">
        <v>45</v>
      </c>
      <c r="L1455" t="s">
        <v>5085</v>
      </c>
      <c r="M1455">
        <v>0</v>
      </c>
      <c r="N1455">
        <v>0</v>
      </c>
      <c r="O1455">
        <v>0.75</v>
      </c>
      <c r="P1455" t="s">
        <v>5819</v>
      </c>
    </row>
    <row r="1456" spans="1:16" x14ac:dyDescent="0.2">
      <c r="A1456" t="s">
        <v>3470</v>
      </c>
      <c r="B1456" t="s">
        <v>3471</v>
      </c>
      <c r="C1456" t="s">
        <v>3349</v>
      </c>
      <c r="D1456" t="s">
        <v>105</v>
      </c>
      <c r="E1456">
        <v>19.989999999999998</v>
      </c>
      <c r="F1456" t="s">
        <v>5817</v>
      </c>
      <c r="G1456">
        <v>59</v>
      </c>
      <c r="I1456">
        <v>59</v>
      </c>
      <c r="L1456" t="s">
        <v>5085</v>
      </c>
      <c r="M1456">
        <v>0</v>
      </c>
      <c r="N1456">
        <v>0</v>
      </c>
      <c r="O1456">
        <v>0.33333333333333337</v>
      </c>
      <c r="P1456" t="s">
        <v>5819</v>
      </c>
    </row>
    <row r="1457" spans="1:16" x14ac:dyDescent="0.2">
      <c r="A1457" t="s">
        <v>3468</v>
      </c>
      <c r="B1457" t="s">
        <v>3469</v>
      </c>
      <c r="C1457" t="s">
        <v>3349</v>
      </c>
      <c r="D1457" t="s">
        <v>138</v>
      </c>
      <c r="E1457">
        <v>529.99</v>
      </c>
      <c r="F1457" t="s">
        <v>5817</v>
      </c>
      <c r="L1457" t="s">
        <v>5085</v>
      </c>
      <c r="M1457">
        <v>0</v>
      </c>
      <c r="N1457">
        <v>0</v>
      </c>
      <c r="O1457">
        <v>0</v>
      </c>
      <c r="P1457" t="s">
        <v>5819</v>
      </c>
    </row>
    <row r="1458" spans="1:16" x14ac:dyDescent="0.2">
      <c r="A1458" t="s">
        <v>3484</v>
      </c>
      <c r="B1458" t="s">
        <v>3485</v>
      </c>
      <c r="C1458" t="s">
        <v>3349</v>
      </c>
      <c r="D1458" t="s">
        <v>138</v>
      </c>
      <c r="E1458">
        <v>529.99</v>
      </c>
      <c r="F1458" t="s">
        <v>5817</v>
      </c>
      <c r="L1458" t="s">
        <v>5085</v>
      </c>
      <c r="M1458">
        <v>0</v>
      </c>
      <c r="N1458">
        <v>0</v>
      </c>
      <c r="O1458">
        <v>0</v>
      </c>
      <c r="P1458" t="s">
        <v>5819</v>
      </c>
    </row>
    <row r="1459" spans="1:16" x14ac:dyDescent="0.2">
      <c r="A1459" t="s">
        <v>3488</v>
      </c>
      <c r="B1459" t="s">
        <v>3489</v>
      </c>
      <c r="C1459" t="s">
        <v>3349</v>
      </c>
      <c r="D1459" t="s">
        <v>105</v>
      </c>
      <c r="E1459">
        <v>369.99</v>
      </c>
      <c r="F1459" t="s">
        <v>5817</v>
      </c>
      <c r="J1459">
        <v>4</v>
      </c>
      <c r="L1459" t="s">
        <v>5085</v>
      </c>
      <c r="M1459">
        <v>0</v>
      </c>
      <c r="N1459">
        <v>0</v>
      </c>
      <c r="O1459">
        <v>0</v>
      </c>
      <c r="P1459" t="s">
        <v>5819</v>
      </c>
    </row>
    <row r="1460" spans="1:16" x14ac:dyDescent="0.2">
      <c r="A1460" t="s">
        <v>3486</v>
      </c>
      <c r="B1460" t="s">
        <v>3487</v>
      </c>
      <c r="C1460" t="s">
        <v>3349</v>
      </c>
      <c r="D1460" t="s">
        <v>105</v>
      </c>
      <c r="E1460">
        <v>199.99</v>
      </c>
      <c r="F1460" t="s">
        <v>5817</v>
      </c>
      <c r="G1460">
        <v>48</v>
      </c>
      <c r="I1460">
        <v>48</v>
      </c>
      <c r="L1460" t="s">
        <v>5085</v>
      </c>
      <c r="M1460">
        <v>0</v>
      </c>
      <c r="N1460">
        <v>0</v>
      </c>
      <c r="O1460">
        <v>0.16666666666666666</v>
      </c>
      <c r="P1460" t="s">
        <v>5819</v>
      </c>
    </row>
    <row r="1461" spans="1:16" x14ac:dyDescent="0.2">
      <c r="A1461" t="s">
        <v>3482</v>
      </c>
      <c r="B1461" t="s">
        <v>3483</v>
      </c>
      <c r="C1461" t="s">
        <v>3349</v>
      </c>
      <c r="D1461" t="s">
        <v>105</v>
      </c>
      <c r="E1461">
        <v>249.99</v>
      </c>
      <c r="F1461" t="s">
        <v>5817</v>
      </c>
      <c r="J1461">
        <v>11</v>
      </c>
      <c r="L1461" t="s">
        <v>5085</v>
      </c>
      <c r="M1461">
        <v>0</v>
      </c>
      <c r="N1461">
        <v>0</v>
      </c>
      <c r="O1461">
        <v>0</v>
      </c>
      <c r="P1461" t="s">
        <v>5819</v>
      </c>
    </row>
    <row r="1462" spans="1:16" x14ac:dyDescent="0.2">
      <c r="A1462" t="s">
        <v>3466</v>
      </c>
      <c r="B1462" t="s">
        <v>3467</v>
      </c>
      <c r="C1462" t="s">
        <v>3349</v>
      </c>
      <c r="D1462" t="s">
        <v>105</v>
      </c>
      <c r="E1462">
        <v>369.99</v>
      </c>
      <c r="F1462" t="s">
        <v>5817</v>
      </c>
      <c r="G1462">
        <v>47</v>
      </c>
      <c r="I1462">
        <v>47</v>
      </c>
      <c r="L1462" t="s">
        <v>5085</v>
      </c>
      <c r="M1462">
        <v>0</v>
      </c>
      <c r="N1462">
        <v>0</v>
      </c>
      <c r="O1462">
        <v>0.83333333333333326</v>
      </c>
      <c r="P1462" t="s">
        <v>5819</v>
      </c>
    </row>
    <row r="1463" spans="1:16" x14ac:dyDescent="0.2">
      <c r="A1463" t="s">
        <v>3460</v>
      </c>
      <c r="B1463" t="s">
        <v>3461</v>
      </c>
      <c r="C1463" t="s">
        <v>3349</v>
      </c>
      <c r="D1463" t="s">
        <v>105</v>
      </c>
      <c r="E1463">
        <v>24.99</v>
      </c>
      <c r="F1463" t="s">
        <v>5817</v>
      </c>
      <c r="G1463">
        <v>89</v>
      </c>
      <c r="I1463">
        <v>89</v>
      </c>
      <c r="L1463" t="s">
        <v>5085</v>
      </c>
      <c r="M1463">
        <v>0</v>
      </c>
      <c r="N1463">
        <v>0</v>
      </c>
      <c r="O1463">
        <v>0</v>
      </c>
      <c r="P1463" t="s">
        <v>5819</v>
      </c>
    </row>
    <row r="1464" spans="1:16" x14ac:dyDescent="0.2">
      <c r="A1464" t="s">
        <v>3452</v>
      </c>
      <c r="B1464" t="s">
        <v>3453</v>
      </c>
      <c r="C1464" t="s">
        <v>3349</v>
      </c>
      <c r="D1464" t="s">
        <v>138</v>
      </c>
      <c r="E1464">
        <v>229.99</v>
      </c>
      <c r="F1464" t="s">
        <v>5817</v>
      </c>
      <c r="L1464" t="s">
        <v>5085</v>
      </c>
      <c r="M1464">
        <v>0</v>
      </c>
      <c r="N1464">
        <v>0</v>
      </c>
      <c r="O1464">
        <v>0</v>
      </c>
      <c r="P1464" t="s">
        <v>5819</v>
      </c>
    </row>
    <row r="1465" spans="1:16" x14ac:dyDescent="0.2">
      <c r="A1465" t="s">
        <v>3464</v>
      </c>
      <c r="B1465" t="s">
        <v>3465</v>
      </c>
      <c r="C1465" t="s">
        <v>3349</v>
      </c>
      <c r="D1465" t="s">
        <v>105</v>
      </c>
      <c r="E1465">
        <v>229.99</v>
      </c>
      <c r="F1465" t="s">
        <v>5817</v>
      </c>
      <c r="G1465">
        <v>48</v>
      </c>
      <c r="I1465">
        <v>48</v>
      </c>
      <c r="L1465" t="s">
        <v>5085</v>
      </c>
      <c r="M1465">
        <v>0</v>
      </c>
      <c r="N1465">
        <v>0</v>
      </c>
      <c r="O1465">
        <v>0.33333333333333331</v>
      </c>
      <c r="P1465" t="s">
        <v>5819</v>
      </c>
    </row>
    <row r="1466" spans="1:16" x14ac:dyDescent="0.2">
      <c r="A1466" t="s">
        <v>3448</v>
      </c>
      <c r="B1466" t="s">
        <v>3449</v>
      </c>
      <c r="C1466" t="s">
        <v>3349</v>
      </c>
      <c r="D1466" t="s">
        <v>105</v>
      </c>
      <c r="E1466">
        <v>379.99</v>
      </c>
      <c r="F1466" t="s">
        <v>5817</v>
      </c>
      <c r="G1466">
        <v>3</v>
      </c>
      <c r="I1466">
        <v>3</v>
      </c>
      <c r="L1466" t="s">
        <v>5085</v>
      </c>
      <c r="M1466">
        <v>0</v>
      </c>
      <c r="N1466">
        <v>0</v>
      </c>
      <c r="O1466">
        <v>0.25</v>
      </c>
      <c r="P1466" t="s">
        <v>5819</v>
      </c>
    </row>
    <row r="1467" spans="1:16" x14ac:dyDescent="0.2">
      <c r="A1467" t="s">
        <v>3450</v>
      </c>
      <c r="B1467" t="s">
        <v>3451</v>
      </c>
      <c r="C1467" t="s">
        <v>3349</v>
      </c>
      <c r="D1467" t="s">
        <v>138</v>
      </c>
      <c r="E1467">
        <v>119.99</v>
      </c>
      <c r="F1467" t="s">
        <v>5817</v>
      </c>
      <c r="G1467">
        <v>6</v>
      </c>
      <c r="I1467">
        <v>6</v>
      </c>
      <c r="L1467" t="s">
        <v>5085</v>
      </c>
      <c r="M1467">
        <v>0</v>
      </c>
      <c r="N1467">
        <v>0</v>
      </c>
      <c r="O1467">
        <v>0</v>
      </c>
      <c r="P1467" t="s">
        <v>5819</v>
      </c>
    </row>
    <row r="1468" spans="1:16" x14ac:dyDescent="0.2">
      <c r="A1468" t="s">
        <v>3446</v>
      </c>
      <c r="B1468" t="s">
        <v>3447</v>
      </c>
      <c r="C1468" t="s">
        <v>3349</v>
      </c>
      <c r="D1468" t="s">
        <v>98</v>
      </c>
      <c r="E1468">
        <v>559.99</v>
      </c>
      <c r="F1468" t="s">
        <v>5817</v>
      </c>
      <c r="L1468" t="s">
        <v>5085</v>
      </c>
      <c r="M1468">
        <v>0</v>
      </c>
      <c r="N1468">
        <v>0</v>
      </c>
      <c r="O1468">
        <v>0</v>
      </c>
      <c r="P1468" t="s">
        <v>5819</v>
      </c>
    </row>
    <row r="1469" spans="1:16" x14ac:dyDescent="0.2">
      <c r="A1469" t="s">
        <v>3458</v>
      </c>
      <c r="B1469" t="s">
        <v>3459</v>
      </c>
      <c r="C1469" t="s">
        <v>3349</v>
      </c>
      <c r="D1469" t="s">
        <v>105</v>
      </c>
      <c r="E1469">
        <v>19.989999999999998</v>
      </c>
      <c r="F1469" t="s">
        <v>5817</v>
      </c>
      <c r="G1469">
        <v>40</v>
      </c>
      <c r="I1469">
        <v>40</v>
      </c>
      <c r="L1469" t="s">
        <v>5085</v>
      </c>
      <c r="M1469">
        <v>0</v>
      </c>
      <c r="N1469">
        <v>0</v>
      </c>
      <c r="O1469">
        <v>3</v>
      </c>
      <c r="P1469">
        <v>18</v>
      </c>
    </row>
    <row r="1470" spans="1:16" x14ac:dyDescent="0.2">
      <c r="A1470" t="s">
        <v>3462</v>
      </c>
      <c r="B1470" t="s">
        <v>3463</v>
      </c>
      <c r="C1470" t="s">
        <v>3349</v>
      </c>
      <c r="D1470" t="s">
        <v>105</v>
      </c>
      <c r="E1470">
        <v>119.99</v>
      </c>
      <c r="F1470" t="s">
        <v>5817</v>
      </c>
      <c r="G1470">
        <v>15</v>
      </c>
      <c r="I1470">
        <v>15</v>
      </c>
      <c r="L1470" t="s">
        <v>5085</v>
      </c>
      <c r="M1470">
        <v>0</v>
      </c>
      <c r="N1470">
        <v>0</v>
      </c>
      <c r="O1470">
        <v>0.5</v>
      </c>
      <c r="P1470" t="s">
        <v>5819</v>
      </c>
    </row>
    <row r="1471" spans="1:16" x14ac:dyDescent="0.2">
      <c r="A1471" t="s">
        <v>3394</v>
      </c>
      <c r="B1471" t="s">
        <v>3395</v>
      </c>
      <c r="C1471" t="s">
        <v>3349</v>
      </c>
      <c r="D1471" t="s">
        <v>105</v>
      </c>
      <c r="E1471">
        <v>399.99</v>
      </c>
      <c r="F1471" t="s">
        <v>5817</v>
      </c>
      <c r="G1471">
        <v>36</v>
      </c>
      <c r="I1471">
        <v>36</v>
      </c>
      <c r="L1471" t="s">
        <v>5065</v>
      </c>
      <c r="N1471">
        <v>0</v>
      </c>
      <c r="O1471">
        <v>0.33333333333333331</v>
      </c>
      <c r="P1471">
        <v>1</v>
      </c>
    </row>
    <row r="1472" spans="1:16" x14ac:dyDescent="0.2">
      <c r="A1472" t="s">
        <v>3392</v>
      </c>
      <c r="B1472" t="s">
        <v>3393</v>
      </c>
      <c r="C1472" t="s">
        <v>3349</v>
      </c>
      <c r="D1472" t="s">
        <v>105</v>
      </c>
      <c r="E1472">
        <v>139.99</v>
      </c>
      <c r="F1472" t="s">
        <v>5817</v>
      </c>
      <c r="G1472">
        <v>43</v>
      </c>
      <c r="I1472">
        <v>43</v>
      </c>
      <c r="L1472" t="s">
        <v>5065</v>
      </c>
      <c r="N1472">
        <v>0</v>
      </c>
      <c r="O1472">
        <v>0.33333333333333331</v>
      </c>
      <c r="P1472">
        <v>3</v>
      </c>
    </row>
    <row r="1473" spans="1:16" x14ac:dyDescent="0.2">
      <c r="A1473" t="s">
        <v>3386</v>
      </c>
      <c r="B1473" t="s">
        <v>3387</v>
      </c>
      <c r="C1473" t="s">
        <v>3349</v>
      </c>
      <c r="D1473" t="s">
        <v>98</v>
      </c>
      <c r="E1473">
        <v>359.99</v>
      </c>
      <c r="F1473" t="s">
        <v>5817</v>
      </c>
      <c r="L1473" t="s">
        <v>5065</v>
      </c>
      <c r="M1473">
        <v>0</v>
      </c>
      <c r="N1473">
        <v>0</v>
      </c>
      <c r="P1473">
        <v>0</v>
      </c>
    </row>
    <row r="1474" spans="1:16" x14ac:dyDescent="0.2">
      <c r="A1474" t="s">
        <v>3354</v>
      </c>
      <c r="B1474" t="s">
        <v>3355</v>
      </c>
      <c r="C1474" t="s">
        <v>3349</v>
      </c>
      <c r="D1474" t="s">
        <v>105</v>
      </c>
      <c r="E1474">
        <v>239.99</v>
      </c>
      <c r="F1474" t="s">
        <v>5817</v>
      </c>
      <c r="G1474">
        <v>14</v>
      </c>
      <c r="I1474">
        <v>14</v>
      </c>
      <c r="K1474">
        <v>51</v>
      </c>
      <c r="L1474" t="s">
        <v>5065</v>
      </c>
      <c r="M1474">
        <v>2.2000000000000002</v>
      </c>
      <c r="N1474">
        <v>17.27272727272727</v>
      </c>
      <c r="O1474">
        <v>2.6363636363636362</v>
      </c>
      <c r="P1474">
        <v>38</v>
      </c>
    </row>
    <row r="1475" spans="1:16" x14ac:dyDescent="0.2">
      <c r="A1475" t="s">
        <v>3352</v>
      </c>
      <c r="B1475" t="s">
        <v>3353</v>
      </c>
      <c r="C1475" t="s">
        <v>3349</v>
      </c>
      <c r="D1475" t="s">
        <v>105</v>
      </c>
      <c r="E1475">
        <v>179.99</v>
      </c>
      <c r="F1475" t="s">
        <v>5817</v>
      </c>
      <c r="J1475">
        <v>131</v>
      </c>
      <c r="K1475">
        <v>204</v>
      </c>
      <c r="L1475" t="s">
        <v>5065</v>
      </c>
      <c r="M1475">
        <v>9</v>
      </c>
      <c r="N1475">
        <v>1.1111111111111112</v>
      </c>
      <c r="O1475">
        <v>4.0909090909090908</v>
      </c>
      <c r="P1475">
        <v>10</v>
      </c>
    </row>
    <row r="1476" spans="1:16" x14ac:dyDescent="0.2">
      <c r="A1476" t="s">
        <v>3376</v>
      </c>
      <c r="B1476" t="s">
        <v>3377</v>
      </c>
      <c r="C1476" t="s">
        <v>3349</v>
      </c>
      <c r="D1476" t="s">
        <v>98</v>
      </c>
      <c r="E1476">
        <v>119.99</v>
      </c>
      <c r="F1476" t="s">
        <v>5817</v>
      </c>
      <c r="L1476" t="s">
        <v>5065</v>
      </c>
      <c r="N1476">
        <v>0</v>
      </c>
      <c r="O1476">
        <v>0</v>
      </c>
      <c r="P1476">
        <v>1</v>
      </c>
    </row>
    <row r="1477" spans="1:16" x14ac:dyDescent="0.2">
      <c r="A1477" t="s">
        <v>3408</v>
      </c>
      <c r="B1477" t="s">
        <v>3409</v>
      </c>
      <c r="C1477" t="s">
        <v>3349</v>
      </c>
      <c r="D1477" t="s">
        <v>138</v>
      </c>
      <c r="E1477">
        <v>59.99</v>
      </c>
      <c r="F1477" t="s">
        <v>5817</v>
      </c>
      <c r="L1477" t="s">
        <v>5065</v>
      </c>
      <c r="M1477">
        <v>1</v>
      </c>
      <c r="N1477">
        <v>18</v>
      </c>
      <c r="O1477">
        <v>0.81818181818181812</v>
      </c>
      <c r="P1477">
        <v>18</v>
      </c>
    </row>
    <row r="1478" spans="1:16" x14ac:dyDescent="0.2">
      <c r="A1478" t="s">
        <v>3420</v>
      </c>
      <c r="B1478" t="s">
        <v>3421</v>
      </c>
      <c r="C1478" t="s">
        <v>3349</v>
      </c>
      <c r="D1478" t="s">
        <v>105</v>
      </c>
      <c r="E1478">
        <v>119.99</v>
      </c>
      <c r="F1478" t="s">
        <v>5817</v>
      </c>
      <c r="G1478">
        <v>18</v>
      </c>
      <c r="I1478">
        <v>18</v>
      </c>
      <c r="L1478" t="s">
        <v>5065</v>
      </c>
      <c r="M1478">
        <v>2</v>
      </c>
      <c r="N1478">
        <v>25.5</v>
      </c>
      <c r="O1478">
        <v>1</v>
      </c>
      <c r="P1478">
        <v>51</v>
      </c>
    </row>
    <row r="1479" spans="1:16" x14ac:dyDescent="0.2">
      <c r="A1479" t="s">
        <v>3418</v>
      </c>
      <c r="B1479" t="s">
        <v>3419</v>
      </c>
      <c r="C1479" t="s">
        <v>3349</v>
      </c>
      <c r="D1479" t="s">
        <v>105</v>
      </c>
      <c r="E1479">
        <v>49.99</v>
      </c>
      <c r="F1479" t="s">
        <v>5817</v>
      </c>
      <c r="G1479">
        <v>42</v>
      </c>
      <c r="I1479">
        <v>42</v>
      </c>
      <c r="K1479">
        <v>40</v>
      </c>
      <c r="L1479" t="s">
        <v>5065</v>
      </c>
      <c r="M1479">
        <v>4.4000000000000004</v>
      </c>
      <c r="N1479">
        <v>15.68181818181818</v>
      </c>
      <c r="O1479">
        <v>2.9090909090909092</v>
      </c>
      <c r="P1479">
        <v>69</v>
      </c>
    </row>
    <row r="1480" spans="1:16" x14ac:dyDescent="0.2">
      <c r="A1480" t="s">
        <v>3406</v>
      </c>
      <c r="B1480" t="s">
        <v>3407</v>
      </c>
      <c r="C1480" t="s">
        <v>3349</v>
      </c>
      <c r="D1480" t="s">
        <v>138</v>
      </c>
      <c r="E1480">
        <v>34.99</v>
      </c>
      <c r="F1480" t="s">
        <v>5817</v>
      </c>
      <c r="L1480" t="s">
        <v>5065</v>
      </c>
      <c r="N1480">
        <v>0</v>
      </c>
      <c r="O1480">
        <v>0</v>
      </c>
      <c r="P1480">
        <v>5</v>
      </c>
    </row>
    <row r="1481" spans="1:16" x14ac:dyDescent="0.2">
      <c r="A1481" t="s">
        <v>3416</v>
      </c>
      <c r="B1481" t="s">
        <v>3417</v>
      </c>
      <c r="C1481" t="s">
        <v>3349</v>
      </c>
      <c r="D1481" t="s">
        <v>138</v>
      </c>
      <c r="E1481">
        <v>49.99</v>
      </c>
      <c r="F1481" t="s">
        <v>5817</v>
      </c>
      <c r="L1481" t="s">
        <v>5065</v>
      </c>
      <c r="M1481">
        <v>0</v>
      </c>
      <c r="N1481">
        <v>0</v>
      </c>
      <c r="P1481">
        <v>0</v>
      </c>
    </row>
    <row r="1482" spans="1:16" x14ac:dyDescent="0.2">
      <c r="A1482" t="s">
        <v>3414</v>
      </c>
      <c r="B1482" t="s">
        <v>3415</v>
      </c>
      <c r="C1482" t="s">
        <v>3349</v>
      </c>
      <c r="D1482" t="s">
        <v>138</v>
      </c>
      <c r="E1482">
        <v>89.99</v>
      </c>
      <c r="F1482" t="s">
        <v>5817</v>
      </c>
      <c r="L1482" t="s">
        <v>5065</v>
      </c>
      <c r="M1482">
        <v>0</v>
      </c>
      <c r="N1482">
        <v>0</v>
      </c>
      <c r="P1482">
        <v>0</v>
      </c>
    </row>
    <row r="1483" spans="1:16" x14ac:dyDescent="0.2">
      <c r="A1483" t="s">
        <v>3410</v>
      </c>
      <c r="B1483" t="s">
        <v>3411</v>
      </c>
      <c r="C1483" t="s">
        <v>3349</v>
      </c>
      <c r="D1483" t="s">
        <v>138</v>
      </c>
      <c r="E1483">
        <v>99.99</v>
      </c>
      <c r="F1483" t="s">
        <v>5817</v>
      </c>
      <c r="G1483">
        <v>9</v>
      </c>
      <c r="H1483" t="s">
        <v>5823</v>
      </c>
      <c r="I1483">
        <v>8</v>
      </c>
      <c r="L1483" t="s">
        <v>5065</v>
      </c>
      <c r="M1483">
        <v>3</v>
      </c>
      <c r="N1483">
        <v>16</v>
      </c>
      <c r="O1483">
        <v>2.7272727272727275</v>
      </c>
      <c r="P1483">
        <v>48</v>
      </c>
    </row>
    <row r="1484" spans="1:16" x14ac:dyDescent="0.2">
      <c r="A1484" t="s">
        <v>3426</v>
      </c>
      <c r="B1484" t="s">
        <v>3427</v>
      </c>
      <c r="C1484" t="s">
        <v>3349</v>
      </c>
      <c r="D1484" t="s">
        <v>98</v>
      </c>
      <c r="E1484">
        <v>129.99</v>
      </c>
      <c r="F1484" t="s">
        <v>5817</v>
      </c>
      <c r="L1484" t="s">
        <v>5065</v>
      </c>
      <c r="M1484">
        <v>0</v>
      </c>
      <c r="N1484">
        <v>0</v>
      </c>
      <c r="P1484">
        <v>0</v>
      </c>
    </row>
    <row r="1485" spans="1:16" x14ac:dyDescent="0.2">
      <c r="A1485" t="s">
        <v>3428</v>
      </c>
      <c r="B1485" t="s">
        <v>3429</v>
      </c>
      <c r="C1485" t="s">
        <v>3349</v>
      </c>
      <c r="D1485" t="s">
        <v>138</v>
      </c>
      <c r="E1485">
        <v>49.99</v>
      </c>
      <c r="F1485" t="s">
        <v>5817</v>
      </c>
      <c r="L1485" t="s">
        <v>5065</v>
      </c>
      <c r="M1485">
        <v>0</v>
      </c>
      <c r="N1485">
        <v>0</v>
      </c>
      <c r="P1485">
        <v>0</v>
      </c>
    </row>
    <row r="1486" spans="1:16" x14ac:dyDescent="0.2">
      <c r="A1486" t="s">
        <v>3488</v>
      </c>
      <c r="B1486" t="s">
        <v>3489</v>
      </c>
      <c r="C1486" t="s">
        <v>3349</v>
      </c>
      <c r="D1486" t="s">
        <v>105</v>
      </c>
      <c r="E1486">
        <v>369.99</v>
      </c>
      <c r="F1486" t="s">
        <v>5817</v>
      </c>
      <c r="J1486">
        <v>4</v>
      </c>
      <c r="L1486" t="s">
        <v>5065</v>
      </c>
      <c r="M1486">
        <v>1</v>
      </c>
      <c r="N1486">
        <v>2</v>
      </c>
      <c r="O1486">
        <v>8.333333333333337E-2</v>
      </c>
      <c r="P1486">
        <v>2</v>
      </c>
    </row>
    <row r="1487" spans="1:16" x14ac:dyDescent="0.2">
      <c r="A1487" t="s">
        <v>3486</v>
      </c>
      <c r="B1487" t="s">
        <v>3487</v>
      </c>
      <c r="C1487" t="s">
        <v>3349</v>
      </c>
      <c r="D1487" t="s">
        <v>105</v>
      </c>
      <c r="E1487">
        <v>199.99</v>
      </c>
      <c r="F1487" t="s">
        <v>5817</v>
      </c>
      <c r="G1487">
        <v>48</v>
      </c>
      <c r="I1487">
        <v>48</v>
      </c>
      <c r="L1487" t="s">
        <v>5065</v>
      </c>
      <c r="M1487">
        <v>1</v>
      </c>
      <c r="N1487">
        <v>44</v>
      </c>
      <c r="O1487">
        <v>0.5</v>
      </c>
      <c r="P1487">
        <v>44</v>
      </c>
    </row>
    <row r="1488" spans="1:16" x14ac:dyDescent="0.2">
      <c r="A1488" t="s">
        <v>3484</v>
      </c>
      <c r="B1488" t="s">
        <v>3485</v>
      </c>
      <c r="C1488" t="s">
        <v>3349</v>
      </c>
      <c r="D1488" t="s">
        <v>138</v>
      </c>
      <c r="E1488">
        <v>529.99</v>
      </c>
      <c r="F1488" t="s">
        <v>5817</v>
      </c>
      <c r="L1488" t="s">
        <v>5065</v>
      </c>
      <c r="M1488">
        <v>0</v>
      </c>
      <c r="N1488">
        <v>0</v>
      </c>
      <c r="P1488">
        <v>0</v>
      </c>
    </row>
    <row r="1489" spans="1:16" x14ac:dyDescent="0.2">
      <c r="A1489" t="s">
        <v>3480</v>
      </c>
      <c r="B1489" t="s">
        <v>3481</v>
      </c>
      <c r="C1489" t="s">
        <v>3349</v>
      </c>
      <c r="D1489" t="s">
        <v>138</v>
      </c>
      <c r="E1489">
        <v>189.99</v>
      </c>
      <c r="F1489" t="s">
        <v>5817</v>
      </c>
      <c r="G1489">
        <v>64</v>
      </c>
      <c r="I1489">
        <v>64</v>
      </c>
      <c r="L1489" t="s">
        <v>5065</v>
      </c>
      <c r="N1489">
        <v>0</v>
      </c>
      <c r="O1489">
        <v>-8.3333333333333329E-2</v>
      </c>
      <c r="P1489">
        <v>4</v>
      </c>
    </row>
    <row r="1490" spans="1:16" x14ac:dyDescent="0.2">
      <c r="A1490" t="s">
        <v>3478</v>
      </c>
      <c r="B1490" t="s">
        <v>3479</v>
      </c>
      <c r="C1490" t="s">
        <v>3349</v>
      </c>
      <c r="D1490" t="s">
        <v>105</v>
      </c>
      <c r="E1490">
        <v>189.99</v>
      </c>
      <c r="F1490" t="s">
        <v>5817</v>
      </c>
      <c r="G1490">
        <v>89</v>
      </c>
      <c r="I1490">
        <v>89</v>
      </c>
      <c r="L1490" t="s">
        <v>5065</v>
      </c>
      <c r="N1490">
        <v>0</v>
      </c>
      <c r="O1490">
        <v>0</v>
      </c>
      <c r="P1490">
        <v>8</v>
      </c>
    </row>
    <row r="1491" spans="1:16" x14ac:dyDescent="0.2">
      <c r="A1491" t="s">
        <v>3458</v>
      </c>
      <c r="B1491" t="s">
        <v>3459</v>
      </c>
      <c r="C1491" t="s">
        <v>3349</v>
      </c>
      <c r="D1491" t="s">
        <v>105</v>
      </c>
      <c r="E1491">
        <v>19.989999999999998</v>
      </c>
      <c r="F1491" t="s">
        <v>5817</v>
      </c>
      <c r="G1491">
        <v>40</v>
      </c>
      <c r="I1491">
        <v>40</v>
      </c>
      <c r="L1491" t="s">
        <v>5065</v>
      </c>
      <c r="M1491">
        <v>0</v>
      </c>
      <c r="N1491">
        <v>0</v>
      </c>
      <c r="P1491">
        <v>0</v>
      </c>
    </row>
    <row r="1492" spans="1:16" x14ac:dyDescent="0.2">
      <c r="A1492" t="s">
        <v>3448</v>
      </c>
      <c r="B1492" t="s">
        <v>3449</v>
      </c>
      <c r="C1492" t="s">
        <v>3349</v>
      </c>
      <c r="D1492" t="s">
        <v>105</v>
      </c>
      <c r="E1492">
        <v>379.99</v>
      </c>
      <c r="F1492" t="s">
        <v>5817</v>
      </c>
      <c r="G1492">
        <v>3</v>
      </c>
      <c r="I1492">
        <v>3</v>
      </c>
      <c r="L1492" t="s">
        <v>5065</v>
      </c>
      <c r="M1492">
        <v>1</v>
      </c>
      <c r="N1492">
        <v>5</v>
      </c>
      <c r="O1492">
        <v>0.16666666666666666</v>
      </c>
      <c r="P1492">
        <v>5</v>
      </c>
    </row>
    <row r="1493" spans="1:16" x14ac:dyDescent="0.2">
      <c r="A1493" t="s">
        <v>3446</v>
      </c>
      <c r="B1493" t="s">
        <v>3447</v>
      </c>
      <c r="C1493" t="s">
        <v>3349</v>
      </c>
      <c r="D1493" t="s">
        <v>98</v>
      </c>
      <c r="E1493">
        <v>559.99</v>
      </c>
      <c r="F1493" t="s">
        <v>5817</v>
      </c>
      <c r="L1493" t="s">
        <v>5065</v>
      </c>
      <c r="N1493">
        <v>0</v>
      </c>
      <c r="O1493">
        <v>0</v>
      </c>
      <c r="P1493">
        <v>6</v>
      </c>
    </row>
    <row r="1494" spans="1:16" x14ac:dyDescent="0.2">
      <c r="A1494" t="s">
        <v>3438</v>
      </c>
      <c r="B1494" t="s">
        <v>3439</v>
      </c>
      <c r="C1494" t="s">
        <v>3349</v>
      </c>
      <c r="D1494" t="s">
        <v>98</v>
      </c>
      <c r="E1494">
        <v>129.99</v>
      </c>
      <c r="F1494" t="s">
        <v>5817</v>
      </c>
      <c r="L1494" t="s">
        <v>5065</v>
      </c>
      <c r="M1494">
        <v>0</v>
      </c>
      <c r="N1494">
        <v>0</v>
      </c>
      <c r="P1494">
        <v>0</v>
      </c>
    </row>
    <row r="1495" spans="1:16" x14ac:dyDescent="0.2">
      <c r="A1495" t="s">
        <v>3432</v>
      </c>
      <c r="B1495" t="s">
        <v>3433</v>
      </c>
      <c r="C1495" t="s">
        <v>3349</v>
      </c>
      <c r="D1495" t="s">
        <v>105</v>
      </c>
      <c r="E1495">
        <v>119.99</v>
      </c>
      <c r="F1495" t="s">
        <v>5817</v>
      </c>
      <c r="J1495">
        <v>9</v>
      </c>
      <c r="K1495">
        <v>40</v>
      </c>
      <c r="L1495" t="s">
        <v>5065</v>
      </c>
      <c r="M1495">
        <v>1.5</v>
      </c>
      <c r="N1495">
        <v>28</v>
      </c>
      <c r="O1495">
        <v>1.9090909090909092</v>
      </c>
      <c r="P1495">
        <v>42</v>
      </c>
    </row>
    <row r="1496" spans="1:16" x14ac:dyDescent="0.2">
      <c r="A1496" t="s">
        <v>3430</v>
      </c>
      <c r="B1496" t="s">
        <v>3431</v>
      </c>
      <c r="C1496" t="s">
        <v>3349</v>
      </c>
      <c r="D1496" t="s">
        <v>105</v>
      </c>
      <c r="E1496">
        <v>49.99</v>
      </c>
      <c r="F1496" t="s">
        <v>5817</v>
      </c>
      <c r="G1496">
        <v>28</v>
      </c>
      <c r="I1496">
        <v>28</v>
      </c>
      <c r="K1496">
        <v>40</v>
      </c>
      <c r="L1496" t="s">
        <v>5065</v>
      </c>
      <c r="M1496">
        <v>4.5999999999999996</v>
      </c>
      <c r="N1496">
        <v>15.217391304347828</v>
      </c>
      <c r="O1496">
        <v>2.0909090909090908</v>
      </c>
      <c r="P1496">
        <v>70</v>
      </c>
    </row>
    <row r="1497" spans="1:16" x14ac:dyDescent="0.2">
      <c r="A1497" t="s">
        <v>3444</v>
      </c>
      <c r="B1497" t="s">
        <v>3445</v>
      </c>
      <c r="C1497" t="s">
        <v>3349</v>
      </c>
      <c r="D1497" t="s">
        <v>105</v>
      </c>
      <c r="E1497">
        <v>119.99</v>
      </c>
      <c r="F1497" t="s">
        <v>5817</v>
      </c>
      <c r="G1497">
        <v>18</v>
      </c>
      <c r="I1497">
        <v>18</v>
      </c>
      <c r="L1497" t="s">
        <v>5065</v>
      </c>
      <c r="M1497">
        <v>1</v>
      </c>
      <c r="N1497">
        <v>12</v>
      </c>
      <c r="O1497">
        <v>0.33333333333333337</v>
      </c>
      <c r="P1497">
        <v>12</v>
      </c>
    </row>
    <row r="1498" spans="1:16" x14ac:dyDescent="0.2">
      <c r="A1498" t="s">
        <v>3460</v>
      </c>
      <c r="B1498" t="s">
        <v>3461</v>
      </c>
      <c r="C1498" t="s">
        <v>3349</v>
      </c>
      <c r="D1498" t="s">
        <v>105</v>
      </c>
      <c r="E1498">
        <v>24.99</v>
      </c>
      <c r="F1498" t="s">
        <v>5817</v>
      </c>
      <c r="G1498">
        <v>89</v>
      </c>
      <c r="I1498">
        <v>89</v>
      </c>
      <c r="L1498" t="s">
        <v>5065</v>
      </c>
      <c r="M1498">
        <v>0</v>
      </c>
      <c r="N1498">
        <v>0</v>
      </c>
      <c r="P1498">
        <v>0</v>
      </c>
    </row>
    <row r="1499" spans="1:16" x14ac:dyDescent="0.2">
      <c r="A1499" t="s">
        <v>3474</v>
      </c>
      <c r="B1499" t="s">
        <v>3475</v>
      </c>
      <c r="C1499" t="s">
        <v>3349</v>
      </c>
      <c r="D1499" t="s">
        <v>105</v>
      </c>
      <c r="E1499">
        <v>119.99</v>
      </c>
      <c r="F1499" t="s">
        <v>5817</v>
      </c>
      <c r="G1499">
        <v>24</v>
      </c>
      <c r="I1499">
        <v>24</v>
      </c>
      <c r="L1499" t="s">
        <v>5065</v>
      </c>
      <c r="M1499">
        <v>1</v>
      </c>
      <c r="N1499">
        <v>6</v>
      </c>
      <c r="O1499">
        <v>0.5</v>
      </c>
      <c r="P1499">
        <v>6</v>
      </c>
    </row>
    <row r="1500" spans="1:16" x14ac:dyDescent="0.2">
      <c r="A1500" t="s">
        <v>3472</v>
      </c>
      <c r="B1500" t="s">
        <v>3473</v>
      </c>
      <c r="C1500" t="s">
        <v>3349</v>
      </c>
      <c r="D1500" t="s">
        <v>105</v>
      </c>
      <c r="E1500">
        <v>19.989999999999998</v>
      </c>
      <c r="F1500" t="s">
        <v>5817</v>
      </c>
      <c r="G1500">
        <v>45</v>
      </c>
      <c r="I1500">
        <v>45</v>
      </c>
      <c r="L1500" t="s">
        <v>5065</v>
      </c>
      <c r="M1500">
        <v>0</v>
      </c>
      <c r="N1500">
        <v>0</v>
      </c>
      <c r="P1500">
        <v>0</v>
      </c>
    </row>
    <row r="1501" spans="1:16" x14ac:dyDescent="0.2">
      <c r="A1501" t="s">
        <v>3470</v>
      </c>
      <c r="B1501" t="s">
        <v>3471</v>
      </c>
      <c r="C1501" t="s">
        <v>3349</v>
      </c>
      <c r="D1501" t="s">
        <v>105</v>
      </c>
      <c r="E1501">
        <v>19.989999999999998</v>
      </c>
      <c r="F1501" t="s">
        <v>5817</v>
      </c>
      <c r="G1501">
        <v>59</v>
      </c>
      <c r="I1501">
        <v>59</v>
      </c>
      <c r="L1501" t="s">
        <v>5065</v>
      </c>
      <c r="M1501">
        <v>0</v>
      </c>
      <c r="N1501">
        <v>0</v>
      </c>
      <c r="P1501">
        <v>0</v>
      </c>
    </row>
    <row r="1502" spans="1:16" x14ac:dyDescent="0.2">
      <c r="A1502" t="s">
        <v>3468</v>
      </c>
      <c r="B1502" t="s">
        <v>3469</v>
      </c>
      <c r="C1502" t="s">
        <v>3349</v>
      </c>
      <c r="D1502" t="s">
        <v>138</v>
      </c>
      <c r="E1502">
        <v>529.99</v>
      </c>
      <c r="F1502" t="s">
        <v>5817</v>
      </c>
      <c r="L1502" t="s">
        <v>5065</v>
      </c>
      <c r="M1502">
        <v>0</v>
      </c>
      <c r="N1502">
        <v>0</v>
      </c>
      <c r="P1502">
        <v>0</v>
      </c>
    </row>
    <row r="1503" spans="1:16" x14ac:dyDescent="0.2">
      <c r="A1503" t="s">
        <v>3466</v>
      </c>
      <c r="B1503" t="s">
        <v>3467</v>
      </c>
      <c r="C1503" t="s">
        <v>3349</v>
      </c>
      <c r="D1503" t="s">
        <v>105</v>
      </c>
      <c r="E1503">
        <v>369.99</v>
      </c>
      <c r="F1503" t="s">
        <v>5817</v>
      </c>
      <c r="G1503">
        <v>47</v>
      </c>
      <c r="I1503">
        <v>47</v>
      </c>
      <c r="L1503" t="s">
        <v>5065</v>
      </c>
      <c r="M1503">
        <v>2.25</v>
      </c>
      <c r="N1503">
        <v>17.777777777777779</v>
      </c>
      <c r="O1503">
        <v>1.75</v>
      </c>
      <c r="P1503">
        <v>40</v>
      </c>
    </row>
    <row r="1504" spans="1:16" x14ac:dyDescent="0.2">
      <c r="A1504" t="s">
        <v>3464</v>
      </c>
      <c r="B1504" t="s">
        <v>3465</v>
      </c>
      <c r="C1504" t="s">
        <v>3349</v>
      </c>
      <c r="D1504" t="s">
        <v>105</v>
      </c>
      <c r="E1504">
        <v>229.99</v>
      </c>
      <c r="F1504" t="s">
        <v>5817</v>
      </c>
      <c r="G1504">
        <v>48</v>
      </c>
      <c r="I1504">
        <v>48</v>
      </c>
      <c r="L1504" t="s">
        <v>5065</v>
      </c>
      <c r="M1504">
        <v>1.4</v>
      </c>
      <c r="N1504">
        <v>28.571428571428573</v>
      </c>
      <c r="O1504">
        <v>0.83333333333333326</v>
      </c>
      <c r="P1504">
        <v>40</v>
      </c>
    </row>
    <row r="1505" spans="1:16" x14ac:dyDescent="0.2">
      <c r="A1505" t="s">
        <v>3462</v>
      </c>
      <c r="B1505" t="s">
        <v>3463</v>
      </c>
      <c r="C1505" t="s">
        <v>3349</v>
      </c>
      <c r="D1505" t="s">
        <v>105</v>
      </c>
      <c r="E1505">
        <v>119.99</v>
      </c>
      <c r="F1505" t="s">
        <v>5817</v>
      </c>
      <c r="G1505">
        <v>15</v>
      </c>
      <c r="I1505">
        <v>15</v>
      </c>
      <c r="L1505" t="s">
        <v>5065</v>
      </c>
      <c r="M1505">
        <v>0</v>
      </c>
      <c r="N1505">
        <v>0</v>
      </c>
      <c r="P1505">
        <v>0</v>
      </c>
    </row>
    <row r="1506" spans="1:16" x14ac:dyDescent="0.2">
      <c r="A1506" t="s">
        <v>3486</v>
      </c>
      <c r="B1506" t="s">
        <v>3487</v>
      </c>
      <c r="C1506" t="s">
        <v>3349</v>
      </c>
      <c r="D1506" t="s">
        <v>105</v>
      </c>
      <c r="E1506">
        <v>199.99</v>
      </c>
      <c r="F1506" t="s">
        <v>5817</v>
      </c>
      <c r="G1506">
        <v>48</v>
      </c>
      <c r="I1506">
        <v>48</v>
      </c>
      <c r="L1506" t="s">
        <v>8</v>
      </c>
      <c r="M1506">
        <v>1</v>
      </c>
      <c r="N1506">
        <v>39</v>
      </c>
      <c r="O1506">
        <v>8.333333333333337E-2</v>
      </c>
      <c r="P1506">
        <v>39</v>
      </c>
    </row>
    <row r="1507" spans="1:16" x14ac:dyDescent="0.2">
      <c r="A1507" t="s">
        <v>3484</v>
      </c>
      <c r="B1507" t="s">
        <v>3485</v>
      </c>
      <c r="C1507" t="s">
        <v>3349</v>
      </c>
      <c r="D1507" t="s">
        <v>138</v>
      </c>
      <c r="E1507">
        <v>529.99</v>
      </c>
      <c r="F1507" t="s">
        <v>5817</v>
      </c>
      <c r="L1507" t="s">
        <v>8</v>
      </c>
      <c r="M1507">
        <v>0</v>
      </c>
      <c r="N1507">
        <v>0</v>
      </c>
      <c r="O1507">
        <v>0</v>
      </c>
      <c r="P1507">
        <v>0</v>
      </c>
    </row>
    <row r="1508" spans="1:16" x14ac:dyDescent="0.2">
      <c r="A1508" t="s">
        <v>3480</v>
      </c>
      <c r="B1508" t="s">
        <v>3481</v>
      </c>
      <c r="C1508" t="s">
        <v>3349</v>
      </c>
      <c r="D1508" t="s">
        <v>138</v>
      </c>
      <c r="E1508">
        <v>189.99</v>
      </c>
      <c r="F1508" t="s">
        <v>5817</v>
      </c>
      <c r="G1508">
        <v>64</v>
      </c>
      <c r="I1508">
        <v>64</v>
      </c>
      <c r="L1508" t="s">
        <v>8</v>
      </c>
      <c r="M1508">
        <v>1</v>
      </c>
      <c r="N1508">
        <v>31</v>
      </c>
      <c r="O1508">
        <v>0.5</v>
      </c>
      <c r="P1508">
        <v>31</v>
      </c>
    </row>
    <row r="1509" spans="1:16" x14ac:dyDescent="0.2">
      <c r="A1509" t="s">
        <v>3478</v>
      </c>
      <c r="B1509" t="s">
        <v>3479</v>
      </c>
      <c r="C1509" t="s">
        <v>3349</v>
      </c>
      <c r="D1509" t="s">
        <v>105</v>
      </c>
      <c r="E1509">
        <v>189.99</v>
      </c>
      <c r="F1509" t="s">
        <v>5817</v>
      </c>
      <c r="G1509">
        <v>89</v>
      </c>
      <c r="I1509">
        <v>89</v>
      </c>
      <c r="L1509" t="s">
        <v>8</v>
      </c>
      <c r="M1509">
        <v>0</v>
      </c>
      <c r="N1509">
        <v>0</v>
      </c>
      <c r="O1509">
        <v>0</v>
      </c>
      <c r="P1509">
        <v>0</v>
      </c>
    </row>
    <row r="1510" spans="1:16" x14ac:dyDescent="0.2">
      <c r="A1510" t="s">
        <v>3488</v>
      </c>
      <c r="B1510" t="s">
        <v>3489</v>
      </c>
      <c r="C1510" t="s">
        <v>3349</v>
      </c>
      <c r="D1510" t="s">
        <v>105</v>
      </c>
      <c r="E1510">
        <v>369.99</v>
      </c>
      <c r="F1510" t="s">
        <v>5817</v>
      </c>
      <c r="J1510">
        <v>4</v>
      </c>
      <c r="L1510" t="s">
        <v>8</v>
      </c>
      <c r="M1510">
        <v>1</v>
      </c>
      <c r="N1510">
        <v>44</v>
      </c>
      <c r="O1510">
        <v>0.5</v>
      </c>
      <c r="P1510">
        <v>44</v>
      </c>
    </row>
    <row r="1511" spans="1:16" x14ac:dyDescent="0.2">
      <c r="A1511" t="s">
        <v>3474</v>
      </c>
      <c r="B1511" t="s">
        <v>3475</v>
      </c>
      <c r="C1511" t="s">
        <v>3349</v>
      </c>
      <c r="D1511" t="s">
        <v>105</v>
      </c>
      <c r="E1511">
        <v>119.99</v>
      </c>
      <c r="F1511" t="s">
        <v>5817</v>
      </c>
      <c r="G1511">
        <v>24</v>
      </c>
      <c r="I1511">
        <v>24</v>
      </c>
      <c r="L1511" t="s">
        <v>8</v>
      </c>
      <c r="N1511">
        <v>0</v>
      </c>
      <c r="O1511">
        <v>8.3333333333333329E-2</v>
      </c>
      <c r="P1511">
        <v>35</v>
      </c>
    </row>
    <row r="1512" spans="1:16" x14ac:dyDescent="0.2">
      <c r="A1512" t="s">
        <v>3472</v>
      </c>
      <c r="B1512" t="s">
        <v>3473</v>
      </c>
      <c r="C1512" t="s">
        <v>3349</v>
      </c>
      <c r="D1512" t="s">
        <v>105</v>
      </c>
      <c r="E1512">
        <v>19.989999999999998</v>
      </c>
      <c r="F1512" t="s">
        <v>5817</v>
      </c>
      <c r="G1512">
        <v>45</v>
      </c>
      <c r="I1512">
        <v>45</v>
      </c>
      <c r="L1512" t="s">
        <v>8</v>
      </c>
      <c r="M1512">
        <v>0</v>
      </c>
      <c r="N1512">
        <v>0</v>
      </c>
      <c r="O1512">
        <v>0</v>
      </c>
      <c r="P1512">
        <v>0</v>
      </c>
    </row>
    <row r="1513" spans="1:16" x14ac:dyDescent="0.2">
      <c r="A1513" t="s">
        <v>3470</v>
      </c>
      <c r="B1513" t="s">
        <v>3471</v>
      </c>
      <c r="C1513" t="s">
        <v>3349</v>
      </c>
      <c r="D1513" t="s">
        <v>105</v>
      </c>
      <c r="E1513">
        <v>19.989999999999998</v>
      </c>
      <c r="F1513" t="s">
        <v>5817</v>
      </c>
      <c r="G1513">
        <v>59</v>
      </c>
      <c r="I1513">
        <v>59</v>
      </c>
      <c r="L1513" t="s">
        <v>8</v>
      </c>
      <c r="M1513">
        <v>0</v>
      </c>
      <c r="N1513">
        <v>0</v>
      </c>
      <c r="O1513">
        <v>0</v>
      </c>
      <c r="P1513">
        <v>0</v>
      </c>
    </row>
    <row r="1514" spans="1:16" x14ac:dyDescent="0.2">
      <c r="A1514" t="s">
        <v>3468</v>
      </c>
      <c r="B1514" t="s">
        <v>3469</v>
      </c>
      <c r="C1514" t="s">
        <v>3349</v>
      </c>
      <c r="D1514" t="s">
        <v>138</v>
      </c>
      <c r="E1514">
        <v>529.99</v>
      </c>
      <c r="F1514" t="s">
        <v>5817</v>
      </c>
      <c r="L1514" t="s">
        <v>8</v>
      </c>
      <c r="M1514">
        <v>0</v>
      </c>
      <c r="N1514">
        <v>0</v>
      </c>
      <c r="O1514">
        <v>0</v>
      </c>
      <c r="P1514">
        <v>0</v>
      </c>
    </row>
    <row r="1515" spans="1:16" x14ac:dyDescent="0.2">
      <c r="A1515" t="s">
        <v>3466</v>
      </c>
      <c r="B1515" t="s">
        <v>3467</v>
      </c>
      <c r="C1515" t="s">
        <v>3349</v>
      </c>
      <c r="D1515" t="s">
        <v>105</v>
      </c>
      <c r="E1515">
        <v>369.99</v>
      </c>
      <c r="F1515" t="s">
        <v>5817</v>
      </c>
      <c r="G1515">
        <v>47</v>
      </c>
      <c r="I1515">
        <v>47</v>
      </c>
      <c r="L1515" t="s">
        <v>8</v>
      </c>
      <c r="M1515">
        <v>1.5</v>
      </c>
      <c r="N1515">
        <v>20</v>
      </c>
      <c r="O1515">
        <v>1.25</v>
      </c>
      <c r="P1515">
        <v>30</v>
      </c>
    </row>
    <row r="1516" spans="1:16" x14ac:dyDescent="0.2">
      <c r="A1516" t="s">
        <v>3464</v>
      </c>
      <c r="B1516" t="s">
        <v>3465</v>
      </c>
      <c r="C1516" t="s">
        <v>3349</v>
      </c>
      <c r="D1516" t="s">
        <v>105</v>
      </c>
      <c r="E1516">
        <v>229.99</v>
      </c>
      <c r="F1516" t="s">
        <v>5817</v>
      </c>
      <c r="G1516">
        <v>48</v>
      </c>
      <c r="I1516">
        <v>48</v>
      </c>
      <c r="L1516" t="s">
        <v>8</v>
      </c>
      <c r="M1516">
        <v>1</v>
      </c>
      <c r="N1516">
        <v>23</v>
      </c>
      <c r="O1516">
        <v>0.75</v>
      </c>
      <c r="P1516">
        <v>23</v>
      </c>
    </row>
    <row r="1517" spans="1:16" x14ac:dyDescent="0.2">
      <c r="A1517" t="s">
        <v>3462</v>
      </c>
      <c r="B1517" t="s">
        <v>3463</v>
      </c>
      <c r="C1517" t="s">
        <v>3349</v>
      </c>
      <c r="D1517" t="s">
        <v>105</v>
      </c>
      <c r="E1517">
        <v>119.99</v>
      </c>
      <c r="F1517" t="s">
        <v>5817</v>
      </c>
      <c r="G1517">
        <v>15</v>
      </c>
      <c r="I1517">
        <v>15</v>
      </c>
      <c r="L1517" t="s">
        <v>8</v>
      </c>
      <c r="M1517">
        <v>1.5</v>
      </c>
      <c r="N1517">
        <v>17.333333333333332</v>
      </c>
      <c r="O1517">
        <v>0.41666666666666674</v>
      </c>
      <c r="P1517">
        <v>26</v>
      </c>
    </row>
    <row r="1518" spans="1:16" x14ac:dyDescent="0.2">
      <c r="A1518" t="s">
        <v>3460</v>
      </c>
      <c r="B1518" t="s">
        <v>3461</v>
      </c>
      <c r="C1518" t="s">
        <v>3349</v>
      </c>
      <c r="D1518" t="s">
        <v>105</v>
      </c>
      <c r="E1518">
        <v>24.99</v>
      </c>
      <c r="F1518" t="s">
        <v>5817</v>
      </c>
      <c r="G1518">
        <v>89</v>
      </c>
      <c r="I1518">
        <v>89</v>
      </c>
      <c r="L1518" t="s">
        <v>8</v>
      </c>
      <c r="M1518">
        <v>0</v>
      </c>
      <c r="N1518">
        <v>0</v>
      </c>
      <c r="O1518">
        <v>0</v>
      </c>
      <c r="P1518">
        <v>0</v>
      </c>
    </row>
    <row r="1519" spans="1:16" x14ac:dyDescent="0.2">
      <c r="A1519" t="s">
        <v>3376</v>
      </c>
      <c r="B1519" t="s">
        <v>3377</v>
      </c>
      <c r="C1519" t="s">
        <v>3349</v>
      </c>
      <c r="D1519" t="s">
        <v>98</v>
      </c>
      <c r="E1519">
        <v>119.99</v>
      </c>
      <c r="F1519" t="s">
        <v>5817</v>
      </c>
      <c r="L1519" t="s">
        <v>8</v>
      </c>
      <c r="M1519">
        <v>0</v>
      </c>
      <c r="N1519">
        <v>0</v>
      </c>
      <c r="O1519">
        <v>0</v>
      </c>
      <c r="P1519">
        <v>0</v>
      </c>
    </row>
    <row r="1520" spans="1:16" x14ac:dyDescent="0.2">
      <c r="A1520" t="s">
        <v>3354</v>
      </c>
      <c r="B1520" t="s">
        <v>3355</v>
      </c>
      <c r="C1520" t="s">
        <v>3349</v>
      </c>
      <c r="D1520" t="s">
        <v>105</v>
      </c>
      <c r="E1520">
        <v>239.99</v>
      </c>
      <c r="F1520" t="s">
        <v>5817</v>
      </c>
      <c r="G1520">
        <v>14</v>
      </c>
      <c r="I1520">
        <v>14</v>
      </c>
      <c r="K1520">
        <v>51</v>
      </c>
      <c r="L1520" t="s">
        <v>8</v>
      </c>
      <c r="N1520">
        <v>0</v>
      </c>
      <c r="O1520">
        <v>0</v>
      </c>
      <c r="P1520">
        <v>2</v>
      </c>
    </row>
    <row r="1521" spans="1:16" x14ac:dyDescent="0.2">
      <c r="A1521" t="s">
        <v>3386</v>
      </c>
      <c r="B1521" t="s">
        <v>3387</v>
      </c>
      <c r="C1521" t="s">
        <v>3349</v>
      </c>
      <c r="D1521" t="s">
        <v>98</v>
      </c>
      <c r="E1521">
        <v>359.99</v>
      </c>
      <c r="F1521" t="s">
        <v>5817</v>
      </c>
      <c r="L1521" t="s">
        <v>8</v>
      </c>
      <c r="M1521">
        <v>0</v>
      </c>
      <c r="N1521">
        <v>0</v>
      </c>
      <c r="O1521">
        <v>0</v>
      </c>
      <c r="P1521">
        <v>0</v>
      </c>
    </row>
    <row r="1522" spans="1:16" x14ac:dyDescent="0.2">
      <c r="A1522" t="s">
        <v>3392</v>
      </c>
      <c r="B1522" t="s">
        <v>3393</v>
      </c>
      <c r="C1522" t="s">
        <v>3349</v>
      </c>
      <c r="D1522" t="s">
        <v>105</v>
      </c>
      <c r="E1522">
        <v>139.99</v>
      </c>
      <c r="F1522" t="s">
        <v>5817</v>
      </c>
      <c r="G1522">
        <v>43</v>
      </c>
      <c r="I1522">
        <v>43</v>
      </c>
      <c r="L1522" t="s">
        <v>8</v>
      </c>
      <c r="M1522">
        <v>0</v>
      </c>
      <c r="N1522">
        <v>0</v>
      </c>
      <c r="O1522">
        <v>0</v>
      </c>
      <c r="P1522">
        <v>0</v>
      </c>
    </row>
    <row r="1523" spans="1:16" x14ac:dyDescent="0.2">
      <c r="A1523" t="s">
        <v>3458</v>
      </c>
      <c r="B1523" t="s">
        <v>3459</v>
      </c>
      <c r="C1523" t="s">
        <v>3349</v>
      </c>
      <c r="D1523" t="s">
        <v>105</v>
      </c>
      <c r="E1523">
        <v>19.989999999999998</v>
      </c>
      <c r="F1523" t="s">
        <v>5817</v>
      </c>
      <c r="G1523">
        <v>40</v>
      </c>
      <c r="I1523">
        <v>40</v>
      </c>
      <c r="L1523" t="s">
        <v>8</v>
      </c>
      <c r="M1523">
        <v>0</v>
      </c>
      <c r="N1523">
        <v>0</v>
      </c>
      <c r="O1523">
        <v>0</v>
      </c>
      <c r="P1523">
        <v>0</v>
      </c>
    </row>
    <row r="1524" spans="1:16" x14ac:dyDescent="0.2">
      <c r="A1524" t="s">
        <v>3448</v>
      </c>
      <c r="B1524" t="s">
        <v>3449</v>
      </c>
      <c r="C1524" t="s">
        <v>3349</v>
      </c>
      <c r="D1524" t="s">
        <v>105</v>
      </c>
      <c r="E1524">
        <v>379.99</v>
      </c>
      <c r="F1524" t="s">
        <v>5817</v>
      </c>
      <c r="G1524">
        <v>3</v>
      </c>
      <c r="I1524">
        <v>3</v>
      </c>
      <c r="L1524" t="s">
        <v>8</v>
      </c>
      <c r="M1524">
        <v>0</v>
      </c>
      <c r="N1524">
        <v>0</v>
      </c>
      <c r="O1524">
        <v>0</v>
      </c>
      <c r="P1524">
        <v>0</v>
      </c>
    </row>
    <row r="1525" spans="1:16" x14ac:dyDescent="0.2">
      <c r="A1525" t="s">
        <v>3446</v>
      </c>
      <c r="B1525" t="s">
        <v>3447</v>
      </c>
      <c r="C1525" t="s">
        <v>3349</v>
      </c>
      <c r="D1525" t="s">
        <v>98</v>
      </c>
      <c r="E1525">
        <v>559.99</v>
      </c>
      <c r="F1525" t="s">
        <v>5817</v>
      </c>
      <c r="L1525" t="s">
        <v>8</v>
      </c>
      <c r="M1525">
        <v>0</v>
      </c>
      <c r="N1525">
        <v>0</v>
      </c>
      <c r="O1525">
        <v>0</v>
      </c>
      <c r="P1525">
        <v>0</v>
      </c>
    </row>
    <row r="1526" spans="1:16" x14ac:dyDescent="0.2">
      <c r="A1526" t="s">
        <v>3444</v>
      </c>
      <c r="B1526" t="s">
        <v>3445</v>
      </c>
      <c r="C1526" t="s">
        <v>3349</v>
      </c>
      <c r="D1526" t="s">
        <v>105</v>
      </c>
      <c r="E1526">
        <v>119.99</v>
      </c>
      <c r="F1526" t="s">
        <v>5817</v>
      </c>
      <c r="G1526">
        <v>18</v>
      </c>
      <c r="I1526">
        <v>18</v>
      </c>
      <c r="L1526" t="s">
        <v>8</v>
      </c>
      <c r="M1526">
        <v>0</v>
      </c>
      <c r="N1526">
        <v>0</v>
      </c>
      <c r="O1526">
        <v>0</v>
      </c>
      <c r="P1526">
        <v>0</v>
      </c>
    </row>
    <row r="1527" spans="1:16" x14ac:dyDescent="0.2">
      <c r="A1527" t="s">
        <v>3438</v>
      </c>
      <c r="B1527" t="s">
        <v>3439</v>
      </c>
      <c r="C1527" t="s">
        <v>3349</v>
      </c>
      <c r="D1527" t="s">
        <v>98</v>
      </c>
      <c r="E1527">
        <v>129.99</v>
      </c>
      <c r="F1527" t="s">
        <v>5817</v>
      </c>
      <c r="L1527" t="s">
        <v>8</v>
      </c>
      <c r="M1527">
        <v>0</v>
      </c>
      <c r="N1527">
        <v>0</v>
      </c>
      <c r="O1527">
        <v>0</v>
      </c>
      <c r="P1527">
        <v>0</v>
      </c>
    </row>
    <row r="1528" spans="1:16" x14ac:dyDescent="0.2">
      <c r="A1528" t="s">
        <v>3432</v>
      </c>
      <c r="B1528" t="s">
        <v>3433</v>
      </c>
      <c r="C1528" t="s">
        <v>3349</v>
      </c>
      <c r="D1528" t="s">
        <v>105</v>
      </c>
      <c r="E1528">
        <v>119.99</v>
      </c>
      <c r="F1528" t="s">
        <v>5817</v>
      </c>
      <c r="J1528">
        <v>9</v>
      </c>
      <c r="K1528">
        <v>40</v>
      </c>
      <c r="L1528" t="s">
        <v>8</v>
      </c>
      <c r="M1528">
        <v>0</v>
      </c>
      <c r="N1528">
        <v>0</v>
      </c>
      <c r="O1528">
        <v>0</v>
      </c>
      <c r="P1528">
        <v>1</v>
      </c>
    </row>
    <row r="1529" spans="1:16" x14ac:dyDescent="0.2">
      <c r="A1529" t="s">
        <v>3430</v>
      </c>
      <c r="B1529" t="s">
        <v>3431</v>
      </c>
      <c r="C1529" t="s">
        <v>3349</v>
      </c>
      <c r="D1529" t="s">
        <v>105</v>
      </c>
      <c r="E1529">
        <v>49.99</v>
      </c>
      <c r="F1529" t="s">
        <v>5817</v>
      </c>
      <c r="G1529">
        <v>28</v>
      </c>
      <c r="I1529">
        <v>28</v>
      </c>
      <c r="K1529">
        <v>40</v>
      </c>
      <c r="L1529" t="s">
        <v>8</v>
      </c>
      <c r="N1529">
        <v>0</v>
      </c>
      <c r="O1529">
        <v>0</v>
      </c>
      <c r="P1529">
        <v>4</v>
      </c>
    </row>
    <row r="1530" spans="1:16" x14ac:dyDescent="0.2">
      <c r="A1530" t="s">
        <v>3428</v>
      </c>
      <c r="B1530" t="s">
        <v>3429</v>
      </c>
      <c r="C1530" t="s">
        <v>3349</v>
      </c>
      <c r="D1530" t="s">
        <v>138</v>
      </c>
      <c r="E1530">
        <v>49.99</v>
      </c>
      <c r="F1530" t="s">
        <v>5817</v>
      </c>
      <c r="L1530" t="s">
        <v>8</v>
      </c>
      <c r="M1530">
        <v>0</v>
      </c>
      <c r="N1530">
        <v>0</v>
      </c>
      <c r="O1530">
        <v>0</v>
      </c>
      <c r="P1530">
        <v>0</v>
      </c>
    </row>
    <row r="1531" spans="1:16" x14ac:dyDescent="0.2">
      <c r="A1531" t="s">
        <v>3426</v>
      </c>
      <c r="B1531" t="s">
        <v>3427</v>
      </c>
      <c r="C1531" t="s">
        <v>3349</v>
      </c>
      <c r="D1531" t="s">
        <v>98</v>
      </c>
      <c r="E1531">
        <v>129.99</v>
      </c>
      <c r="F1531" t="s">
        <v>5817</v>
      </c>
      <c r="L1531" t="s">
        <v>8</v>
      </c>
      <c r="M1531">
        <v>0</v>
      </c>
      <c r="N1531">
        <v>0</v>
      </c>
      <c r="O1531">
        <v>0</v>
      </c>
      <c r="P1531">
        <v>0</v>
      </c>
    </row>
    <row r="1532" spans="1:16" x14ac:dyDescent="0.2">
      <c r="A1532" t="s">
        <v>3418</v>
      </c>
      <c r="B1532" t="s">
        <v>3419</v>
      </c>
      <c r="C1532" t="s">
        <v>3349</v>
      </c>
      <c r="D1532" t="s">
        <v>105</v>
      </c>
      <c r="E1532">
        <v>49.99</v>
      </c>
      <c r="F1532" t="s">
        <v>5817</v>
      </c>
      <c r="G1532">
        <v>42</v>
      </c>
      <c r="I1532">
        <v>42</v>
      </c>
      <c r="K1532">
        <v>40</v>
      </c>
      <c r="L1532" t="s">
        <v>8</v>
      </c>
      <c r="M1532">
        <v>0</v>
      </c>
      <c r="N1532">
        <v>0</v>
      </c>
      <c r="O1532">
        <v>0</v>
      </c>
      <c r="P1532">
        <v>1</v>
      </c>
    </row>
    <row r="1533" spans="1:16" x14ac:dyDescent="0.2">
      <c r="A1533" t="s">
        <v>3416</v>
      </c>
      <c r="B1533" t="s">
        <v>3417</v>
      </c>
      <c r="C1533" t="s">
        <v>3349</v>
      </c>
      <c r="D1533" t="s">
        <v>138</v>
      </c>
      <c r="E1533">
        <v>49.99</v>
      </c>
      <c r="F1533" t="s">
        <v>5817</v>
      </c>
      <c r="L1533" t="s">
        <v>8</v>
      </c>
      <c r="M1533">
        <v>0</v>
      </c>
      <c r="N1533">
        <v>0</v>
      </c>
      <c r="O1533">
        <v>0</v>
      </c>
      <c r="P1533">
        <v>0</v>
      </c>
    </row>
    <row r="1534" spans="1:16" x14ac:dyDescent="0.2">
      <c r="A1534" t="s">
        <v>3414</v>
      </c>
      <c r="B1534" t="s">
        <v>3415</v>
      </c>
      <c r="C1534" t="s">
        <v>3349</v>
      </c>
      <c r="D1534" t="s">
        <v>138</v>
      </c>
      <c r="E1534">
        <v>89.99</v>
      </c>
      <c r="F1534" t="s">
        <v>5817</v>
      </c>
      <c r="L1534" t="s">
        <v>8</v>
      </c>
      <c r="M1534">
        <v>3</v>
      </c>
      <c r="N1534">
        <v>1</v>
      </c>
      <c r="O1534">
        <v>1</v>
      </c>
      <c r="P1534">
        <v>3</v>
      </c>
    </row>
    <row r="1535" spans="1:16" x14ac:dyDescent="0.2">
      <c r="A1535" t="s">
        <v>3412</v>
      </c>
      <c r="B1535" t="s">
        <v>3413</v>
      </c>
      <c r="C1535" t="s">
        <v>3349</v>
      </c>
      <c r="D1535" t="s">
        <v>105</v>
      </c>
      <c r="E1535">
        <v>149.99</v>
      </c>
      <c r="F1535" t="s">
        <v>5817</v>
      </c>
      <c r="J1535">
        <v>26</v>
      </c>
      <c r="K1535">
        <v>36</v>
      </c>
      <c r="L1535" t="s">
        <v>8</v>
      </c>
      <c r="M1535">
        <v>0</v>
      </c>
      <c r="N1535">
        <v>0</v>
      </c>
      <c r="O1535">
        <v>0</v>
      </c>
      <c r="P1535">
        <v>1</v>
      </c>
    </row>
    <row r="1536" spans="1:16" x14ac:dyDescent="0.2">
      <c r="A1536" t="s">
        <v>3406</v>
      </c>
      <c r="B1536" t="s">
        <v>3407</v>
      </c>
      <c r="C1536" t="s">
        <v>3349</v>
      </c>
      <c r="D1536" t="s">
        <v>138</v>
      </c>
      <c r="E1536">
        <v>34.99</v>
      </c>
      <c r="F1536" t="s">
        <v>5817</v>
      </c>
      <c r="L1536" t="s">
        <v>8</v>
      </c>
      <c r="M1536">
        <v>1</v>
      </c>
      <c r="N1536">
        <v>35</v>
      </c>
      <c r="O1536">
        <v>0.91666666666666652</v>
      </c>
      <c r="P1536">
        <v>35</v>
      </c>
    </row>
    <row r="1537" spans="1:16" x14ac:dyDescent="0.2">
      <c r="A1537" t="s">
        <v>3394</v>
      </c>
      <c r="B1537" t="s">
        <v>3395</v>
      </c>
      <c r="C1537" t="s">
        <v>3349</v>
      </c>
      <c r="D1537" t="s">
        <v>105</v>
      </c>
      <c r="E1537">
        <v>399.99</v>
      </c>
      <c r="F1537" t="s">
        <v>5817</v>
      </c>
      <c r="G1537">
        <v>36</v>
      </c>
      <c r="I1537">
        <v>36</v>
      </c>
      <c r="L1537" t="s">
        <v>8</v>
      </c>
      <c r="M1537">
        <v>0</v>
      </c>
      <c r="N1537">
        <v>0</v>
      </c>
      <c r="O1537">
        <v>0</v>
      </c>
      <c r="P1537">
        <v>0</v>
      </c>
    </row>
    <row r="1538" spans="1:16" x14ac:dyDescent="0.2">
      <c r="A1538" t="s">
        <v>3501</v>
      </c>
      <c r="B1538" t="s">
        <v>3502</v>
      </c>
      <c r="C1538" t="s">
        <v>3494</v>
      </c>
      <c r="D1538" t="s">
        <v>138</v>
      </c>
      <c r="E1538">
        <v>129.99</v>
      </c>
      <c r="F1538" t="s">
        <v>5817</v>
      </c>
      <c r="L1538" t="s">
        <v>73</v>
      </c>
      <c r="M1538">
        <v>0</v>
      </c>
      <c r="N1538">
        <v>0</v>
      </c>
      <c r="O1538">
        <v>0.33333333333333331</v>
      </c>
      <c r="P1538">
        <v>0</v>
      </c>
    </row>
    <row r="1539" spans="1:16" x14ac:dyDescent="0.2">
      <c r="A1539" t="s">
        <v>3497</v>
      </c>
      <c r="B1539" t="s">
        <v>3498</v>
      </c>
      <c r="C1539" t="s">
        <v>3494</v>
      </c>
      <c r="D1539" t="s">
        <v>138</v>
      </c>
      <c r="E1539">
        <v>49.99</v>
      </c>
      <c r="F1539" t="s">
        <v>5817</v>
      </c>
      <c r="L1539" t="s">
        <v>73</v>
      </c>
      <c r="M1539">
        <v>0</v>
      </c>
      <c r="N1539">
        <v>0</v>
      </c>
      <c r="O1539">
        <v>0.5</v>
      </c>
      <c r="P1539">
        <v>0</v>
      </c>
    </row>
    <row r="1540" spans="1:16" x14ac:dyDescent="0.2">
      <c r="A1540" t="s">
        <v>3505</v>
      </c>
      <c r="B1540" t="s">
        <v>3506</v>
      </c>
      <c r="C1540" t="s">
        <v>3494</v>
      </c>
      <c r="D1540" t="s">
        <v>138</v>
      </c>
      <c r="E1540">
        <v>299.99</v>
      </c>
      <c r="F1540" t="s">
        <v>5817</v>
      </c>
      <c r="L1540" t="s">
        <v>73</v>
      </c>
      <c r="M1540">
        <v>0</v>
      </c>
      <c r="N1540">
        <v>0</v>
      </c>
      <c r="O1540">
        <v>0.41666666666666663</v>
      </c>
      <c r="P1540">
        <v>0</v>
      </c>
    </row>
    <row r="1541" spans="1:16" x14ac:dyDescent="0.2">
      <c r="A1541" t="s">
        <v>3507</v>
      </c>
      <c r="B1541" t="s">
        <v>3508</v>
      </c>
      <c r="C1541" t="s">
        <v>3494</v>
      </c>
      <c r="D1541" t="s">
        <v>138</v>
      </c>
      <c r="E1541">
        <v>359.99</v>
      </c>
      <c r="F1541" t="s">
        <v>5817</v>
      </c>
      <c r="L1541" t="s">
        <v>73</v>
      </c>
      <c r="M1541">
        <v>0</v>
      </c>
      <c r="N1541">
        <v>0</v>
      </c>
      <c r="O1541">
        <v>8.3333333333333329E-2</v>
      </c>
      <c r="P1541">
        <v>0</v>
      </c>
    </row>
    <row r="1542" spans="1:16" x14ac:dyDescent="0.2">
      <c r="A1542" t="s">
        <v>3503</v>
      </c>
      <c r="B1542" t="s">
        <v>3504</v>
      </c>
      <c r="C1542" t="s">
        <v>3494</v>
      </c>
      <c r="D1542" t="s">
        <v>98</v>
      </c>
      <c r="E1542">
        <v>189.99</v>
      </c>
      <c r="F1542" t="s">
        <v>5817</v>
      </c>
      <c r="L1542" t="s">
        <v>73</v>
      </c>
      <c r="M1542">
        <v>0</v>
      </c>
      <c r="N1542">
        <v>0</v>
      </c>
      <c r="O1542">
        <v>0</v>
      </c>
      <c r="P1542">
        <v>0</v>
      </c>
    </row>
    <row r="1543" spans="1:16" x14ac:dyDescent="0.2">
      <c r="A1543" t="s">
        <v>3495</v>
      </c>
      <c r="B1543" t="s">
        <v>3496</v>
      </c>
      <c r="C1543" t="s">
        <v>3494</v>
      </c>
      <c r="D1543" t="s">
        <v>138</v>
      </c>
      <c r="E1543">
        <v>169.99</v>
      </c>
      <c r="F1543" t="s">
        <v>5817</v>
      </c>
      <c r="L1543" t="s">
        <v>73</v>
      </c>
      <c r="M1543">
        <v>0</v>
      </c>
      <c r="N1543">
        <v>0</v>
      </c>
      <c r="O1543">
        <v>0</v>
      </c>
      <c r="P1543">
        <v>0</v>
      </c>
    </row>
    <row r="1544" spans="1:16" x14ac:dyDescent="0.2">
      <c r="A1544" t="s">
        <v>3515</v>
      </c>
      <c r="B1544" t="s">
        <v>3516</v>
      </c>
      <c r="C1544" t="s">
        <v>3494</v>
      </c>
      <c r="D1544" t="s">
        <v>138</v>
      </c>
      <c r="E1544">
        <v>189.99</v>
      </c>
      <c r="F1544" t="s">
        <v>5817</v>
      </c>
      <c r="G1544">
        <v>1</v>
      </c>
      <c r="I1544">
        <v>1</v>
      </c>
      <c r="L1544" t="s">
        <v>73</v>
      </c>
      <c r="M1544">
        <v>0</v>
      </c>
      <c r="N1544">
        <v>0</v>
      </c>
      <c r="O1544">
        <v>0.25</v>
      </c>
      <c r="P1544">
        <v>0</v>
      </c>
    </row>
    <row r="1545" spans="1:16" x14ac:dyDescent="0.2">
      <c r="A1545" t="s">
        <v>3513</v>
      </c>
      <c r="B1545" t="s">
        <v>3514</v>
      </c>
      <c r="C1545" t="s">
        <v>3494</v>
      </c>
      <c r="D1545" t="s">
        <v>138</v>
      </c>
      <c r="E1545">
        <v>479.99</v>
      </c>
      <c r="F1545" t="s">
        <v>5817</v>
      </c>
      <c r="L1545" t="s">
        <v>73</v>
      </c>
      <c r="M1545">
        <v>0</v>
      </c>
      <c r="N1545">
        <v>0</v>
      </c>
      <c r="O1545">
        <v>0</v>
      </c>
      <c r="P1545">
        <v>0</v>
      </c>
    </row>
    <row r="1546" spans="1:16" x14ac:dyDescent="0.2">
      <c r="A1546" t="s">
        <v>3509</v>
      </c>
      <c r="B1546" t="s">
        <v>3510</v>
      </c>
      <c r="C1546" t="s">
        <v>3494</v>
      </c>
      <c r="D1546" t="s">
        <v>105</v>
      </c>
      <c r="E1546">
        <v>149.99</v>
      </c>
      <c r="F1546" t="s">
        <v>5817</v>
      </c>
      <c r="G1546">
        <v>1</v>
      </c>
      <c r="I1546">
        <v>1</v>
      </c>
      <c r="L1546" t="s">
        <v>73</v>
      </c>
      <c r="M1546">
        <v>0</v>
      </c>
      <c r="N1546">
        <v>0</v>
      </c>
      <c r="O1546">
        <v>8.3333333333333329E-2</v>
      </c>
      <c r="P1546">
        <v>0</v>
      </c>
    </row>
    <row r="1547" spans="1:16" x14ac:dyDescent="0.2">
      <c r="A1547" t="s">
        <v>3511</v>
      </c>
      <c r="B1547" t="s">
        <v>3512</v>
      </c>
      <c r="C1547" t="s">
        <v>3494</v>
      </c>
      <c r="D1547" t="s">
        <v>138</v>
      </c>
      <c r="E1547">
        <v>499.99</v>
      </c>
      <c r="F1547" t="s">
        <v>5817</v>
      </c>
      <c r="L1547" t="s">
        <v>73</v>
      </c>
      <c r="M1547">
        <v>0</v>
      </c>
      <c r="N1547">
        <v>0</v>
      </c>
      <c r="O1547">
        <v>0.16666666666666666</v>
      </c>
      <c r="P1547">
        <v>0</v>
      </c>
    </row>
    <row r="1548" spans="1:16" x14ac:dyDescent="0.2">
      <c r="A1548" t="s">
        <v>3505</v>
      </c>
      <c r="B1548" t="s">
        <v>3506</v>
      </c>
      <c r="C1548" t="s">
        <v>3494</v>
      </c>
      <c r="D1548" t="s">
        <v>138</v>
      </c>
      <c r="E1548">
        <v>299.99</v>
      </c>
      <c r="F1548" t="s">
        <v>5817</v>
      </c>
      <c r="L1548" t="s">
        <v>5818</v>
      </c>
      <c r="M1548">
        <v>0</v>
      </c>
      <c r="N1548">
        <v>0</v>
      </c>
      <c r="P1548">
        <v>1</v>
      </c>
    </row>
    <row r="1549" spans="1:16" x14ac:dyDescent="0.2">
      <c r="A1549" t="s">
        <v>3507</v>
      </c>
      <c r="B1549" t="s">
        <v>3508</v>
      </c>
      <c r="C1549" t="s">
        <v>3494</v>
      </c>
      <c r="D1549" t="s">
        <v>138</v>
      </c>
      <c r="E1549">
        <v>359.99</v>
      </c>
      <c r="F1549" t="s">
        <v>5817</v>
      </c>
      <c r="L1549" t="s">
        <v>5818</v>
      </c>
      <c r="M1549">
        <v>0</v>
      </c>
      <c r="N1549">
        <v>0</v>
      </c>
      <c r="P1549">
        <v>5</v>
      </c>
    </row>
    <row r="1550" spans="1:16" x14ac:dyDescent="0.2">
      <c r="A1550" t="s">
        <v>3497</v>
      </c>
      <c r="B1550" t="s">
        <v>3498</v>
      </c>
      <c r="C1550" t="s">
        <v>3494</v>
      </c>
      <c r="D1550" t="s">
        <v>138</v>
      </c>
      <c r="E1550">
        <v>49.99</v>
      </c>
      <c r="F1550" t="s">
        <v>5817</v>
      </c>
      <c r="L1550" t="s">
        <v>5818</v>
      </c>
      <c r="M1550">
        <v>0</v>
      </c>
      <c r="N1550">
        <v>0</v>
      </c>
      <c r="P1550" t="s">
        <v>5824</v>
      </c>
    </row>
    <row r="1551" spans="1:16" x14ac:dyDescent="0.2">
      <c r="A1551" t="s">
        <v>3511</v>
      </c>
      <c r="B1551" t="s">
        <v>3512</v>
      </c>
      <c r="C1551" t="s">
        <v>3494</v>
      </c>
      <c r="D1551" t="s">
        <v>138</v>
      </c>
      <c r="E1551">
        <v>499.99</v>
      </c>
      <c r="F1551" t="s">
        <v>5817</v>
      </c>
      <c r="L1551" t="s">
        <v>5818</v>
      </c>
      <c r="M1551">
        <v>0</v>
      </c>
      <c r="N1551">
        <v>0</v>
      </c>
      <c r="P1551">
        <v>6</v>
      </c>
    </row>
    <row r="1552" spans="1:16" x14ac:dyDescent="0.2">
      <c r="A1552" t="s">
        <v>3515</v>
      </c>
      <c r="B1552" t="s">
        <v>3516</v>
      </c>
      <c r="C1552" t="s">
        <v>3494</v>
      </c>
      <c r="D1552" t="s">
        <v>138</v>
      </c>
      <c r="E1552">
        <v>189.99</v>
      </c>
      <c r="F1552" t="s">
        <v>5817</v>
      </c>
      <c r="G1552">
        <v>1</v>
      </c>
      <c r="I1552">
        <v>1</v>
      </c>
      <c r="L1552" t="s">
        <v>5818</v>
      </c>
      <c r="M1552">
        <v>0</v>
      </c>
      <c r="N1552">
        <v>0</v>
      </c>
      <c r="P1552" t="s">
        <v>5824</v>
      </c>
    </row>
    <row r="1553" spans="1:16" x14ac:dyDescent="0.2">
      <c r="A1553" t="s">
        <v>3503</v>
      </c>
      <c r="B1553" t="s">
        <v>3504</v>
      </c>
      <c r="C1553" t="s">
        <v>3494</v>
      </c>
      <c r="D1553" t="s">
        <v>98</v>
      </c>
      <c r="E1553">
        <v>189.99</v>
      </c>
      <c r="F1553" t="s">
        <v>5817</v>
      </c>
      <c r="L1553" t="s">
        <v>5818</v>
      </c>
      <c r="M1553">
        <v>0</v>
      </c>
      <c r="N1553">
        <v>0</v>
      </c>
      <c r="O1553">
        <v>0</v>
      </c>
      <c r="P1553" t="s">
        <v>5819</v>
      </c>
    </row>
    <row r="1554" spans="1:16" x14ac:dyDescent="0.2">
      <c r="A1554" t="s">
        <v>3509</v>
      </c>
      <c r="B1554" t="s">
        <v>3510</v>
      </c>
      <c r="C1554" t="s">
        <v>3494</v>
      </c>
      <c r="D1554" t="s">
        <v>105</v>
      </c>
      <c r="E1554">
        <v>149.99</v>
      </c>
      <c r="F1554" t="s">
        <v>5817</v>
      </c>
      <c r="G1554">
        <v>1</v>
      </c>
      <c r="I1554">
        <v>1</v>
      </c>
      <c r="L1554" t="s">
        <v>5818</v>
      </c>
      <c r="M1554">
        <v>0</v>
      </c>
      <c r="N1554">
        <v>0</v>
      </c>
      <c r="O1554">
        <v>0</v>
      </c>
      <c r="P1554" t="s">
        <v>5819</v>
      </c>
    </row>
    <row r="1555" spans="1:16" x14ac:dyDescent="0.2">
      <c r="A1555" t="s">
        <v>3501</v>
      </c>
      <c r="B1555" t="s">
        <v>3502</v>
      </c>
      <c r="C1555" t="s">
        <v>3494</v>
      </c>
      <c r="D1555" t="s">
        <v>138</v>
      </c>
      <c r="E1555">
        <v>129.99</v>
      </c>
      <c r="F1555" t="s">
        <v>5817</v>
      </c>
      <c r="L1555" t="s">
        <v>5818</v>
      </c>
      <c r="M1555">
        <v>0</v>
      </c>
      <c r="N1555">
        <v>0</v>
      </c>
      <c r="P1555">
        <v>4</v>
      </c>
    </row>
    <row r="1556" spans="1:16" x14ac:dyDescent="0.2">
      <c r="A1556" t="s">
        <v>3513</v>
      </c>
      <c r="B1556" t="s">
        <v>3514</v>
      </c>
      <c r="C1556" t="s">
        <v>3494</v>
      </c>
      <c r="D1556" t="s">
        <v>138</v>
      </c>
      <c r="E1556">
        <v>479.99</v>
      </c>
      <c r="F1556" t="s">
        <v>5817</v>
      </c>
      <c r="L1556" t="s">
        <v>5818</v>
      </c>
      <c r="M1556">
        <v>0</v>
      </c>
      <c r="N1556">
        <v>0</v>
      </c>
      <c r="O1556">
        <v>0</v>
      </c>
      <c r="P1556" t="s">
        <v>5819</v>
      </c>
    </row>
    <row r="1557" spans="1:16" x14ac:dyDescent="0.2">
      <c r="A1557" t="s">
        <v>3495</v>
      </c>
      <c r="B1557" t="s">
        <v>3496</v>
      </c>
      <c r="C1557" t="s">
        <v>3494</v>
      </c>
      <c r="D1557" t="s">
        <v>138</v>
      </c>
      <c r="E1557">
        <v>169.99</v>
      </c>
      <c r="F1557" t="s">
        <v>5817</v>
      </c>
      <c r="L1557" t="s">
        <v>5818</v>
      </c>
      <c r="M1557">
        <v>0</v>
      </c>
      <c r="N1557">
        <v>0</v>
      </c>
      <c r="P1557">
        <v>2</v>
      </c>
    </row>
    <row r="1558" spans="1:16" x14ac:dyDescent="0.2">
      <c r="A1558" t="s">
        <v>3511</v>
      </c>
      <c r="B1558" t="s">
        <v>3512</v>
      </c>
      <c r="C1558" t="s">
        <v>3494</v>
      </c>
      <c r="D1558" t="s">
        <v>138</v>
      </c>
      <c r="E1558">
        <v>499.99</v>
      </c>
      <c r="F1558" t="s">
        <v>5817</v>
      </c>
      <c r="L1558" t="s">
        <v>5085</v>
      </c>
      <c r="M1558">
        <v>0</v>
      </c>
      <c r="N1558">
        <v>0</v>
      </c>
      <c r="O1558">
        <v>0</v>
      </c>
      <c r="P1558" t="s">
        <v>5819</v>
      </c>
    </row>
    <row r="1559" spans="1:16" x14ac:dyDescent="0.2">
      <c r="A1559" t="s">
        <v>3513</v>
      </c>
      <c r="B1559" t="s">
        <v>3514</v>
      </c>
      <c r="C1559" t="s">
        <v>3494</v>
      </c>
      <c r="D1559" t="s">
        <v>138</v>
      </c>
      <c r="E1559">
        <v>479.99</v>
      </c>
      <c r="F1559" t="s">
        <v>5817</v>
      </c>
      <c r="L1559" t="s">
        <v>5085</v>
      </c>
      <c r="M1559">
        <v>0</v>
      </c>
      <c r="N1559">
        <v>0</v>
      </c>
      <c r="O1559">
        <v>0</v>
      </c>
      <c r="P1559" t="s">
        <v>5819</v>
      </c>
    </row>
    <row r="1560" spans="1:16" x14ac:dyDescent="0.2">
      <c r="A1560" t="s">
        <v>3515</v>
      </c>
      <c r="B1560" t="s">
        <v>3516</v>
      </c>
      <c r="C1560" t="s">
        <v>3494</v>
      </c>
      <c r="D1560" t="s">
        <v>138</v>
      </c>
      <c r="E1560">
        <v>189.99</v>
      </c>
      <c r="F1560" t="s">
        <v>5817</v>
      </c>
      <c r="G1560">
        <v>1</v>
      </c>
      <c r="I1560">
        <v>1</v>
      </c>
      <c r="L1560" t="s">
        <v>5085</v>
      </c>
      <c r="M1560">
        <v>0</v>
      </c>
      <c r="N1560">
        <v>0</v>
      </c>
      <c r="O1560">
        <v>0</v>
      </c>
      <c r="P1560" t="s">
        <v>5819</v>
      </c>
    </row>
    <row r="1561" spans="1:16" x14ac:dyDescent="0.2">
      <c r="A1561" t="s">
        <v>3509</v>
      </c>
      <c r="B1561" t="s">
        <v>3510</v>
      </c>
      <c r="C1561" t="s">
        <v>3494</v>
      </c>
      <c r="D1561" t="s">
        <v>105</v>
      </c>
      <c r="E1561">
        <v>149.99</v>
      </c>
      <c r="F1561" t="s">
        <v>5817</v>
      </c>
      <c r="G1561">
        <v>1</v>
      </c>
      <c r="I1561">
        <v>1</v>
      </c>
      <c r="L1561" t="s">
        <v>5085</v>
      </c>
      <c r="M1561">
        <v>0</v>
      </c>
      <c r="N1561">
        <v>0</v>
      </c>
      <c r="O1561">
        <v>0</v>
      </c>
      <c r="P1561" t="s">
        <v>5819</v>
      </c>
    </row>
    <row r="1562" spans="1:16" x14ac:dyDescent="0.2">
      <c r="A1562" t="s">
        <v>3501</v>
      </c>
      <c r="B1562" t="s">
        <v>3502</v>
      </c>
      <c r="C1562" t="s">
        <v>3494</v>
      </c>
      <c r="D1562" t="s">
        <v>138</v>
      </c>
      <c r="E1562">
        <v>129.99</v>
      </c>
      <c r="F1562" t="s">
        <v>5817</v>
      </c>
      <c r="L1562" t="s">
        <v>5085</v>
      </c>
      <c r="M1562">
        <v>0</v>
      </c>
      <c r="N1562">
        <v>0</v>
      </c>
      <c r="O1562">
        <v>0</v>
      </c>
      <c r="P1562" t="s">
        <v>5819</v>
      </c>
    </row>
    <row r="1563" spans="1:16" x14ac:dyDescent="0.2">
      <c r="A1563" t="s">
        <v>3497</v>
      </c>
      <c r="B1563" t="s">
        <v>3498</v>
      </c>
      <c r="C1563" t="s">
        <v>3494</v>
      </c>
      <c r="D1563" t="s">
        <v>138</v>
      </c>
      <c r="E1563">
        <v>49.99</v>
      </c>
      <c r="F1563" t="s">
        <v>5817</v>
      </c>
      <c r="L1563" t="s">
        <v>5085</v>
      </c>
      <c r="M1563">
        <v>0</v>
      </c>
      <c r="N1563">
        <v>0</v>
      </c>
      <c r="O1563">
        <v>0.41666666666666663</v>
      </c>
      <c r="P1563" t="s">
        <v>5819</v>
      </c>
    </row>
    <row r="1564" spans="1:16" x14ac:dyDescent="0.2">
      <c r="A1564" t="s">
        <v>3495</v>
      </c>
      <c r="B1564" t="s">
        <v>3496</v>
      </c>
      <c r="C1564" t="s">
        <v>3494</v>
      </c>
      <c r="D1564" t="s">
        <v>138</v>
      </c>
      <c r="E1564">
        <v>169.99</v>
      </c>
      <c r="F1564" t="s">
        <v>5817</v>
      </c>
      <c r="L1564" t="s">
        <v>5085</v>
      </c>
      <c r="M1564">
        <v>0</v>
      </c>
      <c r="N1564">
        <v>0</v>
      </c>
      <c r="O1564">
        <v>8.3333333333333329E-2</v>
      </c>
      <c r="P1564">
        <v>1</v>
      </c>
    </row>
    <row r="1565" spans="1:16" x14ac:dyDescent="0.2">
      <c r="A1565" t="s">
        <v>3505</v>
      </c>
      <c r="B1565" t="s">
        <v>3506</v>
      </c>
      <c r="C1565" t="s">
        <v>3494</v>
      </c>
      <c r="D1565" t="s">
        <v>138</v>
      </c>
      <c r="E1565">
        <v>299.99</v>
      </c>
      <c r="F1565" t="s">
        <v>5817</v>
      </c>
      <c r="L1565" t="s">
        <v>5085</v>
      </c>
      <c r="M1565">
        <v>0</v>
      </c>
      <c r="N1565">
        <v>0</v>
      </c>
      <c r="O1565">
        <v>0</v>
      </c>
      <c r="P1565" t="s">
        <v>5819</v>
      </c>
    </row>
    <row r="1566" spans="1:16" x14ac:dyDescent="0.2">
      <c r="A1566" t="s">
        <v>3507</v>
      </c>
      <c r="B1566" t="s">
        <v>3508</v>
      </c>
      <c r="C1566" t="s">
        <v>3494</v>
      </c>
      <c r="D1566" t="s">
        <v>138</v>
      </c>
      <c r="E1566">
        <v>359.99</v>
      </c>
      <c r="F1566" t="s">
        <v>5817</v>
      </c>
      <c r="L1566" t="s">
        <v>5085</v>
      </c>
      <c r="M1566">
        <v>0</v>
      </c>
      <c r="N1566">
        <v>0</v>
      </c>
      <c r="O1566">
        <v>0</v>
      </c>
      <c r="P1566" t="s">
        <v>5819</v>
      </c>
    </row>
    <row r="1567" spans="1:16" x14ac:dyDescent="0.2">
      <c r="A1567" t="s">
        <v>3501</v>
      </c>
      <c r="B1567" t="s">
        <v>3502</v>
      </c>
      <c r="C1567" t="s">
        <v>3494</v>
      </c>
      <c r="D1567" t="s">
        <v>138</v>
      </c>
      <c r="E1567">
        <v>129.99</v>
      </c>
      <c r="F1567" t="s">
        <v>5817</v>
      </c>
      <c r="L1567" t="s">
        <v>5065</v>
      </c>
      <c r="M1567">
        <v>0</v>
      </c>
      <c r="N1567">
        <v>0</v>
      </c>
      <c r="P1567">
        <v>0</v>
      </c>
    </row>
    <row r="1568" spans="1:16" x14ac:dyDescent="0.2">
      <c r="A1568" t="s">
        <v>3497</v>
      </c>
      <c r="B1568" t="s">
        <v>3498</v>
      </c>
      <c r="C1568" t="s">
        <v>3494</v>
      </c>
      <c r="D1568" t="s">
        <v>138</v>
      </c>
      <c r="E1568">
        <v>49.99</v>
      </c>
      <c r="F1568" t="s">
        <v>5817</v>
      </c>
      <c r="L1568" t="s">
        <v>5065</v>
      </c>
      <c r="M1568">
        <v>0</v>
      </c>
      <c r="N1568">
        <v>0</v>
      </c>
      <c r="O1568">
        <v>1</v>
      </c>
      <c r="P1568">
        <v>0</v>
      </c>
    </row>
    <row r="1569" spans="1:16" x14ac:dyDescent="0.2">
      <c r="A1569" t="s">
        <v>3503</v>
      </c>
      <c r="B1569" t="s">
        <v>3504</v>
      </c>
      <c r="C1569" t="s">
        <v>3494</v>
      </c>
      <c r="D1569" t="s">
        <v>98</v>
      </c>
      <c r="E1569">
        <v>189.99</v>
      </c>
      <c r="F1569" t="s">
        <v>5817</v>
      </c>
      <c r="L1569" t="s">
        <v>5065</v>
      </c>
      <c r="M1569">
        <v>0</v>
      </c>
      <c r="N1569">
        <v>0</v>
      </c>
      <c r="O1569">
        <v>4</v>
      </c>
      <c r="P1569">
        <v>0</v>
      </c>
    </row>
    <row r="1570" spans="1:16" x14ac:dyDescent="0.2">
      <c r="A1570" t="s">
        <v>3495</v>
      </c>
      <c r="B1570" t="s">
        <v>3496</v>
      </c>
      <c r="C1570" t="s">
        <v>3494</v>
      </c>
      <c r="D1570" t="s">
        <v>138</v>
      </c>
      <c r="E1570">
        <v>169.99</v>
      </c>
      <c r="F1570" t="s">
        <v>5817</v>
      </c>
      <c r="L1570" t="s">
        <v>5065</v>
      </c>
      <c r="M1570">
        <v>0</v>
      </c>
      <c r="N1570">
        <v>0</v>
      </c>
      <c r="O1570">
        <v>3</v>
      </c>
      <c r="P1570">
        <v>0</v>
      </c>
    </row>
    <row r="1571" spans="1:16" x14ac:dyDescent="0.2">
      <c r="A1571" t="s">
        <v>3505</v>
      </c>
      <c r="B1571" t="s">
        <v>3506</v>
      </c>
      <c r="C1571" t="s">
        <v>3494</v>
      </c>
      <c r="D1571" t="s">
        <v>138</v>
      </c>
      <c r="E1571">
        <v>299.99</v>
      </c>
      <c r="F1571" t="s">
        <v>5817</v>
      </c>
      <c r="L1571" t="s">
        <v>5065</v>
      </c>
      <c r="M1571">
        <v>0</v>
      </c>
      <c r="N1571">
        <v>0</v>
      </c>
      <c r="O1571">
        <v>0</v>
      </c>
      <c r="P1571">
        <v>0</v>
      </c>
    </row>
    <row r="1572" spans="1:16" x14ac:dyDescent="0.2">
      <c r="A1572" t="s">
        <v>3515</v>
      </c>
      <c r="B1572" t="s">
        <v>3516</v>
      </c>
      <c r="C1572" t="s">
        <v>3494</v>
      </c>
      <c r="D1572" t="s">
        <v>138</v>
      </c>
      <c r="E1572">
        <v>189.99</v>
      </c>
      <c r="F1572" t="s">
        <v>5817</v>
      </c>
      <c r="G1572">
        <v>1</v>
      </c>
      <c r="I1572">
        <v>1</v>
      </c>
      <c r="L1572" t="s">
        <v>5065</v>
      </c>
      <c r="M1572">
        <v>0</v>
      </c>
      <c r="N1572">
        <v>0</v>
      </c>
      <c r="O1572">
        <v>8</v>
      </c>
      <c r="P1572">
        <v>0</v>
      </c>
    </row>
    <row r="1573" spans="1:16" x14ac:dyDescent="0.2">
      <c r="A1573" t="s">
        <v>3513</v>
      </c>
      <c r="B1573" t="s">
        <v>3514</v>
      </c>
      <c r="C1573" t="s">
        <v>3494</v>
      </c>
      <c r="D1573" t="s">
        <v>138</v>
      </c>
      <c r="E1573">
        <v>479.99</v>
      </c>
      <c r="F1573" t="s">
        <v>5817</v>
      </c>
      <c r="L1573" t="s">
        <v>5065</v>
      </c>
      <c r="M1573">
        <v>0</v>
      </c>
      <c r="N1573">
        <v>0</v>
      </c>
      <c r="P1573">
        <v>0</v>
      </c>
    </row>
    <row r="1574" spans="1:16" x14ac:dyDescent="0.2">
      <c r="A1574" t="s">
        <v>3511</v>
      </c>
      <c r="B1574" t="s">
        <v>3512</v>
      </c>
      <c r="C1574" t="s">
        <v>3494</v>
      </c>
      <c r="D1574" t="s">
        <v>138</v>
      </c>
      <c r="E1574">
        <v>499.99</v>
      </c>
      <c r="F1574" t="s">
        <v>5817</v>
      </c>
      <c r="L1574" t="s">
        <v>5065</v>
      </c>
      <c r="M1574">
        <v>0</v>
      </c>
      <c r="N1574">
        <v>0</v>
      </c>
      <c r="O1574">
        <v>3</v>
      </c>
      <c r="P1574">
        <v>0</v>
      </c>
    </row>
    <row r="1575" spans="1:16" x14ac:dyDescent="0.2">
      <c r="A1575" t="s">
        <v>3509</v>
      </c>
      <c r="B1575" t="s">
        <v>3510</v>
      </c>
      <c r="C1575" t="s">
        <v>3494</v>
      </c>
      <c r="D1575" t="s">
        <v>105</v>
      </c>
      <c r="E1575">
        <v>149.99</v>
      </c>
      <c r="F1575" t="s">
        <v>5817</v>
      </c>
      <c r="G1575">
        <v>1</v>
      </c>
      <c r="I1575">
        <v>1</v>
      </c>
      <c r="L1575" t="s">
        <v>5065</v>
      </c>
      <c r="M1575">
        <v>0</v>
      </c>
      <c r="N1575">
        <v>0</v>
      </c>
      <c r="O1575">
        <v>10</v>
      </c>
      <c r="P1575">
        <v>0</v>
      </c>
    </row>
    <row r="1576" spans="1:16" x14ac:dyDescent="0.2">
      <c r="A1576" t="s">
        <v>3507</v>
      </c>
      <c r="B1576" t="s">
        <v>3508</v>
      </c>
      <c r="C1576" t="s">
        <v>3494</v>
      </c>
      <c r="D1576" t="s">
        <v>138</v>
      </c>
      <c r="E1576">
        <v>359.99</v>
      </c>
      <c r="F1576" t="s">
        <v>5817</v>
      </c>
      <c r="L1576" t="s">
        <v>5065</v>
      </c>
      <c r="M1576">
        <v>0</v>
      </c>
      <c r="N1576">
        <v>0</v>
      </c>
      <c r="O1576">
        <v>1</v>
      </c>
      <c r="P1576">
        <v>0</v>
      </c>
    </row>
    <row r="1577" spans="1:16" x14ac:dyDescent="0.2">
      <c r="A1577" t="s">
        <v>3515</v>
      </c>
      <c r="B1577" t="s">
        <v>3516</v>
      </c>
      <c r="C1577" t="s">
        <v>3494</v>
      </c>
      <c r="D1577" t="s">
        <v>138</v>
      </c>
      <c r="E1577">
        <v>189.99</v>
      </c>
      <c r="F1577" t="s">
        <v>5817</v>
      </c>
      <c r="G1577">
        <v>1</v>
      </c>
      <c r="I1577">
        <v>1</v>
      </c>
      <c r="L1577" t="s">
        <v>8</v>
      </c>
      <c r="M1577">
        <v>0</v>
      </c>
      <c r="N1577">
        <v>0</v>
      </c>
      <c r="O1577">
        <v>0</v>
      </c>
      <c r="P1577">
        <v>0</v>
      </c>
    </row>
    <row r="1578" spans="1:16" x14ac:dyDescent="0.2">
      <c r="A1578" t="s">
        <v>3513</v>
      </c>
      <c r="B1578" t="s">
        <v>3514</v>
      </c>
      <c r="C1578" t="s">
        <v>3494</v>
      </c>
      <c r="D1578" t="s">
        <v>138</v>
      </c>
      <c r="E1578">
        <v>479.99</v>
      </c>
      <c r="F1578" t="s">
        <v>5817</v>
      </c>
      <c r="L1578" t="s">
        <v>8</v>
      </c>
      <c r="M1578">
        <v>0</v>
      </c>
      <c r="N1578">
        <v>0</v>
      </c>
      <c r="O1578">
        <v>0</v>
      </c>
      <c r="P1578">
        <v>0</v>
      </c>
    </row>
    <row r="1579" spans="1:16" x14ac:dyDescent="0.2">
      <c r="A1579" t="s">
        <v>3511</v>
      </c>
      <c r="B1579" t="s">
        <v>3512</v>
      </c>
      <c r="C1579" t="s">
        <v>3494</v>
      </c>
      <c r="D1579" t="s">
        <v>138</v>
      </c>
      <c r="E1579">
        <v>499.99</v>
      </c>
      <c r="F1579" t="s">
        <v>5817</v>
      </c>
      <c r="L1579" t="s">
        <v>8</v>
      </c>
      <c r="M1579">
        <v>0</v>
      </c>
      <c r="N1579">
        <v>0</v>
      </c>
      <c r="O1579">
        <v>0</v>
      </c>
      <c r="P1579">
        <v>0</v>
      </c>
    </row>
    <row r="1580" spans="1:16" x14ac:dyDescent="0.2">
      <c r="A1580" t="s">
        <v>3495</v>
      </c>
      <c r="B1580" t="s">
        <v>3496</v>
      </c>
      <c r="C1580" t="s">
        <v>3494</v>
      </c>
      <c r="D1580" t="s">
        <v>138</v>
      </c>
      <c r="E1580">
        <v>169.99</v>
      </c>
      <c r="F1580" t="s">
        <v>5817</v>
      </c>
      <c r="L1580" t="s">
        <v>8</v>
      </c>
      <c r="M1580">
        <v>0</v>
      </c>
      <c r="N1580">
        <v>0</v>
      </c>
      <c r="O1580">
        <v>0</v>
      </c>
      <c r="P1580">
        <v>0</v>
      </c>
    </row>
    <row r="1581" spans="1:16" x14ac:dyDescent="0.2">
      <c r="A1581" t="s">
        <v>3507</v>
      </c>
      <c r="B1581" t="s">
        <v>3508</v>
      </c>
      <c r="C1581" t="s">
        <v>3494</v>
      </c>
      <c r="D1581" t="s">
        <v>138</v>
      </c>
      <c r="E1581">
        <v>359.99</v>
      </c>
      <c r="F1581" t="s">
        <v>5817</v>
      </c>
      <c r="L1581" t="s">
        <v>8</v>
      </c>
      <c r="M1581">
        <v>0</v>
      </c>
      <c r="N1581">
        <v>0</v>
      </c>
      <c r="O1581">
        <v>0</v>
      </c>
      <c r="P1581">
        <v>0</v>
      </c>
    </row>
    <row r="1582" spans="1:16" x14ac:dyDescent="0.2">
      <c r="A1582" t="s">
        <v>3505</v>
      </c>
      <c r="B1582" t="s">
        <v>3506</v>
      </c>
      <c r="C1582" t="s">
        <v>3494</v>
      </c>
      <c r="D1582" t="s">
        <v>138</v>
      </c>
      <c r="E1582">
        <v>299.99</v>
      </c>
      <c r="F1582" t="s">
        <v>5817</v>
      </c>
      <c r="L1582" t="s">
        <v>8</v>
      </c>
      <c r="M1582">
        <v>0</v>
      </c>
      <c r="N1582">
        <v>0</v>
      </c>
      <c r="O1582">
        <v>0</v>
      </c>
      <c r="P1582">
        <v>0</v>
      </c>
    </row>
    <row r="1583" spans="1:16" x14ac:dyDescent="0.2">
      <c r="A1583" t="s">
        <v>3503</v>
      </c>
      <c r="B1583" t="s">
        <v>3504</v>
      </c>
      <c r="C1583" t="s">
        <v>3494</v>
      </c>
      <c r="D1583" t="s">
        <v>98</v>
      </c>
      <c r="E1583">
        <v>189.99</v>
      </c>
      <c r="F1583" t="s">
        <v>5817</v>
      </c>
      <c r="L1583" t="s">
        <v>8</v>
      </c>
      <c r="M1583">
        <v>0</v>
      </c>
      <c r="N1583">
        <v>0</v>
      </c>
      <c r="O1583">
        <v>0</v>
      </c>
      <c r="P1583">
        <v>0</v>
      </c>
    </row>
    <row r="1584" spans="1:16" x14ac:dyDescent="0.2">
      <c r="A1584" t="s">
        <v>3501</v>
      </c>
      <c r="B1584" t="s">
        <v>3502</v>
      </c>
      <c r="C1584" t="s">
        <v>3494</v>
      </c>
      <c r="D1584" t="s">
        <v>138</v>
      </c>
      <c r="E1584">
        <v>129.99</v>
      </c>
      <c r="F1584" t="s">
        <v>5817</v>
      </c>
      <c r="L1584" t="s">
        <v>8</v>
      </c>
      <c r="M1584">
        <v>0</v>
      </c>
      <c r="N1584">
        <v>0</v>
      </c>
      <c r="O1584">
        <v>0</v>
      </c>
      <c r="P1584">
        <v>0</v>
      </c>
    </row>
    <row r="1585" spans="1:16" x14ac:dyDescent="0.2">
      <c r="A1585" t="s">
        <v>3497</v>
      </c>
      <c r="B1585" t="s">
        <v>3498</v>
      </c>
      <c r="C1585" t="s">
        <v>3494</v>
      </c>
      <c r="D1585" t="s">
        <v>138</v>
      </c>
      <c r="E1585">
        <v>49.99</v>
      </c>
      <c r="F1585" t="s">
        <v>5817</v>
      </c>
      <c r="L1585" t="s">
        <v>8</v>
      </c>
      <c r="M1585">
        <v>0</v>
      </c>
      <c r="N1585">
        <v>0</v>
      </c>
      <c r="O1585">
        <v>0</v>
      </c>
      <c r="P1585">
        <v>0</v>
      </c>
    </row>
    <row r="1586" spans="1:16" x14ac:dyDescent="0.2">
      <c r="A1586" t="s">
        <v>3509</v>
      </c>
      <c r="B1586" t="s">
        <v>3510</v>
      </c>
      <c r="C1586" t="s">
        <v>3494</v>
      </c>
      <c r="D1586" t="s">
        <v>105</v>
      </c>
      <c r="E1586">
        <v>149.99</v>
      </c>
      <c r="F1586" t="s">
        <v>5817</v>
      </c>
      <c r="G1586">
        <v>1</v>
      </c>
      <c r="I1586">
        <v>1</v>
      </c>
      <c r="L1586" t="s">
        <v>8</v>
      </c>
      <c r="M1586">
        <v>0</v>
      </c>
      <c r="N1586">
        <v>0</v>
      </c>
      <c r="O1586">
        <v>0</v>
      </c>
      <c r="P1586">
        <v>0</v>
      </c>
    </row>
    <row r="1587" spans="1:16" x14ac:dyDescent="0.2">
      <c r="A1587" t="s">
        <v>3573</v>
      </c>
      <c r="B1587" t="s">
        <v>3574</v>
      </c>
      <c r="C1587" t="s">
        <v>3572</v>
      </c>
      <c r="D1587" t="s">
        <v>98</v>
      </c>
      <c r="E1587">
        <v>529.99</v>
      </c>
      <c r="F1587" t="s">
        <v>5817</v>
      </c>
      <c r="L1587" t="s">
        <v>5085</v>
      </c>
      <c r="M1587">
        <v>0</v>
      </c>
      <c r="N1587">
        <v>0</v>
      </c>
      <c r="O1587">
        <v>0</v>
      </c>
      <c r="P1587" t="s">
        <v>5819</v>
      </c>
    </row>
    <row r="1588" spans="1:16" x14ac:dyDescent="0.2">
      <c r="A1588" t="s">
        <v>5532</v>
      </c>
      <c r="B1588" t="s">
        <v>5533</v>
      </c>
      <c r="C1588" t="s">
        <v>3575</v>
      </c>
      <c r="D1588" t="s">
        <v>98</v>
      </c>
      <c r="E1588">
        <v>79.989999999999995</v>
      </c>
      <c r="F1588" t="s">
        <v>5817</v>
      </c>
      <c r="L1588" t="s">
        <v>73</v>
      </c>
      <c r="M1588">
        <v>0</v>
      </c>
      <c r="N1588">
        <v>0</v>
      </c>
      <c r="O1588">
        <v>0</v>
      </c>
      <c r="P1588">
        <v>0</v>
      </c>
    </row>
    <row r="1589" spans="1:16" x14ac:dyDescent="0.2">
      <c r="A1589" t="s">
        <v>5528</v>
      </c>
      <c r="B1589" t="s">
        <v>5529</v>
      </c>
      <c r="C1589" t="s">
        <v>3575</v>
      </c>
      <c r="D1589" t="s">
        <v>98</v>
      </c>
      <c r="E1589">
        <v>34.99</v>
      </c>
      <c r="F1589" t="s">
        <v>5817</v>
      </c>
      <c r="L1589" t="s">
        <v>73</v>
      </c>
      <c r="M1589">
        <v>0</v>
      </c>
      <c r="N1589">
        <v>0</v>
      </c>
      <c r="O1589">
        <v>0</v>
      </c>
      <c r="P1589">
        <v>0</v>
      </c>
    </row>
    <row r="1590" spans="1:16" x14ac:dyDescent="0.2">
      <c r="A1590" t="s">
        <v>5493</v>
      </c>
      <c r="B1590" t="s">
        <v>5494</v>
      </c>
      <c r="C1590" t="s">
        <v>3575</v>
      </c>
      <c r="D1590" t="s">
        <v>138</v>
      </c>
      <c r="E1590">
        <v>19.989999999999998</v>
      </c>
      <c r="F1590" t="s">
        <v>5817</v>
      </c>
      <c r="L1590" t="s">
        <v>73</v>
      </c>
      <c r="M1590">
        <v>0</v>
      </c>
      <c r="N1590">
        <v>0</v>
      </c>
      <c r="O1590">
        <v>0</v>
      </c>
      <c r="P1590">
        <v>0</v>
      </c>
    </row>
    <row r="1591" spans="1:16" x14ac:dyDescent="0.2">
      <c r="A1591" t="s">
        <v>5526</v>
      </c>
      <c r="B1591" t="s">
        <v>5527</v>
      </c>
      <c r="C1591" t="s">
        <v>3575</v>
      </c>
      <c r="D1591" t="s">
        <v>98</v>
      </c>
      <c r="E1591">
        <v>34.99</v>
      </c>
      <c r="F1591" t="s">
        <v>5817</v>
      </c>
      <c r="L1591" t="s">
        <v>73</v>
      </c>
      <c r="M1591">
        <v>0</v>
      </c>
      <c r="N1591">
        <v>0</v>
      </c>
      <c r="O1591">
        <v>0</v>
      </c>
      <c r="P1591">
        <v>0</v>
      </c>
    </row>
    <row r="1592" spans="1:16" x14ac:dyDescent="0.2">
      <c r="A1592" t="s">
        <v>5481</v>
      </c>
      <c r="B1592" t="s">
        <v>5482</v>
      </c>
      <c r="C1592" t="s">
        <v>3575</v>
      </c>
      <c r="D1592" t="s">
        <v>98</v>
      </c>
      <c r="E1592">
        <v>29.99</v>
      </c>
      <c r="F1592" t="s">
        <v>5817</v>
      </c>
      <c r="L1592" t="s">
        <v>73</v>
      </c>
      <c r="M1592">
        <v>0</v>
      </c>
      <c r="N1592">
        <v>0</v>
      </c>
      <c r="O1592">
        <v>0</v>
      </c>
      <c r="P1592">
        <v>0</v>
      </c>
    </row>
    <row r="1593" spans="1:16" x14ac:dyDescent="0.2">
      <c r="A1593" t="s">
        <v>5475</v>
      </c>
      <c r="B1593" t="s">
        <v>5476</v>
      </c>
      <c r="C1593" t="s">
        <v>3575</v>
      </c>
      <c r="D1593" t="s">
        <v>98</v>
      </c>
      <c r="E1593">
        <v>29.99</v>
      </c>
      <c r="F1593" t="s">
        <v>5817</v>
      </c>
      <c r="L1593" t="s">
        <v>73</v>
      </c>
      <c r="M1593">
        <v>0</v>
      </c>
      <c r="N1593">
        <v>0</v>
      </c>
      <c r="O1593">
        <v>0</v>
      </c>
      <c r="P1593">
        <v>0</v>
      </c>
    </row>
    <row r="1594" spans="1:16" x14ac:dyDescent="0.2">
      <c r="A1594" t="s">
        <v>5487</v>
      </c>
      <c r="B1594" t="s">
        <v>5488</v>
      </c>
      <c r="C1594" t="s">
        <v>3575</v>
      </c>
      <c r="D1594" t="s">
        <v>98</v>
      </c>
      <c r="E1594">
        <v>49.99</v>
      </c>
      <c r="F1594" t="s">
        <v>5817</v>
      </c>
      <c r="L1594" t="s">
        <v>73</v>
      </c>
      <c r="M1594">
        <v>0</v>
      </c>
      <c r="N1594">
        <v>0</v>
      </c>
      <c r="O1594">
        <v>0</v>
      </c>
      <c r="P1594">
        <v>0</v>
      </c>
    </row>
    <row r="1595" spans="1:16" x14ac:dyDescent="0.2">
      <c r="A1595" t="s">
        <v>5467</v>
      </c>
      <c r="B1595" t="s">
        <v>5468</v>
      </c>
      <c r="C1595" t="s">
        <v>3575</v>
      </c>
      <c r="D1595" t="s">
        <v>98</v>
      </c>
      <c r="E1595">
        <v>34.99</v>
      </c>
      <c r="F1595" t="s">
        <v>5817</v>
      </c>
      <c r="L1595" t="s">
        <v>73</v>
      </c>
      <c r="M1595">
        <v>0</v>
      </c>
      <c r="N1595">
        <v>0</v>
      </c>
      <c r="O1595">
        <v>0</v>
      </c>
      <c r="P1595">
        <v>0</v>
      </c>
    </row>
    <row r="1596" spans="1:16" x14ac:dyDescent="0.2">
      <c r="A1596" t="s">
        <v>5473</v>
      </c>
      <c r="B1596" t="s">
        <v>5474</v>
      </c>
      <c r="C1596" t="s">
        <v>3575</v>
      </c>
      <c r="D1596" t="s">
        <v>98</v>
      </c>
      <c r="E1596">
        <v>59.99</v>
      </c>
      <c r="F1596" t="s">
        <v>5817</v>
      </c>
      <c r="L1596" t="s">
        <v>73</v>
      </c>
      <c r="M1596">
        <v>0</v>
      </c>
      <c r="N1596">
        <v>0</v>
      </c>
      <c r="O1596">
        <v>0</v>
      </c>
      <c r="P1596">
        <v>0</v>
      </c>
    </row>
    <row r="1597" spans="1:16" x14ac:dyDescent="0.2">
      <c r="A1597" t="s">
        <v>3578</v>
      </c>
      <c r="B1597" t="s">
        <v>3579</v>
      </c>
      <c r="C1597" t="s">
        <v>3575</v>
      </c>
      <c r="D1597" t="s">
        <v>138</v>
      </c>
      <c r="E1597">
        <v>19.989999999999998</v>
      </c>
      <c r="F1597" t="s">
        <v>5817</v>
      </c>
      <c r="L1597" t="s">
        <v>73</v>
      </c>
      <c r="M1597">
        <v>0</v>
      </c>
      <c r="N1597">
        <v>0</v>
      </c>
      <c r="O1597">
        <v>0</v>
      </c>
      <c r="P1597">
        <v>0</v>
      </c>
    </row>
    <row r="1598" spans="1:16" x14ac:dyDescent="0.2">
      <c r="A1598" t="s">
        <v>5469</v>
      </c>
      <c r="B1598" t="s">
        <v>5470</v>
      </c>
      <c r="C1598" t="s">
        <v>3575</v>
      </c>
      <c r="D1598" t="s">
        <v>98</v>
      </c>
      <c r="E1598">
        <v>59.99</v>
      </c>
      <c r="F1598" t="s">
        <v>5817</v>
      </c>
      <c r="L1598" t="s">
        <v>73</v>
      </c>
      <c r="M1598">
        <v>0</v>
      </c>
      <c r="N1598">
        <v>0</v>
      </c>
      <c r="O1598">
        <v>0</v>
      </c>
      <c r="P1598">
        <v>0</v>
      </c>
    </row>
    <row r="1599" spans="1:16" x14ac:dyDescent="0.2">
      <c r="A1599" t="s">
        <v>5144</v>
      </c>
      <c r="B1599" t="s">
        <v>5145</v>
      </c>
      <c r="C1599" t="s">
        <v>3575</v>
      </c>
      <c r="D1599" t="s">
        <v>98</v>
      </c>
      <c r="E1599">
        <v>19.989999999999998</v>
      </c>
      <c r="F1599" t="s">
        <v>5817</v>
      </c>
      <c r="L1599" t="s">
        <v>73</v>
      </c>
      <c r="M1599">
        <v>0</v>
      </c>
      <c r="N1599">
        <v>0</v>
      </c>
      <c r="O1599">
        <v>0</v>
      </c>
      <c r="P1599">
        <v>0</v>
      </c>
    </row>
    <row r="1600" spans="1:16" x14ac:dyDescent="0.2">
      <c r="A1600" t="s">
        <v>5451</v>
      </c>
      <c r="B1600" t="s">
        <v>5452</v>
      </c>
      <c r="C1600" t="s">
        <v>3575</v>
      </c>
      <c r="D1600" t="s">
        <v>98</v>
      </c>
      <c r="E1600">
        <v>69.989999999999995</v>
      </c>
      <c r="F1600" t="s">
        <v>5817</v>
      </c>
      <c r="L1600" t="s">
        <v>73</v>
      </c>
      <c r="M1600">
        <v>0</v>
      </c>
      <c r="N1600">
        <v>0</v>
      </c>
      <c r="O1600">
        <v>0</v>
      </c>
      <c r="P1600">
        <v>0</v>
      </c>
    </row>
    <row r="1601" spans="1:16" x14ac:dyDescent="0.2">
      <c r="A1601" t="s">
        <v>5455</v>
      </c>
      <c r="B1601" t="s">
        <v>5456</v>
      </c>
      <c r="C1601" t="s">
        <v>3575</v>
      </c>
      <c r="D1601" t="s">
        <v>98</v>
      </c>
      <c r="E1601">
        <v>49.99</v>
      </c>
      <c r="F1601" t="s">
        <v>5817</v>
      </c>
      <c r="L1601" t="s">
        <v>73</v>
      </c>
      <c r="M1601">
        <v>0</v>
      </c>
      <c r="N1601">
        <v>0</v>
      </c>
      <c r="O1601">
        <v>0</v>
      </c>
      <c r="P1601">
        <v>0</v>
      </c>
    </row>
    <row r="1602" spans="1:16" x14ac:dyDescent="0.2">
      <c r="A1602" t="s">
        <v>5457</v>
      </c>
      <c r="B1602" t="s">
        <v>5458</v>
      </c>
      <c r="C1602" t="s">
        <v>3575</v>
      </c>
      <c r="D1602" t="s">
        <v>98</v>
      </c>
      <c r="E1602">
        <v>49.99</v>
      </c>
      <c r="F1602" t="s">
        <v>5817</v>
      </c>
      <c r="L1602" t="s">
        <v>73</v>
      </c>
      <c r="M1602">
        <v>0</v>
      </c>
      <c r="N1602">
        <v>0</v>
      </c>
      <c r="O1602">
        <v>0</v>
      </c>
      <c r="P1602">
        <v>0</v>
      </c>
    </row>
    <row r="1603" spans="1:16" x14ac:dyDescent="0.2">
      <c r="A1603" t="s">
        <v>5465</v>
      </c>
      <c r="B1603" t="s">
        <v>5466</v>
      </c>
      <c r="C1603" t="s">
        <v>3575</v>
      </c>
      <c r="D1603" t="s">
        <v>98</v>
      </c>
      <c r="E1603">
        <v>39.99</v>
      </c>
      <c r="F1603" t="s">
        <v>5817</v>
      </c>
      <c r="L1603" t="s">
        <v>73</v>
      </c>
      <c r="M1603">
        <v>0</v>
      </c>
      <c r="N1603">
        <v>0</v>
      </c>
      <c r="O1603">
        <v>0</v>
      </c>
      <c r="P1603">
        <v>0</v>
      </c>
    </row>
    <row r="1604" spans="1:16" x14ac:dyDescent="0.2">
      <c r="A1604" t="s">
        <v>5465</v>
      </c>
      <c r="B1604" t="s">
        <v>5466</v>
      </c>
      <c r="C1604" t="s">
        <v>3575</v>
      </c>
      <c r="D1604" t="s">
        <v>98</v>
      </c>
      <c r="E1604">
        <v>39.99</v>
      </c>
      <c r="F1604" t="s">
        <v>5817</v>
      </c>
      <c r="L1604" t="s">
        <v>5818</v>
      </c>
      <c r="M1604">
        <v>0</v>
      </c>
      <c r="N1604">
        <v>0</v>
      </c>
      <c r="O1604">
        <v>0</v>
      </c>
      <c r="P1604" t="s">
        <v>5819</v>
      </c>
    </row>
    <row r="1605" spans="1:16" x14ac:dyDescent="0.2">
      <c r="A1605" t="s">
        <v>5144</v>
      </c>
      <c r="B1605" t="s">
        <v>5145</v>
      </c>
      <c r="C1605" t="s">
        <v>3575</v>
      </c>
      <c r="D1605" t="s">
        <v>98</v>
      </c>
      <c r="E1605">
        <v>19.989999999999998</v>
      </c>
      <c r="F1605" t="s">
        <v>5817</v>
      </c>
      <c r="L1605" t="s">
        <v>5818</v>
      </c>
      <c r="M1605">
        <v>0</v>
      </c>
      <c r="N1605">
        <v>0</v>
      </c>
      <c r="P1605">
        <v>2</v>
      </c>
    </row>
    <row r="1606" spans="1:16" x14ac:dyDescent="0.2">
      <c r="A1606" t="s">
        <v>5457</v>
      </c>
      <c r="B1606" t="s">
        <v>5458</v>
      </c>
      <c r="C1606" t="s">
        <v>3575</v>
      </c>
      <c r="D1606" t="s">
        <v>98</v>
      </c>
      <c r="E1606">
        <v>49.99</v>
      </c>
      <c r="F1606" t="s">
        <v>5817</v>
      </c>
      <c r="L1606" t="s">
        <v>5818</v>
      </c>
      <c r="M1606">
        <v>0</v>
      </c>
      <c r="N1606">
        <v>0</v>
      </c>
      <c r="O1606">
        <v>0</v>
      </c>
      <c r="P1606" t="s">
        <v>5819</v>
      </c>
    </row>
    <row r="1607" spans="1:16" x14ac:dyDescent="0.2">
      <c r="A1607" t="s">
        <v>5626</v>
      </c>
      <c r="B1607" t="s">
        <v>5627</v>
      </c>
      <c r="C1607" t="s">
        <v>3575</v>
      </c>
      <c r="D1607" t="s">
        <v>98</v>
      </c>
      <c r="E1607">
        <v>19.989999999999998</v>
      </c>
      <c r="F1607" t="s">
        <v>5817</v>
      </c>
      <c r="L1607" t="s">
        <v>5818</v>
      </c>
      <c r="M1607">
        <v>0</v>
      </c>
      <c r="N1607">
        <v>0</v>
      </c>
      <c r="O1607">
        <v>0</v>
      </c>
      <c r="P1607" t="s">
        <v>5819</v>
      </c>
    </row>
    <row r="1608" spans="1:16" x14ac:dyDescent="0.2">
      <c r="A1608" t="s">
        <v>3578</v>
      </c>
      <c r="B1608" t="s">
        <v>3579</v>
      </c>
      <c r="C1608" t="s">
        <v>3575</v>
      </c>
      <c r="D1608" t="s">
        <v>138</v>
      </c>
      <c r="E1608">
        <v>19.989999999999998</v>
      </c>
      <c r="F1608" t="s">
        <v>5817</v>
      </c>
      <c r="L1608" t="s">
        <v>5818</v>
      </c>
      <c r="M1608">
        <v>0</v>
      </c>
      <c r="N1608">
        <v>0</v>
      </c>
      <c r="O1608">
        <v>0</v>
      </c>
      <c r="P1608" t="s">
        <v>5819</v>
      </c>
    </row>
    <row r="1609" spans="1:16" x14ac:dyDescent="0.2">
      <c r="A1609" t="s">
        <v>5451</v>
      </c>
      <c r="B1609" t="s">
        <v>5452</v>
      </c>
      <c r="C1609" t="s">
        <v>3575</v>
      </c>
      <c r="D1609" t="s">
        <v>98</v>
      </c>
      <c r="E1609">
        <v>69.989999999999995</v>
      </c>
      <c r="F1609" t="s">
        <v>5817</v>
      </c>
      <c r="L1609" t="s">
        <v>5818</v>
      </c>
      <c r="M1609">
        <v>0</v>
      </c>
      <c r="N1609">
        <v>0</v>
      </c>
      <c r="O1609">
        <v>0</v>
      </c>
      <c r="P1609" t="s">
        <v>5819</v>
      </c>
    </row>
    <row r="1610" spans="1:16" x14ac:dyDescent="0.2">
      <c r="A1610" t="s">
        <v>5469</v>
      </c>
      <c r="B1610" t="s">
        <v>5470</v>
      </c>
      <c r="C1610" t="s">
        <v>3575</v>
      </c>
      <c r="D1610" t="s">
        <v>98</v>
      </c>
      <c r="E1610">
        <v>59.99</v>
      </c>
      <c r="F1610" t="s">
        <v>5817</v>
      </c>
      <c r="L1610" t="s">
        <v>5818</v>
      </c>
      <c r="M1610">
        <v>0</v>
      </c>
      <c r="N1610">
        <v>0</v>
      </c>
      <c r="O1610">
        <v>0</v>
      </c>
      <c r="P1610" t="s">
        <v>5819</v>
      </c>
    </row>
    <row r="1611" spans="1:16" x14ac:dyDescent="0.2">
      <c r="A1611" t="s">
        <v>5493</v>
      </c>
      <c r="B1611" t="s">
        <v>5494</v>
      </c>
      <c r="C1611" t="s">
        <v>3575</v>
      </c>
      <c r="D1611" t="s">
        <v>138</v>
      </c>
      <c r="E1611">
        <v>19.989999999999998</v>
      </c>
      <c r="F1611" t="s">
        <v>5817</v>
      </c>
      <c r="L1611" t="s">
        <v>5818</v>
      </c>
      <c r="M1611">
        <v>0</v>
      </c>
      <c r="N1611">
        <v>0</v>
      </c>
      <c r="O1611">
        <v>0</v>
      </c>
      <c r="P1611" t="s">
        <v>5819</v>
      </c>
    </row>
    <row r="1612" spans="1:16" x14ac:dyDescent="0.2">
      <c r="A1612" t="s">
        <v>3580</v>
      </c>
      <c r="B1612" t="s">
        <v>3581</v>
      </c>
      <c r="C1612" t="s">
        <v>3575</v>
      </c>
      <c r="D1612" t="s">
        <v>98</v>
      </c>
      <c r="E1612">
        <v>24.99</v>
      </c>
      <c r="F1612" t="s">
        <v>5817</v>
      </c>
      <c r="L1612" t="s">
        <v>5818</v>
      </c>
      <c r="M1612">
        <v>0</v>
      </c>
      <c r="N1612">
        <v>0</v>
      </c>
      <c r="P1612">
        <v>1</v>
      </c>
    </row>
    <row r="1613" spans="1:16" x14ac:dyDescent="0.2">
      <c r="A1613" t="s">
        <v>5528</v>
      </c>
      <c r="B1613" t="s">
        <v>5529</v>
      </c>
      <c r="C1613" t="s">
        <v>3575</v>
      </c>
      <c r="D1613" t="s">
        <v>98</v>
      </c>
      <c r="E1613">
        <v>34.99</v>
      </c>
      <c r="F1613" t="s">
        <v>5817</v>
      </c>
      <c r="L1613" t="s">
        <v>5818</v>
      </c>
      <c r="M1613">
        <v>0</v>
      </c>
      <c r="N1613">
        <v>0</v>
      </c>
      <c r="O1613">
        <v>0</v>
      </c>
      <c r="P1613" t="s">
        <v>5819</v>
      </c>
    </row>
    <row r="1614" spans="1:16" x14ac:dyDescent="0.2">
      <c r="A1614" t="s">
        <v>5481</v>
      </c>
      <c r="B1614" t="s">
        <v>5482</v>
      </c>
      <c r="C1614" t="s">
        <v>3575</v>
      </c>
      <c r="D1614" t="s">
        <v>98</v>
      </c>
      <c r="E1614">
        <v>29.99</v>
      </c>
      <c r="F1614" t="s">
        <v>5817</v>
      </c>
      <c r="L1614" t="s">
        <v>5818</v>
      </c>
      <c r="M1614">
        <v>0</v>
      </c>
      <c r="N1614">
        <v>0</v>
      </c>
      <c r="O1614">
        <v>0</v>
      </c>
      <c r="P1614" t="s">
        <v>5819</v>
      </c>
    </row>
    <row r="1615" spans="1:16" x14ac:dyDescent="0.2">
      <c r="A1615" t="s">
        <v>5532</v>
      </c>
      <c r="B1615" t="s">
        <v>5533</v>
      </c>
      <c r="C1615" t="s">
        <v>3575</v>
      </c>
      <c r="D1615" t="s">
        <v>98</v>
      </c>
      <c r="E1615">
        <v>79.989999999999995</v>
      </c>
      <c r="F1615" t="s">
        <v>5817</v>
      </c>
      <c r="L1615" t="s">
        <v>5818</v>
      </c>
      <c r="M1615">
        <v>0</v>
      </c>
      <c r="N1615">
        <v>0</v>
      </c>
      <c r="O1615">
        <v>0</v>
      </c>
      <c r="P1615" t="s">
        <v>5819</v>
      </c>
    </row>
    <row r="1616" spans="1:16" x14ac:dyDescent="0.2">
      <c r="A1616" t="s">
        <v>5467</v>
      </c>
      <c r="B1616" t="s">
        <v>5468</v>
      </c>
      <c r="C1616" t="s">
        <v>3575</v>
      </c>
      <c r="D1616" t="s">
        <v>98</v>
      </c>
      <c r="E1616">
        <v>34.99</v>
      </c>
      <c r="F1616" t="s">
        <v>5817</v>
      </c>
      <c r="L1616" t="s">
        <v>5818</v>
      </c>
      <c r="M1616">
        <v>0</v>
      </c>
      <c r="N1616">
        <v>0</v>
      </c>
      <c r="O1616">
        <v>0</v>
      </c>
      <c r="P1616" t="s">
        <v>5819</v>
      </c>
    </row>
    <row r="1617" spans="1:16" x14ac:dyDescent="0.2">
      <c r="A1617" t="s">
        <v>5475</v>
      </c>
      <c r="B1617" t="s">
        <v>5476</v>
      </c>
      <c r="C1617" t="s">
        <v>3575</v>
      </c>
      <c r="D1617" t="s">
        <v>98</v>
      </c>
      <c r="E1617">
        <v>29.99</v>
      </c>
      <c r="F1617" t="s">
        <v>5817</v>
      </c>
      <c r="L1617" t="s">
        <v>5818</v>
      </c>
      <c r="M1617">
        <v>0</v>
      </c>
      <c r="N1617">
        <v>0</v>
      </c>
      <c r="O1617">
        <v>0</v>
      </c>
      <c r="P1617" t="s">
        <v>5819</v>
      </c>
    </row>
    <row r="1618" spans="1:16" x14ac:dyDescent="0.2">
      <c r="A1618" t="s">
        <v>5526</v>
      </c>
      <c r="B1618" t="s">
        <v>5527</v>
      </c>
      <c r="C1618" t="s">
        <v>3575</v>
      </c>
      <c r="D1618" t="s">
        <v>98</v>
      </c>
      <c r="E1618">
        <v>34.99</v>
      </c>
      <c r="F1618" t="s">
        <v>5817</v>
      </c>
      <c r="L1618" t="s">
        <v>5818</v>
      </c>
      <c r="M1618">
        <v>0</v>
      </c>
      <c r="N1618">
        <v>0</v>
      </c>
      <c r="O1618">
        <v>0</v>
      </c>
      <c r="P1618" t="s">
        <v>5819</v>
      </c>
    </row>
    <row r="1619" spans="1:16" x14ac:dyDescent="0.2">
      <c r="A1619" t="s">
        <v>5455</v>
      </c>
      <c r="B1619" t="s">
        <v>5456</v>
      </c>
      <c r="C1619" t="s">
        <v>3575</v>
      </c>
      <c r="D1619" t="s">
        <v>98</v>
      </c>
      <c r="E1619">
        <v>49.99</v>
      </c>
      <c r="F1619" t="s">
        <v>5817</v>
      </c>
      <c r="L1619" t="s">
        <v>5818</v>
      </c>
      <c r="M1619">
        <v>0</v>
      </c>
      <c r="N1619">
        <v>0</v>
      </c>
      <c r="O1619">
        <v>0</v>
      </c>
      <c r="P1619" t="s">
        <v>5819</v>
      </c>
    </row>
    <row r="1620" spans="1:16" x14ac:dyDescent="0.2">
      <c r="A1620" t="s">
        <v>3576</v>
      </c>
      <c r="B1620" t="s">
        <v>3577</v>
      </c>
      <c r="C1620" t="s">
        <v>3575</v>
      </c>
      <c r="D1620" t="s">
        <v>138</v>
      </c>
      <c r="E1620">
        <v>59.99</v>
      </c>
      <c r="F1620" t="s">
        <v>5817</v>
      </c>
      <c r="L1620" t="s">
        <v>5818</v>
      </c>
      <c r="M1620">
        <v>0</v>
      </c>
      <c r="N1620">
        <v>0</v>
      </c>
      <c r="O1620">
        <v>0</v>
      </c>
      <c r="P1620" t="s">
        <v>5819</v>
      </c>
    </row>
    <row r="1621" spans="1:16" x14ac:dyDescent="0.2">
      <c r="A1621" t="s">
        <v>5628</v>
      </c>
      <c r="B1621" t="s">
        <v>5629</v>
      </c>
      <c r="C1621" t="s">
        <v>3575</v>
      </c>
      <c r="D1621" t="s">
        <v>98</v>
      </c>
      <c r="E1621">
        <v>59.99</v>
      </c>
      <c r="F1621" t="s">
        <v>5817</v>
      </c>
      <c r="L1621" t="s">
        <v>5818</v>
      </c>
      <c r="M1621">
        <v>0</v>
      </c>
      <c r="N1621">
        <v>0</v>
      </c>
      <c r="O1621">
        <v>0</v>
      </c>
      <c r="P1621" t="s">
        <v>5819</v>
      </c>
    </row>
    <row r="1622" spans="1:16" x14ac:dyDescent="0.2">
      <c r="A1622" t="s">
        <v>5526</v>
      </c>
      <c r="B1622" t="s">
        <v>5527</v>
      </c>
      <c r="C1622" t="s">
        <v>3575</v>
      </c>
      <c r="D1622" t="s">
        <v>98</v>
      </c>
      <c r="E1622">
        <v>34.99</v>
      </c>
      <c r="F1622" t="s">
        <v>5817</v>
      </c>
      <c r="L1622" t="s">
        <v>5065</v>
      </c>
      <c r="M1622">
        <v>0</v>
      </c>
      <c r="N1622">
        <v>0</v>
      </c>
      <c r="P1622">
        <v>0</v>
      </c>
    </row>
    <row r="1623" spans="1:16" x14ac:dyDescent="0.2">
      <c r="A1623" t="s">
        <v>5528</v>
      </c>
      <c r="B1623" t="s">
        <v>5529</v>
      </c>
      <c r="C1623" t="s">
        <v>3575</v>
      </c>
      <c r="D1623" t="s">
        <v>98</v>
      </c>
      <c r="E1623">
        <v>34.99</v>
      </c>
      <c r="F1623" t="s">
        <v>5817</v>
      </c>
      <c r="L1623" t="s">
        <v>5065</v>
      </c>
      <c r="M1623">
        <v>0</v>
      </c>
      <c r="N1623">
        <v>0</v>
      </c>
      <c r="O1623">
        <v>2</v>
      </c>
      <c r="P1623">
        <v>0</v>
      </c>
    </row>
    <row r="1624" spans="1:16" x14ac:dyDescent="0.2">
      <c r="A1624" t="s">
        <v>5532</v>
      </c>
      <c r="B1624" t="s">
        <v>5533</v>
      </c>
      <c r="C1624" t="s">
        <v>3575</v>
      </c>
      <c r="D1624" t="s">
        <v>98</v>
      </c>
      <c r="E1624">
        <v>79.989999999999995</v>
      </c>
      <c r="F1624" t="s">
        <v>5817</v>
      </c>
      <c r="L1624" t="s">
        <v>5065</v>
      </c>
      <c r="M1624">
        <v>0</v>
      </c>
      <c r="N1624">
        <v>0</v>
      </c>
      <c r="P1624">
        <v>0</v>
      </c>
    </row>
    <row r="1625" spans="1:16" x14ac:dyDescent="0.2">
      <c r="A1625" t="s">
        <v>5493</v>
      </c>
      <c r="B1625" t="s">
        <v>5494</v>
      </c>
      <c r="C1625" t="s">
        <v>3575</v>
      </c>
      <c r="D1625" t="s">
        <v>138</v>
      </c>
      <c r="E1625">
        <v>19.989999999999998</v>
      </c>
      <c r="F1625" t="s">
        <v>5817</v>
      </c>
      <c r="L1625" t="s">
        <v>5065</v>
      </c>
      <c r="M1625">
        <v>0</v>
      </c>
      <c r="N1625">
        <v>0</v>
      </c>
      <c r="P1625">
        <v>0</v>
      </c>
    </row>
    <row r="1626" spans="1:16" x14ac:dyDescent="0.2">
      <c r="A1626" t="s">
        <v>5469</v>
      </c>
      <c r="B1626" t="s">
        <v>5470</v>
      </c>
      <c r="C1626" t="s">
        <v>3575</v>
      </c>
      <c r="D1626" t="s">
        <v>98</v>
      </c>
      <c r="E1626">
        <v>59.99</v>
      </c>
      <c r="F1626" t="s">
        <v>5817</v>
      </c>
      <c r="L1626" t="s">
        <v>5065</v>
      </c>
      <c r="M1626">
        <v>0</v>
      </c>
      <c r="N1626">
        <v>0</v>
      </c>
      <c r="P1626">
        <v>0</v>
      </c>
    </row>
    <row r="1627" spans="1:16" x14ac:dyDescent="0.2">
      <c r="A1627" t="s">
        <v>5451</v>
      </c>
      <c r="B1627" t="s">
        <v>5452</v>
      </c>
      <c r="C1627" t="s">
        <v>3575</v>
      </c>
      <c r="D1627" t="s">
        <v>98</v>
      </c>
      <c r="E1627">
        <v>69.989999999999995</v>
      </c>
      <c r="F1627" t="s">
        <v>5817</v>
      </c>
      <c r="L1627" t="s">
        <v>5065</v>
      </c>
      <c r="M1627">
        <v>0</v>
      </c>
      <c r="N1627">
        <v>0</v>
      </c>
      <c r="P1627">
        <v>0</v>
      </c>
    </row>
    <row r="1628" spans="1:16" x14ac:dyDescent="0.2">
      <c r="A1628" t="s">
        <v>3578</v>
      </c>
      <c r="B1628" t="s">
        <v>3579</v>
      </c>
      <c r="C1628" t="s">
        <v>3575</v>
      </c>
      <c r="D1628" t="s">
        <v>138</v>
      </c>
      <c r="E1628">
        <v>19.989999999999998</v>
      </c>
      <c r="F1628" t="s">
        <v>5817</v>
      </c>
      <c r="L1628" t="s">
        <v>5065</v>
      </c>
      <c r="M1628">
        <v>0</v>
      </c>
      <c r="N1628">
        <v>0</v>
      </c>
      <c r="P1628">
        <v>0</v>
      </c>
    </row>
    <row r="1629" spans="1:16" x14ac:dyDescent="0.2">
      <c r="A1629" t="s">
        <v>5144</v>
      </c>
      <c r="B1629" t="s">
        <v>5145</v>
      </c>
      <c r="C1629" t="s">
        <v>3575</v>
      </c>
      <c r="D1629" t="s">
        <v>98</v>
      </c>
      <c r="E1629">
        <v>19.989999999999998</v>
      </c>
      <c r="F1629" t="s">
        <v>5817</v>
      </c>
      <c r="L1629" t="s">
        <v>5065</v>
      </c>
      <c r="M1629">
        <v>0</v>
      </c>
      <c r="N1629">
        <v>0</v>
      </c>
      <c r="P1629">
        <v>0</v>
      </c>
    </row>
    <row r="1630" spans="1:16" x14ac:dyDescent="0.2">
      <c r="A1630" t="s">
        <v>5475</v>
      </c>
      <c r="B1630" t="s">
        <v>5476</v>
      </c>
      <c r="C1630" t="s">
        <v>3575</v>
      </c>
      <c r="D1630" t="s">
        <v>98</v>
      </c>
      <c r="E1630">
        <v>29.99</v>
      </c>
      <c r="F1630" t="s">
        <v>5817</v>
      </c>
      <c r="L1630" t="s">
        <v>5065</v>
      </c>
      <c r="M1630">
        <v>0</v>
      </c>
      <c r="N1630">
        <v>0</v>
      </c>
      <c r="P1630">
        <v>0</v>
      </c>
    </row>
    <row r="1631" spans="1:16" x14ac:dyDescent="0.2">
      <c r="A1631" t="s">
        <v>5481</v>
      </c>
      <c r="B1631" t="s">
        <v>5482</v>
      </c>
      <c r="C1631" t="s">
        <v>3575</v>
      </c>
      <c r="D1631" t="s">
        <v>98</v>
      </c>
      <c r="E1631">
        <v>29.99</v>
      </c>
      <c r="F1631" t="s">
        <v>5817</v>
      </c>
      <c r="L1631" t="s">
        <v>5065</v>
      </c>
      <c r="M1631">
        <v>0</v>
      </c>
      <c r="N1631">
        <v>0</v>
      </c>
      <c r="P1631">
        <v>0</v>
      </c>
    </row>
    <row r="1632" spans="1:16" x14ac:dyDescent="0.2">
      <c r="A1632" t="s">
        <v>5467</v>
      </c>
      <c r="B1632" t="s">
        <v>5468</v>
      </c>
      <c r="C1632" t="s">
        <v>3575</v>
      </c>
      <c r="D1632" t="s">
        <v>98</v>
      </c>
      <c r="E1632">
        <v>34.99</v>
      </c>
      <c r="F1632" t="s">
        <v>5817</v>
      </c>
      <c r="L1632" t="s">
        <v>5065</v>
      </c>
      <c r="M1632">
        <v>0</v>
      </c>
      <c r="N1632">
        <v>0</v>
      </c>
      <c r="P1632">
        <v>0</v>
      </c>
    </row>
    <row r="1633" spans="1:16" x14ac:dyDescent="0.2">
      <c r="A1633" t="s">
        <v>5455</v>
      </c>
      <c r="B1633" t="s">
        <v>5456</v>
      </c>
      <c r="C1633" t="s">
        <v>3575</v>
      </c>
      <c r="D1633" t="s">
        <v>98</v>
      </c>
      <c r="E1633">
        <v>49.99</v>
      </c>
      <c r="F1633" t="s">
        <v>5817</v>
      </c>
      <c r="L1633" t="s">
        <v>5065</v>
      </c>
      <c r="M1633">
        <v>0</v>
      </c>
      <c r="N1633">
        <v>0</v>
      </c>
      <c r="P1633">
        <v>0</v>
      </c>
    </row>
    <row r="1634" spans="1:16" x14ac:dyDescent="0.2">
      <c r="A1634" t="s">
        <v>5457</v>
      </c>
      <c r="B1634" t="s">
        <v>5458</v>
      </c>
      <c r="C1634" t="s">
        <v>3575</v>
      </c>
      <c r="D1634" t="s">
        <v>98</v>
      </c>
      <c r="E1634">
        <v>49.99</v>
      </c>
      <c r="F1634" t="s">
        <v>5817</v>
      </c>
      <c r="L1634" t="s">
        <v>5065</v>
      </c>
      <c r="M1634">
        <v>0</v>
      </c>
      <c r="N1634">
        <v>0</v>
      </c>
      <c r="P1634">
        <v>0</v>
      </c>
    </row>
    <row r="1635" spans="1:16" x14ac:dyDescent="0.2">
      <c r="A1635" t="s">
        <v>5465</v>
      </c>
      <c r="B1635" t="s">
        <v>5466</v>
      </c>
      <c r="C1635" t="s">
        <v>3575</v>
      </c>
      <c r="D1635" t="s">
        <v>98</v>
      </c>
      <c r="E1635">
        <v>39.99</v>
      </c>
      <c r="F1635" t="s">
        <v>5817</v>
      </c>
      <c r="L1635" t="s">
        <v>5065</v>
      </c>
      <c r="M1635">
        <v>0</v>
      </c>
      <c r="N1635">
        <v>0</v>
      </c>
      <c r="P1635">
        <v>0</v>
      </c>
    </row>
    <row r="1636" spans="1:16" x14ac:dyDescent="0.2">
      <c r="A1636" t="s">
        <v>3578</v>
      </c>
      <c r="B1636" t="s">
        <v>3579</v>
      </c>
      <c r="C1636" t="s">
        <v>3575</v>
      </c>
      <c r="D1636" t="s">
        <v>138</v>
      </c>
      <c r="E1636">
        <v>19.989999999999998</v>
      </c>
      <c r="F1636" t="s">
        <v>5817</v>
      </c>
      <c r="L1636" t="s">
        <v>8</v>
      </c>
      <c r="M1636">
        <v>0</v>
      </c>
      <c r="N1636">
        <v>0</v>
      </c>
      <c r="O1636">
        <v>0</v>
      </c>
      <c r="P1636">
        <v>0</v>
      </c>
    </row>
    <row r="1637" spans="1:16" x14ac:dyDescent="0.2">
      <c r="A1637" t="s">
        <v>5469</v>
      </c>
      <c r="B1637" t="s">
        <v>5470</v>
      </c>
      <c r="C1637" t="s">
        <v>3575</v>
      </c>
      <c r="D1637" t="s">
        <v>98</v>
      </c>
      <c r="E1637">
        <v>59.99</v>
      </c>
      <c r="F1637" t="s">
        <v>5817</v>
      </c>
      <c r="L1637" t="s">
        <v>8</v>
      </c>
      <c r="M1637">
        <v>0</v>
      </c>
      <c r="N1637">
        <v>0</v>
      </c>
      <c r="O1637">
        <v>0</v>
      </c>
      <c r="P1637">
        <v>0</v>
      </c>
    </row>
    <row r="1638" spans="1:16" x14ac:dyDescent="0.2">
      <c r="A1638" t="s">
        <v>5144</v>
      </c>
      <c r="B1638" t="s">
        <v>5145</v>
      </c>
      <c r="C1638" t="s">
        <v>3575</v>
      </c>
      <c r="D1638" t="s">
        <v>98</v>
      </c>
      <c r="E1638">
        <v>19.989999999999998</v>
      </c>
      <c r="F1638" t="s">
        <v>5817</v>
      </c>
      <c r="L1638" t="s">
        <v>8</v>
      </c>
      <c r="M1638">
        <v>0</v>
      </c>
      <c r="N1638">
        <v>0</v>
      </c>
      <c r="O1638">
        <v>0</v>
      </c>
      <c r="P1638">
        <v>0</v>
      </c>
    </row>
    <row r="1639" spans="1:16" x14ac:dyDescent="0.2">
      <c r="A1639" t="s">
        <v>5451</v>
      </c>
      <c r="B1639" t="s">
        <v>5452</v>
      </c>
      <c r="C1639" t="s">
        <v>3575</v>
      </c>
      <c r="D1639" t="s">
        <v>98</v>
      </c>
      <c r="E1639">
        <v>69.989999999999995</v>
      </c>
      <c r="F1639" t="s">
        <v>5817</v>
      </c>
      <c r="L1639" t="s">
        <v>8</v>
      </c>
      <c r="N1639">
        <v>0</v>
      </c>
      <c r="O1639">
        <v>0</v>
      </c>
      <c r="P1639">
        <v>1</v>
      </c>
    </row>
    <row r="1640" spans="1:16" x14ac:dyDescent="0.2">
      <c r="A1640" t="s">
        <v>5475</v>
      </c>
      <c r="B1640" t="s">
        <v>5476</v>
      </c>
      <c r="C1640" t="s">
        <v>3575</v>
      </c>
      <c r="D1640" t="s">
        <v>98</v>
      </c>
      <c r="E1640">
        <v>29.99</v>
      </c>
      <c r="F1640" t="s">
        <v>5817</v>
      </c>
      <c r="L1640" t="s">
        <v>8</v>
      </c>
      <c r="M1640">
        <v>0</v>
      </c>
      <c r="N1640">
        <v>0</v>
      </c>
      <c r="O1640">
        <v>0</v>
      </c>
      <c r="P1640">
        <v>0</v>
      </c>
    </row>
    <row r="1641" spans="1:16" x14ac:dyDescent="0.2">
      <c r="A1641" t="s">
        <v>5481</v>
      </c>
      <c r="B1641" t="s">
        <v>5482</v>
      </c>
      <c r="C1641" t="s">
        <v>3575</v>
      </c>
      <c r="D1641" t="s">
        <v>98</v>
      </c>
      <c r="E1641">
        <v>29.99</v>
      </c>
      <c r="F1641" t="s">
        <v>5817</v>
      </c>
      <c r="L1641" t="s">
        <v>8</v>
      </c>
      <c r="M1641">
        <v>0</v>
      </c>
      <c r="N1641">
        <v>0</v>
      </c>
      <c r="O1641">
        <v>0</v>
      </c>
      <c r="P1641">
        <v>0</v>
      </c>
    </row>
    <row r="1642" spans="1:16" x14ac:dyDescent="0.2">
      <c r="A1642" t="s">
        <v>5467</v>
      </c>
      <c r="B1642" t="s">
        <v>5468</v>
      </c>
      <c r="C1642" t="s">
        <v>3575</v>
      </c>
      <c r="D1642" t="s">
        <v>98</v>
      </c>
      <c r="E1642">
        <v>34.99</v>
      </c>
      <c r="F1642" t="s">
        <v>5817</v>
      </c>
      <c r="L1642" t="s">
        <v>8</v>
      </c>
      <c r="M1642">
        <v>0</v>
      </c>
      <c r="N1642">
        <v>0</v>
      </c>
      <c r="O1642">
        <v>0</v>
      </c>
      <c r="P1642">
        <v>0</v>
      </c>
    </row>
    <row r="1643" spans="1:16" x14ac:dyDescent="0.2">
      <c r="A1643" t="s">
        <v>5455</v>
      </c>
      <c r="B1643" t="s">
        <v>5456</v>
      </c>
      <c r="C1643" t="s">
        <v>3575</v>
      </c>
      <c r="D1643" t="s">
        <v>98</v>
      </c>
      <c r="E1643">
        <v>49.99</v>
      </c>
      <c r="F1643" t="s">
        <v>5817</v>
      </c>
      <c r="L1643" t="s">
        <v>8</v>
      </c>
      <c r="M1643">
        <v>0</v>
      </c>
      <c r="N1643">
        <v>0</v>
      </c>
      <c r="O1643">
        <v>0</v>
      </c>
      <c r="P1643">
        <v>0</v>
      </c>
    </row>
    <row r="1644" spans="1:16" x14ac:dyDescent="0.2">
      <c r="A1644" t="s">
        <v>5457</v>
      </c>
      <c r="B1644" t="s">
        <v>5458</v>
      </c>
      <c r="C1644" t="s">
        <v>3575</v>
      </c>
      <c r="D1644" t="s">
        <v>98</v>
      </c>
      <c r="E1644">
        <v>49.99</v>
      </c>
      <c r="F1644" t="s">
        <v>5817</v>
      </c>
      <c r="L1644" t="s">
        <v>8</v>
      </c>
      <c r="M1644">
        <v>0</v>
      </c>
      <c r="N1644">
        <v>0</v>
      </c>
      <c r="O1644">
        <v>0</v>
      </c>
      <c r="P1644">
        <v>0</v>
      </c>
    </row>
    <row r="1645" spans="1:16" x14ac:dyDescent="0.2">
      <c r="A1645" t="s">
        <v>5465</v>
      </c>
      <c r="B1645" t="s">
        <v>5466</v>
      </c>
      <c r="C1645" t="s">
        <v>3575</v>
      </c>
      <c r="D1645" t="s">
        <v>98</v>
      </c>
      <c r="E1645">
        <v>39.99</v>
      </c>
      <c r="F1645" t="s">
        <v>5817</v>
      </c>
      <c r="L1645" t="s">
        <v>8</v>
      </c>
      <c r="M1645">
        <v>0</v>
      </c>
      <c r="N1645">
        <v>0</v>
      </c>
      <c r="O1645">
        <v>0</v>
      </c>
      <c r="P1645">
        <v>0</v>
      </c>
    </row>
    <row r="1646" spans="1:16" x14ac:dyDescent="0.2">
      <c r="A1646" t="s">
        <v>5493</v>
      </c>
      <c r="B1646" t="s">
        <v>5494</v>
      </c>
      <c r="C1646" t="s">
        <v>3575</v>
      </c>
      <c r="D1646" t="s">
        <v>138</v>
      </c>
      <c r="E1646">
        <v>19.989999999999998</v>
      </c>
      <c r="F1646" t="s">
        <v>5817</v>
      </c>
      <c r="L1646" t="s">
        <v>8</v>
      </c>
      <c r="M1646">
        <v>0</v>
      </c>
      <c r="N1646">
        <v>0</v>
      </c>
      <c r="O1646">
        <v>0</v>
      </c>
      <c r="P1646">
        <v>0</v>
      </c>
    </row>
    <row r="1647" spans="1:16" x14ac:dyDescent="0.2">
      <c r="A1647" t="s">
        <v>5526</v>
      </c>
      <c r="B1647" t="s">
        <v>5527</v>
      </c>
      <c r="C1647" t="s">
        <v>3575</v>
      </c>
      <c r="D1647" t="s">
        <v>98</v>
      </c>
      <c r="E1647">
        <v>34.99</v>
      </c>
      <c r="F1647" t="s">
        <v>5817</v>
      </c>
      <c r="L1647" t="s">
        <v>8</v>
      </c>
      <c r="M1647">
        <v>0</v>
      </c>
      <c r="N1647">
        <v>0</v>
      </c>
      <c r="O1647">
        <v>0</v>
      </c>
      <c r="P1647">
        <v>0</v>
      </c>
    </row>
    <row r="1648" spans="1:16" x14ac:dyDescent="0.2">
      <c r="A1648" t="s">
        <v>5528</v>
      </c>
      <c r="B1648" t="s">
        <v>5529</v>
      </c>
      <c r="C1648" t="s">
        <v>3575</v>
      </c>
      <c r="D1648" t="s">
        <v>98</v>
      </c>
      <c r="E1648">
        <v>34.99</v>
      </c>
      <c r="F1648" t="s">
        <v>5817</v>
      </c>
      <c r="L1648" t="s">
        <v>8</v>
      </c>
      <c r="M1648">
        <v>0</v>
      </c>
      <c r="N1648">
        <v>0</v>
      </c>
      <c r="O1648">
        <v>0</v>
      </c>
      <c r="P1648">
        <v>0</v>
      </c>
    </row>
    <row r="1649" spans="1:16" x14ac:dyDescent="0.2">
      <c r="A1649" t="s">
        <v>5532</v>
      </c>
      <c r="B1649" t="s">
        <v>5533</v>
      </c>
      <c r="C1649" t="s">
        <v>3575</v>
      </c>
      <c r="D1649" t="s">
        <v>98</v>
      </c>
      <c r="E1649">
        <v>79.989999999999995</v>
      </c>
      <c r="F1649" t="s">
        <v>5817</v>
      </c>
      <c r="L1649" t="s">
        <v>8</v>
      </c>
      <c r="M1649">
        <v>0</v>
      </c>
      <c r="N1649">
        <v>0</v>
      </c>
      <c r="O1649">
        <v>0</v>
      </c>
      <c r="P1649">
        <v>0</v>
      </c>
    </row>
    <row r="1650" spans="1:16" x14ac:dyDescent="0.2">
      <c r="A1650" t="s">
        <v>5628</v>
      </c>
      <c r="B1650" t="s">
        <v>5629</v>
      </c>
      <c r="C1650" t="s">
        <v>3575</v>
      </c>
      <c r="D1650" t="s">
        <v>98</v>
      </c>
      <c r="E1650">
        <v>59.99</v>
      </c>
      <c r="F1650" t="s">
        <v>5817</v>
      </c>
      <c r="L1650" t="s">
        <v>8</v>
      </c>
      <c r="N1650">
        <v>0</v>
      </c>
      <c r="O1650">
        <v>0</v>
      </c>
      <c r="P1650">
        <v>1</v>
      </c>
    </row>
    <row r="1651" spans="1:16" x14ac:dyDescent="0.2">
      <c r="A1651" t="s">
        <v>3576</v>
      </c>
      <c r="B1651" t="s">
        <v>3577</v>
      </c>
      <c r="C1651" t="s">
        <v>3575</v>
      </c>
      <c r="D1651" t="s">
        <v>138</v>
      </c>
      <c r="E1651">
        <v>59.99</v>
      </c>
      <c r="F1651" t="s">
        <v>5817</v>
      </c>
      <c r="L1651" t="s">
        <v>8</v>
      </c>
      <c r="M1651">
        <v>0</v>
      </c>
      <c r="N1651">
        <v>0</v>
      </c>
      <c r="O1651">
        <v>8.3333333333333329E-2</v>
      </c>
      <c r="P1651">
        <v>0</v>
      </c>
    </row>
    <row r="1652" spans="1:16" x14ac:dyDescent="0.2">
      <c r="A1652" t="s">
        <v>3585</v>
      </c>
      <c r="B1652" t="s">
        <v>3586</v>
      </c>
      <c r="C1652" t="s">
        <v>3582</v>
      </c>
      <c r="D1652" t="s">
        <v>98</v>
      </c>
      <c r="E1652">
        <v>149.99</v>
      </c>
      <c r="F1652" t="s">
        <v>5817</v>
      </c>
      <c r="L1652" t="s">
        <v>73</v>
      </c>
      <c r="M1652">
        <v>0</v>
      </c>
      <c r="N1652">
        <v>0</v>
      </c>
      <c r="O1652">
        <v>0</v>
      </c>
      <c r="P1652">
        <v>0</v>
      </c>
    </row>
    <row r="1653" spans="1:16" x14ac:dyDescent="0.2">
      <c r="A1653" t="s">
        <v>3583</v>
      </c>
      <c r="B1653" t="s">
        <v>3584</v>
      </c>
      <c r="C1653" t="s">
        <v>3582</v>
      </c>
      <c r="D1653" t="s">
        <v>98</v>
      </c>
      <c r="E1653">
        <v>199.99</v>
      </c>
      <c r="F1653" t="s">
        <v>5817</v>
      </c>
      <c r="L1653" t="s">
        <v>73</v>
      </c>
      <c r="M1653">
        <v>0</v>
      </c>
      <c r="N1653">
        <v>0</v>
      </c>
      <c r="O1653">
        <v>0</v>
      </c>
      <c r="P1653">
        <v>0</v>
      </c>
    </row>
    <row r="1654" spans="1:16" x14ac:dyDescent="0.2">
      <c r="A1654" t="s">
        <v>5393</v>
      </c>
      <c r="B1654" t="s">
        <v>5394</v>
      </c>
      <c r="C1654" t="s">
        <v>3582</v>
      </c>
      <c r="D1654" t="s">
        <v>98</v>
      </c>
      <c r="E1654">
        <v>109.99</v>
      </c>
      <c r="F1654" t="s">
        <v>5817</v>
      </c>
      <c r="L1654" t="s">
        <v>73</v>
      </c>
      <c r="M1654">
        <v>0</v>
      </c>
      <c r="N1654">
        <v>0</v>
      </c>
      <c r="O1654">
        <v>0</v>
      </c>
      <c r="P1654">
        <v>0</v>
      </c>
    </row>
    <row r="1655" spans="1:16" x14ac:dyDescent="0.2">
      <c r="A1655" t="s">
        <v>5399</v>
      </c>
      <c r="B1655" t="s">
        <v>5400</v>
      </c>
      <c r="C1655" t="s">
        <v>3582</v>
      </c>
      <c r="D1655" t="s">
        <v>98</v>
      </c>
      <c r="E1655">
        <v>3999.99</v>
      </c>
      <c r="F1655" t="s">
        <v>5817</v>
      </c>
      <c r="L1655" t="s">
        <v>73</v>
      </c>
      <c r="M1655">
        <v>0</v>
      </c>
      <c r="N1655">
        <v>0</v>
      </c>
      <c r="O1655">
        <v>0</v>
      </c>
      <c r="P1655">
        <v>0</v>
      </c>
    </row>
    <row r="1656" spans="1:16" x14ac:dyDescent="0.2">
      <c r="A1656" t="s">
        <v>5419</v>
      </c>
      <c r="B1656" t="s">
        <v>5420</v>
      </c>
      <c r="C1656" t="s">
        <v>3582</v>
      </c>
      <c r="D1656" t="s">
        <v>98</v>
      </c>
      <c r="E1656">
        <v>99.99</v>
      </c>
      <c r="F1656" t="s">
        <v>5817</v>
      </c>
      <c r="L1656" t="s">
        <v>73</v>
      </c>
      <c r="M1656">
        <v>0</v>
      </c>
      <c r="N1656">
        <v>0</v>
      </c>
      <c r="O1656">
        <v>0</v>
      </c>
      <c r="P1656">
        <v>0</v>
      </c>
    </row>
    <row r="1657" spans="1:16" x14ac:dyDescent="0.2">
      <c r="A1657" t="s">
        <v>5384</v>
      </c>
      <c r="B1657" t="s">
        <v>5385</v>
      </c>
      <c r="C1657" t="s">
        <v>3582</v>
      </c>
      <c r="D1657" t="s">
        <v>98</v>
      </c>
      <c r="E1657">
        <v>99.99</v>
      </c>
      <c r="F1657" t="s">
        <v>5817</v>
      </c>
      <c r="L1657" t="s">
        <v>73</v>
      </c>
      <c r="M1657">
        <v>0</v>
      </c>
      <c r="N1657">
        <v>0</v>
      </c>
      <c r="O1657">
        <v>0</v>
      </c>
      <c r="P1657">
        <v>0</v>
      </c>
    </row>
    <row r="1658" spans="1:16" x14ac:dyDescent="0.2">
      <c r="A1658" t="s">
        <v>3589</v>
      </c>
      <c r="B1658" t="s">
        <v>3590</v>
      </c>
      <c r="C1658" t="s">
        <v>3582</v>
      </c>
      <c r="D1658" t="s">
        <v>98</v>
      </c>
      <c r="E1658">
        <v>179.99</v>
      </c>
      <c r="F1658" t="s">
        <v>5817</v>
      </c>
      <c r="L1658" t="s">
        <v>73</v>
      </c>
      <c r="M1658">
        <v>1.5</v>
      </c>
      <c r="N1658">
        <v>2.6666666666666665</v>
      </c>
      <c r="O1658">
        <v>8.3333333333333329E-2</v>
      </c>
      <c r="P1658">
        <v>4</v>
      </c>
    </row>
    <row r="1659" spans="1:16" x14ac:dyDescent="0.2">
      <c r="A1659" t="s">
        <v>5382</v>
      </c>
      <c r="B1659" t="s">
        <v>5383</v>
      </c>
      <c r="C1659" t="s">
        <v>3582</v>
      </c>
      <c r="D1659" t="s">
        <v>98</v>
      </c>
      <c r="E1659">
        <v>99.99</v>
      </c>
      <c r="F1659" t="s">
        <v>5817</v>
      </c>
      <c r="L1659" t="s">
        <v>73</v>
      </c>
      <c r="M1659">
        <v>0</v>
      </c>
      <c r="N1659">
        <v>0</v>
      </c>
      <c r="O1659">
        <v>0</v>
      </c>
      <c r="P1659">
        <v>0</v>
      </c>
    </row>
    <row r="1660" spans="1:16" x14ac:dyDescent="0.2">
      <c r="A1660" t="s">
        <v>3587</v>
      </c>
      <c r="B1660" t="s">
        <v>3588</v>
      </c>
      <c r="C1660" t="s">
        <v>3582</v>
      </c>
      <c r="D1660" t="s">
        <v>98</v>
      </c>
      <c r="E1660">
        <v>179.99</v>
      </c>
      <c r="F1660" t="s">
        <v>5817</v>
      </c>
      <c r="L1660" t="s">
        <v>73</v>
      </c>
      <c r="M1660">
        <v>0</v>
      </c>
      <c r="N1660">
        <v>0</v>
      </c>
      <c r="O1660">
        <v>0</v>
      </c>
      <c r="P1660">
        <v>0</v>
      </c>
    </row>
    <row r="1661" spans="1:16" x14ac:dyDescent="0.2">
      <c r="A1661" t="s">
        <v>5425</v>
      </c>
      <c r="B1661" t="s">
        <v>5426</v>
      </c>
      <c r="C1661" t="s">
        <v>3582</v>
      </c>
      <c r="D1661" t="s">
        <v>98</v>
      </c>
      <c r="E1661">
        <v>59.99</v>
      </c>
      <c r="F1661" t="s">
        <v>5817</v>
      </c>
      <c r="L1661" t="s">
        <v>73</v>
      </c>
      <c r="M1661">
        <v>0</v>
      </c>
      <c r="N1661">
        <v>0</v>
      </c>
      <c r="O1661">
        <v>0</v>
      </c>
      <c r="P1661">
        <v>0</v>
      </c>
    </row>
    <row r="1662" spans="1:16" x14ac:dyDescent="0.2">
      <c r="A1662" t="s">
        <v>5497</v>
      </c>
      <c r="B1662" t="s">
        <v>5498</v>
      </c>
      <c r="C1662" t="s">
        <v>3582</v>
      </c>
      <c r="D1662" t="s">
        <v>98</v>
      </c>
      <c r="E1662">
        <v>99.99</v>
      </c>
      <c r="F1662" t="s">
        <v>5817</v>
      </c>
      <c r="L1662" t="s">
        <v>73</v>
      </c>
      <c r="M1662">
        <v>0</v>
      </c>
      <c r="N1662">
        <v>0</v>
      </c>
      <c r="O1662">
        <v>0</v>
      </c>
      <c r="P1662">
        <v>0</v>
      </c>
    </row>
    <row r="1663" spans="1:16" x14ac:dyDescent="0.2">
      <c r="A1663" t="s">
        <v>3595</v>
      </c>
      <c r="B1663" t="s">
        <v>3596</v>
      </c>
      <c r="C1663" t="s">
        <v>3582</v>
      </c>
      <c r="D1663" t="s">
        <v>98</v>
      </c>
      <c r="E1663">
        <v>139.99</v>
      </c>
      <c r="F1663" t="s">
        <v>5817</v>
      </c>
      <c r="L1663" t="s">
        <v>73</v>
      </c>
      <c r="N1663">
        <v>0</v>
      </c>
      <c r="O1663">
        <v>0</v>
      </c>
      <c r="P1663">
        <v>0</v>
      </c>
    </row>
    <row r="1664" spans="1:16" x14ac:dyDescent="0.2">
      <c r="A1664" t="s">
        <v>5431</v>
      </c>
      <c r="B1664" t="s">
        <v>5432</v>
      </c>
      <c r="C1664" t="s">
        <v>3582</v>
      </c>
      <c r="D1664" t="s">
        <v>98</v>
      </c>
      <c r="E1664">
        <v>39.99</v>
      </c>
      <c r="F1664" t="s">
        <v>5817</v>
      </c>
      <c r="L1664" t="s">
        <v>73</v>
      </c>
      <c r="M1664">
        <v>0</v>
      </c>
      <c r="N1664">
        <v>0</v>
      </c>
      <c r="O1664">
        <v>0</v>
      </c>
      <c r="P1664">
        <v>0</v>
      </c>
    </row>
    <row r="1665" spans="1:16" x14ac:dyDescent="0.2">
      <c r="A1665" t="s">
        <v>3593</v>
      </c>
      <c r="B1665" t="s">
        <v>3594</v>
      </c>
      <c r="C1665" t="s">
        <v>3582</v>
      </c>
      <c r="D1665" t="s">
        <v>98</v>
      </c>
      <c r="E1665">
        <v>79.989999999999995</v>
      </c>
      <c r="F1665" t="s">
        <v>5817</v>
      </c>
      <c r="L1665" t="s">
        <v>73</v>
      </c>
      <c r="M1665">
        <v>0</v>
      </c>
      <c r="N1665">
        <v>0</v>
      </c>
      <c r="O1665">
        <v>0</v>
      </c>
      <c r="P1665">
        <v>0</v>
      </c>
    </row>
    <row r="1666" spans="1:16" x14ac:dyDescent="0.2">
      <c r="A1666" t="s">
        <v>3591</v>
      </c>
      <c r="B1666" t="s">
        <v>3592</v>
      </c>
      <c r="C1666" t="s">
        <v>3582</v>
      </c>
      <c r="D1666" t="s">
        <v>98</v>
      </c>
      <c r="E1666">
        <v>109.99</v>
      </c>
      <c r="F1666" t="s">
        <v>5817</v>
      </c>
      <c r="L1666" t="s">
        <v>73</v>
      </c>
      <c r="M1666">
        <v>0</v>
      </c>
      <c r="N1666">
        <v>0</v>
      </c>
      <c r="O1666">
        <v>0</v>
      </c>
      <c r="P1666">
        <v>0</v>
      </c>
    </row>
    <row r="1667" spans="1:16" x14ac:dyDescent="0.2">
      <c r="A1667" t="s">
        <v>5512</v>
      </c>
      <c r="B1667" t="s">
        <v>5513</v>
      </c>
      <c r="C1667" t="s">
        <v>3582</v>
      </c>
      <c r="D1667" t="s">
        <v>98</v>
      </c>
      <c r="E1667">
        <v>199.99</v>
      </c>
      <c r="F1667" t="s">
        <v>5817</v>
      </c>
      <c r="L1667" t="s">
        <v>73</v>
      </c>
      <c r="M1667">
        <v>0</v>
      </c>
      <c r="N1667">
        <v>0</v>
      </c>
      <c r="O1667">
        <v>0</v>
      </c>
      <c r="P1667">
        <v>0</v>
      </c>
    </row>
    <row r="1668" spans="1:16" x14ac:dyDescent="0.2">
      <c r="A1668" t="s">
        <v>5441</v>
      </c>
      <c r="B1668" t="s">
        <v>5442</v>
      </c>
      <c r="C1668" t="s">
        <v>3582</v>
      </c>
      <c r="D1668" t="s">
        <v>98</v>
      </c>
      <c r="E1668">
        <v>99.99</v>
      </c>
      <c r="F1668" t="s">
        <v>5817</v>
      </c>
      <c r="L1668" t="s">
        <v>73</v>
      </c>
      <c r="M1668">
        <v>0</v>
      </c>
      <c r="N1668">
        <v>0</v>
      </c>
      <c r="O1668">
        <v>0</v>
      </c>
      <c r="P1668">
        <v>0</v>
      </c>
    </row>
    <row r="1669" spans="1:16" x14ac:dyDescent="0.2">
      <c r="A1669" t="s">
        <v>5447</v>
      </c>
      <c r="B1669" t="s">
        <v>5448</v>
      </c>
      <c r="C1669" t="s">
        <v>3582</v>
      </c>
      <c r="D1669" t="s">
        <v>98</v>
      </c>
      <c r="E1669">
        <v>0</v>
      </c>
      <c r="F1669" t="s">
        <v>5817</v>
      </c>
      <c r="L1669" t="s">
        <v>73</v>
      </c>
      <c r="M1669">
        <v>0</v>
      </c>
      <c r="N1669">
        <v>0</v>
      </c>
      <c r="O1669">
        <v>0</v>
      </c>
      <c r="P1669">
        <v>0</v>
      </c>
    </row>
    <row r="1670" spans="1:16" x14ac:dyDescent="0.2">
      <c r="A1670" t="s">
        <v>5505</v>
      </c>
      <c r="B1670" t="s">
        <v>5506</v>
      </c>
      <c r="C1670" t="s">
        <v>3582</v>
      </c>
      <c r="D1670" t="s">
        <v>98</v>
      </c>
      <c r="E1670">
        <v>799.99</v>
      </c>
      <c r="F1670" t="s">
        <v>5817</v>
      </c>
      <c r="L1670" t="s">
        <v>73</v>
      </c>
      <c r="M1670">
        <v>0</v>
      </c>
      <c r="N1670">
        <v>0</v>
      </c>
      <c r="O1670">
        <v>0</v>
      </c>
      <c r="P1670">
        <v>0</v>
      </c>
    </row>
    <row r="1671" spans="1:16" x14ac:dyDescent="0.2">
      <c r="A1671" t="s">
        <v>5413</v>
      </c>
      <c r="B1671" t="s">
        <v>5414</v>
      </c>
      <c r="C1671" t="s">
        <v>3582</v>
      </c>
      <c r="D1671" t="s">
        <v>98</v>
      </c>
      <c r="E1671">
        <v>69.989999999999995</v>
      </c>
      <c r="F1671" t="s">
        <v>5817</v>
      </c>
      <c r="L1671" t="s">
        <v>73</v>
      </c>
      <c r="M1671">
        <v>0</v>
      </c>
      <c r="N1671">
        <v>0</v>
      </c>
      <c r="O1671">
        <v>0</v>
      </c>
      <c r="P1671">
        <v>0</v>
      </c>
    </row>
    <row r="1672" spans="1:16" x14ac:dyDescent="0.2">
      <c r="A1672" t="s">
        <v>5399</v>
      </c>
      <c r="B1672" t="s">
        <v>5400</v>
      </c>
      <c r="C1672" t="s">
        <v>3582</v>
      </c>
      <c r="D1672" t="s">
        <v>98</v>
      </c>
      <c r="E1672">
        <v>3999.99</v>
      </c>
      <c r="F1672" t="s">
        <v>5817</v>
      </c>
      <c r="L1672" t="s">
        <v>5818</v>
      </c>
      <c r="M1672">
        <v>0</v>
      </c>
      <c r="N1672">
        <v>0</v>
      </c>
      <c r="O1672">
        <v>0</v>
      </c>
      <c r="P1672" t="s">
        <v>5819</v>
      </c>
    </row>
    <row r="1673" spans="1:16" x14ac:dyDescent="0.2">
      <c r="A1673" t="s">
        <v>3587</v>
      </c>
      <c r="B1673" t="s">
        <v>3588</v>
      </c>
      <c r="C1673" t="s">
        <v>3582</v>
      </c>
      <c r="D1673" t="s">
        <v>98</v>
      </c>
      <c r="E1673">
        <v>179.99</v>
      </c>
      <c r="F1673" t="s">
        <v>5817</v>
      </c>
      <c r="L1673" t="s">
        <v>5818</v>
      </c>
      <c r="M1673">
        <v>0</v>
      </c>
      <c r="N1673">
        <v>0</v>
      </c>
      <c r="P1673">
        <v>4</v>
      </c>
    </row>
    <row r="1674" spans="1:16" x14ac:dyDescent="0.2">
      <c r="A1674" t="s">
        <v>5512</v>
      </c>
      <c r="B1674" t="s">
        <v>5513</v>
      </c>
      <c r="C1674" t="s">
        <v>3582</v>
      </c>
      <c r="D1674" t="s">
        <v>98</v>
      </c>
      <c r="E1674">
        <v>199.99</v>
      </c>
      <c r="F1674" t="s">
        <v>5817</v>
      </c>
      <c r="L1674" t="s">
        <v>5818</v>
      </c>
      <c r="M1674">
        <v>0</v>
      </c>
      <c r="N1674">
        <v>0</v>
      </c>
      <c r="O1674">
        <v>0</v>
      </c>
      <c r="P1674" t="s">
        <v>5819</v>
      </c>
    </row>
    <row r="1675" spans="1:16" x14ac:dyDescent="0.2">
      <c r="A1675" t="s">
        <v>3583</v>
      </c>
      <c r="B1675" t="s">
        <v>3584</v>
      </c>
      <c r="C1675" t="s">
        <v>3582</v>
      </c>
      <c r="D1675" t="s">
        <v>98</v>
      </c>
      <c r="E1675">
        <v>199.99</v>
      </c>
      <c r="F1675" t="s">
        <v>5817</v>
      </c>
      <c r="L1675" t="s">
        <v>5818</v>
      </c>
      <c r="M1675">
        <v>0</v>
      </c>
      <c r="N1675">
        <v>0</v>
      </c>
      <c r="O1675">
        <v>0</v>
      </c>
      <c r="P1675" t="s">
        <v>5819</v>
      </c>
    </row>
    <row r="1676" spans="1:16" x14ac:dyDescent="0.2">
      <c r="A1676" t="s">
        <v>5505</v>
      </c>
      <c r="B1676" t="s">
        <v>5506</v>
      </c>
      <c r="C1676" t="s">
        <v>3582</v>
      </c>
      <c r="D1676" t="s">
        <v>98</v>
      </c>
      <c r="E1676">
        <v>799.99</v>
      </c>
      <c r="F1676" t="s">
        <v>5817</v>
      </c>
      <c r="L1676" t="s">
        <v>5818</v>
      </c>
      <c r="M1676">
        <v>0</v>
      </c>
      <c r="N1676">
        <v>0</v>
      </c>
      <c r="O1676">
        <v>0</v>
      </c>
      <c r="P1676" t="s">
        <v>5819</v>
      </c>
    </row>
    <row r="1677" spans="1:16" x14ac:dyDescent="0.2">
      <c r="A1677" t="s">
        <v>5497</v>
      </c>
      <c r="B1677" t="s">
        <v>5498</v>
      </c>
      <c r="C1677" t="s">
        <v>3582</v>
      </c>
      <c r="D1677" t="s">
        <v>98</v>
      </c>
      <c r="E1677">
        <v>99.99</v>
      </c>
      <c r="F1677" t="s">
        <v>5817</v>
      </c>
      <c r="L1677" t="s">
        <v>5818</v>
      </c>
      <c r="M1677">
        <v>0</v>
      </c>
      <c r="N1677">
        <v>0</v>
      </c>
      <c r="O1677">
        <v>0</v>
      </c>
      <c r="P1677" t="s">
        <v>5819</v>
      </c>
    </row>
    <row r="1678" spans="1:16" x14ac:dyDescent="0.2">
      <c r="A1678" t="s">
        <v>3585</v>
      </c>
      <c r="B1678" t="s">
        <v>3586</v>
      </c>
      <c r="C1678" t="s">
        <v>3582</v>
      </c>
      <c r="D1678" t="s">
        <v>98</v>
      </c>
      <c r="E1678">
        <v>149.99</v>
      </c>
      <c r="F1678" t="s">
        <v>5817</v>
      </c>
      <c r="L1678" t="s">
        <v>5818</v>
      </c>
      <c r="M1678">
        <v>0</v>
      </c>
      <c r="N1678">
        <v>0</v>
      </c>
      <c r="P1678">
        <v>3</v>
      </c>
    </row>
    <row r="1679" spans="1:16" x14ac:dyDescent="0.2">
      <c r="A1679" t="s">
        <v>5413</v>
      </c>
      <c r="B1679" t="s">
        <v>5414</v>
      </c>
      <c r="C1679" t="s">
        <v>3582</v>
      </c>
      <c r="D1679" t="s">
        <v>98</v>
      </c>
      <c r="E1679">
        <v>69.989999999999995</v>
      </c>
      <c r="F1679" t="s">
        <v>5817</v>
      </c>
      <c r="L1679" t="s">
        <v>5818</v>
      </c>
      <c r="M1679">
        <v>0</v>
      </c>
      <c r="N1679">
        <v>0</v>
      </c>
      <c r="P1679">
        <v>2</v>
      </c>
    </row>
    <row r="1680" spans="1:16" x14ac:dyDescent="0.2">
      <c r="A1680" t="s">
        <v>5441</v>
      </c>
      <c r="B1680" t="s">
        <v>5442</v>
      </c>
      <c r="C1680" t="s">
        <v>3582</v>
      </c>
      <c r="D1680" t="s">
        <v>98</v>
      </c>
      <c r="E1680">
        <v>99.99</v>
      </c>
      <c r="F1680" t="s">
        <v>5817</v>
      </c>
      <c r="L1680" t="s">
        <v>5818</v>
      </c>
      <c r="M1680">
        <v>0</v>
      </c>
      <c r="N1680">
        <v>0</v>
      </c>
      <c r="P1680">
        <v>2</v>
      </c>
    </row>
    <row r="1681" spans="1:16" x14ac:dyDescent="0.2">
      <c r="A1681" t="s">
        <v>5447</v>
      </c>
      <c r="B1681" t="s">
        <v>5448</v>
      </c>
      <c r="C1681" t="s">
        <v>3582</v>
      </c>
      <c r="D1681" t="s">
        <v>98</v>
      </c>
      <c r="E1681">
        <v>0</v>
      </c>
      <c r="F1681" t="s">
        <v>5817</v>
      </c>
      <c r="L1681" t="s">
        <v>5818</v>
      </c>
      <c r="M1681">
        <v>0</v>
      </c>
      <c r="N1681">
        <v>0</v>
      </c>
      <c r="O1681">
        <v>0</v>
      </c>
      <c r="P1681" t="s">
        <v>5819</v>
      </c>
    </row>
    <row r="1682" spans="1:16" x14ac:dyDescent="0.2">
      <c r="A1682" t="s">
        <v>3591</v>
      </c>
      <c r="B1682" t="s">
        <v>3592</v>
      </c>
      <c r="C1682" t="s">
        <v>3582</v>
      </c>
      <c r="D1682" t="s">
        <v>98</v>
      </c>
      <c r="E1682">
        <v>109.99</v>
      </c>
      <c r="F1682" t="s">
        <v>5817</v>
      </c>
      <c r="L1682" t="s">
        <v>5818</v>
      </c>
      <c r="M1682">
        <v>0</v>
      </c>
      <c r="N1682">
        <v>0</v>
      </c>
      <c r="O1682">
        <v>0</v>
      </c>
      <c r="P1682" t="s">
        <v>5819</v>
      </c>
    </row>
    <row r="1683" spans="1:16" x14ac:dyDescent="0.2">
      <c r="A1683" t="s">
        <v>3593</v>
      </c>
      <c r="B1683" t="s">
        <v>3594</v>
      </c>
      <c r="C1683" t="s">
        <v>3582</v>
      </c>
      <c r="D1683" t="s">
        <v>98</v>
      </c>
      <c r="E1683">
        <v>79.989999999999995</v>
      </c>
      <c r="F1683" t="s">
        <v>5817</v>
      </c>
      <c r="L1683" t="s">
        <v>5818</v>
      </c>
      <c r="M1683">
        <v>0</v>
      </c>
      <c r="N1683">
        <v>0</v>
      </c>
      <c r="O1683">
        <v>0</v>
      </c>
      <c r="P1683" t="s">
        <v>5819</v>
      </c>
    </row>
    <row r="1684" spans="1:16" x14ac:dyDescent="0.2">
      <c r="A1684" t="s">
        <v>5425</v>
      </c>
      <c r="B1684" t="s">
        <v>5426</v>
      </c>
      <c r="C1684" t="s">
        <v>3582</v>
      </c>
      <c r="D1684" t="s">
        <v>98</v>
      </c>
      <c r="E1684">
        <v>59.99</v>
      </c>
      <c r="F1684" t="s">
        <v>5817</v>
      </c>
      <c r="L1684" t="s">
        <v>5818</v>
      </c>
      <c r="M1684">
        <v>0</v>
      </c>
      <c r="N1684">
        <v>0</v>
      </c>
      <c r="O1684">
        <v>0</v>
      </c>
      <c r="P1684" t="s">
        <v>5819</v>
      </c>
    </row>
    <row r="1685" spans="1:16" x14ac:dyDescent="0.2">
      <c r="A1685" t="s">
        <v>5419</v>
      </c>
      <c r="B1685" t="s">
        <v>5420</v>
      </c>
      <c r="C1685" t="s">
        <v>3582</v>
      </c>
      <c r="D1685" t="s">
        <v>98</v>
      </c>
      <c r="E1685">
        <v>99.99</v>
      </c>
      <c r="F1685" t="s">
        <v>5817</v>
      </c>
      <c r="L1685" t="s">
        <v>5818</v>
      </c>
      <c r="M1685">
        <v>0</v>
      </c>
      <c r="N1685">
        <v>0</v>
      </c>
      <c r="O1685">
        <v>0</v>
      </c>
      <c r="P1685" t="s">
        <v>5819</v>
      </c>
    </row>
    <row r="1686" spans="1:16" x14ac:dyDescent="0.2">
      <c r="A1686" t="s">
        <v>3589</v>
      </c>
      <c r="B1686" t="s">
        <v>3590</v>
      </c>
      <c r="C1686" t="s">
        <v>3582</v>
      </c>
      <c r="D1686" t="s">
        <v>98</v>
      </c>
      <c r="E1686">
        <v>179.99</v>
      </c>
      <c r="F1686" t="s">
        <v>5817</v>
      </c>
      <c r="L1686" t="s">
        <v>5818</v>
      </c>
      <c r="M1686">
        <v>0</v>
      </c>
      <c r="N1686">
        <v>0</v>
      </c>
      <c r="O1686">
        <v>0</v>
      </c>
      <c r="P1686" t="s">
        <v>5819</v>
      </c>
    </row>
    <row r="1687" spans="1:16" x14ac:dyDescent="0.2">
      <c r="A1687" t="s">
        <v>5382</v>
      </c>
      <c r="B1687" t="s">
        <v>5383</v>
      </c>
      <c r="C1687" t="s">
        <v>3582</v>
      </c>
      <c r="D1687" t="s">
        <v>98</v>
      </c>
      <c r="E1687">
        <v>99.99</v>
      </c>
      <c r="F1687" t="s">
        <v>5817</v>
      </c>
      <c r="L1687" t="s">
        <v>5818</v>
      </c>
      <c r="M1687">
        <v>0</v>
      </c>
      <c r="N1687">
        <v>0</v>
      </c>
      <c r="O1687">
        <v>0</v>
      </c>
      <c r="P1687" t="s">
        <v>5819</v>
      </c>
    </row>
    <row r="1688" spans="1:16" x14ac:dyDescent="0.2">
      <c r="A1688" t="s">
        <v>5384</v>
      </c>
      <c r="B1688" t="s">
        <v>5385</v>
      </c>
      <c r="C1688" t="s">
        <v>3582</v>
      </c>
      <c r="D1688" t="s">
        <v>98</v>
      </c>
      <c r="E1688">
        <v>99.99</v>
      </c>
      <c r="F1688" t="s">
        <v>5817</v>
      </c>
      <c r="L1688" t="s">
        <v>5818</v>
      </c>
      <c r="M1688">
        <v>0</v>
      </c>
      <c r="N1688">
        <v>0</v>
      </c>
      <c r="O1688">
        <v>0</v>
      </c>
      <c r="P1688" t="s">
        <v>5819</v>
      </c>
    </row>
    <row r="1689" spans="1:16" x14ac:dyDescent="0.2">
      <c r="A1689" t="s">
        <v>5393</v>
      </c>
      <c r="B1689" t="s">
        <v>5394</v>
      </c>
      <c r="C1689" t="s">
        <v>3582</v>
      </c>
      <c r="D1689" t="s">
        <v>98</v>
      </c>
      <c r="E1689">
        <v>109.99</v>
      </c>
      <c r="F1689" t="s">
        <v>5817</v>
      </c>
      <c r="L1689" t="s">
        <v>5818</v>
      </c>
      <c r="M1689">
        <v>0</v>
      </c>
      <c r="N1689">
        <v>0</v>
      </c>
      <c r="O1689">
        <v>0</v>
      </c>
      <c r="P1689" t="s">
        <v>5819</v>
      </c>
    </row>
    <row r="1690" spans="1:16" x14ac:dyDescent="0.2">
      <c r="A1690" t="s">
        <v>5431</v>
      </c>
      <c r="B1690" t="s">
        <v>5432</v>
      </c>
      <c r="C1690" t="s">
        <v>3582</v>
      </c>
      <c r="D1690" t="s">
        <v>98</v>
      </c>
      <c r="E1690">
        <v>39.99</v>
      </c>
      <c r="F1690" t="s">
        <v>5817</v>
      </c>
      <c r="L1690" t="s">
        <v>5818</v>
      </c>
      <c r="M1690">
        <v>0</v>
      </c>
      <c r="N1690">
        <v>0</v>
      </c>
      <c r="O1690">
        <v>0</v>
      </c>
      <c r="P1690" t="s">
        <v>5819</v>
      </c>
    </row>
    <row r="1691" spans="1:16" x14ac:dyDescent="0.2">
      <c r="A1691" t="s">
        <v>3589</v>
      </c>
      <c r="B1691" t="s">
        <v>3590</v>
      </c>
      <c r="C1691" t="s">
        <v>3582</v>
      </c>
      <c r="D1691" t="s">
        <v>98</v>
      </c>
      <c r="E1691">
        <v>179.99</v>
      </c>
      <c r="F1691" t="s">
        <v>5817</v>
      </c>
      <c r="L1691" t="s">
        <v>5085</v>
      </c>
      <c r="M1691">
        <v>0</v>
      </c>
      <c r="N1691">
        <v>0</v>
      </c>
      <c r="O1691">
        <v>0</v>
      </c>
      <c r="P1691" t="s">
        <v>5819</v>
      </c>
    </row>
    <row r="1692" spans="1:16" x14ac:dyDescent="0.2">
      <c r="A1692" t="s">
        <v>5382</v>
      </c>
      <c r="B1692" t="s">
        <v>5383</v>
      </c>
      <c r="C1692" t="s">
        <v>3582</v>
      </c>
      <c r="D1692" t="s">
        <v>98</v>
      </c>
      <c r="E1692">
        <v>99.99</v>
      </c>
      <c r="F1692" t="s">
        <v>5817</v>
      </c>
      <c r="L1692" t="s">
        <v>5085</v>
      </c>
      <c r="M1692">
        <v>0</v>
      </c>
      <c r="N1692">
        <v>0</v>
      </c>
      <c r="O1692">
        <v>0.16666666666666663</v>
      </c>
      <c r="P1692" t="s">
        <v>5819</v>
      </c>
    </row>
    <row r="1693" spans="1:16" x14ac:dyDescent="0.2">
      <c r="A1693" t="s">
        <v>5384</v>
      </c>
      <c r="B1693" t="s">
        <v>5385</v>
      </c>
      <c r="C1693" t="s">
        <v>3582</v>
      </c>
      <c r="D1693" t="s">
        <v>98</v>
      </c>
      <c r="E1693">
        <v>99.99</v>
      </c>
      <c r="F1693" t="s">
        <v>5817</v>
      </c>
      <c r="L1693" t="s">
        <v>5085</v>
      </c>
      <c r="M1693">
        <v>0</v>
      </c>
      <c r="N1693">
        <v>0</v>
      </c>
      <c r="O1693">
        <v>0.16666666666666663</v>
      </c>
      <c r="P1693" t="s">
        <v>5819</v>
      </c>
    </row>
    <row r="1694" spans="1:16" x14ac:dyDescent="0.2">
      <c r="A1694" t="s">
        <v>5419</v>
      </c>
      <c r="B1694" t="s">
        <v>5420</v>
      </c>
      <c r="C1694" t="s">
        <v>3582</v>
      </c>
      <c r="D1694" t="s">
        <v>98</v>
      </c>
      <c r="E1694">
        <v>99.99</v>
      </c>
      <c r="F1694" t="s">
        <v>5817</v>
      </c>
      <c r="L1694" t="s">
        <v>5085</v>
      </c>
      <c r="M1694">
        <v>0</v>
      </c>
      <c r="N1694">
        <v>0</v>
      </c>
      <c r="O1694">
        <v>0</v>
      </c>
      <c r="P1694" t="s">
        <v>5819</v>
      </c>
    </row>
    <row r="1695" spans="1:16" x14ac:dyDescent="0.2">
      <c r="A1695" t="s">
        <v>5431</v>
      </c>
      <c r="B1695" t="s">
        <v>5432</v>
      </c>
      <c r="C1695" t="s">
        <v>3582</v>
      </c>
      <c r="D1695" t="s">
        <v>98</v>
      </c>
      <c r="E1695">
        <v>39.99</v>
      </c>
      <c r="F1695" t="s">
        <v>5817</v>
      </c>
      <c r="L1695" t="s">
        <v>5085</v>
      </c>
      <c r="M1695">
        <v>0</v>
      </c>
      <c r="N1695">
        <v>0</v>
      </c>
      <c r="O1695">
        <v>0</v>
      </c>
      <c r="P1695" t="s">
        <v>5819</v>
      </c>
    </row>
    <row r="1696" spans="1:16" x14ac:dyDescent="0.2">
      <c r="A1696" t="s">
        <v>5441</v>
      </c>
      <c r="B1696" t="s">
        <v>5442</v>
      </c>
      <c r="C1696" t="s">
        <v>3582</v>
      </c>
      <c r="D1696" t="s">
        <v>98</v>
      </c>
      <c r="E1696">
        <v>99.99</v>
      </c>
      <c r="F1696" t="s">
        <v>5817</v>
      </c>
      <c r="L1696" t="s">
        <v>5085</v>
      </c>
      <c r="M1696">
        <v>0</v>
      </c>
      <c r="N1696">
        <v>0</v>
      </c>
      <c r="O1696">
        <v>0</v>
      </c>
      <c r="P1696" t="s">
        <v>5819</v>
      </c>
    </row>
    <row r="1697" spans="1:16" x14ac:dyDescent="0.2">
      <c r="A1697" t="s">
        <v>5413</v>
      </c>
      <c r="B1697" t="s">
        <v>5414</v>
      </c>
      <c r="C1697" t="s">
        <v>3582</v>
      </c>
      <c r="D1697" t="s">
        <v>98</v>
      </c>
      <c r="E1697">
        <v>69.989999999999995</v>
      </c>
      <c r="F1697" t="s">
        <v>5817</v>
      </c>
      <c r="L1697" t="s">
        <v>5085</v>
      </c>
      <c r="M1697">
        <v>0</v>
      </c>
      <c r="N1697">
        <v>0</v>
      </c>
      <c r="O1697">
        <v>0</v>
      </c>
      <c r="P1697" t="s">
        <v>5819</v>
      </c>
    </row>
    <row r="1698" spans="1:16" x14ac:dyDescent="0.2">
      <c r="A1698" t="s">
        <v>5505</v>
      </c>
      <c r="B1698" t="s">
        <v>5506</v>
      </c>
      <c r="C1698" t="s">
        <v>3582</v>
      </c>
      <c r="D1698" t="s">
        <v>98</v>
      </c>
      <c r="E1698">
        <v>799.99</v>
      </c>
      <c r="F1698" t="s">
        <v>5817</v>
      </c>
      <c r="L1698" t="s">
        <v>5085</v>
      </c>
      <c r="M1698">
        <v>0</v>
      </c>
      <c r="N1698">
        <v>0</v>
      </c>
      <c r="O1698">
        <v>0</v>
      </c>
      <c r="P1698" t="s">
        <v>5819</v>
      </c>
    </row>
    <row r="1699" spans="1:16" x14ac:dyDescent="0.2">
      <c r="A1699" t="s">
        <v>3583</v>
      </c>
      <c r="B1699" t="s">
        <v>3584</v>
      </c>
      <c r="C1699" t="s">
        <v>3582</v>
      </c>
      <c r="D1699" t="s">
        <v>98</v>
      </c>
      <c r="E1699">
        <v>199.99</v>
      </c>
      <c r="F1699" t="s">
        <v>5817</v>
      </c>
      <c r="L1699" t="s">
        <v>5065</v>
      </c>
      <c r="M1699">
        <v>0</v>
      </c>
      <c r="N1699">
        <v>0</v>
      </c>
      <c r="P1699">
        <v>0</v>
      </c>
    </row>
    <row r="1700" spans="1:16" x14ac:dyDescent="0.2">
      <c r="A1700" t="s">
        <v>5497</v>
      </c>
      <c r="B1700" t="s">
        <v>5498</v>
      </c>
      <c r="C1700" t="s">
        <v>3582</v>
      </c>
      <c r="D1700" t="s">
        <v>98</v>
      </c>
      <c r="E1700">
        <v>99.99</v>
      </c>
      <c r="F1700" t="s">
        <v>5817</v>
      </c>
      <c r="L1700" t="s">
        <v>5065</v>
      </c>
      <c r="M1700">
        <v>0</v>
      </c>
      <c r="N1700">
        <v>0</v>
      </c>
      <c r="P1700">
        <v>0</v>
      </c>
    </row>
    <row r="1701" spans="1:16" x14ac:dyDescent="0.2">
      <c r="A1701" t="s">
        <v>5505</v>
      </c>
      <c r="B1701" t="s">
        <v>5506</v>
      </c>
      <c r="C1701" t="s">
        <v>3582</v>
      </c>
      <c r="D1701" t="s">
        <v>98</v>
      </c>
      <c r="E1701">
        <v>799.99</v>
      </c>
      <c r="F1701" t="s">
        <v>5817</v>
      </c>
      <c r="L1701" t="s">
        <v>5065</v>
      </c>
      <c r="M1701">
        <v>0</v>
      </c>
      <c r="N1701">
        <v>0</v>
      </c>
      <c r="P1701">
        <v>0</v>
      </c>
    </row>
    <row r="1702" spans="1:16" x14ac:dyDescent="0.2">
      <c r="A1702" t="s">
        <v>5512</v>
      </c>
      <c r="B1702" t="s">
        <v>5513</v>
      </c>
      <c r="C1702" t="s">
        <v>3582</v>
      </c>
      <c r="D1702" t="s">
        <v>98</v>
      </c>
      <c r="E1702">
        <v>199.99</v>
      </c>
      <c r="F1702" t="s">
        <v>5817</v>
      </c>
      <c r="L1702" t="s">
        <v>5065</v>
      </c>
      <c r="M1702">
        <v>0</v>
      </c>
      <c r="N1702">
        <v>0</v>
      </c>
      <c r="P1702">
        <v>0</v>
      </c>
    </row>
    <row r="1703" spans="1:16" x14ac:dyDescent="0.2">
      <c r="A1703" t="s">
        <v>5399</v>
      </c>
      <c r="B1703" t="s">
        <v>5400</v>
      </c>
      <c r="C1703" t="s">
        <v>3582</v>
      </c>
      <c r="D1703" t="s">
        <v>98</v>
      </c>
      <c r="E1703">
        <v>3999.99</v>
      </c>
      <c r="F1703" t="s">
        <v>5817</v>
      </c>
      <c r="L1703" t="s">
        <v>5065</v>
      </c>
      <c r="M1703">
        <v>0</v>
      </c>
      <c r="N1703">
        <v>0</v>
      </c>
      <c r="P1703">
        <v>0</v>
      </c>
    </row>
    <row r="1704" spans="1:16" x14ac:dyDescent="0.2">
      <c r="A1704" t="s">
        <v>3585</v>
      </c>
      <c r="B1704" t="s">
        <v>3586</v>
      </c>
      <c r="C1704" t="s">
        <v>3582</v>
      </c>
      <c r="D1704" t="s">
        <v>98</v>
      </c>
      <c r="E1704">
        <v>149.99</v>
      </c>
      <c r="F1704" t="s">
        <v>5817</v>
      </c>
      <c r="L1704" t="s">
        <v>5065</v>
      </c>
      <c r="N1704">
        <v>0</v>
      </c>
      <c r="O1704">
        <v>0</v>
      </c>
      <c r="P1704">
        <v>1</v>
      </c>
    </row>
    <row r="1705" spans="1:16" x14ac:dyDescent="0.2">
      <c r="A1705" t="s">
        <v>3587</v>
      </c>
      <c r="B1705" t="s">
        <v>3588</v>
      </c>
      <c r="C1705" t="s">
        <v>3582</v>
      </c>
      <c r="D1705" t="s">
        <v>98</v>
      </c>
      <c r="E1705">
        <v>179.99</v>
      </c>
      <c r="F1705" t="s">
        <v>5817</v>
      </c>
      <c r="L1705" t="s">
        <v>5065</v>
      </c>
      <c r="M1705">
        <v>0</v>
      </c>
      <c r="N1705">
        <v>0</v>
      </c>
      <c r="P1705">
        <v>0</v>
      </c>
    </row>
    <row r="1706" spans="1:16" x14ac:dyDescent="0.2">
      <c r="A1706" t="s">
        <v>5431</v>
      </c>
      <c r="B1706" t="s">
        <v>5432</v>
      </c>
      <c r="C1706" t="s">
        <v>3582</v>
      </c>
      <c r="D1706" t="s">
        <v>98</v>
      </c>
      <c r="E1706">
        <v>39.99</v>
      </c>
      <c r="F1706" t="s">
        <v>5817</v>
      </c>
      <c r="L1706" t="s">
        <v>5065</v>
      </c>
      <c r="M1706">
        <v>0</v>
      </c>
      <c r="N1706">
        <v>0</v>
      </c>
      <c r="P1706">
        <v>0</v>
      </c>
    </row>
    <row r="1707" spans="1:16" x14ac:dyDescent="0.2">
      <c r="A1707" t="s">
        <v>5710</v>
      </c>
      <c r="B1707" t="s">
        <v>5711</v>
      </c>
      <c r="C1707" t="s">
        <v>3582</v>
      </c>
      <c r="D1707" t="s">
        <v>98</v>
      </c>
      <c r="E1707">
        <v>59.99</v>
      </c>
      <c r="F1707" t="s">
        <v>5817</v>
      </c>
      <c r="L1707" t="s">
        <v>5065</v>
      </c>
      <c r="M1707">
        <v>0</v>
      </c>
      <c r="N1707">
        <v>0</v>
      </c>
      <c r="P1707">
        <v>0</v>
      </c>
    </row>
    <row r="1708" spans="1:16" x14ac:dyDescent="0.2">
      <c r="A1708" t="s">
        <v>3595</v>
      </c>
      <c r="B1708" t="s">
        <v>3596</v>
      </c>
      <c r="C1708" t="s">
        <v>3582</v>
      </c>
      <c r="D1708" t="s">
        <v>98</v>
      </c>
      <c r="E1708">
        <v>139.99</v>
      </c>
      <c r="F1708" t="s">
        <v>5817</v>
      </c>
      <c r="L1708" t="s">
        <v>5065</v>
      </c>
      <c r="M1708">
        <v>0</v>
      </c>
      <c r="N1708">
        <v>0</v>
      </c>
      <c r="P1708">
        <v>0</v>
      </c>
    </row>
    <row r="1709" spans="1:16" x14ac:dyDescent="0.2">
      <c r="A1709" t="s">
        <v>5425</v>
      </c>
      <c r="B1709" t="s">
        <v>5426</v>
      </c>
      <c r="C1709" t="s">
        <v>3582</v>
      </c>
      <c r="D1709" t="s">
        <v>98</v>
      </c>
      <c r="E1709">
        <v>59.99</v>
      </c>
      <c r="F1709" t="s">
        <v>5817</v>
      </c>
      <c r="L1709" t="s">
        <v>5065</v>
      </c>
      <c r="M1709">
        <v>0</v>
      </c>
      <c r="N1709">
        <v>0</v>
      </c>
      <c r="P1709">
        <v>0</v>
      </c>
    </row>
    <row r="1710" spans="1:16" x14ac:dyDescent="0.2">
      <c r="A1710" t="s">
        <v>3589</v>
      </c>
      <c r="B1710" t="s">
        <v>3590</v>
      </c>
      <c r="C1710" t="s">
        <v>3582</v>
      </c>
      <c r="D1710" t="s">
        <v>98</v>
      </c>
      <c r="E1710">
        <v>179.99</v>
      </c>
      <c r="F1710" t="s">
        <v>5817</v>
      </c>
      <c r="L1710" t="s">
        <v>5065</v>
      </c>
      <c r="M1710">
        <v>0</v>
      </c>
      <c r="N1710">
        <v>0</v>
      </c>
      <c r="O1710">
        <v>0.4</v>
      </c>
      <c r="P1710">
        <v>0</v>
      </c>
    </row>
    <row r="1711" spans="1:16" x14ac:dyDescent="0.2">
      <c r="A1711" t="s">
        <v>5382</v>
      </c>
      <c r="B1711" t="s">
        <v>5383</v>
      </c>
      <c r="C1711" t="s">
        <v>3582</v>
      </c>
      <c r="D1711" t="s">
        <v>98</v>
      </c>
      <c r="E1711">
        <v>99.99</v>
      </c>
      <c r="F1711" t="s">
        <v>5817</v>
      </c>
      <c r="L1711" t="s">
        <v>5065</v>
      </c>
      <c r="M1711">
        <v>0</v>
      </c>
      <c r="N1711">
        <v>0</v>
      </c>
      <c r="P1711">
        <v>0</v>
      </c>
    </row>
    <row r="1712" spans="1:16" x14ac:dyDescent="0.2">
      <c r="A1712" t="s">
        <v>5384</v>
      </c>
      <c r="B1712" t="s">
        <v>5385</v>
      </c>
      <c r="C1712" t="s">
        <v>3582</v>
      </c>
      <c r="D1712" t="s">
        <v>98</v>
      </c>
      <c r="E1712">
        <v>99.99</v>
      </c>
      <c r="F1712" t="s">
        <v>5817</v>
      </c>
      <c r="L1712" t="s">
        <v>5065</v>
      </c>
      <c r="M1712">
        <v>0</v>
      </c>
      <c r="N1712">
        <v>0</v>
      </c>
      <c r="P1712">
        <v>0</v>
      </c>
    </row>
    <row r="1713" spans="1:16" x14ac:dyDescent="0.2">
      <c r="A1713" t="s">
        <v>5393</v>
      </c>
      <c r="B1713" t="s">
        <v>5394</v>
      </c>
      <c r="C1713" t="s">
        <v>3582</v>
      </c>
      <c r="D1713" t="s">
        <v>98</v>
      </c>
      <c r="E1713">
        <v>109.99</v>
      </c>
      <c r="F1713" t="s">
        <v>5817</v>
      </c>
      <c r="L1713" t="s">
        <v>5065</v>
      </c>
      <c r="M1713">
        <v>0</v>
      </c>
      <c r="N1713">
        <v>0</v>
      </c>
      <c r="P1713">
        <v>0</v>
      </c>
    </row>
    <row r="1714" spans="1:16" x14ac:dyDescent="0.2">
      <c r="A1714" t="s">
        <v>5419</v>
      </c>
      <c r="B1714" t="s">
        <v>5420</v>
      </c>
      <c r="C1714" t="s">
        <v>3582</v>
      </c>
      <c r="D1714" t="s">
        <v>98</v>
      </c>
      <c r="E1714">
        <v>99.99</v>
      </c>
      <c r="F1714" t="s">
        <v>5817</v>
      </c>
      <c r="L1714" t="s">
        <v>5065</v>
      </c>
      <c r="M1714">
        <v>0</v>
      </c>
      <c r="N1714">
        <v>0</v>
      </c>
      <c r="P1714">
        <v>0</v>
      </c>
    </row>
    <row r="1715" spans="1:16" x14ac:dyDescent="0.2">
      <c r="A1715" t="s">
        <v>5441</v>
      </c>
      <c r="B1715" t="s">
        <v>5442</v>
      </c>
      <c r="C1715" t="s">
        <v>3582</v>
      </c>
      <c r="D1715" t="s">
        <v>98</v>
      </c>
      <c r="E1715">
        <v>99.99</v>
      </c>
      <c r="F1715" t="s">
        <v>5817</v>
      </c>
      <c r="L1715" t="s">
        <v>5065</v>
      </c>
      <c r="M1715">
        <v>0</v>
      </c>
      <c r="N1715">
        <v>0</v>
      </c>
      <c r="O1715">
        <v>0</v>
      </c>
      <c r="P1715">
        <v>0</v>
      </c>
    </row>
    <row r="1716" spans="1:16" x14ac:dyDescent="0.2">
      <c r="A1716" t="s">
        <v>5447</v>
      </c>
      <c r="B1716" t="s">
        <v>5448</v>
      </c>
      <c r="C1716" t="s">
        <v>3582</v>
      </c>
      <c r="D1716" t="s">
        <v>98</v>
      </c>
      <c r="E1716">
        <v>0</v>
      </c>
      <c r="F1716" t="s">
        <v>5817</v>
      </c>
      <c r="L1716" t="s">
        <v>5065</v>
      </c>
      <c r="M1716">
        <v>0</v>
      </c>
      <c r="N1716">
        <v>0</v>
      </c>
      <c r="P1716">
        <v>0</v>
      </c>
    </row>
    <row r="1717" spans="1:16" x14ac:dyDescent="0.2">
      <c r="A1717" t="s">
        <v>3591</v>
      </c>
      <c r="B1717" t="s">
        <v>3592</v>
      </c>
      <c r="C1717" t="s">
        <v>3582</v>
      </c>
      <c r="D1717" t="s">
        <v>98</v>
      </c>
      <c r="E1717">
        <v>109.99</v>
      </c>
      <c r="F1717" t="s">
        <v>5817</v>
      </c>
      <c r="L1717" t="s">
        <v>5065</v>
      </c>
      <c r="M1717">
        <v>0</v>
      </c>
      <c r="N1717">
        <v>0</v>
      </c>
      <c r="P1717">
        <v>0</v>
      </c>
    </row>
    <row r="1718" spans="1:16" x14ac:dyDescent="0.2">
      <c r="A1718" t="s">
        <v>3593</v>
      </c>
      <c r="B1718" t="s">
        <v>3594</v>
      </c>
      <c r="C1718" t="s">
        <v>3582</v>
      </c>
      <c r="D1718" t="s">
        <v>98</v>
      </c>
      <c r="E1718">
        <v>79.989999999999995</v>
      </c>
      <c r="F1718" t="s">
        <v>5817</v>
      </c>
      <c r="L1718" t="s">
        <v>5065</v>
      </c>
      <c r="M1718">
        <v>0</v>
      </c>
      <c r="N1718">
        <v>0</v>
      </c>
      <c r="P1718">
        <v>0</v>
      </c>
    </row>
    <row r="1719" spans="1:16" x14ac:dyDescent="0.2">
      <c r="A1719" t="s">
        <v>5413</v>
      </c>
      <c r="B1719" t="s">
        <v>5414</v>
      </c>
      <c r="C1719" t="s">
        <v>3582</v>
      </c>
      <c r="D1719" t="s">
        <v>98</v>
      </c>
      <c r="E1719">
        <v>69.989999999999995</v>
      </c>
      <c r="F1719" t="s">
        <v>5817</v>
      </c>
      <c r="L1719" t="s">
        <v>5065</v>
      </c>
      <c r="M1719">
        <v>0</v>
      </c>
      <c r="N1719">
        <v>0</v>
      </c>
      <c r="P1719">
        <v>0</v>
      </c>
    </row>
    <row r="1720" spans="1:16" x14ac:dyDescent="0.2">
      <c r="A1720" t="s">
        <v>5505</v>
      </c>
      <c r="B1720" t="s">
        <v>5506</v>
      </c>
      <c r="C1720" t="s">
        <v>3582</v>
      </c>
      <c r="D1720" t="s">
        <v>98</v>
      </c>
      <c r="E1720">
        <v>799.99</v>
      </c>
      <c r="F1720" t="s">
        <v>5817</v>
      </c>
      <c r="L1720" t="s">
        <v>8</v>
      </c>
      <c r="M1720">
        <v>0</v>
      </c>
      <c r="N1720">
        <v>0</v>
      </c>
      <c r="O1720">
        <v>0</v>
      </c>
      <c r="P1720">
        <v>0</v>
      </c>
    </row>
    <row r="1721" spans="1:16" x14ac:dyDescent="0.2">
      <c r="A1721" t="s">
        <v>5512</v>
      </c>
      <c r="B1721" t="s">
        <v>5513</v>
      </c>
      <c r="C1721" t="s">
        <v>3582</v>
      </c>
      <c r="D1721" t="s">
        <v>98</v>
      </c>
      <c r="E1721">
        <v>199.99</v>
      </c>
      <c r="F1721" t="s">
        <v>5817</v>
      </c>
      <c r="L1721" t="s">
        <v>8</v>
      </c>
      <c r="M1721">
        <v>0</v>
      </c>
      <c r="N1721">
        <v>0</v>
      </c>
      <c r="O1721">
        <v>0</v>
      </c>
      <c r="P1721">
        <v>0</v>
      </c>
    </row>
    <row r="1722" spans="1:16" x14ac:dyDescent="0.2">
      <c r="A1722" t="s">
        <v>5399</v>
      </c>
      <c r="B1722" t="s">
        <v>5400</v>
      </c>
      <c r="C1722" t="s">
        <v>3582</v>
      </c>
      <c r="D1722" t="s">
        <v>98</v>
      </c>
      <c r="E1722">
        <v>3999.99</v>
      </c>
      <c r="F1722" t="s">
        <v>5817</v>
      </c>
      <c r="L1722" t="s">
        <v>8</v>
      </c>
      <c r="M1722">
        <v>0</v>
      </c>
      <c r="N1722">
        <v>0</v>
      </c>
      <c r="O1722">
        <v>0</v>
      </c>
      <c r="P1722">
        <v>0</v>
      </c>
    </row>
    <row r="1723" spans="1:16" x14ac:dyDescent="0.2">
      <c r="A1723" t="s">
        <v>3587</v>
      </c>
      <c r="B1723" t="s">
        <v>3588</v>
      </c>
      <c r="C1723" t="s">
        <v>3582</v>
      </c>
      <c r="D1723" t="s">
        <v>98</v>
      </c>
      <c r="E1723">
        <v>179.99</v>
      </c>
      <c r="F1723" t="s">
        <v>5817</v>
      </c>
      <c r="L1723" t="s">
        <v>8</v>
      </c>
      <c r="N1723">
        <v>0</v>
      </c>
      <c r="O1723">
        <v>0</v>
      </c>
      <c r="P1723">
        <v>2</v>
      </c>
    </row>
    <row r="1724" spans="1:16" x14ac:dyDescent="0.2">
      <c r="A1724" t="s">
        <v>5413</v>
      </c>
      <c r="B1724" t="s">
        <v>5414</v>
      </c>
      <c r="C1724" t="s">
        <v>3582</v>
      </c>
      <c r="D1724" t="s">
        <v>98</v>
      </c>
      <c r="E1724">
        <v>69.989999999999995</v>
      </c>
      <c r="F1724" t="s">
        <v>5817</v>
      </c>
      <c r="L1724" t="s">
        <v>8</v>
      </c>
      <c r="M1724">
        <v>0</v>
      </c>
      <c r="N1724">
        <v>0</v>
      </c>
      <c r="O1724">
        <v>0</v>
      </c>
      <c r="P1724">
        <v>0</v>
      </c>
    </row>
    <row r="1725" spans="1:16" x14ac:dyDescent="0.2">
      <c r="A1725" t="s">
        <v>3589</v>
      </c>
      <c r="B1725" t="s">
        <v>3590</v>
      </c>
      <c r="C1725" t="s">
        <v>3582</v>
      </c>
      <c r="D1725" t="s">
        <v>98</v>
      </c>
      <c r="E1725">
        <v>179.99</v>
      </c>
      <c r="F1725" t="s">
        <v>5817</v>
      </c>
      <c r="L1725" t="s">
        <v>8</v>
      </c>
      <c r="M1725">
        <v>0</v>
      </c>
      <c r="N1725">
        <v>0</v>
      </c>
      <c r="O1725">
        <v>0.16666666666666663</v>
      </c>
      <c r="P1725">
        <v>0</v>
      </c>
    </row>
    <row r="1726" spans="1:16" x14ac:dyDescent="0.2">
      <c r="A1726" t="s">
        <v>5382</v>
      </c>
      <c r="B1726" t="s">
        <v>5383</v>
      </c>
      <c r="C1726" t="s">
        <v>3582</v>
      </c>
      <c r="D1726" t="s">
        <v>98</v>
      </c>
      <c r="E1726">
        <v>99.99</v>
      </c>
      <c r="F1726" t="s">
        <v>5817</v>
      </c>
      <c r="L1726" t="s">
        <v>8</v>
      </c>
      <c r="N1726">
        <v>0</v>
      </c>
      <c r="O1726">
        <v>0.33333333333333331</v>
      </c>
      <c r="P1726">
        <v>3</v>
      </c>
    </row>
    <row r="1727" spans="1:16" x14ac:dyDescent="0.2">
      <c r="A1727" t="s">
        <v>5393</v>
      </c>
      <c r="B1727" t="s">
        <v>5394</v>
      </c>
      <c r="C1727" t="s">
        <v>3582</v>
      </c>
      <c r="D1727" t="s">
        <v>98</v>
      </c>
      <c r="E1727">
        <v>109.99</v>
      </c>
      <c r="F1727" t="s">
        <v>5817</v>
      </c>
      <c r="L1727" t="s">
        <v>8</v>
      </c>
      <c r="M1727">
        <v>0</v>
      </c>
      <c r="N1727">
        <v>0</v>
      </c>
      <c r="O1727">
        <v>0</v>
      </c>
      <c r="P1727">
        <v>0</v>
      </c>
    </row>
    <row r="1728" spans="1:16" x14ac:dyDescent="0.2">
      <c r="A1728" t="s">
        <v>5419</v>
      </c>
      <c r="B1728" t="s">
        <v>5420</v>
      </c>
      <c r="C1728" t="s">
        <v>3582</v>
      </c>
      <c r="D1728" t="s">
        <v>98</v>
      </c>
      <c r="E1728">
        <v>99.99</v>
      </c>
      <c r="F1728" t="s">
        <v>5817</v>
      </c>
      <c r="L1728" t="s">
        <v>8</v>
      </c>
      <c r="M1728">
        <v>0</v>
      </c>
      <c r="N1728">
        <v>0</v>
      </c>
      <c r="O1728">
        <v>8.3333333333333329E-2</v>
      </c>
      <c r="P1728">
        <v>0</v>
      </c>
    </row>
    <row r="1729" spans="1:16" x14ac:dyDescent="0.2">
      <c r="A1729" t="s">
        <v>5441</v>
      </c>
      <c r="B1729" t="s">
        <v>5442</v>
      </c>
      <c r="C1729" t="s">
        <v>3582</v>
      </c>
      <c r="D1729" t="s">
        <v>98</v>
      </c>
      <c r="E1729">
        <v>99.99</v>
      </c>
      <c r="F1729" t="s">
        <v>5817</v>
      </c>
      <c r="L1729" t="s">
        <v>8</v>
      </c>
      <c r="M1729">
        <v>1</v>
      </c>
      <c r="N1729">
        <v>1</v>
      </c>
      <c r="O1729">
        <v>0.16666666666666663</v>
      </c>
      <c r="P1729">
        <v>1</v>
      </c>
    </row>
    <row r="1730" spans="1:16" x14ac:dyDescent="0.2">
      <c r="A1730" t="s">
        <v>5447</v>
      </c>
      <c r="B1730" t="s">
        <v>5448</v>
      </c>
      <c r="C1730" t="s">
        <v>3582</v>
      </c>
      <c r="D1730" t="s">
        <v>98</v>
      </c>
      <c r="E1730">
        <v>0</v>
      </c>
      <c r="F1730" t="s">
        <v>5817</v>
      </c>
      <c r="L1730" t="s">
        <v>8</v>
      </c>
      <c r="M1730">
        <v>0</v>
      </c>
      <c r="N1730">
        <v>0</v>
      </c>
      <c r="O1730">
        <v>0</v>
      </c>
      <c r="P1730">
        <v>0</v>
      </c>
    </row>
    <row r="1731" spans="1:16" x14ac:dyDescent="0.2">
      <c r="A1731" t="s">
        <v>3591</v>
      </c>
      <c r="B1731" t="s">
        <v>3592</v>
      </c>
      <c r="C1731" t="s">
        <v>3582</v>
      </c>
      <c r="D1731" t="s">
        <v>98</v>
      </c>
      <c r="E1731">
        <v>109.99</v>
      </c>
      <c r="F1731" t="s">
        <v>5817</v>
      </c>
      <c r="L1731" t="s">
        <v>8</v>
      </c>
      <c r="M1731">
        <v>0</v>
      </c>
      <c r="N1731">
        <v>0</v>
      </c>
      <c r="O1731">
        <v>0</v>
      </c>
      <c r="P1731">
        <v>0</v>
      </c>
    </row>
    <row r="1732" spans="1:16" x14ac:dyDescent="0.2">
      <c r="A1732" t="s">
        <v>3593</v>
      </c>
      <c r="B1732" t="s">
        <v>3594</v>
      </c>
      <c r="C1732" t="s">
        <v>3582</v>
      </c>
      <c r="D1732" t="s">
        <v>98</v>
      </c>
      <c r="E1732">
        <v>79.989999999999995</v>
      </c>
      <c r="F1732" t="s">
        <v>5817</v>
      </c>
      <c r="L1732" t="s">
        <v>8</v>
      </c>
      <c r="M1732">
        <v>0</v>
      </c>
      <c r="N1732">
        <v>0</v>
      </c>
      <c r="O1732">
        <v>0</v>
      </c>
      <c r="P1732">
        <v>0</v>
      </c>
    </row>
    <row r="1733" spans="1:16" x14ac:dyDescent="0.2">
      <c r="A1733" t="s">
        <v>5384</v>
      </c>
      <c r="B1733" t="s">
        <v>5385</v>
      </c>
      <c r="C1733" t="s">
        <v>3582</v>
      </c>
      <c r="D1733" t="s">
        <v>98</v>
      </c>
      <c r="E1733">
        <v>99.99</v>
      </c>
      <c r="F1733" t="s">
        <v>5817</v>
      </c>
      <c r="L1733" t="s">
        <v>8</v>
      </c>
      <c r="N1733">
        <v>0</v>
      </c>
      <c r="O1733">
        <v>0.16666666666666666</v>
      </c>
      <c r="P1733">
        <v>2</v>
      </c>
    </row>
    <row r="1734" spans="1:16" x14ac:dyDescent="0.2">
      <c r="A1734" t="s">
        <v>5497</v>
      </c>
      <c r="B1734" t="s">
        <v>5498</v>
      </c>
      <c r="C1734" t="s">
        <v>3582</v>
      </c>
      <c r="D1734" t="s">
        <v>98</v>
      </c>
      <c r="E1734">
        <v>99.99</v>
      </c>
      <c r="F1734" t="s">
        <v>5817</v>
      </c>
      <c r="L1734" t="s">
        <v>8</v>
      </c>
      <c r="M1734">
        <v>0</v>
      </c>
      <c r="N1734">
        <v>0</v>
      </c>
      <c r="O1734">
        <v>0</v>
      </c>
      <c r="P1734">
        <v>0</v>
      </c>
    </row>
    <row r="1735" spans="1:16" x14ac:dyDescent="0.2">
      <c r="A1735" t="s">
        <v>3585</v>
      </c>
      <c r="B1735" t="s">
        <v>3586</v>
      </c>
      <c r="C1735" t="s">
        <v>3582</v>
      </c>
      <c r="D1735" t="s">
        <v>98</v>
      </c>
      <c r="E1735">
        <v>149.99</v>
      </c>
      <c r="F1735" t="s">
        <v>5817</v>
      </c>
      <c r="L1735" t="s">
        <v>8</v>
      </c>
      <c r="N1735">
        <v>0</v>
      </c>
      <c r="O1735">
        <v>0</v>
      </c>
      <c r="P1735">
        <v>2</v>
      </c>
    </row>
    <row r="1736" spans="1:16" x14ac:dyDescent="0.2">
      <c r="A1736" t="s">
        <v>3583</v>
      </c>
      <c r="B1736" t="s">
        <v>3584</v>
      </c>
      <c r="C1736" t="s">
        <v>3582</v>
      </c>
      <c r="D1736" t="s">
        <v>98</v>
      </c>
      <c r="E1736">
        <v>199.99</v>
      </c>
      <c r="F1736" t="s">
        <v>5817</v>
      </c>
      <c r="L1736" t="s">
        <v>8</v>
      </c>
      <c r="N1736">
        <v>0</v>
      </c>
      <c r="O1736">
        <v>8.3333333333333329E-2</v>
      </c>
      <c r="P1736">
        <v>1</v>
      </c>
    </row>
    <row r="1737" spans="1:16" x14ac:dyDescent="0.2">
      <c r="A1737" t="s">
        <v>5425</v>
      </c>
      <c r="B1737" t="s">
        <v>5426</v>
      </c>
      <c r="C1737" t="s">
        <v>3582</v>
      </c>
      <c r="D1737" t="s">
        <v>98</v>
      </c>
      <c r="E1737">
        <v>59.99</v>
      </c>
      <c r="F1737" t="s">
        <v>5817</v>
      </c>
      <c r="L1737" t="s">
        <v>8</v>
      </c>
      <c r="M1737">
        <v>0</v>
      </c>
      <c r="N1737">
        <v>0</v>
      </c>
      <c r="O1737">
        <v>0</v>
      </c>
      <c r="P1737">
        <v>0</v>
      </c>
    </row>
    <row r="1738" spans="1:16" x14ac:dyDescent="0.2">
      <c r="A1738" t="s">
        <v>5431</v>
      </c>
      <c r="B1738" t="s">
        <v>5432</v>
      </c>
      <c r="C1738" t="s">
        <v>3582</v>
      </c>
      <c r="D1738" t="s">
        <v>98</v>
      </c>
      <c r="E1738">
        <v>39.99</v>
      </c>
      <c r="F1738" t="s">
        <v>5817</v>
      </c>
      <c r="L1738" t="s">
        <v>8</v>
      </c>
      <c r="M1738">
        <v>0</v>
      </c>
      <c r="N1738">
        <v>0</v>
      </c>
      <c r="O1738">
        <v>0</v>
      </c>
      <c r="P1738">
        <v>0</v>
      </c>
    </row>
    <row r="1739" spans="1:16" x14ac:dyDescent="0.2">
      <c r="A1739" t="s">
        <v>3899</v>
      </c>
      <c r="B1739" t="s">
        <v>3900</v>
      </c>
      <c r="C1739" t="s">
        <v>3876</v>
      </c>
      <c r="D1739" t="s">
        <v>105</v>
      </c>
      <c r="E1739">
        <v>69.989999999999995</v>
      </c>
      <c r="F1739" t="s">
        <v>5817</v>
      </c>
      <c r="G1739">
        <v>116</v>
      </c>
      <c r="H1739" t="s">
        <v>5845</v>
      </c>
      <c r="I1739">
        <v>112</v>
      </c>
      <c r="L1739" t="s">
        <v>73</v>
      </c>
      <c r="M1739">
        <v>1.5</v>
      </c>
      <c r="N1739">
        <v>46</v>
      </c>
      <c r="O1739">
        <v>3.1666666666666665</v>
      </c>
      <c r="P1739">
        <v>69</v>
      </c>
    </row>
    <row r="1740" spans="1:16" x14ac:dyDescent="0.2">
      <c r="A1740" t="s">
        <v>3901</v>
      </c>
      <c r="B1740" t="s">
        <v>5070</v>
      </c>
      <c r="C1740" t="s">
        <v>3876</v>
      </c>
      <c r="D1740" t="s">
        <v>105</v>
      </c>
      <c r="E1740">
        <v>69.989999999999995</v>
      </c>
      <c r="F1740" t="s">
        <v>5817</v>
      </c>
      <c r="G1740">
        <v>41</v>
      </c>
      <c r="I1740">
        <v>41</v>
      </c>
      <c r="L1740" t="s">
        <v>73</v>
      </c>
      <c r="M1740">
        <v>5.166666666666667</v>
      </c>
      <c r="N1740">
        <v>2.9032258064516125</v>
      </c>
      <c r="O1740">
        <v>7.083333333333333</v>
      </c>
      <c r="P1740">
        <v>15</v>
      </c>
    </row>
    <row r="1741" spans="1:16" x14ac:dyDescent="0.2">
      <c r="A1741" t="s">
        <v>3902</v>
      </c>
      <c r="B1741" t="s">
        <v>5078</v>
      </c>
      <c r="C1741" t="s">
        <v>3876</v>
      </c>
      <c r="D1741" t="s">
        <v>105</v>
      </c>
      <c r="E1741">
        <v>69.989999999999995</v>
      </c>
      <c r="F1741" t="s">
        <v>5817</v>
      </c>
      <c r="G1741">
        <v>36</v>
      </c>
      <c r="H1741" t="s">
        <v>5846</v>
      </c>
      <c r="I1741">
        <v>4</v>
      </c>
      <c r="L1741" t="s">
        <v>73</v>
      </c>
      <c r="M1741">
        <v>0</v>
      </c>
      <c r="N1741">
        <v>0</v>
      </c>
      <c r="O1741">
        <v>0</v>
      </c>
      <c r="P1741">
        <v>86</v>
      </c>
    </row>
    <row r="1742" spans="1:16" x14ac:dyDescent="0.2">
      <c r="A1742" t="s">
        <v>3903</v>
      </c>
      <c r="B1742" t="s">
        <v>5077</v>
      </c>
      <c r="C1742" t="s">
        <v>3876</v>
      </c>
      <c r="D1742" t="s">
        <v>105</v>
      </c>
      <c r="E1742">
        <v>69.989999999999995</v>
      </c>
      <c r="F1742" t="s">
        <v>5817</v>
      </c>
      <c r="G1742">
        <v>98</v>
      </c>
      <c r="H1742" t="s">
        <v>5835</v>
      </c>
      <c r="I1742">
        <v>93</v>
      </c>
      <c r="L1742" t="s">
        <v>73</v>
      </c>
      <c r="M1742">
        <v>0</v>
      </c>
      <c r="N1742">
        <v>0</v>
      </c>
      <c r="O1742">
        <v>0</v>
      </c>
      <c r="P1742">
        <v>93</v>
      </c>
    </row>
    <row r="1743" spans="1:16" x14ac:dyDescent="0.2">
      <c r="A1743" t="s">
        <v>3906</v>
      </c>
      <c r="B1743" t="s">
        <v>3907</v>
      </c>
      <c r="C1743" t="s">
        <v>3876</v>
      </c>
      <c r="D1743" t="s">
        <v>105</v>
      </c>
      <c r="E1743">
        <v>69.989999999999995</v>
      </c>
      <c r="F1743" t="s">
        <v>5817</v>
      </c>
      <c r="G1743">
        <v>16</v>
      </c>
      <c r="H1743" t="s">
        <v>5847</v>
      </c>
      <c r="L1743" t="s">
        <v>73</v>
      </c>
      <c r="M1743">
        <v>5.166666666666667</v>
      </c>
      <c r="N1743">
        <v>0</v>
      </c>
      <c r="O1743">
        <v>10.416666666666666</v>
      </c>
      <c r="P1743">
        <v>0</v>
      </c>
    </row>
    <row r="1744" spans="1:16" x14ac:dyDescent="0.2">
      <c r="A1744" t="s">
        <v>3897</v>
      </c>
      <c r="B1744" t="s">
        <v>3898</v>
      </c>
      <c r="C1744" t="s">
        <v>3876</v>
      </c>
      <c r="D1744" t="s">
        <v>98</v>
      </c>
      <c r="E1744">
        <v>59.99</v>
      </c>
      <c r="F1744" t="s">
        <v>5817</v>
      </c>
      <c r="L1744" t="s">
        <v>73</v>
      </c>
      <c r="M1744">
        <v>0</v>
      </c>
      <c r="N1744">
        <v>0</v>
      </c>
      <c r="O1744">
        <v>0</v>
      </c>
      <c r="P1744">
        <v>0</v>
      </c>
    </row>
    <row r="1745" spans="1:16" x14ac:dyDescent="0.2">
      <c r="A1745" t="s">
        <v>3891</v>
      </c>
      <c r="B1745" t="s">
        <v>3892</v>
      </c>
      <c r="C1745" t="s">
        <v>3876</v>
      </c>
      <c r="D1745" t="s">
        <v>98</v>
      </c>
      <c r="E1745">
        <v>59.99</v>
      </c>
      <c r="F1745" t="s">
        <v>5817</v>
      </c>
      <c r="L1745" t="s">
        <v>73</v>
      </c>
      <c r="M1745">
        <v>0</v>
      </c>
      <c r="N1745">
        <v>0</v>
      </c>
      <c r="O1745">
        <v>0</v>
      </c>
      <c r="P1745">
        <v>0</v>
      </c>
    </row>
    <row r="1746" spans="1:16" x14ac:dyDescent="0.2">
      <c r="A1746" t="s">
        <v>3893</v>
      </c>
      <c r="B1746" t="s">
        <v>3894</v>
      </c>
      <c r="C1746" t="s">
        <v>3876</v>
      </c>
      <c r="D1746" t="s">
        <v>98</v>
      </c>
      <c r="E1746">
        <v>59.99</v>
      </c>
      <c r="F1746" t="s">
        <v>5817</v>
      </c>
      <c r="L1746" t="s">
        <v>73</v>
      </c>
      <c r="M1746">
        <v>0</v>
      </c>
      <c r="N1746">
        <v>0</v>
      </c>
      <c r="O1746">
        <v>0</v>
      </c>
      <c r="P1746">
        <v>0</v>
      </c>
    </row>
    <row r="1747" spans="1:16" x14ac:dyDescent="0.2">
      <c r="A1747" t="s">
        <v>3895</v>
      </c>
      <c r="B1747" t="s">
        <v>3896</v>
      </c>
      <c r="C1747" t="s">
        <v>3876</v>
      </c>
      <c r="D1747" t="s">
        <v>98</v>
      </c>
      <c r="E1747">
        <v>59.99</v>
      </c>
      <c r="F1747" t="s">
        <v>5817</v>
      </c>
      <c r="L1747" t="s">
        <v>73</v>
      </c>
      <c r="M1747">
        <v>0</v>
      </c>
      <c r="N1747">
        <v>0</v>
      </c>
      <c r="O1747">
        <v>0</v>
      </c>
      <c r="P1747">
        <v>0</v>
      </c>
    </row>
    <row r="1748" spans="1:16" x14ac:dyDescent="0.2">
      <c r="A1748" t="s">
        <v>3908</v>
      </c>
      <c r="B1748" t="s">
        <v>3909</v>
      </c>
      <c r="C1748" t="s">
        <v>3876</v>
      </c>
      <c r="D1748" t="s">
        <v>105</v>
      </c>
      <c r="E1748">
        <v>69.989999999999995</v>
      </c>
      <c r="F1748" t="s">
        <v>5817</v>
      </c>
      <c r="G1748">
        <v>53</v>
      </c>
      <c r="H1748" t="s">
        <v>5845</v>
      </c>
      <c r="I1748">
        <v>49</v>
      </c>
      <c r="L1748" t="s">
        <v>73</v>
      </c>
      <c r="M1748">
        <v>0</v>
      </c>
      <c r="N1748">
        <v>0</v>
      </c>
      <c r="O1748">
        <v>0</v>
      </c>
      <c r="P1748">
        <v>84</v>
      </c>
    </row>
    <row r="1749" spans="1:16" x14ac:dyDescent="0.2">
      <c r="A1749" t="s">
        <v>3910</v>
      </c>
      <c r="B1749" t="s">
        <v>3911</v>
      </c>
      <c r="C1749" t="s">
        <v>3876</v>
      </c>
      <c r="D1749" t="s">
        <v>105</v>
      </c>
      <c r="E1749">
        <v>69.989999999999995</v>
      </c>
      <c r="F1749" t="s">
        <v>5817</v>
      </c>
      <c r="G1749">
        <v>129</v>
      </c>
      <c r="H1749" t="s">
        <v>5848</v>
      </c>
      <c r="I1749">
        <v>123</v>
      </c>
      <c r="L1749" t="s">
        <v>73</v>
      </c>
      <c r="M1749">
        <v>5.666666666666667</v>
      </c>
      <c r="N1749">
        <v>2.4705882352941173</v>
      </c>
      <c r="O1749">
        <v>6</v>
      </c>
      <c r="P1749">
        <v>14</v>
      </c>
    </row>
    <row r="1750" spans="1:16" x14ac:dyDescent="0.2">
      <c r="A1750" t="s">
        <v>3912</v>
      </c>
      <c r="B1750" t="s">
        <v>3913</v>
      </c>
      <c r="C1750" t="s">
        <v>3876</v>
      </c>
      <c r="D1750" t="s">
        <v>105</v>
      </c>
      <c r="E1750">
        <v>69.989999999999995</v>
      </c>
      <c r="F1750" t="s">
        <v>5817</v>
      </c>
      <c r="G1750">
        <v>102</v>
      </c>
      <c r="H1750" t="s">
        <v>5845</v>
      </c>
      <c r="I1750">
        <v>98</v>
      </c>
      <c r="L1750" t="s">
        <v>73</v>
      </c>
      <c r="M1750">
        <v>0</v>
      </c>
      <c r="N1750">
        <v>0</v>
      </c>
      <c r="O1750">
        <v>0</v>
      </c>
      <c r="P1750">
        <v>95</v>
      </c>
    </row>
    <row r="1751" spans="1:16" x14ac:dyDescent="0.2">
      <c r="A1751" t="s">
        <v>3901</v>
      </c>
      <c r="B1751" t="s">
        <v>5070</v>
      </c>
      <c r="C1751" t="s">
        <v>3876</v>
      </c>
      <c r="D1751" t="s">
        <v>105</v>
      </c>
      <c r="E1751">
        <v>69.989999999999995</v>
      </c>
      <c r="F1751" t="s">
        <v>5817</v>
      </c>
      <c r="G1751">
        <v>41</v>
      </c>
      <c r="I1751">
        <v>41</v>
      </c>
      <c r="L1751" t="s">
        <v>5818</v>
      </c>
      <c r="M1751">
        <v>12.333333333333334</v>
      </c>
      <c r="N1751">
        <v>3.7297297297297294</v>
      </c>
      <c r="O1751">
        <v>20.416666666666668</v>
      </c>
      <c r="P1751">
        <v>46</v>
      </c>
    </row>
    <row r="1752" spans="1:16" x14ac:dyDescent="0.2">
      <c r="A1752" t="s">
        <v>3906</v>
      </c>
      <c r="B1752" t="s">
        <v>3907</v>
      </c>
      <c r="C1752" t="s">
        <v>3876</v>
      </c>
      <c r="D1752" t="s">
        <v>105</v>
      </c>
      <c r="E1752">
        <v>69.989999999999995</v>
      </c>
      <c r="F1752" t="s">
        <v>5817</v>
      </c>
      <c r="G1752">
        <v>16</v>
      </c>
      <c r="H1752" t="s">
        <v>5847</v>
      </c>
      <c r="L1752" t="s">
        <v>5818</v>
      </c>
      <c r="M1752">
        <v>0</v>
      </c>
      <c r="N1752">
        <v>0</v>
      </c>
      <c r="P1752" t="s">
        <v>5819</v>
      </c>
    </row>
    <row r="1753" spans="1:16" x14ac:dyDescent="0.2">
      <c r="A1753" t="s">
        <v>3910</v>
      </c>
      <c r="B1753" t="s">
        <v>3911</v>
      </c>
      <c r="C1753" t="s">
        <v>3876</v>
      </c>
      <c r="D1753" t="s">
        <v>105</v>
      </c>
      <c r="E1753">
        <v>69.989999999999995</v>
      </c>
      <c r="F1753" t="s">
        <v>5817</v>
      </c>
      <c r="G1753">
        <v>129</v>
      </c>
      <c r="H1753" t="s">
        <v>5848</v>
      </c>
      <c r="I1753">
        <v>123</v>
      </c>
      <c r="L1753" t="s">
        <v>5818</v>
      </c>
      <c r="M1753">
        <v>9</v>
      </c>
      <c r="N1753">
        <v>4.666666666666667</v>
      </c>
      <c r="O1753">
        <v>14.166666666666668</v>
      </c>
      <c r="P1753">
        <v>42</v>
      </c>
    </row>
    <row r="1754" spans="1:16" x14ac:dyDescent="0.2">
      <c r="A1754" t="s">
        <v>3899</v>
      </c>
      <c r="B1754" t="s">
        <v>3900</v>
      </c>
      <c r="C1754" t="s">
        <v>3876</v>
      </c>
      <c r="D1754" t="s">
        <v>105</v>
      </c>
      <c r="E1754">
        <v>69.989999999999995</v>
      </c>
      <c r="F1754" t="s">
        <v>5817</v>
      </c>
      <c r="G1754">
        <v>116</v>
      </c>
      <c r="H1754" t="s">
        <v>5845</v>
      </c>
      <c r="I1754">
        <v>112</v>
      </c>
      <c r="L1754" t="s">
        <v>5818</v>
      </c>
      <c r="M1754">
        <v>4.1666666666666661</v>
      </c>
      <c r="N1754">
        <v>29.040000000000003</v>
      </c>
      <c r="O1754">
        <v>5.8333333333333339</v>
      </c>
      <c r="P1754">
        <v>121</v>
      </c>
    </row>
    <row r="1755" spans="1:16" x14ac:dyDescent="0.2">
      <c r="A1755" t="s">
        <v>3891</v>
      </c>
      <c r="B1755" t="s">
        <v>3892</v>
      </c>
      <c r="C1755" t="s">
        <v>3876</v>
      </c>
      <c r="D1755" t="s">
        <v>98</v>
      </c>
      <c r="E1755">
        <v>59.99</v>
      </c>
      <c r="F1755" t="s">
        <v>5817</v>
      </c>
      <c r="L1755" t="s">
        <v>5818</v>
      </c>
      <c r="M1755">
        <v>0</v>
      </c>
      <c r="N1755">
        <v>0</v>
      </c>
      <c r="P1755">
        <v>1</v>
      </c>
    </row>
    <row r="1756" spans="1:16" x14ac:dyDescent="0.2">
      <c r="A1756" t="s">
        <v>3893</v>
      </c>
      <c r="B1756" t="s">
        <v>3894</v>
      </c>
      <c r="C1756" t="s">
        <v>3876</v>
      </c>
      <c r="D1756" t="s">
        <v>98</v>
      </c>
      <c r="E1756">
        <v>59.99</v>
      </c>
      <c r="F1756" t="s">
        <v>5817</v>
      </c>
      <c r="L1756" t="s">
        <v>5818</v>
      </c>
      <c r="M1756">
        <v>0</v>
      </c>
      <c r="N1756">
        <v>0</v>
      </c>
      <c r="O1756">
        <v>0</v>
      </c>
      <c r="P1756" t="s">
        <v>5819</v>
      </c>
    </row>
    <row r="1757" spans="1:16" x14ac:dyDescent="0.2">
      <c r="A1757" t="s">
        <v>3895</v>
      </c>
      <c r="B1757" t="s">
        <v>3896</v>
      </c>
      <c r="C1757" t="s">
        <v>3876</v>
      </c>
      <c r="D1757" t="s">
        <v>98</v>
      </c>
      <c r="E1757">
        <v>59.99</v>
      </c>
      <c r="F1757" t="s">
        <v>5817</v>
      </c>
      <c r="L1757" t="s">
        <v>5818</v>
      </c>
      <c r="M1757">
        <v>0</v>
      </c>
      <c r="N1757">
        <v>0</v>
      </c>
      <c r="P1757">
        <v>1</v>
      </c>
    </row>
    <row r="1758" spans="1:16" x14ac:dyDescent="0.2">
      <c r="A1758" t="s">
        <v>3897</v>
      </c>
      <c r="B1758" t="s">
        <v>3898</v>
      </c>
      <c r="C1758" t="s">
        <v>3876</v>
      </c>
      <c r="D1758" t="s">
        <v>98</v>
      </c>
      <c r="E1758">
        <v>59.99</v>
      </c>
      <c r="F1758" t="s">
        <v>5817</v>
      </c>
      <c r="L1758" t="s">
        <v>5818</v>
      </c>
      <c r="M1758">
        <v>0</v>
      </c>
      <c r="N1758">
        <v>0</v>
      </c>
      <c r="O1758">
        <v>0</v>
      </c>
      <c r="P1758" t="s">
        <v>5824</v>
      </c>
    </row>
    <row r="1759" spans="1:16" x14ac:dyDescent="0.2">
      <c r="A1759" t="s">
        <v>3893</v>
      </c>
      <c r="B1759" t="s">
        <v>3894</v>
      </c>
      <c r="C1759" t="s">
        <v>3876</v>
      </c>
      <c r="D1759" t="s">
        <v>98</v>
      </c>
      <c r="E1759">
        <v>59.99</v>
      </c>
      <c r="F1759" t="s">
        <v>5817</v>
      </c>
      <c r="L1759" t="s">
        <v>5085</v>
      </c>
      <c r="M1759">
        <v>0</v>
      </c>
      <c r="N1759">
        <v>0</v>
      </c>
      <c r="O1759">
        <v>0</v>
      </c>
      <c r="P1759" t="s">
        <v>5819</v>
      </c>
    </row>
    <row r="1760" spans="1:16" x14ac:dyDescent="0.2">
      <c r="A1760" t="s">
        <v>3891</v>
      </c>
      <c r="B1760" t="s">
        <v>3892</v>
      </c>
      <c r="C1760" t="s">
        <v>3876</v>
      </c>
      <c r="D1760" t="s">
        <v>98</v>
      </c>
      <c r="E1760">
        <v>59.99</v>
      </c>
      <c r="F1760" t="s">
        <v>5817</v>
      </c>
      <c r="L1760" t="s">
        <v>5085</v>
      </c>
      <c r="M1760">
        <v>0</v>
      </c>
      <c r="N1760">
        <v>0</v>
      </c>
      <c r="O1760">
        <v>0</v>
      </c>
      <c r="P1760" t="s">
        <v>5819</v>
      </c>
    </row>
    <row r="1761" spans="1:16" x14ac:dyDescent="0.2">
      <c r="A1761" t="s">
        <v>3895</v>
      </c>
      <c r="B1761" t="s">
        <v>3896</v>
      </c>
      <c r="C1761" t="s">
        <v>3876</v>
      </c>
      <c r="D1761" t="s">
        <v>98</v>
      </c>
      <c r="E1761">
        <v>59.99</v>
      </c>
      <c r="F1761" t="s">
        <v>5817</v>
      </c>
      <c r="L1761" t="s">
        <v>5085</v>
      </c>
      <c r="M1761">
        <v>0</v>
      </c>
      <c r="N1761">
        <v>0</v>
      </c>
      <c r="O1761">
        <v>8.3333333333333329E-2</v>
      </c>
      <c r="P1761" t="s">
        <v>5819</v>
      </c>
    </row>
    <row r="1762" spans="1:16" x14ac:dyDescent="0.2">
      <c r="A1762" t="s">
        <v>3899</v>
      </c>
      <c r="B1762" t="s">
        <v>3900</v>
      </c>
      <c r="C1762" t="s">
        <v>3876</v>
      </c>
      <c r="D1762" t="s">
        <v>105</v>
      </c>
      <c r="E1762">
        <v>69.989999999999995</v>
      </c>
      <c r="F1762" t="s">
        <v>5817</v>
      </c>
      <c r="G1762">
        <v>116</v>
      </c>
      <c r="H1762" t="s">
        <v>5845</v>
      </c>
      <c r="I1762">
        <v>112</v>
      </c>
      <c r="L1762" t="s">
        <v>5085</v>
      </c>
      <c r="M1762">
        <v>0</v>
      </c>
      <c r="N1762">
        <v>0</v>
      </c>
      <c r="O1762">
        <v>0.75</v>
      </c>
      <c r="P1762" t="s">
        <v>5819</v>
      </c>
    </row>
    <row r="1763" spans="1:16" x14ac:dyDescent="0.2">
      <c r="A1763" t="s">
        <v>3910</v>
      </c>
      <c r="B1763" t="s">
        <v>3911</v>
      </c>
      <c r="C1763" t="s">
        <v>3876</v>
      </c>
      <c r="D1763" t="s">
        <v>105</v>
      </c>
      <c r="E1763">
        <v>69.989999999999995</v>
      </c>
      <c r="F1763" t="s">
        <v>5817</v>
      </c>
      <c r="G1763">
        <v>129</v>
      </c>
      <c r="H1763" t="s">
        <v>5848</v>
      </c>
      <c r="I1763">
        <v>123</v>
      </c>
      <c r="L1763" t="s">
        <v>5085</v>
      </c>
      <c r="M1763">
        <v>0</v>
      </c>
      <c r="N1763">
        <v>0</v>
      </c>
      <c r="O1763">
        <v>1.6666666666666667</v>
      </c>
      <c r="P1763">
        <v>11</v>
      </c>
    </row>
    <row r="1764" spans="1:16" x14ac:dyDescent="0.2">
      <c r="A1764" t="s">
        <v>3906</v>
      </c>
      <c r="B1764" t="s">
        <v>3907</v>
      </c>
      <c r="C1764" t="s">
        <v>3876</v>
      </c>
      <c r="D1764" t="s">
        <v>105</v>
      </c>
      <c r="E1764">
        <v>69.989999999999995</v>
      </c>
      <c r="F1764" t="s">
        <v>5817</v>
      </c>
      <c r="G1764">
        <v>16</v>
      </c>
      <c r="H1764" t="s">
        <v>5847</v>
      </c>
      <c r="L1764" t="s">
        <v>5085</v>
      </c>
      <c r="M1764">
        <v>3.5</v>
      </c>
      <c r="N1764">
        <v>8.8571428571428577</v>
      </c>
      <c r="O1764">
        <v>5.666666666666667</v>
      </c>
      <c r="P1764">
        <v>31</v>
      </c>
    </row>
    <row r="1765" spans="1:16" x14ac:dyDescent="0.2">
      <c r="A1765" t="s">
        <v>3903</v>
      </c>
      <c r="B1765" t="s">
        <v>5077</v>
      </c>
      <c r="C1765" t="s">
        <v>3876</v>
      </c>
      <c r="D1765" t="s">
        <v>105</v>
      </c>
      <c r="E1765">
        <v>69.989999999999995</v>
      </c>
      <c r="F1765" t="s">
        <v>5817</v>
      </c>
      <c r="G1765">
        <v>98</v>
      </c>
      <c r="H1765" t="s">
        <v>5835</v>
      </c>
      <c r="I1765">
        <v>93</v>
      </c>
      <c r="L1765" t="s">
        <v>5085</v>
      </c>
      <c r="M1765">
        <v>0</v>
      </c>
      <c r="N1765">
        <v>0</v>
      </c>
      <c r="O1765">
        <v>0</v>
      </c>
      <c r="P1765" t="s">
        <v>5819</v>
      </c>
    </row>
    <row r="1766" spans="1:16" x14ac:dyDescent="0.2">
      <c r="A1766" t="s">
        <v>3902</v>
      </c>
      <c r="B1766" t="s">
        <v>5078</v>
      </c>
      <c r="C1766" t="s">
        <v>3876</v>
      </c>
      <c r="D1766" t="s">
        <v>105</v>
      </c>
      <c r="E1766">
        <v>69.989999999999995</v>
      </c>
      <c r="F1766" t="s">
        <v>5817</v>
      </c>
      <c r="G1766">
        <v>36</v>
      </c>
      <c r="H1766" t="s">
        <v>5846</v>
      </c>
      <c r="I1766">
        <v>4</v>
      </c>
      <c r="L1766" t="s">
        <v>5085</v>
      </c>
      <c r="M1766">
        <v>0</v>
      </c>
      <c r="N1766">
        <v>0</v>
      </c>
      <c r="O1766">
        <v>0</v>
      </c>
      <c r="P1766">
        <v>1</v>
      </c>
    </row>
    <row r="1767" spans="1:16" x14ac:dyDescent="0.2">
      <c r="A1767" t="s">
        <v>3897</v>
      </c>
      <c r="B1767" t="s">
        <v>3898</v>
      </c>
      <c r="C1767" t="s">
        <v>3876</v>
      </c>
      <c r="D1767" t="s">
        <v>98</v>
      </c>
      <c r="E1767">
        <v>59.99</v>
      </c>
      <c r="F1767" t="s">
        <v>5817</v>
      </c>
      <c r="L1767" t="s">
        <v>5085</v>
      </c>
      <c r="M1767">
        <v>0</v>
      </c>
      <c r="N1767">
        <v>0</v>
      </c>
      <c r="O1767">
        <v>0</v>
      </c>
      <c r="P1767" t="s">
        <v>5819</v>
      </c>
    </row>
    <row r="1768" spans="1:16" x14ac:dyDescent="0.2">
      <c r="A1768" t="s">
        <v>3912</v>
      </c>
      <c r="B1768" t="s">
        <v>3913</v>
      </c>
      <c r="C1768" t="s">
        <v>3876</v>
      </c>
      <c r="D1768" t="s">
        <v>105</v>
      </c>
      <c r="E1768">
        <v>69.989999999999995</v>
      </c>
      <c r="F1768" t="s">
        <v>5817</v>
      </c>
      <c r="G1768">
        <v>102</v>
      </c>
      <c r="H1768" t="s">
        <v>5845</v>
      </c>
      <c r="I1768">
        <v>98</v>
      </c>
      <c r="L1768" t="s">
        <v>5085</v>
      </c>
      <c r="M1768">
        <v>0</v>
      </c>
      <c r="N1768">
        <v>0</v>
      </c>
      <c r="O1768">
        <v>0</v>
      </c>
      <c r="P1768">
        <v>1</v>
      </c>
    </row>
    <row r="1769" spans="1:16" x14ac:dyDescent="0.2">
      <c r="A1769" t="s">
        <v>3901</v>
      </c>
      <c r="B1769" t="s">
        <v>5070</v>
      </c>
      <c r="C1769" t="s">
        <v>3876</v>
      </c>
      <c r="D1769" t="s">
        <v>105</v>
      </c>
      <c r="E1769">
        <v>69.989999999999995</v>
      </c>
      <c r="F1769" t="s">
        <v>5817</v>
      </c>
      <c r="G1769">
        <v>41</v>
      </c>
      <c r="I1769">
        <v>41</v>
      </c>
      <c r="L1769" t="s">
        <v>5085</v>
      </c>
      <c r="M1769">
        <v>0</v>
      </c>
      <c r="N1769">
        <v>0</v>
      </c>
      <c r="O1769">
        <v>1.3333333333333333</v>
      </c>
      <c r="P1769">
        <v>8</v>
      </c>
    </row>
    <row r="1770" spans="1:16" x14ac:dyDescent="0.2">
      <c r="A1770" t="s">
        <v>3906</v>
      </c>
      <c r="B1770" t="s">
        <v>3907</v>
      </c>
      <c r="C1770" t="s">
        <v>3876</v>
      </c>
      <c r="D1770" t="s">
        <v>105</v>
      </c>
      <c r="E1770">
        <v>69.989999999999995</v>
      </c>
      <c r="F1770" t="s">
        <v>5817</v>
      </c>
      <c r="G1770">
        <v>16</v>
      </c>
      <c r="H1770" t="s">
        <v>5847</v>
      </c>
      <c r="L1770" t="s">
        <v>5065</v>
      </c>
      <c r="M1770">
        <v>5</v>
      </c>
      <c r="N1770">
        <v>2.8</v>
      </c>
      <c r="O1770">
        <v>18.272727272727273</v>
      </c>
      <c r="P1770">
        <v>14</v>
      </c>
    </row>
    <row r="1771" spans="1:16" x14ac:dyDescent="0.2">
      <c r="A1771" t="s">
        <v>3908</v>
      </c>
      <c r="B1771" t="s">
        <v>3909</v>
      </c>
      <c r="C1771" t="s">
        <v>3876</v>
      </c>
      <c r="D1771" t="s">
        <v>105</v>
      </c>
      <c r="E1771">
        <v>69.989999999999995</v>
      </c>
      <c r="F1771" t="s">
        <v>5817</v>
      </c>
      <c r="G1771">
        <v>53</v>
      </c>
      <c r="H1771" t="s">
        <v>5845</v>
      </c>
      <c r="I1771">
        <v>49</v>
      </c>
      <c r="L1771" t="s">
        <v>5065</v>
      </c>
      <c r="N1771">
        <v>0</v>
      </c>
      <c r="P1771">
        <v>89</v>
      </c>
    </row>
    <row r="1772" spans="1:16" x14ac:dyDescent="0.2">
      <c r="A1772" t="s">
        <v>3910</v>
      </c>
      <c r="B1772" t="s">
        <v>3911</v>
      </c>
      <c r="C1772" t="s">
        <v>3876</v>
      </c>
      <c r="D1772" t="s">
        <v>105</v>
      </c>
      <c r="E1772">
        <v>69.989999999999995</v>
      </c>
      <c r="F1772" t="s">
        <v>5817</v>
      </c>
      <c r="G1772">
        <v>129</v>
      </c>
      <c r="H1772" t="s">
        <v>5848</v>
      </c>
      <c r="I1772">
        <v>123</v>
      </c>
      <c r="L1772" t="s">
        <v>5065</v>
      </c>
      <c r="M1772">
        <v>3.6</v>
      </c>
      <c r="N1772">
        <v>8.3333333333333339</v>
      </c>
      <c r="O1772">
        <v>4.0909090909090908</v>
      </c>
      <c r="P1772">
        <v>30</v>
      </c>
    </row>
    <row r="1773" spans="1:16" x14ac:dyDescent="0.2">
      <c r="A1773" t="s">
        <v>3910</v>
      </c>
      <c r="B1773" t="s">
        <v>3911</v>
      </c>
      <c r="C1773" t="s">
        <v>3876</v>
      </c>
      <c r="D1773" t="s">
        <v>105</v>
      </c>
      <c r="E1773">
        <v>69.989999999999995</v>
      </c>
      <c r="F1773" t="s">
        <v>5817</v>
      </c>
      <c r="G1773">
        <v>129</v>
      </c>
      <c r="H1773" t="s">
        <v>5848</v>
      </c>
      <c r="I1773">
        <v>123</v>
      </c>
      <c r="L1773" t="s">
        <v>5065</v>
      </c>
      <c r="M1773">
        <v>3.6</v>
      </c>
      <c r="N1773">
        <v>8.3333333333333339</v>
      </c>
      <c r="O1773">
        <v>4.0909090909090908</v>
      </c>
      <c r="P1773">
        <v>30</v>
      </c>
    </row>
    <row r="1774" spans="1:16" x14ac:dyDescent="0.2">
      <c r="A1774" t="s">
        <v>3912</v>
      </c>
      <c r="B1774" t="s">
        <v>3913</v>
      </c>
      <c r="C1774" t="s">
        <v>3876</v>
      </c>
      <c r="D1774" t="s">
        <v>105</v>
      </c>
      <c r="E1774">
        <v>69.989999999999995</v>
      </c>
      <c r="F1774" t="s">
        <v>5817</v>
      </c>
      <c r="G1774">
        <v>102</v>
      </c>
      <c r="H1774" t="s">
        <v>5845</v>
      </c>
      <c r="I1774">
        <v>98</v>
      </c>
      <c r="L1774" t="s">
        <v>5065</v>
      </c>
      <c r="N1774">
        <v>0</v>
      </c>
      <c r="P1774">
        <v>63</v>
      </c>
    </row>
    <row r="1775" spans="1:16" x14ac:dyDescent="0.2">
      <c r="A1775" t="s">
        <v>3903</v>
      </c>
      <c r="B1775" t="s">
        <v>5077</v>
      </c>
      <c r="C1775" t="s">
        <v>3876</v>
      </c>
      <c r="D1775" t="s">
        <v>105</v>
      </c>
      <c r="E1775">
        <v>69.989999999999995</v>
      </c>
      <c r="F1775" t="s">
        <v>5817</v>
      </c>
      <c r="G1775">
        <v>98</v>
      </c>
      <c r="H1775" t="s">
        <v>5835</v>
      </c>
      <c r="I1775">
        <v>93</v>
      </c>
      <c r="L1775" t="s">
        <v>5065</v>
      </c>
      <c r="N1775">
        <v>0</v>
      </c>
      <c r="P1775">
        <v>63</v>
      </c>
    </row>
    <row r="1776" spans="1:16" x14ac:dyDescent="0.2">
      <c r="A1776" t="s">
        <v>3891</v>
      </c>
      <c r="B1776" t="s">
        <v>3892</v>
      </c>
      <c r="C1776" t="s">
        <v>3876</v>
      </c>
      <c r="D1776" t="s">
        <v>98</v>
      </c>
      <c r="E1776">
        <v>59.99</v>
      </c>
      <c r="F1776" t="s">
        <v>5817</v>
      </c>
      <c r="L1776" t="s">
        <v>5065</v>
      </c>
      <c r="M1776">
        <v>0</v>
      </c>
      <c r="N1776">
        <v>0</v>
      </c>
      <c r="P1776">
        <v>0</v>
      </c>
    </row>
    <row r="1777" spans="1:16" x14ac:dyDescent="0.2">
      <c r="A1777" t="s">
        <v>3893</v>
      </c>
      <c r="B1777" t="s">
        <v>3894</v>
      </c>
      <c r="C1777" t="s">
        <v>3876</v>
      </c>
      <c r="D1777" t="s">
        <v>98</v>
      </c>
      <c r="E1777">
        <v>59.99</v>
      </c>
      <c r="F1777" t="s">
        <v>5817</v>
      </c>
      <c r="L1777" t="s">
        <v>5065</v>
      </c>
      <c r="M1777">
        <v>0</v>
      </c>
      <c r="N1777">
        <v>0</v>
      </c>
      <c r="P1777">
        <v>0</v>
      </c>
    </row>
    <row r="1778" spans="1:16" x14ac:dyDescent="0.2">
      <c r="A1778" t="s">
        <v>3895</v>
      </c>
      <c r="B1778" t="s">
        <v>3896</v>
      </c>
      <c r="C1778" t="s">
        <v>3876</v>
      </c>
      <c r="D1778" t="s">
        <v>98</v>
      </c>
      <c r="E1778">
        <v>59.99</v>
      </c>
      <c r="F1778" t="s">
        <v>5817</v>
      </c>
      <c r="L1778" t="s">
        <v>5065</v>
      </c>
      <c r="M1778">
        <v>0</v>
      </c>
      <c r="N1778">
        <v>0</v>
      </c>
      <c r="P1778">
        <v>0</v>
      </c>
    </row>
    <row r="1779" spans="1:16" x14ac:dyDescent="0.2">
      <c r="A1779" t="s">
        <v>3897</v>
      </c>
      <c r="B1779" t="s">
        <v>3898</v>
      </c>
      <c r="C1779" t="s">
        <v>3876</v>
      </c>
      <c r="D1779" t="s">
        <v>98</v>
      </c>
      <c r="E1779">
        <v>59.99</v>
      </c>
      <c r="F1779" t="s">
        <v>5817</v>
      </c>
      <c r="L1779" t="s">
        <v>5065</v>
      </c>
      <c r="M1779">
        <v>0</v>
      </c>
      <c r="N1779">
        <v>0</v>
      </c>
      <c r="O1779">
        <v>0.83333333333333337</v>
      </c>
      <c r="P1779">
        <v>0</v>
      </c>
    </row>
    <row r="1780" spans="1:16" x14ac:dyDescent="0.2">
      <c r="A1780" t="s">
        <v>3899</v>
      </c>
      <c r="B1780" t="s">
        <v>3900</v>
      </c>
      <c r="C1780" t="s">
        <v>3876</v>
      </c>
      <c r="D1780" t="s">
        <v>105</v>
      </c>
      <c r="E1780">
        <v>69.989999999999995</v>
      </c>
      <c r="F1780" t="s">
        <v>5817</v>
      </c>
      <c r="G1780">
        <v>116</v>
      </c>
      <c r="H1780" t="s">
        <v>5845</v>
      </c>
      <c r="I1780">
        <v>112</v>
      </c>
      <c r="L1780" t="s">
        <v>5065</v>
      </c>
      <c r="M1780">
        <v>2</v>
      </c>
      <c r="N1780">
        <v>17.5</v>
      </c>
      <c r="O1780">
        <v>2.1818181818181817</v>
      </c>
      <c r="P1780">
        <v>35</v>
      </c>
    </row>
    <row r="1781" spans="1:16" x14ac:dyDescent="0.2">
      <c r="A1781" t="s">
        <v>3901</v>
      </c>
      <c r="B1781" t="s">
        <v>5070</v>
      </c>
      <c r="C1781" t="s">
        <v>3876</v>
      </c>
      <c r="D1781" t="s">
        <v>105</v>
      </c>
      <c r="E1781">
        <v>69.989999999999995</v>
      </c>
      <c r="F1781" t="s">
        <v>5817</v>
      </c>
      <c r="G1781">
        <v>41</v>
      </c>
      <c r="I1781">
        <v>41</v>
      </c>
      <c r="L1781" t="s">
        <v>5065</v>
      </c>
      <c r="M1781">
        <v>0</v>
      </c>
      <c r="N1781">
        <v>0</v>
      </c>
      <c r="O1781">
        <v>1</v>
      </c>
      <c r="P1781">
        <v>0</v>
      </c>
    </row>
    <row r="1782" spans="1:16" x14ac:dyDescent="0.2">
      <c r="A1782" t="s">
        <v>3902</v>
      </c>
      <c r="B1782" t="s">
        <v>5078</v>
      </c>
      <c r="C1782" t="s">
        <v>3876</v>
      </c>
      <c r="D1782" t="s">
        <v>105</v>
      </c>
      <c r="E1782">
        <v>69.989999999999995</v>
      </c>
      <c r="F1782" t="s">
        <v>5817</v>
      </c>
      <c r="G1782">
        <v>36</v>
      </c>
      <c r="H1782" t="s">
        <v>5846</v>
      </c>
      <c r="I1782">
        <v>4</v>
      </c>
      <c r="L1782" t="s">
        <v>5065</v>
      </c>
      <c r="N1782">
        <v>0</v>
      </c>
      <c r="P1782">
        <v>115</v>
      </c>
    </row>
    <row r="1783" spans="1:16" x14ac:dyDescent="0.2">
      <c r="A1783" t="s">
        <v>3891</v>
      </c>
      <c r="B1783" t="s">
        <v>3892</v>
      </c>
      <c r="C1783" t="s">
        <v>3876</v>
      </c>
      <c r="D1783" t="s">
        <v>98</v>
      </c>
      <c r="E1783">
        <v>59.99</v>
      </c>
      <c r="F1783" t="s">
        <v>5817</v>
      </c>
      <c r="L1783" t="s">
        <v>8</v>
      </c>
      <c r="M1783">
        <v>0</v>
      </c>
      <c r="N1783">
        <v>0</v>
      </c>
      <c r="O1783">
        <v>0</v>
      </c>
      <c r="P1783">
        <v>0</v>
      </c>
    </row>
    <row r="1784" spans="1:16" x14ac:dyDescent="0.2">
      <c r="A1784" t="s">
        <v>3893</v>
      </c>
      <c r="B1784" t="s">
        <v>3894</v>
      </c>
      <c r="C1784" t="s">
        <v>3876</v>
      </c>
      <c r="D1784" t="s">
        <v>98</v>
      </c>
      <c r="E1784">
        <v>59.99</v>
      </c>
      <c r="F1784" t="s">
        <v>5817</v>
      </c>
      <c r="L1784" t="s">
        <v>8</v>
      </c>
      <c r="M1784">
        <v>0</v>
      </c>
      <c r="N1784">
        <v>0</v>
      </c>
      <c r="O1784">
        <v>0</v>
      </c>
      <c r="P1784">
        <v>0</v>
      </c>
    </row>
    <row r="1785" spans="1:16" x14ac:dyDescent="0.2">
      <c r="A1785" t="s">
        <v>3895</v>
      </c>
      <c r="B1785" t="s">
        <v>3896</v>
      </c>
      <c r="C1785" t="s">
        <v>3876</v>
      </c>
      <c r="D1785" t="s">
        <v>98</v>
      </c>
      <c r="E1785">
        <v>59.99</v>
      </c>
      <c r="F1785" t="s">
        <v>5817</v>
      </c>
      <c r="L1785" t="s">
        <v>8</v>
      </c>
      <c r="M1785">
        <v>0</v>
      </c>
      <c r="N1785">
        <v>0</v>
      </c>
      <c r="O1785">
        <v>0</v>
      </c>
      <c r="P1785">
        <v>0</v>
      </c>
    </row>
    <row r="1786" spans="1:16" x14ac:dyDescent="0.2">
      <c r="A1786" t="s">
        <v>3897</v>
      </c>
      <c r="B1786" t="s">
        <v>3898</v>
      </c>
      <c r="C1786" t="s">
        <v>3876</v>
      </c>
      <c r="D1786" t="s">
        <v>98</v>
      </c>
      <c r="E1786">
        <v>59.99</v>
      </c>
      <c r="F1786" t="s">
        <v>5817</v>
      </c>
      <c r="L1786" t="s">
        <v>8</v>
      </c>
      <c r="M1786">
        <v>0</v>
      </c>
      <c r="N1786">
        <v>0</v>
      </c>
      <c r="O1786">
        <v>0</v>
      </c>
      <c r="P1786">
        <v>0</v>
      </c>
    </row>
    <row r="1787" spans="1:16" x14ac:dyDescent="0.2">
      <c r="A1787" t="s">
        <v>3922</v>
      </c>
      <c r="B1787" t="s">
        <v>3923</v>
      </c>
      <c r="C1787" t="s">
        <v>3921</v>
      </c>
      <c r="D1787" t="s">
        <v>98</v>
      </c>
      <c r="E1787">
        <v>34.99</v>
      </c>
      <c r="F1787" t="s">
        <v>5817</v>
      </c>
      <c r="L1787" t="s">
        <v>73</v>
      </c>
      <c r="M1787">
        <v>0</v>
      </c>
      <c r="N1787">
        <v>0</v>
      </c>
      <c r="O1787">
        <v>0</v>
      </c>
      <c r="P1787">
        <v>0</v>
      </c>
    </row>
    <row r="1788" spans="1:16" x14ac:dyDescent="0.2">
      <c r="A1788" t="s">
        <v>5708</v>
      </c>
      <c r="B1788" t="s">
        <v>5709</v>
      </c>
      <c r="C1788" t="s">
        <v>3926</v>
      </c>
      <c r="D1788" t="s">
        <v>98</v>
      </c>
      <c r="E1788">
        <v>299.99</v>
      </c>
      <c r="F1788" t="s">
        <v>5817</v>
      </c>
      <c r="L1788" t="s">
        <v>5065</v>
      </c>
      <c r="M1788">
        <v>0</v>
      </c>
      <c r="N1788">
        <v>0</v>
      </c>
      <c r="P1788">
        <v>0</v>
      </c>
    </row>
    <row r="1789" spans="1:16" x14ac:dyDescent="0.2">
      <c r="A1789" t="s">
        <v>5706</v>
      </c>
      <c r="B1789" t="s">
        <v>5707</v>
      </c>
      <c r="C1789" t="s">
        <v>3926</v>
      </c>
      <c r="D1789" t="s">
        <v>98</v>
      </c>
      <c r="E1789">
        <v>99.99</v>
      </c>
      <c r="F1789" t="s">
        <v>5817</v>
      </c>
      <c r="L1789" t="s">
        <v>5065</v>
      </c>
      <c r="M1789">
        <v>0</v>
      </c>
      <c r="N1789">
        <v>0</v>
      </c>
      <c r="O1789">
        <v>1</v>
      </c>
      <c r="P1789">
        <v>0</v>
      </c>
    </row>
    <row r="1790" spans="1:16" x14ac:dyDescent="0.2">
      <c r="A1790" t="s">
        <v>5704</v>
      </c>
      <c r="B1790" t="s">
        <v>5705</v>
      </c>
      <c r="C1790" t="s">
        <v>3926</v>
      </c>
      <c r="D1790" t="s">
        <v>98</v>
      </c>
      <c r="E1790">
        <v>99.99</v>
      </c>
      <c r="F1790" t="s">
        <v>5817</v>
      </c>
      <c r="L1790" t="s">
        <v>5065</v>
      </c>
      <c r="M1790">
        <v>0</v>
      </c>
      <c r="N1790">
        <v>0</v>
      </c>
      <c r="P1790">
        <v>0</v>
      </c>
    </row>
    <row r="1791" spans="1:16" x14ac:dyDescent="0.2">
      <c r="A1791" t="s">
        <v>3927</v>
      </c>
      <c r="B1791" t="s">
        <v>3928</v>
      </c>
      <c r="C1791" t="s">
        <v>3926</v>
      </c>
      <c r="D1791" t="s">
        <v>98</v>
      </c>
      <c r="E1791">
        <v>99.99</v>
      </c>
      <c r="F1791" t="s">
        <v>5817</v>
      </c>
      <c r="L1791" t="s">
        <v>5065</v>
      </c>
      <c r="M1791">
        <v>0</v>
      </c>
      <c r="N1791">
        <v>0</v>
      </c>
      <c r="P1791">
        <v>0</v>
      </c>
    </row>
    <row r="1792" spans="1:16" x14ac:dyDescent="0.2">
      <c r="A1792" t="s">
        <v>5343</v>
      </c>
      <c r="B1792" t="s">
        <v>5344</v>
      </c>
      <c r="C1792" t="s">
        <v>3929</v>
      </c>
      <c r="D1792" t="s">
        <v>98</v>
      </c>
      <c r="E1792">
        <v>69.989999999999995</v>
      </c>
      <c r="F1792" t="s">
        <v>5817</v>
      </c>
      <c r="L1792" t="s">
        <v>73</v>
      </c>
      <c r="M1792">
        <v>1.5</v>
      </c>
      <c r="N1792">
        <v>14</v>
      </c>
      <c r="O1792">
        <v>1.0833333333333335</v>
      </c>
      <c r="P1792">
        <v>21</v>
      </c>
    </row>
    <row r="1793" spans="1:16" x14ac:dyDescent="0.2">
      <c r="A1793" t="s">
        <v>5112</v>
      </c>
      <c r="B1793" t="s">
        <v>5113</v>
      </c>
      <c r="C1793" t="s">
        <v>3929</v>
      </c>
      <c r="D1793" t="s">
        <v>105</v>
      </c>
      <c r="E1793">
        <v>39.99</v>
      </c>
      <c r="F1793" t="s">
        <v>5817</v>
      </c>
      <c r="G1793">
        <v>20</v>
      </c>
      <c r="H1793" t="s">
        <v>5832</v>
      </c>
      <c r="I1793">
        <v>10</v>
      </c>
      <c r="L1793" t="s">
        <v>73</v>
      </c>
      <c r="M1793">
        <v>5.3333333333333339</v>
      </c>
      <c r="N1793">
        <v>11.624999999999998</v>
      </c>
      <c r="O1793">
        <v>1.6666666666666665</v>
      </c>
      <c r="P1793">
        <v>62</v>
      </c>
    </row>
    <row r="1794" spans="1:16" x14ac:dyDescent="0.2">
      <c r="A1794" t="s">
        <v>5090</v>
      </c>
      <c r="B1794" t="s">
        <v>5091</v>
      </c>
      <c r="C1794" t="s">
        <v>3929</v>
      </c>
      <c r="D1794" t="s">
        <v>105</v>
      </c>
      <c r="E1794">
        <v>39.99</v>
      </c>
      <c r="F1794" t="s">
        <v>5817</v>
      </c>
      <c r="G1794">
        <v>61</v>
      </c>
      <c r="I1794">
        <v>61</v>
      </c>
      <c r="L1794" t="s">
        <v>73</v>
      </c>
      <c r="M1794">
        <v>1.5</v>
      </c>
      <c r="N1794">
        <v>43.333333333333336</v>
      </c>
      <c r="O1794">
        <v>1.25</v>
      </c>
      <c r="P1794">
        <v>65</v>
      </c>
    </row>
    <row r="1795" spans="1:16" x14ac:dyDescent="0.2">
      <c r="A1795" t="s">
        <v>5341</v>
      </c>
      <c r="B1795" t="s">
        <v>5342</v>
      </c>
      <c r="C1795" t="s">
        <v>3929</v>
      </c>
      <c r="D1795" t="s">
        <v>98</v>
      </c>
      <c r="E1795">
        <v>69.989999999999995</v>
      </c>
      <c r="F1795" t="s">
        <v>5817</v>
      </c>
      <c r="L1795" t="s">
        <v>73</v>
      </c>
      <c r="M1795">
        <v>2.2000000000000002</v>
      </c>
      <c r="N1795">
        <v>9.545454545454545</v>
      </c>
      <c r="O1795">
        <v>1.6666666666666665</v>
      </c>
      <c r="P1795">
        <v>21</v>
      </c>
    </row>
    <row r="1796" spans="1:16" x14ac:dyDescent="0.2">
      <c r="A1796" t="s">
        <v>5321</v>
      </c>
      <c r="B1796" t="s">
        <v>5322</v>
      </c>
      <c r="C1796" t="s">
        <v>3929</v>
      </c>
      <c r="D1796" t="s">
        <v>98</v>
      </c>
      <c r="E1796">
        <v>69.989999999999995</v>
      </c>
      <c r="F1796" t="s">
        <v>5817</v>
      </c>
      <c r="L1796" t="s">
        <v>73</v>
      </c>
      <c r="M1796">
        <v>1</v>
      </c>
      <c r="N1796">
        <v>19</v>
      </c>
      <c r="O1796">
        <v>0.41666666666666663</v>
      </c>
      <c r="P1796">
        <v>19</v>
      </c>
    </row>
    <row r="1797" spans="1:16" x14ac:dyDescent="0.2">
      <c r="A1797" t="s">
        <v>5325</v>
      </c>
      <c r="B1797" t="s">
        <v>5326</v>
      </c>
      <c r="C1797" t="s">
        <v>3929</v>
      </c>
      <c r="D1797" t="s">
        <v>105</v>
      </c>
      <c r="E1797">
        <v>69.989999999999995</v>
      </c>
      <c r="F1797" t="s">
        <v>5817</v>
      </c>
      <c r="J1797">
        <v>1</v>
      </c>
      <c r="L1797" t="s">
        <v>73</v>
      </c>
      <c r="M1797">
        <v>3.333333333333333</v>
      </c>
      <c r="N1797">
        <v>12.9</v>
      </c>
      <c r="O1797">
        <v>2.1666666666666665</v>
      </c>
      <c r="P1797">
        <v>43</v>
      </c>
    </row>
    <row r="1798" spans="1:16" x14ac:dyDescent="0.2">
      <c r="A1798" t="s">
        <v>5317</v>
      </c>
      <c r="B1798" t="s">
        <v>5318</v>
      </c>
      <c r="C1798" t="s">
        <v>3929</v>
      </c>
      <c r="D1798" t="s">
        <v>98</v>
      </c>
      <c r="E1798">
        <v>69.989999999999995</v>
      </c>
      <c r="F1798" t="s">
        <v>5817</v>
      </c>
      <c r="L1798" t="s">
        <v>73</v>
      </c>
      <c r="M1798">
        <v>0</v>
      </c>
      <c r="N1798">
        <v>0</v>
      </c>
      <c r="O1798">
        <v>0.25</v>
      </c>
      <c r="P1798">
        <v>0</v>
      </c>
    </row>
    <row r="1799" spans="1:16" x14ac:dyDescent="0.2">
      <c r="A1799" t="s">
        <v>5098</v>
      </c>
      <c r="B1799" t="s">
        <v>5099</v>
      </c>
      <c r="C1799" t="s">
        <v>3929</v>
      </c>
      <c r="D1799" t="s">
        <v>105</v>
      </c>
      <c r="E1799">
        <v>39.99</v>
      </c>
      <c r="F1799" t="s">
        <v>5817</v>
      </c>
      <c r="G1799">
        <v>17</v>
      </c>
      <c r="I1799">
        <v>17</v>
      </c>
      <c r="L1799" t="s">
        <v>73</v>
      </c>
      <c r="M1799">
        <v>2.25</v>
      </c>
      <c r="N1799">
        <v>28.444444444444443</v>
      </c>
      <c r="O1799">
        <v>1.0833333333333335</v>
      </c>
      <c r="P1799">
        <v>64</v>
      </c>
    </row>
    <row r="1800" spans="1:16" x14ac:dyDescent="0.2">
      <c r="A1800" t="s">
        <v>4010</v>
      </c>
      <c r="B1800" t="s">
        <v>4011</v>
      </c>
      <c r="C1800" t="s">
        <v>3929</v>
      </c>
      <c r="D1800" t="s">
        <v>105</v>
      </c>
      <c r="E1800">
        <v>89.99</v>
      </c>
      <c r="F1800" t="s">
        <v>5817</v>
      </c>
      <c r="G1800">
        <v>4</v>
      </c>
      <c r="I1800">
        <v>4</v>
      </c>
      <c r="K1800">
        <v>40</v>
      </c>
      <c r="L1800" t="s">
        <v>73</v>
      </c>
      <c r="M1800">
        <v>0</v>
      </c>
      <c r="N1800">
        <v>0</v>
      </c>
      <c r="O1800">
        <v>0</v>
      </c>
      <c r="P1800">
        <v>38</v>
      </c>
    </row>
    <row r="1801" spans="1:16" x14ac:dyDescent="0.2">
      <c r="A1801" t="s">
        <v>5278</v>
      </c>
      <c r="B1801" t="s">
        <v>5279</v>
      </c>
      <c r="C1801" t="s">
        <v>3929</v>
      </c>
      <c r="D1801" t="s">
        <v>98</v>
      </c>
      <c r="E1801">
        <v>29.99</v>
      </c>
      <c r="F1801" t="s">
        <v>5817</v>
      </c>
      <c r="L1801" t="s">
        <v>73</v>
      </c>
      <c r="M1801">
        <v>0</v>
      </c>
      <c r="N1801">
        <v>0</v>
      </c>
      <c r="O1801">
        <v>0</v>
      </c>
      <c r="P1801">
        <v>0</v>
      </c>
    </row>
    <row r="1802" spans="1:16" x14ac:dyDescent="0.2">
      <c r="A1802" t="s">
        <v>5261</v>
      </c>
      <c r="B1802" t="s">
        <v>5262</v>
      </c>
      <c r="C1802" t="s">
        <v>3929</v>
      </c>
      <c r="D1802" t="s">
        <v>105</v>
      </c>
      <c r="E1802">
        <v>89.99</v>
      </c>
      <c r="F1802" t="s">
        <v>5817</v>
      </c>
      <c r="G1802">
        <v>107</v>
      </c>
      <c r="I1802">
        <v>107</v>
      </c>
      <c r="L1802" t="s">
        <v>73</v>
      </c>
      <c r="M1802">
        <v>0</v>
      </c>
      <c r="N1802">
        <v>0</v>
      </c>
      <c r="O1802">
        <v>0</v>
      </c>
      <c r="P1802">
        <v>23</v>
      </c>
    </row>
    <row r="1803" spans="1:16" x14ac:dyDescent="0.2">
      <c r="A1803" t="s">
        <v>5096</v>
      </c>
      <c r="B1803" t="s">
        <v>5097</v>
      </c>
      <c r="C1803" t="s">
        <v>3929</v>
      </c>
      <c r="D1803" t="s">
        <v>105</v>
      </c>
      <c r="E1803">
        <v>89.99</v>
      </c>
      <c r="F1803" t="s">
        <v>5817</v>
      </c>
      <c r="G1803">
        <v>35</v>
      </c>
      <c r="I1803">
        <v>35</v>
      </c>
      <c r="L1803" t="s">
        <v>73</v>
      </c>
      <c r="M1803">
        <v>0</v>
      </c>
      <c r="N1803">
        <v>0</v>
      </c>
      <c r="O1803">
        <v>0</v>
      </c>
      <c r="P1803">
        <v>28</v>
      </c>
    </row>
    <row r="1804" spans="1:16" x14ac:dyDescent="0.2">
      <c r="A1804" t="s">
        <v>4012</v>
      </c>
      <c r="B1804" t="s">
        <v>4013</v>
      </c>
      <c r="C1804" t="s">
        <v>3929</v>
      </c>
      <c r="D1804" t="s">
        <v>98</v>
      </c>
      <c r="E1804">
        <v>79.989999999999995</v>
      </c>
      <c r="F1804" t="s">
        <v>5817</v>
      </c>
      <c r="L1804" t="s">
        <v>73</v>
      </c>
      <c r="M1804">
        <v>0</v>
      </c>
      <c r="N1804">
        <v>0</v>
      </c>
      <c r="O1804">
        <v>0</v>
      </c>
      <c r="P1804">
        <v>0</v>
      </c>
    </row>
    <row r="1805" spans="1:16" x14ac:dyDescent="0.2">
      <c r="A1805" t="s">
        <v>5270</v>
      </c>
      <c r="B1805" t="s">
        <v>5271</v>
      </c>
      <c r="C1805" t="s">
        <v>3929</v>
      </c>
      <c r="D1805" t="s">
        <v>138</v>
      </c>
      <c r="E1805">
        <v>219.99</v>
      </c>
      <c r="F1805" t="s">
        <v>5817</v>
      </c>
      <c r="G1805">
        <v>3</v>
      </c>
      <c r="I1805">
        <v>3</v>
      </c>
      <c r="L1805" t="s">
        <v>73</v>
      </c>
      <c r="M1805">
        <v>2</v>
      </c>
      <c r="N1805">
        <v>15.5</v>
      </c>
      <c r="O1805">
        <v>1</v>
      </c>
      <c r="P1805">
        <v>31</v>
      </c>
    </row>
    <row r="1806" spans="1:16" x14ac:dyDescent="0.2">
      <c r="A1806" t="s">
        <v>4004</v>
      </c>
      <c r="B1806" t="s">
        <v>4005</v>
      </c>
      <c r="C1806" t="s">
        <v>3929</v>
      </c>
      <c r="D1806" t="s">
        <v>105</v>
      </c>
      <c r="E1806">
        <v>64.989999999999995</v>
      </c>
      <c r="F1806" t="s">
        <v>5817</v>
      </c>
      <c r="G1806">
        <v>2</v>
      </c>
      <c r="I1806">
        <v>2</v>
      </c>
      <c r="L1806" t="s">
        <v>73</v>
      </c>
      <c r="M1806">
        <v>2.5</v>
      </c>
      <c r="N1806">
        <v>20.399999999999999</v>
      </c>
      <c r="O1806">
        <v>2.25</v>
      </c>
      <c r="P1806">
        <v>51</v>
      </c>
    </row>
    <row r="1807" spans="1:16" x14ac:dyDescent="0.2">
      <c r="A1807" t="s">
        <v>4006</v>
      </c>
      <c r="B1807" t="s">
        <v>4007</v>
      </c>
      <c r="C1807" t="s">
        <v>3929</v>
      </c>
      <c r="D1807" t="s">
        <v>105</v>
      </c>
      <c r="E1807">
        <v>64.989999999999995</v>
      </c>
      <c r="F1807" t="s">
        <v>5817</v>
      </c>
      <c r="G1807">
        <v>35</v>
      </c>
      <c r="H1807" t="s">
        <v>5849</v>
      </c>
      <c r="I1807">
        <v>22</v>
      </c>
      <c r="K1807">
        <v>40</v>
      </c>
      <c r="L1807" t="s">
        <v>73</v>
      </c>
      <c r="M1807">
        <v>5.5</v>
      </c>
      <c r="N1807">
        <v>0</v>
      </c>
      <c r="O1807">
        <v>4.1666666666666661</v>
      </c>
      <c r="P1807">
        <v>0</v>
      </c>
    </row>
    <row r="1808" spans="1:16" x14ac:dyDescent="0.2">
      <c r="A1808" t="s">
        <v>5126</v>
      </c>
      <c r="B1808" t="s">
        <v>5127</v>
      </c>
      <c r="C1808" t="s">
        <v>3929</v>
      </c>
      <c r="D1808" t="s">
        <v>105</v>
      </c>
      <c r="E1808">
        <v>129.99</v>
      </c>
      <c r="F1808" t="s">
        <v>5817</v>
      </c>
      <c r="G1808">
        <v>28</v>
      </c>
      <c r="I1808">
        <v>28</v>
      </c>
      <c r="L1808" t="s">
        <v>73</v>
      </c>
      <c r="M1808">
        <v>1.6</v>
      </c>
      <c r="N1808">
        <v>3.125</v>
      </c>
      <c r="O1808">
        <v>1.1666666666666665</v>
      </c>
      <c r="P1808">
        <v>5</v>
      </c>
    </row>
    <row r="1809" spans="1:16" x14ac:dyDescent="0.2">
      <c r="A1809" t="s">
        <v>5333</v>
      </c>
      <c r="B1809" t="s">
        <v>5334</v>
      </c>
      <c r="C1809" t="s">
        <v>3929</v>
      </c>
      <c r="D1809" t="s">
        <v>105</v>
      </c>
      <c r="E1809">
        <v>69.989999999999995</v>
      </c>
      <c r="F1809" t="s">
        <v>5817</v>
      </c>
      <c r="G1809">
        <v>41</v>
      </c>
      <c r="I1809">
        <v>41</v>
      </c>
      <c r="L1809" t="s">
        <v>73</v>
      </c>
      <c r="M1809">
        <v>5.166666666666667</v>
      </c>
      <c r="N1809">
        <v>8.7096774193548381</v>
      </c>
      <c r="O1809">
        <v>4.916666666666667</v>
      </c>
      <c r="P1809">
        <v>45</v>
      </c>
    </row>
    <row r="1810" spans="1:16" x14ac:dyDescent="0.2">
      <c r="A1810" t="s">
        <v>5160</v>
      </c>
      <c r="B1810" t="s">
        <v>5161</v>
      </c>
      <c r="C1810" t="s">
        <v>3929</v>
      </c>
      <c r="D1810" t="s">
        <v>98</v>
      </c>
      <c r="E1810">
        <v>109.99</v>
      </c>
      <c r="F1810" t="s">
        <v>5817</v>
      </c>
      <c r="L1810" t="s">
        <v>73</v>
      </c>
      <c r="M1810">
        <v>2.2000000000000002</v>
      </c>
      <c r="N1810">
        <v>3.6363636363636362</v>
      </c>
      <c r="O1810">
        <v>2.333333333333333</v>
      </c>
      <c r="P1810">
        <v>8</v>
      </c>
    </row>
    <row r="1811" spans="1:16" x14ac:dyDescent="0.2">
      <c r="A1811" t="s">
        <v>3984</v>
      </c>
      <c r="B1811" t="s">
        <v>3985</v>
      </c>
      <c r="C1811" t="s">
        <v>3929</v>
      </c>
      <c r="D1811" t="s">
        <v>98</v>
      </c>
      <c r="E1811">
        <v>84.99</v>
      </c>
      <c r="F1811" t="s">
        <v>5817</v>
      </c>
      <c r="L1811" t="s">
        <v>73</v>
      </c>
      <c r="M1811">
        <v>1.8</v>
      </c>
      <c r="N1811">
        <v>37.777777777777779</v>
      </c>
      <c r="O1811">
        <v>0.66666666666666674</v>
      </c>
      <c r="P1811">
        <v>68</v>
      </c>
    </row>
    <row r="1812" spans="1:16" x14ac:dyDescent="0.2">
      <c r="A1812" t="s">
        <v>3986</v>
      </c>
      <c r="B1812" t="s">
        <v>3987</v>
      </c>
      <c r="C1812" t="s">
        <v>3929</v>
      </c>
      <c r="D1812" t="s">
        <v>98</v>
      </c>
      <c r="E1812">
        <v>84.99</v>
      </c>
      <c r="F1812" t="s">
        <v>5817</v>
      </c>
      <c r="L1812" t="s">
        <v>73</v>
      </c>
      <c r="M1812">
        <v>1.3333333333333333</v>
      </c>
      <c r="N1812">
        <v>0</v>
      </c>
      <c r="O1812">
        <v>0.75</v>
      </c>
      <c r="P1812">
        <v>0</v>
      </c>
    </row>
    <row r="1813" spans="1:16" x14ac:dyDescent="0.2">
      <c r="A1813" t="s">
        <v>3982</v>
      </c>
      <c r="B1813" t="s">
        <v>3983</v>
      </c>
      <c r="C1813" t="s">
        <v>3929</v>
      </c>
      <c r="D1813" t="s">
        <v>98</v>
      </c>
      <c r="E1813">
        <v>109.99</v>
      </c>
      <c r="F1813" t="s">
        <v>5817</v>
      </c>
      <c r="L1813" t="s">
        <v>73</v>
      </c>
      <c r="M1813">
        <v>6.75</v>
      </c>
      <c r="N1813">
        <v>2.3703703703703702</v>
      </c>
      <c r="O1813">
        <v>4.0833333333333339</v>
      </c>
      <c r="P1813">
        <v>16</v>
      </c>
    </row>
    <row r="1814" spans="1:16" x14ac:dyDescent="0.2">
      <c r="A1814" t="s">
        <v>5249</v>
      </c>
      <c r="B1814" t="s">
        <v>5250</v>
      </c>
      <c r="C1814" t="s">
        <v>3929</v>
      </c>
      <c r="D1814" t="s">
        <v>98</v>
      </c>
      <c r="E1814">
        <v>184.99</v>
      </c>
      <c r="F1814" t="s">
        <v>5817</v>
      </c>
      <c r="L1814" t="s">
        <v>73</v>
      </c>
      <c r="M1814">
        <v>0</v>
      </c>
      <c r="N1814">
        <v>0</v>
      </c>
      <c r="O1814">
        <v>1</v>
      </c>
      <c r="P1814">
        <v>0</v>
      </c>
    </row>
    <row r="1815" spans="1:16" x14ac:dyDescent="0.2">
      <c r="A1815" t="s">
        <v>3974</v>
      </c>
      <c r="B1815" t="s">
        <v>3975</v>
      </c>
      <c r="C1815" t="s">
        <v>3929</v>
      </c>
      <c r="D1815" t="s">
        <v>105</v>
      </c>
      <c r="E1815">
        <v>199.99</v>
      </c>
      <c r="F1815" t="s">
        <v>5817</v>
      </c>
      <c r="G1815">
        <v>12</v>
      </c>
      <c r="I1815">
        <v>12</v>
      </c>
      <c r="L1815" t="s">
        <v>73</v>
      </c>
      <c r="M1815">
        <v>2.5</v>
      </c>
      <c r="N1815">
        <v>9.6</v>
      </c>
      <c r="O1815">
        <v>0.33333333333333331</v>
      </c>
      <c r="P1815">
        <v>24</v>
      </c>
    </row>
    <row r="1816" spans="1:16" x14ac:dyDescent="0.2">
      <c r="A1816" t="s">
        <v>3976</v>
      </c>
      <c r="B1816" t="s">
        <v>3977</v>
      </c>
      <c r="C1816" t="s">
        <v>3929</v>
      </c>
      <c r="D1816" t="s">
        <v>105</v>
      </c>
      <c r="E1816">
        <v>99.99</v>
      </c>
      <c r="F1816" t="s">
        <v>5817</v>
      </c>
      <c r="G1816">
        <v>38</v>
      </c>
      <c r="I1816">
        <v>38</v>
      </c>
      <c r="L1816" t="s">
        <v>73</v>
      </c>
      <c r="N1816">
        <v>0</v>
      </c>
      <c r="O1816">
        <v>0.25</v>
      </c>
      <c r="P1816">
        <v>5</v>
      </c>
    </row>
    <row r="1817" spans="1:16" x14ac:dyDescent="0.2">
      <c r="A1817" t="s">
        <v>3978</v>
      </c>
      <c r="B1817" t="s">
        <v>3979</v>
      </c>
      <c r="C1817" t="s">
        <v>3929</v>
      </c>
      <c r="D1817" t="s">
        <v>105</v>
      </c>
      <c r="E1817">
        <v>24.99</v>
      </c>
      <c r="F1817" t="s">
        <v>5817</v>
      </c>
      <c r="G1817">
        <v>71</v>
      </c>
      <c r="I1817">
        <v>71</v>
      </c>
      <c r="K1817">
        <v>100</v>
      </c>
      <c r="L1817" t="s">
        <v>73</v>
      </c>
      <c r="M1817">
        <v>11.666666666666668</v>
      </c>
      <c r="N1817">
        <v>10.199999999999999</v>
      </c>
      <c r="O1817">
        <v>6.25</v>
      </c>
      <c r="P1817">
        <v>119</v>
      </c>
    </row>
    <row r="1818" spans="1:16" x14ac:dyDescent="0.2">
      <c r="A1818" t="s">
        <v>3998</v>
      </c>
      <c r="B1818" t="s">
        <v>3999</v>
      </c>
      <c r="C1818" t="s">
        <v>3929</v>
      </c>
      <c r="D1818" t="s">
        <v>105</v>
      </c>
      <c r="E1818">
        <v>79.989999999999995</v>
      </c>
      <c r="F1818" t="s">
        <v>5817</v>
      </c>
      <c r="G1818">
        <v>6</v>
      </c>
      <c r="I1818">
        <v>6</v>
      </c>
      <c r="L1818" t="s">
        <v>73</v>
      </c>
      <c r="M1818">
        <v>2</v>
      </c>
      <c r="N1818">
        <v>6.5</v>
      </c>
      <c r="O1818">
        <v>1</v>
      </c>
      <c r="P1818">
        <v>13</v>
      </c>
    </row>
    <row r="1819" spans="1:16" x14ac:dyDescent="0.2">
      <c r="A1819" t="s">
        <v>5181</v>
      </c>
      <c r="B1819" t="s">
        <v>5182</v>
      </c>
      <c r="C1819" t="s">
        <v>3929</v>
      </c>
      <c r="D1819" t="s">
        <v>138</v>
      </c>
      <c r="E1819">
        <v>79.989999999999995</v>
      </c>
      <c r="F1819" t="s">
        <v>5817</v>
      </c>
      <c r="G1819">
        <v>16</v>
      </c>
      <c r="I1819">
        <v>16</v>
      </c>
      <c r="L1819" t="s">
        <v>73</v>
      </c>
      <c r="M1819">
        <v>0</v>
      </c>
      <c r="N1819">
        <v>0</v>
      </c>
      <c r="O1819">
        <v>0.33333333333333331</v>
      </c>
      <c r="P1819">
        <v>0</v>
      </c>
    </row>
    <row r="1820" spans="1:16" x14ac:dyDescent="0.2">
      <c r="A1820" t="s">
        <v>5087</v>
      </c>
      <c r="B1820" t="s">
        <v>5088</v>
      </c>
      <c r="C1820" t="s">
        <v>3929</v>
      </c>
      <c r="D1820" t="s">
        <v>105</v>
      </c>
      <c r="E1820">
        <v>79.989999999999995</v>
      </c>
      <c r="F1820" t="s">
        <v>5817</v>
      </c>
      <c r="G1820">
        <v>227</v>
      </c>
      <c r="I1820">
        <v>227</v>
      </c>
      <c r="L1820" t="s">
        <v>73</v>
      </c>
      <c r="M1820">
        <v>1.3333333333333333</v>
      </c>
      <c r="N1820">
        <v>15</v>
      </c>
      <c r="O1820">
        <v>8.3333333333333329E-2</v>
      </c>
      <c r="P1820">
        <v>20</v>
      </c>
    </row>
    <row r="1821" spans="1:16" x14ac:dyDescent="0.2">
      <c r="A1821" t="s">
        <v>5329</v>
      </c>
      <c r="B1821" t="s">
        <v>5330</v>
      </c>
      <c r="C1821" t="s">
        <v>3929</v>
      </c>
      <c r="D1821" t="s">
        <v>138</v>
      </c>
      <c r="E1821">
        <v>79.989999999999995</v>
      </c>
      <c r="F1821" t="s">
        <v>5817</v>
      </c>
      <c r="G1821">
        <v>24</v>
      </c>
      <c r="I1821">
        <v>24</v>
      </c>
      <c r="L1821" t="s">
        <v>73</v>
      </c>
      <c r="M1821">
        <v>0</v>
      </c>
      <c r="N1821">
        <v>0</v>
      </c>
      <c r="O1821">
        <v>0</v>
      </c>
      <c r="P1821">
        <v>0</v>
      </c>
    </row>
    <row r="1822" spans="1:16" x14ac:dyDescent="0.2">
      <c r="A1822" t="s">
        <v>3988</v>
      </c>
      <c r="B1822" t="s">
        <v>3989</v>
      </c>
      <c r="C1822" t="s">
        <v>3929</v>
      </c>
      <c r="D1822" t="s">
        <v>105</v>
      </c>
      <c r="E1822">
        <v>59.99</v>
      </c>
      <c r="F1822" t="s">
        <v>5817</v>
      </c>
      <c r="G1822">
        <v>37</v>
      </c>
      <c r="I1822">
        <v>37</v>
      </c>
      <c r="K1822">
        <v>80</v>
      </c>
      <c r="L1822" t="s">
        <v>73</v>
      </c>
      <c r="M1822">
        <v>8</v>
      </c>
      <c r="N1822">
        <v>6.25</v>
      </c>
      <c r="O1822">
        <v>6.0833333333333339</v>
      </c>
      <c r="P1822">
        <v>50</v>
      </c>
    </row>
    <row r="1823" spans="1:16" x14ac:dyDescent="0.2">
      <c r="A1823" t="s">
        <v>5138</v>
      </c>
      <c r="B1823" t="s">
        <v>5139</v>
      </c>
      <c r="C1823" t="s">
        <v>3929</v>
      </c>
      <c r="D1823" t="s">
        <v>98</v>
      </c>
      <c r="E1823">
        <v>129.99</v>
      </c>
      <c r="F1823" t="s">
        <v>5817</v>
      </c>
      <c r="L1823" t="s">
        <v>73</v>
      </c>
      <c r="M1823">
        <v>2</v>
      </c>
      <c r="N1823">
        <v>2.5</v>
      </c>
      <c r="O1823">
        <v>1.4166666666666667</v>
      </c>
      <c r="P1823">
        <v>5</v>
      </c>
    </row>
    <row r="1824" spans="1:16" x14ac:dyDescent="0.2">
      <c r="A1824" t="s">
        <v>3990</v>
      </c>
      <c r="B1824" t="s">
        <v>3991</v>
      </c>
      <c r="C1824" t="s">
        <v>3929</v>
      </c>
      <c r="D1824" t="s">
        <v>105</v>
      </c>
      <c r="E1824">
        <v>129.99</v>
      </c>
      <c r="F1824" t="s">
        <v>5817</v>
      </c>
      <c r="G1824">
        <v>71</v>
      </c>
      <c r="I1824">
        <v>71</v>
      </c>
      <c r="K1824">
        <v>40</v>
      </c>
      <c r="L1824" t="s">
        <v>73</v>
      </c>
      <c r="M1824">
        <v>3.5</v>
      </c>
      <c r="N1824">
        <v>16.857142857142858</v>
      </c>
      <c r="O1824">
        <v>1.5</v>
      </c>
      <c r="P1824">
        <v>59</v>
      </c>
    </row>
    <row r="1825" spans="1:16" x14ac:dyDescent="0.2">
      <c r="A1825" t="s">
        <v>3992</v>
      </c>
      <c r="B1825" t="s">
        <v>3993</v>
      </c>
      <c r="C1825" t="s">
        <v>3929</v>
      </c>
      <c r="D1825" t="s">
        <v>105</v>
      </c>
      <c r="E1825">
        <v>84.99</v>
      </c>
      <c r="F1825" t="s">
        <v>5817</v>
      </c>
      <c r="G1825">
        <v>39</v>
      </c>
      <c r="I1825">
        <v>39</v>
      </c>
      <c r="L1825" t="s">
        <v>73</v>
      </c>
      <c r="M1825">
        <v>1.75</v>
      </c>
      <c r="N1825">
        <v>26.857142857142858</v>
      </c>
      <c r="O1825">
        <v>0.83333333333333326</v>
      </c>
      <c r="P1825">
        <v>47</v>
      </c>
    </row>
    <row r="1826" spans="1:16" x14ac:dyDescent="0.2">
      <c r="A1826" t="s">
        <v>5081</v>
      </c>
      <c r="B1826" t="s">
        <v>5082</v>
      </c>
      <c r="C1826" t="s">
        <v>3929</v>
      </c>
      <c r="D1826" t="s">
        <v>138</v>
      </c>
      <c r="E1826">
        <v>59.99</v>
      </c>
      <c r="F1826" t="s">
        <v>5817</v>
      </c>
      <c r="L1826" t="s">
        <v>73</v>
      </c>
      <c r="M1826">
        <v>2</v>
      </c>
      <c r="N1826">
        <v>61.5</v>
      </c>
      <c r="O1826">
        <v>0.91666666666666663</v>
      </c>
      <c r="P1826">
        <v>123</v>
      </c>
    </row>
    <row r="1827" spans="1:16" x14ac:dyDescent="0.2">
      <c r="A1827" t="s">
        <v>5092</v>
      </c>
      <c r="B1827" t="s">
        <v>5850</v>
      </c>
      <c r="C1827" t="s">
        <v>3929</v>
      </c>
      <c r="D1827" t="s">
        <v>98</v>
      </c>
      <c r="E1827">
        <v>249.99</v>
      </c>
      <c r="F1827" t="s">
        <v>5817</v>
      </c>
      <c r="J1827">
        <v>1</v>
      </c>
      <c r="L1827" t="s">
        <v>73</v>
      </c>
      <c r="M1827">
        <v>1.5</v>
      </c>
      <c r="N1827">
        <v>28.666666666666668</v>
      </c>
      <c r="O1827">
        <v>0.41666666666666674</v>
      </c>
      <c r="P1827">
        <v>43</v>
      </c>
    </row>
    <row r="1828" spans="1:16" x14ac:dyDescent="0.2">
      <c r="A1828" t="s">
        <v>5075</v>
      </c>
      <c r="B1828" t="s">
        <v>5076</v>
      </c>
      <c r="C1828" t="s">
        <v>3929</v>
      </c>
      <c r="D1828" t="s">
        <v>98</v>
      </c>
      <c r="E1828">
        <v>74.989999999999995</v>
      </c>
      <c r="F1828" t="s">
        <v>5817</v>
      </c>
      <c r="L1828" t="s">
        <v>73</v>
      </c>
      <c r="M1828">
        <v>0</v>
      </c>
      <c r="N1828">
        <v>0</v>
      </c>
      <c r="O1828">
        <v>0</v>
      </c>
      <c r="P1828">
        <v>0</v>
      </c>
    </row>
    <row r="1829" spans="1:16" x14ac:dyDescent="0.2">
      <c r="A1829" t="s">
        <v>5122</v>
      </c>
      <c r="B1829" t="s">
        <v>5123</v>
      </c>
      <c r="C1829" t="s">
        <v>3929</v>
      </c>
      <c r="D1829" t="s">
        <v>98</v>
      </c>
      <c r="E1829">
        <v>169.99</v>
      </c>
      <c r="F1829" t="s">
        <v>5817</v>
      </c>
      <c r="L1829" t="s">
        <v>73</v>
      </c>
      <c r="M1829">
        <v>1.5</v>
      </c>
      <c r="N1829">
        <v>19.333333333333332</v>
      </c>
      <c r="O1829">
        <v>0</v>
      </c>
      <c r="P1829">
        <v>29</v>
      </c>
    </row>
    <row r="1830" spans="1:16" x14ac:dyDescent="0.2">
      <c r="A1830" t="s">
        <v>5083</v>
      </c>
      <c r="B1830" t="s">
        <v>5084</v>
      </c>
      <c r="C1830" t="s">
        <v>3929</v>
      </c>
      <c r="D1830" t="s">
        <v>105</v>
      </c>
      <c r="E1830">
        <v>64.989999999999995</v>
      </c>
      <c r="F1830" t="s">
        <v>5817</v>
      </c>
      <c r="G1830">
        <v>71</v>
      </c>
      <c r="I1830">
        <v>71</v>
      </c>
      <c r="L1830" t="s">
        <v>73</v>
      </c>
      <c r="M1830">
        <v>0</v>
      </c>
      <c r="N1830">
        <v>0</v>
      </c>
      <c r="O1830">
        <v>0</v>
      </c>
      <c r="P1830">
        <v>0</v>
      </c>
    </row>
    <row r="1831" spans="1:16" x14ac:dyDescent="0.2">
      <c r="A1831" t="s">
        <v>5542</v>
      </c>
      <c r="B1831" t="s">
        <v>5543</v>
      </c>
      <c r="C1831" t="s">
        <v>3929</v>
      </c>
      <c r="D1831" t="s">
        <v>98</v>
      </c>
      <c r="E1831">
        <v>159.99</v>
      </c>
      <c r="F1831" t="s">
        <v>5817</v>
      </c>
      <c r="L1831" t="s">
        <v>73</v>
      </c>
      <c r="M1831">
        <v>1.75</v>
      </c>
      <c r="N1831">
        <v>17.142857142857142</v>
      </c>
      <c r="O1831">
        <v>0.33333333333333337</v>
      </c>
      <c r="P1831">
        <v>30</v>
      </c>
    </row>
    <row r="1832" spans="1:16" x14ac:dyDescent="0.2">
      <c r="A1832" t="s">
        <v>4105</v>
      </c>
      <c r="B1832" t="s">
        <v>4106</v>
      </c>
      <c r="C1832" t="s">
        <v>3929</v>
      </c>
      <c r="D1832" t="s">
        <v>105</v>
      </c>
      <c r="E1832">
        <v>129.99</v>
      </c>
      <c r="F1832" t="s">
        <v>5817</v>
      </c>
      <c r="G1832">
        <v>11</v>
      </c>
      <c r="I1832">
        <v>11</v>
      </c>
      <c r="L1832" t="s">
        <v>73</v>
      </c>
      <c r="M1832">
        <v>1.5</v>
      </c>
      <c r="N1832">
        <v>74</v>
      </c>
      <c r="O1832">
        <v>0.25</v>
      </c>
      <c r="P1832">
        <v>111</v>
      </c>
    </row>
    <row r="1833" spans="1:16" x14ac:dyDescent="0.2">
      <c r="A1833" t="s">
        <v>4079</v>
      </c>
      <c r="B1833" t="s">
        <v>4080</v>
      </c>
      <c r="C1833" t="s">
        <v>3929</v>
      </c>
      <c r="D1833" t="s">
        <v>138</v>
      </c>
      <c r="E1833">
        <v>199.99</v>
      </c>
      <c r="F1833" t="s">
        <v>5817</v>
      </c>
      <c r="L1833" t="s">
        <v>73</v>
      </c>
      <c r="M1833">
        <v>1</v>
      </c>
      <c r="N1833">
        <v>15</v>
      </c>
      <c r="O1833">
        <v>0.83333333333333337</v>
      </c>
      <c r="P1833">
        <v>15</v>
      </c>
    </row>
    <row r="1834" spans="1:16" x14ac:dyDescent="0.2">
      <c r="A1834" t="s">
        <v>5606</v>
      </c>
      <c r="B1834" t="s">
        <v>5607</v>
      </c>
      <c r="C1834" t="s">
        <v>3929</v>
      </c>
      <c r="D1834" t="s">
        <v>105</v>
      </c>
      <c r="E1834">
        <v>169.99</v>
      </c>
      <c r="F1834" t="s">
        <v>5817</v>
      </c>
      <c r="G1834">
        <v>25</v>
      </c>
      <c r="I1834">
        <v>25</v>
      </c>
      <c r="L1834" t="s">
        <v>73</v>
      </c>
      <c r="M1834">
        <v>2</v>
      </c>
      <c r="N1834">
        <v>36</v>
      </c>
      <c r="O1834">
        <v>0.91666666666666674</v>
      </c>
      <c r="P1834">
        <v>72</v>
      </c>
    </row>
    <row r="1835" spans="1:16" x14ac:dyDescent="0.2">
      <c r="A1835" t="s">
        <v>4077</v>
      </c>
      <c r="B1835" t="s">
        <v>4078</v>
      </c>
      <c r="C1835" t="s">
        <v>3929</v>
      </c>
      <c r="D1835" t="s">
        <v>105</v>
      </c>
      <c r="E1835">
        <v>74.989999999999995</v>
      </c>
      <c r="F1835" t="s">
        <v>5817</v>
      </c>
      <c r="G1835">
        <v>122</v>
      </c>
      <c r="I1835">
        <v>122</v>
      </c>
      <c r="L1835" t="s">
        <v>73</v>
      </c>
      <c r="M1835">
        <v>5.5</v>
      </c>
      <c r="N1835">
        <v>12</v>
      </c>
      <c r="O1835">
        <v>4.416666666666667</v>
      </c>
      <c r="P1835">
        <v>66</v>
      </c>
    </row>
    <row r="1836" spans="1:16" x14ac:dyDescent="0.2">
      <c r="A1836" t="s">
        <v>5215</v>
      </c>
      <c r="B1836" t="s">
        <v>5216</v>
      </c>
      <c r="C1836" t="s">
        <v>3929</v>
      </c>
      <c r="D1836" t="s">
        <v>98</v>
      </c>
      <c r="E1836">
        <v>119.99</v>
      </c>
      <c r="F1836" t="s">
        <v>5817</v>
      </c>
      <c r="L1836" t="s">
        <v>73</v>
      </c>
      <c r="M1836">
        <v>0</v>
      </c>
      <c r="N1836">
        <v>0</v>
      </c>
      <c r="O1836">
        <v>0</v>
      </c>
      <c r="P1836">
        <v>0</v>
      </c>
    </row>
    <row r="1837" spans="1:16" x14ac:dyDescent="0.2">
      <c r="A1837" t="s">
        <v>4113</v>
      </c>
      <c r="B1837" t="s">
        <v>4114</v>
      </c>
      <c r="C1837" t="s">
        <v>3929</v>
      </c>
      <c r="D1837" t="s">
        <v>105</v>
      </c>
      <c r="E1837">
        <v>54.99</v>
      </c>
      <c r="F1837" t="s">
        <v>5817</v>
      </c>
      <c r="G1837">
        <v>25</v>
      </c>
      <c r="I1837">
        <v>25</v>
      </c>
      <c r="L1837" t="s">
        <v>73</v>
      </c>
      <c r="M1837">
        <v>2.6666666666666665</v>
      </c>
      <c r="N1837">
        <v>26.25</v>
      </c>
      <c r="O1837">
        <v>0.83333333333333337</v>
      </c>
      <c r="P1837">
        <v>70</v>
      </c>
    </row>
    <row r="1838" spans="1:16" x14ac:dyDescent="0.2">
      <c r="A1838" t="s">
        <v>5552</v>
      </c>
      <c r="B1838" t="s">
        <v>5553</v>
      </c>
      <c r="C1838" t="s">
        <v>3929</v>
      </c>
      <c r="D1838" t="s">
        <v>98</v>
      </c>
      <c r="E1838">
        <v>44.99</v>
      </c>
      <c r="F1838" t="s">
        <v>5817</v>
      </c>
      <c r="L1838" t="s">
        <v>73</v>
      </c>
      <c r="M1838">
        <v>0</v>
      </c>
      <c r="N1838">
        <v>0</v>
      </c>
      <c r="O1838">
        <v>0</v>
      </c>
      <c r="P1838">
        <v>0</v>
      </c>
    </row>
    <row r="1839" spans="1:16" x14ac:dyDescent="0.2">
      <c r="A1839" t="s">
        <v>4111</v>
      </c>
      <c r="B1839" t="s">
        <v>4112</v>
      </c>
      <c r="C1839" t="s">
        <v>3929</v>
      </c>
      <c r="D1839" t="s">
        <v>105</v>
      </c>
      <c r="E1839">
        <v>89.99</v>
      </c>
      <c r="F1839" t="s">
        <v>5817</v>
      </c>
      <c r="G1839">
        <v>53</v>
      </c>
      <c r="I1839">
        <v>53</v>
      </c>
      <c r="L1839" t="s">
        <v>73</v>
      </c>
      <c r="M1839">
        <v>2.25</v>
      </c>
      <c r="N1839">
        <v>66.666666666666671</v>
      </c>
      <c r="O1839">
        <v>1.6666666666666665</v>
      </c>
      <c r="P1839">
        <v>150</v>
      </c>
    </row>
    <row r="1840" spans="1:16" x14ac:dyDescent="0.2">
      <c r="A1840" t="s">
        <v>4109</v>
      </c>
      <c r="B1840" t="s">
        <v>4110</v>
      </c>
      <c r="C1840" t="s">
        <v>3929</v>
      </c>
      <c r="D1840" t="s">
        <v>105</v>
      </c>
      <c r="E1840">
        <v>64.989999999999995</v>
      </c>
      <c r="F1840" t="s">
        <v>5817</v>
      </c>
      <c r="G1840">
        <v>20</v>
      </c>
      <c r="I1840">
        <v>20</v>
      </c>
      <c r="L1840" t="s">
        <v>73</v>
      </c>
      <c r="M1840">
        <v>1</v>
      </c>
      <c r="N1840">
        <v>18</v>
      </c>
      <c r="O1840">
        <v>6.25</v>
      </c>
      <c r="P1840">
        <v>18</v>
      </c>
    </row>
    <row r="1841" spans="1:16" x14ac:dyDescent="0.2">
      <c r="A1841" t="s">
        <v>5130</v>
      </c>
      <c r="B1841" t="s">
        <v>5131</v>
      </c>
      <c r="C1841" t="s">
        <v>3929</v>
      </c>
      <c r="D1841" t="s">
        <v>138</v>
      </c>
      <c r="E1841">
        <v>139.99</v>
      </c>
      <c r="F1841" t="s">
        <v>5817</v>
      </c>
      <c r="G1841">
        <v>71</v>
      </c>
      <c r="I1841">
        <v>71</v>
      </c>
      <c r="L1841" t="s">
        <v>73</v>
      </c>
      <c r="M1841">
        <v>9.1666666666666679</v>
      </c>
      <c r="N1841">
        <v>2.6181818181818177</v>
      </c>
      <c r="O1841">
        <v>4.833333333333333</v>
      </c>
      <c r="P1841">
        <v>24</v>
      </c>
    </row>
    <row r="1842" spans="1:16" x14ac:dyDescent="0.2">
      <c r="A1842" t="s">
        <v>5128</v>
      </c>
      <c r="B1842" t="s">
        <v>5129</v>
      </c>
      <c r="C1842" t="s">
        <v>3929</v>
      </c>
      <c r="D1842" t="s">
        <v>138</v>
      </c>
      <c r="E1842">
        <v>129.99</v>
      </c>
      <c r="F1842" t="s">
        <v>5817</v>
      </c>
      <c r="G1842">
        <v>32</v>
      </c>
      <c r="H1842" t="s">
        <v>5823</v>
      </c>
      <c r="I1842">
        <v>31</v>
      </c>
      <c r="L1842" t="s">
        <v>73</v>
      </c>
      <c r="M1842">
        <v>8.6666666666666661</v>
      </c>
      <c r="N1842">
        <v>2.1923076923076925</v>
      </c>
      <c r="O1842">
        <v>12.416666666666666</v>
      </c>
      <c r="P1842">
        <v>19</v>
      </c>
    </row>
    <row r="1843" spans="1:16" x14ac:dyDescent="0.2">
      <c r="A1843" t="s">
        <v>4107</v>
      </c>
      <c r="B1843" t="s">
        <v>4108</v>
      </c>
      <c r="C1843" t="s">
        <v>3929</v>
      </c>
      <c r="D1843" t="s">
        <v>138</v>
      </c>
      <c r="E1843">
        <v>119.99</v>
      </c>
      <c r="F1843" t="s">
        <v>5817</v>
      </c>
      <c r="G1843">
        <v>83</v>
      </c>
      <c r="I1843">
        <v>83</v>
      </c>
      <c r="L1843" t="s">
        <v>73</v>
      </c>
      <c r="M1843">
        <v>1.6666666666666665</v>
      </c>
      <c r="N1843">
        <v>32.400000000000006</v>
      </c>
      <c r="O1843">
        <v>2.666666666666667</v>
      </c>
      <c r="P1843">
        <v>54</v>
      </c>
    </row>
    <row r="1844" spans="1:16" x14ac:dyDescent="0.2">
      <c r="A1844" t="s">
        <v>5100</v>
      </c>
      <c r="B1844" t="s">
        <v>5101</v>
      </c>
      <c r="C1844" t="s">
        <v>3929</v>
      </c>
      <c r="D1844" t="s">
        <v>138</v>
      </c>
      <c r="E1844">
        <v>189.99</v>
      </c>
      <c r="F1844" t="s">
        <v>5817</v>
      </c>
      <c r="J1844">
        <v>2</v>
      </c>
      <c r="L1844" t="s">
        <v>73</v>
      </c>
      <c r="M1844">
        <v>1.6666666666666665</v>
      </c>
      <c r="N1844">
        <v>111.00000000000001</v>
      </c>
      <c r="O1844">
        <v>0.25</v>
      </c>
      <c r="P1844">
        <v>185</v>
      </c>
    </row>
    <row r="1845" spans="1:16" x14ac:dyDescent="0.2">
      <c r="A1845" t="s">
        <v>4081</v>
      </c>
      <c r="B1845" t="s">
        <v>4082</v>
      </c>
      <c r="C1845" t="s">
        <v>3929</v>
      </c>
      <c r="D1845" t="s">
        <v>98</v>
      </c>
      <c r="E1845">
        <v>109.99</v>
      </c>
      <c r="F1845" t="s">
        <v>5817</v>
      </c>
      <c r="L1845" t="s">
        <v>73</v>
      </c>
      <c r="M1845">
        <v>0</v>
      </c>
      <c r="N1845">
        <v>0</v>
      </c>
      <c r="O1845">
        <v>0</v>
      </c>
      <c r="P1845">
        <v>0</v>
      </c>
    </row>
    <row r="1846" spans="1:16" x14ac:dyDescent="0.2">
      <c r="A1846" t="s">
        <v>5114</v>
      </c>
      <c r="B1846" t="s">
        <v>5115</v>
      </c>
      <c r="C1846" t="s">
        <v>3929</v>
      </c>
      <c r="D1846" t="s">
        <v>98</v>
      </c>
      <c r="E1846">
        <v>129.99</v>
      </c>
      <c r="F1846" t="s">
        <v>5817</v>
      </c>
      <c r="L1846" t="s">
        <v>73</v>
      </c>
      <c r="N1846">
        <v>0</v>
      </c>
      <c r="O1846">
        <v>0.33333333333333331</v>
      </c>
      <c r="P1846">
        <v>39</v>
      </c>
    </row>
    <row r="1847" spans="1:16" x14ac:dyDescent="0.2">
      <c r="A1847" t="s">
        <v>4085</v>
      </c>
      <c r="B1847" t="s">
        <v>4086</v>
      </c>
      <c r="C1847" t="s">
        <v>3929</v>
      </c>
      <c r="D1847" t="s">
        <v>98</v>
      </c>
      <c r="E1847">
        <v>119.99</v>
      </c>
      <c r="F1847" t="s">
        <v>5817</v>
      </c>
      <c r="L1847" t="s">
        <v>73</v>
      </c>
      <c r="M1847">
        <v>1</v>
      </c>
      <c r="N1847">
        <v>141</v>
      </c>
      <c r="O1847">
        <v>0.33333333333333331</v>
      </c>
      <c r="P1847">
        <v>141</v>
      </c>
    </row>
    <row r="1848" spans="1:16" x14ac:dyDescent="0.2">
      <c r="A1848" t="s">
        <v>4095</v>
      </c>
      <c r="B1848" t="s">
        <v>4096</v>
      </c>
      <c r="C1848" t="s">
        <v>3929</v>
      </c>
      <c r="D1848" t="s">
        <v>98</v>
      </c>
      <c r="E1848">
        <v>99.99</v>
      </c>
      <c r="F1848" t="s">
        <v>5817</v>
      </c>
      <c r="L1848" t="s">
        <v>73</v>
      </c>
      <c r="M1848">
        <v>2</v>
      </c>
      <c r="N1848">
        <v>52</v>
      </c>
      <c r="O1848">
        <v>0.66666666666666663</v>
      </c>
      <c r="P1848">
        <v>104</v>
      </c>
    </row>
    <row r="1849" spans="1:16" x14ac:dyDescent="0.2">
      <c r="A1849" t="s">
        <v>5463</v>
      </c>
      <c r="B1849" t="s">
        <v>5464</v>
      </c>
      <c r="C1849" t="s">
        <v>3929</v>
      </c>
      <c r="D1849" t="s">
        <v>98</v>
      </c>
      <c r="E1849">
        <v>199.99</v>
      </c>
      <c r="F1849" t="s">
        <v>5817</v>
      </c>
      <c r="L1849" t="s">
        <v>73</v>
      </c>
      <c r="M1849">
        <v>1.2</v>
      </c>
      <c r="N1849">
        <v>30.833333333333336</v>
      </c>
      <c r="O1849">
        <v>0.41666666666666663</v>
      </c>
      <c r="P1849">
        <v>37</v>
      </c>
    </row>
    <row r="1850" spans="1:16" x14ac:dyDescent="0.2">
      <c r="A1850" t="s">
        <v>5520</v>
      </c>
      <c r="B1850" t="s">
        <v>5521</v>
      </c>
      <c r="C1850" t="s">
        <v>3929</v>
      </c>
      <c r="D1850" t="s">
        <v>138</v>
      </c>
      <c r="E1850">
        <v>89.99</v>
      </c>
      <c r="F1850" t="s">
        <v>5817</v>
      </c>
      <c r="L1850" t="s">
        <v>73</v>
      </c>
      <c r="M1850">
        <v>1</v>
      </c>
      <c r="N1850">
        <v>43</v>
      </c>
      <c r="O1850">
        <v>0.25</v>
      </c>
      <c r="P1850">
        <v>43</v>
      </c>
    </row>
    <row r="1851" spans="1:16" x14ac:dyDescent="0.2">
      <c r="A1851" t="s">
        <v>5491</v>
      </c>
      <c r="B1851" t="s">
        <v>5492</v>
      </c>
      <c r="C1851" t="s">
        <v>3929</v>
      </c>
      <c r="D1851" t="s">
        <v>98</v>
      </c>
      <c r="E1851">
        <v>219.99</v>
      </c>
      <c r="F1851" t="s">
        <v>5817</v>
      </c>
      <c r="L1851" t="s">
        <v>73</v>
      </c>
      <c r="M1851">
        <v>1</v>
      </c>
      <c r="N1851">
        <v>5</v>
      </c>
      <c r="O1851">
        <v>0.16666666666666663</v>
      </c>
      <c r="P1851">
        <v>5</v>
      </c>
    </row>
    <row r="1852" spans="1:16" x14ac:dyDescent="0.2">
      <c r="A1852" t="s">
        <v>5461</v>
      </c>
      <c r="B1852" t="s">
        <v>5462</v>
      </c>
      <c r="C1852" t="s">
        <v>3929</v>
      </c>
      <c r="D1852" t="s">
        <v>98</v>
      </c>
      <c r="E1852">
        <v>89.99</v>
      </c>
      <c r="F1852" t="s">
        <v>5817</v>
      </c>
      <c r="L1852" t="s">
        <v>73</v>
      </c>
      <c r="M1852">
        <v>0</v>
      </c>
      <c r="N1852">
        <v>0</v>
      </c>
      <c r="O1852">
        <v>0</v>
      </c>
      <c r="P1852">
        <v>0</v>
      </c>
    </row>
    <row r="1853" spans="1:16" x14ac:dyDescent="0.2">
      <c r="A1853" t="s">
        <v>5516</v>
      </c>
      <c r="B1853" t="s">
        <v>5517</v>
      </c>
      <c r="C1853" t="s">
        <v>3929</v>
      </c>
      <c r="D1853" t="s">
        <v>98</v>
      </c>
      <c r="E1853">
        <v>19.989999999999998</v>
      </c>
      <c r="F1853" t="s">
        <v>5817</v>
      </c>
      <c r="L1853" t="s">
        <v>73</v>
      </c>
      <c r="M1853">
        <v>1</v>
      </c>
      <c r="N1853">
        <v>1</v>
      </c>
      <c r="O1853">
        <v>0.25</v>
      </c>
      <c r="P1853">
        <v>1</v>
      </c>
    </row>
    <row r="1854" spans="1:16" x14ac:dyDescent="0.2">
      <c r="A1854" t="s">
        <v>4097</v>
      </c>
      <c r="B1854" t="s">
        <v>4098</v>
      </c>
      <c r="C1854" t="s">
        <v>3929</v>
      </c>
      <c r="D1854" t="s">
        <v>105</v>
      </c>
      <c r="E1854">
        <v>199.99</v>
      </c>
      <c r="F1854" t="s">
        <v>5817</v>
      </c>
      <c r="G1854">
        <v>17</v>
      </c>
      <c r="I1854">
        <v>17</v>
      </c>
      <c r="K1854">
        <v>40</v>
      </c>
      <c r="L1854" t="s">
        <v>73</v>
      </c>
      <c r="M1854">
        <v>3</v>
      </c>
      <c r="N1854">
        <v>20.666666666666668</v>
      </c>
      <c r="O1854">
        <v>4.6666666666666661</v>
      </c>
      <c r="P1854">
        <v>62</v>
      </c>
    </row>
    <row r="1855" spans="1:16" x14ac:dyDescent="0.2">
      <c r="A1855" t="s">
        <v>5118</v>
      </c>
      <c r="B1855" t="s">
        <v>5119</v>
      </c>
      <c r="C1855" t="s">
        <v>3929</v>
      </c>
      <c r="D1855" t="s">
        <v>98</v>
      </c>
      <c r="E1855">
        <v>109.99</v>
      </c>
      <c r="F1855" t="s">
        <v>5817</v>
      </c>
      <c r="L1855" t="s">
        <v>73</v>
      </c>
      <c r="M1855">
        <v>1.5</v>
      </c>
      <c r="N1855">
        <v>87.333333333333329</v>
      </c>
      <c r="O1855">
        <v>8.3333333333333329E-2</v>
      </c>
      <c r="P1855">
        <v>131</v>
      </c>
    </row>
    <row r="1856" spans="1:16" x14ac:dyDescent="0.2">
      <c r="A1856" t="s">
        <v>5584</v>
      </c>
      <c r="B1856" t="s">
        <v>5585</v>
      </c>
      <c r="C1856" t="s">
        <v>3929</v>
      </c>
      <c r="D1856" t="s">
        <v>138</v>
      </c>
      <c r="E1856">
        <v>199.99</v>
      </c>
      <c r="F1856" t="s">
        <v>5817</v>
      </c>
      <c r="L1856" t="s">
        <v>73</v>
      </c>
      <c r="M1856">
        <v>1.5</v>
      </c>
      <c r="N1856">
        <v>47.333333333333336</v>
      </c>
      <c r="O1856">
        <v>0.41666666666666663</v>
      </c>
      <c r="P1856">
        <v>71</v>
      </c>
    </row>
    <row r="1857" spans="1:16" x14ac:dyDescent="0.2">
      <c r="A1857" t="s">
        <v>4103</v>
      </c>
      <c r="B1857" t="s">
        <v>4104</v>
      </c>
      <c r="C1857" t="s">
        <v>3929</v>
      </c>
      <c r="D1857" t="s">
        <v>105</v>
      </c>
      <c r="E1857">
        <v>99.99</v>
      </c>
      <c r="F1857" t="s">
        <v>5817</v>
      </c>
      <c r="G1857">
        <v>10</v>
      </c>
      <c r="I1857">
        <v>10</v>
      </c>
      <c r="L1857" t="s">
        <v>73</v>
      </c>
      <c r="M1857">
        <v>0</v>
      </c>
      <c r="N1857">
        <v>0</v>
      </c>
      <c r="O1857">
        <v>8.3333333333333329E-2</v>
      </c>
      <c r="P1857">
        <v>24</v>
      </c>
    </row>
    <row r="1858" spans="1:16" x14ac:dyDescent="0.2">
      <c r="A1858" t="s">
        <v>5437</v>
      </c>
      <c r="B1858" t="s">
        <v>5438</v>
      </c>
      <c r="C1858" t="s">
        <v>3929</v>
      </c>
      <c r="D1858" t="s">
        <v>98</v>
      </c>
      <c r="E1858">
        <v>74.989999999999995</v>
      </c>
      <c r="F1858" t="s">
        <v>5817</v>
      </c>
      <c r="L1858" t="s">
        <v>73</v>
      </c>
      <c r="M1858">
        <v>0</v>
      </c>
      <c r="N1858">
        <v>0</v>
      </c>
      <c r="O1858">
        <v>0</v>
      </c>
      <c r="P1858">
        <v>0</v>
      </c>
    </row>
    <row r="1859" spans="1:16" x14ac:dyDescent="0.2">
      <c r="A1859" t="s">
        <v>5124</v>
      </c>
      <c r="B1859" t="s">
        <v>5125</v>
      </c>
      <c r="C1859" t="s">
        <v>3929</v>
      </c>
      <c r="D1859" t="s">
        <v>105</v>
      </c>
      <c r="E1859">
        <v>319.99</v>
      </c>
      <c r="F1859" t="s">
        <v>5817</v>
      </c>
      <c r="G1859">
        <v>10</v>
      </c>
      <c r="I1859">
        <v>10</v>
      </c>
      <c r="L1859" t="s">
        <v>73</v>
      </c>
      <c r="M1859">
        <v>2.5</v>
      </c>
      <c r="N1859">
        <v>6.4</v>
      </c>
      <c r="O1859">
        <v>1.5</v>
      </c>
      <c r="P1859">
        <v>16</v>
      </c>
    </row>
    <row r="1860" spans="1:16" x14ac:dyDescent="0.2">
      <c r="A1860" t="s">
        <v>4101</v>
      </c>
      <c r="B1860" t="s">
        <v>4102</v>
      </c>
      <c r="C1860" t="s">
        <v>3929</v>
      </c>
      <c r="D1860" t="s">
        <v>105</v>
      </c>
      <c r="E1860">
        <v>199.99</v>
      </c>
      <c r="F1860" t="s">
        <v>5817</v>
      </c>
      <c r="G1860">
        <v>20</v>
      </c>
      <c r="I1860">
        <v>20</v>
      </c>
      <c r="L1860" t="s">
        <v>73</v>
      </c>
      <c r="M1860">
        <v>0</v>
      </c>
      <c r="N1860">
        <v>0</v>
      </c>
      <c r="O1860">
        <v>0</v>
      </c>
      <c r="P1860">
        <v>17</v>
      </c>
    </row>
    <row r="1861" spans="1:16" x14ac:dyDescent="0.2">
      <c r="A1861" t="s">
        <v>4083</v>
      </c>
      <c r="B1861" t="s">
        <v>4084</v>
      </c>
      <c r="C1861" t="s">
        <v>3929</v>
      </c>
      <c r="D1861" t="s">
        <v>105</v>
      </c>
      <c r="E1861">
        <v>74.989999999999995</v>
      </c>
      <c r="F1861" t="s">
        <v>5817</v>
      </c>
      <c r="G1861">
        <v>44</v>
      </c>
      <c r="I1861">
        <v>44</v>
      </c>
      <c r="L1861" t="s">
        <v>73</v>
      </c>
      <c r="M1861">
        <v>3.166666666666667</v>
      </c>
      <c r="N1861">
        <v>16.736842105263158</v>
      </c>
      <c r="O1861">
        <v>3.6666666666666665</v>
      </c>
      <c r="P1861">
        <v>53</v>
      </c>
    </row>
    <row r="1862" spans="1:16" x14ac:dyDescent="0.2">
      <c r="A1862" t="s">
        <v>4099</v>
      </c>
      <c r="B1862" t="s">
        <v>4100</v>
      </c>
      <c r="C1862" t="s">
        <v>3929</v>
      </c>
      <c r="D1862" t="s">
        <v>105</v>
      </c>
      <c r="E1862">
        <v>249.99</v>
      </c>
      <c r="F1862" t="s">
        <v>5817</v>
      </c>
      <c r="G1862">
        <v>16</v>
      </c>
      <c r="I1862">
        <v>16</v>
      </c>
      <c r="L1862" t="s">
        <v>73</v>
      </c>
      <c r="M1862">
        <v>1.6666666666666667</v>
      </c>
      <c r="N1862">
        <v>36.6</v>
      </c>
      <c r="O1862">
        <v>1</v>
      </c>
      <c r="P1862">
        <v>61</v>
      </c>
    </row>
    <row r="1863" spans="1:16" x14ac:dyDescent="0.2">
      <c r="A1863" t="s">
        <v>5409</v>
      </c>
      <c r="B1863" t="s">
        <v>5410</v>
      </c>
      <c r="C1863" t="s">
        <v>3929</v>
      </c>
      <c r="D1863" t="s">
        <v>105</v>
      </c>
      <c r="E1863">
        <v>249.99</v>
      </c>
      <c r="F1863" t="s">
        <v>5817</v>
      </c>
      <c r="G1863">
        <v>10</v>
      </c>
      <c r="I1863">
        <v>10</v>
      </c>
      <c r="L1863" t="s">
        <v>73</v>
      </c>
      <c r="M1863">
        <v>1.3333333333333333</v>
      </c>
      <c r="N1863">
        <v>7.5</v>
      </c>
      <c r="O1863">
        <v>0.83333333333333337</v>
      </c>
      <c r="P1863">
        <v>10</v>
      </c>
    </row>
    <row r="1864" spans="1:16" x14ac:dyDescent="0.2">
      <c r="A1864" t="s">
        <v>5116</v>
      </c>
      <c r="B1864" t="s">
        <v>5117</v>
      </c>
      <c r="C1864" t="s">
        <v>3929</v>
      </c>
      <c r="D1864" t="s">
        <v>138</v>
      </c>
      <c r="E1864">
        <v>209.99</v>
      </c>
      <c r="F1864" t="s">
        <v>5817</v>
      </c>
      <c r="L1864" t="s">
        <v>73</v>
      </c>
      <c r="M1864">
        <v>2</v>
      </c>
      <c r="N1864">
        <v>39</v>
      </c>
      <c r="O1864">
        <v>1.75</v>
      </c>
      <c r="P1864">
        <v>78</v>
      </c>
    </row>
    <row r="1865" spans="1:16" x14ac:dyDescent="0.2">
      <c r="A1865" t="s">
        <v>4115</v>
      </c>
      <c r="B1865" t="s">
        <v>4116</v>
      </c>
      <c r="C1865" t="s">
        <v>3929</v>
      </c>
      <c r="D1865" t="s">
        <v>105</v>
      </c>
      <c r="E1865">
        <v>44.99</v>
      </c>
      <c r="F1865" t="s">
        <v>5817</v>
      </c>
      <c r="K1865">
        <v>20</v>
      </c>
      <c r="L1865" t="s">
        <v>73</v>
      </c>
      <c r="M1865">
        <v>3.8333333333333335</v>
      </c>
      <c r="N1865">
        <v>13.043478260869565</v>
      </c>
      <c r="O1865">
        <v>2.75</v>
      </c>
      <c r="P1865">
        <v>50</v>
      </c>
    </row>
    <row r="1866" spans="1:16" x14ac:dyDescent="0.2">
      <c r="A1866" t="s">
        <v>4042</v>
      </c>
      <c r="B1866" t="s">
        <v>4043</v>
      </c>
      <c r="C1866" t="s">
        <v>3929</v>
      </c>
      <c r="D1866" t="s">
        <v>105</v>
      </c>
      <c r="E1866">
        <v>109.99</v>
      </c>
      <c r="F1866" t="s">
        <v>5817</v>
      </c>
      <c r="G1866">
        <v>40</v>
      </c>
      <c r="I1866">
        <v>40</v>
      </c>
      <c r="L1866" t="s">
        <v>73</v>
      </c>
      <c r="M1866">
        <v>0</v>
      </c>
      <c r="N1866">
        <v>0</v>
      </c>
      <c r="O1866">
        <v>1.0833333333333333</v>
      </c>
      <c r="P1866">
        <v>6</v>
      </c>
    </row>
    <row r="1867" spans="1:16" x14ac:dyDescent="0.2">
      <c r="A1867" t="s">
        <v>5290</v>
      </c>
      <c r="B1867" t="s">
        <v>5291</v>
      </c>
      <c r="C1867" t="s">
        <v>3929</v>
      </c>
      <c r="D1867" t="s">
        <v>98</v>
      </c>
      <c r="E1867">
        <v>89.99</v>
      </c>
      <c r="F1867" t="s">
        <v>5817</v>
      </c>
      <c r="L1867" t="s">
        <v>73</v>
      </c>
      <c r="M1867">
        <v>2.25</v>
      </c>
      <c r="N1867">
        <v>18.666666666666668</v>
      </c>
      <c r="O1867">
        <v>0.75</v>
      </c>
      <c r="P1867">
        <v>42</v>
      </c>
    </row>
    <row r="1868" spans="1:16" x14ac:dyDescent="0.2">
      <c r="A1868" t="s">
        <v>4044</v>
      </c>
      <c r="B1868" t="s">
        <v>4045</v>
      </c>
      <c r="C1868" t="s">
        <v>3929</v>
      </c>
      <c r="D1868" t="s">
        <v>105</v>
      </c>
      <c r="E1868">
        <v>129.99</v>
      </c>
      <c r="F1868" t="s">
        <v>5817</v>
      </c>
      <c r="J1868">
        <v>2</v>
      </c>
      <c r="K1868">
        <v>40</v>
      </c>
      <c r="L1868" t="s">
        <v>73</v>
      </c>
      <c r="M1868">
        <v>5.25</v>
      </c>
      <c r="N1868">
        <v>7.4285714285714288</v>
      </c>
      <c r="O1868">
        <v>3.25</v>
      </c>
      <c r="P1868">
        <v>39</v>
      </c>
    </row>
    <row r="1869" spans="1:16" x14ac:dyDescent="0.2">
      <c r="A1869" t="s">
        <v>5294</v>
      </c>
      <c r="B1869" t="s">
        <v>5295</v>
      </c>
      <c r="C1869" t="s">
        <v>3929</v>
      </c>
      <c r="D1869" t="s">
        <v>138</v>
      </c>
      <c r="E1869">
        <v>89.99</v>
      </c>
      <c r="F1869" t="s">
        <v>5817</v>
      </c>
      <c r="G1869">
        <v>3</v>
      </c>
      <c r="I1869">
        <v>3</v>
      </c>
      <c r="L1869" t="s">
        <v>73</v>
      </c>
      <c r="M1869">
        <v>2.5</v>
      </c>
      <c r="N1869">
        <v>12.8</v>
      </c>
      <c r="O1869">
        <v>2</v>
      </c>
      <c r="P1869">
        <v>32</v>
      </c>
    </row>
    <row r="1870" spans="1:16" x14ac:dyDescent="0.2">
      <c r="A1870" t="s">
        <v>4038</v>
      </c>
      <c r="B1870" t="s">
        <v>4039</v>
      </c>
      <c r="C1870" t="s">
        <v>3929</v>
      </c>
      <c r="D1870" t="s">
        <v>98</v>
      </c>
      <c r="E1870">
        <v>219.99</v>
      </c>
      <c r="F1870" t="s">
        <v>5817</v>
      </c>
      <c r="L1870" t="s">
        <v>73</v>
      </c>
      <c r="M1870">
        <v>0</v>
      </c>
      <c r="N1870">
        <v>0</v>
      </c>
      <c r="O1870">
        <v>0</v>
      </c>
      <c r="P1870">
        <v>0</v>
      </c>
    </row>
    <row r="1871" spans="1:16" x14ac:dyDescent="0.2">
      <c r="A1871" t="s">
        <v>5108</v>
      </c>
      <c r="B1871" t="s">
        <v>5109</v>
      </c>
      <c r="C1871" t="s">
        <v>3929</v>
      </c>
      <c r="D1871" t="s">
        <v>98</v>
      </c>
      <c r="E1871">
        <v>89.99</v>
      </c>
      <c r="F1871" t="s">
        <v>5817</v>
      </c>
      <c r="L1871" t="s">
        <v>73</v>
      </c>
      <c r="M1871">
        <v>1</v>
      </c>
      <c r="N1871">
        <v>182</v>
      </c>
      <c r="O1871">
        <v>0.5</v>
      </c>
      <c r="P1871">
        <v>182</v>
      </c>
    </row>
    <row r="1872" spans="1:16" x14ac:dyDescent="0.2">
      <c r="A1872" t="s">
        <v>5106</v>
      </c>
      <c r="B1872" t="s">
        <v>5107</v>
      </c>
      <c r="C1872" t="s">
        <v>3929</v>
      </c>
      <c r="D1872" t="s">
        <v>138</v>
      </c>
      <c r="E1872">
        <v>89.99</v>
      </c>
      <c r="F1872" t="s">
        <v>5817</v>
      </c>
      <c r="G1872">
        <v>29</v>
      </c>
      <c r="I1872">
        <v>29</v>
      </c>
      <c r="L1872" t="s">
        <v>73</v>
      </c>
      <c r="M1872">
        <v>1</v>
      </c>
      <c r="N1872">
        <v>135</v>
      </c>
      <c r="O1872">
        <v>8.333333333333337E-2</v>
      </c>
      <c r="P1872">
        <v>135</v>
      </c>
    </row>
    <row r="1873" spans="1:16" x14ac:dyDescent="0.2">
      <c r="A1873" t="s">
        <v>4040</v>
      </c>
      <c r="B1873" t="s">
        <v>4041</v>
      </c>
      <c r="C1873" t="s">
        <v>3929</v>
      </c>
      <c r="D1873" t="s">
        <v>105</v>
      </c>
      <c r="E1873">
        <v>89.99</v>
      </c>
      <c r="F1873" t="s">
        <v>5817</v>
      </c>
      <c r="G1873">
        <v>36</v>
      </c>
      <c r="I1873">
        <v>36</v>
      </c>
      <c r="L1873" t="s">
        <v>73</v>
      </c>
      <c r="M1873">
        <v>2.3333333333333335</v>
      </c>
      <c r="N1873">
        <v>39.428571428571423</v>
      </c>
      <c r="O1873">
        <v>0.58333333333333337</v>
      </c>
      <c r="P1873">
        <v>92</v>
      </c>
    </row>
    <row r="1874" spans="1:16" x14ac:dyDescent="0.2">
      <c r="A1874" t="s">
        <v>4075</v>
      </c>
      <c r="B1874" t="s">
        <v>4076</v>
      </c>
      <c r="C1874" t="s">
        <v>3929</v>
      </c>
      <c r="D1874" t="s">
        <v>105</v>
      </c>
      <c r="E1874">
        <v>64.989999999999995</v>
      </c>
      <c r="F1874" t="s">
        <v>5817</v>
      </c>
      <c r="G1874">
        <v>93</v>
      </c>
      <c r="H1874" t="s">
        <v>5823</v>
      </c>
      <c r="I1874">
        <v>92</v>
      </c>
      <c r="L1874" t="s">
        <v>73</v>
      </c>
      <c r="M1874">
        <v>0</v>
      </c>
      <c r="N1874">
        <v>0</v>
      </c>
      <c r="O1874">
        <v>7</v>
      </c>
      <c r="P1874">
        <v>0</v>
      </c>
    </row>
    <row r="1875" spans="1:16" x14ac:dyDescent="0.2">
      <c r="A1875" t="s">
        <v>4065</v>
      </c>
      <c r="B1875" t="s">
        <v>4066</v>
      </c>
      <c r="C1875" t="s">
        <v>3929</v>
      </c>
      <c r="D1875" t="s">
        <v>105</v>
      </c>
      <c r="E1875">
        <v>259.99</v>
      </c>
      <c r="F1875" t="s">
        <v>5817</v>
      </c>
      <c r="G1875">
        <v>17</v>
      </c>
      <c r="I1875">
        <v>17</v>
      </c>
      <c r="L1875" t="s">
        <v>73</v>
      </c>
      <c r="M1875">
        <v>0</v>
      </c>
      <c r="N1875">
        <v>0</v>
      </c>
      <c r="O1875">
        <v>0</v>
      </c>
      <c r="P1875">
        <v>34</v>
      </c>
    </row>
    <row r="1876" spans="1:16" x14ac:dyDescent="0.2">
      <c r="A1876" t="s">
        <v>5193</v>
      </c>
      <c r="B1876" t="s">
        <v>5194</v>
      </c>
      <c r="C1876" t="s">
        <v>3929</v>
      </c>
      <c r="D1876" t="s">
        <v>138</v>
      </c>
      <c r="E1876">
        <v>699.99</v>
      </c>
      <c r="F1876" t="s">
        <v>5817</v>
      </c>
      <c r="L1876" t="s">
        <v>73</v>
      </c>
      <c r="M1876">
        <v>0</v>
      </c>
      <c r="N1876">
        <v>0</v>
      </c>
      <c r="O1876">
        <v>0</v>
      </c>
      <c r="P1876">
        <v>1</v>
      </c>
    </row>
    <row r="1877" spans="1:16" x14ac:dyDescent="0.2">
      <c r="A1877" t="s">
        <v>4123</v>
      </c>
      <c r="B1877" t="s">
        <v>4124</v>
      </c>
      <c r="C1877" t="s">
        <v>3929</v>
      </c>
      <c r="D1877" t="s">
        <v>105</v>
      </c>
      <c r="E1877">
        <v>29.99</v>
      </c>
      <c r="F1877" t="s">
        <v>5817</v>
      </c>
      <c r="G1877">
        <v>44</v>
      </c>
      <c r="I1877">
        <v>44</v>
      </c>
      <c r="L1877" t="s">
        <v>73</v>
      </c>
      <c r="M1877">
        <v>5.8</v>
      </c>
      <c r="N1877">
        <v>0</v>
      </c>
      <c r="O1877">
        <v>6.25</v>
      </c>
      <c r="P1877">
        <v>0</v>
      </c>
    </row>
    <row r="1878" spans="1:16" x14ac:dyDescent="0.2">
      <c r="A1878" t="s">
        <v>4067</v>
      </c>
      <c r="B1878" t="s">
        <v>4068</v>
      </c>
      <c r="C1878" t="s">
        <v>3929</v>
      </c>
      <c r="D1878" t="s">
        <v>105</v>
      </c>
      <c r="E1878">
        <v>89.99</v>
      </c>
      <c r="F1878" t="s">
        <v>5817</v>
      </c>
      <c r="G1878">
        <v>8</v>
      </c>
      <c r="I1878">
        <v>8</v>
      </c>
      <c r="L1878" t="s">
        <v>73</v>
      </c>
      <c r="M1878">
        <v>0</v>
      </c>
      <c r="N1878">
        <v>0</v>
      </c>
      <c r="O1878">
        <v>0</v>
      </c>
      <c r="P1878">
        <v>32</v>
      </c>
    </row>
    <row r="1879" spans="1:16" x14ac:dyDescent="0.2">
      <c r="A1879" t="s">
        <v>4125</v>
      </c>
      <c r="B1879" t="s">
        <v>4126</v>
      </c>
      <c r="C1879" t="s">
        <v>3929</v>
      </c>
      <c r="D1879" t="s">
        <v>105</v>
      </c>
      <c r="E1879">
        <v>99.99</v>
      </c>
      <c r="F1879" t="s">
        <v>5817</v>
      </c>
      <c r="G1879">
        <v>66</v>
      </c>
      <c r="I1879">
        <v>66</v>
      </c>
      <c r="L1879" t="s">
        <v>73</v>
      </c>
      <c r="N1879">
        <v>0</v>
      </c>
      <c r="O1879">
        <v>8.3333333333333329E-2</v>
      </c>
      <c r="P1879">
        <v>24</v>
      </c>
    </row>
    <row r="1880" spans="1:16" x14ac:dyDescent="0.2">
      <c r="A1880" t="s">
        <v>4071</v>
      </c>
      <c r="B1880" t="s">
        <v>4072</v>
      </c>
      <c r="C1880" t="s">
        <v>3929</v>
      </c>
      <c r="D1880" t="s">
        <v>98</v>
      </c>
      <c r="E1880">
        <v>199.99</v>
      </c>
      <c r="F1880" t="s">
        <v>5817</v>
      </c>
      <c r="L1880" t="s">
        <v>73</v>
      </c>
      <c r="M1880">
        <v>0</v>
      </c>
      <c r="N1880">
        <v>0</v>
      </c>
      <c r="O1880">
        <v>0</v>
      </c>
      <c r="P1880">
        <v>0</v>
      </c>
    </row>
    <row r="1881" spans="1:16" x14ac:dyDescent="0.2">
      <c r="A1881" t="s">
        <v>4119</v>
      </c>
      <c r="B1881" t="s">
        <v>4120</v>
      </c>
      <c r="C1881" t="s">
        <v>3929</v>
      </c>
      <c r="D1881" t="s">
        <v>105</v>
      </c>
      <c r="E1881">
        <v>34.99</v>
      </c>
      <c r="F1881" t="s">
        <v>5817</v>
      </c>
      <c r="G1881">
        <v>38</v>
      </c>
      <c r="I1881">
        <v>38</v>
      </c>
      <c r="L1881" t="s">
        <v>73</v>
      </c>
      <c r="M1881">
        <v>1.5</v>
      </c>
      <c r="N1881">
        <v>56.666666666666664</v>
      </c>
      <c r="O1881">
        <v>0.83333333333333337</v>
      </c>
      <c r="P1881">
        <v>85</v>
      </c>
    </row>
    <row r="1882" spans="1:16" x14ac:dyDescent="0.2">
      <c r="A1882" t="s">
        <v>5175</v>
      </c>
      <c r="B1882" t="s">
        <v>5176</v>
      </c>
      <c r="C1882" t="s">
        <v>3929</v>
      </c>
      <c r="D1882" t="s">
        <v>98</v>
      </c>
      <c r="E1882">
        <v>499.99</v>
      </c>
      <c r="F1882" t="s">
        <v>5817</v>
      </c>
      <c r="L1882" t="s">
        <v>73</v>
      </c>
      <c r="M1882">
        <v>1.5</v>
      </c>
      <c r="N1882">
        <v>0</v>
      </c>
      <c r="O1882">
        <v>8.333333333333337E-2</v>
      </c>
      <c r="P1882">
        <v>0</v>
      </c>
    </row>
    <row r="1883" spans="1:16" x14ac:dyDescent="0.2">
      <c r="A1883" t="s">
        <v>4117</v>
      </c>
      <c r="B1883" t="s">
        <v>4118</v>
      </c>
      <c r="C1883" t="s">
        <v>3929</v>
      </c>
      <c r="D1883" t="s">
        <v>105</v>
      </c>
      <c r="E1883">
        <v>39.99</v>
      </c>
      <c r="F1883" t="s">
        <v>5817</v>
      </c>
      <c r="G1883">
        <v>75</v>
      </c>
      <c r="I1883">
        <v>75</v>
      </c>
      <c r="L1883" t="s">
        <v>73</v>
      </c>
      <c r="M1883">
        <v>3.2</v>
      </c>
      <c r="N1883">
        <v>27.1875</v>
      </c>
      <c r="O1883">
        <v>1.1666666666666667</v>
      </c>
      <c r="P1883">
        <v>87</v>
      </c>
    </row>
    <row r="1884" spans="1:16" x14ac:dyDescent="0.2">
      <c r="A1884" t="s">
        <v>4073</v>
      </c>
      <c r="B1884" t="s">
        <v>4074</v>
      </c>
      <c r="C1884" t="s">
        <v>3929</v>
      </c>
      <c r="D1884" t="s">
        <v>105</v>
      </c>
      <c r="E1884">
        <v>69.989999999999995</v>
      </c>
      <c r="F1884" t="s">
        <v>5817</v>
      </c>
      <c r="G1884">
        <v>35</v>
      </c>
      <c r="I1884">
        <v>35</v>
      </c>
      <c r="L1884" t="s">
        <v>73</v>
      </c>
      <c r="M1884">
        <v>2.3333333333333335</v>
      </c>
      <c r="N1884">
        <v>26.142857142857142</v>
      </c>
      <c r="O1884">
        <v>1.0833333333333335</v>
      </c>
      <c r="P1884">
        <v>61</v>
      </c>
    </row>
    <row r="1885" spans="1:16" x14ac:dyDescent="0.2">
      <c r="A1885" t="s">
        <v>4055</v>
      </c>
      <c r="B1885" t="s">
        <v>4056</v>
      </c>
      <c r="C1885" t="s">
        <v>3929</v>
      </c>
      <c r="D1885" t="s">
        <v>105</v>
      </c>
      <c r="E1885">
        <v>159.99</v>
      </c>
      <c r="F1885" t="s">
        <v>5817</v>
      </c>
      <c r="G1885">
        <v>9</v>
      </c>
      <c r="I1885">
        <v>9</v>
      </c>
      <c r="L1885" t="s">
        <v>73</v>
      </c>
      <c r="M1885">
        <v>0</v>
      </c>
      <c r="N1885">
        <v>0</v>
      </c>
      <c r="O1885">
        <v>3.6666666666666665</v>
      </c>
      <c r="P1885">
        <v>52</v>
      </c>
    </row>
    <row r="1886" spans="1:16" x14ac:dyDescent="0.2">
      <c r="A1886" t="s">
        <v>5309</v>
      </c>
      <c r="B1886" t="s">
        <v>5310</v>
      </c>
      <c r="C1886" t="s">
        <v>3929</v>
      </c>
      <c r="D1886" t="s">
        <v>98</v>
      </c>
      <c r="E1886">
        <v>129.99</v>
      </c>
      <c r="F1886" t="s">
        <v>5817</v>
      </c>
      <c r="L1886" t="s">
        <v>73</v>
      </c>
      <c r="M1886">
        <v>0</v>
      </c>
      <c r="N1886">
        <v>0</v>
      </c>
      <c r="O1886">
        <v>0</v>
      </c>
      <c r="P1886">
        <v>0</v>
      </c>
    </row>
    <row r="1887" spans="1:16" x14ac:dyDescent="0.2">
      <c r="A1887" t="s">
        <v>4046</v>
      </c>
      <c r="B1887" t="s">
        <v>4047</v>
      </c>
      <c r="C1887" t="s">
        <v>3929</v>
      </c>
      <c r="D1887" t="s">
        <v>105</v>
      </c>
      <c r="E1887">
        <v>89.99</v>
      </c>
      <c r="F1887" t="s">
        <v>5817</v>
      </c>
      <c r="G1887">
        <v>2</v>
      </c>
      <c r="I1887">
        <v>2</v>
      </c>
      <c r="L1887" t="s">
        <v>73</v>
      </c>
      <c r="M1887">
        <v>2.5</v>
      </c>
      <c r="N1887">
        <v>16.8</v>
      </c>
      <c r="O1887">
        <v>0.33333333333333331</v>
      </c>
      <c r="P1887">
        <v>42</v>
      </c>
    </row>
    <row r="1888" spans="1:16" x14ac:dyDescent="0.2">
      <c r="A1888" t="s">
        <v>5104</v>
      </c>
      <c r="B1888" t="s">
        <v>5105</v>
      </c>
      <c r="C1888" t="s">
        <v>3929</v>
      </c>
      <c r="D1888" t="s">
        <v>105</v>
      </c>
      <c r="E1888">
        <v>69.989999999999995</v>
      </c>
      <c r="F1888" t="s">
        <v>5817</v>
      </c>
      <c r="G1888">
        <v>26</v>
      </c>
      <c r="I1888">
        <v>26</v>
      </c>
      <c r="L1888" t="s">
        <v>73</v>
      </c>
      <c r="M1888">
        <v>0</v>
      </c>
      <c r="N1888">
        <v>0</v>
      </c>
      <c r="O1888">
        <v>0</v>
      </c>
      <c r="P1888">
        <v>25</v>
      </c>
    </row>
    <row r="1889" spans="1:16" x14ac:dyDescent="0.2">
      <c r="A1889" t="s">
        <v>4127</v>
      </c>
      <c r="B1889" t="s">
        <v>4128</v>
      </c>
      <c r="C1889" t="s">
        <v>3929</v>
      </c>
      <c r="D1889" t="s">
        <v>105</v>
      </c>
      <c r="E1889">
        <v>259.99</v>
      </c>
      <c r="F1889" t="s">
        <v>5817</v>
      </c>
      <c r="G1889">
        <v>23</v>
      </c>
      <c r="I1889">
        <v>23</v>
      </c>
      <c r="L1889" t="s">
        <v>73</v>
      </c>
      <c r="M1889">
        <v>1.6666666666666665</v>
      </c>
      <c r="N1889">
        <v>68.400000000000006</v>
      </c>
      <c r="O1889">
        <v>0.41666666666666674</v>
      </c>
      <c r="P1889">
        <v>114</v>
      </c>
    </row>
    <row r="1890" spans="1:16" x14ac:dyDescent="0.2">
      <c r="A1890" t="s">
        <v>4051</v>
      </c>
      <c r="B1890" t="s">
        <v>4052</v>
      </c>
      <c r="C1890" t="s">
        <v>3929</v>
      </c>
      <c r="D1890" t="s">
        <v>105</v>
      </c>
      <c r="E1890">
        <v>129.99</v>
      </c>
      <c r="F1890" t="s">
        <v>5817</v>
      </c>
      <c r="G1890">
        <v>40</v>
      </c>
      <c r="I1890">
        <v>40</v>
      </c>
      <c r="K1890">
        <v>20</v>
      </c>
      <c r="L1890" t="s">
        <v>73</v>
      </c>
      <c r="M1890">
        <v>5.166666666666667</v>
      </c>
      <c r="N1890">
        <v>4.6451612903225801</v>
      </c>
      <c r="O1890">
        <v>3.9166666666666665</v>
      </c>
      <c r="P1890">
        <v>24</v>
      </c>
    </row>
    <row r="1891" spans="1:16" x14ac:dyDescent="0.2">
      <c r="A1891" t="s">
        <v>5110</v>
      </c>
      <c r="B1891" t="s">
        <v>5111</v>
      </c>
      <c r="C1891" t="s">
        <v>3929</v>
      </c>
      <c r="D1891" t="s">
        <v>98</v>
      </c>
      <c r="E1891">
        <v>59.99</v>
      </c>
      <c r="F1891" t="s">
        <v>5817</v>
      </c>
      <c r="L1891" t="s">
        <v>73</v>
      </c>
      <c r="M1891">
        <v>0</v>
      </c>
      <c r="N1891">
        <v>0</v>
      </c>
      <c r="O1891">
        <v>0</v>
      </c>
      <c r="P1891">
        <v>0</v>
      </c>
    </row>
    <row r="1892" spans="1:16" x14ac:dyDescent="0.2">
      <c r="A1892" t="s">
        <v>4053</v>
      </c>
      <c r="B1892" t="s">
        <v>4054</v>
      </c>
      <c r="C1892" t="s">
        <v>3929</v>
      </c>
      <c r="D1892" t="s">
        <v>105</v>
      </c>
      <c r="E1892">
        <v>149.99</v>
      </c>
      <c r="F1892" t="s">
        <v>5817</v>
      </c>
      <c r="G1892">
        <v>11</v>
      </c>
      <c r="I1892">
        <v>11</v>
      </c>
      <c r="L1892" t="s">
        <v>73</v>
      </c>
      <c r="M1892">
        <v>1.5</v>
      </c>
      <c r="N1892">
        <v>34</v>
      </c>
      <c r="O1892">
        <v>1.1666666666666665</v>
      </c>
      <c r="P1892">
        <v>51</v>
      </c>
    </row>
    <row r="1893" spans="1:16" x14ac:dyDescent="0.2">
      <c r="A1893" t="s">
        <v>5345</v>
      </c>
      <c r="B1893" t="s">
        <v>5346</v>
      </c>
      <c r="C1893" t="s">
        <v>3929</v>
      </c>
      <c r="D1893" t="s">
        <v>98</v>
      </c>
      <c r="E1893">
        <v>49.99</v>
      </c>
      <c r="F1893" t="s">
        <v>5817</v>
      </c>
      <c r="L1893" t="s">
        <v>73</v>
      </c>
      <c r="M1893">
        <v>0</v>
      </c>
      <c r="N1893">
        <v>0</v>
      </c>
      <c r="O1893">
        <v>0</v>
      </c>
      <c r="P1893">
        <v>0</v>
      </c>
    </row>
    <row r="1894" spans="1:16" x14ac:dyDescent="0.2">
      <c r="A1894" t="s">
        <v>5369</v>
      </c>
      <c r="B1894" t="s">
        <v>5370</v>
      </c>
      <c r="C1894" t="s">
        <v>3929</v>
      </c>
      <c r="D1894" t="s">
        <v>98</v>
      </c>
      <c r="E1894">
        <v>69.989999999999995</v>
      </c>
      <c r="F1894" t="s">
        <v>5817</v>
      </c>
      <c r="L1894" t="s">
        <v>73</v>
      </c>
      <c r="N1894">
        <v>0</v>
      </c>
      <c r="O1894">
        <v>0</v>
      </c>
      <c r="P1894">
        <v>265</v>
      </c>
    </row>
    <row r="1895" spans="1:16" x14ac:dyDescent="0.2">
      <c r="A1895" t="s">
        <v>4161</v>
      </c>
      <c r="B1895" t="s">
        <v>4162</v>
      </c>
      <c r="C1895" t="s">
        <v>3929</v>
      </c>
      <c r="D1895" t="s">
        <v>105</v>
      </c>
      <c r="E1895">
        <v>139.99</v>
      </c>
      <c r="F1895" t="s">
        <v>5817</v>
      </c>
      <c r="G1895">
        <v>22</v>
      </c>
      <c r="H1895" t="s">
        <v>5845</v>
      </c>
      <c r="I1895">
        <v>18</v>
      </c>
      <c r="K1895">
        <v>40</v>
      </c>
      <c r="L1895" t="s">
        <v>73</v>
      </c>
      <c r="M1895">
        <v>3.6666666666666665</v>
      </c>
      <c r="N1895">
        <v>8.1818181818181817</v>
      </c>
      <c r="O1895">
        <v>3.916666666666667</v>
      </c>
      <c r="P1895">
        <v>30</v>
      </c>
    </row>
    <row r="1896" spans="1:16" x14ac:dyDescent="0.2">
      <c r="A1896" t="s">
        <v>4091</v>
      </c>
      <c r="B1896" t="s">
        <v>4092</v>
      </c>
      <c r="C1896" t="s">
        <v>3929</v>
      </c>
      <c r="D1896" t="s">
        <v>105</v>
      </c>
      <c r="E1896">
        <v>159.99</v>
      </c>
      <c r="F1896" t="s">
        <v>5817</v>
      </c>
      <c r="G1896">
        <v>27</v>
      </c>
      <c r="I1896">
        <v>27</v>
      </c>
      <c r="L1896" t="s">
        <v>73</v>
      </c>
      <c r="M1896">
        <v>0</v>
      </c>
      <c r="N1896">
        <v>0</v>
      </c>
      <c r="O1896">
        <v>0.58333333333333337</v>
      </c>
      <c r="P1896">
        <v>0</v>
      </c>
    </row>
    <row r="1897" spans="1:16" x14ac:dyDescent="0.2">
      <c r="A1897" t="s">
        <v>3932</v>
      </c>
      <c r="B1897" t="s">
        <v>3933</v>
      </c>
      <c r="C1897" t="s">
        <v>3929</v>
      </c>
      <c r="D1897" t="s">
        <v>105</v>
      </c>
      <c r="E1897">
        <v>129.99</v>
      </c>
      <c r="F1897" t="s">
        <v>5817</v>
      </c>
      <c r="G1897">
        <v>27</v>
      </c>
      <c r="I1897">
        <v>27</v>
      </c>
      <c r="L1897" t="s">
        <v>73</v>
      </c>
      <c r="M1897">
        <v>9.3333333333333339</v>
      </c>
      <c r="N1897">
        <v>6.9642857142857135</v>
      </c>
      <c r="O1897">
        <v>5.666666666666667</v>
      </c>
      <c r="P1897">
        <v>65</v>
      </c>
    </row>
    <row r="1898" spans="1:16" x14ac:dyDescent="0.2">
      <c r="A1898" t="s">
        <v>3934</v>
      </c>
      <c r="B1898" t="s">
        <v>3935</v>
      </c>
      <c r="C1898" t="s">
        <v>3929</v>
      </c>
      <c r="D1898" t="s">
        <v>105</v>
      </c>
      <c r="E1898">
        <v>159.99</v>
      </c>
      <c r="F1898" t="s">
        <v>5817</v>
      </c>
      <c r="G1898">
        <v>5</v>
      </c>
      <c r="I1898">
        <v>5</v>
      </c>
      <c r="L1898" t="s">
        <v>73</v>
      </c>
      <c r="M1898">
        <v>0</v>
      </c>
      <c r="N1898">
        <v>0</v>
      </c>
      <c r="O1898">
        <v>4.75</v>
      </c>
      <c r="P1898">
        <v>68</v>
      </c>
    </row>
    <row r="1899" spans="1:16" x14ac:dyDescent="0.2">
      <c r="A1899" t="s">
        <v>3930</v>
      </c>
      <c r="B1899" t="s">
        <v>3931</v>
      </c>
      <c r="C1899" t="s">
        <v>3929</v>
      </c>
      <c r="D1899" t="s">
        <v>105</v>
      </c>
      <c r="E1899">
        <v>139.99</v>
      </c>
      <c r="F1899" t="s">
        <v>5817</v>
      </c>
      <c r="G1899">
        <v>52</v>
      </c>
      <c r="I1899">
        <v>52</v>
      </c>
      <c r="J1899">
        <v>25</v>
      </c>
      <c r="L1899" t="s">
        <v>73</v>
      </c>
      <c r="M1899">
        <v>5.6666666666666661</v>
      </c>
      <c r="N1899">
        <v>1.9411764705882355</v>
      </c>
      <c r="O1899">
        <v>6.666666666666667</v>
      </c>
      <c r="P1899">
        <v>11</v>
      </c>
    </row>
    <row r="1900" spans="1:16" x14ac:dyDescent="0.2">
      <c r="A1900" t="s">
        <v>5380</v>
      </c>
      <c r="B1900" t="s">
        <v>5381</v>
      </c>
      <c r="C1900" t="s">
        <v>3929</v>
      </c>
      <c r="D1900" t="s">
        <v>98</v>
      </c>
      <c r="E1900">
        <v>69.989999999999995</v>
      </c>
      <c r="F1900" t="s">
        <v>5817</v>
      </c>
      <c r="L1900" t="s">
        <v>73</v>
      </c>
      <c r="M1900">
        <v>0</v>
      </c>
      <c r="N1900">
        <v>0</v>
      </c>
      <c r="O1900">
        <v>0</v>
      </c>
      <c r="P1900">
        <v>0</v>
      </c>
    </row>
    <row r="1901" spans="1:16" x14ac:dyDescent="0.2">
      <c r="A1901" t="s">
        <v>5073</v>
      </c>
      <c r="B1901" t="s">
        <v>5074</v>
      </c>
      <c r="C1901" t="s">
        <v>3929</v>
      </c>
      <c r="D1901" t="s">
        <v>105</v>
      </c>
      <c r="E1901">
        <v>99.99</v>
      </c>
      <c r="F1901" t="s">
        <v>5817</v>
      </c>
      <c r="G1901">
        <v>29</v>
      </c>
      <c r="I1901">
        <v>29</v>
      </c>
      <c r="L1901" t="s">
        <v>73</v>
      </c>
      <c r="M1901">
        <v>2.25</v>
      </c>
      <c r="N1901">
        <v>9.7777777777777786</v>
      </c>
      <c r="O1901">
        <v>1.3333333333333333</v>
      </c>
      <c r="P1901">
        <v>22</v>
      </c>
    </row>
    <row r="1902" spans="1:16" x14ac:dyDescent="0.2">
      <c r="A1902" t="s">
        <v>3962</v>
      </c>
      <c r="B1902" t="s">
        <v>3963</v>
      </c>
      <c r="C1902" t="s">
        <v>3929</v>
      </c>
      <c r="D1902" t="s">
        <v>105</v>
      </c>
      <c r="E1902">
        <v>64.989999999999995</v>
      </c>
      <c r="F1902" t="s">
        <v>5817</v>
      </c>
      <c r="G1902">
        <v>21</v>
      </c>
      <c r="I1902">
        <v>21</v>
      </c>
      <c r="L1902" t="s">
        <v>73</v>
      </c>
      <c r="M1902">
        <v>1.6</v>
      </c>
      <c r="N1902">
        <v>69.375</v>
      </c>
      <c r="O1902">
        <v>0.83333333333333337</v>
      </c>
      <c r="P1902">
        <v>111</v>
      </c>
    </row>
    <row r="1903" spans="1:16" x14ac:dyDescent="0.2">
      <c r="A1903" t="s">
        <v>5102</v>
      </c>
      <c r="B1903" t="s">
        <v>5103</v>
      </c>
      <c r="C1903" t="s">
        <v>3929</v>
      </c>
      <c r="D1903" t="s">
        <v>98</v>
      </c>
      <c r="E1903">
        <v>99.99</v>
      </c>
      <c r="F1903" t="s">
        <v>5817</v>
      </c>
      <c r="L1903" t="s">
        <v>73</v>
      </c>
      <c r="N1903">
        <v>0</v>
      </c>
      <c r="O1903">
        <v>0</v>
      </c>
      <c r="P1903">
        <v>31</v>
      </c>
    </row>
    <row r="1904" spans="1:16" x14ac:dyDescent="0.2">
      <c r="A1904" t="s">
        <v>5120</v>
      </c>
      <c r="B1904" t="s">
        <v>5121</v>
      </c>
      <c r="C1904" t="s">
        <v>3929</v>
      </c>
      <c r="D1904" t="s">
        <v>105</v>
      </c>
      <c r="E1904">
        <v>89.99</v>
      </c>
      <c r="F1904" t="s">
        <v>5817</v>
      </c>
      <c r="G1904">
        <v>28</v>
      </c>
      <c r="I1904">
        <v>28</v>
      </c>
      <c r="L1904" t="s">
        <v>73</v>
      </c>
      <c r="M1904">
        <v>2.5</v>
      </c>
      <c r="N1904">
        <v>24</v>
      </c>
      <c r="O1904">
        <v>0.91666666666666663</v>
      </c>
      <c r="P1904">
        <v>60</v>
      </c>
    </row>
    <row r="1905" spans="1:16" x14ac:dyDescent="0.2">
      <c r="A1905" t="s">
        <v>3970</v>
      </c>
      <c r="B1905" t="s">
        <v>3971</v>
      </c>
      <c r="C1905" t="s">
        <v>3929</v>
      </c>
      <c r="D1905" t="s">
        <v>98</v>
      </c>
      <c r="E1905">
        <v>139.99</v>
      </c>
      <c r="F1905" t="s">
        <v>5817</v>
      </c>
      <c r="L1905" t="s">
        <v>73</v>
      </c>
      <c r="M1905">
        <v>0</v>
      </c>
      <c r="N1905">
        <v>0</v>
      </c>
      <c r="O1905">
        <v>0</v>
      </c>
      <c r="P1905">
        <v>0</v>
      </c>
    </row>
    <row r="1906" spans="1:16" x14ac:dyDescent="0.2">
      <c r="A1906" t="s">
        <v>3972</v>
      </c>
      <c r="B1906" t="s">
        <v>3973</v>
      </c>
      <c r="C1906" t="s">
        <v>3929</v>
      </c>
      <c r="D1906" t="s">
        <v>98</v>
      </c>
      <c r="E1906">
        <v>129.99</v>
      </c>
      <c r="F1906" t="s">
        <v>5817</v>
      </c>
      <c r="L1906" t="s">
        <v>73</v>
      </c>
      <c r="M1906">
        <v>0</v>
      </c>
      <c r="N1906">
        <v>0</v>
      </c>
      <c r="O1906">
        <v>0</v>
      </c>
      <c r="P1906">
        <v>0</v>
      </c>
    </row>
    <row r="1907" spans="1:16" x14ac:dyDescent="0.2">
      <c r="A1907" t="s">
        <v>3968</v>
      </c>
      <c r="B1907" t="s">
        <v>3969</v>
      </c>
      <c r="C1907" t="s">
        <v>3929</v>
      </c>
      <c r="D1907" t="s">
        <v>105</v>
      </c>
      <c r="E1907">
        <v>184.99</v>
      </c>
      <c r="F1907" t="s">
        <v>5817</v>
      </c>
      <c r="G1907">
        <v>32</v>
      </c>
      <c r="I1907">
        <v>32</v>
      </c>
      <c r="L1907" t="s">
        <v>73</v>
      </c>
      <c r="M1907">
        <v>1.5</v>
      </c>
      <c r="N1907">
        <v>36.666666666666664</v>
      </c>
      <c r="O1907">
        <v>0.25</v>
      </c>
      <c r="P1907">
        <v>55</v>
      </c>
    </row>
    <row r="1908" spans="1:16" x14ac:dyDescent="0.2">
      <c r="A1908" t="s">
        <v>5213</v>
      </c>
      <c r="B1908" t="s">
        <v>5214</v>
      </c>
      <c r="C1908" t="s">
        <v>3929</v>
      </c>
      <c r="D1908" t="s">
        <v>98</v>
      </c>
      <c r="E1908">
        <v>89.99</v>
      </c>
      <c r="F1908" t="s">
        <v>5817</v>
      </c>
      <c r="L1908" t="s">
        <v>73</v>
      </c>
      <c r="N1908">
        <v>0</v>
      </c>
      <c r="O1908">
        <v>0.25</v>
      </c>
      <c r="P1908">
        <v>4</v>
      </c>
    </row>
    <row r="1909" spans="1:16" x14ac:dyDescent="0.2">
      <c r="A1909" t="s">
        <v>3964</v>
      </c>
      <c r="B1909" t="s">
        <v>3965</v>
      </c>
      <c r="C1909" t="s">
        <v>3929</v>
      </c>
      <c r="D1909" t="s">
        <v>138</v>
      </c>
      <c r="E1909">
        <v>64.989999999999995</v>
      </c>
      <c r="F1909" t="s">
        <v>5817</v>
      </c>
      <c r="G1909">
        <v>40</v>
      </c>
      <c r="I1909">
        <v>40</v>
      </c>
      <c r="L1909" t="s">
        <v>73</v>
      </c>
      <c r="M1909">
        <v>2.25</v>
      </c>
      <c r="N1909">
        <v>19.111111111111111</v>
      </c>
      <c r="O1909">
        <v>1.4166666666666667</v>
      </c>
      <c r="P1909">
        <v>43</v>
      </c>
    </row>
    <row r="1910" spans="1:16" x14ac:dyDescent="0.2">
      <c r="A1910" t="s">
        <v>5582</v>
      </c>
      <c r="B1910" t="s">
        <v>5583</v>
      </c>
      <c r="C1910" t="s">
        <v>3929</v>
      </c>
      <c r="D1910" t="s">
        <v>98</v>
      </c>
      <c r="E1910">
        <v>64.989999999999995</v>
      </c>
      <c r="F1910" t="s">
        <v>5817</v>
      </c>
      <c r="L1910" t="s">
        <v>73</v>
      </c>
      <c r="M1910">
        <v>0</v>
      </c>
      <c r="N1910">
        <v>0</v>
      </c>
      <c r="O1910">
        <v>0</v>
      </c>
      <c r="P1910">
        <v>0</v>
      </c>
    </row>
    <row r="1911" spans="1:16" x14ac:dyDescent="0.2">
      <c r="A1911" t="s">
        <v>3942</v>
      </c>
      <c r="B1911" t="s">
        <v>3943</v>
      </c>
      <c r="C1911" t="s">
        <v>3929</v>
      </c>
      <c r="D1911" t="s">
        <v>105</v>
      </c>
      <c r="E1911">
        <v>149.99</v>
      </c>
      <c r="F1911" t="s">
        <v>5817</v>
      </c>
      <c r="G1911">
        <v>19</v>
      </c>
      <c r="I1911">
        <v>19</v>
      </c>
      <c r="L1911" t="s">
        <v>73</v>
      </c>
      <c r="M1911">
        <v>1.2</v>
      </c>
      <c r="N1911">
        <v>28.333333333333336</v>
      </c>
      <c r="O1911">
        <v>0.66666666666666663</v>
      </c>
      <c r="P1911">
        <v>34</v>
      </c>
    </row>
    <row r="1912" spans="1:16" x14ac:dyDescent="0.2">
      <c r="A1912" t="s">
        <v>3954</v>
      </c>
      <c r="B1912" t="s">
        <v>3955</v>
      </c>
      <c r="C1912" t="s">
        <v>3929</v>
      </c>
      <c r="D1912" t="s">
        <v>105</v>
      </c>
      <c r="E1912">
        <v>64.989999999999995</v>
      </c>
      <c r="F1912" t="s">
        <v>5817</v>
      </c>
      <c r="G1912">
        <v>2</v>
      </c>
      <c r="I1912">
        <v>2</v>
      </c>
      <c r="L1912" t="s">
        <v>73</v>
      </c>
      <c r="M1912">
        <v>1.2</v>
      </c>
      <c r="N1912">
        <v>45</v>
      </c>
      <c r="O1912">
        <v>0.41666666666666663</v>
      </c>
      <c r="P1912">
        <v>54</v>
      </c>
    </row>
    <row r="1913" spans="1:16" x14ac:dyDescent="0.2">
      <c r="A1913" t="s">
        <v>3940</v>
      </c>
      <c r="B1913" t="s">
        <v>3941</v>
      </c>
      <c r="C1913" t="s">
        <v>3929</v>
      </c>
      <c r="D1913" t="s">
        <v>105</v>
      </c>
      <c r="E1913">
        <v>209.99</v>
      </c>
      <c r="F1913" t="s">
        <v>5817</v>
      </c>
      <c r="G1913">
        <v>47</v>
      </c>
      <c r="I1913">
        <v>47</v>
      </c>
      <c r="J1913">
        <v>15</v>
      </c>
      <c r="L1913" t="s">
        <v>73</v>
      </c>
      <c r="M1913">
        <v>4.2</v>
      </c>
      <c r="N1913">
        <v>5.7142857142857144</v>
      </c>
      <c r="O1913">
        <v>4.3333333333333339</v>
      </c>
      <c r="P1913">
        <v>24</v>
      </c>
    </row>
    <row r="1914" spans="1:16" x14ac:dyDescent="0.2">
      <c r="A1914" t="s">
        <v>3960</v>
      </c>
      <c r="B1914" t="s">
        <v>3961</v>
      </c>
      <c r="C1914" t="s">
        <v>3929</v>
      </c>
      <c r="D1914" t="s">
        <v>105</v>
      </c>
      <c r="E1914">
        <v>64.989999999999995</v>
      </c>
      <c r="F1914" t="s">
        <v>5817</v>
      </c>
      <c r="G1914">
        <v>37</v>
      </c>
      <c r="I1914">
        <v>37</v>
      </c>
      <c r="J1914">
        <v>10</v>
      </c>
      <c r="K1914">
        <v>40</v>
      </c>
      <c r="L1914" t="s">
        <v>73</v>
      </c>
      <c r="M1914">
        <v>4.5999999999999996</v>
      </c>
      <c r="N1914">
        <v>0</v>
      </c>
      <c r="O1914">
        <v>2</v>
      </c>
      <c r="P1914">
        <v>0</v>
      </c>
    </row>
    <row r="1915" spans="1:16" x14ac:dyDescent="0.2">
      <c r="A1915" t="s">
        <v>4079</v>
      </c>
      <c r="B1915" t="s">
        <v>4080</v>
      </c>
      <c r="C1915" t="s">
        <v>3929</v>
      </c>
      <c r="D1915" t="s">
        <v>138</v>
      </c>
      <c r="E1915">
        <v>199.99</v>
      </c>
      <c r="F1915" t="s">
        <v>5817</v>
      </c>
      <c r="L1915" t="s">
        <v>5818</v>
      </c>
      <c r="M1915">
        <v>0</v>
      </c>
      <c r="N1915">
        <v>0</v>
      </c>
      <c r="O1915">
        <v>0</v>
      </c>
      <c r="P1915" t="s">
        <v>5819</v>
      </c>
    </row>
    <row r="1916" spans="1:16" x14ac:dyDescent="0.2">
      <c r="A1916" t="s">
        <v>4085</v>
      </c>
      <c r="B1916" t="s">
        <v>4086</v>
      </c>
      <c r="C1916" t="s">
        <v>3929</v>
      </c>
      <c r="D1916" t="s">
        <v>98</v>
      </c>
      <c r="E1916">
        <v>119.99</v>
      </c>
      <c r="F1916" t="s">
        <v>5817</v>
      </c>
      <c r="L1916" t="s">
        <v>5818</v>
      </c>
      <c r="M1916">
        <v>0</v>
      </c>
      <c r="N1916">
        <v>0</v>
      </c>
      <c r="P1916">
        <v>7</v>
      </c>
    </row>
    <row r="1917" spans="1:16" x14ac:dyDescent="0.2">
      <c r="A1917" t="s">
        <v>4053</v>
      </c>
      <c r="B1917" t="s">
        <v>4054</v>
      </c>
      <c r="C1917" t="s">
        <v>3929</v>
      </c>
      <c r="D1917" t="s">
        <v>105</v>
      </c>
      <c r="E1917">
        <v>149.99</v>
      </c>
      <c r="F1917" t="s">
        <v>5817</v>
      </c>
      <c r="G1917">
        <v>11</v>
      </c>
      <c r="I1917">
        <v>11</v>
      </c>
      <c r="L1917" t="s">
        <v>5818</v>
      </c>
      <c r="M1917">
        <v>0</v>
      </c>
      <c r="N1917">
        <v>0</v>
      </c>
      <c r="O1917">
        <v>0</v>
      </c>
      <c r="P1917" t="s">
        <v>5819</v>
      </c>
    </row>
    <row r="1918" spans="1:16" x14ac:dyDescent="0.2">
      <c r="A1918" t="s">
        <v>4055</v>
      </c>
      <c r="B1918" t="s">
        <v>4056</v>
      </c>
      <c r="C1918" t="s">
        <v>3929</v>
      </c>
      <c r="D1918" t="s">
        <v>105</v>
      </c>
      <c r="E1918">
        <v>159.99</v>
      </c>
      <c r="F1918" t="s">
        <v>5817</v>
      </c>
      <c r="G1918">
        <v>9</v>
      </c>
      <c r="I1918">
        <v>9</v>
      </c>
      <c r="L1918" t="s">
        <v>5818</v>
      </c>
      <c r="M1918">
        <v>0</v>
      </c>
      <c r="N1918">
        <v>0</v>
      </c>
      <c r="O1918">
        <v>0</v>
      </c>
      <c r="P1918" t="s">
        <v>5819</v>
      </c>
    </row>
    <row r="1919" spans="1:16" x14ac:dyDescent="0.2">
      <c r="A1919" t="s">
        <v>5463</v>
      </c>
      <c r="B1919" t="s">
        <v>5464</v>
      </c>
      <c r="C1919" t="s">
        <v>3929</v>
      </c>
      <c r="D1919" t="s">
        <v>98</v>
      </c>
      <c r="E1919">
        <v>199.99</v>
      </c>
      <c r="F1919" t="s">
        <v>5817</v>
      </c>
      <c r="L1919" t="s">
        <v>5818</v>
      </c>
      <c r="M1919">
        <v>0</v>
      </c>
      <c r="N1919">
        <v>0</v>
      </c>
      <c r="O1919">
        <v>0</v>
      </c>
      <c r="P1919" t="s">
        <v>5819</v>
      </c>
    </row>
    <row r="1920" spans="1:16" x14ac:dyDescent="0.2">
      <c r="A1920" t="s">
        <v>5075</v>
      </c>
      <c r="B1920" t="s">
        <v>5076</v>
      </c>
      <c r="C1920" t="s">
        <v>3929</v>
      </c>
      <c r="D1920" t="s">
        <v>98</v>
      </c>
      <c r="E1920">
        <v>74.989999999999995</v>
      </c>
      <c r="F1920" t="s">
        <v>5817</v>
      </c>
      <c r="L1920" t="s">
        <v>5818</v>
      </c>
      <c r="M1920">
        <v>0</v>
      </c>
      <c r="N1920">
        <v>0</v>
      </c>
      <c r="O1920">
        <v>0</v>
      </c>
      <c r="P1920" t="s">
        <v>5819</v>
      </c>
    </row>
    <row r="1921" spans="1:16" x14ac:dyDescent="0.2">
      <c r="A1921" t="s">
        <v>5491</v>
      </c>
      <c r="B1921" t="s">
        <v>5492</v>
      </c>
      <c r="C1921" t="s">
        <v>3929</v>
      </c>
      <c r="D1921" t="s">
        <v>98</v>
      </c>
      <c r="E1921">
        <v>219.99</v>
      </c>
      <c r="F1921" t="s">
        <v>5817</v>
      </c>
      <c r="L1921" t="s">
        <v>5818</v>
      </c>
      <c r="M1921">
        <v>0</v>
      </c>
      <c r="N1921">
        <v>0</v>
      </c>
      <c r="P1921">
        <v>2</v>
      </c>
    </row>
    <row r="1922" spans="1:16" x14ac:dyDescent="0.2">
      <c r="A1922" t="s">
        <v>5620</v>
      </c>
      <c r="B1922" t="s">
        <v>5621</v>
      </c>
      <c r="C1922" t="s">
        <v>3929</v>
      </c>
      <c r="D1922" t="s">
        <v>98</v>
      </c>
      <c r="E1922">
        <v>79.989999999999995</v>
      </c>
      <c r="F1922" t="s">
        <v>5817</v>
      </c>
      <c r="L1922" t="s">
        <v>5818</v>
      </c>
      <c r="M1922">
        <v>0</v>
      </c>
      <c r="N1922">
        <v>0</v>
      </c>
      <c r="O1922">
        <v>0</v>
      </c>
      <c r="P1922" t="s">
        <v>5819</v>
      </c>
    </row>
    <row r="1923" spans="1:16" x14ac:dyDescent="0.2">
      <c r="A1923" t="s">
        <v>5552</v>
      </c>
      <c r="B1923" t="s">
        <v>5553</v>
      </c>
      <c r="C1923" t="s">
        <v>3929</v>
      </c>
      <c r="D1923" t="s">
        <v>98</v>
      </c>
      <c r="E1923">
        <v>44.99</v>
      </c>
      <c r="F1923" t="s">
        <v>5817</v>
      </c>
      <c r="L1923" t="s">
        <v>5818</v>
      </c>
      <c r="M1923">
        <v>0</v>
      </c>
      <c r="N1923">
        <v>0</v>
      </c>
      <c r="O1923">
        <v>0</v>
      </c>
      <c r="P1923" t="s">
        <v>5819</v>
      </c>
    </row>
    <row r="1924" spans="1:16" x14ac:dyDescent="0.2">
      <c r="A1924" t="s">
        <v>4083</v>
      </c>
      <c r="B1924" t="s">
        <v>4084</v>
      </c>
      <c r="C1924" t="s">
        <v>3929</v>
      </c>
      <c r="D1924" t="s">
        <v>105</v>
      </c>
      <c r="E1924">
        <v>74.989999999999995</v>
      </c>
      <c r="F1924" t="s">
        <v>5817</v>
      </c>
      <c r="G1924">
        <v>44</v>
      </c>
      <c r="I1924">
        <v>44</v>
      </c>
      <c r="L1924" t="s">
        <v>5818</v>
      </c>
      <c r="M1924">
        <v>0</v>
      </c>
      <c r="N1924">
        <v>0</v>
      </c>
      <c r="O1924">
        <v>0</v>
      </c>
      <c r="P1924">
        <v>42</v>
      </c>
    </row>
    <row r="1925" spans="1:16" x14ac:dyDescent="0.2">
      <c r="A1925" t="s">
        <v>5437</v>
      </c>
      <c r="B1925" t="s">
        <v>5438</v>
      </c>
      <c r="C1925" t="s">
        <v>3929</v>
      </c>
      <c r="D1925" t="s">
        <v>98</v>
      </c>
      <c r="E1925">
        <v>74.989999999999995</v>
      </c>
      <c r="F1925" t="s">
        <v>5817</v>
      </c>
      <c r="L1925" t="s">
        <v>5818</v>
      </c>
      <c r="M1925">
        <v>0</v>
      </c>
      <c r="N1925">
        <v>0</v>
      </c>
      <c r="O1925">
        <v>0</v>
      </c>
      <c r="P1925" t="s">
        <v>5819</v>
      </c>
    </row>
    <row r="1926" spans="1:16" x14ac:dyDescent="0.2">
      <c r="A1926" t="s">
        <v>5083</v>
      </c>
      <c r="B1926" t="s">
        <v>5084</v>
      </c>
      <c r="C1926" t="s">
        <v>3929</v>
      </c>
      <c r="D1926" t="s">
        <v>105</v>
      </c>
      <c r="E1926">
        <v>64.989999999999995</v>
      </c>
      <c r="F1926" t="s">
        <v>5817</v>
      </c>
      <c r="G1926">
        <v>71</v>
      </c>
      <c r="I1926">
        <v>71</v>
      </c>
      <c r="L1926" t="s">
        <v>5818</v>
      </c>
      <c r="M1926">
        <v>0</v>
      </c>
      <c r="N1926">
        <v>0</v>
      </c>
      <c r="O1926">
        <v>0</v>
      </c>
      <c r="P1926" t="s">
        <v>5819</v>
      </c>
    </row>
    <row r="1927" spans="1:16" x14ac:dyDescent="0.2">
      <c r="A1927" t="s">
        <v>4071</v>
      </c>
      <c r="B1927" t="s">
        <v>4072</v>
      </c>
      <c r="C1927" t="s">
        <v>3929</v>
      </c>
      <c r="D1927" t="s">
        <v>98</v>
      </c>
      <c r="E1927">
        <v>199.99</v>
      </c>
      <c r="F1927" t="s">
        <v>5817</v>
      </c>
      <c r="L1927" t="s">
        <v>5818</v>
      </c>
      <c r="M1927">
        <v>0</v>
      </c>
      <c r="N1927">
        <v>0</v>
      </c>
      <c r="P1927">
        <v>0</v>
      </c>
    </row>
    <row r="1928" spans="1:16" x14ac:dyDescent="0.2">
      <c r="A1928" t="s">
        <v>4081</v>
      </c>
      <c r="B1928" t="s">
        <v>4082</v>
      </c>
      <c r="C1928" t="s">
        <v>3929</v>
      </c>
      <c r="D1928" t="s">
        <v>98</v>
      </c>
      <c r="E1928">
        <v>109.99</v>
      </c>
      <c r="F1928" t="s">
        <v>5817</v>
      </c>
      <c r="L1928" t="s">
        <v>5818</v>
      </c>
      <c r="M1928">
        <v>0</v>
      </c>
      <c r="N1928">
        <v>0</v>
      </c>
      <c r="O1928">
        <v>0</v>
      </c>
      <c r="P1928" t="s">
        <v>5819</v>
      </c>
    </row>
    <row r="1929" spans="1:16" x14ac:dyDescent="0.2">
      <c r="A1929" t="s">
        <v>5118</v>
      </c>
      <c r="B1929" t="s">
        <v>5119</v>
      </c>
      <c r="C1929" t="s">
        <v>3929</v>
      </c>
      <c r="D1929" t="s">
        <v>98</v>
      </c>
      <c r="E1929">
        <v>109.99</v>
      </c>
      <c r="F1929" t="s">
        <v>5817</v>
      </c>
      <c r="L1929" t="s">
        <v>5818</v>
      </c>
      <c r="M1929">
        <v>0</v>
      </c>
      <c r="N1929">
        <v>0</v>
      </c>
      <c r="O1929">
        <v>0</v>
      </c>
      <c r="P1929" t="s">
        <v>5819</v>
      </c>
    </row>
    <row r="1930" spans="1:16" x14ac:dyDescent="0.2">
      <c r="A1930" t="s">
        <v>4075</v>
      </c>
      <c r="B1930" t="s">
        <v>4076</v>
      </c>
      <c r="C1930" t="s">
        <v>3929</v>
      </c>
      <c r="D1930" t="s">
        <v>105</v>
      </c>
      <c r="E1930">
        <v>64.989999999999995</v>
      </c>
      <c r="F1930" t="s">
        <v>5817</v>
      </c>
      <c r="G1930">
        <v>93</v>
      </c>
      <c r="H1930" t="s">
        <v>5823</v>
      </c>
      <c r="I1930">
        <v>92</v>
      </c>
      <c r="L1930" t="s">
        <v>5818</v>
      </c>
      <c r="M1930">
        <v>0</v>
      </c>
      <c r="N1930">
        <v>0</v>
      </c>
      <c r="O1930">
        <v>0</v>
      </c>
      <c r="P1930">
        <v>43</v>
      </c>
    </row>
    <row r="1931" spans="1:16" x14ac:dyDescent="0.2">
      <c r="A1931" t="s">
        <v>4073</v>
      </c>
      <c r="B1931" t="s">
        <v>4074</v>
      </c>
      <c r="C1931" t="s">
        <v>3929</v>
      </c>
      <c r="D1931" t="s">
        <v>105</v>
      </c>
      <c r="E1931">
        <v>69.989999999999995</v>
      </c>
      <c r="F1931" t="s">
        <v>5817</v>
      </c>
      <c r="G1931">
        <v>35</v>
      </c>
      <c r="I1931">
        <v>35</v>
      </c>
      <c r="L1931" t="s">
        <v>5818</v>
      </c>
      <c r="M1931">
        <v>0</v>
      </c>
      <c r="N1931">
        <v>0</v>
      </c>
      <c r="O1931">
        <v>0</v>
      </c>
      <c r="P1931">
        <v>36</v>
      </c>
    </row>
    <row r="1932" spans="1:16" x14ac:dyDescent="0.2">
      <c r="A1932" t="s">
        <v>4077</v>
      </c>
      <c r="B1932" t="s">
        <v>4078</v>
      </c>
      <c r="C1932" t="s">
        <v>3929</v>
      </c>
      <c r="D1932" t="s">
        <v>105</v>
      </c>
      <c r="E1932">
        <v>74.989999999999995</v>
      </c>
      <c r="F1932" t="s">
        <v>5817</v>
      </c>
      <c r="G1932">
        <v>122</v>
      </c>
      <c r="I1932">
        <v>122</v>
      </c>
      <c r="L1932" t="s">
        <v>5818</v>
      </c>
      <c r="M1932">
        <v>0</v>
      </c>
      <c r="N1932">
        <v>0</v>
      </c>
      <c r="P1932">
        <v>43</v>
      </c>
    </row>
    <row r="1933" spans="1:16" x14ac:dyDescent="0.2">
      <c r="A1933" t="s">
        <v>3972</v>
      </c>
      <c r="B1933" t="s">
        <v>3973</v>
      </c>
      <c r="C1933" t="s">
        <v>3929</v>
      </c>
      <c r="D1933" t="s">
        <v>98</v>
      </c>
      <c r="E1933">
        <v>129.99</v>
      </c>
      <c r="F1933" t="s">
        <v>5817</v>
      </c>
      <c r="L1933" t="s">
        <v>5818</v>
      </c>
      <c r="M1933">
        <v>0</v>
      </c>
      <c r="N1933">
        <v>0</v>
      </c>
      <c r="O1933">
        <v>0</v>
      </c>
      <c r="P1933" t="s">
        <v>5819</v>
      </c>
    </row>
    <row r="1934" spans="1:16" x14ac:dyDescent="0.2">
      <c r="A1934" t="s">
        <v>3942</v>
      </c>
      <c r="B1934" t="s">
        <v>3943</v>
      </c>
      <c r="C1934" t="s">
        <v>3929</v>
      </c>
      <c r="D1934" t="s">
        <v>105</v>
      </c>
      <c r="E1934">
        <v>149.99</v>
      </c>
      <c r="F1934" t="s">
        <v>5817</v>
      </c>
      <c r="G1934">
        <v>19</v>
      </c>
      <c r="I1934">
        <v>19</v>
      </c>
      <c r="L1934" t="s">
        <v>5818</v>
      </c>
      <c r="M1934">
        <v>0</v>
      </c>
      <c r="N1934">
        <v>0</v>
      </c>
      <c r="O1934">
        <v>0</v>
      </c>
      <c r="P1934" t="s">
        <v>5819</v>
      </c>
    </row>
    <row r="1935" spans="1:16" x14ac:dyDescent="0.2">
      <c r="A1935" t="s">
        <v>5087</v>
      </c>
      <c r="B1935" t="s">
        <v>5088</v>
      </c>
      <c r="C1935" t="s">
        <v>3929</v>
      </c>
      <c r="D1935" t="s">
        <v>105</v>
      </c>
      <c r="E1935">
        <v>79.989999999999995</v>
      </c>
      <c r="F1935" t="s">
        <v>5817</v>
      </c>
      <c r="G1935">
        <v>227</v>
      </c>
      <c r="I1935">
        <v>227</v>
      </c>
      <c r="L1935" t="s">
        <v>5818</v>
      </c>
      <c r="M1935">
        <v>0</v>
      </c>
      <c r="N1935">
        <v>0</v>
      </c>
      <c r="P1935">
        <v>46</v>
      </c>
    </row>
    <row r="1936" spans="1:16" x14ac:dyDescent="0.2">
      <c r="A1936" t="s">
        <v>5181</v>
      </c>
      <c r="B1936" t="s">
        <v>5182</v>
      </c>
      <c r="C1936" t="s">
        <v>3929</v>
      </c>
      <c r="D1936" t="s">
        <v>138</v>
      </c>
      <c r="E1936">
        <v>79.989999999999995</v>
      </c>
      <c r="F1936" t="s">
        <v>5817</v>
      </c>
      <c r="G1936">
        <v>16</v>
      </c>
      <c r="I1936">
        <v>16</v>
      </c>
      <c r="L1936" t="s">
        <v>5818</v>
      </c>
      <c r="M1936">
        <v>0</v>
      </c>
      <c r="N1936">
        <v>0</v>
      </c>
      <c r="P1936">
        <v>2</v>
      </c>
    </row>
    <row r="1937" spans="1:16" x14ac:dyDescent="0.2">
      <c r="A1937" t="s">
        <v>3954</v>
      </c>
      <c r="B1937" t="s">
        <v>3955</v>
      </c>
      <c r="C1937" t="s">
        <v>3929</v>
      </c>
      <c r="D1937" t="s">
        <v>105</v>
      </c>
      <c r="E1937">
        <v>64.989999999999995</v>
      </c>
      <c r="F1937" t="s">
        <v>5817</v>
      </c>
      <c r="G1937">
        <v>2</v>
      </c>
      <c r="I1937">
        <v>2</v>
      </c>
      <c r="L1937" t="s">
        <v>5818</v>
      </c>
      <c r="M1937">
        <v>0</v>
      </c>
      <c r="N1937">
        <v>0</v>
      </c>
      <c r="O1937">
        <v>0</v>
      </c>
      <c r="P1937" t="s">
        <v>5819</v>
      </c>
    </row>
    <row r="1938" spans="1:16" x14ac:dyDescent="0.2">
      <c r="A1938" t="s">
        <v>3998</v>
      </c>
      <c r="B1938" t="s">
        <v>3999</v>
      </c>
      <c r="C1938" t="s">
        <v>3929</v>
      </c>
      <c r="D1938" t="s">
        <v>105</v>
      </c>
      <c r="E1938">
        <v>79.989999999999995</v>
      </c>
      <c r="F1938" t="s">
        <v>5817</v>
      </c>
      <c r="G1938">
        <v>6</v>
      </c>
      <c r="I1938">
        <v>6</v>
      </c>
      <c r="L1938" t="s">
        <v>5818</v>
      </c>
      <c r="M1938">
        <v>0</v>
      </c>
      <c r="N1938">
        <v>0</v>
      </c>
      <c r="P1938">
        <v>2</v>
      </c>
    </row>
    <row r="1939" spans="1:16" x14ac:dyDescent="0.2">
      <c r="A1939" t="s">
        <v>5582</v>
      </c>
      <c r="B1939" t="s">
        <v>5583</v>
      </c>
      <c r="C1939" t="s">
        <v>3929</v>
      </c>
      <c r="D1939" t="s">
        <v>98</v>
      </c>
      <c r="E1939">
        <v>64.989999999999995</v>
      </c>
      <c r="F1939" t="s">
        <v>5817</v>
      </c>
      <c r="L1939" t="s">
        <v>5818</v>
      </c>
      <c r="M1939">
        <v>0</v>
      </c>
      <c r="N1939">
        <v>0</v>
      </c>
      <c r="O1939">
        <v>0</v>
      </c>
      <c r="P1939" t="s">
        <v>5819</v>
      </c>
    </row>
    <row r="1940" spans="1:16" x14ac:dyDescent="0.2">
      <c r="A1940" t="s">
        <v>3960</v>
      </c>
      <c r="B1940" t="s">
        <v>3961</v>
      </c>
      <c r="C1940" t="s">
        <v>3929</v>
      </c>
      <c r="D1940" t="s">
        <v>105</v>
      </c>
      <c r="E1940">
        <v>64.989999999999995</v>
      </c>
      <c r="F1940" t="s">
        <v>5817</v>
      </c>
      <c r="G1940">
        <v>37</v>
      </c>
      <c r="I1940">
        <v>37</v>
      </c>
      <c r="J1940">
        <v>10</v>
      </c>
      <c r="K1940">
        <v>40</v>
      </c>
      <c r="L1940" t="s">
        <v>5818</v>
      </c>
      <c r="M1940">
        <v>0</v>
      </c>
      <c r="N1940">
        <v>0</v>
      </c>
      <c r="O1940">
        <v>0</v>
      </c>
      <c r="P1940">
        <v>38</v>
      </c>
    </row>
    <row r="1941" spans="1:16" x14ac:dyDescent="0.2">
      <c r="A1941" t="s">
        <v>3990</v>
      </c>
      <c r="B1941" t="s">
        <v>3991</v>
      </c>
      <c r="C1941" t="s">
        <v>3929</v>
      </c>
      <c r="D1941" t="s">
        <v>105</v>
      </c>
      <c r="E1941">
        <v>129.99</v>
      </c>
      <c r="F1941" t="s">
        <v>5817</v>
      </c>
      <c r="G1941">
        <v>71</v>
      </c>
      <c r="I1941">
        <v>71</v>
      </c>
      <c r="K1941">
        <v>40</v>
      </c>
      <c r="L1941" t="s">
        <v>5818</v>
      </c>
      <c r="M1941">
        <v>0</v>
      </c>
      <c r="N1941">
        <v>0</v>
      </c>
      <c r="O1941">
        <v>0</v>
      </c>
      <c r="P1941">
        <v>26</v>
      </c>
    </row>
    <row r="1942" spans="1:16" x14ac:dyDescent="0.2">
      <c r="A1942" t="s">
        <v>5624</v>
      </c>
      <c r="B1942" t="s">
        <v>5625</v>
      </c>
      <c r="C1942" t="s">
        <v>3929</v>
      </c>
      <c r="D1942" t="s">
        <v>98</v>
      </c>
      <c r="E1942">
        <v>99.99</v>
      </c>
      <c r="F1942" t="s">
        <v>5817</v>
      </c>
      <c r="L1942" t="s">
        <v>5818</v>
      </c>
      <c r="M1942">
        <v>0</v>
      </c>
      <c r="N1942">
        <v>0</v>
      </c>
      <c r="O1942">
        <v>0</v>
      </c>
      <c r="P1942" t="s">
        <v>5819</v>
      </c>
    </row>
    <row r="1943" spans="1:16" x14ac:dyDescent="0.2">
      <c r="A1943" t="s">
        <v>5329</v>
      </c>
      <c r="B1943" t="s">
        <v>5330</v>
      </c>
      <c r="C1943" t="s">
        <v>3929</v>
      </c>
      <c r="D1943" t="s">
        <v>138</v>
      </c>
      <c r="E1943">
        <v>79.989999999999995</v>
      </c>
      <c r="F1943" t="s">
        <v>5817</v>
      </c>
      <c r="G1943">
        <v>24</v>
      </c>
      <c r="I1943">
        <v>24</v>
      </c>
      <c r="L1943" t="s">
        <v>5818</v>
      </c>
      <c r="M1943">
        <v>0</v>
      </c>
      <c r="N1943">
        <v>0</v>
      </c>
      <c r="P1943">
        <v>26</v>
      </c>
    </row>
    <row r="1944" spans="1:16" x14ac:dyDescent="0.2">
      <c r="A1944" t="s">
        <v>3940</v>
      </c>
      <c r="B1944" t="s">
        <v>3941</v>
      </c>
      <c r="C1944" t="s">
        <v>3929</v>
      </c>
      <c r="D1944" t="s">
        <v>105</v>
      </c>
      <c r="E1944">
        <v>209.99</v>
      </c>
      <c r="F1944" t="s">
        <v>5817</v>
      </c>
      <c r="G1944">
        <v>47</v>
      </c>
      <c r="I1944">
        <v>47</v>
      </c>
      <c r="J1944">
        <v>15</v>
      </c>
      <c r="L1944" t="s">
        <v>5818</v>
      </c>
      <c r="M1944">
        <v>0</v>
      </c>
      <c r="N1944">
        <v>0</v>
      </c>
      <c r="O1944">
        <v>0</v>
      </c>
      <c r="P1944">
        <v>45</v>
      </c>
    </row>
    <row r="1945" spans="1:16" x14ac:dyDescent="0.2">
      <c r="A1945" t="s">
        <v>5321</v>
      </c>
      <c r="B1945" t="s">
        <v>5322</v>
      </c>
      <c r="C1945" t="s">
        <v>3929</v>
      </c>
      <c r="D1945" t="s">
        <v>98</v>
      </c>
      <c r="E1945">
        <v>69.989999999999995</v>
      </c>
      <c r="F1945" t="s">
        <v>5817</v>
      </c>
      <c r="L1945" t="s">
        <v>5818</v>
      </c>
      <c r="M1945">
        <v>0</v>
      </c>
      <c r="N1945">
        <v>0</v>
      </c>
      <c r="O1945">
        <v>0</v>
      </c>
      <c r="P1945" t="s">
        <v>5819</v>
      </c>
    </row>
    <row r="1946" spans="1:16" x14ac:dyDescent="0.2">
      <c r="A1946" t="s">
        <v>3930</v>
      </c>
      <c r="B1946" t="s">
        <v>3931</v>
      </c>
      <c r="C1946" t="s">
        <v>3929</v>
      </c>
      <c r="D1946" t="s">
        <v>105</v>
      </c>
      <c r="E1946">
        <v>139.99</v>
      </c>
      <c r="F1946" t="s">
        <v>5817</v>
      </c>
      <c r="G1946">
        <v>52</v>
      </c>
      <c r="I1946">
        <v>52</v>
      </c>
      <c r="J1946">
        <v>25</v>
      </c>
      <c r="L1946" t="s">
        <v>5818</v>
      </c>
      <c r="M1946">
        <v>0</v>
      </c>
      <c r="N1946">
        <v>0</v>
      </c>
      <c r="O1946">
        <v>0</v>
      </c>
      <c r="P1946">
        <v>42</v>
      </c>
    </row>
    <row r="1947" spans="1:16" x14ac:dyDescent="0.2">
      <c r="A1947" t="s">
        <v>5317</v>
      </c>
      <c r="B1947" t="s">
        <v>5318</v>
      </c>
      <c r="C1947" t="s">
        <v>3929</v>
      </c>
      <c r="D1947" t="s">
        <v>98</v>
      </c>
      <c r="E1947">
        <v>69.989999999999995</v>
      </c>
      <c r="F1947" t="s">
        <v>5817</v>
      </c>
      <c r="L1947" t="s">
        <v>5818</v>
      </c>
      <c r="M1947">
        <v>0</v>
      </c>
      <c r="N1947">
        <v>0</v>
      </c>
      <c r="O1947">
        <v>0</v>
      </c>
      <c r="P1947" t="s">
        <v>5819</v>
      </c>
    </row>
    <row r="1948" spans="1:16" x14ac:dyDescent="0.2">
      <c r="A1948" t="s">
        <v>3932</v>
      </c>
      <c r="B1948" t="s">
        <v>3933</v>
      </c>
      <c r="C1948" t="s">
        <v>3929</v>
      </c>
      <c r="D1948" t="s">
        <v>105</v>
      </c>
      <c r="E1948">
        <v>129.99</v>
      </c>
      <c r="F1948" t="s">
        <v>5817</v>
      </c>
      <c r="G1948">
        <v>27</v>
      </c>
      <c r="I1948">
        <v>27</v>
      </c>
      <c r="L1948" t="s">
        <v>5818</v>
      </c>
      <c r="M1948">
        <v>0</v>
      </c>
      <c r="N1948">
        <v>0</v>
      </c>
      <c r="O1948">
        <v>0</v>
      </c>
      <c r="P1948">
        <v>38</v>
      </c>
    </row>
    <row r="1949" spans="1:16" x14ac:dyDescent="0.2">
      <c r="A1949" t="s">
        <v>5325</v>
      </c>
      <c r="B1949" t="s">
        <v>5326</v>
      </c>
      <c r="C1949" t="s">
        <v>3929</v>
      </c>
      <c r="D1949" t="s">
        <v>105</v>
      </c>
      <c r="E1949">
        <v>69.989999999999995</v>
      </c>
      <c r="F1949" t="s">
        <v>5817</v>
      </c>
      <c r="J1949">
        <v>1</v>
      </c>
      <c r="L1949" t="s">
        <v>5818</v>
      </c>
      <c r="M1949">
        <v>0</v>
      </c>
      <c r="N1949">
        <v>0</v>
      </c>
      <c r="O1949">
        <v>0</v>
      </c>
      <c r="P1949" t="s">
        <v>5819</v>
      </c>
    </row>
    <row r="1950" spans="1:16" x14ac:dyDescent="0.2">
      <c r="A1950" t="s">
        <v>3934</v>
      </c>
      <c r="B1950" t="s">
        <v>3935</v>
      </c>
      <c r="C1950" t="s">
        <v>3929</v>
      </c>
      <c r="D1950" t="s">
        <v>105</v>
      </c>
      <c r="E1950">
        <v>159.99</v>
      </c>
      <c r="F1950" t="s">
        <v>5817</v>
      </c>
      <c r="G1950">
        <v>5</v>
      </c>
      <c r="I1950">
        <v>5</v>
      </c>
      <c r="L1950" t="s">
        <v>5818</v>
      </c>
      <c r="M1950">
        <v>0</v>
      </c>
      <c r="N1950">
        <v>0</v>
      </c>
      <c r="P1950" t="s">
        <v>5824</v>
      </c>
    </row>
    <row r="1951" spans="1:16" x14ac:dyDescent="0.2">
      <c r="A1951" t="s">
        <v>5341</v>
      </c>
      <c r="B1951" t="s">
        <v>5342</v>
      </c>
      <c r="C1951" t="s">
        <v>3929</v>
      </c>
      <c r="D1951" t="s">
        <v>98</v>
      </c>
      <c r="E1951">
        <v>69.989999999999995</v>
      </c>
      <c r="F1951" t="s">
        <v>5817</v>
      </c>
      <c r="L1951" t="s">
        <v>5818</v>
      </c>
      <c r="M1951">
        <v>0</v>
      </c>
      <c r="N1951">
        <v>0</v>
      </c>
      <c r="O1951">
        <v>0</v>
      </c>
      <c r="P1951" t="s">
        <v>5819</v>
      </c>
    </row>
    <row r="1952" spans="1:16" x14ac:dyDescent="0.2">
      <c r="A1952" t="s">
        <v>5333</v>
      </c>
      <c r="B1952" t="s">
        <v>5334</v>
      </c>
      <c r="C1952" t="s">
        <v>3929</v>
      </c>
      <c r="D1952" t="s">
        <v>105</v>
      </c>
      <c r="E1952">
        <v>69.989999999999995</v>
      </c>
      <c r="F1952" t="s">
        <v>5817</v>
      </c>
      <c r="G1952">
        <v>41</v>
      </c>
      <c r="I1952">
        <v>41</v>
      </c>
      <c r="L1952" t="s">
        <v>5818</v>
      </c>
      <c r="M1952">
        <v>0</v>
      </c>
      <c r="N1952">
        <v>0</v>
      </c>
      <c r="O1952">
        <v>0</v>
      </c>
      <c r="P1952" t="s">
        <v>5819</v>
      </c>
    </row>
    <row r="1953" spans="1:16" x14ac:dyDescent="0.2">
      <c r="A1953" t="s">
        <v>5138</v>
      </c>
      <c r="B1953" t="s">
        <v>5139</v>
      </c>
      <c r="C1953" t="s">
        <v>3929</v>
      </c>
      <c r="D1953" t="s">
        <v>98</v>
      </c>
      <c r="E1953">
        <v>129.99</v>
      </c>
      <c r="F1953" t="s">
        <v>5817</v>
      </c>
      <c r="L1953" t="s">
        <v>5818</v>
      </c>
      <c r="M1953">
        <v>0</v>
      </c>
      <c r="N1953">
        <v>0</v>
      </c>
      <c r="O1953">
        <v>0</v>
      </c>
      <c r="P1953" t="s">
        <v>5819</v>
      </c>
    </row>
    <row r="1954" spans="1:16" x14ac:dyDescent="0.2">
      <c r="A1954" t="s">
        <v>5213</v>
      </c>
      <c r="B1954" t="s">
        <v>5214</v>
      </c>
      <c r="C1954" t="s">
        <v>3929</v>
      </c>
      <c r="D1954" t="s">
        <v>98</v>
      </c>
      <c r="E1954">
        <v>89.99</v>
      </c>
      <c r="F1954" t="s">
        <v>5817</v>
      </c>
      <c r="L1954" t="s">
        <v>5818</v>
      </c>
      <c r="M1954">
        <v>0</v>
      </c>
      <c r="N1954">
        <v>0</v>
      </c>
      <c r="O1954">
        <v>0</v>
      </c>
      <c r="P1954" t="s">
        <v>5819</v>
      </c>
    </row>
    <row r="1955" spans="1:16" x14ac:dyDescent="0.2">
      <c r="A1955" t="s">
        <v>3982</v>
      </c>
      <c r="B1955" t="s">
        <v>3983</v>
      </c>
      <c r="C1955" t="s">
        <v>3929</v>
      </c>
      <c r="D1955" t="s">
        <v>98</v>
      </c>
      <c r="E1955">
        <v>109.99</v>
      </c>
      <c r="F1955" t="s">
        <v>5817</v>
      </c>
      <c r="L1955" t="s">
        <v>5818</v>
      </c>
      <c r="M1955">
        <v>0</v>
      </c>
      <c r="N1955">
        <v>0</v>
      </c>
      <c r="O1955">
        <v>0</v>
      </c>
      <c r="P1955" t="s">
        <v>5819</v>
      </c>
    </row>
    <row r="1956" spans="1:16" x14ac:dyDescent="0.2">
      <c r="A1956" t="s">
        <v>3964</v>
      </c>
      <c r="B1956" t="s">
        <v>3965</v>
      </c>
      <c r="C1956" t="s">
        <v>3929</v>
      </c>
      <c r="D1956" t="s">
        <v>138</v>
      </c>
      <c r="E1956">
        <v>64.989999999999995</v>
      </c>
      <c r="F1956" t="s">
        <v>5817</v>
      </c>
      <c r="G1956">
        <v>40</v>
      </c>
      <c r="I1956">
        <v>40</v>
      </c>
      <c r="L1956" t="s">
        <v>5818</v>
      </c>
      <c r="M1956">
        <v>0</v>
      </c>
      <c r="N1956">
        <v>0</v>
      </c>
      <c r="P1956">
        <v>3</v>
      </c>
    </row>
    <row r="1957" spans="1:16" x14ac:dyDescent="0.2">
      <c r="A1957" t="s">
        <v>3980</v>
      </c>
      <c r="B1957" t="s">
        <v>3981</v>
      </c>
      <c r="C1957" t="s">
        <v>3929</v>
      </c>
      <c r="D1957" t="s">
        <v>105</v>
      </c>
      <c r="E1957">
        <v>24.99</v>
      </c>
      <c r="F1957" t="s">
        <v>5817</v>
      </c>
      <c r="G1957">
        <v>242</v>
      </c>
      <c r="I1957">
        <v>242</v>
      </c>
      <c r="L1957" t="s">
        <v>5818</v>
      </c>
      <c r="M1957">
        <v>0</v>
      </c>
      <c r="N1957">
        <v>0</v>
      </c>
      <c r="P1957">
        <v>45</v>
      </c>
    </row>
    <row r="1958" spans="1:16" x14ac:dyDescent="0.2">
      <c r="A1958" t="s">
        <v>3978</v>
      </c>
      <c r="B1958" t="s">
        <v>3979</v>
      </c>
      <c r="C1958" t="s">
        <v>3929</v>
      </c>
      <c r="D1958" t="s">
        <v>105</v>
      </c>
      <c r="E1958">
        <v>24.99</v>
      </c>
      <c r="F1958" t="s">
        <v>5817</v>
      </c>
      <c r="G1958">
        <v>71</v>
      </c>
      <c r="I1958">
        <v>71</v>
      </c>
      <c r="K1958">
        <v>100</v>
      </c>
      <c r="L1958" t="s">
        <v>5818</v>
      </c>
      <c r="M1958">
        <v>0</v>
      </c>
      <c r="N1958">
        <v>0</v>
      </c>
      <c r="O1958">
        <v>0</v>
      </c>
      <c r="P1958" t="s">
        <v>5819</v>
      </c>
    </row>
    <row r="1959" spans="1:16" x14ac:dyDescent="0.2">
      <c r="A1959" t="s">
        <v>3968</v>
      </c>
      <c r="B1959" t="s">
        <v>3969</v>
      </c>
      <c r="C1959" t="s">
        <v>3929</v>
      </c>
      <c r="D1959" t="s">
        <v>105</v>
      </c>
      <c r="E1959">
        <v>184.99</v>
      </c>
      <c r="F1959" t="s">
        <v>5817</v>
      </c>
      <c r="G1959">
        <v>32</v>
      </c>
      <c r="I1959">
        <v>32</v>
      </c>
      <c r="L1959" t="s">
        <v>5818</v>
      </c>
      <c r="M1959">
        <v>0</v>
      </c>
      <c r="N1959">
        <v>0</v>
      </c>
      <c r="P1959">
        <v>2</v>
      </c>
    </row>
    <row r="1960" spans="1:16" x14ac:dyDescent="0.2">
      <c r="A1960" t="s">
        <v>3976</v>
      </c>
      <c r="B1960" t="s">
        <v>3977</v>
      </c>
      <c r="C1960" t="s">
        <v>3929</v>
      </c>
      <c r="D1960" t="s">
        <v>105</v>
      </c>
      <c r="E1960">
        <v>99.99</v>
      </c>
      <c r="F1960" t="s">
        <v>5817</v>
      </c>
      <c r="G1960">
        <v>38</v>
      </c>
      <c r="I1960">
        <v>38</v>
      </c>
      <c r="L1960" t="s">
        <v>5818</v>
      </c>
      <c r="M1960">
        <v>0</v>
      </c>
      <c r="N1960">
        <v>0</v>
      </c>
      <c r="O1960">
        <v>0</v>
      </c>
      <c r="P1960" t="s">
        <v>5819</v>
      </c>
    </row>
    <row r="1961" spans="1:16" x14ac:dyDescent="0.2">
      <c r="A1961" t="s">
        <v>3974</v>
      </c>
      <c r="B1961" t="s">
        <v>3975</v>
      </c>
      <c r="C1961" t="s">
        <v>3929</v>
      </c>
      <c r="D1961" t="s">
        <v>105</v>
      </c>
      <c r="E1961">
        <v>199.99</v>
      </c>
      <c r="F1961" t="s">
        <v>5817</v>
      </c>
      <c r="G1961">
        <v>12</v>
      </c>
      <c r="I1961">
        <v>12</v>
      </c>
      <c r="L1961" t="s">
        <v>5818</v>
      </c>
      <c r="M1961">
        <v>0</v>
      </c>
      <c r="N1961">
        <v>0</v>
      </c>
      <c r="O1961">
        <v>0</v>
      </c>
      <c r="P1961" t="s">
        <v>5819</v>
      </c>
    </row>
    <row r="1962" spans="1:16" x14ac:dyDescent="0.2">
      <c r="A1962" t="s">
        <v>3970</v>
      </c>
      <c r="B1962" t="s">
        <v>3971</v>
      </c>
      <c r="C1962" t="s">
        <v>3929</v>
      </c>
      <c r="D1962" t="s">
        <v>98</v>
      </c>
      <c r="E1962">
        <v>139.99</v>
      </c>
      <c r="F1962" t="s">
        <v>5817</v>
      </c>
      <c r="L1962" t="s">
        <v>5818</v>
      </c>
      <c r="M1962">
        <v>0</v>
      </c>
      <c r="N1962">
        <v>0</v>
      </c>
      <c r="O1962">
        <v>0</v>
      </c>
      <c r="P1962" t="s">
        <v>5819</v>
      </c>
    </row>
    <row r="1963" spans="1:16" x14ac:dyDescent="0.2">
      <c r="A1963" t="s">
        <v>5249</v>
      </c>
      <c r="B1963" t="s">
        <v>5250</v>
      </c>
      <c r="C1963" t="s">
        <v>3929</v>
      </c>
      <c r="D1963" t="s">
        <v>98</v>
      </c>
      <c r="E1963">
        <v>184.99</v>
      </c>
      <c r="F1963" t="s">
        <v>5817</v>
      </c>
      <c r="L1963" t="s">
        <v>5818</v>
      </c>
      <c r="M1963">
        <v>0</v>
      </c>
      <c r="N1963">
        <v>0</v>
      </c>
      <c r="O1963">
        <v>0</v>
      </c>
      <c r="P1963" t="s">
        <v>5819</v>
      </c>
    </row>
    <row r="1964" spans="1:16" x14ac:dyDescent="0.2">
      <c r="A1964" t="s">
        <v>5160</v>
      </c>
      <c r="B1964" t="s">
        <v>5161</v>
      </c>
      <c r="C1964" t="s">
        <v>3929</v>
      </c>
      <c r="D1964" t="s">
        <v>98</v>
      </c>
      <c r="E1964">
        <v>109.99</v>
      </c>
      <c r="F1964" t="s">
        <v>5817</v>
      </c>
      <c r="L1964" t="s">
        <v>5818</v>
      </c>
      <c r="M1964">
        <v>0</v>
      </c>
      <c r="N1964">
        <v>0</v>
      </c>
      <c r="O1964">
        <v>0</v>
      </c>
      <c r="P1964" t="s">
        <v>5819</v>
      </c>
    </row>
    <row r="1965" spans="1:16" x14ac:dyDescent="0.2">
      <c r="A1965" t="s">
        <v>5120</v>
      </c>
      <c r="B1965" t="s">
        <v>5121</v>
      </c>
      <c r="C1965" t="s">
        <v>3929</v>
      </c>
      <c r="D1965" t="s">
        <v>105</v>
      </c>
      <c r="E1965">
        <v>89.99</v>
      </c>
      <c r="F1965" t="s">
        <v>5817</v>
      </c>
      <c r="G1965">
        <v>28</v>
      </c>
      <c r="I1965">
        <v>28</v>
      </c>
      <c r="L1965" t="s">
        <v>5818</v>
      </c>
      <c r="M1965">
        <v>0</v>
      </c>
      <c r="N1965">
        <v>0</v>
      </c>
      <c r="O1965">
        <v>0</v>
      </c>
      <c r="P1965">
        <v>43</v>
      </c>
    </row>
    <row r="1966" spans="1:16" x14ac:dyDescent="0.2">
      <c r="A1966" t="s">
        <v>3988</v>
      </c>
      <c r="B1966" t="s">
        <v>3989</v>
      </c>
      <c r="C1966" t="s">
        <v>3929</v>
      </c>
      <c r="D1966" t="s">
        <v>105</v>
      </c>
      <c r="E1966">
        <v>59.99</v>
      </c>
      <c r="F1966" t="s">
        <v>5817</v>
      </c>
      <c r="G1966">
        <v>37</v>
      </c>
      <c r="I1966">
        <v>37</v>
      </c>
      <c r="K1966">
        <v>80</v>
      </c>
      <c r="L1966" t="s">
        <v>5818</v>
      </c>
      <c r="M1966">
        <v>0</v>
      </c>
      <c r="N1966">
        <v>0</v>
      </c>
      <c r="O1966">
        <v>0</v>
      </c>
      <c r="P1966" t="s">
        <v>5819</v>
      </c>
    </row>
    <row r="1967" spans="1:16" x14ac:dyDescent="0.2">
      <c r="A1967" t="s">
        <v>5073</v>
      </c>
      <c r="B1967" t="s">
        <v>5074</v>
      </c>
      <c r="C1967" t="s">
        <v>3929</v>
      </c>
      <c r="D1967" t="s">
        <v>105</v>
      </c>
      <c r="E1967">
        <v>99.99</v>
      </c>
      <c r="F1967" t="s">
        <v>5817</v>
      </c>
      <c r="G1967">
        <v>29</v>
      </c>
      <c r="I1967">
        <v>29</v>
      </c>
      <c r="L1967" t="s">
        <v>5818</v>
      </c>
      <c r="M1967">
        <v>0</v>
      </c>
      <c r="N1967">
        <v>0</v>
      </c>
      <c r="O1967">
        <v>0</v>
      </c>
      <c r="P1967" t="s">
        <v>5819</v>
      </c>
    </row>
    <row r="1968" spans="1:16" x14ac:dyDescent="0.2">
      <c r="A1968" t="s">
        <v>3986</v>
      </c>
      <c r="B1968" t="s">
        <v>3987</v>
      </c>
      <c r="C1968" t="s">
        <v>3929</v>
      </c>
      <c r="D1968" t="s">
        <v>98</v>
      </c>
      <c r="E1968">
        <v>84.99</v>
      </c>
      <c r="F1968" t="s">
        <v>5817</v>
      </c>
      <c r="L1968" t="s">
        <v>5818</v>
      </c>
      <c r="M1968">
        <v>0</v>
      </c>
      <c r="N1968">
        <v>0</v>
      </c>
      <c r="O1968">
        <v>0</v>
      </c>
      <c r="P1968" t="s">
        <v>5819</v>
      </c>
    </row>
    <row r="1969" spans="1:16" x14ac:dyDescent="0.2">
      <c r="A1969" t="s">
        <v>5380</v>
      </c>
      <c r="B1969" t="s">
        <v>5381</v>
      </c>
      <c r="C1969" t="s">
        <v>3929</v>
      </c>
      <c r="D1969" t="s">
        <v>98</v>
      </c>
      <c r="E1969">
        <v>69.989999999999995</v>
      </c>
      <c r="F1969" t="s">
        <v>5817</v>
      </c>
      <c r="L1969" t="s">
        <v>5818</v>
      </c>
      <c r="M1969">
        <v>0</v>
      </c>
      <c r="N1969">
        <v>0</v>
      </c>
      <c r="O1969">
        <v>0</v>
      </c>
      <c r="P1969" t="s">
        <v>5819</v>
      </c>
    </row>
    <row r="1970" spans="1:16" x14ac:dyDescent="0.2">
      <c r="A1970" t="s">
        <v>3984</v>
      </c>
      <c r="B1970" t="s">
        <v>3985</v>
      </c>
      <c r="C1970" t="s">
        <v>3929</v>
      </c>
      <c r="D1970" t="s">
        <v>98</v>
      </c>
      <c r="E1970">
        <v>84.99</v>
      </c>
      <c r="F1970" t="s">
        <v>5817</v>
      </c>
      <c r="L1970" t="s">
        <v>5818</v>
      </c>
      <c r="M1970">
        <v>0</v>
      </c>
      <c r="N1970">
        <v>0</v>
      </c>
      <c r="O1970">
        <v>0</v>
      </c>
      <c r="P1970" t="s">
        <v>5819</v>
      </c>
    </row>
    <row r="1971" spans="1:16" x14ac:dyDescent="0.2">
      <c r="A1971" t="s">
        <v>5102</v>
      </c>
      <c r="B1971" t="s">
        <v>5103</v>
      </c>
      <c r="C1971" t="s">
        <v>3929</v>
      </c>
      <c r="D1971" t="s">
        <v>98</v>
      </c>
      <c r="E1971">
        <v>99.99</v>
      </c>
      <c r="F1971" t="s">
        <v>5817</v>
      </c>
      <c r="L1971" t="s">
        <v>5818</v>
      </c>
      <c r="M1971">
        <v>0</v>
      </c>
      <c r="N1971">
        <v>0</v>
      </c>
      <c r="O1971">
        <v>0</v>
      </c>
      <c r="P1971" t="s">
        <v>5819</v>
      </c>
    </row>
    <row r="1972" spans="1:16" x14ac:dyDescent="0.2">
      <c r="A1972" t="s">
        <v>4051</v>
      </c>
      <c r="B1972" t="s">
        <v>4052</v>
      </c>
      <c r="C1972" t="s">
        <v>3929</v>
      </c>
      <c r="D1972" t="s">
        <v>105</v>
      </c>
      <c r="E1972">
        <v>129.99</v>
      </c>
      <c r="F1972" t="s">
        <v>5817</v>
      </c>
      <c r="G1972">
        <v>40</v>
      </c>
      <c r="I1972">
        <v>40</v>
      </c>
      <c r="K1972">
        <v>20</v>
      </c>
      <c r="L1972" t="s">
        <v>5818</v>
      </c>
      <c r="M1972">
        <v>0</v>
      </c>
      <c r="N1972">
        <v>0</v>
      </c>
      <c r="O1972">
        <v>0</v>
      </c>
      <c r="P1972" t="s">
        <v>5819</v>
      </c>
    </row>
    <row r="1973" spans="1:16" x14ac:dyDescent="0.2">
      <c r="A1973" t="s">
        <v>5343</v>
      </c>
      <c r="B1973" t="s">
        <v>5344</v>
      </c>
      <c r="C1973" t="s">
        <v>3929</v>
      </c>
      <c r="D1973" t="s">
        <v>98</v>
      </c>
      <c r="E1973">
        <v>69.989999999999995</v>
      </c>
      <c r="F1973" t="s">
        <v>5817</v>
      </c>
      <c r="L1973" t="s">
        <v>5818</v>
      </c>
      <c r="M1973">
        <v>0</v>
      </c>
      <c r="N1973">
        <v>0</v>
      </c>
      <c r="O1973">
        <v>0</v>
      </c>
      <c r="P1973" t="s">
        <v>5819</v>
      </c>
    </row>
    <row r="1974" spans="1:16" x14ac:dyDescent="0.2">
      <c r="A1974" t="s">
        <v>4040</v>
      </c>
      <c r="B1974" t="s">
        <v>4041</v>
      </c>
      <c r="C1974" t="s">
        <v>3929</v>
      </c>
      <c r="D1974" t="s">
        <v>105</v>
      </c>
      <c r="E1974">
        <v>89.99</v>
      </c>
      <c r="F1974" t="s">
        <v>5817</v>
      </c>
      <c r="G1974">
        <v>36</v>
      </c>
      <c r="I1974">
        <v>36</v>
      </c>
      <c r="L1974" t="s">
        <v>5818</v>
      </c>
      <c r="M1974">
        <v>0</v>
      </c>
      <c r="N1974">
        <v>0</v>
      </c>
      <c r="O1974">
        <v>0</v>
      </c>
      <c r="P1974" t="s">
        <v>5819</v>
      </c>
    </row>
    <row r="1975" spans="1:16" x14ac:dyDescent="0.2">
      <c r="A1975" t="s">
        <v>5106</v>
      </c>
      <c r="B1975" t="s">
        <v>5107</v>
      </c>
      <c r="C1975" t="s">
        <v>3929</v>
      </c>
      <c r="D1975" t="s">
        <v>138</v>
      </c>
      <c r="E1975">
        <v>89.99</v>
      </c>
      <c r="F1975" t="s">
        <v>5817</v>
      </c>
      <c r="G1975">
        <v>29</v>
      </c>
      <c r="I1975">
        <v>29</v>
      </c>
      <c r="L1975" t="s">
        <v>5818</v>
      </c>
      <c r="M1975">
        <v>0</v>
      </c>
      <c r="N1975">
        <v>0</v>
      </c>
      <c r="O1975">
        <v>0</v>
      </c>
      <c r="P1975" t="s">
        <v>5819</v>
      </c>
    </row>
    <row r="1976" spans="1:16" x14ac:dyDescent="0.2">
      <c r="A1976" t="s">
        <v>5108</v>
      </c>
      <c r="B1976" t="s">
        <v>5109</v>
      </c>
      <c r="C1976" t="s">
        <v>3929</v>
      </c>
      <c r="D1976" t="s">
        <v>98</v>
      </c>
      <c r="E1976">
        <v>89.99</v>
      </c>
      <c r="F1976" t="s">
        <v>5817</v>
      </c>
      <c r="L1976" t="s">
        <v>5818</v>
      </c>
      <c r="M1976">
        <v>0</v>
      </c>
      <c r="N1976">
        <v>0</v>
      </c>
      <c r="O1976">
        <v>0</v>
      </c>
      <c r="P1976" t="s">
        <v>5819</v>
      </c>
    </row>
    <row r="1977" spans="1:16" x14ac:dyDescent="0.2">
      <c r="A1977" t="s">
        <v>4038</v>
      </c>
      <c r="B1977" t="s">
        <v>4039</v>
      </c>
      <c r="C1977" t="s">
        <v>3929</v>
      </c>
      <c r="D1977" t="s">
        <v>98</v>
      </c>
      <c r="E1977">
        <v>219.99</v>
      </c>
      <c r="F1977" t="s">
        <v>5817</v>
      </c>
      <c r="L1977" t="s">
        <v>5818</v>
      </c>
      <c r="M1977">
        <v>0</v>
      </c>
      <c r="N1977">
        <v>0</v>
      </c>
      <c r="O1977">
        <v>0</v>
      </c>
      <c r="P1977" t="s">
        <v>5819</v>
      </c>
    </row>
    <row r="1978" spans="1:16" x14ac:dyDescent="0.2">
      <c r="A1978" t="s">
        <v>5081</v>
      </c>
      <c r="B1978" t="s">
        <v>5082</v>
      </c>
      <c r="C1978" t="s">
        <v>3929</v>
      </c>
      <c r="D1978" t="s">
        <v>138</v>
      </c>
      <c r="E1978">
        <v>59.99</v>
      </c>
      <c r="F1978" t="s">
        <v>5817</v>
      </c>
      <c r="L1978" t="s">
        <v>5818</v>
      </c>
      <c r="M1978">
        <v>0</v>
      </c>
      <c r="N1978">
        <v>0</v>
      </c>
      <c r="O1978">
        <v>0</v>
      </c>
      <c r="P1978" t="s">
        <v>5819</v>
      </c>
    </row>
    <row r="1979" spans="1:16" x14ac:dyDescent="0.2">
      <c r="A1979" t="s">
        <v>4012</v>
      </c>
      <c r="B1979" t="s">
        <v>4013</v>
      </c>
      <c r="C1979" t="s">
        <v>3929</v>
      </c>
      <c r="D1979" t="s">
        <v>98</v>
      </c>
      <c r="E1979">
        <v>79.989999999999995</v>
      </c>
      <c r="F1979" t="s">
        <v>5817</v>
      </c>
      <c r="L1979" t="s">
        <v>5818</v>
      </c>
      <c r="M1979">
        <v>0</v>
      </c>
      <c r="N1979">
        <v>0</v>
      </c>
      <c r="O1979">
        <v>0</v>
      </c>
      <c r="P1979" t="s">
        <v>5819</v>
      </c>
    </row>
    <row r="1980" spans="1:16" x14ac:dyDescent="0.2">
      <c r="A1980" t="s">
        <v>4046</v>
      </c>
      <c r="B1980" t="s">
        <v>4047</v>
      </c>
      <c r="C1980" t="s">
        <v>3929</v>
      </c>
      <c r="D1980" t="s">
        <v>105</v>
      </c>
      <c r="E1980">
        <v>89.99</v>
      </c>
      <c r="F1980" t="s">
        <v>5817</v>
      </c>
      <c r="G1980">
        <v>2</v>
      </c>
      <c r="I1980">
        <v>2</v>
      </c>
      <c r="L1980" t="s">
        <v>5818</v>
      </c>
      <c r="M1980">
        <v>0</v>
      </c>
      <c r="N1980">
        <v>0</v>
      </c>
      <c r="O1980">
        <v>0</v>
      </c>
      <c r="P1980" t="s">
        <v>5819</v>
      </c>
    </row>
    <row r="1981" spans="1:16" x14ac:dyDescent="0.2">
      <c r="A1981" t="s">
        <v>5290</v>
      </c>
      <c r="B1981" t="s">
        <v>5291</v>
      </c>
      <c r="C1981" t="s">
        <v>3929</v>
      </c>
      <c r="D1981" t="s">
        <v>98</v>
      </c>
      <c r="E1981">
        <v>89.99</v>
      </c>
      <c r="F1981" t="s">
        <v>5817</v>
      </c>
      <c r="L1981" t="s">
        <v>5818</v>
      </c>
      <c r="M1981">
        <v>0</v>
      </c>
      <c r="N1981">
        <v>0</v>
      </c>
      <c r="O1981">
        <v>0</v>
      </c>
      <c r="P1981" t="s">
        <v>5819</v>
      </c>
    </row>
    <row r="1982" spans="1:16" x14ac:dyDescent="0.2">
      <c r="A1982" t="s">
        <v>4044</v>
      </c>
      <c r="B1982" t="s">
        <v>4045</v>
      </c>
      <c r="C1982" t="s">
        <v>3929</v>
      </c>
      <c r="D1982" t="s">
        <v>105</v>
      </c>
      <c r="E1982">
        <v>129.99</v>
      </c>
      <c r="F1982" t="s">
        <v>5817</v>
      </c>
      <c r="J1982">
        <v>2</v>
      </c>
      <c r="K1982">
        <v>40</v>
      </c>
      <c r="L1982" t="s">
        <v>5818</v>
      </c>
      <c r="M1982">
        <v>0</v>
      </c>
      <c r="N1982">
        <v>0</v>
      </c>
      <c r="O1982">
        <v>0</v>
      </c>
      <c r="P1982" t="s">
        <v>5819</v>
      </c>
    </row>
    <row r="1983" spans="1:16" x14ac:dyDescent="0.2">
      <c r="A1983" t="s">
        <v>4042</v>
      </c>
      <c r="B1983" t="s">
        <v>4043</v>
      </c>
      <c r="C1983" t="s">
        <v>3929</v>
      </c>
      <c r="D1983" t="s">
        <v>105</v>
      </c>
      <c r="E1983">
        <v>109.99</v>
      </c>
      <c r="F1983" t="s">
        <v>5817</v>
      </c>
      <c r="G1983">
        <v>40</v>
      </c>
      <c r="I1983">
        <v>40</v>
      </c>
      <c r="L1983" t="s">
        <v>5818</v>
      </c>
      <c r="M1983">
        <v>0</v>
      </c>
      <c r="N1983">
        <v>0</v>
      </c>
      <c r="O1983">
        <v>0</v>
      </c>
      <c r="P1983" t="s">
        <v>5819</v>
      </c>
    </row>
    <row r="1984" spans="1:16" x14ac:dyDescent="0.2">
      <c r="A1984" t="s">
        <v>5294</v>
      </c>
      <c r="B1984" t="s">
        <v>5295</v>
      </c>
      <c r="C1984" t="s">
        <v>3929</v>
      </c>
      <c r="D1984" t="s">
        <v>138</v>
      </c>
      <c r="E1984">
        <v>89.99</v>
      </c>
      <c r="F1984" t="s">
        <v>5817</v>
      </c>
      <c r="G1984">
        <v>3</v>
      </c>
      <c r="I1984">
        <v>3</v>
      </c>
      <c r="L1984" t="s">
        <v>5818</v>
      </c>
      <c r="M1984">
        <v>0</v>
      </c>
      <c r="N1984">
        <v>0</v>
      </c>
      <c r="P1984">
        <v>5</v>
      </c>
    </row>
    <row r="1985" spans="1:16" x14ac:dyDescent="0.2">
      <c r="A1985" t="s">
        <v>5096</v>
      </c>
      <c r="B1985" t="s">
        <v>5097</v>
      </c>
      <c r="C1985" t="s">
        <v>3929</v>
      </c>
      <c r="D1985" t="s">
        <v>105</v>
      </c>
      <c r="E1985">
        <v>89.99</v>
      </c>
      <c r="F1985" t="s">
        <v>5817</v>
      </c>
      <c r="G1985">
        <v>35</v>
      </c>
      <c r="I1985">
        <v>35</v>
      </c>
      <c r="L1985" t="s">
        <v>5818</v>
      </c>
      <c r="M1985">
        <v>0</v>
      </c>
      <c r="N1985">
        <v>0</v>
      </c>
      <c r="P1985">
        <v>43</v>
      </c>
    </row>
    <row r="1986" spans="1:16" x14ac:dyDescent="0.2">
      <c r="A1986" t="s">
        <v>4004</v>
      </c>
      <c r="B1986" t="s">
        <v>4005</v>
      </c>
      <c r="C1986" t="s">
        <v>3929</v>
      </c>
      <c r="D1986" t="s">
        <v>105</v>
      </c>
      <c r="E1986">
        <v>64.989999999999995</v>
      </c>
      <c r="F1986" t="s">
        <v>5817</v>
      </c>
      <c r="G1986">
        <v>2</v>
      </c>
      <c r="I1986">
        <v>2</v>
      </c>
      <c r="L1986" t="s">
        <v>5818</v>
      </c>
      <c r="M1986">
        <v>0</v>
      </c>
      <c r="N1986">
        <v>0</v>
      </c>
      <c r="O1986">
        <v>0</v>
      </c>
      <c r="P1986" t="s">
        <v>5819</v>
      </c>
    </row>
    <row r="1987" spans="1:16" x14ac:dyDescent="0.2">
      <c r="A1987" t="s">
        <v>5098</v>
      </c>
      <c r="B1987" t="s">
        <v>5099</v>
      </c>
      <c r="C1987" t="s">
        <v>3929</v>
      </c>
      <c r="D1987" t="s">
        <v>105</v>
      </c>
      <c r="E1987">
        <v>39.99</v>
      </c>
      <c r="F1987" t="s">
        <v>5817</v>
      </c>
      <c r="G1987">
        <v>17</v>
      </c>
      <c r="I1987">
        <v>17</v>
      </c>
      <c r="L1987" t="s">
        <v>5818</v>
      </c>
      <c r="M1987">
        <v>0</v>
      </c>
      <c r="N1987">
        <v>0</v>
      </c>
      <c r="O1987">
        <v>0</v>
      </c>
      <c r="P1987" t="s">
        <v>5819</v>
      </c>
    </row>
    <row r="1988" spans="1:16" x14ac:dyDescent="0.2">
      <c r="A1988" t="s">
        <v>5090</v>
      </c>
      <c r="B1988" t="s">
        <v>5091</v>
      </c>
      <c r="C1988" t="s">
        <v>3929</v>
      </c>
      <c r="D1988" t="s">
        <v>105</v>
      </c>
      <c r="E1988">
        <v>39.99</v>
      </c>
      <c r="F1988" t="s">
        <v>5817</v>
      </c>
      <c r="G1988">
        <v>61</v>
      </c>
      <c r="I1988">
        <v>61</v>
      </c>
      <c r="L1988" t="s">
        <v>5818</v>
      </c>
      <c r="M1988">
        <v>0</v>
      </c>
      <c r="N1988">
        <v>0</v>
      </c>
      <c r="O1988">
        <v>0</v>
      </c>
      <c r="P1988" t="s">
        <v>5819</v>
      </c>
    </row>
    <row r="1989" spans="1:16" x14ac:dyDescent="0.2">
      <c r="A1989" t="s">
        <v>5112</v>
      </c>
      <c r="B1989" t="s">
        <v>5113</v>
      </c>
      <c r="C1989" t="s">
        <v>3929</v>
      </c>
      <c r="D1989" t="s">
        <v>105</v>
      </c>
      <c r="E1989">
        <v>39.99</v>
      </c>
      <c r="F1989" t="s">
        <v>5817</v>
      </c>
      <c r="G1989">
        <v>20</v>
      </c>
      <c r="H1989" t="s">
        <v>5832</v>
      </c>
      <c r="I1989">
        <v>10</v>
      </c>
      <c r="L1989" t="s">
        <v>5818</v>
      </c>
      <c r="M1989">
        <v>0</v>
      </c>
      <c r="N1989">
        <v>0</v>
      </c>
      <c r="O1989">
        <v>0</v>
      </c>
      <c r="P1989" t="s">
        <v>5819</v>
      </c>
    </row>
    <row r="1990" spans="1:16" x14ac:dyDescent="0.2">
      <c r="A1990" t="s">
        <v>4006</v>
      </c>
      <c r="B1990" t="s">
        <v>4007</v>
      </c>
      <c r="C1990" t="s">
        <v>3929</v>
      </c>
      <c r="D1990" t="s">
        <v>105</v>
      </c>
      <c r="E1990">
        <v>64.989999999999995</v>
      </c>
      <c r="F1990" t="s">
        <v>5817</v>
      </c>
      <c r="G1990">
        <v>35</v>
      </c>
      <c r="H1990" t="s">
        <v>5849</v>
      </c>
      <c r="I1990">
        <v>22</v>
      </c>
      <c r="K1990">
        <v>40</v>
      </c>
      <c r="L1990" t="s">
        <v>5818</v>
      </c>
      <c r="M1990">
        <v>0</v>
      </c>
      <c r="N1990">
        <v>0</v>
      </c>
      <c r="O1990">
        <v>0</v>
      </c>
      <c r="P1990" t="s">
        <v>5819</v>
      </c>
    </row>
    <row r="1991" spans="1:16" x14ac:dyDescent="0.2">
      <c r="A1991" t="s">
        <v>4010</v>
      </c>
      <c r="B1991" t="s">
        <v>4011</v>
      </c>
      <c r="C1991" t="s">
        <v>3929</v>
      </c>
      <c r="D1991" t="s">
        <v>105</v>
      </c>
      <c r="E1991">
        <v>89.99</v>
      </c>
      <c r="F1991" t="s">
        <v>5817</v>
      </c>
      <c r="G1991">
        <v>4</v>
      </c>
      <c r="I1991">
        <v>4</v>
      </c>
      <c r="K1991">
        <v>40</v>
      </c>
      <c r="L1991" t="s">
        <v>5818</v>
      </c>
      <c r="M1991">
        <v>0</v>
      </c>
      <c r="N1991">
        <v>0</v>
      </c>
      <c r="P1991">
        <v>34</v>
      </c>
    </row>
    <row r="1992" spans="1:16" x14ac:dyDescent="0.2">
      <c r="A1992" t="s">
        <v>5278</v>
      </c>
      <c r="B1992" t="s">
        <v>5279</v>
      </c>
      <c r="C1992" t="s">
        <v>3929</v>
      </c>
      <c r="D1992" t="s">
        <v>98</v>
      </c>
      <c r="E1992">
        <v>29.99</v>
      </c>
      <c r="F1992" t="s">
        <v>5817</v>
      </c>
      <c r="L1992" t="s">
        <v>5818</v>
      </c>
      <c r="M1992">
        <v>0</v>
      </c>
      <c r="N1992">
        <v>0</v>
      </c>
      <c r="O1992">
        <v>0</v>
      </c>
      <c r="P1992" t="s">
        <v>5819</v>
      </c>
    </row>
    <row r="1993" spans="1:16" x14ac:dyDescent="0.2">
      <c r="A1993" t="s">
        <v>5270</v>
      </c>
      <c r="B1993" t="s">
        <v>5271</v>
      </c>
      <c r="C1993" t="s">
        <v>3929</v>
      </c>
      <c r="D1993" t="s">
        <v>138</v>
      </c>
      <c r="E1993">
        <v>219.99</v>
      </c>
      <c r="F1993" t="s">
        <v>5817</v>
      </c>
      <c r="G1993">
        <v>3</v>
      </c>
      <c r="I1993">
        <v>3</v>
      </c>
      <c r="L1993" t="s">
        <v>5818</v>
      </c>
      <c r="M1993">
        <v>0</v>
      </c>
      <c r="N1993">
        <v>0</v>
      </c>
      <c r="O1993">
        <v>0</v>
      </c>
      <c r="P1993" t="s">
        <v>5819</v>
      </c>
    </row>
    <row r="1994" spans="1:16" x14ac:dyDescent="0.2">
      <c r="A1994" t="s">
        <v>5126</v>
      </c>
      <c r="B1994" t="s">
        <v>5127</v>
      </c>
      <c r="C1994" t="s">
        <v>3929</v>
      </c>
      <c r="D1994" t="s">
        <v>105</v>
      </c>
      <c r="E1994">
        <v>129.99</v>
      </c>
      <c r="F1994" t="s">
        <v>5817</v>
      </c>
      <c r="G1994">
        <v>28</v>
      </c>
      <c r="I1994">
        <v>28</v>
      </c>
      <c r="L1994" t="s">
        <v>5818</v>
      </c>
      <c r="M1994">
        <v>0</v>
      </c>
      <c r="N1994">
        <v>0</v>
      </c>
      <c r="O1994">
        <v>0</v>
      </c>
      <c r="P1994">
        <v>39</v>
      </c>
    </row>
    <row r="1995" spans="1:16" x14ac:dyDescent="0.2">
      <c r="A1995" t="s">
        <v>5369</v>
      </c>
      <c r="B1995" t="s">
        <v>5370</v>
      </c>
      <c r="C1995" t="s">
        <v>3929</v>
      </c>
      <c r="D1995" t="s">
        <v>98</v>
      </c>
      <c r="E1995">
        <v>69.989999999999995</v>
      </c>
      <c r="F1995" t="s">
        <v>5817</v>
      </c>
      <c r="L1995" t="s">
        <v>5818</v>
      </c>
      <c r="M1995">
        <v>0</v>
      </c>
      <c r="N1995">
        <v>0</v>
      </c>
      <c r="O1995">
        <v>0</v>
      </c>
      <c r="P1995" t="s">
        <v>5819</v>
      </c>
    </row>
    <row r="1996" spans="1:16" x14ac:dyDescent="0.2">
      <c r="A1996" t="s">
        <v>5345</v>
      </c>
      <c r="B1996" t="s">
        <v>5346</v>
      </c>
      <c r="C1996" t="s">
        <v>3929</v>
      </c>
      <c r="D1996" t="s">
        <v>98</v>
      </c>
      <c r="E1996">
        <v>49.99</v>
      </c>
      <c r="F1996" t="s">
        <v>5817</v>
      </c>
      <c r="L1996" t="s">
        <v>5818</v>
      </c>
      <c r="M1996">
        <v>0</v>
      </c>
      <c r="N1996">
        <v>0</v>
      </c>
      <c r="O1996">
        <v>0</v>
      </c>
      <c r="P1996" t="s">
        <v>5819</v>
      </c>
    </row>
    <row r="1997" spans="1:16" x14ac:dyDescent="0.2">
      <c r="A1997" t="s">
        <v>4125</v>
      </c>
      <c r="B1997" t="s">
        <v>4126</v>
      </c>
      <c r="C1997" t="s">
        <v>3929</v>
      </c>
      <c r="D1997" t="s">
        <v>105</v>
      </c>
      <c r="E1997">
        <v>99.99</v>
      </c>
      <c r="F1997" t="s">
        <v>5817</v>
      </c>
      <c r="G1997">
        <v>66</v>
      </c>
      <c r="I1997">
        <v>66</v>
      </c>
      <c r="L1997" t="s">
        <v>5818</v>
      </c>
      <c r="M1997">
        <v>0</v>
      </c>
      <c r="N1997">
        <v>0</v>
      </c>
      <c r="O1997">
        <v>0</v>
      </c>
      <c r="P1997">
        <v>39</v>
      </c>
    </row>
    <row r="1998" spans="1:16" x14ac:dyDescent="0.2">
      <c r="A1998" t="s">
        <v>4123</v>
      </c>
      <c r="B1998" t="s">
        <v>4124</v>
      </c>
      <c r="C1998" t="s">
        <v>3929</v>
      </c>
      <c r="D1998" t="s">
        <v>105</v>
      </c>
      <c r="E1998">
        <v>29.99</v>
      </c>
      <c r="F1998" t="s">
        <v>5817</v>
      </c>
      <c r="G1998">
        <v>44</v>
      </c>
      <c r="I1998">
        <v>44</v>
      </c>
      <c r="L1998" t="s">
        <v>5818</v>
      </c>
      <c r="M1998">
        <v>0</v>
      </c>
      <c r="N1998">
        <v>0</v>
      </c>
      <c r="O1998">
        <v>0</v>
      </c>
      <c r="P1998" t="s">
        <v>5819</v>
      </c>
    </row>
    <row r="1999" spans="1:16" x14ac:dyDescent="0.2">
      <c r="A1999" t="s">
        <v>4119</v>
      </c>
      <c r="B1999" t="s">
        <v>4120</v>
      </c>
      <c r="C1999" t="s">
        <v>3929</v>
      </c>
      <c r="D1999" t="s">
        <v>105</v>
      </c>
      <c r="E1999">
        <v>34.99</v>
      </c>
      <c r="F1999" t="s">
        <v>5817</v>
      </c>
      <c r="G1999">
        <v>38</v>
      </c>
      <c r="I1999">
        <v>38</v>
      </c>
      <c r="L1999" t="s">
        <v>5818</v>
      </c>
      <c r="M1999">
        <v>0</v>
      </c>
      <c r="N1999">
        <v>0</v>
      </c>
      <c r="O1999">
        <v>0</v>
      </c>
      <c r="P1999">
        <v>49</v>
      </c>
    </row>
    <row r="2000" spans="1:16" x14ac:dyDescent="0.2">
      <c r="A2000" t="s">
        <v>4117</v>
      </c>
      <c r="B2000" t="s">
        <v>4118</v>
      </c>
      <c r="C2000" t="s">
        <v>3929</v>
      </c>
      <c r="D2000" t="s">
        <v>105</v>
      </c>
      <c r="E2000">
        <v>39.99</v>
      </c>
      <c r="F2000" t="s">
        <v>5817</v>
      </c>
      <c r="G2000">
        <v>75</v>
      </c>
      <c r="I2000">
        <v>75</v>
      </c>
      <c r="L2000" t="s">
        <v>5818</v>
      </c>
      <c r="M2000">
        <v>0</v>
      </c>
      <c r="N2000">
        <v>0</v>
      </c>
      <c r="O2000">
        <v>0</v>
      </c>
      <c r="P2000">
        <v>38</v>
      </c>
    </row>
    <row r="2001" spans="1:16" x14ac:dyDescent="0.2">
      <c r="A2001" t="s">
        <v>4115</v>
      </c>
      <c r="B2001" t="s">
        <v>4116</v>
      </c>
      <c r="C2001" t="s">
        <v>3929</v>
      </c>
      <c r="D2001" t="s">
        <v>105</v>
      </c>
      <c r="E2001">
        <v>44.99</v>
      </c>
      <c r="F2001" t="s">
        <v>5817</v>
      </c>
      <c r="K2001">
        <v>20</v>
      </c>
      <c r="L2001" t="s">
        <v>5818</v>
      </c>
      <c r="M2001">
        <v>0</v>
      </c>
      <c r="N2001">
        <v>0</v>
      </c>
      <c r="O2001">
        <v>0</v>
      </c>
      <c r="P2001" t="s">
        <v>5819</v>
      </c>
    </row>
    <row r="2002" spans="1:16" x14ac:dyDescent="0.2">
      <c r="A2002" t="s">
        <v>4113</v>
      </c>
      <c r="B2002" t="s">
        <v>4114</v>
      </c>
      <c r="C2002" t="s">
        <v>3929</v>
      </c>
      <c r="D2002" t="s">
        <v>105</v>
      </c>
      <c r="E2002">
        <v>54.99</v>
      </c>
      <c r="F2002" t="s">
        <v>5817</v>
      </c>
      <c r="G2002">
        <v>25</v>
      </c>
      <c r="I2002">
        <v>25</v>
      </c>
      <c r="L2002" t="s">
        <v>5818</v>
      </c>
      <c r="M2002">
        <v>0</v>
      </c>
      <c r="N2002">
        <v>0</v>
      </c>
      <c r="O2002">
        <v>0</v>
      </c>
      <c r="P2002" t="s">
        <v>5819</v>
      </c>
    </row>
    <row r="2003" spans="1:16" x14ac:dyDescent="0.2">
      <c r="A2003" t="s">
        <v>4121</v>
      </c>
      <c r="B2003" t="s">
        <v>4122</v>
      </c>
      <c r="C2003" t="s">
        <v>3929</v>
      </c>
      <c r="D2003" t="s">
        <v>105</v>
      </c>
      <c r="E2003">
        <v>44.99</v>
      </c>
      <c r="F2003" t="s">
        <v>5817</v>
      </c>
      <c r="G2003">
        <v>45</v>
      </c>
      <c r="I2003">
        <v>45</v>
      </c>
      <c r="L2003" t="s">
        <v>5818</v>
      </c>
      <c r="M2003">
        <v>0</v>
      </c>
      <c r="N2003">
        <v>0</v>
      </c>
      <c r="P2003">
        <v>0</v>
      </c>
    </row>
    <row r="2004" spans="1:16" x14ac:dyDescent="0.2">
      <c r="A2004" t="s">
        <v>5110</v>
      </c>
      <c r="B2004" t="s">
        <v>5111</v>
      </c>
      <c r="C2004" t="s">
        <v>3929</v>
      </c>
      <c r="D2004" t="s">
        <v>98</v>
      </c>
      <c r="E2004">
        <v>59.99</v>
      </c>
      <c r="F2004" t="s">
        <v>5817</v>
      </c>
      <c r="L2004" t="s">
        <v>5818</v>
      </c>
      <c r="M2004">
        <v>0</v>
      </c>
      <c r="N2004">
        <v>0</v>
      </c>
      <c r="O2004">
        <v>0</v>
      </c>
      <c r="P2004" t="s">
        <v>5819</v>
      </c>
    </row>
    <row r="2005" spans="1:16" x14ac:dyDescent="0.2">
      <c r="A2005" t="s">
        <v>4161</v>
      </c>
      <c r="B2005" t="s">
        <v>4162</v>
      </c>
      <c r="C2005" t="s">
        <v>3929</v>
      </c>
      <c r="D2005" t="s">
        <v>105</v>
      </c>
      <c r="E2005">
        <v>139.99</v>
      </c>
      <c r="F2005" t="s">
        <v>5817</v>
      </c>
      <c r="G2005">
        <v>22</v>
      </c>
      <c r="H2005" t="s">
        <v>5845</v>
      </c>
      <c r="I2005">
        <v>18</v>
      </c>
      <c r="K2005">
        <v>40</v>
      </c>
      <c r="L2005" t="s">
        <v>5818</v>
      </c>
      <c r="M2005">
        <v>0</v>
      </c>
      <c r="N2005">
        <v>0</v>
      </c>
      <c r="O2005">
        <v>0</v>
      </c>
      <c r="P2005" t="s">
        <v>5819</v>
      </c>
    </row>
    <row r="2006" spans="1:16" x14ac:dyDescent="0.2">
      <c r="A2006" t="s">
        <v>4111</v>
      </c>
      <c r="B2006" t="s">
        <v>4112</v>
      </c>
      <c r="C2006" t="s">
        <v>3929</v>
      </c>
      <c r="D2006" t="s">
        <v>105</v>
      </c>
      <c r="E2006">
        <v>89.99</v>
      </c>
      <c r="F2006" t="s">
        <v>5817</v>
      </c>
      <c r="G2006">
        <v>53</v>
      </c>
      <c r="I2006">
        <v>53</v>
      </c>
      <c r="L2006" t="s">
        <v>5818</v>
      </c>
      <c r="M2006">
        <v>0</v>
      </c>
      <c r="N2006">
        <v>0</v>
      </c>
      <c r="O2006">
        <v>0</v>
      </c>
      <c r="P2006" t="s">
        <v>5819</v>
      </c>
    </row>
    <row r="2007" spans="1:16" x14ac:dyDescent="0.2">
      <c r="A2007" t="s">
        <v>5674</v>
      </c>
      <c r="B2007" t="s">
        <v>5675</v>
      </c>
      <c r="C2007" t="s">
        <v>3929</v>
      </c>
      <c r="D2007" t="s">
        <v>98</v>
      </c>
      <c r="E2007">
        <v>49.99</v>
      </c>
      <c r="F2007" t="s">
        <v>5817</v>
      </c>
      <c r="L2007" t="s">
        <v>5818</v>
      </c>
      <c r="M2007">
        <v>0</v>
      </c>
      <c r="N2007">
        <v>0</v>
      </c>
      <c r="O2007">
        <v>0</v>
      </c>
      <c r="P2007" t="s">
        <v>5819</v>
      </c>
    </row>
    <row r="2008" spans="1:16" x14ac:dyDescent="0.2">
      <c r="A2008" t="s">
        <v>5124</v>
      </c>
      <c r="B2008" t="s">
        <v>5125</v>
      </c>
      <c r="C2008" t="s">
        <v>3929</v>
      </c>
      <c r="D2008" t="s">
        <v>105</v>
      </c>
      <c r="E2008">
        <v>319.99</v>
      </c>
      <c r="F2008" t="s">
        <v>5817</v>
      </c>
      <c r="G2008">
        <v>10</v>
      </c>
      <c r="I2008">
        <v>10</v>
      </c>
      <c r="L2008" t="s">
        <v>5818</v>
      </c>
      <c r="M2008">
        <v>0</v>
      </c>
      <c r="N2008">
        <v>0</v>
      </c>
      <c r="O2008">
        <v>0</v>
      </c>
      <c r="P2008" t="s">
        <v>5819</v>
      </c>
    </row>
    <row r="2009" spans="1:16" x14ac:dyDescent="0.2">
      <c r="A2009" t="s">
        <v>4099</v>
      </c>
      <c r="B2009" t="s">
        <v>4100</v>
      </c>
      <c r="C2009" t="s">
        <v>3929</v>
      </c>
      <c r="D2009" t="s">
        <v>105</v>
      </c>
      <c r="E2009">
        <v>249.99</v>
      </c>
      <c r="F2009" t="s">
        <v>5817</v>
      </c>
      <c r="G2009">
        <v>16</v>
      </c>
      <c r="I2009">
        <v>16</v>
      </c>
      <c r="L2009" t="s">
        <v>5818</v>
      </c>
      <c r="M2009">
        <v>0</v>
      </c>
      <c r="N2009">
        <v>0</v>
      </c>
      <c r="O2009">
        <v>0</v>
      </c>
      <c r="P2009" t="s">
        <v>5819</v>
      </c>
    </row>
    <row r="2010" spans="1:16" x14ac:dyDescent="0.2">
      <c r="A2010" t="s">
        <v>5116</v>
      </c>
      <c r="B2010" t="s">
        <v>5117</v>
      </c>
      <c r="C2010" t="s">
        <v>3929</v>
      </c>
      <c r="D2010" t="s">
        <v>138</v>
      </c>
      <c r="E2010">
        <v>209.99</v>
      </c>
      <c r="F2010" t="s">
        <v>5817</v>
      </c>
      <c r="L2010" t="s">
        <v>5818</v>
      </c>
      <c r="M2010">
        <v>0</v>
      </c>
      <c r="N2010">
        <v>0</v>
      </c>
      <c r="O2010">
        <v>0</v>
      </c>
      <c r="P2010" t="s">
        <v>5819</v>
      </c>
    </row>
    <row r="2011" spans="1:16" x14ac:dyDescent="0.2">
      <c r="A2011" t="s">
        <v>4097</v>
      </c>
      <c r="B2011" t="s">
        <v>4098</v>
      </c>
      <c r="C2011" t="s">
        <v>3929</v>
      </c>
      <c r="D2011" t="s">
        <v>105</v>
      </c>
      <c r="E2011">
        <v>199.99</v>
      </c>
      <c r="F2011" t="s">
        <v>5817</v>
      </c>
      <c r="G2011">
        <v>17</v>
      </c>
      <c r="I2011">
        <v>17</v>
      </c>
      <c r="K2011">
        <v>40</v>
      </c>
      <c r="L2011" t="s">
        <v>5818</v>
      </c>
      <c r="M2011">
        <v>0</v>
      </c>
      <c r="N2011">
        <v>0</v>
      </c>
      <c r="P2011">
        <v>44</v>
      </c>
    </row>
    <row r="2012" spans="1:16" x14ac:dyDescent="0.2">
      <c r="A2012" t="s">
        <v>4095</v>
      </c>
      <c r="B2012" t="s">
        <v>4096</v>
      </c>
      <c r="C2012" t="s">
        <v>3929</v>
      </c>
      <c r="D2012" t="s">
        <v>98</v>
      </c>
      <c r="E2012">
        <v>99.99</v>
      </c>
      <c r="F2012" t="s">
        <v>5817</v>
      </c>
      <c r="L2012" t="s">
        <v>5818</v>
      </c>
      <c r="M2012">
        <v>0</v>
      </c>
      <c r="N2012">
        <v>0</v>
      </c>
      <c r="O2012">
        <v>0</v>
      </c>
      <c r="P2012" t="s">
        <v>5819</v>
      </c>
    </row>
    <row r="2013" spans="1:16" x14ac:dyDescent="0.2">
      <c r="A2013" t="s">
        <v>5516</v>
      </c>
      <c r="B2013" t="s">
        <v>5517</v>
      </c>
      <c r="C2013" t="s">
        <v>3929</v>
      </c>
      <c r="D2013" t="s">
        <v>98</v>
      </c>
      <c r="E2013">
        <v>19.989999999999998</v>
      </c>
      <c r="F2013" t="s">
        <v>5817</v>
      </c>
      <c r="L2013" t="s">
        <v>5818</v>
      </c>
      <c r="M2013">
        <v>0</v>
      </c>
      <c r="N2013">
        <v>0</v>
      </c>
      <c r="O2013">
        <v>0</v>
      </c>
      <c r="P2013" t="s">
        <v>5819</v>
      </c>
    </row>
    <row r="2014" spans="1:16" x14ac:dyDescent="0.2">
      <c r="A2014" t="s">
        <v>5520</v>
      </c>
      <c r="B2014" t="s">
        <v>5521</v>
      </c>
      <c r="C2014" t="s">
        <v>3929</v>
      </c>
      <c r="D2014" t="s">
        <v>138</v>
      </c>
      <c r="E2014">
        <v>89.99</v>
      </c>
      <c r="F2014" t="s">
        <v>5817</v>
      </c>
      <c r="L2014" t="s">
        <v>5818</v>
      </c>
      <c r="M2014">
        <v>0</v>
      </c>
      <c r="N2014">
        <v>0</v>
      </c>
      <c r="P2014">
        <v>3</v>
      </c>
    </row>
    <row r="2015" spans="1:16" x14ac:dyDescent="0.2">
      <c r="A2015" t="s">
        <v>5461</v>
      </c>
      <c r="B2015" t="s">
        <v>5462</v>
      </c>
      <c r="C2015" t="s">
        <v>3929</v>
      </c>
      <c r="D2015" t="s">
        <v>98</v>
      </c>
      <c r="E2015">
        <v>89.99</v>
      </c>
      <c r="F2015" t="s">
        <v>5817</v>
      </c>
      <c r="L2015" t="s">
        <v>5818</v>
      </c>
      <c r="M2015">
        <v>0</v>
      </c>
      <c r="N2015">
        <v>0</v>
      </c>
      <c r="O2015">
        <v>0</v>
      </c>
      <c r="P2015" t="s">
        <v>5819</v>
      </c>
    </row>
    <row r="2016" spans="1:16" x14ac:dyDescent="0.2">
      <c r="A2016" t="s">
        <v>4091</v>
      </c>
      <c r="B2016" t="s">
        <v>4092</v>
      </c>
      <c r="C2016" t="s">
        <v>3929</v>
      </c>
      <c r="D2016" t="s">
        <v>105</v>
      </c>
      <c r="E2016">
        <v>159.99</v>
      </c>
      <c r="F2016" t="s">
        <v>5817</v>
      </c>
      <c r="G2016">
        <v>27</v>
      </c>
      <c r="I2016">
        <v>27</v>
      </c>
      <c r="L2016" t="s">
        <v>5818</v>
      </c>
      <c r="M2016">
        <v>0</v>
      </c>
      <c r="N2016">
        <v>0</v>
      </c>
      <c r="O2016">
        <v>0</v>
      </c>
      <c r="P2016" t="s">
        <v>5819</v>
      </c>
    </row>
    <row r="2017" spans="1:16" x14ac:dyDescent="0.2">
      <c r="A2017" t="s">
        <v>4109</v>
      </c>
      <c r="B2017" t="s">
        <v>4110</v>
      </c>
      <c r="C2017" t="s">
        <v>3929</v>
      </c>
      <c r="D2017" t="s">
        <v>105</v>
      </c>
      <c r="E2017">
        <v>64.989999999999995</v>
      </c>
      <c r="F2017" t="s">
        <v>5817</v>
      </c>
      <c r="G2017">
        <v>20</v>
      </c>
      <c r="I2017">
        <v>20</v>
      </c>
      <c r="L2017" t="s">
        <v>5818</v>
      </c>
      <c r="M2017">
        <v>0</v>
      </c>
      <c r="N2017">
        <v>0</v>
      </c>
      <c r="O2017">
        <v>0</v>
      </c>
      <c r="P2017" t="s">
        <v>5819</v>
      </c>
    </row>
    <row r="2018" spans="1:16" x14ac:dyDescent="0.2">
      <c r="A2018" t="s">
        <v>5130</v>
      </c>
      <c r="B2018" t="s">
        <v>5131</v>
      </c>
      <c r="C2018" t="s">
        <v>3929</v>
      </c>
      <c r="D2018" t="s">
        <v>138</v>
      </c>
      <c r="E2018">
        <v>139.99</v>
      </c>
      <c r="F2018" t="s">
        <v>5817</v>
      </c>
      <c r="G2018">
        <v>71</v>
      </c>
      <c r="I2018">
        <v>71</v>
      </c>
      <c r="L2018" t="s">
        <v>5818</v>
      </c>
      <c r="M2018">
        <v>0</v>
      </c>
      <c r="N2018">
        <v>0</v>
      </c>
      <c r="O2018">
        <v>0</v>
      </c>
      <c r="P2018">
        <v>35</v>
      </c>
    </row>
    <row r="2019" spans="1:16" x14ac:dyDescent="0.2">
      <c r="A2019" t="s">
        <v>5128</v>
      </c>
      <c r="B2019" t="s">
        <v>5129</v>
      </c>
      <c r="C2019" t="s">
        <v>3929</v>
      </c>
      <c r="D2019" t="s">
        <v>138</v>
      </c>
      <c r="E2019">
        <v>129.99</v>
      </c>
      <c r="F2019" t="s">
        <v>5817</v>
      </c>
      <c r="G2019">
        <v>32</v>
      </c>
      <c r="H2019" t="s">
        <v>5823</v>
      </c>
      <c r="I2019">
        <v>31</v>
      </c>
      <c r="L2019" t="s">
        <v>5818</v>
      </c>
      <c r="M2019">
        <v>0</v>
      </c>
      <c r="N2019">
        <v>0</v>
      </c>
      <c r="O2019">
        <v>0</v>
      </c>
      <c r="P2019">
        <v>42</v>
      </c>
    </row>
    <row r="2020" spans="1:16" x14ac:dyDescent="0.2">
      <c r="A2020" t="s">
        <v>4107</v>
      </c>
      <c r="B2020" t="s">
        <v>4108</v>
      </c>
      <c r="C2020" t="s">
        <v>3929</v>
      </c>
      <c r="D2020" t="s">
        <v>138</v>
      </c>
      <c r="E2020">
        <v>119.99</v>
      </c>
      <c r="F2020" t="s">
        <v>5817</v>
      </c>
      <c r="G2020">
        <v>83</v>
      </c>
      <c r="I2020">
        <v>83</v>
      </c>
      <c r="L2020" t="s">
        <v>5818</v>
      </c>
      <c r="M2020">
        <v>0</v>
      </c>
      <c r="N2020">
        <v>0</v>
      </c>
      <c r="O2020">
        <v>0</v>
      </c>
      <c r="P2020">
        <v>43</v>
      </c>
    </row>
    <row r="2021" spans="1:16" x14ac:dyDescent="0.2">
      <c r="A2021" t="s">
        <v>5215</v>
      </c>
      <c r="B2021" t="s">
        <v>5216</v>
      </c>
      <c r="C2021" t="s">
        <v>3929</v>
      </c>
      <c r="D2021" t="s">
        <v>98</v>
      </c>
      <c r="E2021">
        <v>119.99</v>
      </c>
      <c r="F2021" t="s">
        <v>5817</v>
      </c>
      <c r="L2021" t="s">
        <v>5818</v>
      </c>
      <c r="M2021">
        <v>0</v>
      </c>
      <c r="N2021">
        <v>0</v>
      </c>
      <c r="O2021">
        <v>0</v>
      </c>
      <c r="P2021" t="s">
        <v>5819</v>
      </c>
    </row>
    <row r="2022" spans="1:16" x14ac:dyDescent="0.2">
      <c r="A2022" t="s">
        <v>5122</v>
      </c>
      <c r="B2022" t="s">
        <v>5123</v>
      </c>
      <c r="C2022" t="s">
        <v>3929</v>
      </c>
      <c r="D2022" t="s">
        <v>98</v>
      </c>
      <c r="E2022">
        <v>169.99</v>
      </c>
      <c r="F2022" t="s">
        <v>5817</v>
      </c>
      <c r="L2022" t="s">
        <v>5818</v>
      </c>
      <c r="M2022">
        <v>0</v>
      </c>
      <c r="N2022">
        <v>0</v>
      </c>
      <c r="O2022">
        <v>0</v>
      </c>
      <c r="P2022" t="s">
        <v>5819</v>
      </c>
    </row>
    <row r="2023" spans="1:16" x14ac:dyDescent="0.2">
      <c r="A2023" t="s">
        <v>5542</v>
      </c>
      <c r="B2023" t="s">
        <v>5543</v>
      </c>
      <c r="C2023" t="s">
        <v>3929</v>
      </c>
      <c r="D2023" t="s">
        <v>98</v>
      </c>
      <c r="E2023">
        <v>159.99</v>
      </c>
      <c r="F2023" t="s">
        <v>5817</v>
      </c>
      <c r="L2023" t="s">
        <v>5818</v>
      </c>
      <c r="M2023">
        <v>0</v>
      </c>
      <c r="N2023">
        <v>0</v>
      </c>
      <c r="O2023">
        <v>0</v>
      </c>
      <c r="P2023" t="s">
        <v>5819</v>
      </c>
    </row>
    <row r="2024" spans="1:16" x14ac:dyDescent="0.2">
      <c r="A2024" t="s">
        <v>4105</v>
      </c>
      <c r="B2024" t="s">
        <v>4106</v>
      </c>
      <c r="C2024" t="s">
        <v>3929</v>
      </c>
      <c r="D2024" t="s">
        <v>105</v>
      </c>
      <c r="E2024">
        <v>129.99</v>
      </c>
      <c r="F2024" t="s">
        <v>5817</v>
      </c>
      <c r="G2024">
        <v>11</v>
      </c>
      <c r="I2024">
        <v>11</v>
      </c>
      <c r="L2024" t="s">
        <v>5818</v>
      </c>
      <c r="M2024">
        <v>0</v>
      </c>
      <c r="N2024">
        <v>0</v>
      </c>
      <c r="O2024">
        <v>0</v>
      </c>
      <c r="P2024" t="s">
        <v>5819</v>
      </c>
    </row>
    <row r="2025" spans="1:16" x14ac:dyDescent="0.2">
      <c r="A2025" t="s">
        <v>5606</v>
      </c>
      <c r="B2025" t="s">
        <v>5607</v>
      </c>
      <c r="C2025" t="s">
        <v>3929</v>
      </c>
      <c r="D2025" t="s">
        <v>105</v>
      </c>
      <c r="E2025">
        <v>169.99</v>
      </c>
      <c r="F2025" t="s">
        <v>5817</v>
      </c>
      <c r="G2025">
        <v>25</v>
      </c>
      <c r="I2025">
        <v>25</v>
      </c>
      <c r="L2025" t="s">
        <v>5818</v>
      </c>
      <c r="M2025">
        <v>0</v>
      </c>
      <c r="N2025">
        <v>0</v>
      </c>
      <c r="O2025">
        <v>0</v>
      </c>
      <c r="P2025" t="s">
        <v>5819</v>
      </c>
    </row>
    <row r="2026" spans="1:16" x14ac:dyDescent="0.2">
      <c r="A2026" t="s">
        <v>5100</v>
      </c>
      <c r="B2026" t="s">
        <v>5101</v>
      </c>
      <c r="C2026" t="s">
        <v>3929</v>
      </c>
      <c r="D2026" t="s">
        <v>138</v>
      </c>
      <c r="E2026">
        <v>189.99</v>
      </c>
      <c r="F2026" t="s">
        <v>5817</v>
      </c>
      <c r="J2026">
        <v>2</v>
      </c>
      <c r="L2026" t="s">
        <v>5818</v>
      </c>
      <c r="M2026">
        <v>0</v>
      </c>
      <c r="N2026">
        <v>0</v>
      </c>
      <c r="O2026">
        <v>0</v>
      </c>
      <c r="P2026" t="s">
        <v>5819</v>
      </c>
    </row>
    <row r="2027" spans="1:16" x14ac:dyDescent="0.2">
      <c r="A2027" t="s">
        <v>5215</v>
      </c>
      <c r="B2027" t="s">
        <v>5216</v>
      </c>
      <c r="C2027" t="s">
        <v>3929</v>
      </c>
      <c r="D2027" t="s">
        <v>98</v>
      </c>
      <c r="E2027">
        <v>119.99</v>
      </c>
      <c r="F2027" t="s">
        <v>5817</v>
      </c>
      <c r="L2027" t="s">
        <v>5085</v>
      </c>
      <c r="M2027">
        <v>0</v>
      </c>
      <c r="N2027">
        <v>0</v>
      </c>
      <c r="O2027">
        <v>0</v>
      </c>
      <c r="P2027" t="s">
        <v>5819</v>
      </c>
    </row>
    <row r="2028" spans="1:16" x14ac:dyDescent="0.2">
      <c r="A2028" t="s">
        <v>5083</v>
      </c>
      <c r="B2028" t="s">
        <v>5084</v>
      </c>
      <c r="C2028" t="s">
        <v>3929</v>
      </c>
      <c r="D2028" t="s">
        <v>105</v>
      </c>
      <c r="E2028">
        <v>64.989999999999995</v>
      </c>
      <c r="F2028" t="s">
        <v>5817</v>
      </c>
      <c r="G2028">
        <v>71</v>
      </c>
      <c r="I2028">
        <v>71</v>
      </c>
      <c r="L2028" t="s">
        <v>5085</v>
      </c>
      <c r="M2028">
        <v>0</v>
      </c>
      <c r="N2028">
        <v>0</v>
      </c>
      <c r="O2028">
        <v>0</v>
      </c>
      <c r="P2028" t="s">
        <v>5819</v>
      </c>
    </row>
    <row r="2029" spans="1:16" x14ac:dyDescent="0.2">
      <c r="A2029" t="s">
        <v>5542</v>
      </c>
      <c r="B2029" t="s">
        <v>5543</v>
      </c>
      <c r="C2029" t="s">
        <v>3929</v>
      </c>
      <c r="D2029" t="s">
        <v>98</v>
      </c>
      <c r="E2029">
        <v>159.99</v>
      </c>
      <c r="F2029" t="s">
        <v>5817</v>
      </c>
      <c r="L2029" t="s">
        <v>5085</v>
      </c>
      <c r="M2029">
        <v>0</v>
      </c>
      <c r="N2029">
        <v>0</v>
      </c>
      <c r="O2029">
        <v>0</v>
      </c>
      <c r="P2029" t="s">
        <v>5819</v>
      </c>
    </row>
    <row r="2030" spans="1:16" x14ac:dyDescent="0.2">
      <c r="A2030" t="s">
        <v>4077</v>
      </c>
      <c r="B2030" t="s">
        <v>4078</v>
      </c>
      <c r="C2030" t="s">
        <v>3929</v>
      </c>
      <c r="D2030" t="s">
        <v>105</v>
      </c>
      <c r="E2030">
        <v>74.989999999999995</v>
      </c>
      <c r="F2030" t="s">
        <v>5817</v>
      </c>
      <c r="G2030">
        <v>122</v>
      </c>
      <c r="I2030">
        <v>122</v>
      </c>
      <c r="L2030" t="s">
        <v>5085</v>
      </c>
      <c r="M2030">
        <v>0</v>
      </c>
      <c r="N2030">
        <v>0</v>
      </c>
      <c r="O2030">
        <v>0</v>
      </c>
      <c r="P2030" t="s">
        <v>5819</v>
      </c>
    </row>
    <row r="2031" spans="1:16" x14ac:dyDescent="0.2">
      <c r="A2031" t="s">
        <v>5075</v>
      </c>
      <c r="B2031" t="s">
        <v>5076</v>
      </c>
      <c r="C2031" t="s">
        <v>3929</v>
      </c>
      <c r="D2031" t="s">
        <v>98</v>
      </c>
      <c r="E2031">
        <v>74.989999999999995</v>
      </c>
      <c r="F2031" t="s">
        <v>5817</v>
      </c>
      <c r="L2031" t="s">
        <v>5085</v>
      </c>
      <c r="M2031">
        <v>0</v>
      </c>
      <c r="N2031">
        <v>0</v>
      </c>
      <c r="O2031">
        <v>0</v>
      </c>
      <c r="P2031" t="s">
        <v>5819</v>
      </c>
    </row>
    <row r="2032" spans="1:16" x14ac:dyDescent="0.2">
      <c r="A2032" t="s">
        <v>5333</v>
      </c>
      <c r="B2032" t="s">
        <v>5334</v>
      </c>
      <c r="C2032" t="s">
        <v>3929</v>
      </c>
      <c r="D2032" t="s">
        <v>105</v>
      </c>
      <c r="E2032">
        <v>69.989999999999995</v>
      </c>
      <c r="F2032" t="s">
        <v>5817</v>
      </c>
      <c r="G2032">
        <v>41</v>
      </c>
      <c r="I2032">
        <v>41</v>
      </c>
      <c r="L2032" t="s">
        <v>5085</v>
      </c>
      <c r="M2032">
        <v>0</v>
      </c>
      <c r="N2032">
        <v>0</v>
      </c>
      <c r="O2032">
        <v>0.16666666666666666</v>
      </c>
      <c r="P2032" t="s">
        <v>5819</v>
      </c>
    </row>
    <row r="2033" spans="1:16" x14ac:dyDescent="0.2">
      <c r="A2033" t="s">
        <v>5122</v>
      </c>
      <c r="B2033" t="s">
        <v>5123</v>
      </c>
      <c r="C2033" t="s">
        <v>3929</v>
      </c>
      <c r="D2033" t="s">
        <v>98</v>
      </c>
      <c r="E2033">
        <v>169.99</v>
      </c>
      <c r="F2033" t="s">
        <v>5817</v>
      </c>
      <c r="L2033" t="s">
        <v>5085</v>
      </c>
      <c r="M2033">
        <v>0</v>
      </c>
      <c r="N2033">
        <v>0</v>
      </c>
      <c r="O2033">
        <v>0</v>
      </c>
      <c r="P2033" t="s">
        <v>5819</v>
      </c>
    </row>
    <row r="2034" spans="1:16" x14ac:dyDescent="0.2">
      <c r="A2034" t="s">
        <v>5092</v>
      </c>
      <c r="B2034" t="s">
        <v>5850</v>
      </c>
      <c r="C2034" t="s">
        <v>3929</v>
      </c>
      <c r="D2034" t="s">
        <v>98</v>
      </c>
      <c r="E2034">
        <v>249.99</v>
      </c>
      <c r="F2034" t="s">
        <v>5817</v>
      </c>
      <c r="J2034">
        <v>1</v>
      </c>
      <c r="L2034" t="s">
        <v>5085</v>
      </c>
      <c r="M2034">
        <v>0</v>
      </c>
      <c r="N2034">
        <v>0</v>
      </c>
      <c r="O2034">
        <v>0</v>
      </c>
      <c r="P2034" t="s">
        <v>5819</v>
      </c>
    </row>
    <row r="2035" spans="1:16" x14ac:dyDescent="0.2">
      <c r="A2035" t="s">
        <v>4111</v>
      </c>
      <c r="B2035" t="s">
        <v>4112</v>
      </c>
      <c r="C2035" t="s">
        <v>3929</v>
      </c>
      <c r="D2035" t="s">
        <v>105</v>
      </c>
      <c r="E2035">
        <v>89.99</v>
      </c>
      <c r="F2035" t="s">
        <v>5817</v>
      </c>
      <c r="G2035">
        <v>53</v>
      </c>
      <c r="I2035">
        <v>53</v>
      </c>
      <c r="L2035" t="s">
        <v>5085</v>
      </c>
      <c r="M2035">
        <v>0</v>
      </c>
      <c r="N2035">
        <v>0</v>
      </c>
      <c r="O2035">
        <v>8.3333333333333329E-2</v>
      </c>
      <c r="P2035" t="s">
        <v>5819</v>
      </c>
    </row>
    <row r="2036" spans="1:16" x14ac:dyDescent="0.2">
      <c r="A2036" t="s">
        <v>5126</v>
      </c>
      <c r="B2036" t="s">
        <v>5127</v>
      </c>
      <c r="C2036" t="s">
        <v>3929</v>
      </c>
      <c r="D2036" t="s">
        <v>105</v>
      </c>
      <c r="E2036">
        <v>129.99</v>
      </c>
      <c r="F2036" t="s">
        <v>5817</v>
      </c>
      <c r="G2036">
        <v>28</v>
      </c>
      <c r="I2036">
        <v>28</v>
      </c>
      <c r="L2036" t="s">
        <v>5085</v>
      </c>
      <c r="M2036">
        <v>0</v>
      </c>
      <c r="N2036">
        <v>0</v>
      </c>
      <c r="O2036">
        <v>0.16666666666666666</v>
      </c>
      <c r="P2036" t="s">
        <v>5819</v>
      </c>
    </row>
    <row r="2037" spans="1:16" x14ac:dyDescent="0.2">
      <c r="A2037" t="s">
        <v>5181</v>
      </c>
      <c r="B2037" t="s">
        <v>5182</v>
      </c>
      <c r="C2037" t="s">
        <v>3929</v>
      </c>
      <c r="D2037" t="s">
        <v>138</v>
      </c>
      <c r="E2037">
        <v>79.989999999999995</v>
      </c>
      <c r="F2037" t="s">
        <v>5817</v>
      </c>
      <c r="G2037">
        <v>16</v>
      </c>
      <c r="I2037">
        <v>16</v>
      </c>
      <c r="L2037" t="s">
        <v>5085</v>
      </c>
      <c r="M2037">
        <v>0</v>
      </c>
      <c r="N2037">
        <v>0</v>
      </c>
      <c r="O2037">
        <v>0</v>
      </c>
      <c r="P2037" t="s">
        <v>5819</v>
      </c>
    </row>
    <row r="2038" spans="1:16" x14ac:dyDescent="0.2">
      <c r="A2038" t="s">
        <v>4109</v>
      </c>
      <c r="B2038" t="s">
        <v>4110</v>
      </c>
      <c r="C2038" t="s">
        <v>3929</v>
      </c>
      <c r="D2038" t="s">
        <v>105</v>
      </c>
      <c r="E2038">
        <v>64.989999999999995</v>
      </c>
      <c r="F2038" t="s">
        <v>5817</v>
      </c>
      <c r="G2038">
        <v>20</v>
      </c>
      <c r="I2038">
        <v>20</v>
      </c>
      <c r="L2038" t="s">
        <v>5085</v>
      </c>
      <c r="M2038">
        <v>0</v>
      </c>
      <c r="N2038">
        <v>0</v>
      </c>
      <c r="O2038">
        <v>0.41666666666666669</v>
      </c>
      <c r="P2038" t="s">
        <v>5819</v>
      </c>
    </row>
    <row r="2039" spans="1:16" x14ac:dyDescent="0.2">
      <c r="A2039" t="s">
        <v>5329</v>
      </c>
      <c r="B2039" t="s">
        <v>5330</v>
      </c>
      <c r="C2039" t="s">
        <v>3929</v>
      </c>
      <c r="D2039" t="s">
        <v>138</v>
      </c>
      <c r="E2039">
        <v>79.989999999999995</v>
      </c>
      <c r="F2039" t="s">
        <v>5817</v>
      </c>
      <c r="G2039">
        <v>24</v>
      </c>
      <c r="I2039">
        <v>24</v>
      </c>
      <c r="L2039" t="s">
        <v>5085</v>
      </c>
      <c r="M2039">
        <v>0</v>
      </c>
      <c r="N2039">
        <v>0</v>
      </c>
      <c r="O2039">
        <v>0.16666666666666663</v>
      </c>
      <c r="P2039" t="s">
        <v>5819</v>
      </c>
    </row>
    <row r="2040" spans="1:16" x14ac:dyDescent="0.2">
      <c r="A2040" t="s">
        <v>5130</v>
      </c>
      <c r="B2040" t="s">
        <v>5131</v>
      </c>
      <c r="C2040" t="s">
        <v>3929</v>
      </c>
      <c r="D2040" t="s">
        <v>138</v>
      </c>
      <c r="E2040">
        <v>139.99</v>
      </c>
      <c r="F2040" t="s">
        <v>5817</v>
      </c>
      <c r="G2040">
        <v>71</v>
      </c>
      <c r="I2040">
        <v>71</v>
      </c>
      <c r="L2040" t="s">
        <v>5085</v>
      </c>
      <c r="M2040">
        <v>0</v>
      </c>
      <c r="N2040">
        <v>0</v>
      </c>
      <c r="O2040">
        <v>0.25</v>
      </c>
      <c r="P2040" t="s">
        <v>5819</v>
      </c>
    </row>
    <row r="2041" spans="1:16" x14ac:dyDescent="0.2">
      <c r="A2041" t="s">
        <v>5087</v>
      </c>
      <c r="B2041" t="s">
        <v>5088</v>
      </c>
      <c r="C2041" t="s">
        <v>3929</v>
      </c>
      <c r="D2041" t="s">
        <v>105</v>
      </c>
      <c r="E2041">
        <v>79.989999999999995</v>
      </c>
      <c r="F2041" t="s">
        <v>5817</v>
      </c>
      <c r="G2041">
        <v>227</v>
      </c>
      <c r="I2041">
        <v>227</v>
      </c>
      <c r="L2041" t="s">
        <v>5085</v>
      </c>
      <c r="M2041">
        <v>0</v>
      </c>
      <c r="N2041">
        <v>0</v>
      </c>
      <c r="O2041">
        <v>8.3333333333333329E-2</v>
      </c>
      <c r="P2041" t="s">
        <v>5819</v>
      </c>
    </row>
    <row r="2042" spans="1:16" x14ac:dyDescent="0.2">
      <c r="A2042" t="s">
        <v>5128</v>
      </c>
      <c r="B2042" t="s">
        <v>5129</v>
      </c>
      <c r="C2042" t="s">
        <v>3929</v>
      </c>
      <c r="D2042" t="s">
        <v>138</v>
      </c>
      <c r="E2042">
        <v>129.99</v>
      </c>
      <c r="F2042" t="s">
        <v>5817</v>
      </c>
      <c r="G2042">
        <v>32</v>
      </c>
      <c r="H2042" t="s">
        <v>5823</v>
      </c>
      <c r="I2042">
        <v>31</v>
      </c>
      <c r="L2042" t="s">
        <v>5085</v>
      </c>
      <c r="M2042">
        <v>0</v>
      </c>
      <c r="N2042">
        <v>0</v>
      </c>
      <c r="O2042">
        <v>0.75</v>
      </c>
      <c r="P2042">
        <v>9</v>
      </c>
    </row>
    <row r="2043" spans="1:16" x14ac:dyDescent="0.2">
      <c r="A2043" t="s">
        <v>4107</v>
      </c>
      <c r="B2043" t="s">
        <v>4108</v>
      </c>
      <c r="C2043" t="s">
        <v>3929</v>
      </c>
      <c r="D2043" t="s">
        <v>138</v>
      </c>
      <c r="E2043">
        <v>119.99</v>
      </c>
      <c r="F2043" t="s">
        <v>5817</v>
      </c>
      <c r="G2043">
        <v>83</v>
      </c>
      <c r="I2043">
        <v>83</v>
      </c>
      <c r="L2043" t="s">
        <v>5085</v>
      </c>
      <c r="M2043">
        <v>0</v>
      </c>
      <c r="N2043">
        <v>0</v>
      </c>
      <c r="O2043">
        <v>0</v>
      </c>
      <c r="P2043" t="s">
        <v>5819</v>
      </c>
    </row>
    <row r="2044" spans="1:16" x14ac:dyDescent="0.2">
      <c r="A2044" t="s">
        <v>4006</v>
      </c>
      <c r="B2044" t="s">
        <v>4007</v>
      </c>
      <c r="C2044" t="s">
        <v>3929</v>
      </c>
      <c r="D2044" t="s">
        <v>105</v>
      </c>
      <c r="E2044">
        <v>64.989999999999995</v>
      </c>
      <c r="F2044" t="s">
        <v>5817</v>
      </c>
      <c r="G2044">
        <v>35</v>
      </c>
      <c r="H2044" t="s">
        <v>5849</v>
      </c>
      <c r="I2044">
        <v>22</v>
      </c>
      <c r="K2044">
        <v>40</v>
      </c>
      <c r="L2044" t="s">
        <v>5085</v>
      </c>
      <c r="M2044">
        <v>0</v>
      </c>
      <c r="N2044">
        <v>0</v>
      </c>
      <c r="O2044">
        <v>8.3333333333333329E-2</v>
      </c>
      <c r="P2044" t="s">
        <v>5819</v>
      </c>
    </row>
    <row r="2045" spans="1:16" x14ac:dyDescent="0.2">
      <c r="A2045" t="s">
        <v>5606</v>
      </c>
      <c r="B2045" t="s">
        <v>5607</v>
      </c>
      <c r="C2045" t="s">
        <v>3929</v>
      </c>
      <c r="D2045" t="s">
        <v>105</v>
      </c>
      <c r="E2045">
        <v>169.99</v>
      </c>
      <c r="F2045" t="s">
        <v>5817</v>
      </c>
      <c r="G2045">
        <v>25</v>
      </c>
      <c r="I2045">
        <v>25</v>
      </c>
      <c r="L2045" t="s">
        <v>5085</v>
      </c>
      <c r="M2045">
        <v>0</v>
      </c>
      <c r="N2045">
        <v>0</v>
      </c>
      <c r="O2045">
        <v>0.25</v>
      </c>
      <c r="P2045" t="s">
        <v>5819</v>
      </c>
    </row>
    <row r="2046" spans="1:16" x14ac:dyDescent="0.2">
      <c r="A2046" t="s">
        <v>5118</v>
      </c>
      <c r="B2046" t="s">
        <v>5119</v>
      </c>
      <c r="C2046" t="s">
        <v>3929</v>
      </c>
      <c r="D2046" t="s">
        <v>98</v>
      </c>
      <c r="E2046">
        <v>109.99</v>
      </c>
      <c r="F2046" t="s">
        <v>5817</v>
      </c>
      <c r="L2046" t="s">
        <v>5085</v>
      </c>
      <c r="M2046">
        <v>0</v>
      </c>
      <c r="N2046">
        <v>0</v>
      </c>
      <c r="O2046">
        <v>0</v>
      </c>
      <c r="P2046" t="s">
        <v>5819</v>
      </c>
    </row>
    <row r="2047" spans="1:16" x14ac:dyDescent="0.2">
      <c r="A2047" t="s">
        <v>4097</v>
      </c>
      <c r="B2047" t="s">
        <v>4098</v>
      </c>
      <c r="C2047" t="s">
        <v>3929</v>
      </c>
      <c r="D2047" t="s">
        <v>105</v>
      </c>
      <c r="E2047">
        <v>199.99</v>
      </c>
      <c r="F2047" t="s">
        <v>5817</v>
      </c>
      <c r="G2047">
        <v>17</v>
      </c>
      <c r="I2047">
        <v>17</v>
      </c>
      <c r="K2047">
        <v>40</v>
      </c>
      <c r="L2047" t="s">
        <v>5085</v>
      </c>
      <c r="M2047">
        <v>0</v>
      </c>
      <c r="N2047">
        <v>0</v>
      </c>
      <c r="O2047">
        <v>0</v>
      </c>
      <c r="P2047" t="s">
        <v>5819</v>
      </c>
    </row>
    <row r="2048" spans="1:16" x14ac:dyDescent="0.2">
      <c r="A2048" t="s">
        <v>4085</v>
      </c>
      <c r="B2048" t="s">
        <v>4086</v>
      </c>
      <c r="C2048" t="s">
        <v>3929</v>
      </c>
      <c r="D2048" t="s">
        <v>98</v>
      </c>
      <c r="E2048">
        <v>119.99</v>
      </c>
      <c r="F2048" t="s">
        <v>5817</v>
      </c>
      <c r="L2048" t="s">
        <v>5085</v>
      </c>
      <c r="M2048">
        <v>0</v>
      </c>
      <c r="N2048">
        <v>0</v>
      </c>
      <c r="O2048">
        <v>8.3333333333333329E-2</v>
      </c>
      <c r="P2048" t="s">
        <v>5819</v>
      </c>
    </row>
    <row r="2049" spans="1:16" x14ac:dyDescent="0.2">
      <c r="A2049" t="s">
        <v>5114</v>
      </c>
      <c r="B2049" t="s">
        <v>5115</v>
      </c>
      <c r="C2049" t="s">
        <v>3929</v>
      </c>
      <c r="D2049" t="s">
        <v>98</v>
      </c>
      <c r="E2049">
        <v>129.99</v>
      </c>
      <c r="F2049" t="s">
        <v>5817</v>
      </c>
      <c r="L2049" t="s">
        <v>5085</v>
      </c>
      <c r="M2049">
        <v>0</v>
      </c>
      <c r="N2049">
        <v>0</v>
      </c>
      <c r="O2049">
        <v>8.3333333333333329E-2</v>
      </c>
      <c r="P2049" t="s">
        <v>5819</v>
      </c>
    </row>
    <row r="2050" spans="1:16" x14ac:dyDescent="0.2">
      <c r="A2050" t="s">
        <v>5090</v>
      </c>
      <c r="B2050" t="s">
        <v>5091</v>
      </c>
      <c r="C2050" t="s">
        <v>3929</v>
      </c>
      <c r="D2050" t="s">
        <v>105</v>
      </c>
      <c r="E2050">
        <v>39.99</v>
      </c>
      <c r="F2050" t="s">
        <v>5817</v>
      </c>
      <c r="G2050">
        <v>61</v>
      </c>
      <c r="I2050">
        <v>61</v>
      </c>
      <c r="L2050" t="s">
        <v>5085</v>
      </c>
      <c r="M2050">
        <v>0</v>
      </c>
      <c r="N2050">
        <v>0</v>
      </c>
      <c r="O2050">
        <v>0.16666666666666666</v>
      </c>
      <c r="P2050" t="s">
        <v>5819</v>
      </c>
    </row>
    <row r="2051" spans="1:16" x14ac:dyDescent="0.2">
      <c r="A2051" t="s">
        <v>5321</v>
      </c>
      <c r="B2051" t="s">
        <v>5322</v>
      </c>
      <c r="C2051" t="s">
        <v>3929</v>
      </c>
      <c r="D2051" t="s">
        <v>98</v>
      </c>
      <c r="E2051">
        <v>69.989999999999995</v>
      </c>
      <c r="F2051" t="s">
        <v>5817</v>
      </c>
      <c r="L2051" t="s">
        <v>5085</v>
      </c>
      <c r="M2051">
        <v>0</v>
      </c>
      <c r="N2051">
        <v>0</v>
      </c>
      <c r="O2051">
        <v>0</v>
      </c>
      <c r="P2051" t="s">
        <v>5819</v>
      </c>
    </row>
    <row r="2052" spans="1:16" x14ac:dyDescent="0.2">
      <c r="A2052" t="s">
        <v>5116</v>
      </c>
      <c r="B2052" t="s">
        <v>5117</v>
      </c>
      <c r="C2052" t="s">
        <v>3929</v>
      </c>
      <c r="D2052" t="s">
        <v>138</v>
      </c>
      <c r="E2052">
        <v>209.99</v>
      </c>
      <c r="F2052" t="s">
        <v>5817</v>
      </c>
      <c r="L2052" t="s">
        <v>5085</v>
      </c>
      <c r="M2052">
        <v>0</v>
      </c>
      <c r="N2052">
        <v>0</v>
      </c>
      <c r="O2052">
        <v>0</v>
      </c>
      <c r="P2052" t="s">
        <v>5819</v>
      </c>
    </row>
    <row r="2053" spans="1:16" x14ac:dyDescent="0.2">
      <c r="A2053" t="s">
        <v>4095</v>
      </c>
      <c r="B2053" t="s">
        <v>4096</v>
      </c>
      <c r="C2053" t="s">
        <v>3929</v>
      </c>
      <c r="D2053" t="s">
        <v>98</v>
      </c>
      <c r="E2053">
        <v>99.99</v>
      </c>
      <c r="F2053" t="s">
        <v>5817</v>
      </c>
      <c r="L2053" t="s">
        <v>5085</v>
      </c>
      <c r="M2053">
        <v>0</v>
      </c>
      <c r="N2053">
        <v>0</v>
      </c>
      <c r="O2053">
        <v>0</v>
      </c>
      <c r="P2053" t="s">
        <v>5819</v>
      </c>
    </row>
    <row r="2054" spans="1:16" x14ac:dyDescent="0.2">
      <c r="A2054" t="s">
        <v>5463</v>
      </c>
      <c r="B2054" t="s">
        <v>5464</v>
      </c>
      <c r="C2054" t="s">
        <v>3929</v>
      </c>
      <c r="D2054" t="s">
        <v>98</v>
      </c>
      <c r="E2054">
        <v>199.99</v>
      </c>
      <c r="F2054" t="s">
        <v>5817</v>
      </c>
      <c r="L2054" t="s">
        <v>5085</v>
      </c>
      <c r="M2054">
        <v>0</v>
      </c>
      <c r="N2054">
        <v>0</v>
      </c>
      <c r="O2054">
        <v>0</v>
      </c>
      <c r="P2054" t="s">
        <v>5819</v>
      </c>
    </row>
    <row r="2055" spans="1:16" x14ac:dyDescent="0.2">
      <c r="A2055" t="s">
        <v>5516</v>
      </c>
      <c r="B2055" t="s">
        <v>5517</v>
      </c>
      <c r="C2055" t="s">
        <v>3929</v>
      </c>
      <c r="D2055" t="s">
        <v>98</v>
      </c>
      <c r="E2055">
        <v>19.989999999999998</v>
      </c>
      <c r="F2055" t="s">
        <v>5817</v>
      </c>
      <c r="L2055" t="s">
        <v>5085</v>
      </c>
      <c r="M2055">
        <v>0</v>
      </c>
      <c r="N2055">
        <v>0</v>
      </c>
      <c r="O2055">
        <v>0.16666666666666666</v>
      </c>
      <c r="P2055" t="s">
        <v>5819</v>
      </c>
    </row>
    <row r="2056" spans="1:16" x14ac:dyDescent="0.2">
      <c r="A2056" t="s">
        <v>5491</v>
      </c>
      <c r="B2056" t="s">
        <v>5492</v>
      </c>
      <c r="C2056" t="s">
        <v>3929</v>
      </c>
      <c r="D2056" t="s">
        <v>98</v>
      </c>
      <c r="E2056">
        <v>219.99</v>
      </c>
      <c r="F2056" t="s">
        <v>5817</v>
      </c>
      <c r="L2056" t="s">
        <v>5085</v>
      </c>
      <c r="M2056">
        <v>0</v>
      </c>
      <c r="N2056">
        <v>0</v>
      </c>
      <c r="O2056">
        <v>0</v>
      </c>
      <c r="P2056" t="s">
        <v>5819</v>
      </c>
    </row>
    <row r="2057" spans="1:16" x14ac:dyDescent="0.2">
      <c r="A2057" t="s">
        <v>5343</v>
      </c>
      <c r="B2057" t="s">
        <v>5344</v>
      </c>
      <c r="C2057" t="s">
        <v>3929</v>
      </c>
      <c r="D2057" t="s">
        <v>98</v>
      </c>
      <c r="E2057">
        <v>69.989999999999995</v>
      </c>
      <c r="F2057" t="s">
        <v>5817</v>
      </c>
      <c r="L2057" t="s">
        <v>5085</v>
      </c>
      <c r="M2057">
        <v>0</v>
      </c>
      <c r="N2057">
        <v>0</v>
      </c>
      <c r="O2057">
        <v>0</v>
      </c>
      <c r="P2057" t="s">
        <v>5819</v>
      </c>
    </row>
    <row r="2058" spans="1:16" x14ac:dyDescent="0.2">
      <c r="A2058" t="s">
        <v>5520</v>
      </c>
      <c r="B2058" t="s">
        <v>5521</v>
      </c>
      <c r="C2058" t="s">
        <v>3929</v>
      </c>
      <c r="D2058" t="s">
        <v>138</v>
      </c>
      <c r="E2058">
        <v>89.99</v>
      </c>
      <c r="F2058" t="s">
        <v>5817</v>
      </c>
      <c r="L2058" t="s">
        <v>5085</v>
      </c>
      <c r="M2058">
        <v>0</v>
      </c>
      <c r="N2058">
        <v>0</v>
      </c>
      <c r="O2058">
        <v>0</v>
      </c>
      <c r="P2058" t="s">
        <v>5819</v>
      </c>
    </row>
    <row r="2059" spans="1:16" x14ac:dyDescent="0.2">
      <c r="A2059" t="s">
        <v>5112</v>
      </c>
      <c r="B2059" t="s">
        <v>5113</v>
      </c>
      <c r="C2059" t="s">
        <v>3929</v>
      </c>
      <c r="D2059" t="s">
        <v>105</v>
      </c>
      <c r="E2059">
        <v>39.99</v>
      </c>
      <c r="F2059" t="s">
        <v>5817</v>
      </c>
      <c r="G2059">
        <v>20</v>
      </c>
      <c r="H2059" t="s">
        <v>5832</v>
      </c>
      <c r="I2059">
        <v>10</v>
      </c>
      <c r="L2059" t="s">
        <v>5085</v>
      </c>
      <c r="M2059">
        <v>0</v>
      </c>
      <c r="N2059">
        <v>0</v>
      </c>
      <c r="O2059">
        <v>8.3333333333333329E-2</v>
      </c>
      <c r="P2059">
        <v>5</v>
      </c>
    </row>
    <row r="2060" spans="1:16" x14ac:dyDescent="0.2">
      <c r="A2060" t="s">
        <v>5317</v>
      </c>
      <c r="B2060" t="s">
        <v>5318</v>
      </c>
      <c r="C2060" t="s">
        <v>3929</v>
      </c>
      <c r="D2060" t="s">
        <v>98</v>
      </c>
      <c r="E2060">
        <v>69.989999999999995</v>
      </c>
      <c r="F2060" t="s">
        <v>5817</v>
      </c>
      <c r="L2060" t="s">
        <v>5085</v>
      </c>
      <c r="M2060">
        <v>0</v>
      </c>
      <c r="N2060">
        <v>0</v>
      </c>
      <c r="O2060">
        <v>0</v>
      </c>
      <c r="P2060" t="s">
        <v>5819</v>
      </c>
    </row>
    <row r="2061" spans="1:16" x14ac:dyDescent="0.2">
      <c r="A2061" t="s">
        <v>5409</v>
      </c>
      <c r="B2061" t="s">
        <v>5410</v>
      </c>
      <c r="C2061" t="s">
        <v>3929</v>
      </c>
      <c r="D2061" t="s">
        <v>105</v>
      </c>
      <c r="E2061">
        <v>249.99</v>
      </c>
      <c r="F2061" t="s">
        <v>5817</v>
      </c>
      <c r="G2061">
        <v>10</v>
      </c>
      <c r="I2061">
        <v>10</v>
      </c>
      <c r="L2061" t="s">
        <v>5085</v>
      </c>
      <c r="M2061">
        <v>0</v>
      </c>
      <c r="N2061">
        <v>0</v>
      </c>
      <c r="O2061">
        <v>0.33333333333333331</v>
      </c>
      <c r="P2061">
        <v>8</v>
      </c>
    </row>
    <row r="2062" spans="1:16" x14ac:dyDescent="0.2">
      <c r="A2062" t="s">
        <v>4079</v>
      </c>
      <c r="B2062" t="s">
        <v>4080</v>
      </c>
      <c r="C2062" t="s">
        <v>3929</v>
      </c>
      <c r="D2062" t="s">
        <v>138</v>
      </c>
      <c r="E2062">
        <v>199.99</v>
      </c>
      <c r="F2062" t="s">
        <v>5817</v>
      </c>
      <c r="L2062" t="s">
        <v>5085</v>
      </c>
      <c r="M2062">
        <v>0</v>
      </c>
      <c r="N2062">
        <v>0</v>
      </c>
      <c r="O2062">
        <v>0</v>
      </c>
      <c r="P2062" t="s">
        <v>5819</v>
      </c>
    </row>
    <row r="2063" spans="1:16" x14ac:dyDescent="0.2">
      <c r="A2063" t="s">
        <v>4105</v>
      </c>
      <c r="B2063" t="s">
        <v>4106</v>
      </c>
      <c r="C2063" t="s">
        <v>3929</v>
      </c>
      <c r="D2063" t="s">
        <v>105</v>
      </c>
      <c r="E2063">
        <v>129.99</v>
      </c>
      <c r="F2063" t="s">
        <v>5817</v>
      </c>
      <c r="G2063">
        <v>11</v>
      </c>
      <c r="I2063">
        <v>11</v>
      </c>
      <c r="L2063" t="s">
        <v>5085</v>
      </c>
      <c r="M2063">
        <v>0</v>
      </c>
      <c r="N2063">
        <v>0</v>
      </c>
      <c r="O2063">
        <v>8.3333333333333329E-2</v>
      </c>
      <c r="P2063" t="s">
        <v>5819</v>
      </c>
    </row>
    <row r="2064" spans="1:16" x14ac:dyDescent="0.2">
      <c r="A2064" t="s">
        <v>4004</v>
      </c>
      <c r="B2064" t="s">
        <v>4005</v>
      </c>
      <c r="C2064" t="s">
        <v>3929</v>
      </c>
      <c r="D2064" t="s">
        <v>105</v>
      </c>
      <c r="E2064">
        <v>64.989999999999995</v>
      </c>
      <c r="F2064" t="s">
        <v>5817</v>
      </c>
      <c r="G2064">
        <v>2</v>
      </c>
      <c r="I2064">
        <v>2</v>
      </c>
      <c r="L2064" t="s">
        <v>5085</v>
      </c>
      <c r="M2064">
        <v>0</v>
      </c>
      <c r="N2064">
        <v>0</v>
      </c>
      <c r="O2064">
        <v>0</v>
      </c>
      <c r="P2064" t="s">
        <v>5819</v>
      </c>
    </row>
    <row r="2065" spans="1:16" x14ac:dyDescent="0.2">
      <c r="A2065" t="s">
        <v>5341</v>
      </c>
      <c r="B2065" t="s">
        <v>5342</v>
      </c>
      <c r="C2065" t="s">
        <v>3929</v>
      </c>
      <c r="D2065" t="s">
        <v>98</v>
      </c>
      <c r="E2065">
        <v>69.989999999999995</v>
      </c>
      <c r="F2065" t="s">
        <v>5817</v>
      </c>
      <c r="L2065" t="s">
        <v>5085</v>
      </c>
      <c r="M2065">
        <v>0</v>
      </c>
      <c r="N2065">
        <v>0</v>
      </c>
      <c r="O2065">
        <v>0.25</v>
      </c>
      <c r="P2065" t="s">
        <v>5819</v>
      </c>
    </row>
    <row r="2066" spans="1:16" x14ac:dyDescent="0.2">
      <c r="A2066" t="s">
        <v>5100</v>
      </c>
      <c r="B2066" t="s">
        <v>5101</v>
      </c>
      <c r="C2066" t="s">
        <v>3929</v>
      </c>
      <c r="D2066" t="s">
        <v>138</v>
      </c>
      <c r="E2066">
        <v>189.99</v>
      </c>
      <c r="F2066" t="s">
        <v>5817</v>
      </c>
      <c r="J2066">
        <v>2</v>
      </c>
      <c r="L2066" t="s">
        <v>5085</v>
      </c>
      <c r="M2066">
        <v>0</v>
      </c>
      <c r="N2066">
        <v>0</v>
      </c>
      <c r="O2066">
        <v>0</v>
      </c>
      <c r="P2066" t="s">
        <v>5819</v>
      </c>
    </row>
    <row r="2067" spans="1:16" x14ac:dyDescent="0.2">
      <c r="A2067" t="s">
        <v>5584</v>
      </c>
      <c r="B2067" t="s">
        <v>5585</v>
      </c>
      <c r="C2067" t="s">
        <v>3929</v>
      </c>
      <c r="D2067" t="s">
        <v>138</v>
      </c>
      <c r="E2067">
        <v>199.99</v>
      </c>
      <c r="F2067" t="s">
        <v>5817</v>
      </c>
      <c r="L2067" t="s">
        <v>5085</v>
      </c>
      <c r="M2067">
        <v>0</v>
      </c>
      <c r="N2067">
        <v>0</v>
      </c>
      <c r="O2067">
        <v>0</v>
      </c>
      <c r="P2067" t="s">
        <v>5819</v>
      </c>
    </row>
    <row r="2068" spans="1:16" x14ac:dyDescent="0.2">
      <c r="A2068" t="s">
        <v>4103</v>
      </c>
      <c r="B2068" t="s">
        <v>4104</v>
      </c>
      <c r="C2068" t="s">
        <v>3929</v>
      </c>
      <c r="D2068" t="s">
        <v>105</v>
      </c>
      <c r="E2068">
        <v>99.99</v>
      </c>
      <c r="F2068" t="s">
        <v>5817</v>
      </c>
      <c r="G2068">
        <v>10</v>
      </c>
      <c r="I2068">
        <v>10</v>
      </c>
      <c r="L2068" t="s">
        <v>5085</v>
      </c>
      <c r="M2068">
        <v>0</v>
      </c>
      <c r="N2068">
        <v>0</v>
      </c>
      <c r="O2068">
        <v>0.16666666666666666</v>
      </c>
      <c r="P2068" t="s">
        <v>5819</v>
      </c>
    </row>
    <row r="2069" spans="1:16" x14ac:dyDescent="0.2">
      <c r="A2069" t="s">
        <v>5325</v>
      </c>
      <c r="B2069" t="s">
        <v>5326</v>
      </c>
      <c r="C2069" t="s">
        <v>3929</v>
      </c>
      <c r="D2069" t="s">
        <v>105</v>
      </c>
      <c r="E2069">
        <v>69.989999999999995</v>
      </c>
      <c r="F2069" t="s">
        <v>5817</v>
      </c>
      <c r="J2069">
        <v>1</v>
      </c>
      <c r="L2069" t="s">
        <v>5085</v>
      </c>
      <c r="M2069">
        <v>0</v>
      </c>
      <c r="N2069">
        <v>0</v>
      </c>
      <c r="O2069">
        <v>0.25</v>
      </c>
      <c r="P2069" t="s">
        <v>5819</v>
      </c>
    </row>
    <row r="2070" spans="1:16" x14ac:dyDescent="0.2">
      <c r="A2070" t="s">
        <v>4083</v>
      </c>
      <c r="B2070" t="s">
        <v>4084</v>
      </c>
      <c r="C2070" t="s">
        <v>3929</v>
      </c>
      <c r="D2070" t="s">
        <v>105</v>
      </c>
      <c r="E2070">
        <v>74.989999999999995</v>
      </c>
      <c r="F2070" t="s">
        <v>5817</v>
      </c>
      <c r="G2070">
        <v>44</v>
      </c>
      <c r="I2070">
        <v>44</v>
      </c>
      <c r="L2070" t="s">
        <v>5085</v>
      </c>
      <c r="M2070">
        <v>0</v>
      </c>
      <c r="N2070">
        <v>0</v>
      </c>
      <c r="O2070">
        <v>0</v>
      </c>
      <c r="P2070" t="s">
        <v>5819</v>
      </c>
    </row>
    <row r="2071" spans="1:16" x14ac:dyDescent="0.2">
      <c r="A2071" t="s">
        <v>5124</v>
      </c>
      <c r="B2071" t="s">
        <v>5125</v>
      </c>
      <c r="C2071" t="s">
        <v>3929</v>
      </c>
      <c r="D2071" t="s">
        <v>105</v>
      </c>
      <c r="E2071">
        <v>319.99</v>
      </c>
      <c r="F2071" t="s">
        <v>5817</v>
      </c>
      <c r="G2071">
        <v>10</v>
      </c>
      <c r="I2071">
        <v>10</v>
      </c>
      <c r="L2071" t="s">
        <v>5085</v>
      </c>
      <c r="M2071">
        <v>0</v>
      </c>
      <c r="N2071">
        <v>0</v>
      </c>
      <c r="O2071">
        <v>8.3333333333333329E-2</v>
      </c>
      <c r="P2071" t="s">
        <v>5819</v>
      </c>
    </row>
    <row r="2072" spans="1:16" x14ac:dyDescent="0.2">
      <c r="A2072" t="s">
        <v>5098</v>
      </c>
      <c r="B2072" t="s">
        <v>5099</v>
      </c>
      <c r="C2072" t="s">
        <v>3929</v>
      </c>
      <c r="D2072" t="s">
        <v>105</v>
      </c>
      <c r="E2072">
        <v>39.99</v>
      </c>
      <c r="F2072" t="s">
        <v>5817</v>
      </c>
      <c r="G2072">
        <v>17</v>
      </c>
      <c r="I2072">
        <v>17</v>
      </c>
      <c r="L2072" t="s">
        <v>5085</v>
      </c>
      <c r="M2072">
        <v>0</v>
      </c>
      <c r="N2072">
        <v>0</v>
      </c>
      <c r="O2072">
        <v>8.3333333333333329E-2</v>
      </c>
      <c r="P2072">
        <v>4</v>
      </c>
    </row>
    <row r="2073" spans="1:16" x14ac:dyDescent="0.2">
      <c r="A2073" t="s">
        <v>4099</v>
      </c>
      <c r="B2073" t="s">
        <v>4100</v>
      </c>
      <c r="C2073" t="s">
        <v>3929</v>
      </c>
      <c r="D2073" t="s">
        <v>105</v>
      </c>
      <c r="E2073">
        <v>249.99</v>
      </c>
      <c r="F2073" t="s">
        <v>5817</v>
      </c>
      <c r="G2073">
        <v>16</v>
      </c>
      <c r="I2073">
        <v>16</v>
      </c>
      <c r="L2073" t="s">
        <v>5085</v>
      </c>
      <c r="M2073">
        <v>0</v>
      </c>
      <c r="N2073">
        <v>0</v>
      </c>
      <c r="O2073">
        <v>0</v>
      </c>
      <c r="P2073" t="s">
        <v>5819</v>
      </c>
    </row>
    <row r="2074" spans="1:16" x14ac:dyDescent="0.2">
      <c r="A2074" t="s">
        <v>5437</v>
      </c>
      <c r="B2074" t="s">
        <v>5438</v>
      </c>
      <c r="C2074" t="s">
        <v>3929</v>
      </c>
      <c r="D2074" t="s">
        <v>98</v>
      </c>
      <c r="E2074">
        <v>74.989999999999995</v>
      </c>
      <c r="F2074" t="s">
        <v>5817</v>
      </c>
      <c r="L2074" t="s">
        <v>5085</v>
      </c>
      <c r="M2074">
        <v>0</v>
      </c>
      <c r="N2074">
        <v>0</v>
      </c>
      <c r="O2074">
        <v>0</v>
      </c>
      <c r="P2074" t="s">
        <v>5819</v>
      </c>
    </row>
    <row r="2075" spans="1:16" x14ac:dyDescent="0.2">
      <c r="A2075" t="s">
        <v>4113</v>
      </c>
      <c r="B2075" t="s">
        <v>4114</v>
      </c>
      <c r="C2075" t="s">
        <v>3929</v>
      </c>
      <c r="D2075" t="s">
        <v>105</v>
      </c>
      <c r="E2075">
        <v>54.99</v>
      </c>
      <c r="F2075" t="s">
        <v>5817</v>
      </c>
      <c r="G2075">
        <v>25</v>
      </c>
      <c r="I2075">
        <v>25</v>
      </c>
      <c r="L2075" t="s">
        <v>5085</v>
      </c>
      <c r="M2075">
        <v>0</v>
      </c>
      <c r="N2075">
        <v>0</v>
      </c>
      <c r="O2075">
        <v>0.16666666666666666</v>
      </c>
      <c r="P2075" t="s">
        <v>5819</v>
      </c>
    </row>
    <row r="2076" spans="1:16" x14ac:dyDescent="0.2">
      <c r="A2076" t="s">
        <v>4042</v>
      </c>
      <c r="B2076" t="s">
        <v>4043</v>
      </c>
      <c r="C2076" t="s">
        <v>3929</v>
      </c>
      <c r="D2076" t="s">
        <v>105</v>
      </c>
      <c r="E2076">
        <v>109.99</v>
      </c>
      <c r="F2076" t="s">
        <v>5817</v>
      </c>
      <c r="G2076">
        <v>40</v>
      </c>
      <c r="I2076">
        <v>40</v>
      </c>
      <c r="L2076" t="s">
        <v>5085</v>
      </c>
      <c r="M2076">
        <v>0</v>
      </c>
      <c r="N2076">
        <v>0</v>
      </c>
      <c r="O2076">
        <v>8.3333333333333329E-2</v>
      </c>
      <c r="P2076" t="s">
        <v>5819</v>
      </c>
    </row>
    <row r="2077" spans="1:16" x14ac:dyDescent="0.2">
      <c r="A2077" t="s">
        <v>5213</v>
      </c>
      <c r="B2077" t="s">
        <v>5214</v>
      </c>
      <c r="C2077" t="s">
        <v>3929</v>
      </c>
      <c r="D2077" t="s">
        <v>98</v>
      </c>
      <c r="E2077">
        <v>89.99</v>
      </c>
      <c r="F2077" t="s">
        <v>5817</v>
      </c>
      <c r="L2077" t="s">
        <v>5085</v>
      </c>
      <c r="M2077">
        <v>0</v>
      </c>
      <c r="N2077">
        <v>0</v>
      </c>
      <c r="O2077">
        <v>0</v>
      </c>
      <c r="P2077" t="s">
        <v>5819</v>
      </c>
    </row>
    <row r="2078" spans="1:16" x14ac:dyDescent="0.2">
      <c r="A2078" t="s">
        <v>3986</v>
      </c>
      <c r="B2078" t="s">
        <v>3987</v>
      </c>
      <c r="C2078" t="s">
        <v>3929</v>
      </c>
      <c r="D2078" t="s">
        <v>98</v>
      </c>
      <c r="E2078">
        <v>84.99</v>
      </c>
      <c r="F2078" t="s">
        <v>5817</v>
      </c>
      <c r="L2078" t="s">
        <v>5085</v>
      </c>
      <c r="M2078">
        <v>0</v>
      </c>
      <c r="N2078">
        <v>0</v>
      </c>
      <c r="O2078">
        <v>0</v>
      </c>
      <c r="P2078" t="s">
        <v>5819</v>
      </c>
    </row>
    <row r="2079" spans="1:16" x14ac:dyDescent="0.2">
      <c r="A2079" t="s">
        <v>4044</v>
      </c>
      <c r="B2079" t="s">
        <v>4045</v>
      </c>
      <c r="C2079" t="s">
        <v>3929</v>
      </c>
      <c r="D2079" t="s">
        <v>105</v>
      </c>
      <c r="E2079">
        <v>129.99</v>
      </c>
      <c r="F2079" t="s">
        <v>5817</v>
      </c>
      <c r="J2079">
        <v>2</v>
      </c>
      <c r="K2079">
        <v>40</v>
      </c>
      <c r="L2079" t="s">
        <v>5085</v>
      </c>
      <c r="M2079">
        <v>0</v>
      </c>
      <c r="N2079">
        <v>0</v>
      </c>
      <c r="O2079">
        <v>0</v>
      </c>
      <c r="P2079" t="s">
        <v>5819</v>
      </c>
    </row>
    <row r="2080" spans="1:16" x14ac:dyDescent="0.2">
      <c r="A2080" t="s">
        <v>5102</v>
      </c>
      <c r="B2080" t="s">
        <v>5103</v>
      </c>
      <c r="C2080" t="s">
        <v>3929</v>
      </c>
      <c r="D2080" t="s">
        <v>98</v>
      </c>
      <c r="E2080">
        <v>99.99</v>
      </c>
      <c r="F2080" t="s">
        <v>5817</v>
      </c>
      <c r="L2080" t="s">
        <v>5085</v>
      </c>
      <c r="M2080">
        <v>0</v>
      </c>
      <c r="N2080">
        <v>0</v>
      </c>
      <c r="O2080">
        <v>0</v>
      </c>
      <c r="P2080" t="s">
        <v>5819</v>
      </c>
    </row>
    <row r="2081" spans="1:16" x14ac:dyDescent="0.2">
      <c r="A2081" t="s">
        <v>5096</v>
      </c>
      <c r="B2081" t="s">
        <v>5097</v>
      </c>
      <c r="C2081" t="s">
        <v>3929</v>
      </c>
      <c r="D2081" t="s">
        <v>105</v>
      </c>
      <c r="E2081">
        <v>89.99</v>
      </c>
      <c r="F2081" t="s">
        <v>5817</v>
      </c>
      <c r="G2081">
        <v>35</v>
      </c>
      <c r="I2081">
        <v>35</v>
      </c>
      <c r="L2081" t="s">
        <v>5085</v>
      </c>
      <c r="M2081">
        <v>0</v>
      </c>
      <c r="N2081">
        <v>0</v>
      </c>
      <c r="O2081">
        <v>8.3333333333333329E-2</v>
      </c>
      <c r="P2081" t="s">
        <v>5819</v>
      </c>
    </row>
    <row r="2082" spans="1:16" x14ac:dyDescent="0.2">
      <c r="A2082" t="s">
        <v>5261</v>
      </c>
      <c r="B2082" t="s">
        <v>5262</v>
      </c>
      <c r="C2082" t="s">
        <v>3929</v>
      </c>
      <c r="D2082" t="s">
        <v>105</v>
      </c>
      <c r="E2082">
        <v>89.99</v>
      </c>
      <c r="F2082" t="s">
        <v>5817</v>
      </c>
      <c r="G2082">
        <v>107</v>
      </c>
      <c r="I2082">
        <v>107</v>
      </c>
      <c r="L2082" t="s">
        <v>5085</v>
      </c>
      <c r="M2082">
        <v>0</v>
      </c>
      <c r="N2082">
        <v>0</v>
      </c>
      <c r="O2082">
        <v>0.16666666666666666</v>
      </c>
      <c r="P2082" t="s">
        <v>5819</v>
      </c>
    </row>
    <row r="2083" spans="1:16" x14ac:dyDescent="0.2">
      <c r="A2083" t="s">
        <v>5290</v>
      </c>
      <c r="B2083" t="s">
        <v>5291</v>
      </c>
      <c r="C2083" t="s">
        <v>3929</v>
      </c>
      <c r="D2083" t="s">
        <v>98</v>
      </c>
      <c r="E2083">
        <v>89.99</v>
      </c>
      <c r="F2083" t="s">
        <v>5817</v>
      </c>
      <c r="L2083" t="s">
        <v>5085</v>
      </c>
      <c r="M2083">
        <v>0</v>
      </c>
      <c r="N2083">
        <v>0</v>
      </c>
      <c r="O2083">
        <v>0</v>
      </c>
      <c r="P2083" t="s">
        <v>5819</v>
      </c>
    </row>
    <row r="2084" spans="1:16" x14ac:dyDescent="0.2">
      <c r="A2084" t="s">
        <v>5120</v>
      </c>
      <c r="B2084" t="s">
        <v>5121</v>
      </c>
      <c r="C2084" t="s">
        <v>3929</v>
      </c>
      <c r="D2084" t="s">
        <v>105</v>
      </c>
      <c r="E2084">
        <v>89.99</v>
      </c>
      <c r="F2084" t="s">
        <v>5817</v>
      </c>
      <c r="G2084">
        <v>28</v>
      </c>
      <c r="I2084">
        <v>28</v>
      </c>
      <c r="L2084" t="s">
        <v>5085</v>
      </c>
      <c r="M2084">
        <v>0</v>
      </c>
      <c r="N2084">
        <v>0</v>
      </c>
      <c r="O2084">
        <v>0</v>
      </c>
      <c r="P2084" t="s">
        <v>5819</v>
      </c>
    </row>
    <row r="2085" spans="1:16" x14ac:dyDescent="0.2">
      <c r="A2085" t="s">
        <v>4161</v>
      </c>
      <c r="B2085" t="s">
        <v>4162</v>
      </c>
      <c r="C2085" t="s">
        <v>3929</v>
      </c>
      <c r="D2085" t="s">
        <v>105</v>
      </c>
      <c r="E2085">
        <v>139.99</v>
      </c>
      <c r="F2085" t="s">
        <v>5817</v>
      </c>
      <c r="G2085">
        <v>22</v>
      </c>
      <c r="H2085" t="s">
        <v>5845</v>
      </c>
      <c r="I2085">
        <v>18</v>
      </c>
      <c r="K2085">
        <v>40</v>
      </c>
      <c r="L2085" t="s">
        <v>5085</v>
      </c>
      <c r="M2085">
        <v>0</v>
      </c>
      <c r="N2085">
        <v>0</v>
      </c>
      <c r="O2085">
        <v>8.3333333333333329E-2</v>
      </c>
      <c r="P2085" t="s">
        <v>5819</v>
      </c>
    </row>
    <row r="2086" spans="1:16" x14ac:dyDescent="0.2">
      <c r="A2086" t="s">
        <v>3962</v>
      </c>
      <c r="B2086" t="s">
        <v>3963</v>
      </c>
      <c r="C2086" t="s">
        <v>3929</v>
      </c>
      <c r="D2086" t="s">
        <v>105</v>
      </c>
      <c r="E2086">
        <v>64.989999999999995</v>
      </c>
      <c r="F2086" t="s">
        <v>5817</v>
      </c>
      <c r="G2086">
        <v>21</v>
      </c>
      <c r="I2086">
        <v>21</v>
      </c>
      <c r="L2086" t="s">
        <v>5085</v>
      </c>
      <c r="M2086">
        <v>0</v>
      </c>
      <c r="N2086">
        <v>0</v>
      </c>
      <c r="O2086">
        <v>8.3333333333333329E-2</v>
      </c>
      <c r="P2086">
        <v>14</v>
      </c>
    </row>
    <row r="2087" spans="1:16" x14ac:dyDescent="0.2">
      <c r="A2087" t="s">
        <v>4046</v>
      </c>
      <c r="B2087" t="s">
        <v>4047</v>
      </c>
      <c r="C2087" t="s">
        <v>3929</v>
      </c>
      <c r="D2087" t="s">
        <v>105</v>
      </c>
      <c r="E2087">
        <v>89.99</v>
      </c>
      <c r="F2087" t="s">
        <v>5817</v>
      </c>
      <c r="G2087">
        <v>2</v>
      </c>
      <c r="I2087">
        <v>2</v>
      </c>
      <c r="L2087" t="s">
        <v>5085</v>
      </c>
      <c r="M2087">
        <v>0</v>
      </c>
      <c r="N2087">
        <v>0</v>
      </c>
      <c r="O2087">
        <v>0</v>
      </c>
      <c r="P2087" t="s">
        <v>5819</v>
      </c>
    </row>
    <row r="2088" spans="1:16" x14ac:dyDescent="0.2">
      <c r="A2088" t="s">
        <v>4131</v>
      </c>
      <c r="B2088" t="s">
        <v>4132</v>
      </c>
      <c r="C2088" t="s">
        <v>3929</v>
      </c>
      <c r="D2088" t="s">
        <v>105</v>
      </c>
      <c r="E2088">
        <v>59.99</v>
      </c>
      <c r="F2088" t="s">
        <v>5817</v>
      </c>
      <c r="G2088">
        <v>25</v>
      </c>
      <c r="I2088">
        <v>25</v>
      </c>
      <c r="J2088">
        <v>1</v>
      </c>
      <c r="L2088" t="s">
        <v>5085</v>
      </c>
      <c r="M2088">
        <v>0</v>
      </c>
      <c r="N2088">
        <v>0</v>
      </c>
      <c r="O2088">
        <v>0</v>
      </c>
      <c r="P2088">
        <v>3</v>
      </c>
    </row>
    <row r="2089" spans="1:16" x14ac:dyDescent="0.2">
      <c r="A2089" t="s">
        <v>3960</v>
      </c>
      <c r="B2089" t="s">
        <v>3961</v>
      </c>
      <c r="C2089" t="s">
        <v>3929</v>
      </c>
      <c r="D2089" t="s">
        <v>105</v>
      </c>
      <c r="E2089">
        <v>64.989999999999995</v>
      </c>
      <c r="F2089" t="s">
        <v>5817</v>
      </c>
      <c r="G2089">
        <v>37</v>
      </c>
      <c r="I2089">
        <v>37</v>
      </c>
      <c r="J2089">
        <v>10</v>
      </c>
      <c r="K2089">
        <v>40</v>
      </c>
      <c r="L2089" t="s">
        <v>5085</v>
      </c>
      <c r="M2089">
        <v>0</v>
      </c>
      <c r="N2089">
        <v>0</v>
      </c>
      <c r="O2089">
        <v>0.41666666666666669</v>
      </c>
      <c r="P2089" t="s">
        <v>5819</v>
      </c>
    </row>
    <row r="2090" spans="1:16" x14ac:dyDescent="0.2">
      <c r="A2090" t="s">
        <v>5104</v>
      </c>
      <c r="B2090" t="s">
        <v>5105</v>
      </c>
      <c r="C2090" t="s">
        <v>3929</v>
      </c>
      <c r="D2090" t="s">
        <v>105</v>
      </c>
      <c r="E2090">
        <v>69.989999999999995</v>
      </c>
      <c r="F2090" t="s">
        <v>5817</v>
      </c>
      <c r="G2090">
        <v>26</v>
      </c>
      <c r="I2090">
        <v>26</v>
      </c>
      <c r="L2090" t="s">
        <v>5085</v>
      </c>
      <c r="M2090">
        <v>0</v>
      </c>
      <c r="N2090">
        <v>0</v>
      </c>
      <c r="O2090">
        <v>0</v>
      </c>
      <c r="P2090" t="s">
        <v>5819</v>
      </c>
    </row>
    <row r="2091" spans="1:16" x14ac:dyDescent="0.2">
      <c r="A2091" t="s">
        <v>5073</v>
      </c>
      <c r="B2091" t="s">
        <v>5074</v>
      </c>
      <c r="C2091" t="s">
        <v>3929</v>
      </c>
      <c r="D2091" t="s">
        <v>105</v>
      </c>
      <c r="E2091">
        <v>99.99</v>
      </c>
      <c r="F2091" t="s">
        <v>5817</v>
      </c>
      <c r="G2091">
        <v>29</v>
      </c>
      <c r="I2091">
        <v>29</v>
      </c>
      <c r="L2091" t="s">
        <v>5085</v>
      </c>
      <c r="M2091">
        <v>0</v>
      </c>
      <c r="N2091">
        <v>0</v>
      </c>
      <c r="O2091">
        <v>0.41666666666666663</v>
      </c>
      <c r="P2091" t="s">
        <v>5819</v>
      </c>
    </row>
    <row r="2092" spans="1:16" x14ac:dyDescent="0.2">
      <c r="A2092" t="s">
        <v>3964</v>
      </c>
      <c r="B2092" t="s">
        <v>3965</v>
      </c>
      <c r="C2092" t="s">
        <v>3929</v>
      </c>
      <c r="D2092" t="s">
        <v>138</v>
      </c>
      <c r="E2092">
        <v>64.989999999999995</v>
      </c>
      <c r="F2092" t="s">
        <v>5817</v>
      </c>
      <c r="G2092">
        <v>40</v>
      </c>
      <c r="I2092">
        <v>40</v>
      </c>
      <c r="L2092" t="s">
        <v>5085</v>
      </c>
      <c r="M2092">
        <v>0</v>
      </c>
      <c r="N2092">
        <v>0</v>
      </c>
      <c r="O2092">
        <v>0</v>
      </c>
      <c r="P2092" t="s">
        <v>5819</v>
      </c>
    </row>
    <row r="2093" spans="1:16" x14ac:dyDescent="0.2">
      <c r="A2093" t="s">
        <v>4038</v>
      </c>
      <c r="B2093" t="s">
        <v>4039</v>
      </c>
      <c r="C2093" t="s">
        <v>3929</v>
      </c>
      <c r="D2093" t="s">
        <v>98</v>
      </c>
      <c r="E2093">
        <v>219.99</v>
      </c>
      <c r="F2093" t="s">
        <v>5817</v>
      </c>
      <c r="L2093" t="s">
        <v>5085</v>
      </c>
      <c r="M2093">
        <v>0</v>
      </c>
      <c r="N2093">
        <v>0</v>
      </c>
      <c r="O2093">
        <v>0</v>
      </c>
      <c r="P2093" t="s">
        <v>5819</v>
      </c>
    </row>
    <row r="2094" spans="1:16" x14ac:dyDescent="0.2">
      <c r="A2094" t="s">
        <v>3982</v>
      </c>
      <c r="B2094" t="s">
        <v>3983</v>
      </c>
      <c r="C2094" t="s">
        <v>3929</v>
      </c>
      <c r="D2094" t="s">
        <v>98</v>
      </c>
      <c r="E2094">
        <v>109.99</v>
      </c>
      <c r="F2094" t="s">
        <v>5817</v>
      </c>
      <c r="L2094" t="s">
        <v>5085</v>
      </c>
      <c r="M2094">
        <v>0</v>
      </c>
      <c r="N2094">
        <v>0</v>
      </c>
      <c r="O2094">
        <v>0</v>
      </c>
      <c r="P2094" t="s">
        <v>5819</v>
      </c>
    </row>
    <row r="2095" spans="1:16" x14ac:dyDescent="0.2">
      <c r="A2095" t="s">
        <v>3978</v>
      </c>
      <c r="B2095" t="s">
        <v>3979</v>
      </c>
      <c r="C2095" t="s">
        <v>3929</v>
      </c>
      <c r="D2095" t="s">
        <v>105</v>
      </c>
      <c r="E2095">
        <v>24.99</v>
      </c>
      <c r="F2095" t="s">
        <v>5817</v>
      </c>
      <c r="G2095">
        <v>71</v>
      </c>
      <c r="I2095">
        <v>71</v>
      </c>
      <c r="K2095">
        <v>100</v>
      </c>
      <c r="L2095" t="s">
        <v>5085</v>
      </c>
      <c r="M2095">
        <v>4.1666666666666661</v>
      </c>
      <c r="N2095">
        <v>4.5600000000000005</v>
      </c>
      <c r="O2095">
        <v>3.5</v>
      </c>
      <c r="P2095">
        <v>19</v>
      </c>
    </row>
    <row r="2096" spans="1:16" x14ac:dyDescent="0.2">
      <c r="A2096" t="s">
        <v>5108</v>
      </c>
      <c r="B2096" t="s">
        <v>5109</v>
      </c>
      <c r="C2096" t="s">
        <v>3929</v>
      </c>
      <c r="D2096" t="s">
        <v>98</v>
      </c>
      <c r="E2096">
        <v>89.99</v>
      </c>
      <c r="F2096" t="s">
        <v>5817</v>
      </c>
      <c r="L2096" t="s">
        <v>5085</v>
      </c>
      <c r="M2096">
        <v>0</v>
      </c>
      <c r="N2096">
        <v>0</v>
      </c>
      <c r="O2096">
        <v>0</v>
      </c>
      <c r="P2096" t="s">
        <v>5819</v>
      </c>
    </row>
    <row r="2097" spans="1:16" x14ac:dyDescent="0.2">
      <c r="A2097" t="s">
        <v>3976</v>
      </c>
      <c r="B2097" t="s">
        <v>3977</v>
      </c>
      <c r="C2097" t="s">
        <v>3929</v>
      </c>
      <c r="D2097" t="s">
        <v>105</v>
      </c>
      <c r="E2097">
        <v>99.99</v>
      </c>
      <c r="F2097" t="s">
        <v>5817</v>
      </c>
      <c r="G2097">
        <v>38</v>
      </c>
      <c r="I2097">
        <v>38</v>
      </c>
      <c r="L2097" t="s">
        <v>5085</v>
      </c>
      <c r="M2097">
        <v>0</v>
      </c>
      <c r="N2097">
        <v>0</v>
      </c>
      <c r="O2097">
        <v>0</v>
      </c>
      <c r="P2097" t="s">
        <v>5819</v>
      </c>
    </row>
    <row r="2098" spans="1:16" x14ac:dyDescent="0.2">
      <c r="A2098" t="s">
        <v>5160</v>
      </c>
      <c r="B2098" t="s">
        <v>5161</v>
      </c>
      <c r="C2098" t="s">
        <v>3929</v>
      </c>
      <c r="D2098" t="s">
        <v>98</v>
      </c>
      <c r="E2098">
        <v>109.99</v>
      </c>
      <c r="F2098" t="s">
        <v>5817</v>
      </c>
      <c r="L2098" t="s">
        <v>5085</v>
      </c>
      <c r="M2098">
        <v>0</v>
      </c>
      <c r="N2098">
        <v>0</v>
      </c>
      <c r="O2098">
        <v>0.5</v>
      </c>
      <c r="P2098" t="s">
        <v>5819</v>
      </c>
    </row>
    <row r="2099" spans="1:16" x14ac:dyDescent="0.2">
      <c r="A2099" t="s">
        <v>3974</v>
      </c>
      <c r="B2099" t="s">
        <v>3975</v>
      </c>
      <c r="C2099" t="s">
        <v>3929</v>
      </c>
      <c r="D2099" t="s">
        <v>105</v>
      </c>
      <c r="E2099">
        <v>199.99</v>
      </c>
      <c r="F2099" t="s">
        <v>5817</v>
      </c>
      <c r="G2099">
        <v>12</v>
      </c>
      <c r="I2099">
        <v>12</v>
      </c>
      <c r="L2099" t="s">
        <v>5085</v>
      </c>
      <c r="M2099">
        <v>0</v>
      </c>
      <c r="N2099">
        <v>0</v>
      </c>
      <c r="O2099">
        <v>0</v>
      </c>
      <c r="P2099" t="s">
        <v>5819</v>
      </c>
    </row>
    <row r="2100" spans="1:16" x14ac:dyDescent="0.2">
      <c r="A2100" t="s">
        <v>5106</v>
      </c>
      <c r="B2100" t="s">
        <v>5107</v>
      </c>
      <c r="C2100" t="s">
        <v>3929</v>
      </c>
      <c r="D2100" t="s">
        <v>138</v>
      </c>
      <c r="E2100">
        <v>89.99</v>
      </c>
      <c r="F2100" t="s">
        <v>5817</v>
      </c>
      <c r="G2100">
        <v>29</v>
      </c>
      <c r="I2100">
        <v>29</v>
      </c>
      <c r="L2100" t="s">
        <v>5085</v>
      </c>
      <c r="M2100">
        <v>0</v>
      </c>
      <c r="N2100">
        <v>0</v>
      </c>
      <c r="O2100">
        <v>0</v>
      </c>
      <c r="P2100" t="s">
        <v>5819</v>
      </c>
    </row>
    <row r="2101" spans="1:16" x14ac:dyDescent="0.2">
      <c r="A2101" t="s">
        <v>3968</v>
      </c>
      <c r="B2101" t="s">
        <v>3969</v>
      </c>
      <c r="C2101" t="s">
        <v>3929</v>
      </c>
      <c r="D2101" t="s">
        <v>105</v>
      </c>
      <c r="E2101">
        <v>184.99</v>
      </c>
      <c r="F2101" t="s">
        <v>5817</v>
      </c>
      <c r="G2101">
        <v>32</v>
      </c>
      <c r="I2101">
        <v>32</v>
      </c>
      <c r="L2101" t="s">
        <v>5085</v>
      </c>
      <c r="M2101">
        <v>0</v>
      </c>
      <c r="N2101">
        <v>0</v>
      </c>
      <c r="O2101">
        <v>0</v>
      </c>
      <c r="P2101" t="s">
        <v>5819</v>
      </c>
    </row>
    <row r="2102" spans="1:16" x14ac:dyDescent="0.2">
      <c r="A2102" t="s">
        <v>5294</v>
      </c>
      <c r="B2102" t="s">
        <v>5295</v>
      </c>
      <c r="C2102" t="s">
        <v>3929</v>
      </c>
      <c r="D2102" t="s">
        <v>138</v>
      </c>
      <c r="E2102">
        <v>89.99</v>
      </c>
      <c r="F2102" t="s">
        <v>5817</v>
      </c>
      <c r="G2102">
        <v>3</v>
      </c>
      <c r="I2102">
        <v>3</v>
      </c>
      <c r="L2102" t="s">
        <v>5085</v>
      </c>
      <c r="M2102">
        <v>0</v>
      </c>
      <c r="N2102">
        <v>0</v>
      </c>
      <c r="O2102">
        <v>0</v>
      </c>
      <c r="P2102" t="s">
        <v>5819</v>
      </c>
    </row>
    <row r="2103" spans="1:16" x14ac:dyDescent="0.2">
      <c r="A2103" t="s">
        <v>3970</v>
      </c>
      <c r="B2103" t="s">
        <v>3971</v>
      </c>
      <c r="C2103" t="s">
        <v>3929</v>
      </c>
      <c r="D2103" t="s">
        <v>98</v>
      </c>
      <c r="E2103">
        <v>139.99</v>
      </c>
      <c r="F2103" t="s">
        <v>5817</v>
      </c>
      <c r="L2103" t="s">
        <v>5085</v>
      </c>
      <c r="M2103">
        <v>0</v>
      </c>
      <c r="N2103">
        <v>0</v>
      </c>
      <c r="O2103">
        <v>0</v>
      </c>
      <c r="P2103" t="s">
        <v>5819</v>
      </c>
    </row>
    <row r="2104" spans="1:16" x14ac:dyDescent="0.2">
      <c r="A2104" t="s">
        <v>4127</v>
      </c>
      <c r="B2104" t="s">
        <v>4128</v>
      </c>
      <c r="C2104" t="s">
        <v>3929</v>
      </c>
      <c r="D2104" t="s">
        <v>105</v>
      </c>
      <c r="E2104">
        <v>259.99</v>
      </c>
      <c r="F2104" t="s">
        <v>5817</v>
      </c>
      <c r="G2104">
        <v>23</v>
      </c>
      <c r="I2104">
        <v>23</v>
      </c>
      <c r="L2104" t="s">
        <v>5085</v>
      </c>
      <c r="M2104">
        <v>0</v>
      </c>
      <c r="N2104">
        <v>0</v>
      </c>
      <c r="O2104">
        <v>0</v>
      </c>
      <c r="P2104" t="s">
        <v>5819</v>
      </c>
    </row>
    <row r="2105" spans="1:16" x14ac:dyDescent="0.2">
      <c r="A2105" t="s">
        <v>3984</v>
      </c>
      <c r="B2105" t="s">
        <v>3985</v>
      </c>
      <c r="C2105" t="s">
        <v>3929</v>
      </c>
      <c r="D2105" t="s">
        <v>98</v>
      </c>
      <c r="E2105">
        <v>84.99</v>
      </c>
      <c r="F2105" t="s">
        <v>5817</v>
      </c>
      <c r="L2105" t="s">
        <v>5085</v>
      </c>
      <c r="M2105">
        <v>0</v>
      </c>
      <c r="N2105">
        <v>0</v>
      </c>
      <c r="O2105">
        <v>0.16666666666666666</v>
      </c>
      <c r="P2105" t="s">
        <v>5819</v>
      </c>
    </row>
    <row r="2106" spans="1:16" x14ac:dyDescent="0.2">
      <c r="A2106" t="s">
        <v>3972</v>
      </c>
      <c r="B2106" t="s">
        <v>3973</v>
      </c>
      <c r="C2106" t="s">
        <v>3929</v>
      </c>
      <c r="D2106" t="s">
        <v>98</v>
      </c>
      <c r="E2106">
        <v>129.99</v>
      </c>
      <c r="F2106" t="s">
        <v>5817</v>
      </c>
      <c r="L2106" t="s">
        <v>5085</v>
      </c>
      <c r="M2106">
        <v>0</v>
      </c>
      <c r="N2106">
        <v>0</v>
      </c>
      <c r="O2106">
        <v>0</v>
      </c>
      <c r="P2106" t="s">
        <v>5819</v>
      </c>
    </row>
    <row r="2107" spans="1:16" x14ac:dyDescent="0.2">
      <c r="A2107" t="s">
        <v>5081</v>
      </c>
      <c r="B2107" t="s">
        <v>5082</v>
      </c>
      <c r="C2107" t="s">
        <v>3929</v>
      </c>
      <c r="D2107" t="s">
        <v>138</v>
      </c>
      <c r="E2107">
        <v>59.99</v>
      </c>
      <c r="F2107" t="s">
        <v>5817</v>
      </c>
      <c r="L2107" t="s">
        <v>5085</v>
      </c>
      <c r="M2107">
        <v>0</v>
      </c>
      <c r="N2107">
        <v>0</v>
      </c>
      <c r="O2107">
        <v>8.3333333333333329E-2</v>
      </c>
      <c r="P2107" t="s">
        <v>5819</v>
      </c>
    </row>
    <row r="2108" spans="1:16" x14ac:dyDescent="0.2">
      <c r="A2108" t="s">
        <v>5249</v>
      </c>
      <c r="B2108" t="s">
        <v>5250</v>
      </c>
      <c r="C2108" t="s">
        <v>3929</v>
      </c>
      <c r="D2108" t="s">
        <v>98</v>
      </c>
      <c r="E2108">
        <v>184.99</v>
      </c>
      <c r="F2108" t="s">
        <v>5817</v>
      </c>
      <c r="L2108" t="s">
        <v>5085</v>
      </c>
      <c r="M2108">
        <v>0</v>
      </c>
      <c r="N2108">
        <v>0</v>
      </c>
      <c r="O2108">
        <v>0.5</v>
      </c>
      <c r="P2108" t="s">
        <v>5819</v>
      </c>
    </row>
    <row r="2109" spans="1:16" x14ac:dyDescent="0.2">
      <c r="A2109" t="s">
        <v>4040</v>
      </c>
      <c r="B2109" t="s">
        <v>4041</v>
      </c>
      <c r="C2109" t="s">
        <v>3929</v>
      </c>
      <c r="D2109" t="s">
        <v>105</v>
      </c>
      <c r="E2109">
        <v>89.99</v>
      </c>
      <c r="F2109" t="s">
        <v>5817</v>
      </c>
      <c r="G2109">
        <v>36</v>
      </c>
      <c r="I2109">
        <v>36</v>
      </c>
      <c r="L2109" t="s">
        <v>5085</v>
      </c>
      <c r="M2109">
        <v>0</v>
      </c>
      <c r="N2109">
        <v>0</v>
      </c>
      <c r="O2109">
        <v>0.33333333333333331</v>
      </c>
      <c r="P2109" t="s">
        <v>5819</v>
      </c>
    </row>
    <row r="2110" spans="1:16" x14ac:dyDescent="0.2">
      <c r="A2110" t="s">
        <v>4051</v>
      </c>
      <c r="B2110" t="s">
        <v>4052</v>
      </c>
      <c r="C2110" t="s">
        <v>3929</v>
      </c>
      <c r="D2110" t="s">
        <v>105</v>
      </c>
      <c r="E2110">
        <v>129.99</v>
      </c>
      <c r="F2110" t="s">
        <v>5817</v>
      </c>
      <c r="G2110">
        <v>40</v>
      </c>
      <c r="I2110">
        <v>40</v>
      </c>
      <c r="K2110">
        <v>20</v>
      </c>
      <c r="L2110" t="s">
        <v>5085</v>
      </c>
      <c r="M2110">
        <v>0</v>
      </c>
      <c r="N2110">
        <v>0</v>
      </c>
      <c r="O2110">
        <v>0.33333333333333331</v>
      </c>
      <c r="P2110">
        <v>3</v>
      </c>
    </row>
    <row r="2111" spans="1:16" x14ac:dyDescent="0.2">
      <c r="A2111" t="s">
        <v>5582</v>
      </c>
      <c r="B2111" t="s">
        <v>5583</v>
      </c>
      <c r="C2111" t="s">
        <v>3929</v>
      </c>
      <c r="D2111" t="s">
        <v>98</v>
      </c>
      <c r="E2111">
        <v>64.989999999999995</v>
      </c>
      <c r="F2111" t="s">
        <v>5817</v>
      </c>
      <c r="L2111" t="s">
        <v>5085</v>
      </c>
      <c r="M2111">
        <v>0</v>
      </c>
      <c r="N2111">
        <v>0</v>
      </c>
      <c r="O2111">
        <v>0</v>
      </c>
      <c r="P2111" t="s">
        <v>5819</v>
      </c>
    </row>
    <row r="2112" spans="1:16" x14ac:dyDescent="0.2">
      <c r="A2112" t="s">
        <v>4119</v>
      </c>
      <c r="B2112" t="s">
        <v>4120</v>
      </c>
      <c r="C2112" t="s">
        <v>3929</v>
      </c>
      <c r="D2112" t="s">
        <v>105</v>
      </c>
      <c r="E2112">
        <v>34.99</v>
      </c>
      <c r="F2112" t="s">
        <v>5817</v>
      </c>
      <c r="G2112">
        <v>38</v>
      </c>
      <c r="I2112">
        <v>38</v>
      </c>
      <c r="L2112" t="s">
        <v>5085</v>
      </c>
      <c r="M2112">
        <v>0</v>
      </c>
      <c r="N2112">
        <v>0</v>
      </c>
      <c r="O2112">
        <v>0.16666666666666666</v>
      </c>
      <c r="P2112" t="s">
        <v>5819</v>
      </c>
    </row>
    <row r="2113" spans="1:16" x14ac:dyDescent="0.2">
      <c r="A2113" t="s">
        <v>3992</v>
      </c>
      <c r="B2113" t="s">
        <v>3993</v>
      </c>
      <c r="C2113" t="s">
        <v>3929</v>
      </c>
      <c r="D2113" t="s">
        <v>105</v>
      </c>
      <c r="E2113">
        <v>84.99</v>
      </c>
      <c r="F2113" t="s">
        <v>5817</v>
      </c>
      <c r="G2113">
        <v>39</v>
      </c>
      <c r="I2113">
        <v>39</v>
      </c>
      <c r="L2113" t="s">
        <v>5085</v>
      </c>
      <c r="M2113">
        <v>0</v>
      </c>
      <c r="N2113">
        <v>0</v>
      </c>
      <c r="O2113">
        <v>0</v>
      </c>
      <c r="P2113" t="s">
        <v>5819</v>
      </c>
    </row>
    <row r="2114" spans="1:16" x14ac:dyDescent="0.2">
      <c r="A2114" t="s">
        <v>4073</v>
      </c>
      <c r="B2114" t="s">
        <v>4074</v>
      </c>
      <c r="C2114" t="s">
        <v>3929</v>
      </c>
      <c r="D2114" t="s">
        <v>105</v>
      </c>
      <c r="E2114">
        <v>69.989999999999995</v>
      </c>
      <c r="F2114" t="s">
        <v>5817</v>
      </c>
      <c r="G2114">
        <v>35</v>
      </c>
      <c r="I2114">
        <v>35</v>
      </c>
      <c r="L2114" t="s">
        <v>5085</v>
      </c>
      <c r="M2114">
        <v>0</v>
      </c>
      <c r="N2114">
        <v>0</v>
      </c>
      <c r="O2114">
        <v>8.3333333333333329E-2</v>
      </c>
      <c r="P2114" t="s">
        <v>5819</v>
      </c>
    </row>
    <row r="2115" spans="1:16" x14ac:dyDescent="0.2">
      <c r="A2115" t="s">
        <v>4117</v>
      </c>
      <c r="B2115" t="s">
        <v>4118</v>
      </c>
      <c r="C2115" t="s">
        <v>3929</v>
      </c>
      <c r="D2115" t="s">
        <v>105</v>
      </c>
      <c r="E2115">
        <v>39.99</v>
      </c>
      <c r="F2115" t="s">
        <v>5817</v>
      </c>
      <c r="G2115">
        <v>75</v>
      </c>
      <c r="I2115">
        <v>75</v>
      </c>
      <c r="L2115" t="s">
        <v>5085</v>
      </c>
      <c r="M2115">
        <v>0</v>
      </c>
      <c r="N2115">
        <v>0</v>
      </c>
      <c r="O2115">
        <v>0.41666666666666663</v>
      </c>
      <c r="P2115" t="s">
        <v>5819</v>
      </c>
    </row>
    <row r="2116" spans="1:16" x14ac:dyDescent="0.2">
      <c r="A2116" t="s">
        <v>5270</v>
      </c>
      <c r="B2116" t="s">
        <v>5271</v>
      </c>
      <c r="C2116" t="s">
        <v>3929</v>
      </c>
      <c r="D2116" t="s">
        <v>138</v>
      </c>
      <c r="E2116">
        <v>219.99</v>
      </c>
      <c r="F2116" t="s">
        <v>5817</v>
      </c>
      <c r="G2116">
        <v>3</v>
      </c>
      <c r="I2116">
        <v>3</v>
      </c>
      <c r="L2116" t="s">
        <v>5085</v>
      </c>
      <c r="M2116">
        <v>0</v>
      </c>
      <c r="N2116">
        <v>0</v>
      </c>
      <c r="O2116">
        <v>0</v>
      </c>
      <c r="P2116" t="s">
        <v>5819</v>
      </c>
    </row>
    <row r="2117" spans="1:16" x14ac:dyDescent="0.2">
      <c r="A2117" t="s">
        <v>3998</v>
      </c>
      <c r="B2117" t="s">
        <v>3999</v>
      </c>
      <c r="C2117" t="s">
        <v>3929</v>
      </c>
      <c r="D2117" t="s">
        <v>105</v>
      </c>
      <c r="E2117">
        <v>79.989999999999995</v>
      </c>
      <c r="F2117" t="s">
        <v>5817</v>
      </c>
      <c r="G2117">
        <v>6</v>
      </c>
      <c r="I2117">
        <v>6</v>
      </c>
      <c r="L2117" t="s">
        <v>5085</v>
      </c>
      <c r="M2117">
        <v>0</v>
      </c>
      <c r="N2117">
        <v>0</v>
      </c>
      <c r="O2117">
        <v>0.25</v>
      </c>
      <c r="P2117" t="s">
        <v>5819</v>
      </c>
    </row>
    <row r="2118" spans="1:16" x14ac:dyDescent="0.2">
      <c r="A2118" t="s">
        <v>4075</v>
      </c>
      <c r="B2118" t="s">
        <v>4076</v>
      </c>
      <c r="C2118" t="s">
        <v>3929</v>
      </c>
      <c r="D2118" t="s">
        <v>105</v>
      </c>
      <c r="E2118">
        <v>64.989999999999995</v>
      </c>
      <c r="F2118" t="s">
        <v>5817</v>
      </c>
      <c r="G2118">
        <v>93</v>
      </c>
      <c r="H2118" t="s">
        <v>5823</v>
      </c>
      <c r="I2118">
        <v>92</v>
      </c>
      <c r="L2118" t="s">
        <v>5085</v>
      </c>
      <c r="M2118">
        <v>0</v>
      </c>
      <c r="N2118">
        <v>0</v>
      </c>
      <c r="O2118">
        <v>0</v>
      </c>
      <c r="P2118" t="s">
        <v>5819</v>
      </c>
    </row>
    <row r="2119" spans="1:16" x14ac:dyDescent="0.2">
      <c r="A2119" t="s">
        <v>5552</v>
      </c>
      <c r="B2119" t="s">
        <v>5553</v>
      </c>
      <c r="C2119" t="s">
        <v>3929</v>
      </c>
      <c r="D2119" t="s">
        <v>98</v>
      </c>
      <c r="E2119">
        <v>44.99</v>
      </c>
      <c r="F2119" t="s">
        <v>5817</v>
      </c>
      <c r="L2119" t="s">
        <v>5085</v>
      </c>
      <c r="M2119">
        <v>0</v>
      </c>
      <c r="N2119">
        <v>0</v>
      </c>
      <c r="O2119">
        <v>0</v>
      </c>
      <c r="P2119" t="s">
        <v>5819</v>
      </c>
    </row>
    <row r="2120" spans="1:16" x14ac:dyDescent="0.2">
      <c r="A2120" t="s">
        <v>4115</v>
      </c>
      <c r="B2120" t="s">
        <v>4116</v>
      </c>
      <c r="C2120" t="s">
        <v>3929</v>
      </c>
      <c r="D2120" t="s">
        <v>105</v>
      </c>
      <c r="E2120">
        <v>44.99</v>
      </c>
      <c r="F2120" t="s">
        <v>5817</v>
      </c>
      <c r="K2120">
        <v>20</v>
      </c>
      <c r="L2120" t="s">
        <v>5085</v>
      </c>
      <c r="M2120">
        <v>0</v>
      </c>
      <c r="N2120">
        <v>0</v>
      </c>
      <c r="O2120">
        <v>1.0833333333333335</v>
      </c>
      <c r="P2120" t="s">
        <v>5819</v>
      </c>
    </row>
    <row r="2121" spans="1:16" x14ac:dyDescent="0.2">
      <c r="A2121" t="s">
        <v>3988</v>
      </c>
      <c r="B2121" t="s">
        <v>3989</v>
      </c>
      <c r="C2121" t="s">
        <v>3929</v>
      </c>
      <c r="D2121" t="s">
        <v>105</v>
      </c>
      <c r="E2121">
        <v>59.99</v>
      </c>
      <c r="F2121" t="s">
        <v>5817</v>
      </c>
      <c r="G2121">
        <v>37</v>
      </c>
      <c r="I2121">
        <v>37</v>
      </c>
      <c r="K2121">
        <v>80</v>
      </c>
      <c r="L2121" t="s">
        <v>5085</v>
      </c>
      <c r="M2121">
        <v>0</v>
      </c>
      <c r="N2121">
        <v>0</v>
      </c>
      <c r="O2121">
        <v>8.3333333333333329E-2</v>
      </c>
      <c r="P2121">
        <v>3</v>
      </c>
    </row>
    <row r="2122" spans="1:16" x14ac:dyDescent="0.2">
      <c r="A2122" t="s">
        <v>4091</v>
      </c>
      <c r="B2122" t="s">
        <v>4092</v>
      </c>
      <c r="C2122" t="s">
        <v>3929</v>
      </c>
      <c r="D2122" t="s">
        <v>105</v>
      </c>
      <c r="E2122">
        <v>159.99</v>
      </c>
      <c r="F2122" t="s">
        <v>5817</v>
      </c>
      <c r="G2122">
        <v>27</v>
      </c>
      <c r="I2122">
        <v>27</v>
      </c>
      <c r="L2122" t="s">
        <v>5085</v>
      </c>
      <c r="M2122">
        <v>0</v>
      </c>
      <c r="N2122">
        <v>0</v>
      </c>
      <c r="O2122">
        <v>0.33333333333333331</v>
      </c>
      <c r="P2122" t="s">
        <v>5819</v>
      </c>
    </row>
    <row r="2123" spans="1:16" x14ac:dyDescent="0.2">
      <c r="A2123" t="s">
        <v>3954</v>
      </c>
      <c r="B2123" t="s">
        <v>3955</v>
      </c>
      <c r="C2123" t="s">
        <v>3929</v>
      </c>
      <c r="D2123" t="s">
        <v>105</v>
      </c>
      <c r="E2123">
        <v>64.989999999999995</v>
      </c>
      <c r="F2123" t="s">
        <v>5817</v>
      </c>
      <c r="G2123">
        <v>2</v>
      </c>
      <c r="I2123">
        <v>2</v>
      </c>
      <c r="L2123" t="s">
        <v>5085</v>
      </c>
      <c r="M2123">
        <v>0</v>
      </c>
      <c r="N2123">
        <v>0</v>
      </c>
      <c r="O2123">
        <v>8.3333333333333329E-2</v>
      </c>
      <c r="P2123" t="s">
        <v>5819</v>
      </c>
    </row>
    <row r="2124" spans="1:16" x14ac:dyDescent="0.2">
      <c r="A2124" t="s">
        <v>3946</v>
      </c>
      <c r="B2124" t="s">
        <v>3947</v>
      </c>
      <c r="C2124" t="s">
        <v>3929</v>
      </c>
      <c r="D2124" t="s">
        <v>105</v>
      </c>
      <c r="E2124">
        <v>269.99</v>
      </c>
      <c r="F2124" t="s">
        <v>5817</v>
      </c>
      <c r="G2124">
        <v>26</v>
      </c>
      <c r="I2124">
        <v>26</v>
      </c>
      <c r="L2124" t="s">
        <v>5085</v>
      </c>
      <c r="M2124">
        <v>0</v>
      </c>
      <c r="N2124">
        <v>0</v>
      </c>
      <c r="O2124">
        <v>8.333333333333337E-2</v>
      </c>
      <c r="P2124" t="s">
        <v>5819</v>
      </c>
    </row>
    <row r="2125" spans="1:16" x14ac:dyDescent="0.2">
      <c r="A2125" t="s">
        <v>4053</v>
      </c>
      <c r="B2125" t="s">
        <v>4054</v>
      </c>
      <c r="C2125" t="s">
        <v>3929</v>
      </c>
      <c r="D2125" t="s">
        <v>105</v>
      </c>
      <c r="E2125">
        <v>149.99</v>
      </c>
      <c r="F2125" t="s">
        <v>5817</v>
      </c>
      <c r="G2125">
        <v>11</v>
      </c>
      <c r="I2125">
        <v>11</v>
      </c>
      <c r="L2125" t="s">
        <v>5085</v>
      </c>
      <c r="M2125">
        <v>0</v>
      </c>
      <c r="N2125">
        <v>0</v>
      </c>
      <c r="O2125">
        <v>8.3333333333333329E-2</v>
      </c>
      <c r="P2125" t="s">
        <v>5819</v>
      </c>
    </row>
    <row r="2126" spans="1:16" x14ac:dyDescent="0.2">
      <c r="A2126" t="s">
        <v>5110</v>
      </c>
      <c r="B2126" t="s">
        <v>5111</v>
      </c>
      <c r="C2126" t="s">
        <v>3929</v>
      </c>
      <c r="D2126" t="s">
        <v>98</v>
      </c>
      <c r="E2126">
        <v>59.99</v>
      </c>
      <c r="F2126" t="s">
        <v>5817</v>
      </c>
      <c r="L2126" t="s">
        <v>5085</v>
      </c>
      <c r="M2126">
        <v>0</v>
      </c>
      <c r="N2126">
        <v>0</v>
      </c>
      <c r="O2126">
        <v>0</v>
      </c>
      <c r="P2126" t="s">
        <v>5819</v>
      </c>
    </row>
    <row r="2127" spans="1:16" x14ac:dyDescent="0.2">
      <c r="A2127" t="s">
        <v>4010</v>
      </c>
      <c r="B2127" t="s">
        <v>4011</v>
      </c>
      <c r="C2127" t="s">
        <v>3929</v>
      </c>
      <c r="D2127" t="s">
        <v>105</v>
      </c>
      <c r="E2127">
        <v>89.99</v>
      </c>
      <c r="F2127" t="s">
        <v>5817</v>
      </c>
      <c r="G2127">
        <v>4</v>
      </c>
      <c r="I2127">
        <v>4</v>
      </c>
      <c r="K2127">
        <v>40</v>
      </c>
      <c r="L2127" t="s">
        <v>5085</v>
      </c>
      <c r="M2127">
        <v>0</v>
      </c>
      <c r="N2127">
        <v>0</v>
      </c>
      <c r="O2127">
        <v>0.41666666666666663</v>
      </c>
      <c r="P2127" t="s">
        <v>5819</v>
      </c>
    </row>
    <row r="2128" spans="1:16" x14ac:dyDescent="0.2">
      <c r="A2128" t="s">
        <v>3942</v>
      </c>
      <c r="B2128" t="s">
        <v>3943</v>
      </c>
      <c r="C2128" t="s">
        <v>3929</v>
      </c>
      <c r="D2128" t="s">
        <v>105</v>
      </c>
      <c r="E2128">
        <v>149.99</v>
      </c>
      <c r="F2128" t="s">
        <v>5817</v>
      </c>
      <c r="G2128">
        <v>19</v>
      </c>
      <c r="I2128">
        <v>19</v>
      </c>
      <c r="L2128" t="s">
        <v>5085</v>
      </c>
      <c r="M2128">
        <v>0</v>
      </c>
      <c r="N2128">
        <v>0</v>
      </c>
      <c r="O2128">
        <v>0</v>
      </c>
      <c r="P2128" t="s">
        <v>5819</v>
      </c>
    </row>
    <row r="2129" spans="1:16" x14ac:dyDescent="0.2">
      <c r="A2129" t="s">
        <v>5138</v>
      </c>
      <c r="B2129" t="s">
        <v>5139</v>
      </c>
      <c r="C2129" t="s">
        <v>3929</v>
      </c>
      <c r="D2129" t="s">
        <v>98</v>
      </c>
      <c r="E2129">
        <v>129.99</v>
      </c>
      <c r="F2129" t="s">
        <v>5817</v>
      </c>
      <c r="L2129" t="s">
        <v>5085</v>
      </c>
      <c r="M2129">
        <v>0</v>
      </c>
      <c r="N2129">
        <v>0</v>
      </c>
      <c r="O2129">
        <v>0</v>
      </c>
      <c r="P2129" t="s">
        <v>5819</v>
      </c>
    </row>
    <row r="2130" spans="1:16" x14ac:dyDescent="0.2">
      <c r="A2130" t="s">
        <v>4055</v>
      </c>
      <c r="B2130" t="s">
        <v>4056</v>
      </c>
      <c r="C2130" t="s">
        <v>3929</v>
      </c>
      <c r="D2130" t="s">
        <v>105</v>
      </c>
      <c r="E2130">
        <v>159.99</v>
      </c>
      <c r="F2130" t="s">
        <v>5817</v>
      </c>
      <c r="G2130">
        <v>9</v>
      </c>
      <c r="I2130">
        <v>9</v>
      </c>
      <c r="L2130" t="s">
        <v>5085</v>
      </c>
      <c r="M2130">
        <v>0</v>
      </c>
      <c r="N2130">
        <v>0</v>
      </c>
      <c r="O2130">
        <v>0</v>
      </c>
      <c r="P2130" t="s">
        <v>5819</v>
      </c>
    </row>
    <row r="2131" spans="1:16" x14ac:dyDescent="0.2">
      <c r="A2131" t="s">
        <v>3940</v>
      </c>
      <c r="B2131" t="s">
        <v>3941</v>
      </c>
      <c r="C2131" t="s">
        <v>3929</v>
      </c>
      <c r="D2131" t="s">
        <v>105</v>
      </c>
      <c r="E2131">
        <v>209.99</v>
      </c>
      <c r="F2131" t="s">
        <v>5817</v>
      </c>
      <c r="G2131">
        <v>47</v>
      </c>
      <c r="I2131">
        <v>47</v>
      </c>
      <c r="J2131">
        <v>15</v>
      </c>
      <c r="L2131" t="s">
        <v>5085</v>
      </c>
      <c r="M2131">
        <v>0</v>
      </c>
      <c r="N2131">
        <v>0</v>
      </c>
      <c r="O2131">
        <v>0.5</v>
      </c>
      <c r="P2131" t="s">
        <v>5819</v>
      </c>
    </row>
    <row r="2132" spans="1:16" x14ac:dyDescent="0.2">
      <c r="A2132" t="s">
        <v>3930</v>
      </c>
      <c r="B2132" t="s">
        <v>3931</v>
      </c>
      <c r="C2132" t="s">
        <v>3929</v>
      </c>
      <c r="D2132" t="s">
        <v>105</v>
      </c>
      <c r="E2132">
        <v>139.99</v>
      </c>
      <c r="F2132" t="s">
        <v>5817</v>
      </c>
      <c r="G2132">
        <v>52</v>
      </c>
      <c r="I2132">
        <v>52</v>
      </c>
      <c r="J2132">
        <v>25</v>
      </c>
      <c r="L2132" t="s">
        <v>5085</v>
      </c>
      <c r="M2132">
        <v>0</v>
      </c>
      <c r="N2132">
        <v>0</v>
      </c>
      <c r="O2132">
        <v>0.25</v>
      </c>
      <c r="P2132" t="s">
        <v>5819</v>
      </c>
    </row>
    <row r="2133" spans="1:16" x14ac:dyDescent="0.2">
      <c r="A2133" t="s">
        <v>5278</v>
      </c>
      <c r="B2133" t="s">
        <v>5279</v>
      </c>
      <c r="C2133" t="s">
        <v>3929</v>
      </c>
      <c r="D2133" t="s">
        <v>98</v>
      </c>
      <c r="E2133">
        <v>29.99</v>
      </c>
      <c r="F2133" t="s">
        <v>5817</v>
      </c>
      <c r="L2133" t="s">
        <v>5085</v>
      </c>
      <c r="M2133">
        <v>0</v>
      </c>
      <c r="N2133">
        <v>0</v>
      </c>
      <c r="O2133">
        <v>0</v>
      </c>
      <c r="P2133" t="s">
        <v>5819</v>
      </c>
    </row>
    <row r="2134" spans="1:16" x14ac:dyDescent="0.2">
      <c r="A2134" t="s">
        <v>4123</v>
      </c>
      <c r="B2134" t="s">
        <v>4124</v>
      </c>
      <c r="C2134" t="s">
        <v>3929</v>
      </c>
      <c r="D2134" t="s">
        <v>105</v>
      </c>
      <c r="E2134">
        <v>29.99</v>
      </c>
      <c r="F2134" t="s">
        <v>5817</v>
      </c>
      <c r="G2134">
        <v>44</v>
      </c>
      <c r="I2134">
        <v>44</v>
      </c>
      <c r="L2134" t="s">
        <v>5085</v>
      </c>
      <c r="M2134">
        <v>0</v>
      </c>
      <c r="N2134">
        <v>0</v>
      </c>
      <c r="O2134">
        <v>1.6666666666666667</v>
      </c>
      <c r="P2134">
        <v>37</v>
      </c>
    </row>
    <row r="2135" spans="1:16" x14ac:dyDescent="0.2">
      <c r="A2135" t="s">
        <v>4067</v>
      </c>
      <c r="B2135" t="s">
        <v>4068</v>
      </c>
      <c r="C2135" t="s">
        <v>3929</v>
      </c>
      <c r="D2135" t="s">
        <v>105</v>
      </c>
      <c r="E2135">
        <v>89.99</v>
      </c>
      <c r="F2135" t="s">
        <v>5817</v>
      </c>
      <c r="G2135">
        <v>8</v>
      </c>
      <c r="I2135">
        <v>8</v>
      </c>
      <c r="L2135" t="s">
        <v>5085</v>
      </c>
      <c r="M2135">
        <v>0</v>
      </c>
      <c r="N2135">
        <v>0</v>
      </c>
      <c r="O2135">
        <v>0.16666666666666666</v>
      </c>
      <c r="P2135">
        <v>4</v>
      </c>
    </row>
    <row r="2136" spans="1:16" x14ac:dyDescent="0.2">
      <c r="A2136" t="s">
        <v>3990</v>
      </c>
      <c r="B2136" t="s">
        <v>3991</v>
      </c>
      <c r="C2136" t="s">
        <v>3929</v>
      </c>
      <c r="D2136" t="s">
        <v>105</v>
      </c>
      <c r="E2136">
        <v>129.99</v>
      </c>
      <c r="F2136" t="s">
        <v>5817</v>
      </c>
      <c r="G2136">
        <v>71</v>
      </c>
      <c r="I2136">
        <v>71</v>
      </c>
      <c r="K2136">
        <v>40</v>
      </c>
      <c r="L2136" t="s">
        <v>5085</v>
      </c>
      <c r="M2136">
        <v>2.2000000000000002</v>
      </c>
      <c r="N2136">
        <v>0</v>
      </c>
      <c r="O2136">
        <v>0.83333333333333337</v>
      </c>
      <c r="P2136" t="s">
        <v>5819</v>
      </c>
    </row>
    <row r="2137" spans="1:16" x14ac:dyDescent="0.2">
      <c r="A2137" t="s">
        <v>3932</v>
      </c>
      <c r="B2137" t="s">
        <v>3933</v>
      </c>
      <c r="C2137" t="s">
        <v>3929</v>
      </c>
      <c r="D2137" t="s">
        <v>105</v>
      </c>
      <c r="E2137">
        <v>129.99</v>
      </c>
      <c r="F2137" t="s">
        <v>5817</v>
      </c>
      <c r="G2137">
        <v>27</v>
      </c>
      <c r="I2137">
        <v>27</v>
      </c>
      <c r="L2137" t="s">
        <v>5085</v>
      </c>
      <c r="M2137">
        <v>0</v>
      </c>
      <c r="N2137">
        <v>0</v>
      </c>
      <c r="O2137">
        <v>8.3333333333333329E-2</v>
      </c>
      <c r="P2137" t="s">
        <v>5819</v>
      </c>
    </row>
    <row r="2138" spans="1:16" x14ac:dyDescent="0.2">
      <c r="A2138" t="s">
        <v>4125</v>
      </c>
      <c r="B2138" t="s">
        <v>4126</v>
      </c>
      <c r="C2138" t="s">
        <v>3929</v>
      </c>
      <c r="D2138" t="s">
        <v>105</v>
      </c>
      <c r="E2138">
        <v>99.99</v>
      </c>
      <c r="F2138" t="s">
        <v>5817</v>
      </c>
      <c r="G2138">
        <v>66</v>
      </c>
      <c r="I2138">
        <v>66</v>
      </c>
      <c r="L2138" t="s">
        <v>5085</v>
      </c>
      <c r="M2138">
        <v>0</v>
      </c>
      <c r="N2138">
        <v>0</v>
      </c>
      <c r="O2138">
        <v>0</v>
      </c>
      <c r="P2138" t="s">
        <v>5819</v>
      </c>
    </row>
    <row r="2139" spans="1:16" x14ac:dyDescent="0.2">
      <c r="A2139" t="s">
        <v>3934</v>
      </c>
      <c r="B2139" t="s">
        <v>3935</v>
      </c>
      <c r="C2139" t="s">
        <v>3929</v>
      </c>
      <c r="D2139" t="s">
        <v>105</v>
      </c>
      <c r="E2139">
        <v>159.99</v>
      </c>
      <c r="F2139" t="s">
        <v>5817</v>
      </c>
      <c r="G2139">
        <v>5</v>
      </c>
      <c r="I2139">
        <v>5</v>
      </c>
      <c r="L2139" t="s">
        <v>5085</v>
      </c>
      <c r="M2139">
        <v>0</v>
      </c>
      <c r="N2139">
        <v>0</v>
      </c>
      <c r="O2139">
        <v>0.16666666666666666</v>
      </c>
      <c r="P2139">
        <v>1</v>
      </c>
    </row>
    <row r="2140" spans="1:16" x14ac:dyDescent="0.2">
      <c r="A2140" t="s">
        <v>5369</v>
      </c>
      <c r="B2140" t="s">
        <v>5370</v>
      </c>
      <c r="C2140" t="s">
        <v>3929</v>
      </c>
      <c r="D2140" t="s">
        <v>98</v>
      </c>
      <c r="E2140">
        <v>69.989999999999995</v>
      </c>
      <c r="F2140" t="s">
        <v>5817</v>
      </c>
      <c r="L2140" t="s">
        <v>5085</v>
      </c>
      <c r="M2140">
        <v>0</v>
      </c>
      <c r="N2140">
        <v>0</v>
      </c>
      <c r="O2140">
        <v>0</v>
      </c>
      <c r="P2140" t="s">
        <v>5819</v>
      </c>
    </row>
    <row r="2141" spans="1:16" x14ac:dyDescent="0.2">
      <c r="A2141" t="s">
        <v>4105</v>
      </c>
      <c r="B2141" t="s">
        <v>4106</v>
      </c>
      <c r="C2141" t="s">
        <v>3929</v>
      </c>
      <c r="D2141" t="s">
        <v>105</v>
      </c>
      <c r="E2141">
        <v>129.99</v>
      </c>
      <c r="F2141" t="s">
        <v>5817</v>
      </c>
      <c r="G2141">
        <v>11</v>
      </c>
      <c r="I2141">
        <v>11</v>
      </c>
      <c r="L2141" t="s">
        <v>5065</v>
      </c>
      <c r="M2141">
        <v>0</v>
      </c>
      <c r="N2141">
        <v>0</v>
      </c>
      <c r="P2141">
        <v>0</v>
      </c>
    </row>
    <row r="2142" spans="1:16" x14ac:dyDescent="0.2">
      <c r="A2142" t="s">
        <v>5606</v>
      </c>
      <c r="B2142" t="s">
        <v>5607</v>
      </c>
      <c r="C2142" t="s">
        <v>3929</v>
      </c>
      <c r="D2142" t="s">
        <v>105</v>
      </c>
      <c r="E2142">
        <v>169.99</v>
      </c>
      <c r="F2142" t="s">
        <v>5817</v>
      </c>
      <c r="G2142">
        <v>25</v>
      </c>
      <c r="I2142">
        <v>25</v>
      </c>
      <c r="L2142" t="s">
        <v>5065</v>
      </c>
      <c r="M2142">
        <v>0</v>
      </c>
      <c r="N2142">
        <v>0</v>
      </c>
      <c r="P2142">
        <v>0</v>
      </c>
    </row>
    <row r="2143" spans="1:16" x14ac:dyDescent="0.2">
      <c r="A2143" t="s">
        <v>5437</v>
      </c>
      <c r="B2143" t="s">
        <v>5438</v>
      </c>
      <c r="C2143" t="s">
        <v>3929</v>
      </c>
      <c r="D2143" t="s">
        <v>98</v>
      </c>
      <c r="E2143">
        <v>74.989999999999995</v>
      </c>
      <c r="F2143" t="s">
        <v>5817</v>
      </c>
      <c r="L2143" t="s">
        <v>5065</v>
      </c>
      <c r="M2143">
        <v>0</v>
      </c>
      <c r="N2143">
        <v>0</v>
      </c>
      <c r="P2143">
        <v>0</v>
      </c>
    </row>
    <row r="2144" spans="1:16" x14ac:dyDescent="0.2">
      <c r="A2144" t="s">
        <v>5100</v>
      </c>
      <c r="B2144" t="s">
        <v>5101</v>
      </c>
      <c r="C2144" t="s">
        <v>3929</v>
      </c>
      <c r="D2144" t="s">
        <v>138</v>
      </c>
      <c r="E2144">
        <v>189.99</v>
      </c>
      <c r="F2144" t="s">
        <v>5817</v>
      </c>
      <c r="J2144">
        <v>2</v>
      </c>
      <c r="L2144" t="s">
        <v>5065</v>
      </c>
      <c r="M2144">
        <v>0</v>
      </c>
      <c r="N2144">
        <v>0</v>
      </c>
      <c r="P2144">
        <v>0</v>
      </c>
    </row>
    <row r="2145" spans="1:16" x14ac:dyDescent="0.2">
      <c r="A2145" t="s">
        <v>5542</v>
      </c>
      <c r="B2145" t="s">
        <v>5543</v>
      </c>
      <c r="C2145" t="s">
        <v>3929</v>
      </c>
      <c r="D2145" t="s">
        <v>98</v>
      </c>
      <c r="E2145">
        <v>159.99</v>
      </c>
      <c r="F2145" t="s">
        <v>5817</v>
      </c>
      <c r="L2145" t="s">
        <v>5065</v>
      </c>
      <c r="M2145">
        <v>1</v>
      </c>
      <c r="N2145">
        <v>1</v>
      </c>
      <c r="O2145">
        <v>0</v>
      </c>
      <c r="P2145">
        <v>1</v>
      </c>
    </row>
    <row r="2146" spans="1:16" x14ac:dyDescent="0.2">
      <c r="A2146" t="s">
        <v>5128</v>
      </c>
      <c r="B2146" t="s">
        <v>5129</v>
      </c>
      <c r="C2146" t="s">
        <v>3929</v>
      </c>
      <c r="D2146" t="s">
        <v>138</v>
      </c>
      <c r="E2146">
        <v>129.99</v>
      </c>
      <c r="F2146" t="s">
        <v>5817</v>
      </c>
      <c r="G2146">
        <v>32</v>
      </c>
      <c r="H2146" t="s">
        <v>5823</v>
      </c>
      <c r="I2146">
        <v>31</v>
      </c>
      <c r="L2146" t="s">
        <v>5065</v>
      </c>
      <c r="M2146">
        <v>2.4</v>
      </c>
      <c r="N2146">
        <v>17.5</v>
      </c>
      <c r="O2146">
        <v>1.7272727272727273</v>
      </c>
      <c r="P2146">
        <v>42</v>
      </c>
    </row>
    <row r="2147" spans="1:16" x14ac:dyDescent="0.2">
      <c r="A2147" t="s">
        <v>4079</v>
      </c>
      <c r="B2147" t="s">
        <v>4080</v>
      </c>
      <c r="C2147" t="s">
        <v>3929</v>
      </c>
      <c r="D2147" t="s">
        <v>138</v>
      </c>
      <c r="E2147">
        <v>199.99</v>
      </c>
      <c r="F2147" t="s">
        <v>5817</v>
      </c>
      <c r="L2147" t="s">
        <v>5065</v>
      </c>
      <c r="M2147">
        <v>0</v>
      </c>
      <c r="N2147">
        <v>0</v>
      </c>
      <c r="P2147">
        <v>0</v>
      </c>
    </row>
    <row r="2148" spans="1:16" x14ac:dyDescent="0.2">
      <c r="A2148" t="s">
        <v>5130</v>
      </c>
      <c r="B2148" t="s">
        <v>5131</v>
      </c>
      <c r="C2148" t="s">
        <v>3929</v>
      </c>
      <c r="D2148" t="s">
        <v>138</v>
      </c>
      <c r="E2148">
        <v>139.99</v>
      </c>
      <c r="F2148" t="s">
        <v>5817</v>
      </c>
      <c r="G2148">
        <v>71</v>
      </c>
      <c r="I2148">
        <v>71</v>
      </c>
      <c r="L2148" t="s">
        <v>5065</v>
      </c>
      <c r="M2148">
        <v>2.4</v>
      </c>
      <c r="N2148">
        <v>15</v>
      </c>
      <c r="O2148">
        <v>3.3333333333333335</v>
      </c>
      <c r="P2148">
        <v>36</v>
      </c>
    </row>
    <row r="2149" spans="1:16" x14ac:dyDescent="0.2">
      <c r="A2149" t="s">
        <v>4109</v>
      </c>
      <c r="B2149" t="s">
        <v>4110</v>
      </c>
      <c r="C2149" t="s">
        <v>3929</v>
      </c>
      <c r="D2149" t="s">
        <v>105</v>
      </c>
      <c r="E2149">
        <v>64.989999999999995</v>
      </c>
      <c r="F2149" t="s">
        <v>5817</v>
      </c>
      <c r="G2149">
        <v>20</v>
      </c>
      <c r="I2149">
        <v>20</v>
      </c>
      <c r="L2149" t="s">
        <v>5065</v>
      </c>
      <c r="M2149">
        <v>1</v>
      </c>
      <c r="N2149">
        <v>5</v>
      </c>
      <c r="O2149">
        <v>0.36363636363636365</v>
      </c>
      <c r="P2149">
        <v>5</v>
      </c>
    </row>
    <row r="2150" spans="1:16" x14ac:dyDescent="0.2">
      <c r="A2150" t="s">
        <v>5122</v>
      </c>
      <c r="B2150" t="s">
        <v>5123</v>
      </c>
      <c r="C2150" t="s">
        <v>3929</v>
      </c>
      <c r="D2150" t="s">
        <v>98</v>
      </c>
      <c r="E2150">
        <v>169.99</v>
      </c>
      <c r="F2150" t="s">
        <v>5817</v>
      </c>
      <c r="L2150" t="s">
        <v>5065</v>
      </c>
      <c r="M2150">
        <v>0</v>
      </c>
      <c r="N2150">
        <v>0</v>
      </c>
      <c r="P2150">
        <v>0</v>
      </c>
    </row>
    <row r="2151" spans="1:16" x14ac:dyDescent="0.2">
      <c r="A2151" t="s">
        <v>4081</v>
      </c>
      <c r="B2151" t="s">
        <v>4082</v>
      </c>
      <c r="C2151" t="s">
        <v>3929</v>
      </c>
      <c r="D2151" t="s">
        <v>98</v>
      </c>
      <c r="E2151">
        <v>109.99</v>
      </c>
      <c r="F2151" t="s">
        <v>5817</v>
      </c>
      <c r="L2151" t="s">
        <v>5065</v>
      </c>
      <c r="M2151">
        <v>0</v>
      </c>
      <c r="N2151">
        <v>0</v>
      </c>
      <c r="O2151">
        <v>0</v>
      </c>
      <c r="P2151">
        <v>0</v>
      </c>
    </row>
    <row r="2152" spans="1:16" x14ac:dyDescent="0.2">
      <c r="A2152" t="s">
        <v>5215</v>
      </c>
      <c r="B2152" t="s">
        <v>5216</v>
      </c>
      <c r="C2152" t="s">
        <v>3929</v>
      </c>
      <c r="D2152" t="s">
        <v>98</v>
      </c>
      <c r="E2152">
        <v>119.99</v>
      </c>
      <c r="F2152" t="s">
        <v>5817</v>
      </c>
      <c r="L2152" t="s">
        <v>5065</v>
      </c>
      <c r="M2152">
        <v>0</v>
      </c>
      <c r="N2152">
        <v>0</v>
      </c>
      <c r="O2152">
        <v>0</v>
      </c>
      <c r="P2152">
        <v>0</v>
      </c>
    </row>
    <row r="2153" spans="1:16" x14ac:dyDescent="0.2">
      <c r="A2153" t="s">
        <v>4107</v>
      </c>
      <c r="B2153" t="s">
        <v>4108</v>
      </c>
      <c r="C2153" t="s">
        <v>3929</v>
      </c>
      <c r="D2153" t="s">
        <v>138</v>
      </c>
      <c r="E2153">
        <v>119.99</v>
      </c>
      <c r="F2153" t="s">
        <v>5817</v>
      </c>
      <c r="G2153">
        <v>83</v>
      </c>
      <c r="I2153">
        <v>83</v>
      </c>
      <c r="L2153" t="s">
        <v>5065</v>
      </c>
      <c r="M2153">
        <v>1</v>
      </c>
      <c r="N2153">
        <v>47</v>
      </c>
      <c r="O2153">
        <v>1</v>
      </c>
      <c r="P2153">
        <v>47</v>
      </c>
    </row>
    <row r="2154" spans="1:16" x14ac:dyDescent="0.2">
      <c r="A2154" t="s">
        <v>5520</v>
      </c>
      <c r="B2154" t="s">
        <v>5521</v>
      </c>
      <c r="C2154" t="s">
        <v>3929</v>
      </c>
      <c r="D2154" t="s">
        <v>138</v>
      </c>
      <c r="E2154">
        <v>89.99</v>
      </c>
      <c r="F2154" t="s">
        <v>5817</v>
      </c>
      <c r="L2154" t="s">
        <v>5065</v>
      </c>
      <c r="M2154">
        <v>0</v>
      </c>
      <c r="N2154">
        <v>0</v>
      </c>
      <c r="O2154">
        <v>0</v>
      </c>
      <c r="P2154">
        <v>0</v>
      </c>
    </row>
    <row r="2155" spans="1:16" x14ac:dyDescent="0.2">
      <c r="A2155" t="s">
        <v>5516</v>
      </c>
      <c r="B2155" t="s">
        <v>5517</v>
      </c>
      <c r="C2155" t="s">
        <v>3929</v>
      </c>
      <c r="D2155" t="s">
        <v>98</v>
      </c>
      <c r="E2155">
        <v>19.989999999999998</v>
      </c>
      <c r="F2155" t="s">
        <v>5817</v>
      </c>
      <c r="L2155" t="s">
        <v>5065</v>
      </c>
      <c r="M2155">
        <v>0</v>
      </c>
      <c r="N2155">
        <v>0</v>
      </c>
      <c r="O2155">
        <v>0</v>
      </c>
      <c r="P2155">
        <v>0</v>
      </c>
    </row>
    <row r="2156" spans="1:16" x14ac:dyDescent="0.2">
      <c r="A2156" t="s">
        <v>5491</v>
      </c>
      <c r="B2156" t="s">
        <v>5492</v>
      </c>
      <c r="C2156" t="s">
        <v>3929</v>
      </c>
      <c r="D2156" t="s">
        <v>98</v>
      </c>
      <c r="E2156">
        <v>219.99</v>
      </c>
      <c r="F2156" t="s">
        <v>5817</v>
      </c>
      <c r="L2156" t="s">
        <v>5065</v>
      </c>
      <c r="M2156">
        <v>0</v>
      </c>
      <c r="N2156">
        <v>0</v>
      </c>
      <c r="P2156">
        <v>0</v>
      </c>
    </row>
    <row r="2157" spans="1:16" x14ac:dyDescent="0.2">
      <c r="A2157" t="s">
        <v>4091</v>
      </c>
      <c r="B2157" t="s">
        <v>4092</v>
      </c>
      <c r="C2157" t="s">
        <v>3929</v>
      </c>
      <c r="D2157" t="s">
        <v>105</v>
      </c>
      <c r="E2157">
        <v>159.99</v>
      </c>
      <c r="F2157" t="s">
        <v>5817</v>
      </c>
      <c r="G2157">
        <v>27</v>
      </c>
      <c r="I2157">
        <v>27</v>
      </c>
      <c r="L2157" t="s">
        <v>5065</v>
      </c>
      <c r="M2157">
        <v>0</v>
      </c>
      <c r="N2157">
        <v>0</v>
      </c>
      <c r="P2157">
        <v>0</v>
      </c>
    </row>
    <row r="2158" spans="1:16" x14ac:dyDescent="0.2">
      <c r="A2158" t="s">
        <v>5463</v>
      </c>
      <c r="B2158" t="s">
        <v>5464</v>
      </c>
      <c r="C2158" t="s">
        <v>3929</v>
      </c>
      <c r="D2158" t="s">
        <v>98</v>
      </c>
      <c r="E2158">
        <v>199.99</v>
      </c>
      <c r="F2158" t="s">
        <v>5817</v>
      </c>
      <c r="L2158" t="s">
        <v>5065</v>
      </c>
      <c r="M2158">
        <v>0</v>
      </c>
      <c r="N2158">
        <v>0</v>
      </c>
      <c r="P2158">
        <v>0</v>
      </c>
    </row>
    <row r="2159" spans="1:16" x14ac:dyDescent="0.2">
      <c r="A2159" t="s">
        <v>5461</v>
      </c>
      <c r="B2159" t="s">
        <v>5462</v>
      </c>
      <c r="C2159" t="s">
        <v>3929</v>
      </c>
      <c r="D2159" t="s">
        <v>98</v>
      </c>
      <c r="E2159">
        <v>89.99</v>
      </c>
      <c r="F2159" t="s">
        <v>5817</v>
      </c>
      <c r="L2159" t="s">
        <v>5065</v>
      </c>
      <c r="M2159">
        <v>0</v>
      </c>
      <c r="N2159">
        <v>0</v>
      </c>
      <c r="O2159">
        <v>0</v>
      </c>
      <c r="P2159">
        <v>0</v>
      </c>
    </row>
    <row r="2160" spans="1:16" x14ac:dyDescent="0.2">
      <c r="A2160" t="s">
        <v>4095</v>
      </c>
      <c r="B2160" t="s">
        <v>4096</v>
      </c>
      <c r="C2160" t="s">
        <v>3929</v>
      </c>
      <c r="D2160" t="s">
        <v>98</v>
      </c>
      <c r="E2160">
        <v>99.99</v>
      </c>
      <c r="F2160" t="s">
        <v>5817</v>
      </c>
      <c r="L2160" t="s">
        <v>5065</v>
      </c>
      <c r="N2160">
        <v>0</v>
      </c>
      <c r="O2160">
        <v>0</v>
      </c>
      <c r="P2160">
        <v>0</v>
      </c>
    </row>
    <row r="2161" spans="1:16" x14ac:dyDescent="0.2">
      <c r="A2161" t="s">
        <v>4083</v>
      </c>
      <c r="B2161" t="s">
        <v>4084</v>
      </c>
      <c r="C2161" t="s">
        <v>3929</v>
      </c>
      <c r="D2161" t="s">
        <v>105</v>
      </c>
      <c r="E2161">
        <v>74.989999999999995</v>
      </c>
      <c r="F2161" t="s">
        <v>5817</v>
      </c>
      <c r="G2161">
        <v>44</v>
      </c>
      <c r="I2161">
        <v>44</v>
      </c>
      <c r="L2161" t="s">
        <v>5065</v>
      </c>
      <c r="M2161">
        <v>0</v>
      </c>
      <c r="N2161">
        <v>0</v>
      </c>
      <c r="O2161">
        <v>0</v>
      </c>
      <c r="P2161">
        <v>0</v>
      </c>
    </row>
    <row r="2162" spans="1:16" x14ac:dyDescent="0.2">
      <c r="A2162" t="s">
        <v>4085</v>
      </c>
      <c r="B2162" t="s">
        <v>4086</v>
      </c>
      <c r="C2162" t="s">
        <v>3929</v>
      </c>
      <c r="D2162" t="s">
        <v>98</v>
      </c>
      <c r="E2162">
        <v>119.99</v>
      </c>
      <c r="F2162" t="s">
        <v>5817</v>
      </c>
      <c r="L2162" t="s">
        <v>5065</v>
      </c>
      <c r="M2162">
        <v>0</v>
      </c>
      <c r="N2162">
        <v>0</v>
      </c>
      <c r="O2162">
        <v>1</v>
      </c>
      <c r="P2162">
        <v>0</v>
      </c>
    </row>
    <row r="2163" spans="1:16" x14ac:dyDescent="0.2">
      <c r="A2163" t="s">
        <v>4099</v>
      </c>
      <c r="B2163" t="s">
        <v>4100</v>
      </c>
      <c r="C2163" t="s">
        <v>3929</v>
      </c>
      <c r="D2163" t="s">
        <v>105</v>
      </c>
      <c r="E2163">
        <v>249.99</v>
      </c>
      <c r="F2163" t="s">
        <v>5817</v>
      </c>
      <c r="G2163">
        <v>16</v>
      </c>
      <c r="I2163">
        <v>16</v>
      </c>
      <c r="L2163" t="s">
        <v>5065</v>
      </c>
      <c r="M2163">
        <v>0</v>
      </c>
      <c r="N2163">
        <v>0</v>
      </c>
      <c r="P2163">
        <v>0</v>
      </c>
    </row>
    <row r="2164" spans="1:16" x14ac:dyDescent="0.2">
      <c r="A2164" t="s">
        <v>5124</v>
      </c>
      <c r="B2164" t="s">
        <v>5125</v>
      </c>
      <c r="C2164" t="s">
        <v>3929</v>
      </c>
      <c r="D2164" t="s">
        <v>105</v>
      </c>
      <c r="E2164">
        <v>319.99</v>
      </c>
      <c r="F2164" t="s">
        <v>5817</v>
      </c>
      <c r="G2164">
        <v>10</v>
      </c>
      <c r="I2164">
        <v>10</v>
      </c>
      <c r="L2164" t="s">
        <v>5065</v>
      </c>
      <c r="M2164">
        <v>0</v>
      </c>
      <c r="N2164">
        <v>0</v>
      </c>
      <c r="P2164">
        <v>0</v>
      </c>
    </row>
    <row r="2165" spans="1:16" x14ac:dyDescent="0.2">
      <c r="A2165" t="s">
        <v>5116</v>
      </c>
      <c r="B2165" t="s">
        <v>5117</v>
      </c>
      <c r="C2165" t="s">
        <v>3929</v>
      </c>
      <c r="D2165" t="s">
        <v>138</v>
      </c>
      <c r="E2165">
        <v>209.99</v>
      </c>
      <c r="F2165" t="s">
        <v>5817</v>
      </c>
      <c r="L2165" t="s">
        <v>5065</v>
      </c>
      <c r="M2165">
        <v>0</v>
      </c>
      <c r="N2165">
        <v>0</v>
      </c>
      <c r="P2165">
        <v>0</v>
      </c>
    </row>
    <row r="2166" spans="1:16" x14ac:dyDescent="0.2">
      <c r="A2166" t="s">
        <v>5118</v>
      </c>
      <c r="B2166" t="s">
        <v>5119</v>
      </c>
      <c r="C2166" t="s">
        <v>3929</v>
      </c>
      <c r="D2166" t="s">
        <v>98</v>
      </c>
      <c r="E2166">
        <v>109.99</v>
      </c>
      <c r="F2166" t="s">
        <v>5817</v>
      </c>
      <c r="L2166" t="s">
        <v>5065</v>
      </c>
      <c r="M2166">
        <v>0</v>
      </c>
      <c r="N2166">
        <v>0</v>
      </c>
      <c r="P2166">
        <v>0</v>
      </c>
    </row>
    <row r="2167" spans="1:16" x14ac:dyDescent="0.2">
      <c r="A2167" t="s">
        <v>4097</v>
      </c>
      <c r="B2167" t="s">
        <v>4098</v>
      </c>
      <c r="C2167" t="s">
        <v>3929</v>
      </c>
      <c r="D2167" t="s">
        <v>105</v>
      </c>
      <c r="E2167">
        <v>199.99</v>
      </c>
      <c r="F2167" t="s">
        <v>5817</v>
      </c>
      <c r="G2167">
        <v>17</v>
      </c>
      <c r="I2167">
        <v>17</v>
      </c>
      <c r="K2167">
        <v>40</v>
      </c>
      <c r="L2167" t="s">
        <v>5065</v>
      </c>
      <c r="M2167">
        <v>0</v>
      </c>
      <c r="N2167">
        <v>0</v>
      </c>
      <c r="O2167">
        <v>0.1</v>
      </c>
      <c r="P2167">
        <v>0</v>
      </c>
    </row>
    <row r="2168" spans="1:16" x14ac:dyDescent="0.2">
      <c r="A2168" t="s">
        <v>4111</v>
      </c>
      <c r="B2168" t="s">
        <v>4112</v>
      </c>
      <c r="C2168" t="s">
        <v>3929</v>
      </c>
      <c r="D2168" t="s">
        <v>105</v>
      </c>
      <c r="E2168">
        <v>89.99</v>
      </c>
      <c r="F2168" t="s">
        <v>5817</v>
      </c>
      <c r="G2168">
        <v>53</v>
      </c>
      <c r="I2168">
        <v>53</v>
      </c>
      <c r="L2168" t="s">
        <v>5065</v>
      </c>
      <c r="M2168">
        <v>1</v>
      </c>
      <c r="N2168">
        <v>2</v>
      </c>
      <c r="O2168">
        <v>-9.0909090909090912E-2</v>
      </c>
      <c r="P2168">
        <v>2</v>
      </c>
    </row>
    <row r="2169" spans="1:16" x14ac:dyDescent="0.2">
      <c r="A2169" t="s">
        <v>4125</v>
      </c>
      <c r="B2169" t="s">
        <v>4126</v>
      </c>
      <c r="C2169" t="s">
        <v>3929</v>
      </c>
      <c r="D2169" t="s">
        <v>105</v>
      </c>
      <c r="E2169">
        <v>99.99</v>
      </c>
      <c r="F2169" t="s">
        <v>5817</v>
      </c>
      <c r="G2169">
        <v>66</v>
      </c>
      <c r="I2169">
        <v>66</v>
      </c>
      <c r="L2169" t="s">
        <v>5065</v>
      </c>
      <c r="M2169">
        <v>0</v>
      </c>
      <c r="N2169">
        <v>0</v>
      </c>
      <c r="O2169">
        <v>0</v>
      </c>
      <c r="P2169">
        <v>0</v>
      </c>
    </row>
    <row r="2170" spans="1:16" x14ac:dyDescent="0.2">
      <c r="A2170" t="s">
        <v>5369</v>
      </c>
      <c r="B2170" t="s">
        <v>5370</v>
      </c>
      <c r="C2170" t="s">
        <v>3929</v>
      </c>
      <c r="D2170" t="s">
        <v>98</v>
      </c>
      <c r="E2170">
        <v>69.989999999999995</v>
      </c>
      <c r="F2170" t="s">
        <v>5817</v>
      </c>
      <c r="L2170" t="s">
        <v>5065</v>
      </c>
      <c r="M2170">
        <v>0</v>
      </c>
      <c r="N2170">
        <v>0</v>
      </c>
      <c r="P2170">
        <v>0</v>
      </c>
    </row>
    <row r="2171" spans="1:16" x14ac:dyDescent="0.2">
      <c r="A2171" t="s">
        <v>5345</v>
      </c>
      <c r="B2171" t="s">
        <v>5346</v>
      </c>
      <c r="C2171" t="s">
        <v>3929</v>
      </c>
      <c r="D2171" t="s">
        <v>98</v>
      </c>
      <c r="E2171">
        <v>49.99</v>
      </c>
      <c r="F2171" t="s">
        <v>5817</v>
      </c>
      <c r="L2171" t="s">
        <v>5065</v>
      </c>
      <c r="M2171">
        <v>0</v>
      </c>
      <c r="N2171">
        <v>0</v>
      </c>
      <c r="O2171">
        <v>11</v>
      </c>
      <c r="P2171">
        <v>0</v>
      </c>
    </row>
    <row r="2172" spans="1:16" x14ac:dyDescent="0.2">
      <c r="A2172" t="s">
        <v>5110</v>
      </c>
      <c r="B2172" t="s">
        <v>5111</v>
      </c>
      <c r="C2172" t="s">
        <v>3929</v>
      </c>
      <c r="D2172" t="s">
        <v>98</v>
      </c>
      <c r="E2172">
        <v>59.99</v>
      </c>
      <c r="F2172" t="s">
        <v>5817</v>
      </c>
      <c r="L2172" t="s">
        <v>5065</v>
      </c>
      <c r="M2172">
        <v>0</v>
      </c>
      <c r="N2172">
        <v>0</v>
      </c>
      <c r="P2172">
        <v>0</v>
      </c>
    </row>
    <row r="2173" spans="1:16" x14ac:dyDescent="0.2">
      <c r="A2173" t="s">
        <v>4123</v>
      </c>
      <c r="B2173" t="s">
        <v>4124</v>
      </c>
      <c r="C2173" t="s">
        <v>3929</v>
      </c>
      <c r="D2173" t="s">
        <v>105</v>
      </c>
      <c r="E2173">
        <v>29.99</v>
      </c>
      <c r="F2173" t="s">
        <v>5817</v>
      </c>
      <c r="G2173">
        <v>44</v>
      </c>
      <c r="I2173">
        <v>44</v>
      </c>
      <c r="L2173" t="s">
        <v>5065</v>
      </c>
      <c r="M2173">
        <v>0</v>
      </c>
      <c r="N2173">
        <v>0</v>
      </c>
      <c r="P2173">
        <v>0</v>
      </c>
    </row>
    <row r="2174" spans="1:16" x14ac:dyDescent="0.2">
      <c r="A2174" t="s">
        <v>4113</v>
      </c>
      <c r="B2174" t="s">
        <v>4114</v>
      </c>
      <c r="C2174" t="s">
        <v>3929</v>
      </c>
      <c r="D2174" t="s">
        <v>105</v>
      </c>
      <c r="E2174">
        <v>54.99</v>
      </c>
      <c r="F2174" t="s">
        <v>5817</v>
      </c>
      <c r="G2174">
        <v>25</v>
      </c>
      <c r="I2174">
        <v>25</v>
      </c>
      <c r="L2174" t="s">
        <v>5065</v>
      </c>
      <c r="M2174">
        <v>0</v>
      </c>
      <c r="N2174">
        <v>0</v>
      </c>
      <c r="P2174">
        <v>0</v>
      </c>
    </row>
    <row r="2175" spans="1:16" x14ac:dyDescent="0.2">
      <c r="A2175" t="s">
        <v>4115</v>
      </c>
      <c r="B2175" t="s">
        <v>4116</v>
      </c>
      <c r="C2175" t="s">
        <v>3929</v>
      </c>
      <c r="D2175" t="s">
        <v>105</v>
      </c>
      <c r="E2175">
        <v>44.99</v>
      </c>
      <c r="F2175" t="s">
        <v>5817</v>
      </c>
      <c r="K2175">
        <v>20</v>
      </c>
      <c r="L2175" t="s">
        <v>5065</v>
      </c>
      <c r="M2175">
        <v>0</v>
      </c>
      <c r="N2175">
        <v>0</v>
      </c>
      <c r="O2175">
        <v>0</v>
      </c>
      <c r="P2175">
        <v>0</v>
      </c>
    </row>
    <row r="2176" spans="1:16" x14ac:dyDescent="0.2">
      <c r="A2176" t="s">
        <v>4117</v>
      </c>
      <c r="B2176" t="s">
        <v>4118</v>
      </c>
      <c r="C2176" t="s">
        <v>3929</v>
      </c>
      <c r="D2176" t="s">
        <v>105</v>
      </c>
      <c r="E2176">
        <v>39.99</v>
      </c>
      <c r="F2176" t="s">
        <v>5817</v>
      </c>
      <c r="G2176">
        <v>75</v>
      </c>
      <c r="I2176">
        <v>75</v>
      </c>
      <c r="L2176" t="s">
        <v>5065</v>
      </c>
      <c r="M2176">
        <v>4</v>
      </c>
      <c r="N2176">
        <v>20.25</v>
      </c>
      <c r="O2176">
        <v>3.0833333333333335</v>
      </c>
      <c r="P2176">
        <v>81</v>
      </c>
    </row>
    <row r="2177" spans="1:16" x14ac:dyDescent="0.2">
      <c r="A2177" t="s">
        <v>4119</v>
      </c>
      <c r="B2177" t="s">
        <v>4120</v>
      </c>
      <c r="C2177" t="s">
        <v>3929</v>
      </c>
      <c r="D2177" t="s">
        <v>105</v>
      </c>
      <c r="E2177">
        <v>34.99</v>
      </c>
      <c r="F2177" t="s">
        <v>5817</v>
      </c>
      <c r="G2177">
        <v>38</v>
      </c>
      <c r="I2177">
        <v>38</v>
      </c>
      <c r="L2177" t="s">
        <v>5065</v>
      </c>
      <c r="M2177">
        <v>0</v>
      </c>
      <c r="N2177">
        <v>0</v>
      </c>
      <c r="P2177">
        <v>0</v>
      </c>
    </row>
    <row r="2178" spans="1:16" x14ac:dyDescent="0.2">
      <c r="A2178" t="s">
        <v>4161</v>
      </c>
      <c r="B2178" t="s">
        <v>4162</v>
      </c>
      <c r="C2178" t="s">
        <v>3929</v>
      </c>
      <c r="D2178" t="s">
        <v>105</v>
      </c>
      <c r="E2178">
        <v>139.99</v>
      </c>
      <c r="F2178" t="s">
        <v>5817</v>
      </c>
      <c r="G2178">
        <v>22</v>
      </c>
      <c r="H2178" t="s">
        <v>5845</v>
      </c>
      <c r="I2178">
        <v>18</v>
      </c>
      <c r="K2178">
        <v>40</v>
      </c>
      <c r="L2178" t="s">
        <v>5065</v>
      </c>
      <c r="M2178">
        <v>0</v>
      </c>
      <c r="N2178">
        <v>0</v>
      </c>
      <c r="P2178">
        <v>0</v>
      </c>
    </row>
    <row r="2179" spans="1:16" x14ac:dyDescent="0.2">
      <c r="A2179" t="s">
        <v>3942</v>
      </c>
      <c r="B2179" t="s">
        <v>3943</v>
      </c>
      <c r="C2179" t="s">
        <v>3929</v>
      </c>
      <c r="D2179" t="s">
        <v>105</v>
      </c>
      <c r="E2179">
        <v>149.99</v>
      </c>
      <c r="F2179" t="s">
        <v>5817</v>
      </c>
      <c r="G2179">
        <v>19</v>
      </c>
      <c r="I2179">
        <v>19</v>
      </c>
      <c r="L2179" t="s">
        <v>5065</v>
      </c>
      <c r="M2179">
        <v>0</v>
      </c>
      <c r="N2179">
        <v>0</v>
      </c>
      <c r="P2179">
        <v>0</v>
      </c>
    </row>
    <row r="2180" spans="1:16" x14ac:dyDescent="0.2">
      <c r="A2180" t="s">
        <v>3946</v>
      </c>
      <c r="B2180" t="s">
        <v>3947</v>
      </c>
      <c r="C2180" t="s">
        <v>3929</v>
      </c>
      <c r="D2180" t="s">
        <v>105</v>
      </c>
      <c r="E2180">
        <v>269.99</v>
      </c>
      <c r="F2180" t="s">
        <v>5817</v>
      </c>
      <c r="G2180">
        <v>26</v>
      </c>
      <c r="I2180">
        <v>26</v>
      </c>
      <c r="L2180" t="s">
        <v>5065</v>
      </c>
      <c r="M2180">
        <v>0</v>
      </c>
      <c r="N2180">
        <v>0</v>
      </c>
      <c r="O2180">
        <v>0.72727272727272729</v>
      </c>
      <c r="P2180">
        <v>51</v>
      </c>
    </row>
    <row r="2181" spans="1:16" x14ac:dyDescent="0.2">
      <c r="A2181" t="s">
        <v>3954</v>
      </c>
      <c r="B2181" t="s">
        <v>3955</v>
      </c>
      <c r="C2181" t="s">
        <v>3929</v>
      </c>
      <c r="D2181" t="s">
        <v>105</v>
      </c>
      <c r="E2181">
        <v>64.989999999999995</v>
      </c>
      <c r="F2181" t="s">
        <v>5817</v>
      </c>
      <c r="G2181">
        <v>2</v>
      </c>
      <c r="I2181">
        <v>2</v>
      </c>
      <c r="L2181" t="s">
        <v>5065</v>
      </c>
      <c r="M2181">
        <v>0</v>
      </c>
      <c r="N2181">
        <v>0</v>
      </c>
      <c r="P2181">
        <v>0</v>
      </c>
    </row>
    <row r="2182" spans="1:16" x14ac:dyDescent="0.2">
      <c r="A2182" t="s">
        <v>5582</v>
      </c>
      <c r="B2182" t="s">
        <v>5583</v>
      </c>
      <c r="C2182" t="s">
        <v>3929</v>
      </c>
      <c r="D2182" t="s">
        <v>98</v>
      </c>
      <c r="E2182">
        <v>64.989999999999995</v>
      </c>
      <c r="F2182" t="s">
        <v>5817</v>
      </c>
      <c r="L2182" t="s">
        <v>5065</v>
      </c>
      <c r="M2182">
        <v>0</v>
      </c>
      <c r="N2182">
        <v>0</v>
      </c>
      <c r="P2182">
        <v>0</v>
      </c>
    </row>
    <row r="2183" spans="1:16" x14ac:dyDescent="0.2">
      <c r="A2183" t="s">
        <v>3960</v>
      </c>
      <c r="B2183" t="s">
        <v>3961</v>
      </c>
      <c r="C2183" t="s">
        <v>3929</v>
      </c>
      <c r="D2183" t="s">
        <v>105</v>
      </c>
      <c r="E2183">
        <v>64.989999999999995</v>
      </c>
      <c r="F2183" t="s">
        <v>5817</v>
      </c>
      <c r="G2183">
        <v>37</v>
      </c>
      <c r="I2183">
        <v>37</v>
      </c>
      <c r="J2183">
        <v>10</v>
      </c>
      <c r="K2183">
        <v>40</v>
      </c>
      <c r="L2183" t="s">
        <v>5065</v>
      </c>
      <c r="M2183">
        <v>0</v>
      </c>
      <c r="N2183">
        <v>0</v>
      </c>
      <c r="P2183">
        <v>0</v>
      </c>
    </row>
    <row r="2184" spans="1:16" x14ac:dyDescent="0.2">
      <c r="A2184" t="s">
        <v>5624</v>
      </c>
      <c r="B2184" t="s">
        <v>5625</v>
      </c>
      <c r="C2184" t="s">
        <v>3929</v>
      </c>
      <c r="D2184" t="s">
        <v>98</v>
      </c>
      <c r="E2184">
        <v>99.99</v>
      </c>
      <c r="F2184" t="s">
        <v>5817</v>
      </c>
      <c r="L2184" t="s">
        <v>5065</v>
      </c>
      <c r="M2184">
        <v>0</v>
      </c>
      <c r="N2184">
        <v>0</v>
      </c>
      <c r="O2184">
        <v>0</v>
      </c>
      <c r="P2184">
        <v>0</v>
      </c>
    </row>
    <row r="2185" spans="1:16" x14ac:dyDescent="0.2">
      <c r="A2185" t="s">
        <v>5120</v>
      </c>
      <c r="B2185" t="s">
        <v>5121</v>
      </c>
      <c r="C2185" t="s">
        <v>3929</v>
      </c>
      <c r="D2185" t="s">
        <v>105</v>
      </c>
      <c r="E2185">
        <v>89.99</v>
      </c>
      <c r="F2185" t="s">
        <v>5817</v>
      </c>
      <c r="G2185">
        <v>28</v>
      </c>
      <c r="I2185">
        <v>28</v>
      </c>
      <c r="L2185" t="s">
        <v>5065</v>
      </c>
      <c r="M2185">
        <v>0</v>
      </c>
      <c r="N2185">
        <v>0</v>
      </c>
      <c r="O2185">
        <v>0</v>
      </c>
      <c r="P2185">
        <v>0</v>
      </c>
    </row>
    <row r="2186" spans="1:16" x14ac:dyDescent="0.2">
      <c r="A2186" t="s">
        <v>5073</v>
      </c>
      <c r="B2186" t="s">
        <v>5074</v>
      </c>
      <c r="C2186" t="s">
        <v>3929</v>
      </c>
      <c r="D2186" t="s">
        <v>105</v>
      </c>
      <c r="E2186">
        <v>99.99</v>
      </c>
      <c r="F2186" t="s">
        <v>5817</v>
      </c>
      <c r="G2186">
        <v>29</v>
      </c>
      <c r="I2186">
        <v>29</v>
      </c>
      <c r="L2186" t="s">
        <v>5065</v>
      </c>
      <c r="M2186">
        <v>0</v>
      </c>
      <c r="N2186">
        <v>0</v>
      </c>
      <c r="P2186">
        <v>0</v>
      </c>
    </row>
    <row r="2187" spans="1:16" x14ac:dyDescent="0.2">
      <c r="A2187" t="s">
        <v>3940</v>
      </c>
      <c r="B2187" t="s">
        <v>3941</v>
      </c>
      <c r="C2187" t="s">
        <v>3929</v>
      </c>
      <c r="D2187" t="s">
        <v>105</v>
      </c>
      <c r="E2187">
        <v>209.99</v>
      </c>
      <c r="F2187" t="s">
        <v>5817</v>
      </c>
      <c r="G2187">
        <v>47</v>
      </c>
      <c r="I2187">
        <v>47</v>
      </c>
      <c r="J2187">
        <v>15</v>
      </c>
      <c r="L2187" t="s">
        <v>5065</v>
      </c>
      <c r="M2187">
        <v>1.6666666666666667</v>
      </c>
      <c r="N2187">
        <v>31.799999999999997</v>
      </c>
      <c r="O2187">
        <v>1.0909090909090908</v>
      </c>
      <c r="P2187">
        <v>53</v>
      </c>
    </row>
    <row r="2188" spans="1:16" x14ac:dyDescent="0.2">
      <c r="A2188" t="s">
        <v>3930</v>
      </c>
      <c r="B2188" t="s">
        <v>3931</v>
      </c>
      <c r="C2188" t="s">
        <v>3929</v>
      </c>
      <c r="D2188" t="s">
        <v>105</v>
      </c>
      <c r="E2188">
        <v>139.99</v>
      </c>
      <c r="F2188" t="s">
        <v>5817</v>
      </c>
      <c r="G2188">
        <v>52</v>
      </c>
      <c r="I2188">
        <v>52</v>
      </c>
      <c r="J2188">
        <v>25</v>
      </c>
      <c r="L2188" t="s">
        <v>5065</v>
      </c>
      <c r="M2188">
        <v>1.3333333333333335</v>
      </c>
      <c r="N2188">
        <v>31.499999999999996</v>
      </c>
      <c r="O2188">
        <v>1</v>
      </c>
      <c r="P2188">
        <v>42</v>
      </c>
    </row>
    <row r="2189" spans="1:16" x14ac:dyDescent="0.2">
      <c r="A2189" t="s">
        <v>3932</v>
      </c>
      <c r="B2189" t="s">
        <v>3933</v>
      </c>
      <c r="C2189" t="s">
        <v>3929</v>
      </c>
      <c r="D2189" t="s">
        <v>105</v>
      </c>
      <c r="E2189">
        <v>129.99</v>
      </c>
      <c r="F2189" t="s">
        <v>5817</v>
      </c>
      <c r="G2189">
        <v>27</v>
      </c>
      <c r="I2189">
        <v>27</v>
      </c>
      <c r="L2189" t="s">
        <v>5065</v>
      </c>
      <c r="M2189">
        <v>0</v>
      </c>
      <c r="N2189">
        <v>0</v>
      </c>
      <c r="O2189">
        <v>1</v>
      </c>
      <c r="P2189">
        <v>0</v>
      </c>
    </row>
    <row r="2190" spans="1:16" x14ac:dyDescent="0.2">
      <c r="A2190" t="s">
        <v>3934</v>
      </c>
      <c r="B2190" t="s">
        <v>3935</v>
      </c>
      <c r="C2190" t="s">
        <v>3929</v>
      </c>
      <c r="D2190" t="s">
        <v>105</v>
      </c>
      <c r="E2190">
        <v>159.99</v>
      </c>
      <c r="F2190" t="s">
        <v>5817</v>
      </c>
      <c r="G2190">
        <v>5</v>
      </c>
      <c r="I2190">
        <v>5</v>
      </c>
      <c r="L2190" t="s">
        <v>5065</v>
      </c>
      <c r="M2190">
        <v>0</v>
      </c>
      <c r="N2190">
        <v>0</v>
      </c>
      <c r="O2190">
        <v>1</v>
      </c>
      <c r="P2190">
        <v>0</v>
      </c>
    </row>
    <row r="2191" spans="1:16" x14ac:dyDescent="0.2">
      <c r="A2191" t="s">
        <v>5380</v>
      </c>
      <c r="B2191" t="s">
        <v>5381</v>
      </c>
      <c r="C2191" t="s">
        <v>3929</v>
      </c>
      <c r="D2191" t="s">
        <v>98</v>
      </c>
      <c r="E2191">
        <v>69.989999999999995</v>
      </c>
      <c r="F2191" t="s">
        <v>5817</v>
      </c>
      <c r="L2191" t="s">
        <v>5065</v>
      </c>
      <c r="M2191">
        <v>0</v>
      </c>
      <c r="N2191">
        <v>0</v>
      </c>
      <c r="P2191">
        <v>0</v>
      </c>
    </row>
    <row r="2192" spans="1:16" x14ac:dyDescent="0.2">
      <c r="A2192" t="s">
        <v>5102</v>
      </c>
      <c r="B2192" t="s">
        <v>5103</v>
      </c>
      <c r="C2192" t="s">
        <v>3929</v>
      </c>
      <c r="D2192" t="s">
        <v>98</v>
      </c>
      <c r="E2192">
        <v>99.99</v>
      </c>
      <c r="F2192" t="s">
        <v>5817</v>
      </c>
      <c r="L2192" t="s">
        <v>5065</v>
      </c>
      <c r="M2192">
        <v>0</v>
      </c>
      <c r="N2192">
        <v>0</v>
      </c>
      <c r="O2192">
        <v>1</v>
      </c>
      <c r="P2192">
        <v>0</v>
      </c>
    </row>
    <row r="2193" spans="1:16" x14ac:dyDescent="0.2">
      <c r="A2193" t="s">
        <v>3978</v>
      </c>
      <c r="B2193" t="s">
        <v>3979</v>
      </c>
      <c r="C2193" t="s">
        <v>3929</v>
      </c>
      <c r="D2193" t="s">
        <v>105</v>
      </c>
      <c r="E2193">
        <v>24.99</v>
      </c>
      <c r="F2193" t="s">
        <v>5817</v>
      </c>
      <c r="G2193">
        <v>71</v>
      </c>
      <c r="I2193">
        <v>71</v>
      </c>
      <c r="K2193">
        <v>100</v>
      </c>
      <c r="L2193" t="s">
        <v>5065</v>
      </c>
      <c r="M2193">
        <v>0</v>
      </c>
      <c r="N2193">
        <v>0</v>
      </c>
      <c r="P2193">
        <v>0</v>
      </c>
    </row>
    <row r="2194" spans="1:16" x14ac:dyDescent="0.2">
      <c r="A2194" t="s">
        <v>3980</v>
      </c>
      <c r="B2194" t="s">
        <v>3981</v>
      </c>
      <c r="C2194" t="s">
        <v>3929</v>
      </c>
      <c r="D2194" t="s">
        <v>105</v>
      </c>
      <c r="E2194">
        <v>24.99</v>
      </c>
      <c r="F2194" t="s">
        <v>5817</v>
      </c>
      <c r="G2194">
        <v>242</v>
      </c>
      <c r="I2194">
        <v>242</v>
      </c>
      <c r="L2194" t="s">
        <v>5065</v>
      </c>
      <c r="M2194">
        <v>16.8</v>
      </c>
      <c r="N2194">
        <v>4.1071428571428568</v>
      </c>
      <c r="O2194">
        <v>25.363636363636363</v>
      </c>
      <c r="P2194">
        <v>69</v>
      </c>
    </row>
    <row r="2195" spans="1:16" x14ac:dyDescent="0.2">
      <c r="A2195" t="s">
        <v>3982</v>
      </c>
      <c r="B2195" t="s">
        <v>3983</v>
      </c>
      <c r="C2195" t="s">
        <v>3929</v>
      </c>
      <c r="D2195" t="s">
        <v>98</v>
      </c>
      <c r="E2195">
        <v>109.99</v>
      </c>
      <c r="F2195" t="s">
        <v>5817</v>
      </c>
      <c r="L2195" t="s">
        <v>5065</v>
      </c>
      <c r="M2195">
        <v>1.4</v>
      </c>
      <c r="N2195">
        <v>3.5714285714285716</v>
      </c>
      <c r="O2195">
        <v>1.2727272727272727</v>
      </c>
      <c r="P2195">
        <v>5</v>
      </c>
    </row>
    <row r="2196" spans="1:16" x14ac:dyDescent="0.2">
      <c r="A2196" t="s">
        <v>5160</v>
      </c>
      <c r="B2196" t="s">
        <v>5161</v>
      </c>
      <c r="C2196" t="s">
        <v>3929</v>
      </c>
      <c r="D2196" t="s">
        <v>98</v>
      </c>
      <c r="E2196">
        <v>109.99</v>
      </c>
      <c r="F2196" t="s">
        <v>5817</v>
      </c>
      <c r="L2196" t="s">
        <v>5065</v>
      </c>
      <c r="M2196">
        <v>0</v>
      </c>
      <c r="N2196">
        <v>0</v>
      </c>
      <c r="P2196">
        <v>0</v>
      </c>
    </row>
    <row r="2197" spans="1:16" x14ac:dyDescent="0.2">
      <c r="A2197" t="s">
        <v>3984</v>
      </c>
      <c r="B2197" t="s">
        <v>3985</v>
      </c>
      <c r="C2197" t="s">
        <v>3929</v>
      </c>
      <c r="D2197" t="s">
        <v>98</v>
      </c>
      <c r="E2197">
        <v>84.99</v>
      </c>
      <c r="F2197" t="s">
        <v>5817</v>
      </c>
      <c r="L2197" t="s">
        <v>5065</v>
      </c>
      <c r="M2197">
        <v>0</v>
      </c>
      <c r="N2197">
        <v>0</v>
      </c>
      <c r="P2197">
        <v>0</v>
      </c>
    </row>
    <row r="2198" spans="1:16" x14ac:dyDescent="0.2">
      <c r="A2198" t="s">
        <v>3986</v>
      </c>
      <c r="B2198" t="s">
        <v>3987</v>
      </c>
      <c r="C2198" t="s">
        <v>3929</v>
      </c>
      <c r="D2198" t="s">
        <v>98</v>
      </c>
      <c r="E2198">
        <v>84.99</v>
      </c>
      <c r="F2198" t="s">
        <v>5817</v>
      </c>
      <c r="L2198" t="s">
        <v>5065</v>
      </c>
      <c r="M2198">
        <v>0</v>
      </c>
      <c r="N2198">
        <v>0</v>
      </c>
      <c r="P2198">
        <v>0</v>
      </c>
    </row>
    <row r="2199" spans="1:16" x14ac:dyDescent="0.2">
      <c r="A2199" t="s">
        <v>3988</v>
      </c>
      <c r="B2199" t="s">
        <v>3989</v>
      </c>
      <c r="C2199" t="s">
        <v>3929</v>
      </c>
      <c r="D2199" t="s">
        <v>105</v>
      </c>
      <c r="E2199">
        <v>59.99</v>
      </c>
      <c r="F2199" t="s">
        <v>5817</v>
      </c>
      <c r="G2199">
        <v>37</v>
      </c>
      <c r="I2199">
        <v>37</v>
      </c>
      <c r="K2199">
        <v>80</v>
      </c>
      <c r="L2199" t="s">
        <v>5065</v>
      </c>
      <c r="M2199">
        <v>0</v>
      </c>
      <c r="N2199">
        <v>0</v>
      </c>
      <c r="P2199">
        <v>0</v>
      </c>
    </row>
    <row r="2200" spans="1:16" x14ac:dyDescent="0.2">
      <c r="A2200" t="s">
        <v>3976</v>
      </c>
      <c r="B2200" t="s">
        <v>3977</v>
      </c>
      <c r="C2200" t="s">
        <v>3929</v>
      </c>
      <c r="D2200" t="s">
        <v>105</v>
      </c>
      <c r="E2200">
        <v>99.99</v>
      </c>
      <c r="F2200" t="s">
        <v>5817</v>
      </c>
      <c r="G2200">
        <v>38</v>
      </c>
      <c r="I2200">
        <v>38</v>
      </c>
      <c r="L2200" t="s">
        <v>5065</v>
      </c>
      <c r="M2200">
        <v>0</v>
      </c>
      <c r="N2200">
        <v>0</v>
      </c>
      <c r="O2200">
        <v>0</v>
      </c>
      <c r="P2200">
        <v>0</v>
      </c>
    </row>
    <row r="2201" spans="1:16" x14ac:dyDescent="0.2">
      <c r="A2201" t="s">
        <v>5213</v>
      </c>
      <c r="B2201" t="s">
        <v>5214</v>
      </c>
      <c r="C2201" t="s">
        <v>3929</v>
      </c>
      <c r="D2201" t="s">
        <v>98</v>
      </c>
      <c r="E2201">
        <v>89.99</v>
      </c>
      <c r="F2201" t="s">
        <v>5817</v>
      </c>
      <c r="L2201" t="s">
        <v>5065</v>
      </c>
      <c r="M2201">
        <v>0</v>
      </c>
      <c r="N2201">
        <v>0</v>
      </c>
      <c r="P2201">
        <v>0</v>
      </c>
    </row>
    <row r="2202" spans="1:16" x14ac:dyDescent="0.2">
      <c r="A2202" t="s">
        <v>3964</v>
      </c>
      <c r="B2202" t="s">
        <v>3965</v>
      </c>
      <c r="C2202" t="s">
        <v>3929</v>
      </c>
      <c r="D2202" t="s">
        <v>138</v>
      </c>
      <c r="E2202">
        <v>64.989999999999995</v>
      </c>
      <c r="F2202" t="s">
        <v>5817</v>
      </c>
      <c r="G2202">
        <v>40</v>
      </c>
      <c r="I2202">
        <v>40</v>
      </c>
      <c r="L2202" t="s">
        <v>5065</v>
      </c>
      <c r="M2202">
        <v>0</v>
      </c>
      <c r="N2202">
        <v>0</v>
      </c>
      <c r="P2202">
        <v>0</v>
      </c>
    </row>
    <row r="2203" spans="1:16" x14ac:dyDescent="0.2">
      <c r="A2203" t="s">
        <v>3968</v>
      </c>
      <c r="B2203" t="s">
        <v>3969</v>
      </c>
      <c r="C2203" t="s">
        <v>3929</v>
      </c>
      <c r="D2203" t="s">
        <v>105</v>
      </c>
      <c r="E2203">
        <v>184.99</v>
      </c>
      <c r="F2203" t="s">
        <v>5817</v>
      </c>
      <c r="G2203">
        <v>32</v>
      </c>
      <c r="I2203">
        <v>32</v>
      </c>
      <c r="L2203" t="s">
        <v>5065</v>
      </c>
      <c r="M2203">
        <v>1</v>
      </c>
      <c r="N2203">
        <v>31</v>
      </c>
      <c r="O2203">
        <v>9.0909090909090912E-2</v>
      </c>
      <c r="P2203">
        <v>31</v>
      </c>
    </row>
    <row r="2204" spans="1:16" x14ac:dyDescent="0.2">
      <c r="A2204" t="s">
        <v>3970</v>
      </c>
      <c r="B2204" t="s">
        <v>3971</v>
      </c>
      <c r="C2204" t="s">
        <v>3929</v>
      </c>
      <c r="D2204" t="s">
        <v>98</v>
      </c>
      <c r="E2204">
        <v>139.99</v>
      </c>
      <c r="F2204" t="s">
        <v>5817</v>
      </c>
      <c r="L2204" t="s">
        <v>5065</v>
      </c>
      <c r="M2204">
        <v>0</v>
      </c>
      <c r="N2204">
        <v>0</v>
      </c>
      <c r="P2204">
        <v>0</v>
      </c>
    </row>
    <row r="2205" spans="1:16" x14ac:dyDescent="0.2">
      <c r="A2205" t="s">
        <v>3972</v>
      </c>
      <c r="B2205" t="s">
        <v>3973</v>
      </c>
      <c r="C2205" t="s">
        <v>3929</v>
      </c>
      <c r="D2205" t="s">
        <v>98</v>
      </c>
      <c r="E2205">
        <v>129.99</v>
      </c>
      <c r="F2205" t="s">
        <v>5817</v>
      </c>
      <c r="L2205" t="s">
        <v>5065</v>
      </c>
      <c r="M2205">
        <v>0</v>
      </c>
      <c r="N2205">
        <v>0</v>
      </c>
      <c r="P2205">
        <v>0</v>
      </c>
    </row>
    <row r="2206" spans="1:16" x14ac:dyDescent="0.2">
      <c r="A2206" t="s">
        <v>5249</v>
      </c>
      <c r="B2206" t="s">
        <v>5250</v>
      </c>
      <c r="C2206" t="s">
        <v>3929</v>
      </c>
      <c r="D2206" t="s">
        <v>98</v>
      </c>
      <c r="E2206">
        <v>184.99</v>
      </c>
      <c r="F2206" t="s">
        <v>5817</v>
      </c>
      <c r="L2206" t="s">
        <v>5065</v>
      </c>
      <c r="M2206">
        <v>0</v>
      </c>
      <c r="N2206">
        <v>0</v>
      </c>
      <c r="P2206">
        <v>0</v>
      </c>
    </row>
    <row r="2207" spans="1:16" x14ac:dyDescent="0.2">
      <c r="A2207" t="s">
        <v>4077</v>
      </c>
      <c r="B2207" t="s">
        <v>4078</v>
      </c>
      <c r="C2207" t="s">
        <v>3929</v>
      </c>
      <c r="D2207" t="s">
        <v>105</v>
      </c>
      <c r="E2207">
        <v>74.989999999999995</v>
      </c>
      <c r="F2207" t="s">
        <v>5817</v>
      </c>
      <c r="G2207">
        <v>122</v>
      </c>
      <c r="I2207">
        <v>122</v>
      </c>
      <c r="L2207" t="s">
        <v>5065</v>
      </c>
      <c r="M2207">
        <v>1.5</v>
      </c>
      <c r="N2207">
        <v>52</v>
      </c>
      <c r="O2207">
        <v>2.6666666666666665</v>
      </c>
      <c r="P2207">
        <v>78</v>
      </c>
    </row>
    <row r="2208" spans="1:16" x14ac:dyDescent="0.2">
      <c r="A2208" t="s">
        <v>3974</v>
      </c>
      <c r="B2208" t="s">
        <v>3975</v>
      </c>
      <c r="C2208" t="s">
        <v>3929</v>
      </c>
      <c r="D2208" t="s">
        <v>105</v>
      </c>
      <c r="E2208">
        <v>199.99</v>
      </c>
      <c r="F2208" t="s">
        <v>5817</v>
      </c>
      <c r="G2208">
        <v>12</v>
      </c>
      <c r="I2208">
        <v>12</v>
      </c>
      <c r="L2208" t="s">
        <v>5065</v>
      </c>
      <c r="M2208">
        <v>0</v>
      </c>
      <c r="N2208">
        <v>0</v>
      </c>
      <c r="P2208">
        <v>0</v>
      </c>
    </row>
    <row r="2209" spans="1:16" x14ac:dyDescent="0.2">
      <c r="A2209" t="s">
        <v>5138</v>
      </c>
      <c r="B2209" t="s">
        <v>5139</v>
      </c>
      <c r="C2209" t="s">
        <v>3929</v>
      </c>
      <c r="D2209" t="s">
        <v>98</v>
      </c>
      <c r="E2209">
        <v>129.99</v>
      </c>
      <c r="F2209" t="s">
        <v>5817</v>
      </c>
      <c r="L2209" t="s">
        <v>5065</v>
      </c>
      <c r="M2209">
        <v>0</v>
      </c>
      <c r="N2209">
        <v>0</v>
      </c>
      <c r="P2209">
        <v>0</v>
      </c>
    </row>
    <row r="2210" spans="1:16" x14ac:dyDescent="0.2">
      <c r="A2210" t="s">
        <v>4012</v>
      </c>
      <c r="B2210" t="s">
        <v>4013</v>
      </c>
      <c r="C2210" t="s">
        <v>3929</v>
      </c>
      <c r="D2210" t="s">
        <v>98</v>
      </c>
      <c r="E2210">
        <v>79.989999999999995</v>
      </c>
      <c r="F2210" t="s">
        <v>5817</v>
      </c>
      <c r="L2210" t="s">
        <v>5065</v>
      </c>
      <c r="M2210">
        <v>0</v>
      </c>
      <c r="N2210">
        <v>0</v>
      </c>
      <c r="P2210">
        <v>0</v>
      </c>
    </row>
    <row r="2211" spans="1:16" x14ac:dyDescent="0.2">
      <c r="A2211" t="s">
        <v>5081</v>
      </c>
      <c r="B2211" t="s">
        <v>5082</v>
      </c>
      <c r="C2211" t="s">
        <v>3929</v>
      </c>
      <c r="D2211" t="s">
        <v>138</v>
      </c>
      <c r="E2211">
        <v>59.99</v>
      </c>
      <c r="F2211" t="s">
        <v>5817</v>
      </c>
      <c r="L2211" t="s">
        <v>5065</v>
      </c>
      <c r="N2211">
        <v>0</v>
      </c>
      <c r="O2211">
        <v>0.18181818181818182</v>
      </c>
      <c r="P2211">
        <v>3</v>
      </c>
    </row>
    <row r="2212" spans="1:16" x14ac:dyDescent="0.2">
      <c r="A2212" t="s">
        <v>4038</v>
      </c>
      <c r="B2212" t="s">
        <v>4039</v>
      </c>
      <c r="C2212" t="s">
        <v>3929</v>
      </c>
      <c r="D2212" t="s">
        <v>98</v>
      </c>
      <c r="E2212">
        <v>219.99</v>
      </c>
      <c r="F2212" t="s">
        <v>5817</v>
      </c>
      <c r="L2212" t="s">
        <v>5065</v>
      </c>
      <c r="M2212">
        <v>0</v>
      </c>
      <c r="N2212">
        <v>0</v>
      </c>
      <c r="P2212">
        <v>0</v>
      </c>
    </row>
    <row r="2213" spans="1:16" x14ac:dyDescent="0.2">
      <c r="A2213" t="s">
        <v>5108</v>
      </c>
      <c r="B2213" t="s">
        <v>5109</v>
      </c>
      <c r="C2213" t="s">
        <v>3929</v>
      </c>
      <c r="D2213" t="s">
        <v>98</v>
      </c>
      <c r="E2213">
        <v>89.99</v>
      </c>
      <c r="F2213" t="s">
        <v>5817</v>
      </c>
      <c r="L2213" t="s">
        <v>5065</v>
      </c>
      <c r="M2213">
        <v>0</v>
      </c>
      <c r="N2213">
        <v>0</v>
      </c>
      <c r="P2213">
        <v>0</v>
      </c>
    </row>
    <row r="2214" spans="1:16" x14ac:dyDescent="0.2">
      <c r="A2214" t="s">
        <v>5106</v>
      </c>
      <c r="B2214" t="s">
        <v>5107</v>
      </c>
      <c r="C2214" t="s">
        <v>3929</v>
      </c>
      <c r="D2214" t="s">
        <v>138</v>
      </c>
      <c r="E2214">
        <v>89.99</v>
      </c>
      <c r="F2214" t="s">
        <v>5817</v>
      </c>
      <c r="G2214">
        <v>29</v>
      </c>
      <c r="I2214">
        <v>29</v>
      </c>
      <c r="L2214" t="s">
        <v>5065</v>
      </c>
      <c r="M2214">
        <v>0</v>
      </c>
      <c r="N2214">
        <v>0</v>
      </c>
      <c r="O2214">
        <v>0</v>
      </c>
      <c r="P2214">
        <v>0</v>
      </c>
    </row>
    <row r="2215" spans="1:16" x14ac:dyDescent="0.2">
      <c r="A2215" t="s">
        <v>4040</v>
      </c>
      <c r="B2215" t="s">
        <v>4041</v>
      </c>
      <c r="C2215" t="s">
        <v>3929</v>
      </c>
      <c r="D2215" t="s">
        <v>105</v>
      </c>
      <c r="E2215">
        <v>89.99</v>
      </c>
      <c r="F2215" t="s">
        <v>5817</v>
      </c>
      <c r="G2215">
        <v>36</v>
      </c>
      <c r="I2215">
        <v>36</v>
      </c>
      <c r="L2215" t="s">
        <v>5065</v>
      </c>
      <c r="M2215">
        <v>0</v>
      </c>
      <c r="N2215">
        <v>0</v>
      </c>
      <c r="P2215">
        <v>0</v>
      </c>
    </row>
    <row r="2216" spans="1:16" x14ac:dyDescent="0.2">
      <c r="A2216" t="s">
        <v>5294</v>
      </c>
      <c r="B2216" t="s">
        <v>5295</v>
      </c>
      <c r="C2216" t="s">
        <v>3929</v>
      </c>
      <c r="D2216" t="s">
        <v>138</v>
      </c>
      <c r="E2216">
        <v>89.99</v>
      </c>
      <c r="F2216" t="s">
        <v>5817</v>
      </c>
      <c r="G2216">
        <v>3</v>
      </c>
      <c r="I2216">
        <v>3</v>
      </c>
      <c r="L2216" t="s">
        <v>5065</v>
      </c>
      <c r="M2216">
        <v>0</v>
      </c>
      <c r="N2216">
        <v>0</v>
      </c>
      <c r="P2216">
        <v>0</v>
      </c>
    </row>
    <row r="2217" spans="1:16" x14ac:dyDescent="0.2">
      <c r="A2217" t="s">
        <v>5278</v>
      </c>
      <c r="B2217" t="s">
        <v>5279</v>
      </c>
      <c r="C2217" t="s">
        <v>3929</v>
      </c>
      <c r="D2217" t="s">
        <v>98</v>
      </c>
      <c r="E2217">
        <v>29.99</v>
      </c>
      <c r="F2217" t="s">
        <v>5817</v>
      </c>
      <c r="L2217" t="s">
        <v>5065</v>
      </c>
      <c r="M2217">
        <v>0</v>
      </c>
      <c r="N2217">
        <v>0</v>
      </c>
      <c r="P2217">
        <v>0</v>
      </c>
    </row>
    <row r="2218" spans="1:16" x14ac:dyDescent="0.2">
      <c r="A2218" t="s">
        <v>5090</v>
      </c>
      <c r="B2218" t="s">
        <v>5091</v>
      </c>
      <c r="C2218" t="s">
        <v>3929</v>
      </c>
      <c r="D2218" t="s">
        <v>105</v>
      </c>
      <c r="E2218">
        <v>39.99</v>
      </c>
      <c r="F2218" t="s">
        <v>5817</v>
      </c>
      <c r="G2218">
        <v>61</v>
      </c>
      <c r="I2218">
        <v>61</v>
      </c>
      <c r="L2218" t="s">
        <v>5065</v>
      </c>
      <c r="M2218">
        <v>0</v>
      </c>
      <c r="N2218">
        <v>0</v>
      </c>
      <c r="P2218">
        <v>0</v>
      </c>
    </row>
    <row r="2219" spans="1:16" x14ac:dyDescent="0.2">
      <c r="A2219" t="s">
        <v>5098</v>
      </c>
      <c r="B2219" t="s">
        <v>5099</v>
      </c>
      <c r="C2219" t="s">
        <v>3929</v>
      </c>
      <c r="D2219" t="s">
        <v>105</v>
      </c>
      <c r="E2219">
        <v>39.99</v>
      </c>
      <c r="F2219" t="s">
        <v>5817</v>
      </c>
      <c r="G2219">
        <v>17</v>
      </c>
      <c r="I2219">
        <v>17</v>
      </c>
      <c r="L2219" t="s">
        <v>5065</v>
      </c>
      <c r="M2219">
        <v>0</v>
      </c>
      <c r="N2219">
        <v>0</v>
      </c>
      <c r="P2219">
        <v>0</v>
      </c>
    </row>
    <row r="2220" spans="1:16" x14ac:dyDescent="0.2">
      <c r="A2220" t="s">
        <v>4004</v>
      </c>
      <c r="B2220" t="s">
        <v>4005</v>
      </c>
      <c r="C2220" t="s">
        <v>3929</v>
      </c>
      <c r="D2220" t="s">
        <v>105</v>
      </c>
      <c r="E2220">
        <v>64.989999999999995</v>
      </c>
      <c r="F2220" t="s">
        <v>5817</v>
      </c>
      <c r="G2220">
        <v>2</v>
      </c>
      <c r="I2220">
        <v>2</v>
      </c>
      <c r="L2220" t="s">
        <v>5065</v>
      </c>
      <c r="M2220">
        <v>0</v>
      </c>
      <c r="N2220">
        <v>0</v>
      </c>
      <c r="P2220">
        <v>0</v>
      </c>
    </row>
    <row r="2221" spans="1:16" x14ac:dyDescent="0.2">
      <c r="A2221" t="s">
        <v>4006</v>
      </c>
      <c r="B2221" t="s">
        <v>4007</v>
      </c>
      <c r="C2221" t="s">
        <v>3929</v>
      </c>
      <c r="D2221" t="s">
        <v>105</v>
      </c>
      <c r="E2221">
        <v>64.989999999999995</v>
      </c>
      <c r="F2221" t="s">
        <v>5817</v>
      </c>
      <c r="G2221">
        <v>35</v>
      </c>
      <c r="H2221" t="s">
        <v>5849</v>
      </c>
      <c r="I2221">
        <v>22</v>
      </c>
      <c r="K2221">
        <v>40</v>
      </c>
      <c r="L2221" t="s">
        <v>5065</v>
      </c>
      <c r="M2221">
        <v>0</v>
      </c>
      <c r="N2221">
        <v>0</v>
      </c>
      <c r="P2221">
        <v>0</v>
      </c>
    </row>
    <row r="2222" spans="1:16" x14ac:dyDescent="0.2">
      <c r="A2222" t="s">
        <v>5126</v>
      </c>
      <c r="B2222" t="s">
        <v>5127</v>
      </c>
      <c r="C2222" t="s">
        <v>3929</v>
      </c>
      <c r="D2222" t="s">
        <v>105</v>
      </c>
      <c r="E2222">
        <v>129.99</v>
      </c>
      <c r="F2222" t="s">
        <v>5817</v>
      </c>
      <c r="G2222">
        <v>28</v>
      </c>
      <c r="I2222">
        <v>28</v>
      </c>
      <c r="L2222" t="s">
        <v>5065</v>
      </c>
      <c r="N2222">
        <v>0</v>
      </c>
      <c r="O2222">
        <v>9.0909090909090912E-2</v>
      </c>
      <c r="P2222">
        <v>1</v>
      </c>
    </row>
    <row r="2223" spans="1:16" x14ac:dyDescent="0.2">
      <c r="A2223" t="s">
        <v>5270</v>
      </c>
      <c r="B2223" t="s">
        <v>5271</v>
      </c>
      <c r="C2223" t="s">
        <v>3929</v>
      </c>
      <c r="D2223" t="s">
        <v>138</v>
      </c>
      <c r="E2223">
        <v>219.99</v>
      </c>
      <c r="F2223" t="s">
        <v>5817</v>
      </c>
      <c r="G2223">
        <v>3</v>
      </c>
      <c r="I2223">
        <v>3</v>
      </c>
      <c r="L2223" t="s">
        <v>5065</v>
      </c>
      <c r="M2223">
        <v>0</v>
      </c>
      <c r="N2223">
        <v>0</v>
      </c>
      <c r="P2223">
        <v>0</v>
      </c>
    </row>
    <row r="2224" spans="1:16" x14ac:dyDescent="0.2">
      <c r="A2224" t="s">
        <v>4042</v>
      </c>
      <c r="B2224" t="s">
        <v>4043</v>
      </c>
      <c r="C2224" t="s">
        <v>3929</v>
      </c>
      <c r="D2224" t="s">
        <v>105</v>
      </c>
      <c r="E2224">
        <v>109.99</v>
      </c>
      <c r="F2224" t="s">
        <v>5817</v>
      </c>
      <c r="G2224">
        <v>40</v>
      </c>
      <c r="I2224">
        <v>40</v>
      </c>
      <c r="L2224" t="s">
        <v>5065</v>
      </c>
      <c r="M2224">
        <v>0</v>
      </c>
      <c r="N2224">
        <v>0</v>
      </c>
      <c r="P2224">
        <v>0</v>
      </c>
    </row>
    <row r="2225" spans="1:16" x14ac:dyDescent="0.2">
      <c r="A2225" t="s">
        <v>4073</v>
      </c>
      <c r="B2225" t="s">
        <v>4074</v>
      </c>
      <c r="C2225" t="s">
        <v>3929</v>
      </c>
      <c r="D2225" t="s">
        <v>105</v>
      </c>
      <c r="E2225">
        <v>69.989999999999995</v>
      </c>
      <c r="F2225" t="s">
        <v>5817</v>
      </c>
      <c r="G2225">
        <v>35</v>
      </c>
      <c r="I2225">
        <v>35</v>
      </c>
      <c r="L2225" t="s">
        <v>5065</v>
      </c>
      <c r="M2225">
        <v>0</v>
      </c>
      <c r="N2225">
        <v>0</v>
      </c>
      <c r="P2225">
        <v>0</v>
      </c>
    </row>
    <row r="2226" spans="1:16" x14ac:dyDescent="0.2">
      <c r="A2226" t="s">
        <v>4075</v>
      </c>
      <c r="B2226" t="s">
        <v>4076</v>
      </c>
      <c r="C2226" t="s">
        <v>3929</v>
      </c>
      <c r="D2226" t="s">
        <v>105</v>
      </c>
      <c r="E2226">
        <v>64.989999999999995</v>
      </c>
      <c r="F2226" t="s">
        <v>5817</v>
      </c>
      <c r="G2226">
        <v>93</v>
      </c>
      <c r="H2226" t="s">
        <v>5823</v>
      </c>
      <c r="I2226">
        <v>92</v>
      </c>
      <c r="L2226" t="s">
        <v>5065</v>
      </c>
      <c r="M2226">
        <v>0</v>
      </c>
      <c r="N2226">
        <v>0</v>
      </c>
      <c r="O2226">
        <v>0.1111111111111111</v>
      </c>
      <c r="P2226">
        <v>0</v>
      </c>
    </row>
    <row r="2227" spans="1:16" x14ac:dyDescent="0.2">
      <c r="A2227" t="s">
        <v>5552</v>
      </c>
      <c r="B2227" t="s">
        <v>5553</v>
      </c>
      <c r="C2227" t="s">
        <v>3929</v>
      </c>
      <c r="D2227" t="s">
        <v>98</v>
      </c>
      <c r="E2227">
        <v>44.99</v>
      </c>
      <c r="F2227" t="s">
        <v>5817</v>
      </c>
      <c r="L2227" t="s">
        <v>5065</v>
      </c>
      <c r="M2227">
        <v>0</v>
      </c>
      <c r="N2227">
        <v>0</v>
      </c>
      <c r="P2227">
        <v>0</v>
      </c>
    </row>
    <row r="2228" spans="1:16" x14ac:dyDescent="0.2">
      <c r="A2228" t="s">
        <v>5083</v>
      </c>
      <c r="B2228" t="s">
        <v>5084</v>
      </c>
      <c r="C2228" t="s">
        <v>3929</v>
      </c>
      <c r="D2228" t="s">
        <v>105</v>
      </c>
      <c r="E2228">
        <v>64.989999999999995</v>
      </c>
      <c r="F2228" t="s">
        <v>5817</v>
      </c>
      <c r="G2228">
        <v>71</v>
      </c>
      <c r="I2228">
        <v>71</v>
      </c>
      <c r="L2228" t="s">
        <v>5065</v>
      </c>
      <c r="M2228">
        <v>2</v>
      </c>
      <c r="N2228">
        <v>16.5</v>
      </c>
      <c r="O2228">
        <v>0.41666666666666674</v>
      </c>
      <c r="P2228">
        <v>33</v>
      </c>
    </row>
    <row r="2229" spans="1:16" x14ac:dyDescent="0.2">
      <c r="A2229" t="s">
        <v>5075</v>
      </c>
      <c r="B2229" t="s">
        <v>5076</v>
      </c>
      <c r="C2229" t="s">
        <v>3929</v>
      </c>
      <c r="D2229" t="s">
        <v>98</v>
      </c>
      <c r="E2229">
        <v>74.989999999999995</v>
      </c>
      <c r="F2229" t="s">
        <v>5817</v>
      </c>
      <c r="L2229" t="s">
        <v>5065</v>
      </c>
      <c r="M2229">
        <v>0</v>
      </c>
      <c r="N2229">
        <v>0</v>
      </c>
      <c r="O2229">
        <v>0</v>
      </c>
      <c r="P2229">
        <v>0</v>
      </c>
    </row>
    <row r="2230" spans="1:16" x14ac:dyDescent="0.2">
      <c r="A2230" t="s">
        <v>4044</v>
      </c>
      <c r="B2230" t="s">
        <v>4045</v>
      </c>
      <c r="C2230" t="s">
        <v>3929</v>
      </c>
      <c r="D2230" t="s">
        <v>105</v>
      </c>
      <c r="E2230">
        <v>129.99</v>
      </c>
      <c r="F2230" t="s">
        <v>5817</v>
      </c>
      <c r="J2230">
        <v>2</v>
      </c>
      <c r="K2230">
        <v>40</v>
      </c>
      <c r="L2230" t="s">
        <v>5065</v>
      </c>
      <c r="M2230">
        <v>0</v>
      </c>
      <c r="N2230">
        <v>0</v>
      </c>
      <c r="O2230">
        <v>0</v>
      </c>
      <c r="P2230">
        <v>0</v>
      </c>
    </row>
    <row r="2231" spans="1:16" x14ac:dyDescent="0.2">
      <c r="A2231" t="s">
        <v>5290</v>
      </c>
      <c r="B2231" t="s">
        <v>5291</v>
      </c>
      <c r="C2231" t="s">
        <v>3929</v>
      </c>
      <c r="D2231" t="s">
        <v>98</v>
      </c>
      <c r="E2231">
        <v>89.99</v>
      </c>
      <c r="F2231" t="s">
        <v>5817</v>
      </c>
      <c r="L2231" t="s">
        <v>5065</v>
      </c>
      <c r="M2231">
        <v>0</v>
      </c>
      <c r="N2231">
        <v>0</v>
      </c>
      <c r="P2231">
        <v>0</v>
      </c>
    </row>
    <row r="2232" spans="1:16" x14ac:dyDescent="0.2">
      <c r="A2232" t="s">
        <v>4046</v>
      </c>
      <c r="B2232" t="s">
        <v>4047</v>
      </c>
      <c r="C2232" t="s">
        <v>3929</v>
      </c>
      <c r="D2232" t="s">
        <v>105</v>
      </c>
      <c r="E2232">
        <v>89.99</v>
      </c>
      <c r="F2232" t="s">
        <v>5817</v>
      </c>
      <c r="G2232">
        <v>2</v>
      </c>
      <c r="I2232">
        <v>2</v>
      </c>
      <c r="L2232" t="s">
        <v>5065</v>
      </c>
      <c r="M2232">
        <v>0</v>
      </c>
      <c r="N2232">
        <v>0</v>
      </c>
      <c r="P2232">
        <v>0</v>
      </c>
    </row>
    <row r="2233" spans="1:16" x14ac:dyDescent="0.2">
      <c r="A2233" t="s">
        <v>4071</v>
      </c>
      <c r="B2233" t="s">
        <v>4072</v>
      </c>
      <c r="C2233" t="s">
        <v>3929</v>
      </c>
      <c r="D2233" t="s">
        <v>98</v>
      </c>
      <c r="E2233">
        <v>199.99</v>
      </c>
      <c r="F2233" t="s">
        <v>5817</v>
      </c>
      <c r="L2233" t="s">
        <v>5065</v>
      </c>
      <c r="M2233">
        <v>0</v>
      </c>
      <c r="N2233">
        <v>0</v>
      </c>
      <c r="O2233">
        <v>4</v>
      </c>
      <c r="P2233">
        <v>0</v>
      </c>
    </row>
    <row r="2234" spans="1:16" x14ac:dyDescent="0.2">
      <c r="A2234" t="s">
        <v>4051</v>
      </c>
      <c r="B2234" t="s">
        <v>4052</v>
      </c>
      <c r="C2234" t="s">
        <v>3929</v>
      </c>
      <c r="D2234" t="s">
        <v>105</v>
      </c>
      <c r="E2234">
        <v>129.99</v>
      </c>
      <c r="F2234" t="s">
        <v>5817</v>
      </c>
      <c r="G2234">
        <v>40</v>
      </c>
      <c r="I2234">
        <v>40</v>
      </c>
      <c r="K2234">
        <v>20</v>
      </c>
      <c r="L2234" t="s">
        <v>5065</v>
      </c>
      <c r="M2234">
        <v>0</v>
      </c>
      <c r="N2234">
        <v>0</v>
      </c>
      <c r="O2234">
        <v>0.18181818181818182</v>
      </c>
      <c r="P2234">
        <v>0</v>
      </c>
    </row>
    <row r="2235" spans="1:16" x14ac:dyDescent="0.2">
      <c r="A2235" t="s">
        <v>4053</v>
      </c>
      <c r="B2235" t="s">
        <v>4054</v>
      </c>
      <c r="C2235" t="s">
        <v>3929</v>
      </c>
      <c r="D2235" t="s">
        <v>105</v>
      </c>
      <c r="E2235">
        <v>149.99</v>
      </c>
      <c r="F2235" t="s">
        <v>5817</v>
      </c>
      <c r="G2235">
        <v>11</v>
      </c>
      <c r="I2235">
        <v>11</v>
      </c>
      <c r="L2235" t="s">
        <v>5065</v>
      </c>
      <c r="M2235">
        <v>0</v>
      </c>
      <c r="N2235">
        <v>0</v>
      </c>
      <c r="O2235">
        <v>0</v>
      </c>
      <c r="P2235">
        <v>0</v>
      </c>
    </row>
    <row r="2236" spans="1:16" x14ac:dyDescent="0.2">
      <c r="A2236" t="s">
        <v>4055</v>
      </c>
      <c r="B2236" t="s">
        <v>4056</v>
      </c>
      <c r="C2236" t="s">
        <v>3929</v>
      </c>
      <c r="D2236" t="s">
        <v>105</v>
      </c>
      <c r="E2236">
        <v>159.99</v>
      </c>
      <c r="F2236" t="s">
        <v>5817</v>
      </c>
      <c r="G2236">
        <v>9</v>
      </c>
      <c r="I2236">
        <v>9</v>
      </c>
      <c r="L2236" t="s">
        <v>5065</v>
      </c>
      <c r="M2236">
        <v>0</v>
      </c>
      <c r="N2236">
        <v>0</v>
      </c>
      <c r="O2236">
        <v>0.16666666666666663</v>
      </c>
      <c r="P2236">
        <v>0</v>
      </c>
    </row>
    <row r="2237" spans="1:16" x14ac:dyDescent="0.2">
      <c r="A2237" t="s">
        <v>5112</v>
      </c>
      <c r="B2237" t="s">
        <v>5113</v>
      </c>
      <c r="C2237" t="s">
        <v>3929</v>
      </c>
      <c r="D2237" t="s">
        <v>105</v>
      </c>
      <c r="E2237">
        <v>39.99</v>
      </c>
      <c r="F2237" t="s">
        <v>5817</v>
      </c>
      <c r="G2237">
        <v>20</v>
      </c>
      <c r="H2237" t="s">
        <v>5832</v>
      </c>
      <c r="I2237">
        <v>10</v>
      </c>
      <c r="L2237" t="s">
        <v>5065</v>
      </c>
      <c r="M2237">
        <v>0</v>
      </c>
      <c r="N2237">
        <v>0</v>
      </c>
      <c r="P2237">
        <v>0</v>
      </c>
    </row>
    <row r="2238" spans="1:16" x14ac:dyDescent="0.2">
      <c r="A2238" t="s">
        <v>5321</v>
      </c>
      <c r="B2238" t="s">
        <v>5322</v>
      </c>
      <c r="C2238" t="s">
        <v>3929</v>
      </c>
      <c r="D2238" t="s">
        <v>98</v>
      </c>
      <c r="E2238">
        <v>69.989999999999995</v>
      </c>
      <c r="F2238" t="s">
        <v>5817</v>
      </c>
      <c r="L2238" t="s">
        <v>5065</v>
      </c>
      <c r="M2238">
        <v>0</v>
      </c>
      <c r="N2238">
        <v>0</v>
      </c>
      <c r="P2238">
        <v>0</v>
      </c>
    </row>
    <row r="2239" spans="1:16" x14ac:dyDescent="0.2">
      <c r="A2239" t="s">
        <v>5325</v>
      </c>
      <c r="B2239" t="s">
        <v>5326</v>
      </c>
      <c r="C2239" t="s">
        <v>3929</v>
      </c>
      <c r="D2239" t="s">
        <v>105</v>
      </c>
      <c r="E2239">
        <v>69.989999999999995</v>
      </c>
      <c r="F2239" t="s">
        <v>5817</v>
      </c>
      <c r="J2239">
        <v>1</v>
      </c>
      <c r="L2239" t="s">
        <v>5065</v>
      </c>
      <c r="M2239">
        <v>0</v>
      </c>
      <c r="N2239">
        <v>0</v>
      </c>
      <c r="P2239">
        <v>0</v>
      </c>
    </row>
    <row r="2240" spans="1:16" x14ac:dyDescent="0.2">
      <c r="A2240" t="s">
        <v>5317</v>
      </c>
      <c r="B2240" t="s">
        <v>5318</v>
      </c>
      <c r="C2240" t="s">
        <v>3929</v>
      </c>
      <c r="D2240" t="s">
        <v>98</v>
      </c>
      <c r="E2240">
        <v>69.989999999999995</v>
      </c>
      <c r="F2240" t="s">
        <v>5817</v>
      </c>
      <c r="L2240" t="s">
        <v>5065</v>
      </c>
      <c r="M2240">
        <v>0</v>
      </c>
      <c r="N2240">
        <v>0</v>
      </c>
      <c r="O2240">
        <v>2</v>
      </c>
      <c r="P2240">
        <v>0</v>
      </c>
    </row>
    <row r="2241" spans="1:16" x14ac:dyDescent="0.2">
      <c r="A2241" t="s">
        <v>5343</v>
      </c>
      <c r="B2241" t="s">
        <v>5344</v>
      </c>
      <c r="C2241" t="s">
        <v>3929</v>
      </c>
      <c r="D2241" t="s">
        <v>98</v>
      </c>
      <c r="E2241">
        <v>69.989999999999995</v>
      </c>
      <c r="F2241" t="s">
        <v>5817</v>
      </c>
      <c r="L2241" t="s">
        <v>5065</v>
      </c>
      <c r="M2241">
        <v>0</v>
      </c>
      <c r="N2241">
        <v>0</v>
      </c>
      <c r="P2241">
        <v>0</v>
      </c>
    </row>
    <row r="2242" spans="1:16" x14ac:dyDescent="0.2">
      <c r="A2242" t="s">
        <v>3990</v>
      </c>
      <c r="B2242" t="s">
        <v>3991</v>
      </c>
      <c r="C2242" t="s">
        <v>3929</v>
      </c>
      <c r="D2242" t="s">
        <v>105</v>
      </c>
      <c r="E2242">
        <v>129.99</v>
      </c>
      <c r="F2242" t="s">
        <v>5817</v>
      </c>
      <c r="G2242">
        <v>71</v>
      </c>
      <c r="I2242">
        <v>71</v>
      </c>
      <c r="K2242">
        <v>40</v>
      </c>
      <c r="L2242" t="s">
        <v>5065</v>
      </c>
      <c r="M2242">
        <v>0</v>
      </c>
      <c r="N2242">
        <v>0</v>
      </c>
      <c r="P2242">
        <v>0</v>
      </c>
    </row>
    <row r="2243" spans="1:16" x14ac:dyDescent="0.2">
      <c r="A2243" t="s">
        <v>5341</v>
      </c>
      <c r="B2243" t="s">
        <v>5342</v>
      </c>
      <c r="C2243" t="s">
        <v>3929</v>
      </c>
      <c r="D2243" t="s">
        <v>98</v>
      </c>
      <c r="E2243">
        <v>69.989999999999995</v>
      </c>
      <c r="F2243" t="s">
        <v>5817</v>
      </c>
      <c r="L2243" t="s">
        <v>5065</v>
      </c>
      <c r="M2243">
        <v>0</v>
      </c>
      <c r="N2243">
        <v>0</v>
      </c>
      <c r="P2243">
        <v>0</v>
      </c>
    </row>
    <row r="2244" spans="1:16" x14ac:dyDescent="0.2">
      <c r="A2244" t="s">
        <v>5333</v>
      </c>
      <c r="B2244" t="s">
        <v>5334</v>
      </c>
      <c r="C2244" t="s">
        <v>3929</v>
      </c>
      <c r="D2244" t="s">
        <v>105</v>
      </c>
      <c r="E2244">
        <v>69.989999999999995</v>
      </c>
      <c r="F2244" t="s">
        <v>5817</v>
      </c>
      <c r="G2244">
        <v>41</v>
      </c>
      <c r="I2244">
        <v>41</v>
      </c>
      <c r="L2244" t="s">
        <v>5065</v>
      </c>
      <c r="M2244">
        <v>0</v>
      </c>
      <c r="N2244">
        <v>0</v>
      </c>
      <c r="P2244">
        <v>0</v>
      </c>
    </row>
    <row r="2245" spans="1:16" x14ac:dyDescent="0.2">
      <c r="A2245" t="s">
        <v>5317</v>
      </c>
      <c r="B2245" t="s">
        <v>5318</v>
      </c>
      <c r="C2245" t="s">
        <v>3929</v>
      </c>
      <c r="D2245" t="s">
        <v>98</v>
      </c>
      <c r="E2245">
        <v>69.989999999999995</v>
      </c>
      <c r="F2245" t="s">
        <v>5817</v>
      </c>
      <c r="L2245" t="s">
        <v>8</v>
      </c>
      <c r="M2245">
        <v>0</v>
      </c>
      <c r="N2245">
        <v>0</v>
      </c>
      <c r="O2245">
        <v>0</v>
      </c>
      <c r="P2245">
        <v>0</v>
      </c>
    </row>
    <row r="2246" spans="1:16" x14ac:dyDescent="0.2">
      <c r="A2246" t="s">
        <v>5321</v>
      </c>
      <c r="B2246" t="s">
        <v>5322</v>
      </c>
      <c r="C2246" t="s">
        <v>3929</v>
      </c>
      <c r="D2246" t="s">
        <v>98</v>
      </c>
      <c r="E2246">
        <v>69.989999999999995</v>
      </c>
      <c r="F2246" t="s">
        <v>5817</v>
      </c>
      <c r="L2246" t="s">
        <v>8</v>
      </c>
      <c r="M2246">
        <v>0</v>
      </c>
      <c r="N2246">
        <v>0</v>
      </c>
      <c r="O2246">
        <v>0</v>
      </c>
      <c r="P2246">
        <v>0</v>
      </c>
    </row>
    <row r="2247" spans="1:16" x14ac:dyDescent="0.2">
      <c r="A2247" t="s">
        <v>5343</v>
      </c>
      <c r="B2247" t="s">
        <v>5344</v>
      </c>
      <c r="C2247" t="s">
        <v>3929</v>
      </c>
      <c r="D2247" t="s">
        <v>98</v>
      </c>
      <c r="E2247">
        <v>69.989999999999995</v>
      </c>
      <c r="F2247" t="s">
        <v>5817</v>
      </c>
      <c r="L2247" t="s">
        <v>8</v>
      </c>
      <c r="M2247">
        <v>0</v>
      </c>
      <c r="N2247">
        <v>0</v>
      </c>
      <c r="O2247">
        <v>0</v>
      </c>
      <c r="P2247">
        <v>0</v>
      </c>
    </row>
    <row r="2248" spans="1:16" x14ac:dyDescent="0.2">
      <c r="A2248" t="s">
        <v>5112</v>
      </c>
      <c r="B2248" t="s">
        <v>5113</v>
      </c>
      <c r="C2248" t="s">
        <v>3929</v>
      </c>
      <c r="D2248" t="s">
        <v>105</v>
      </c>
      <c r="E2248">
        <v>39.99</v>
      </c>
      <c r="F2248" t="s">
        <v>5817</v>
      </c>
      <c r="G2248">
        <v>20</v>
      </c>
      <c r="H2248" t="s">
        <v>5832</v>
      </c>
      <c r="I2248">
        <v>10</v>
      </c>
      <c r="L2248" t="s">
        <v>8</v>
      </c>
      <c r="M2248">
        <v>2.6</v>
      </c>
      <c r="N2248">
        <v>16.923076923076923</v>
      </c>
      <c r="O2248">
        <v>1.4166666666666665</v>
      </c>
      <c r="P2248">
        <v>44</v>
      </c>
    </row>
    <row r="2249" spans="1:16" x14ac:dyDescent="0.2">
      <c r="A2249" t="s">
        <v>5325</v>
      </c>
      <c r="B2249" t="s">
        <v>5326</v>
      </c>
      <c r="C2249" t="s">
        <v>3929</v>
      </c>
      <c r="D2249" t="s">
        <v>105</v>
      </c>
      <c r="E2249">
        <v>69.989999999999995</v>
      </c>
      <c r="F2249" t="s">
        <v>5817</v>
      </c>
      <c r="J2249">
        <v>1</v>
      </c>
      <c r="L2249" t="s">
        <v>8</v>
      </c>
      <c r="M2249">
        <v>0</v>
      </c>
      <c r="N2249">
        <v>0</v>
      </c>
      <c r="O2249">
        <v>0</v>
      </c>
      <c r="P2249">
        <v>0</v>
      </c>
    </row>
    <row r="2250" spans="1:16" x14ac:dyDescent="0.2">
      <c r="A2250" t="s">
        <v>5090</v>
      </c>
      <c r="B2250" t="s">
        <v>5091</v>
      </c>
      <c r="C2250" t="s">
        <v>3929</v>
      </c>
      <c r="D2250" t="s">
        <v>105</v>
      </c>
      <c r="E2250">
        <v>39.99</v>
      </c>
      <c r="F2250" t="s">
        <v>5817</v>
      </c>
      <c r="G2250">
        <v>61</v>
      </c>
      <c r="I2250">
        <v>61</v>
      </c>
      <c r="L2250" t="s">
        <v>8</v>
      </c>
      <c r="M2250">
        <v>0</v>
      </c>
      <c r="N2250">
        <v>0</v>
      </c>
      <c r="O2250">
        <v>0</v>
      </c>
      <c r="P2250">
        <v>0</v>
      </c>
    </row>
    <row r="2251" spans="1:16" x14ac:dyDescent="0.2">
      <c r="A2251" t="s">
        <v>5098</v>
      </c>
      <c r="B2251" t="s">
        <v>5099</v>
      </c>
      <c r="C2251" t="s">
        <v>3929</v>
      </c>
      <c r="D2251" t="s">
        <v>105</v>
      </c>
      <c r="E2251">
        <v>39.99</v>
      </c>
      <c r="F2251" t="s">
        <v>5817</v>
      </c>
      <c r="G2251">
        <v>17</v>
      </c>
      <c r="I2251">
        <v>17</v>
      </c>
      <c r="L2251" t="s">
        <v>8</v>
      </c>
      <c r="M2251">
        <v>1.4</v>
      </c>
      <c r="N2251">
        <v>38.571428571428577</v>
      </c>
      <c r="O2251">
        <v>1.3333333333333333</v>
      </c>
      <c r="P2251">
        <v>54</v>
      </c>
    </row>
    <row r="2252" spans="1:16" x14ac:dyDescent="0.2">
      <c r="A2252" t="s">
        <v>4004</v>
      </c>
      <c r="B2252" t="s">
        <v>4005</v>
      </c>
      <c r="C2252" t="s">
        <v>3929</v>
      </c>
      <c r="D2252" t="s">
        <v>105</v>
      </c>
      <c r="E2252">
        <v>64.989999999999995</v>
      </c>
      <c r="F2252" t="s">
        <v>5817</v>
      </c>
      <c r="G2252">
        <v>2</v>
      </c>
      <c r="I2252">
        <v>2</v>
      </c>
      <c r="L2252" t="s">
        <v>8</v>
      </c>
      <c r="M2252">
        <v>0</v>
      </c>
      <c r="N2252">
        <v>0</v>
      </c>
      <c r="O2252">
        <v>0</v>
      </c>
      <c r="P2252">
        <v>0</v>
      </c>
    </row>
    <row r="2253" spans="1:16" x14ac:dyDescent="0.2">
      <c r="A2253" t="s">
        <v>4006</v>
      </c>
      <c r="B2253" t="s">
        <v>4007</v>
      </c>
      <c r="C2253" t="s">
        <v>3929</v>
      </c>
      <c r="D2253" t="s">
        <v>105</v>
      </c>
      <c r="E2253">
        <v>64.989999999999995</v>
      </c>
      <c r="F2253" t="s">
        <v>5817</v>
      </c>
      <c r="G2253">
        <v>35</v>
      </c>
      <c r="H2253" t="s">
        <v>5849</v>
      </c>
      <c r="I2253">
        <v>22</v>
      </c>
      <c r="K2253">
        <v>40</v>
      </c>
      <c r="L2253" t="s">
        <v>8</v>
      </c>
      <c r="M2253">
        <v>1.75</v>
      </c>
      <c r="N2253">
        <v>25.714285714285715</v>
      </c>
      <c r="O2253">
        <v>1.1666666666666667</v>
      </c>
      <c r="P2253">
        <v>45</v>
      </c>
    </row>
    <row r="2254" spans="1:16" x14ac:dyDescent="0.2">
      <c r="A2254" t="s">
        <v>5126</v>
      </c>
      <c r="B2254" t="s">
        <v>5127</v>
      </c>
      <c r="C2254" t="s">
        <v>3929</v>
      </c>
      <c r="D2254" t="s">
        <v>105</v>
      </c>
      <c r="E2254">
        <v>129.99</v>
      </c>
      <c r="F2254" t="s">
        <v>5817</v>
      </c>
      <c r="G2254">
        <v>28</v>
      </c>
      <c r="I2254">
        <v>28</v>
      </c>
      <c r="L2254" t="s">
        <v>8</v>
      </c>
      <c r="M2254">
        <v>0</v>
      </c>
      <c r="N2254">
        <v>0</v>
      </c>
      <c r="O2254">
        <v>8.3333333333333329E-2</v>
      </c>
      <c r="P2254">
        <v>0</v>
      </c>
    </row>
    <row r="2255" spans="1:16" x14ac:dyDescent="0.2">
      <c r="A2255" t="s">
        <v>5270</v>
      </c>
      <c r="B2255" t="s">
        <v>5271</v>
      </c>
      <c r="C2255" t="s">
        <v>3929</v>
      </c>
      <c r="D2255" t="s">
        <v>138</v>
      </c>
      <c r="E2255">
        <v>219.99</v>
      </c>
      <c r="F2255" t="s">
        <v>5817</v>
      </c>
      <c r="G2255">
        <v>3</v>
      </c>
      <c r="I2255">
        <v>3</v>
      </c>
      <c r="L2255" t="s">
        <v>8</v>
      </c>
      <c r="M2255">
        <v>0</v>
      </c>
      <c r="N2255">
        <v>0</v>
      </c>
      <c r="O2255">
        <v>0</v>
      </c>
      <c r="P2255">
        <v>0</v>
      </c>
    </row>
    <row r="2256" spans="1:16" x14ac:dyDescent="0.2">
      <c r="A2256" t="s">
        <v>3982</v>
      </c>
      <c r="B2256" t="s">
        <v>3983</v>
      </c>
      <c r="C2256" t="s">
        <v>3929</v>
      </c>
      <c r="D2256" t="s">
        <v>98</v>
      </c>
      <c r="E2256">
        <v>109.99</v>
      </c>
      <c r="F2256" t="s">
        <v>5817</v>
      </c>
      <c r="L2256" t="s">
        <v>8</v>
      </c>
      <c r="M2256">
        <v>0</v>
      </c>
      <c r="N2256">
        <v>0</v>
      </c>
      <c r="O2256">
        <v>0</v>
      </c>
      <c r="P2256">
        <v>0</v>
      </c>
    </row>
    <row r="2257" spans="1:16" x14ac:dyDescent="0.2">
      <c r="A2257" t="s">
        <v>5160</v>
      </c>
      <c r="B2257" t="s">
        <v>5161</v>
      </c>
      <c r="C2257" t="s">
        <v>3929</v>
      </c>
      <c r="D2257" t="s">
        <v>98</v>
      </c>
      <c r="E2257">
        <v>109.99</v>
      </c>
      <c r="F2257" t="s">
        <v>5817</v>
      </c>
      <c r="L2257" t="s">
        <v>8</v>
      </c>
      <c r="M2257">
        <v>0</v>
      </c>
      <c r="N2257">
        <v>0</v>
      </c>
      <c r="O2257">
        <v>0</v>
      </c>
      <c r="P2257">
        <v>0</v>
      </c>
    </row>
    <row r="2258" spans="1:16" x14ac:dyDescent="0.2">
      <c r="A2258" t="s">
        <v>3984</v>
      </c>
      <c r="B2258" t="s">
        <v>3985</v>
      </c>
      <c r="C2258" t="s">
        <v>3929</v>
      </c>
      <c r="D2258" t="s">
        <v>98</v>
      </c>
      <c r="E2258">
        <v>84.99</v>
      </c>
      <c r="F2258" t="s">
        <v>5817</v>
      </c>
      <c r="L2258" t="s">
        <v>8</v>
      </c>
      <c r="M2258">
        <v>0</v>
      </c>
      <c r="N2258">
        <v>0</v>
      </c>
      <c r="O2258">
        <v>0</v>
      </c>
      <c r="P2258">
        <v>0</v>
      </c>
    </row>
    <row r="2259" spans="1:16" x14ac:dyDescent="0.2">
      <c r="A2259" t="s">
        <v>3986</v>
      </c>
      <c r="B2259" t="s">
        <v>3987</v>
      </c>
      <c r="C2259" t="s">
        <v>3929</v>
      </c>
      <c r="D2259" t="s">
        <v>98</v>
      </c>
      <c r="E2259">
        <v>84.99</v>
      </c>
      <c r="F2259" t="s">
        <v>5817</v>
      </c>
      <c r="L2259" t="s">
        <v>8</v>
      </c>
      <c r="M2259">
        <v>0</v>
      </c>
      <c r="N2259">
        <v>0</v>
      </c>
      <c r="O2259">
        <v>0</v>
      </c>
      <c r="P2259">
        <v>0</v>
      </c>
    </row>
    <row r="2260" spans="1:16" x14ac:dyDescent="0.2">
      <c r="A2260" t="s">
        <v>3988</v>
      </c>
      <c r="B2260" t="s">
        <v>3989</v>
      </c>
      <c r="C2260" t="s">
        <v>3929</v>
      </c>
      <c r="D2260" t="s">
        <v>105</v>
      </c>
      <c r="E2260">
        <v>59.99</v>
      </c>
      <c r="F2260" t="s">
        <v>5817</v>
      </c>
      <c r="G2260">
        <v>37</v>
      </c>
      <c r="I2260">
        <v>37</v>
      </c>
      <c r="K2260">
        <v>80</v>
      </c>
      <c r="L2260" t="s">
        <v>8</v>
      </c>
      <c r="M2260">
        <v>0</v>
      </c>
      <c r="N2260">
        <v>0</v>
      </c>
      <c r="O2260">
        <v>0</v>
      </c>
      <c r="P2260">
        <v>46</v>
      </c>
    </row>
    <row r="2261" spans="1:16" x14ac:dyDescent="0.2">
      <c r="A2261" t="s">
        <v>5341</v>
      </c>
      <c r="B2261" t="s">
        <v>5342</v>
      </c>
      <c r="C2261" t="s">
        <v>3929</v>
      </c>
      <c r="D2261" t="s">
        <v>98</v>
      </c>
      <c r="E2261">
        <v>69.989999999999995</v>
      </c>
      <c r="F2261" t="s">
        <v>5817</v>
      </c>
      <c r="L2261" t="s">
        <v>8</v>
      </c>
      <c r="M2261">
        <v>0</v>
      </c>
      <c r="N2261">
        <v>0</v>
      </c>
      <c r="O2261">
        <v>0</v>
      </c>
      <c r="P2261">
        <v>0</v>
      </c>
    </row>
    <row r="2262" spans="1:16" x14ac:dyDescent="0.2">
      <c r="A2262" t="s">
        <v>5138</v>
      </c>
      <c r="B2262" t="s">
        <v>5139</v>
      </c>
      <c r="C2262" t="s">
        <v>3929</v>
      </c>
      <c r="D2262" t="s">
        <v>98</v>
      </c>
      <c r="E2262">
        <v>129.99</v>
      </c>
      <c r="F2262" t="s">
        <v>5817</v>
      </c>
      <c r="L2262" t="s">
        <v>8</v>
      </c>
      <c r="M2262">
        <v>0</v>
      </c>
      <c r="N2262">
        <v>0</v>
      </c>
      <c r="O2262">
        <v>0</v>
      </c>
      <c r="P2262">
        <v>0</v>
      </c>
    </row>
    <row r="2263" spans="1:16" x14ac:dyDescent="0.2">
      <c r="A2263" t="s">
        <v>3990</v>
      </c>
      <c r="B2263" t="s">
        <v>3991</v>
      </c>
      <c r="C2263" t="s">
        <v>3929</v>
      </c>
      <c r="D2263" t="s">
        <v>105</v>
      </c>
      <c r="E2263">
        <v>129.99</v>
      </c>
      <c r="F2263" t="s">
        <v>5817</v>
      </c>
      <c r="G2263">
        <v>71</v>
      </c>
      <c r="I2263">
        <v>71</v>
      </c>
      <c r="K2263">
        <v>40</v>
      </c>
      <c r="L2263" t="s">
        <v>8</v>
      </c>
      <c r="M2263">
        <v>2.8333333333333335</v>
      </c>
      <c r="N2263">
        <v>19.411764705882351</v>
      </c>
      <c r="O2263">
        <v>3</v>
      </c>
      <c r="P2263">
        <v>55</v>
      </c>
    </row>
    <row r="2264" spans="1:16" x14ac:dyDescent="0.2">
      <c r="A2264" t="s">
        <v>5333</v>
      </c>
      <c r="B2264" t="s">
        <v>5334</v>
      </c>
      <c r="C2264" t="s">
        <v>3929</v>
      </c>
      <c r="D2264" t="s">
        <v>105</v>
      </c>
      <c r="E2264">
        <v>69.989999999999995</v>
      </c>
      <c r="F2264" t="s">
        <v>5817</v>
      </c>
      <c r="G2264">
        <v>41</v>
      </c>
      <c r="I2264">
        <v>41</v>
      </c>
      <c r="L2264" t="s">
        <v>8</v>
      </c>
      <c r="M2264">
        <v>0</v>
      </c>
      <c r="N2264">
        <v>0</v>
      </c>
      <c r="O2264">
        <v>0</v>
      </c>
      <c r="P2264">
        <v>0</v>
      </c>
    </row>
    <row r="2265" spans="1:16" x14ac:dyDescent="0.2">
      <c r="A2265" t="s">
        <v>5278</v>
      </c>
      <c r="B2265" t="s">
        <v>5279</v>
      </c>
      <c r="C2265" t="s">
        <v>3929</v>
      </c>
      <c r="D2265" t="s">
        <v>98</v>
      </c>
      <c r="E2265">
        <v>29.99</v>
      </c>
      <c r="F2265" t="s">
        <v>5817</v>
      </c>
      <c r="L2265" t="s">
        <v>8</v>
      </c>
      <c r="M2265">
        <v>0</v>
      </c>
      <c r="N2265">
        <v>0</v>
      </c>
      <c r="O2265">
        <v>0</v>
      </c>
      <c r="P2265">
        <v>0</v>
      </c>
    </row>
    <row r="2266" spans="1:16" x14ac:dyDescent="0.2">
      <c r="A2266" t="s">
        <v>4051</v>
      </c>
      <c r="B2266" t="s">
        <v>4052</v>
      </c>
      <c r="C2266" t="s">
        <v>3929</v>
      </c>
      <c r="D2266" t="s">
        <v>105</v>
      </c>
      <c r="E2266">
        <v>129.99</v>
      </c>
      <c r="F2266" t="s">
        <v>5817</v>
      </c>
      <c r="G2266">
        <v>40</v>
      </c>
      <c r="I2266">
        <v>40</v>
      </c>
      <c r="K2266">
        <v>20</v>
      </c>
      <c r="L2266" t="s">
        <v>8</v>
      </c>
      <c r="M2266">
        <v>1.6666666666666665</v>
      </c>
      <c r="N2266">
        <v>0.60000000000000009</v>
      </c>
      <c r="O2266">
        <v>2.75</v>
      </c>
      <c r="P2266">
        <v>1</v>
      </c>
    </row>
    <row r="2267" spans="1:16" x14ac:dyDescent="0.2">
      <c r="A2267" t="s">
        <v>4053</v>
      </c>
      <c r="B2267" t="s">
        <v>4054</v>
      </c>
      <c r="C2267" t="s">
        <v>3929</v>
      </c>
      <c r="D2267" t="s">
        <v>105</v>
      </c>
      <c r="E2267">
        <v>149.99</v>
      </c>
      <c r="F2267" t="s">
        <v>5817</v>
      </c>
      <c r="G2267">
        <v>11</v>
      </c>
      <c r="I2267">
        <v>11</v>
      </c>
      <c r="L2267" t="s">
        <v>8</v>
      </c>
      <c r="M2267">
        <v>0</v>
      </c>
      <c r="N2267">
        <v>0</v>
      </c>
      <c r="O2267">
        <v>0</v>
      </c>
      <c r="P2267">
        <v>0</v>
      </c>
    </row>
    <row r="2268" spans="1:16" x14ac:dyDescent="0.2">
      <c r="A2268" t="s">
        <v>4055</v>
      </c>
      <c r="B2268" t="s">
        <v>4056</v>
      </c>
      <c r="C2268" t="s">
        <v>3929</v>
      </c>
      <c r="D2268" t="s">
        <v>105</v>
      </c>
      <c r="E2268">
        <v>159.99</v>
      </c>
      <c r="F2268" t="s">
        <v>5817</v>
      </c>
      <c r="G2268">
        <v>9</v>
      </c>
      <c r="I2268">
        <v>9</v>
      </c>
      <c r="L2268" t="s">
        <v>8</v>
      </c>
      <c r="N2268">
        <v>0</v>
      </c>
      <c r="O2268">
        <v>0.41666666666666669</v>
      </c>
      <c r="P2268">
        <v>0</v>
      </c>
    </row>
    <row r="2269" spans="1:16" x14ac:dyDescent="0.2">
      <c r="A2269" t="s">
        <v>4071</v>
      </c>
      <c r="B2269" t="s">
        <v>4072</v>
      </c>
      <c r="C2269" t="s">
        <v>3929</v>
      </c>
      <c r="D2269" t="s">
        <v>98</v>
      </c>
      <c r="E2269">
        <v>199.99</v>
      </c>
      <c r="F2269" t="s">
        <v>5817</v>
      </c>
      <c r="L2269" t="s">
        <v>8</v>
      </c>
      <c r="M2269">
        <v>1</v>
      </c>
      <c r="N2269">
        <v>4</v>
      </c>
      <c r="O2269">
        <v>0.25</v>
      </c>
      <c r="P2269">
        <v>4</v>
      </c>
    </row>
    <row r="2270" spans="1:16" x14ac:dyDescent="0.2">
      <c r="A2270" t="s">
        <v>4073</v>
      </c>
      <c r="B2270" t="s">
        <v>4074</v>
      </c>
      <c r="C2270" t="s">
        <v>3929</v>
      </c>
      <c r="D2270" t="s">
        <v>105</v>
      </c>
      <c r="E2270">
        <v>69.989999999999995</v>
      </c>
      <c r="F2270" t="s">
        <v>5817</v>
      </c>
      <c r="G2270">
        <v>35</v>
      </c>
      <c r="I2270">
        <v>35</v>
      </c>
      <c r="L2270" t="s">
        <v>8</v>
      </c>
      <c r="M2270">
        <v>0</v>
      </c>
      <c r="N2270">
        <v>0</v>
      </c>
      <c r="O2270">
        <v>0</v>
      </c>
      <c r="P2270">
        <v>0</v>
      </c>
    </row>
    <row r="2271" spans="1:16" x14ac:dyDescent="0.2">
      <c r="A2271" t="s">
        <v>4075</v>
      </c>
      <c r="B2271" t="s">
        <v>4076</v>
      </c>
      <c r="C2271" t="s">
        <v>3929</v>
      </c>
      <c r="D2271" t="s">
        <v>105</v>
      </c>
      <c r="E2271">
        <v>64.989999999999995</v>
      </c>
      <c r="F2271" t="s">
        <v>5817</v>
      </c>
      <c r="G2271">
        <v>93</v>
      </c>
      <c r="H2271" t="s">
        <v>5823</v>
      </c>
      <c r="I2271">
        <v>92</v>
      </c>
      <c r="L2271" t="s">
        <v>8</v>
      </c>
      <c r="M2271">
        <v>0</v>
      </c>
      <c r="N2271">
        <v>0</v>
      </c>
      <c r="O2271">
        <v>0</v>
      </c>
      <c r="P2271">
        <v>0</v>
      </c>
    </row>
    <row r="2272" spans="1:16" x14ac:dyDescent="0.2">
      <c r="A2272" t="s">
        <v>5552</v>
      </c>
      <c r="B2272" t="s">
        <v>5553</v>
      </c>
      <c r="C2272" t="s">
        <v>3929</v>
      </c>
      <c r="D2272" t="s">
        <v>98</v>
      </c>
      <c r="E2272">
        <v>44.99</v>
      </c>
      <c r="F2272" t="s">
        <v>5817</v>
      </c>
      <c r="L2272" t="s">
        <v>8</v>
      </c>
      <c r="M2272">
        <v>0</v>
      </c>
      <c r="N2272">
        <v>0</v>
      </c>
      <c r="O2272">
        <v>0</v>
      </c>
      <c r="P2272">
        <v>0</v>
      </c>
    </row>
    <row r="2273" spans="1:16" x14ac:dyDescent="0.2">
      <c r="A2273" t="s">
        <v>5083</v>
      </c>
      <c r="B2273" t="s">
        <v>5084</v>
      </c>
      <c r="C2273" t="s">
        <v>3929</v>
      </c>
      <c r="D2273" t="s">
        <v>105</v>
      </c>
      <c r="E2273">
        <v>64.989999999999995</v>
      </c>
      <c r="F2273" t="s">
        <v>5817</v>
      </c>
      <c r="G2273">
        <v>71</v>
      </c>
      <c r="I2273">
        <v>71</v>
      </c>
      <c r="L2273" t="s">
        <v>8</v>
      </c>
      <c r="M2273">
        <v>0</v>
      </c>
      <c r="N2273">
        <v>0</v>
      </c>
      <c r="O2273">
        <v>0</v>
      </c>
      <c r="P2273">
        <v>0</v>
      </c>
    </row>
    <row r="2274" spans="1:16" x14ac:dyDescent="0.2">
      <c r="A2274" t="s">
        <v>5075</v>
      </c>
      <c r="B2274" t="s">
        <v>5076</v>
      </c>
      <c r="C2274" t="s">
        <v>3929</v>
      </c>
      <c r="D2274" t="s">
        <v>98</v>
      </c>
      <c r="E2274">
        <v>74.989999999999995</v>
      </c>
      <c r="F2274" t="s">
        <v>5817</v>
      </c>
      <c r="L2274" t="s">
        <v>8</v>
      </c>
      <c r="M2274">
        <v>0</v>
      </c>
      <c r="N2274">
        <v>0</v>
      </c>
      <c r="O2274">
        <v>0</v>
      </c>
      <c r="P2274">
        <v>0</v>
      </c>
    </row>
    <row r="2275" spans="1:16" x14ac:dyDescent="0.2">
      <c r="A2275" t="s">
        <v>5620</v>
      </c>
      <c r="B2275" t="s">
        <v>5621</v>
      </c>
      <c r="C2275" t="s">
        <v>3929</v>
      </c>
      <c r="D2275" t="s">
        <v>98</v>
      </c>
      <c r="E2275">
        <v>79.989999999999995</v>
      </c>
      <c r="F2275" t="s">
        <v>5817</v>
      </c>
      <c r="L2275" t="s">
        <v>8</v>
      </c>
      <c r="M2275">
        <v>0</v>
      </c>
      <c r="N2275">
        <v>0</v>
      </c>
      <c r="O2275">
        <v>0</v>
      </c>
      <c r="P2275">
        <v>0</v>
      </c>
    </row>
    <row r="2276" spans="1:16" x14ac:dyDescent="0.2">
      <c r="A2276" t="s">
        <v>4077</v>
      </c>
      <c r="B2276" t="s">
        <v>4078</v>
      </c>
      <c r="C2276" t="s">
        <v>3929</v>
      </c>
      <c r="D2276" t="s">
        <v>105</v>
      </c>
      <c r="E2276">
        <v>74.989999999999995</v>
      </c>
      <c r="F2276" t="s">
        <v>5817</v>
      </c>
      <c r="G2276">
        <v>122</v>
      </c>
      <c r="I2276">
        <v>122</v>
      </c>
      <c r="L2276" t="s">
        <v>8</v>
      </c>
      <c r="M2276">
        <v>2.4</v>
      </c>
      <c r="N2276">
        <v>24.166666666666668</v>
      </c>
      <c r="O2276">
        <v>1.25</v>
      </c>
      <c r="P2276">
        <v>58</v>
      </c>
    </row>
    <row r="2277" spans="1:16" x14ac:dyDescent="0.2">
      <c r="A2277" t="s">
        <v>4079</v>
      </c>
      <c r="B2277" t="s">
        <v>4080</v>
      </c>
      <c r="C2277" t="s">
        <v>3929</v>
      </c>
      <c r="D2277" t="s">
        <v>138</v>
      </c>
      <c r="E2277">
        <v>199.99</v>
      </c>
      <c r="F2277" t="s">
        <v>5817</v>
      </c>
      <c r="L2277" t="s">
        <v>8</v>
      </c>
      <c r="M2277">
        <v>0</v>
      </c>
      <c r="N2277">
        <v>0</v>
      </c>
      <c r="O2277">
        <v>0</v>
      </c>
      <c r="P2277">
        <v>0</v>
      </c>
    </row>
    <row r="2278" spans="1:16" x14ac:dyDescent="0.2">
      <c r="A2278" t="s">
        <v>4046</v>
      </c>
      <c r="B2278" t="s">
        <v>4047</v>
      </c>
      <c r="C2278" t="s">
        <v>3929</v>
      </c>
      <c r="D2278" t="s">
        <v>105</v>
      </c>
      <c r="E2278">
        <v>89.99</v>
      </c>
      <c r="F2278" t="s">
        <v>5817</v>
      </c>
      <c r="G2278">
        <v>2</v>
      </c>
      <c r="I2278">
        <v>2</v>
      </c>
      <c r="L2278" t="s">
        <v>8</v>
      </c>
      <c r="M2278">
        <v>0</v>
      </c>
      <c r="N2278">
        <v>0</v>
      </c>
      <c r="O2278">
        <v>0</v>
      </c>
      <c r="P2278">
        <v>0</v>
      </c>
    </row>
    <row r="2279" spans="1:16" x14ac:dyDescent="0.2">
      <c r="A2279" t="s">
        <v>4012</v>
      </c>
      <c r="B2279" t="s">
        <v>4013</v>
      </c>
      <c r="C2279" t="s">
        <v>3929</v>
      </c>
      <c r="D2279" t="s">
        <v>98</v>
      </c>
      <c r="E2279">
        <v>79.989999999999995</v>
      </c>
      <c r="F2279" t="s">
        <v>5817</v>
      </c>
      <c r="L2279" t="s">
        <v>8</v>
      </c>
      <c r="M2279">
        <v>0</v>
      </c>
      <c r="N2279">
        <v>0</v>
      </c>
      <c r="O2279">
        <v>0</v>
      </c>
      <c r="P2279">
        <v>0</v>
      </c>
    </row>
    <row r="2280" spans="1:16" x14ac:dyDescent="0.2">
      <c r="A2280" t="s">
        <v>5081</v>
      </c>
      <c r="B2280" t="s">
        <v>5082</v>
      </c>
      <c r="C2280" t="s">
        <v>3929</v>
      </c>
      <c r="D2280" t="s">
        <v>138</v>
      </c>
      <c r="E2280">
        <v>59.99</v>
      </c>
      <c r="F2280" t="s">
        <v>5817</v>
      </c>
      <c r="L2280" t="s">
        <v>8</v>
      </c>
      <c r="N2280">
        <v>0</v>
      </c>
      <c r="O2280">
        <v>0</v>
      </c>
      <c r="P2280">
        <v>2</v>
      </c>
    </row>
    <row r="2281" spans="1:16" x14ac:dyDescent="0.2">
      <c r="A2281" t="s">
        <v>4038</v>
      </c>
      <c r="B2281" t="s">
        <v>4039</v>
      </c>
      <c r="C2281" t="s">
        <v>3929</v>
      </c>
      <c r="D2281" t="s">
        <v>98</v>
      </c>
      <c r="E2281">
        <v>219.99</v>
      </c>
      <c r="F2281" t="s">
        <v>5817</v>
      </c>
      <c r="L2281" t="s">
        <v>8</v>
      </c>
      <c r="M2281">
        <v>0</v>
      </c>
      <c r="N2281">
        <v>0</v>
      </c>
      <c r="O2281">
        <v>0</v>
      </c>
      <c r="P2281">
        <v>0</v>
      </c>
    </row>
    <row r="2282" spans="1:16" x14ac:dyDescent="0.2">
      <c r="A2282" t="s">
        <v>5108</v>
      </c>
      <c r="B2282" t="s">
        <v>5109</v>
      </c>
      <c r="C2282" t="s">
        <v>3929</v>
      </c>
      <c r="D2282" t="s">
        <v>98</v>
      </c>
      <c r="E2282">
        <v>89.99</v>
      </c>
      <c r="F2282" t="s">
        <v>5817</v>
      </c>
      <c r="L2282" t="s">
        <v>8</v>
      </c>
      <c r="M2282">
        <v>0</v>
      </c>
      <c r="N2282">
        <v>0</v>
      </c>
      <c r="O2282">
        <v>0</v>
      </c>
      <c r="P2282">
        <v>0</v>
      </c>
    </row>
    <row r="2283" spans="1:16" x14ac:dyDescent="0.2">
      <c r="A2283" t="s">
        <v>5106</v>
      </c>
      <c r="B2283" t="s">
        <v>5107</v>
      </c>
      <c r="C2283" t="s">
        <v>3929</v>
      </c>
      <c r="D2283" t="s">
        <v>138</v>
      </c>
      <c r="E2283">
        <v>89.99</v>
      </c>
      <c r="F2283" t="s">
        <v>5817</v>
      </c>
      <c r="G2283">
        <v>29</v>
      </c>
      <c r="I2283">
        <v>29</v>
      </c>
      <c r="L2283" t="s">
        <v>8</v>
      </c>
      <c r="M2283">
        <v>0</v>
      </c>
      <c r="N2283">
        <v>0</v>
      </c>
      <c r="O2283">
        <v>0</v>
      </c>
      <c r="P2283">
        <v>0</v>
      </c>
    </row>
    <row r="2284" spans="1:16" x14ac:dyDescent="0.2">
      <c r="A2284" t="s">
        <v>4040</v>
      </c>
      <c r="B2284" t="s">
        <v>4041</v>
      </c>
      <c r="C2284" t="s">
        <v>3929</v>
      </c>
      <c r="D2284" t="s">
        <v>105</v>
      </c>
      <c r="E2284">
        <v>89.99</v>
      </c>
      <c r="F2284" t="s">
        <v>5817</v>
      </c>
      <c r="G2284">
        <v>36</v>
      </c>
      <c r="I2284">
        <v>36</v>
      </c>
      <c r="L2284" t="s">
        <v>8</v>
      </c>
      <c r="M2284">
        <v>0</v>
      </c>
      <c r="N2284">
        <v>0</v>
      </c>
      <c r="O2284">
        <v>0</v>
      </c>
      <c r="P2284">
        <v>0</v>
      </c>
    </row>
    <row r="2285" spans="1:16" x14ac:dyDescent="0.2">
      <c r="A2285" t="s">
        <v>5294</v>
      </c>
      <c r="B2285" t="s">
        <v>5295</v>
      </c>
      <c r="C2285" t="s">
        <v>3929</v>
      </c>
      <c r="D2285" t="s">
        <v>138</v>
      </c>
      <c r="E2285">
        <v>89.99</v>
      </c>
      <c r="F2285" t="s">
        <v>5817</v>
      </c>
      <c r="G2285">
        <v>3</v>
      </c>
      <c r="I2285">
        <v>3</v>
      </c>
      <c r="L2285" t="s">
        <v>8</v>
      </c>
      <c r="M2285">
        <v>0</v>
      </c>
      <c r="N2285">
        <v>0</v>
      </c>
      <c r="O2285">
        <v>0</v>
      </c>
      <c r="P2285">
        <v>0</v>
      </c>
    </row>
    <row r="2286" spans="1:16" x14ac:dyDescent="0.2">
      <c r="A2286" t="s">
        <v>5718</v>
      </c>
      <c r="B2286" t="s">
        <v>5719</v>
      </c>
      <c r="C2286" t="s">
        <v>3929</v>
      </c>
      <c r="D2286" t="s">
        <v>98</v>
      </c>
      <c r="E2286">
        <v>79.989999999999995</v>
      </c>
      <c r="F2286" t="s">
        <v>5817</v>
      </c>
      <c r="L2286" t="s">
        <v>8</v>
      </c>
      <c r="M2286">
        <v>0</v>
      </c>
      <c r="N2286">
        <v>0</v>
      </c>
      <c r="O2286">
        <v>0</v>
      </c>
      <c r="P2286">
        <v>0</v>
      </c>
    </row>
    <row r="2287" spans="1:16" x14ac:dyDescent="0.2">
      <c r="A2287" t="s">
        <v>4042</v>
      </c>
      <c r="B2287" t="s">
        <v>4043</v>
      </c>
      <c r="C2287" t="s">
        <v>3929</v>
      </c>
      <c r="D2287" t="s">
        <v>105</v>
      </c>
      <c r="E2287">
        <v>109.99</v>
      </c>
      <c r="F2287" t="s">
        <v>5817</v>
      </c>
      <c r="G2287">
        <v>40</v>
      </c>
      <c r="I2287">
        <v>40</v>
      </c>
      <c r="L2287" t="s">
        <v>8</v>
      </c>
      <c r="M2287">
        <v>0</v>
      </c>
      <c r="N2287">
        <v>0</v>
      </c>
      <c r="O2287">
        <v>0</v>
      </c>
      <c r="P2287">
        <v>0</v>
      </c>
    </row>
    <row r="2288" spans="1:16" x14ac:dyDescent="0.2">
      <c r="A2288" t="s">
        <v>4044</v>
      </c>
      <c r="B2288" t="s">
        <v>4045</v>
      </c>
      <c r="C2288" t="s">
        <v>3929</v>
      </c>
      <c r="D2288" t="s">
        <v>105</v>
      </c>
      <c r="E2288">
        <v>129.99</v>
      </c>
      <c r="F2288" t="s">
        <v>5817</v>
      </c>
      <c r="J2288">
        <v>2</v>
      </c>
      <c r="K2288">
        <v>40</v>
      </c>
      <c r="L2288" t="s">
        <v>8</v>
      </c>
      <c r="M2288">
        <v>0</v>
      </c>
      <c r="N2288">
        <v>0</v>
      </c>
      <c r="O2288">
        <v>0</v>
      </c>
      <c r="P2288">
        <v>0</v>
      </c>
    </row>
    <row r="2289" spans="1:16" x14ac:dyDescent="0.2">
      <c r="A2289" t="s">
        <v>5290</v>
      </c>
      <c r="B2289" t="s">
        <v>5291</v>
      </c>
      <c r="C2289" t="s">
        <v>3929</v>
      </c>
      <c r="D2289" t="s">
        <v>98</v>
      </c>
      <c r="E2289">
        <v>89.99</v>
      </c>
      <c r="F2289" t="s">
        <v>5817</v>
      </c>
      <c r="L2289" t="s">
        <v>8</v>
      </c>
      <c r="M2289">
        <v>0</v>
      </c>
      <c r="N2289">
        <v>0</v>
      </c>
      <c r="O2289">
        <v>0</v>
      </c>
      <c r="P2289">
        <v>0</v>
      </c>
    </row>
    <row r="2290" spans="1:16" x14ac:dyDescent="0.2">
      <c r="A2290" t="s">
        <v>3978</v>
      </c>
      <c r="B2290" t="s">
        <v>3979</v>
      </c>
      <c r="C2290" t="s">
        <v>3929</v>
      </c>
      <c r="D2290" t="s">
        <v>105</v>
      </c>
      <c r="E2290">
        <v>24.99</v>
      </c>
      <c r="F2290" t="s">
        <v>5817</v>
      </c>
      <c r="G2290">
        <v>71</v>
      </c>
      <c r="I2290">
        <v>71</v>
      </c>
      <c r="K2290">
        <v>100</v>
      </c>
      <c r="L2290" t="s">
        <v>8</v>
      </c>
      <c r="M2290">
        <v>4.2</v>
      </c>
      <c r="N2290">
        <v>17.38095238095238</v>
      </c>
      <c r="O2290">
        <v>3.083333333333333</v>
      </c>
      <c r="P2290">
        <v>73</v>
      </c>
    </row>
    <row r="2291" spans="1:16" x14ac:dyDescent="0.2">
      <c r="A2291" t="s">
        <v>4081</v>
      </c>
      <c r="B2291" t="s">
        <v>4082</v>
      </c>
      <c r="C2291" t="s">
        <v>3929</v>
      </c>
      <c r="D2291" t="s">
        <v>98</v>
      </c>
      <c r="E2291">
        <v>109.99</v>
      </c>
      <c r="F2291" t="s">
        <v>5817</v>
      </c>
      <c r="L2291" t="s">
        <v>8</v>
      </c>
      <c r="M2291">
        <v>0</v>
      </c>
      <c r="N2291">
        <v>0</v>
      </c>
      <c r="O2291">
        <v>0</v>
      </c>
      <c r="P2291">
        <v>0</v>
      </c>
    </row>
    <row r="2292" spans="1:16" x14ac:dyDescent="0.2">
      <c r="A2292" t="s">
        <v>5624</v>
      </c>
      <c r="B2292" t="s">
        <v>5625</v>
      </c>
      <c r="C2292" t="s">
        <v>3929</v>
      </c>
      <c r="D2292" t="s">
        <v>98</v>
      </c>
      <c r="E2292">
        <v>99.99</v>
      </c>
      <c r="F2292" t="s">
        <v>5817</v>
      </c>
      <c r="L2292" t="s">
        <v>8</v>
      </c>
      <c r="M2292">
        <v>0</v>
      </c>
      <c r="N2292">
        <v>0</v>
      </c>
      <c r="O2292">
        <v>8.3333333333333329E-2</v>
      </c>
      <c r="P2292">
        <v>0</v>
      </c>
    </row>
    <row r="2293" spans="1:16" x14ac:dyDescent="0.2">
      <c r="A2293" t="s">
        <v>5120</v>
      </c>
      <c r="B2293" t="s">
        <v>5121</v>
      </c>
      <c r="C2293" t="s">
        <v>3929</v>
      </c>
      <c r="D2293" t="s">
        <v>105</v>
      </c>
      <c r="E2293">
        <v>89.99</v>
      </c>
      <c r="F2293" t="s">
        <v>5817</v>
      </c>
      <c r="G2293">
        <v>28</v>
      </c>
      <c r="I2293">
        <v>28</v>
      </c>
      <c r="L2293" t="s">
        <v>8</v>
      </c>
      <c r="M2293">
        <v>0</v>
      </c>
      <c r="N2293">
        <v>0</v>
      </c>
      <c r="O2293">
        <v>0</v>
      </c>
      <c r="P2293">
        <v>32</v>
      </c>
    </row>
    <row r="2294" spans="1:16" x14ac:dyDescent="0.2">
      <c r="A2294" t="s">
        <v>5073</v>
      </c>
      <c r="B2294" t="s">
        <v>5074</v>
      </c>
      <c r="C2294" t="s">
        <v>3929</v>
      </c>
      <c r="D2294" t="s">
        <v>105</v>
      </c>
      <c r="E2294">
        <v>99.99</v>
      </c>
      <c r="F2294" t="s">
        <v>5817</v>
      </c>
      <c r="G2294">
        <v>29</v>
      </c>
      <c r="I2294">
        <v>29</v>
      </c>
      <c r="L2294" t="s">
        <v>8</v>
      </c>
      <c r="M2294">
        <v>0</v>
      </c>
      <c r="N2294">
        <v>0</v>
      </c>
      <c r="O2294">
        <v>0</v>
      </c>
      <c r="P2294">
        <v>0</v>
      </c>
    </row>
    <row r="2295" spans="1:16" x14ac:dyDescent="0.2">
      <c r="A2295" t="s">
        <v>5380</v>
      </c>
      <c r="B2295" t="s">
        <v>5381</v>
      </c>
      <c r="C2295" t="s">
        <v>3929</v>
      </c>
      <c r="D2295" t="s">
        <v>98</v>
      </c>
      <c r="E2295">
        <v>69.989999999999995</v>
      </c>
      <c r="F2295" t="s">
        <v>5817</v>
      </c>
      <c r="L2295" t="s">
        <v>8</v>
      </c>
      <c r="M2295">
        <v>0</v>
      </c>
      <c r="N2295">
        <v>0</v>
      </c>
      <c r="O2295">
        <v>0</v>
      </c>
      <c r="P2295">
        <v>0</v>
      </c>
    </row>
    <row r="2296" spans="1:16" x14ac:dyDescent="0.2">
      <c r="A2296" t="s">
        <v>5102</v>
      </c>
      <c r="B2296" t="s">
        <v>5103</v>
      </c>
      <c r="C2296" t="s">
        <v>3929</v>
      </c>
      <c r="D2296" t="s">
        <v>98</v>
      </c>
      <c r="E2296">
        <v>99.99</v>
      </c>
      <c r="F2296" t="s">
        <v>5817</v>
      </c>
      <c r="L2296" t="s">
        <v>8</v>
      </c>
      <c r="M2296">
        <v>0</v>
      </c>
      <c r="N2296">
        <v>0</v>
      </c>
      <c r="O2296">
        <v>0</v>
      </c>
      <c r="P2296">
        <v>0</v>
      </c>
    </row>
    <row r="2297" spans="1:16" x14ac:dyDescent="0.2">
      <c r="A2297" t="s">
        <v>5213</v>
      </c>
      <c r="B2297" t="s">
        <v>5214</v>
      </c>
      <c r="C2297" t="s">
        <v>3929</v>
      </c>
      <c r="D2297" t="s">
        <v>98</v>
      </c>
      <c r="E2297">
        <v>89.99</v>
      </c>
      <c r="F2297" t="s">
        <v>5817</v>
      </c>
      <c r="L2297" t="s">
        <v>8</v>
      </c>
      <c r="M2297">
        <v>0</v>
      </c>
      <c r="N2297">
        <v>0</v>
      </c>
      <c r="O2297">
        <v>0</v>
      </c>
      <c r="P2297">
        <v>0</v>
      </c>
    </row>
    <row r="2298" spans="1:16" x14ac:dyDescent="0.2">
      <c r="A2298" t="s">
        <v>3964</v>
      </c>
      <c r="B2298" t="s">
        <v>3965</v>
      </c>
      <c r="C2298" t="s">
        <v>3929</v>
      </c>
      <c r="D2298" t="s">
        <v>138</v>
      </c>
      <c r="E2298">
        <v>64.989999999999995</v>
      </c>
      <c r="F2298" t="s">
        <v>5817</v>
      </c>
      <c r="G2298">
        <v>40</v>
      </c>
      <c r="I2298">
        <v>40</v>
      </c>
      <c r="L2298" t="s">
        <v>8</v>
      </c>
      <c r="M2298">
        <v>3</v>
      </c>
      <c r="N2298">
        <v>2</v>
      </c>
      <c r="O2298">
        <v>1.75</v>
      </c>
      <c r="P2298">
        <v>6</v>
      </c>
    </row>
    <row r="2299" spans="1:16" x14ac:dyDescent="0.2">
      <c r="A2299" t="s">
        <v>3968</v>
      </c>
      <c r="B2299" t="s">
        <v>3969</v>
      </c>
      <c r="C2299" t="s">
        <v>3929</v>
      </c>
      <c r="D2299" t="s">
        <v>105</v>
      </c>
      <c r="E2299">
        <v>184.99</v>
      </c>
      <c r="F2299" t="s">
        <v>5817</v>
      </c>
      <c r="G2299">
        <v>32</v>
      </c>
      <c r="I2299">
        <v>32</v>
      </c>
      <c r="L2299" t="s">
        <v>8</v>
      </c>
      <c r="M2299">
        <v>0</v>
      </c>
      <c r="N2299">
        <v>0</v>
      </c>
      <c r="O2299">
        <v>0</v>
      </c>
      <c r="P2299">
        <v>0</v>
      </c>
    </row>
    <row r="2300" spans="1:16" x14ac:dyDescent="0.2">
      <c r="A2300" t="s">
        <v>3970</v>
      </c>
      <c r="B2300" t="s">
        <v>3971</v>
      </c>
      <c r="C2300" t="s">
        <v>3929</v>
      </c>
      <c r="D2300" t="s">
        <v>98</v>
      </c>
      <c r="E2300">
        <v>139.99</v>
      </c>
      <c r="F2300" t="s">
        <v>5817</v>
      </c>
      <c r="L2300" t="s">
        <v>8</v>
      </c>
      <c r="M2300">
        <v>0</v>
      </c>
      <c r="N2300">
        <v>0</v>
      </c>
      <c r="O2300">
        <v>0</v>
      </c>
      <c r="P2300">
        <v>0</v>
      </c>
    </row>
    <row r="2301" spans="1:16" x14ac:dyDescent="0.2">
      <c r="A2301" t="s">
        <v>3972</v>
      </c>
      <c r="B2301" t="s">
        <v>3973</v>
      </c>
      <c r="C2301" t="s">
        <v>3929</v>
      </c>
      <c r="D2301" t="s">
        <v>98</v>
      </c>
      <c r="E2301">
        <v>129.99</v>
      </c>
      <c r="F2301" t="s">
        <v>5817</v>
      </c>
      <c r="L2301" t="s">
        <v>8</v>
      </c>
      <c r="M2301">
        <v>0</v>
      </c>
      <c r="N2301">
        <v>0</v>
      </c>
      <c r="O2301">
        <v>0</v>
      </c>
      <c r="P2301">
        <v>0</v>
      </c>
    </row>
    <row r="2302" spans="1:16" x14ac:dyDescent="0.2">
      <c r="A2302" t="s">
        <v>5249</v>
      </c>
      <c r="B2302" t="s">
        <v>5250</v>
      </c>
      <c r="C2302" t="s">
        <v>3929</v>
      </c>
      <c r="D2302" t="s">
        <v>98</v>
      </c>
      <c r="E2302">
        <v>184.99</v>
      </c>
      <c r="F2302" t="s">
        <v>5817</v>
      </c>
      <c r="L2302" t="s">
        <v>8</v>
      </c>
      <c r="M2302">
        <v>0</v>
      </c>
      <c r="N2302">
        <v>0</v>
      </c>
      <c r="O2302">
        <v>0</v>
      </c>
      <c r="P2302">
        <v>0</v>
      </c>
    </row>
    <row r="2303" spans="1:16" x14ac:dyDescent="0.2">
      <c r="A2303" t="s">
        <v>3974</v>
      </c>
      <c r="B2303" t="s">
        <v>3975</v>
      </c>
      <c r="C2303" t="s">
        <v>3929</v>
      </c>
      <c r="D2303" t="s">
        <v>105</v>
      </c>
      <c r="E2303">
        <v>199.99</v>
      </c>
      <c r="F2303" t="s">
        <v>5817</v>
      </c>
      <c r="G2303">
        <v>12</v>
      </c>
      <c r="I2303">
        <v>12</v>
      </c>
      <c r="L2303" t="s">
        <v>8</v>
      </c>
      <c r="M2303">
        <v>0</v>
      </c>
      <c r="N2303">
        <v>0</v>
      </c>
      <c r="O2303">
        <v>0</v>
      </c>
      <c r="P2303">
        <v>0</v>
      </c>
    </row>
    <row r="2304" spans="1:16" x14ac:dyDescent="0.2">
      <c r="A2304" t="s">
        <v>3960</v>
      </c>
      <c r="B2304" t="s">
        <v>3961</v>
      </c>
      <c r="C2304" t="s">
        <v>3929</v>
      </c>
      <c r="D2304" t="s">
        <v>105</v>
      </c>
      <c r="E2304">
        <v>64.989999999999995</v>
      </c>
      <c r="F2304" t="s">
        <v>5817</v>
      </c>
      <c r="G2304">
        <v>37</v>
      </c>
      <c r="I2304">
        <v>37</v>
      </c>
      <c r="J2304">
        <v>10</v>
      </c>
      <c r="K2304">
        <v>40</v>
      </c>
      <c r="L2304" t="s">
        <v>8</v>
      </c>
      <c r="M2304">
        <v>0</v>
      </c>
      <c r="N2304">
        <v>0</v>
      </c>
      <c r="O2304">
        <v>0</v>
      </c>
      <c r="P2304">
        <v>44</v>
      </c>
    </row>
    <row r="2305" spans="1:16" x14ac:dyDescent="0.2">
      <c r="A2305" t="s">
        <v>5582</v>
      </c>
      <c r="B2305" t="s">
        <v>5583</v>
      </c>
      <c r="C2305" t="s">
        <v>3929</v>
      </c>
      <c r="D2305" t="s">
        <v>98</v>
      </c>
      <c r="E2305">
        <v>64.989999999999995</v>
      </c>
      <c r="F2305" t="s">
        <v>5817</v>
      </c>
      <c r="L2305" t="s">
        <v>8</v>
      </c>
      <c r="M2305">
        <v>0</v>
      </c>
      <c r="N2305">
        <v>0</v>
      </c>
      <c r="O2305">
        <v>0</v>
      </c>
      <c r="P2305">
        <v>0</v>
      </c>
    </row>
    <row r="2306" spans="1:16" x14ac:dyDescent="0.2">
      <c r="A2306" t="s">
        <v>3930</v>
      </c>
      <c r="B2306" t="s">
        <v>3931</v>
      </c>
      <c r="C2306" t="s">
        <v>3929</v>
      </c>
      <c r="D2306" t="s">
        <v>105</v>
      </c>
      <c r="E2306">
        <v>139.99</v>
      </c>
      <c r="F2306" t="s">
        <v>5817</v>
      </c>
      <c r="G2306">
        <v>52</v>
      </c>
      <c r="I2306">
        <v>52</v>
      </c>
      <c r="J2306">
        <v>25</v>
      </c>
      <c r="L2306" t="s">
        <v>8</v>
      </c>
      <c r="M2306">
        <v>0</v>
      </c>
      <c r="N2306">
        <v>0</v>
      </c>
      <c r="O2306">
        <v>0</v>
      </c>
      <c r="P2306">
        <v>30</v>
      </c>
    </row>
    <row r="2307" spans="1:16" x14ac:dyDescent="0.2">
      <c r="A2307" t="s">
        <v>3932</v>
      </c>
      <c r="B2307" t="s">
        <v>3933</v>
      </c>
      <c r="C2307" t="s">
        <v>3929</v>
      </c>
      <c r="D2307" t="s">
        <v>105</v>
      </c>
      <c r="E2307">
        <v>129.99</v>
      </c>
      <c r="F2307" t="s">
        <v>5817</v>
      </c>
      <c r="G2307">
        <v>27</v>
      </c>
      <c r="I2307">
        <v>27</v>
      </c>
      <c r="L2307" t="s">
        <v>8</v>
      </c>
      <c r="N2307">
        <v>0</v>
      </c>
      <c r="O2307">
        <v>0</v>
      </c>
      <c r="P2307">
        <v>2</v>
      </c>
    </row>
    <row r="2308" spans="1:16" x14ac:dyDescent="0.2">
      <c r="A2308" t="s">
        <v>3934</v>
      </c>
      <c r="B2308" t="s">
        <v>3935</v>
      </c>
      <c r="C2308" t="s">
        <v>3929</v>
      </c>
      <c r="D2308" t="s">
        <v>105</v>
      </c>
      <c r="E2308">
        <v>159.99</v>
      </c>
      <c r="F2308" t="s">
        <v>5817</v>
      </c>
      <c r="G2308">
        <v>5</v>
      </c>
      <c r="I2308">
        <v>5</v>
      </c>
      <c r="L2308" t="s">
        <v>8</v>
      </c>
      <c r="M2308">
        <v>1</v>
      </c>
      <c r="N2308">
        <v>60</v>
      </c>
      <c r="O2308">
        <v>0.41666666666666669</v>
      </c>
      <c r="P2308">
        <v>60</v>
      </c>
    </row>
    <row r="2309" spans="1:16" x14ac:dyDescent="0.2">
      <c r="A2309" t="s">
        <v>3940</v>
      </c>
      <c r="B2309" t="s">
        <v>3941</v>
      </c>
      <c r="C2309" t="s">
        <v>3929</v>
      </c>
      <c r="D2309" t="s">
        <v>105</v>
      </c>
      <c r="E2309">
        <v>209.99</v>
      </c>
      <c r="F2309" t="s">
        <v>5817</v>
      </c>
      <c r="G2309">
        <v>47</v>
      </c>
      <c r="I2309">
        <v>47</v>
      </c>
      <c r="J2309">
        <v>15</v>
      </c>
      <c r="L2309" t="s">
        <v>8</v>
      </c>
      <c r="M2309">
        <v>0</v>
      </c>
      <c r="N2309">
        <v>0</v>
      </c>
      <c r="O2309">
        <v>0</v>
      </c>
      <c r="P2309">
        <v>46</v>
      </c>
    </row>
    <row r="2310" spans="1:16" x14ac:dyDescent="0.2">
      <c r="A2310" t="s">
        <v>3942</v>
      </c>
      <c r="B2310" t="s">
        <v>3943</v>
      </c>
      <c r="C2310" t="s">
        <v>3929</v>
      </c>
      <c r="D2310" t="s">
        <v>105</v>
      </c>
      <c r="E2310">
        <v>149.99</v>
      </c>
      <c r="F2310" t="s">
        <v>5817</v>
      </c>
      <c r="G2310">
        <v>19</v>
      </c>
      <c r="I2310">
        <v>19</v>
      </c>
      <c r="L2310" t="s">
        <v>8</v>
      </c>
      <c r="M2310">
        <v>0</v>
      </c>
      <c r="N2310">
        <v>0</v>
      </c>
      <c r="O2310">
        <v>0</v>
      </c>
      <c r="P2310">
        <v>0</v>
      </c>
    </row>
    <row r="2311" spans="1:16" x14ac:dyDescent="0.2">
      <c r="A2311" t="s">
        <v>3954</v>
      </c>
      <c r="B2311" t="s">
        <v>3955</v>
      </c>
      <c r="C2311" t="s">
        <v>3929</v>
      </c>
      <c r="D2311" t="s">
        <v>105</v>
      </c>
      <c r="E2311">
        <v>64.989999999999995</v>
      </c>
      <c r="F2311" t="s">
        <v>5817</v>
      </c>
      <c r="G2311">
        <v>2</v>
      </c>
      <c r="I2311">
        <v>2</v>
      </c>
      <c r="L2311" t="s">
        <v>8</v>
      </c>
      <c r="M2311">
        <v>0</v>
      </c>
      <c r="N2311">
        <v>0</v>
      </c>
      <c r="O2311">
        <v>0</v>
      </c>
      <c r="P2311">
        <v>0</v>
      </c>
    </row>
    <row r="2312" spans="1:16" x14ac:dyDescent="0.2">
      <c r="A2312" t="s">
        <v>3976</v>
      </c>
      <c r="B2312" t="s">
        <v>3977</v>
      </c>
      <c r="C2312" t="s">
        <v>3929</v>
      </c>
      <c r="D2312" t="s">
        <v>105</v>
      </c>
      <c r="E2312">
        <v>99.99</v>
      </c>
      <c r="F2312" t="s">
        <v>5817</v>
      </c>
      <c r="G2312">
        <v>38</v>
      </c>
      <c r="I2312">
        <v>38</v>
      </c>
      <c r="L2312" t="s">
        <v>8</v>
      </c>
      <c r="M2312">
        <v>1</v>
      </c>
      <c r="N2312">
        <v>7</v>
      </c>
      <c r="O2312">
        <v>0.91666666666666663</v>
      </c>
      <c r="P2312">
        <v>7</v>
      </c>
    </row>
    <row r="2313" spans="1:16" x14ac:dyDescent="0.2">
      <c r="A2313" t="s">
        <v>5437</v>
      </c>
      <c r="B2313" t="s">
        <v>5438</v>
      </c>
      <c r="C2313" t="s">
        <v>3929</v>
      </c>
      <c r="D2313" t="s">
        <v>98</v>
      </c>
      <c r="E2313">
        <v>74.989999999999995</v>
      </c>
      <c r="F2313" t="s">
        <v>5817</v>
      </c>
      <c r="L2313" t="s">
        <v>8</v>
      </c>
      <c r="M2313">
        <v>0</v>
      </c>
      <c r="N2313">
        <v>0</v>
      </c>
      <c r="O2313">
        <v>0</v>
      </c>
      <c r="P2313">
        <v>0</v>
      </c>
    </row>
    <row r="2314" spans="1:16" x14ac:dyDescent="0.2">
      <c r="A2314" t="s">
        <v>4097</v>
      </c>
      <c r="B2314" t="s">
        <v>4098</v>
      </c>
      <c r="C2314" t="s">
        <v>3929</v>
      </c>
      <c r="D2314" t="s">
        <v>105</v>
      </c>
      <c r="E2314">
        <v>199.99</v>
      </c>
      <c r="F2314" t="s">
        <v>5817</v>
      </c>
      <c r="G2314">
        <v>17</v>
      </c>
      <c r="I2314">
        <v>17</v>
      </c>
      <c r="K2314">
        <v>40</v>
      </c>
      <c r="L2314" t="s">
        <v>8</v>
      </c>
      <c r="M2314">
        <v>1.6666666666666667</v>
      </c>
      <c r="N2314">
        <v>44.4</v>
      </c>
      <c r="O2314">
        <v>0.83333333333333337</v>
      </c>
      <c r="P2314">
        <v>74</v>
      </c>
    </row>
    <row r="2315" spans="1:16" x14ac:dyDescent="0.2">
      <c r="A2315" t="s">
        <v>5116</v>
      </c>
      <c r="B2315" t="s">
        <v>5117</v>
      </c>
      <c r="C2315" t="s">
        <v>3929</v>
      </c>
      <c r="D2315" t="s">
        <v>138</v>
      </c>
      <c r="E2315">
        <v>209.99</v>
      </c>
      <c r="F2315" t="s">
        <v>5817</v>
      </c>
      <c r="L2315" t="s">
        <v>8</v>
      </c>
      <c r="M2315">
        <v>0</v>
      </c>
      <c r="N2315">
        <v>0</v>
      </c>
      <c r="O2315">
        <v>0</v>
      </c>
      <c r="P2315">
        <v>0</v>
      </c>
    </row>
    <row r="2316" spans="1:16" x14ac:dyDescent="0.2">
      <c r="A2316" t="s">
        <v>4099</v>
      </c>
      <c r="B2316" t="s">
        <v>4100</v>
      </c>
      <c r="C2316" t="s">
        <v>3929</v>
      </c>
      <c r="D2316" t="s">
        <v>105</v>
      </c>
      <c r="E2316">
        <v>249.99</v>
      </c>
      <c r="F2316" t="s">
        <v>5817</v>
      </c>
      <c r="G2316">
        <v>16</v>
      </c>
      <c r="I2316">
        <v>16</v>
      </c>
      <c r="L2316" t="s">
        <v>8</v>
      </c>
      <c r="M2316">
        <v>0</v>
      </c>
      <c r="N2316">
        <v>0</v>
      </c>
      <c r="O2316">
        <v>0</v>
      </c>
      <c r="P2316">
        <v>0</v>
      </c>
    </row>
    <row r="2317" spans="1:16" x14ac:dyDescent="0.2">
      <c r="A2317" t="s">
        <v>5124</v>
      </c>
      <c r="B2317" t="s">
        <v>5125</v>
      </c>
      <c r="C2317" t="s">
        <v>3929</v>
      </c>
      <c r="D2317" t="s">
        <v>105</v>
      </c>
      <c r="E2317">
        <v>319.99</v>
      </c>
      <c r="F2317" t="s">
        <v>5817</v>
      </c>
      <c r="G2317">
        <v>10</v>
      </c>
      <c r="I2317">
        <v>10</v>
      </c>
      <c r="L2317" t="s">
        <v>8</v>
      </c>
      <c r="M2317">
        <v>0</v>
      </c>
      <c r="N2317">
        <v>0</v>
      </c>
      <c r="O2317">
        <v>0</v>
      </c>
      <c r="P2317">
        <v>0</v>
      </c>
    </row>
    <row r="2318" spans="1:16" x14ac:dyDescent="0.2">
      <c r="A2318" t="s">
        <v>5606</v>
      </c>
      <c r="B2318" t="s">
        <v>5607</v>
      </c>
      <c r="C2318" t="s">
        <v>3929</v>
      </c>
      <c r="D2318" t="s">
        <v>105</v>
      </c>
      <c r="E2318">
        <v>169.99</v>
      </c>
      <c r="F2318" t="s">
        <v>5817</v>
      </c>
      <c r="G2318">
        <v>25</v>
      </c>
      <c r="I2318">
        <v>25</v>
      </c>
      <c r="L2318" t="s">
        <v>8</v>
      </c>
      <c r="M2318">
        <v>1.5</v>
      </c>
      <c r="N2318">
        <v>47.333333333333336</v>
      </c>
      <c r="O2318">
        <v>0.75</v>
      </c>
      <c r="P2318">
        <v>71</v>
      </c>
    </row>
    <row r="2319" spans="1:16" x14ac:dyDescent="0.2">
      <c r="A2319" t="s">
        <v>4105</v>
      </c>
      <c r="B2319" t="s">
        <v>4106</v>
      </c>
      <c r="C2319" t="s">
        <v>3929</v>
      </c>
      <c r="D2319" t="s">
        <v>105</v>
      </c>
      <c r="E2319">
        <v>129.99</v>
      </c>
      <c r="F2319" t="s">
        <v>5817</v>
      </c>
      <c r="G2319">
        <v>11</v>
      </c>
      <c r="I2319">
        <v>11</v>
      </c>
      <c r="L2319" t="s">
        <v>8</v>
      </c>
      <c r="M2319">
        <v>0</v>
      </c>
      <c r="N2319">
        <v>0</v>
      </c>
      <c r="O2319">
        <v>0</v>
      </c>
      <c r="P2319">
        <v>0</v>
      </c>
    </row>
    <row r="2320" spans="1:16" x14ac:dyDescent="0.2">
      <c r="A2320" t="s">
        <v>5542</v>
      </c>
      <c r="B2320" t="s">
        <v>5543</v>
      </c>
      <c r="C2320" t="s">
        <v>3929</v>
      </c>
      <c r="D2320" t="s">
        <v>98</v>
      </c>
      <c r="E2320">
        <v>159.99</v>
      </c>
      <c r="F2320" t="s">
        <v>5817</v>
      </c>
      <c r="L2320" t="s">
        <v>8</v>
      </c>
      <c r="M2320">
        <v>0.33333333333333326</v>
      </c>
      <c r="N2320">
        <v>24.000000000000007</v>
      </c>
      <c r="O2320">
        <v>1.0833333333333333</v>
      </c>
      <c r="P2320">
        <v>8</v>
      </c>
    </row>
    <row r="2321" spans="1:16" x14ac:dyDescent="0.2">
      <c r="A2321" t="s">
        <v>5122</v>
      </c>
      <c r="B2321" t="s">
        <v>5123</v>
      </c>
      <c r="C2321" t="s">
        <v>3929</v>
      </c>
      <c r="D2321" t="s">
        <v>98</v>
      </c>
      <c r="E2321">
        <v>169.99</v>
      </c>
      <c r="F2321" t="s">
        <v>5817</v>
      </c>
      <c r="L2321" t="s">
        <v>8</v>
      </c>
      <c r="M2321">
        <v>0</v>
      </c>
      <c r="N2321">
        <v>0</v>
      </c>
      <c r="O2321">
        <v>0</v>
      </c>
      <c r="P2321">
        <v>0</v>
      </c>
    </row>
    <row r="2322" spans="1:16" x14ac:dyDescent="0.2">
      <c r="A2322" t="s">
        <v>5100</v>
      </c>
      <c r="B2322" t="s">
        <v>5101</v>
      </c>
      <c r="C2322" t="s">
        <v>3929</v>
      </c>
      <c r="D2322" t="s">
        <v>138</v>
      </c>
      <c r="E2322">
        <v>189.99</v>
      </c>
      <c r="F2322" t="s">
        <v>5817</v>
      </c>
      <c r="J2322">
        <v>2</v>
      </c>
      <c r="L2322" t="s">
        <v>8</v>
      </c>
      <c r="N2322">
        <v>0</v>
      </c>
      <c r="O2322">
        <v>0.25</v>
      </c>
      <c r="P2322">
        <v>57</v>
      </c>
    </row>
    <row r="2323" spans="1:16" x14ac:dyDescent="0.2">
      <c r="A2323" t="s">
        <v>4095</v>
      </c>
      <c r="B2323" t="s">
        <v>4096</v>
      </c>
      <c r="C2323" t="s">
        <v>3929</v>
      </c>
      <c r="D2323" t="s">
        <v>98</v>
      </c>
      <c r="E2323">
        <v>99.99</v>
      </c>
      <c r="F2323" t="s">
        <v>5817</v>
      </c>
      <c r="L2323" t="s">
        <v>8</v>
      </c>
      <c r="N2323">
        <v>0</v>
      </c>
      <c r="O2323">
        <v>0.75</v>
      </c>
      <c r="P2323">
        <v>30</v>
      </c>
    </row>
    <row r="2324" spans="1:16" x14ac:dyDescent="0.2">
      <c r="A2324" t="s">
        <v>4083</v>
      </c>
      <c r="B2324" t="s">
        <v>4084</v>
      </c>
      <c r="C2324" t="s">
        <v>3929</v>
      </c>
      <c r="D2324" t="s">
        <v>105</v>
      </c>
      <c r="E2324">
        <v>74.989999999999995</v>
      </c>
      <c r="F2324" t="s">
        <v>5817</v>
      </c>
      <c r="G2324">
        <v>44</v>
      </c>
      <c r="I2324">
        <v>44</v>
      </c>
      <c r="L2324" t="s">
        <v>8</v>
      </c>
      <c r="M2324">
        <v>0</v>
      </c>
      <c r="N2324">
        <v>0</v>
      </c>
      <c r="O2324">
        <v>0</v>
      </c>
      <c r="P2324">
        <v>46</v>
      </c>
    </row>
    <row r="2325" spans="1:16" x14ac:dyDescent="0.2">
      <c r="A2325" t="s">
        <v>5118</v>
      </c>
      <c r="B2325" t="s">
        <v>5119</v>
      </c>
      <c r="C2325" t="s">
        <v>3929</v>
      </c>
      <c r="D2325" t="s">
        <v>98</v>
      </c>
      <c r="E2325">
        <v>109.99</v>
      </c>
      <c r="F2325" t="s">
        <v>5817</v>
      </c>
      <c r="L2325" t="s">
        <v>8</v>
      </c>
      <c r="M2325">
        <v>0</v>
      </c>
      <c r="N2325">
        <v>0</v>
      </c>
      <c r="O2325">
        <v>0</v>
      </c>
      <c r="P2325">
        <v>0</v>
      </c>
    </row>
    <row r="2326" spans="1:16" x14ac:dyDescent="0.2">
      <c r="A2326" t="s">
        <v>4085</v>
      </c>
      <c r="B2326" t="s">
        <v>4086</v>
      </c>
      <c r="C2326" t="s">
        <v>3929</v>
      </c>
      <c r="D2326" t="s">
        <v>98</v>
      </c>
      <c r="E2326">
        <v>119.99</v>
      </c>
      <c r="F2326" t="s">
        <v>5817</v>
      </c>
      <c r="L2326" t="s">
        <v>8</v>
      </c>
      <c r="M2326">
        <v>0</v>
      </c>
      <c r="N2326">
        <v>0</v>
      </c>
      <c r="O2326">
        <v>0</v>
      </c>
      <c r="P2326">
        <v>0</v>
      </c>
    </row>
    <row r="2327" spans="1:16" x14ac:dyDescent="0.2">
      <c r="A2327" t="s">
        <v>5463</v>
      </c>
      <c r="B2327" t="s">
        <v>5464</v>
      </c>
      <c r="C2327" t="s">
        <v>3929</v>
      </c>
      <c r="D2327" t="s">
        <v>98</v>
      </c>
      <c r="E2327">
        <v>199.99</v>
      </c>
      <c r="F2327" t="s">
        <v>5817</v>
      </c>
      <c r="L2327" t="s">
        <v>8</v>
      </c>
      <c r="M2327">
        <v>0</v>
      </c>
      <c r="N2327">
        <v>0</v>
      </c>
      <c r="O2327">
        <v>0</v>
      </c>
      <c r="P2327">
        <v>0</v>
      </c>
    </row>
    <row r="2328" spans="1:16" x14ac:dyDescent="0.2">
      <c r="A2328" t="s">
        <v>4091</v>
      </c>
      <c r="B2328" t="s">
        <v>4092</v>
      </c>
      <c r="C2328" t="s">
        <v>3929</v>
      </c>
      <c r="D2328" t="s">
        <v>105</v>
      </c>
      <c r="E2328">
        <v>159.99</v>
      </c>
      <c r="F2328" t="s">
        <v>5817</v>
      </c>
      <c r="G2328">
        <v>27</v>
      </c>
      <c r="I2328">
        <v>27</v>
      </c>
      <c r="L2328" t="s">
        <v>8</v>
      </c>
      <c r="M2328">
        <v>0</v>
      </c>
      <c r="N2328">
        <v>0</v>
      </c>
      <c r="O2328">
        <v>0</v>
      </c>
      <c r="P2328">
        <v>0</v>
      </c>
    </row>
    <row r="2329" spans="1:16" x14ac:dyDescent="0.2">
      <c r="A2329" t="s">
        <v>5461</v>
      </c>
      <c r="B2329" t="s">
        <v>5462</v>
      </c>
      <c r="C2329" t="s">
        <v>3929</v>
      </c>
      <c r="D2329" t="s">
        <v>98</v>
      </c>
      <c r="E2329">
        <v>89.99</v>
      </c>
      <c r="F2329" t="s">
        <v>5817</v>
      </c>
      <c r="L2329" t="s">
        <v>8</v>
      </c>
      <c r="M2329">
        <v>0</v>
      </c>
      <c r="N2329">
        <v>0</v>
      </c>
      <c r="O2329">
        <v>0</v>
      </c>
      <c r="P2329">
        <v>0</v>
      </c>
    </row>
    <row r="2330" spans="1:16" x14ac:dyDescent="0.2">
      <c r="A2330" t="s">
        <v>5520</v>
      </c>
      <c r="B2330" t="s">
        <v>5521</v>
      </c>
      <c r="C2330" t="s">
        <v>3929</v>
      </c>
      <c r="D2330" t="s">
        <v>138</v>
      </c>
      <c r="E2330">
        <v>89.99</v>
      </c>
      <c r="F2330" t="s">
        <v>5817</v>
      </c>
      <c r="L2330" t="s">
        <v>8</v>
      </c>
      <c r="N2330">
        <v>0</v>
      </c>
      <c r="O2330">
        <v>0</v>
      </c>
      <c r="P2330">
        <v>1</v>
      </c>
    </row>
    <row r="2331" spans="1:16" x14ac:dyDescent="0.2">
      <c r="A2331" t="s">
        <v>5516</v>
      </c>
      <c r="B2331" t="s">
        <v>5517</v>
      </c>
      <c r="C2331" t="s">
        <v>3929</v>
      </c>
      <c r="D2331" t="s">
        <v>98</v>
      </c>
      <c r="E2331">
        <v>19.989999999999998</v>
      </c>
      <c r="F2331" t="s">
        <v>5817</v>
      </c>
      <c r="L2331" t="s">
        <v>8</v>
      </c>
      <c r="M2331">
        <v>0</v>
      </c>
      <c r="N2331">
        <v>0</v>
      </c>
      <c r="O2331">
        <v>0</v>
      </c>
      <c r="P2331">
        <v>0</v>
      </c>
    </row>
    <row r="2332" spans="1:16" x14ac:dyDescent="0.2">
      <c r="A2332" t="s">
        <v>5491</v>
      </c>
      <c r="B2332" t="s">
        <v>5492</v>
      </c>
      <c r="C2332" t="s">
        <v>3929</v>
      </c>
      <c r="D2332" t="s">
        <v>98</v>
      </c>
      <c r="E2332">
        <v>219.99</v>
      </c>
      <c r="F2332" t="s">
        <v>5817</v>
      </c>
      <c r="L2332" t="s">
        <v>8</v>
      </c>
      <c r="N2332">
        <v>0</v>
      </c>
      <c r="O2332">
        <v>0</v>
      </c>
      <c r="P2332">
        <v>1</v>
      </c>
    </row>
    <row r="2333" spans="1:16" x14ac:dyDescent="0.2">
      <c r="A2333" t="s">
        <v>5215</v>
      </c>
      <c r="B2333" t="s">
        <v>5216</v>
      </c>
      <c r="C2333" t="s">
        <v>3929</v>
      </c>
      <c r="D2333" t="s">
        <v>98</v>
      </c>
      <c r="E2333">
        <v>119.99</v>
      </c>
      <c r="F2333" t="s">
        <v>5817</v>
      </c>
      <c r="L2333" t="s">
        <v>8</v>
      </c>
      <c r="M2333">
        <v>0</v>
      </c>
      <c r="N2333">
        <v>0</v>
      </c>
      <c r="O2333">
        <v>0</v>
      </c>
      <c r="P2333">
        <v>0</v>
      </c>
    </row>
    <row r="2334" spans="1:16" x14ac:dyDescent="0.2">
      <c r="A2334" t="s">
        <v>5369</v>
      </c>
      <c r="B2334" t="s">
        <v>5370</v>
      </c>
      <c r="C2334" t="s">
        <v>3929</v>
      </c>
      <c r="D2334" t="s">
        <v>98</v>
      </c>
      <c r="E2334">
        <v>69.989999999999995</v>
      </c>
      <c r="F2334" t="s">
        <v>5817</v>
      </c>
      <c r="L2334" t="s">
        <v>8</v>
      </c>
      <c r="M2334">
        <v>0</v>
      </c>
      <c r="N2334">
        <v>0</v>
      </c>
      <c r="O2334">
        <v>0</v>
      </c>
      <c r="P2334">
        <v>0</v>
      </c>
    </row>
    <row r="2335" spans="1:16" x14ac:dyDescent="0.2">
      <c r="A2335" t="s">
        <v>5345</v>
      </c>
      <c r="B2335" t="s">
        <v>5346</v>
      </c>
      <c r="C2335" t="s">
        <v>3929</v>
      </c>
      <c r="D2335" t="s">
        <v>98</v>
      </c>
      <c r="E2335">
        <v>49.99</v>
      </c>
      <c r="F2335" t="s">
        <v>5817</v>
      </c>
      <c r="L2335" t="s">
        <v>8</v>
      </c>
      <c r="M2335">
        <v>0</v>
      </c>
      <c r="N2335">
        <v>0</v>
      </c>
      <c r="O2335">
        <v>0</v>
      </c>
      <c r="P2335">
        <v>0</v>
      </c>
    </row>
    <row r="2336" spans="1:16" x14ac:dyDescent="0.2">
      <c r="A2336" t="s">
        <v>5110</v>
      </c>
      <c r="B2336" t="s">
        <v>5111</v>
      </c>
      <c r="C2336" t="s">
        <v>3929</v>
      </c>
      <c r="D2336" t="s">
        <v>98</v>
      </c>
      <c r="E2336">
        <v>59.99</v>
      </c>
      <c r="F2336" t="s">
        <v>5817</v>
      </c>
      <c r="L2336" t="s">
        <v>8</v>
      </c>
      <c r="M2336">
        <v>0</v>
      </c>
      <c r="N2336">
        <v>0</v>
      </c>
      <c r="O2336">
        <v>0</v>
      </c>
      <c r="P2336">
        <v>0</v>
      </c>
    </row>
    <row r="2337" spans="1:16" x14ac:dyDescent="0.2">
      <c r="A2337" t="s">
        <v>4161</v>
      </c>
      <c r="B2337" t="s">
        <v>4162</v>
      </c>
      <c r="C2337" t="s">
        <v>3929</v>
      </c>
      <c r="D2337" t="s">
        <v>105</v>
      </c>
      <c r="E2337">
        <v>139.99</v>
      </c>
      <c r="F2337" t="s">
        <v>5817</v>
      </c>
      <c r="G2337">
        <v>22</v>
      </c>
      <c r="H2337" t="s">
        <v>5845</v>
      </c>
      <c r="I2337">
        <v>18</v>
      </c>
      <c r="K2337">
        <v>40</v>
      </c>
      <c r="L2337" t="s">
        <v>8</v>
      </c>
      <c r="M2337">
        <v>0</v>
      </c>
      <c r="N2337">
        <v>0</v>
      </c>
      <c r="O2337">
        <v>0</v>
      </c>
      <c r="P2337">
        <v>0</v>
      </c>
    </row>
    <row r="2338" spans="1:16" x14ac:dyDescent="0.2">
      <c r="A2338" t="s">
        <v>5309</v>
      </c>
      <c r="B2338" t="s">
        <v>5310</v>
      </c>
      <c r="C2338" t="s">
        <v>3929</v>
      </c>
      <c r="D2338" t="s">
        <v>98</v>
      </c>
      <c r="E2338">
        <v>129.99</v>
      </c>
      <c r="F2338" t="s">
        <v>5817</v>
      </c>
      <c r="L2338" t="s">
        <v>8</v>
      </c>
      <c r="N2338">
        <v>0</v>
      </c>
      <c r="O2338">
        <v>0</v>
      </c>
      <c r="P2338">
        <v>1</v>
      </c>
    </row>
    <row r="2339" spans="1:16" x14ac:dyDescent="0.2">
      <c r="A2339" t="s">
        <v>4125</v>
      </c>
      <c r="B2339" t="s">
        <v>4126</v>
      </c>
      <c r="C2339" t="s">
        <v>3929</v>
      </c>
      <c r="D2339" t="s">
        <v>105</v>
      </c>
      <c r="E2339">
        <v>99.99</v>
      </c>
      <c r="F2339" t="s">
        <v>5817</v>
      </c>
      <c r="G2339">
        <v>66</v>
      </c>
      <c r="I2339">
        <v>66</v>
      </c>
      <c r="L2339" t="s">
        <v>8</v>
      </c>
      <c r="M2339">
        <v>1.6</v>
      </c>
      <c r="N2339">
        <v>33.75</v>
      </c>
      <c r="O2339">
        <v>1.3333333333333335</v>
      </c>
      <c r="P2339">
        <v>54</v>
      </c>
    </row>
    <row r="2340" spans="1:16" x14ac:dyDescent="0.2">
      <c r="A2340" t="s">
        <v>4107</v>
      </c>
      <c r="B2340" t="s">
        <v>4108</v>
      </c>
      <c r="C2340" t="s">
        <v>3929</v>
      </c>
      <c r="D2340" t="s">
        <v>138</v>
      </c>
      <c r="E2340">
        <v>119.99</v>
      </c>
      <c r="F2340" t="s">
        <v>5817</v>
      </c>
      <c r="G2340">
        <v>83</v>
      </c>
      <c r="I2340">
        <v>83</v>
      </c>
      <c r="L2340" t="s">
        <v>8</v>
      </c>
      <c r="M2340">
        <v>0</v>
      </c>
      <c r="N2340">
        <v>0</v>
      </c>
      <c r="O2340">
        <v>0</v>
      </c>
      <c r="P2340">
        <v>44</v>
      </c>
    </row>
    <row r="2341" spans="1:16" x14ac:dyDescent="0.2">
      <c r="A2341" t="s">
        <v>5128</v>
      </c>
      <c r="B2341" t="s">
        <v>5129</v>
      </c>
      <c r="C2341" t="s">
        <v>3929</v>
      </c>
      <c r="D2341" t="s">
        <v>138</v>
      </c>
      <c r="E2341">
        <v>129.99</v>
      </c>
      <c r="F2341" t="s">
        <v>5817</v>
      </c>
      <c r="G2341">
        <v>32</v>
      </c>
      <c r="H2341" t="s">
        <v>5823</v>
      </c>
      <c r="I2341">
        <v>31</v>
      </c>
      <c r="L2341" t="s">
        <v>8</v>
      </c>
      <c r="M2341">
        <v>2.2000000000000002</v>
      </c>
      <c r="N2341">
        <v>29.09090909090909</v>
      </c>
      <c r="O2341">
        <v>2.1666666666666665</v>
      </c>
      <c r="P2341">
        <v>64</v>
      </c>
    </row>
    <row r="2342" spans="1:16" x14ac:dyDescent="0.2">
      <c r="A2342" t="s">
        <v>5130</v>
      </c>
      <c r="B2342" t="s">
        <v>5131</v>
      </c>
      <c r="C2342" t="s">
        <v>3929</v>
      </c>
      <c r="D2342" t="s">
        <v>138</v>
      </c>
      <c r="E2342">
        <v>139.99</v>
      </c>
      <c r="F2342" t="s">
        <v>5817</v>
      </c>
      <c r="G2342">
        <v>71</v>
      </c>
      <c r="I2342">
        <v>71</v>
      </c>
      <c r="L2342" t="s">
        <v>8</v>
      </c>
      <c r="M2342">
        <v>0</v>
      </c>
      <c r="N2342">
        <v>0</v>
      </c>
      <c r="O2342">
        <v>0</v>
      </c>
      <c r="P2342">
        <v>44</v>
      </c>
    </row>
    <row r="2343" spans="1:16" x14ac:dyDescent="0.2">
      <c r="A2343" t="s">
        <v>4109</v>
      </c>
      <c r="B2343" t="s">
        <v>4110</v>
      </c>
      <c r="C2343" t="s">
        <v>3929</v>
      </c>
      <c r="D2343" t="s">
        <v>105</v>
      </c>
      <c r="E2343">
        <v>64.989999999999995</v>
      </c>
      <c r="F2343" t="s">
        <v>5817</v>
      </c>
      <c r="G2343">
        <v>20</v>
      </c>
      <c r="I2343">
        <v>20</v>
      </c>
      <c r="L2343" t="s">
        <v>8</v>
      </c>
      <c r="M2343">
        <v>0</v>
      </c>
      <c r="N2343">
        <v>0</v>
      </c>
      <c r="O2343">
        <v>0</v>
      </c>
      <c r="P2343">
        <v>0</v>
      </c>
    </row>
    <row r="2344" spans="1:16" x14ac:dyDescent="0.2">
      <c r="A2344" t="s">
        <v>4111</v>
      </c>
      <c r="B2344" t="s">
        <v>4112</v>
      </c>
      <c r="C2344" t="s">
        <v>3929</v>
      </c>
      <c r="D2344" t="s">
        <v>105</v>
      </c>
      <c r="E2344">
        <v>89.99</v>
      </c>
      <c r="F2344" t="s">
        <v>5817</v>
      </c>
      <c r="G2344">
        <v>53</v>
      </c>
      <c r="I2344">
        <v>53</v>
      </c>
      <c r="L2344" t="s">
        <v>8</v>
      </c>
      <c r="M2344">
        <v>0</v>
      </c>
      <c r="N2344">
        <v>0</v>
      </c>
      <c r="O2344">
        <v>0</v>
      </c>
      <c r="P2344">
        <v>0</v>
      </c>
    </row>
    <row r="2345" spans="1:16" x14ac:dyDescent="0.2">
      <c r="A2345" t="s">
        <v>4113</v>
      </c>
      <c r="B2345" t="s">
        <v>4114</v>
      </c>
      <c r="C2345" t="s">
        <v>3929</v>
      </c>
      <c r="D2345" t="s">
        <v>105</v>
      </c>
      <c r="E2345">
        <v>54.99</v>
      </c>
      <c r="F2345" t="s">
        <v>5817</v>
      </c>
      <c r="G2345">
        <v>25</v>
      </c>
      <c r="I2345">
        <v>25</v>
      </c>
      <c r="L2345" t="s">
        <v>8</v>
      </c>
      <c r="M2345">
        <v>0</v>
      </c>
      <c r="N2345">
        <v>0</v>
      </c>
      <c r="O2345">
        <v>0</v>
      </c>
      <c r="P2345">
        <v>0</v>
      </c>
    </row>
    <row r="2346" spans="1:16" x14ac:dyDescent="0.2">
      <c r="A2346" t="s">
        <v>4115</v>
      </c>
      <c r="B2346" t="s">
        <v>4116</v>
      </c>
      <c r="C2346" t="s">
        <v>3929</v>
      </c>
      <c r="D2346" t="s">
        <v>105</v>
      </c>
      <c r="E2346">
        <v>44.99</v>
      </c>
      <c r="F2346" t="s">
        <v>5817</v>
      </c>
      <c r="K2346">
        <v>20</v>
      </c>
      <c r="L2346" t="s">
        <v>8</v>
      </c>
      <c r="M2346">
        <v>0</v>
      </c>
      <c r="N2346">
        <v>0</v>
      </c>
      <c r="O2346">
        <v>0</v>
      </c>
      <c r="P2346">
        <v>0</v>
      </c>
    </row>
    <row r="2347" spans="1:16" x14ac:dyDescent="0.2">
      <c r="A2347" t="s">
        <v>4117</v>
      </c>
      <c r="B2347" t="s">
        <v>4118</v>
      </c>
      <c r="C2347" t="s">
        <v>3929</v>
      </c>
      <c r="D2347" t="s">
        <v>105</v>
      </c>
      <c r="E2347">
        <v>39.99</v>
      </c>
      <c r="F2347" t="s">
        <v>5817</v>
      </c>
      <c r="G2347">
        <v>75</v>
      </c>
      <c r="I2347">
        <v>75</v>
      </c>
      <c r="L2347" t="s">
        <v>8</v>
      </c>
      <c r="M2347">
        <v>0</v>
      </c>
      <c r="N2347">
        <v>0</v>
      </c>
      <c r="O2347">
        <v>0</v>
      </c>
      <c r="P2347">
        <v>40</v>
      </c>
    </row>
    <row r="2348" spans="1:16" x14ac:dyDescent="0.2">
      <c r="A2348" t="s">
        <v>4119</v>
      </c>
      <c r="B2348" t="s">
        <v>4120</v>
      </c>
      <c r="C2348" t="s">
        <v>3929</v>
      </c>
      <c r="D2348" t="s">
        <v>105</v>
      </c>
      <c r="E2348">
        <v>34.99</v>
      </c>
      <c r="F2348" t="s">
        <v>5817</v>
      </c>
      <c r="G2348">
        <v>38</v>
      </c>
      <c r="I2348">
        <v>38</v>
      </c>
      <c r="L2348" t="s">
        <v>8</v>
      </c>
      <c r="M2348">
        <v>0</v>
      </c>
      <c r="N2348">
        <v>0</v>
      </c>
      <c r="O2348">
        <v>0</v>
      </c>
      <c r="P2348">
        <v>0</v>
      </c>
    </row>
    <row r="2349" spans="1:16" x14ac:dyDescent="0.2">
      <c r="A2349" t="s">
        <v>4123</v>
      </c>
      <c r="B2349" t="s">
        <v>4124</v>
      </c>
      <c r="C2349" t="s">
        <v>3929</v>
      </c>
      <c r="D2349" t="s">
        <v>105</v>
      </c>
      <c r="E2349">
        <v>29.99</v>
      </c>
      <c r="F2349" t="s">
        <v>5817</v>
      </c>
      <c r="G2349">
        <v>44</v>
      </c>
      <c r="I2349">
        <v>44</v>
      </c>
      <c r="L2349" t="s">
        <v>8</v>
      </c>
      <c r="M2349">
        <v>0</v>
      </c>
      <c r="N2349">
        <v>0</v>
      </c>
      <c r="O2349">
        <v>0</v>
      </c>
      <c r="P2349">
        <v>0</v>
      </c>
    </row>
    <row r="2350" spans="1:16" x14ac:dyDescent="0.2">
      <c r="A2350" t="s">
        <v>5302</v>
      </c>
      <c r="B2350" t="s">
        <v>5303</v>
      </c>
      <c r="C2350" t="s">
        <v>5304</v>
      </c>
      <c r="D2350" t="s">
        <v>98</v>
      </c>
      <c r="E2350">
        <v>1199.99</v>
      </c>
      <c r="F2350" t="s">
        <v>5817</v>
      </c>
      <c r="L2350" t="s">
        <v>73</v>
      </c>
      <c r="M2350">
        <v>0</v>
      </c>
      <c r="N2350">
        <v>0</v>
      </c>
      <c r="O2350">
        <v>0</v>
      </c>
      <c r="P2350">
        <v>0</v>
      </c>
    </row>
    <row r="2351" spans="1:16" x14ac:dyDescent="0.2">
      <c r="A2351" t="s">
        <v>5302</v>
      </c>
      <c r="B2351" t="s">
        <v>5303</v>
      </c>
      <c r="C2351" t="s">
        <v>5304</v>
      </c>
      <c r="D2351" t="s">
        <v>98</v>
      </c>
      <c r="E2351">
        <v>1199.99</v>
      </c>
      <c r="F2351" t="s">
        <v>5817</v>
      </c>
      <c r="L2351" t="s">
        <v>5818</v>
      </c>
      <c r="M2351">
        <v>0</v>
      </c>
      <c r="N2351">
        <v>0</v>
      </c>
      <c r="O2351">
        <v>0</v>
      </c>
      <c r="P2351" t="s">
        <v>5819</v>
      </c>
    </row>
    <row r="2352" spans="1:16" x14ac:dyDescent="0.2">
      <c r="A2352" t="s">
        <v>5302</v>
      </c>
      <c r="B2352" t="s">
        <v>5303</v>
      </c>
      <c r="C2352" t="s">
        <v>5304</v>
      </c>
      <c r="D2352" t="s">
        <v>98</v>
      </c>
      <c r="E2352">
        <v>1199.99</v>
      </c>
      <c r="F2352" t="s">
        <v>5817</v>
      </c>
      <c r="L2352" t="s">
        <v>5065</v>
      </c>
      <c r="M2352">
        <v>0</v>
      </c>
      <c r="N2352">
        <v>0</v>
      </c>
      <c r="P2352">
        <v>0</v>
      </c>
    </row>
    <row r="2353" spans="1:16" x14ac:dyDescent="0.2">
      <c r="A2353" t="s">
        <v>5302</v>
      </c>
      <c r="B2353" t="s">
        <v>5303</v>
      </c>
      <c r="C2353" t="s">
        <v>5304</v>
      </c>
      <c r="D2353" t="s">
        <v>98</v>
      </c>
      <c r="E2353">
        <v>1199.99</v>
      </c>
      <c r="F2353" t="s">
        <v>5817</v>
      </c>
      <c r="L2353" t="s">
        <v>8</v>
      </c>
      <c r="M2353">
        <v>0</v>
      </c>
      <c r="N2353">
        <v>0</v>
      </c>
      <c r="O2353">
        <v>0</v>
      </c>
      <c r="P2353">
        <v>0</v>
      </c>
    </row>
    <row r="2354" spans="1:16" x14ac:dyDescent="0.2">
      <c r="A2354" t="s">
        <v>4340</v>
      </c>
      <c r="B2354" t="s">
        <v>4341</v>
      </c>
      <c r="C2354" t="s">
        <v>4283</v>
      </c>
      <c r="D2354" t="s">
        <v>105</v>
      </c>
      <c r="E2354">
        <v>549.99</v>
      </c>
      <c r="F2354" t="s">
        <v>5817</v>
      </c>
      <c r="G2354">
        <v>16</v>
      </c>
      <c r="I2354">
        <v>16</v>
      </c>
      <c r="L2354" t="s">
        <v>73</v>
      </c>
      <c r="M2354">
        <v>0</v>
      </c>
      <c r="N2354">
        <v>0</v>
      </c>
      <c r="O2354">
        <v>0</v>
      </c>
      <c r="P2354">
        <v>5</v>
      </c>
    </row>
    <row r="2355" spans="1:16" x14ac:dyDescent="0.2">
      <c r="A2355" t="s">
        <v>5351</v>
      </c>
      <c r="B2355" t="s">
        <v>5352</v>
      </c>
      <c r="C2355" t="s">
        <v>4283</v>
      </c>
      <c r="D2355" t="s">
        <v>98</v>
      </c>
      <c r="E2355">
        <v>449.99</v>
      </c>
      <c r="F2355" t="s">
        <v>5817</v>
      </c>
      <c r="L2355" t="s">
        <v>73</v>
      </c>
      <c r="M2355">
        <v>0</v>
      </c>
      <c r="N2355">
        <v>0</v>
      </c>
      <c r="O2355">
        <v>0</v>
      </c>
      <c r="P2355">
        <v>0</v>
      </c>
    </row>
    <row r="2356" spans="1:16" x14ac:dyDescent="0.2">
      <c r="A2356" t="s">
        <v>4328</v>
      </c>
      <c r="B2356" t="s">
        <v>4329</v>
      </c>
      <c r="C2356" t="s">
        <v>4283</v>
      </c>
      <c r="D2356" t="s">
        <v>105</v>
      </c>
      <c r="E2356">
        <v>179.99</v>
      </c>
      <c r="F2356" t="s">
        <v>5817</v>
      </c>
      <c r="G2356">
        <v>63</v>
      </c>
      <c r="I2356">
        <v>63</v>
      </c>
      <c r="L2356" t="s">
        <v>73</v>
      </c>
      <c r="M2356">
        <v>3.5</v>
      </c>
      <c r="N2356">
        <v>4.2857142857142856</v>
      </c>
      <c r="O2356">
        <v>0.83333333333333337</v>
      </c>
      <c r="P2356">
        <v>15</v>
      </c>
    </row>
    <row r="2357" spans="1:16" x14ac:dyDescent="0.2">
      <c r="A2357" t="s">
        <v>5357</v>
      </c>
      <c r="B2357" t="s">
        <v>5358</v>
      </c>
      <c r="C2357" t="s">
        <v>4283</v>
      </c>
      <c r="D2357" t="s">
        <v>98</v>
      </c>
      <c r="E2357">
        <v>249.99</v>
      </c>
      <c r="F2357" t="s">
        <v>5817</v>
      </c>
      <c r="L2357" t="s">
        <v>73</v>
      </c>
      <c r="M2357">
        <v>0</v>
      </c>
      <c r="N2357">
        <v>0</v>
      </c>
      <c r="O2357">
        <v>0</v>
      </c>
      <c r="P2357">
        <v>0</v>
      </c>
    </row>
    <row r="2358" spans="1:16" x14ac:dyDescent="0.2">
      <c r="A2358" t="s">
        <v>5349</v>
      </c>
      <c r="B2358" t="s">
        <v>5350</v>
      </c>
      <c r="C2358" t="s">
        <v>4283</v>
      </c>
      <c r="D2358" t="s">
        <v>98</v>
      </c>
      <c r="E2358">
        <v>1799.99</v>
      </c>
      <c r="F2358" t="s">
        <v>5817</v>
      </c>
      <c r="L2358" t="s">
        <v>73</v>
      </c>
      <c r="M2358">
        <v>0</v>
      </c>
      <c r="N2358">
        <v>0</v>
      </c>
      <c r="O2358">
        <v>0</v>
      </c>
      <c r="P2358">
        <v>0</v>
      </c>
    </row>
    <row r="2359" spans="1:16" x14ac:dyDescent="0.2">
      <c r="A2359" t="s">
        <v>4322</v>
      </c>
      <c r="B2359" t="s">
        <v>4323</v>
      </c>
      <c r="C2359" t="s">
        <v>4283</v>
      </c>
      <c r="D2359" t="s">
        <v>105</v>
      </c>
      <c r="E2359">
        <v>299.99</v>
      </c>
      <c r="F2359" t="s">
        <v>5817</v>
      </c>
      <c r="G2359">
        <v>20</v>
      </c>
      <c r="I2359">
        <v>20</v>
      </c>
      <c r="L2359" t="s">
        <v>73</v>
      </c>
      <c r="M2359">
        <v>0</v>
      </c>
      <c r="N2359">
        <v>0</v>
      </c>
      <c r="O2359">
        <v>0.58333333333333337</v>
      </c>
      <c r="P2359">
        <v>0</v>
      </c>
    </row>
    <row r="2360" spans="1:16" x14ac:dyDescent="0.2">
      <c r="A2360" t="s">
        <v>4312</v>
      </c>
      <c r="B2360" t="s">
        <v>4313</v>
      </c>
      <c r="C2360" t="s">
        <v>4283</v>
      </c>
      <c r="D2360" t="s">
        <v>98</v>
      </c>
      <c r="E2360">
        <v>329.99</v>
      </c>
      <c r="F2360" t="s">
        <v>5817</v>
      </c>
      <c r="L2360" t="s">
        <v>73</v>
      </c>
      <c r="M2360">
        <v>0</v>
      </c>
      <c r="N2360">
        <v>0</v>
      </c>
      <c r="O2360">
        <v>0</v>
      </c>
      <c r="P2360">
        <v>0</v>
      </c>
    </row>
    <row r="2361" spans="1:16" x14ac:dyDescent="0.2">
      <c r="A2361" t="s">
        <v>5259</v>
      </c>
      <c r="B2361" t="s">
        <v>5260</v>
      </c>
      <c r="C2361" t="s">
        <v>4283</v>
      </c>
      <c r="D2361" t="s">
        <v>105</v>
      </c>
      <c r="E2361">
        <v>399.99</v>
      </c>
      <c r="F2361" t="s">
        <v>5817</v>
      </c>
      <c r="G2361">
        <v>3</v>
      </c>
      <c r="I2361">
        <v>3</v>
      </c>
      <c r="L2361" t="s">
        <v>73</v>
      </c>
      <c r="M2361">
        <v>0</v>
      </c>
      <c r="N2361">
        <v>0</v>
      </c>
      <c r="O2361">
        <v>0</v>
      </c>
      <c r="P2361">
        <v>0</v>
      </c>
    </row>
    <row r="2362" spans="1:16" x14ac:dyDescent="0.2">
      <c r="A2362" t="s">
        <v>4306</v>
      </c>
      <c r="B2362" t="s">
        <v>4307</v>
      </c>
      <c r="C2362" t="s">
        <v>4283</v>
      </c>
      <c r="D2362" t="s">
        <v>98</v>
      </c>
      <c r="E2362">
        <v>329.99</v>
      </c>
      <c r="F2362" t="s">
        <v>5817</v>
      </c>
      <c r="L2362" t="s">
        <v>73</v>
      </c>
      <c r="M2362">
        <v>0</v>
      </c>
      <c r="N2362">
        <v>0</v>
      </c>
      <c r="O2362">
        <v>0</v>
      </c>
      <c r="P2362">
        <v>0</v>
      </c>
    </row>
    <row r="2363" spans="1:16" x14ac:dyDescent="0.2">
      <c r="A2363" t="s">
        <v>4294</v>
      </c>
      <c r="B2363" t="s">
        <v>4295</v>
      </c>
      <c r="C2363" t="s">
        <v>4283</v>
      </c>
      <c r="D2363" t="s">
        <v>105</v>
      </c>
      <c r="E2363">
        <v>5699.99</v>
      </c>
      <c r="F2363" t="s">
        <v>5817</v>
      </c>
      <c r="G2363">
        <v>9</v>
      </c>
      <c r="I2363">
        <v>9</v>
      </c>
      <c r="L2363" t="s">
        <v>73</v>
      </c>
      <c r="M2363">
        <v>0</v>
      </c>
      <c r="N2363">
        <v>0</v>
      </c>
      <c r="O2363">
        <v>8.3333333333333329E-2</v>
      </c>
      <c r="P2363">
        <v>1</v>
      </c>
    </row>
    <row r="2364" spans="1:16" x14ac:dyDescent="0.2">
      <c r="A2364" t="s">
        <v>5266</v>
      </c>
      <c r="B2364" t="s">
        <v>5267</v>
      </c>
      <c r="C2364" t="s">
        <v>4283</v>
      </c>
      <c r="D2364" t="s">
        <v>105</v>
      </c>
      <c r="E2364">
        <v>4599.99</v>
      </c>
      <c r="F2364" t="s">
        <v>5817</v>
      </c>
      <c r="L2364" t="s">
        <v>73</v>
      </c>
      <c r="M2364">
        <v>0</v>
      </c>
      <c r="N2364">
        <v>0</v>
      </c>
      <c r="O2364">
        <v>0</v>
      </c>
      <c r="P2364">
        <v>0</v>
      </c>
    </row>
    <row r="2365" spans="1:16" x14ac:dyDescent="0.2">
      <c r="A2365" t="s">
        <v>4292</v>
      </c>
      <c r="B2365" t="s">
        <v>4293</v>
      </c>
      <c r="C2365" t="s">
        <v>4283</v>
      </c>
      <c r="D2365" t="s">
        <v>105</v>
      </c>
      <c r="E2365">
        <v>379.99</v>
      </c>
      <c r="F2365" t="s">
        <v>5817</v>
      </c>
      <c r="G2365">
        <v>59</v>
      </c>
      <c r="I2365">
        <v>59</v>
      </c>
      <c r="L2365" t="s">
        <v>73</v>
      </c>
      <c r="M2365">
        <v>3.25</v>
      </c>
      <c r="N2365">
        <v>8.615384615384615</v>
      </c>
      <c r="O2365">
        <v>1</v>
      </c>
      <c r="P2365">
        <v>28</v>
      </c>
    </row>
    <row r="2366" spans="1:16" x14ac:dyDescent="0.2">
      <c r="A2366" t="s">
        <v>5284</v>
      </c>
      <c r="B2366" t="s">
        <v>5285</v>
      </c>
      <c r="C2366" t="s">
        <v>4283</v>
      </c>
      <c r="D2366" t="s">
        <v>105</v>
      </c>
      <c r="E2366">
        <v>329.99</v>
      </c>
      <c r="F2366" t="s">
        <v>5817</v>
      </c>
      <c r="G2366">
        <v>2</v>
      </c>
      <c r="H2366" t="s">
        <v>5823</v>
      </c>
      <c r="I2366">
        <v>1</v>
      </c>
      <c r="L2366" t="s">
        <v>73</v>
      </c>
      <c r="M2366">
        <v>0</v>
      </c>
      <c r="N2366">
        <v>0</v>
      </c>
      <c r="O2366">
        <v>0</v>
      </c>
      <c r="P2366">
        <v>0</v>
      </c>
    </row>
    <row r="2367" spans="1:16" x14ac:dyDescent="0.2">
      <c r="A2367" t="s">
        <v>4318</v>
      </c>
      <c r="B2367" t="s">
        <v>4319</v>
      </c>
      <c r="C2367" t="s">
        <v>4283</v>
      </c>
      <c r="D2367" t="s">
        <v>105</v>
      </c>
      <c r="E2367">
        <v>2899.99</v>
      </c>
      <c r="F2367" t="s">
        <v>5817</v>
      </c>
      <c r="G2367">
        <v>5</v>
      </c>
      <c r="I2367">
        <v>5</v>
      </c>
      <c r="L2367" t="s">
        <v>73</v>
      </c>
      <c r="M2367">
        <v>0</v>
      </c>
      <c r="N2367">
        <v>0</v>
      </c>
      <c r="O2367">
        <v>0</v>
      </c>
      <c r="P2367">
        <v>0</v>
      </c>
    </row>
    <row r="2368" spans="1:16" x14ac:dyDescent="0.2">
      <c r="A2368" t="s">
        <v>4316</v>
      </c>
      <c r="B2368" t="s">
        <v>4317</v>
      </c>
      <c r="C2368" t="s">
        <v>4283</v>
      </c>
      <c r="D2368" t="s">
        <v>105</v>
      </c>
      <c r="E2368">
        <v>249.99</v>
      </c>
      <c r="F2368" t="s">
        <v>5817</v>
      </c>
      <c r="G2368">
        <v>20</v>
      </c>
      <c r="I2368">
        <v>20</v>
      </c>
      <c r="L2368" t="s">
        <v>73</v>
      </c>
      <c r="M2368">
        <v>0</v>
      </c>
      <c r="N2368">
        <v>0</v>
      </c>
      <c r="O2368">
        <v>0.33333333333333331</v>
      </c>
      <c r="P2368">
        <v>1</v>
      </c>
    </row>
    <row r="2369" spans="1:16" x14ac:dyDescent="0.2">
      <c r="A2369" t="s">
        <v>5276</v>
      </c>
      <c r="B2369" t="s">
        <v>5277</v>
      </c>
      <c r="C2369" t="s">
        <v>4283</v>
      </c>
      <c r="D2369" t="s">
        <v>105</v>
      </c>
      <c r="E2369">
        <v>329.99</v>
      </c>
      <c r="F2369" t="s">
        <v>5817</v>
      </c>
      <c r="G2369">
        <v>2</v>
      </c>
      <c r="I2369">
        <v>2</v>
      </c>
      <c r="L2369" t="s">
        <v>73</v>
      </c>
      <c r="M2369">
        <v>0</v>
      </c>
      <c r="N2369">
        <v>0</v>
      </c>
      <c r="O2369">
        <v>0</v>
      </c>
      <c r="P2369">
        <v>0</v>
      </c>
    </row>
    <row r="2370" spans="1:16" x14ac:dyDescent="0.2">
      <c r="A2370" t="s">
        <v>5282</v>
      </c>
      <c r="B2370" t="s">
        <v>5283</v>
      </c>
      <c r="C2370" t="s">
        <v>4283</v>
      </c>
      <c r="D2370" t="s">
        <v>105</v>
      </c>
      <c r="E2370">
        <v>329.99</v>
      </c>
      <c r="F2370" t="s">
        <v>5817</v>
      </c>
      <c r="G2370">
        <v>2</v>
      </c>
      <c r="I2370">
        <v>2</v>
      </c>
      <c r="L2370" t="s">
        <v>73</v>
      </c>
      <c r="M2370">
        <v>0</v>
      </c>
      <c r="N2370">
        <v>0</v>
      </c>
      <c r="O2370">
        <v>0</v>
      </c>
      <c r="P2370">
        <v>0</v>
      </c>
    </row>
    <row r="2371" spans="1:16" x14ac:dyDescent="0.2">
      <c r="A2371" t="s">
        <v>4316</v>
      </c>
      <c r="B2371" t="s">
        <v>4317</v>
      </c>
      <c r="C2371" t="s">
        <v>4283</v>
      </c>
      <c r="D2371" t="s">
        <v>105</v>
      </c>
      <c r="E2371">
        <v>249.99</v>
      </c>
      <c r="F2371" t="s">
        <v>5817</v>
      </c>
      <c r="G2371">
        <v>20</v>
      </c>
      <c r="I2371">
        <v>20</v>
      </c>
      <c r="L2371" t="s">
        <v>5818</v>
      </c>
      <c r="M2371">
        <v>0</v>
      </c>
      <c r="N2371">
        <v>0</v>
      </c>
      <c r="O2371">
        <v>0</v>
      </c>
      <c r="P2371" t="s">
        <v>5819</v>
      </c>
    </row>
    <row r="2372" spans="1:16" x14ac:dyDescent="0.2">
      <c r="A2372" t="s">
        <v>5276</v>
      </c>
      <c r="B2372" t="s">
        <v>5277</v>
      </c>
      <c r="C2372" t="s">
        <v>4283</v>
      </c>
      <c r="D2372" t="s">
        <v>105</v>
      </c>
      <c r="E2372">
        <v>329.99</v>
      </c>
      <c r="F2372" t="s">
        <v>5817</v>
      </c>
      <c r="G2372">
        <v>2</v>
      </c>
      <c r="I2372">
        <v>2</v>
      </c>
      <c r="L2372" t="s">
        <v>5818</v>
      </c>
      <c r="M2372">
        <v>0</v>
      </c>
      <c r="N2372">
        <v>0</v>
      </c>
      <c r="O2372">
        <v>0</v>
      </c>
      <c r="P2372" t="s">
        <v>5819</v>
      </c>
    </row>
    <row r="2373" spans="1:16" x14ac:dyDescent="0.2">
      <c r="A2373" t="s">
        <v>5282</v>
      </c>
      <c r="B2373" t="s">
        <v>5283</v>
      </c>
      <c r="C2373" t="s">
        <v>4283</v>
      </c>
      <c r="D2373" t="s">
        <v>105</v>
      </c>
      <c r="E2373">
        <v>329.99</v>
      </c>
      <c r="F2373" t="s">
        <v>5817</v>
      </c>
      <c r="G2373">
        <v>2</v>
      </c>
      <c r="I2373">
        <v>2</v>
      </c>
      <c r="L2373" t="s">
        <v>5818</v>
      </c>
      <c r="M2373">
        <v>0</v>
      </c>
      <c r="N2373">
        <v>0</v>
      </c>
      <c r="O2373">
        <v>0</v>
      </c>
      <c r="P2373" t="s">
        <v>5819</v>
      </c>
    </row>
    <row r="2374" spans="1:16" x14ac:dyDescent="0.2">
      <c r="A2374" t="s">
        <v>5284</v>
      </c>
      <c r="B2374" t="s">
        <v>5285</v>
      </c>
      <c r="C2374" t="s">
        <v>4283</v>
      </c>
      <c r="D2374" t="s">
        <v>105</v>
      </c>
      <c r="E2374">
        <v>329.99</v>
      </c>
      <c r="F2374" t="s">
        <v>5817</v>
      </c>
      <c r="G2374">
        <v>2</v>
      </c>
      <c r="H2374" t="s">
        <v>5823</v>
      </c>
      <c r="I2374">
        <v>1</v>
      </c>
      <c r="L2374" t="s">
        <v>5818</v>
      </c>
      <c r="M2374">
        <v>0</v>
      </c>
      <c r="N2374">
        <v>0</v>
      </c>
      <c r="O2374">
        <v>0</v>
      </c>
      <c r="P2374" t="s">
        <v>5819</v>
      </c>
    </row>
    <row r="2375" spans="1:16" x14ac:dyDescent="0.2">
      <c r="A2375" t="s">
        <v>4312</v>
      </c>
      <c r="B2375" t="s">
        <v>4313</v>
      </c>
      <c r="C2375" t="s">
        <v>4283</v>
      </c>
      <c r="D2375" t="s">
        <v>98</v>
      </c>
      <c r="E2375">
        <v>329.99</v>
      </c>
      <c r="F2375" t="s">
        <v>5817</v>
      </c>
      <c r="L2375" t="s">
        <v>5818</v>
      </c>
      <c r="M2375">
        <v>0</v>
      </c>
      <c r="N2375">
        <v>0</v>
      </c>
      <c r="O2375">
        <v>0</v>
      </c>
      <c r="P2375" t="s">
        <v>5819</v>
      </c>
    </row>
    <row r="2376" spans="1:16" x14ac:dyDescent="0.2">
      <c r="A2376" t="s">
        <v>4306</v>
      </c>
      <c r="B2376" t="s">
        <v>4307</v>
      </c>
      <c r="C2376" t="s">
        <v>4283</v>
      </c>
      <c r="D2376" t="s">
        <v>98</v>
      </c>
      <c r="E2376">
        <v>329.99</v>
      </c>
      <c r="F2376" t="s">
        <v>5817</v>
      </c>
      <c r="L2376" t="s">
        <v>5818</v>
      </c>
      <c r="M2376">
        <v>0</v>
      </c>
      <c r="N2376">
        <v>0</v>
      </c>
      <c r="O2376">
        <v>0</v>
      </c>
      <c r="P2376" t="s">
        <v>5819</v>
      </c>
    </row>
    <row r="2377" spans="1:16" x14ac:dyDescent="0.2">
      <c r="A2377" t="s">
        <v>4294</v>
      </c>
      <c r="B2377" t="s">
        <v>4295</v>
      </c>
      <c r="C2377" t="s">
        <v>4283</v>
      </c>
      <c r="D2377" t="s">
        <v>105</v>
      </c>
      <c r="E2377">
        <v>5699.99</v>
      </c>
      <c r="F2377" t="s">
        <v>5817</v>
      </c>
      <c r="G2377">
        <v>9</v>
      </c>
      <c r="I2377">
        <v>9</v>
      </c>
      <c r="L2377" t="s">
        <v>5818</v>
      </c>
      <c r="M2377">
        <v>0</v>
      </c>
      <c r="N2377">
        <v>0</v>
      </c>
      <c r="O2377">
        <v>0</v>
      </c>
      <c r="P2377" t="s">
        <v>5819</v>
      </c>
    </row>
    <row r="2378" spans="1:16" x14ac:dyDescent="0.2">
      <c r="A2378" t="s">
        <v>4292</v>
      </c>
      <c r="B2378" t="s">
        <v>4293</v>
      </c>
      <c r="C2378" t="s">
        <v>4283</v>
      </c>
      <c r="D2378" t="s">
        <v>105</v>
      </c>
      <c r="E2378">
        <v>379.99</v>
      </c>
      <c r="F2378" t="s">
        <v>5817</v>
      </c>
      <c r="G2378">
        <v>59</v>
      </c>
      <c r="I2378">
        <v>59</v>
      </c>
      <c r="L2378" t="s">
        <v>5818</v>
      </c>
      <c r="M2378">
        <v>0</v>
      </c>
      <c r="N2378">
        <v>0</v>
      </c>
      <c r="O2378">
        <v>0</v>
      </c>
      <c r="P2378" t="s">
        <v>5819</v>
      </c>
    </row>
    <row r="2379" spans="1:16" x14ac:dyDescent="0.2">
      <c r="A2379" t="s">
        <v>4318</v>
      </c>
      <c r="B2379" t="s">
        <v>4319</v>
      </c>
      <c r="C2379" t="s">
        <v>4283</v>
      </c>
      <c r="D2379" t="s">
        <v>105</v>
      </c>
      <c r="E2379">
        <v>2899.99</v>
      </c>
      <c r="F2379" t="s">
        <v>5817</v>
      </c>
      <c r="G2379">
        <v>5</v>
      </c>
      <c r="I2379">
        <v>5</v>
      </c>
      <c r="L2379" t="s">
        <v>5818</v>
      </c>
      <c r="M2379">
        <v>0</v>
      </c>
      <c r="N2379">
        <v>0</v>
      </c>
      <c r="O2379">
        <v>0</v>
      </c>
      <c r="P2379" t="s">
        <v>5819</v>
      </c>
    </row>
    <row r="2380" spans="1:16" x14ac:dyDescent="0.2">
      <c r="A2380" t="s">
        <v>4322</v>
      </c>
      <c r="B2380" t="s">
        <v>4323</v>
      </c>
      <c r="C2380" t="s">
        <v>4283</v>
      </c>
      <c r="D2380" t="s">
        <v>105</v>
      </c>
      <c r="E2380">
        <v>299.99</v>
      </c>
      <c r="F2380" t="s">
        <v>5817</v>
      </c>
      <c r="G2380">
        <v>20</v>
      </c>
      <c r="I2380">
        <v>20</v>
      </c>
      <c r="L2380" t="s">
        <v>5818</v>
      </c>
      <c r="M2380">
        <v>0</v>
      </c>
      <c r="N2380">
        <v>0</v>
      </c>
      <c r="O2380">
        <v>0</v>
      </c>
      <c r="P2380" t="s">
        <v>5819</v>
      </c>
    </row>
    <row r="2381" spans="1:16" x14ac:dyDescent="0.2">
      <c r="A2381" t="s">
        <v>5357</v>
      </c>
      <c r="B2381" t="s">
        <v>5358</v>
      </c>
      <c r="C2381" t="s">
        <v>4283</v>
      </c>
      <c r="D2381" t="s">
        <v>98</v>
      </c>
      <c r="E2381">
        <v>249.99</v>
      </c>
      <c r="F2381" t="s">
        <v>5817</v>
      </c>
      <c r="L2381" t="s">
        <v>5818</v>
      </c>
      <c r="M2381">
        <v>0</v>
      </c>
      <c r="N2381">
        <v>0</v>
      </c>
      <c r="O2381">
        <v>0</v>
      </c>
      <c r="P2381" t="s">
        <v>5819</v>
      </c>
    </row>
    <row r="2382" spans="1:16" x14ac:dyDescent="0.2">
      <c r="A2382" t="s">
        <v>5644</v>
      </c>
      <c r="B2382" t="s">
        <v>5645</v>
      </c>
      <c r="C2382" t="s">
        <v>4283</v>
      </c>
      <c r="D2382" t="s">
        <v>98</v>
      </c>
      <c r="E2382">
        <v>89.99</v>
      </c>
      <c r="F2382" t="s">
        <v>5817</v>
      </c>
      <c r="L2382" t="s">
        <v>5818</v>
      </c>
      <c r="M2382">
        <v>0</v>
      </c>
      <c r="N2382">
        <v>0</v>
      </c>
      <c r="O2382">
        <v>0</v>
      </c>
      <c r="P2382" t="s">
        <v>5819</v>
      </c>
    </row>
    <row r="2383" spans="1:16" x14ac:dyDescent="0.2">
      <c r="A2383" t="s">
        <v>5349</v>
      </c>
      <c r="B2383" t="s">
        <v>5350</v>
      </c>
      <c r="C2383" t="s">
        <v>4283</v>
      </c>
      <c r="D2383" t="s">
        <v>98</v>
      </c>
      <c r="E2383">
        <v>1799.99</v>
      </c>
      <c r="F2383" t="s">
        <v>5817</v>
      </c>
      <c r="L2383" t="s">
        <v>5818</v>
      </c>
      <c r="M2383">
        <v>0</v>
      </c>
      <c r="N2383">
        <v>0</v>
      </c>
      <c r="O2383">
        <v>0</v>
      </c>
      <c r="P2383" t="s">
        <v>5819</v>
      </c>
    </row>
    <row r="2384" spans="1:16" x14ac:dyDescent="0.2">
      <c r="A2384" t="s">
        <v>4328</v>
      </c>
      <c r="B2384" t="s">
        <v>4329</v>
      </c>
      <c r="C2384" t="s">
        <v>4283</v>
      </c>
      <c r="D2384" t="s">
        <v>105</v>
      </c>
      <c r="E2384">
        <v>179.99</v>
      </c>
      <c r="F2384" t="s">
        <v>5817</v>
      </c>
      <c r="G2384">
        <v>63</v>
      </c>
      <c r="I2384">
        <v>63</v>
      </c>
      <c r="L2384" t="s">
        <v>5818</v>
      </c>
      <c r="M2384">
        <v>0</v>
      </c>
      <c r="N2384">
        <v>0</v>
      </c>
      <c r="O2384">
        <v>0</v>
      </c>
      <c r="P2384" t="s">
        <v>5819</v>
      </c>
    </row>
    <row r="2385" spans="1:16" x14ac:dyDescent="0.2">
      <c r="A2385" t="s">
        <v>5642</v>
      </c>
      <c r="B2385" t="s">
        <v>5643</v>
      </c>
      <c r="C2385" t="s">
        <v>4283</v>
      </c>
      <c r="D2385" t="s">
        <v>98</v>
      </c>
      <c r="E2385">
        <v>219.99</v>
      </c>
      <c r="F2385" t="s">
        <v>5817</v>
      </c>
      <c r="L2385" t="s">
        <v>5818</v>
      </c>
      <c r="M2385">
        <v>0</v>
      </c>
      <c r="N2385">
        <v>0</v>
      </c>
      <c r="O2385">
        <v>0</v>
      </c>
      <c r="P2385" t="s">
        <v>5819</v>
      </c>
    </row>
    <row r="2386" spans="1:16" x14ac:dyDescent="0.2">
      <c r="A2386" t="s">
        <v>4328</v>
      </c>
      <c r="B2386" t="s">
        <v>4329</v>
      </c>
      <c r="C2386" t="s">
        <v>4283</v>
      </c>
      <c r="D2386" t="s">
        <v>105</v>
      </c>
      <c r="E2386">
        <v>179.99</v>
      </c>
      <c r="F2386" t="s">
        <v>5817</v>
      </c>
      <c r="G2386">
        <v>63</v>
      </c>
      <c r="I2386">
        <v>63</v>
      </c>
      <c r="L2386" t="s">
        <v>5085</v>
      </c>
      <c r="M2386">
        <v>0</v>
      </c>
      <c r="N2386">
        <v>0</v>
      </c>
      <c r="O2386">
        <v>0.58333333333333326</v>
      </c>
      <c r="P2386" t="s">
        <v>5819</v>
      </c>
    </row>
    <row r="2387" spans="1:16" x14ac:dyDescent="0.2">
      <c r="A2387" t="s">
        <v>5259</v>
      </c>
      <c r="B2387" t="s">
        <v>5260</v>
      </c>
      <c r="C2387" t="s">
        <v>4283</v>
      </c>
      <c r="D2387" t="s">
        <v>105</v>
      </c>
      <c r="E2387">
        <v>399.99</v>
      </c>
      <c r="F2387" t="s">
        <v>5817</v>
      </c>
      <c r="G2387">
        <v>3</v>
      </c>
      <c r="I2387">
        <v>3</v>
      </c>
      <c r="L2387" t="s">
        <v>5085</v>
      </c>
      <c r="M2387">
        <v>0</v>
      </c>
      <c r="N2387">
        <v>0</v>
      </c>
      <c r="O2387">
        <v>0</v>
      </c>
      <c r="P2387" t="s">
        <v>5819</v>
      </c>
    </row>
    <row r="2388" spans="1:16" x14ac:dyDescent="0.2">
      <c r="A2388" t="s">
        <v>5688</v>
      </c>
      <c r="B2388" t="s">
        <v>5689</v>
      </c>
      <c r="C2388" t="s">
        <v>4283</v>
      </c>
      <c r="D2388" t="s">
        <v>105</v>
      </c>
      <c r="E2388">
        <v>399.99</v>
      </c>
      <c r="F2388" t="s">
        <v>5817</v>
      </c>
      <c r="G2388">
        <v>1</v>
      </c>
      <c r="I2388">
        <v>1</v>
      </c>
      <c r="L2388" t="s">
        <v>5085</v>
      </c>
      <c r="M2388">
        <v>0</v>
      </c>
      <c r="N2388">
        <v>0</v>
      </c>
      <c r="O2388">
        <v>0</v>
      </c>
      <c r="P2388" t="s">
        <v>5819</v>
      </c>
    </row>
    <row r="2389" spans="1:16" x14ac:dyDescent="0.2">
      <c r="A2389" t="s">
        <v>4294</v>
      </c>
      <c r="B2389" t="s">
        <v>4295</v>
      </c>
      <c r="C2389" t="s">
        <v>4283</v>
      </c>
      <c r="D2389" t="s">
        <v>105</v>
      </c>
      <c r="E2389">
        <v>5699.99</v>
      </c>
      <c r="F2389" t="s">
        <v>5817</v>
      </c>
      <c r="G2389">
        <v>9</v>
      </c>
      <c r="I2389">
        <v>9</v>
      </c>
      <c r="L2389" t="s">
        <v>5085</v>
      </c>
      <c r="M2389">
        <v>0</v>
      </c>
      <c r="N2389">
        <v>0</v>
      </c>
      <c r="O2389">
        <v>0</v>
      </c>
      <c r="P2389" t="s">
        <v>5819</v>
      </c>
    </row>
    <row r="2390" spans="1:16" x14ac:dyDescent="0.2">
      <c r="A2390" t="s">
        <v>4292</v>
      </c>
      <c r="B2390" t="s">
        <v>4293</v>
      </c>
      <c r="C2390" t="s">
        <v>4283</v>
      </c>
      <c r="D2390" t="s">
        <v>105</v>
      </c>
      <c r="E2390">
        <v>379.99</v>
      </c>
      <c r="F2390" t="s">
        <v>5817</v>
      </c>
      <c r="G2390">
        <v>59</v>
      </c>
      <c r="I2390">
        <v>59</v>
      </c>
      <c r="L2390" t="s">
        <v>5085</v>
      </c>
      <c r="M2390">
        <v>0</v>
      </c>
      <c r="N2390">
        <v>0</v>
      </c>
      <c r="O2390">
        <v>0</v>
      </c>
      <c r="P2390" t="s">
        <v>5819</v>
      </c>
    </row>
    <row r="2391" spans="1:16" x14ac:dyDescent="0.2">
      <c r="A2391" t="s">
        <v>4336</v>
      </c>
      <c r="B2391" t="s">
        <v>4337</v>
      </c>
      <c r="C2391" t="s">
        <v>4283</v>
      </c>
      <c r="D2391" t="s">
        <v>105</v>
      </c>
      <c r="E2391">
        <v>3299.99</v>
      </c>
      <c r="F2391" t="s">
        <v>5817</v>
      </c>
      <c r="G2391">
        <v>3</v>
      </c>
      <c r="I2391">
        <v>3</v>
      </c>
      <c r="L2391" t="s">
        <v>5085</v>
      </c>
      <c r="M2391">
        <v>0</v>
      </c>
      <c r="N2391">
        <v>0</v>
      </c>
      <c r="O2391">
        <v>0</v>
      </c>
      <c r="P2391" t="s">
        <v>5819</v>
      </c>
    </row>
    <row r="2392" spans="1:16" x14ac:dyDescent="0.2">
      <c r="A2392" t="s">
        <v>4340</v>
      </c>
      <c r="B2392" t="s">
        <v>4341</v>
      </c>
      <c r="C2392" t="s">
        <v>4283</v>
      </c>
      <c r="D2392" t="s">
        <v>105</v>
      </c>
      <c r="E2392">
        <v>549.99</v>
      </c>
      <c r="F2392" t="s">
        <v>5817</v>
      </c>
      <c r="G2392">
        <v>16</v>
      </c>
      <c r="I2392">
        <v>16</v>
      </c>
      <c r="L2392" t="s">
        <v>5085</v>
      </c>
      <c r="M2392">
        <v>0</v>
      </c>
      <c r="N2392">
        <v>0</v>
      </c>
      <c r="O2392">
        <v>0</v>
      </c>
      <c r="P2392" t="s">
        <v>5819</v>
      </c>
    </row>
    <row r="2393" spans="1:16" x14ac:dyDescent="0.2">
      <c r="A2393" t="s">
        <v>5284</v>
      </c>
      <c r="B2393" t="s">
        <v>5285</v>
      </c>
      <c r="C2393" t="s">
        <v>4283</v>
      </c>
      <c r="D2393" t="s">
        <v>105</v>
      </c>
      <c r="E2393">
        <v>329.99</v>
      </c>
      <c r="F2393" t="s">
        <v>5817</v>
      </c>
      <c r="G2393">
        <v>2</v>
      </c>
      <c r="H2393" t="s">
        <v>5823</v>
      </c>
      <c r="I2393">
        <v>1</v>
      </c>
      <c r="L2393" t="s">
        <v>5085</v>
      </c>
      <c r="M2393">
        <v>0</v>
      </c>
      <c r="N2393">
        <v>0</v>
      </c>
      <c r="O2393">
        <v>0</v>
      </c>
      <c r="P2393" t="s">
        <v>5819</v>
      </c>
    </row>
    <row r="2394" spans="1:16" x14ac:dyDescent="0.2">
      <c r="A2394" t="s">
        <v>4318</v>
      </c>
      <c r="B2394" t="s">
        <v>4319</v>
      </c>
      <c r="C2394" t="s">
        <v>4283</v>
      </c>
      <c r="D2394" t="s">
        <v>105</v>
      </c>
      <c r="E2394">
        <v>2899.99</v>
      </c>
      <c r="F2394" t="s">
        <v>5817</v>
      </c>
      <c r="G2394">
        <v>5</v>
      </c>
      <c r="I2394">
        <v>5</v>
      </c>
      <c r="L2394" t="s">
        <v>5085</v>
      </c>
      <c r="M2394">
        <v>0</v>
      </c>
      <c r="N2394">
        <v>0</v>
      </c>
      <c r="O2394">
        <v>0</v>
      </c>
      <c r="P2394" t="s">
        <v>5819</v>
      </c>
    </row>
    <row r="2395" spans="1:16" x14ac:dyDescent="0.2">
      <c r="A2395" t="s">
        <v>5686</v>
      </c>
      <c r="B2395" t="s">
        <v>5687</v>
      </c>
      <c r="C2395" t="s">
        <v>4283</v>
      </c>
      <c r="D2395" t="s">
        <v>98</v>
      </c>
      <c r="E2395">
        <v>429.99</v>
      </c>
      <c r="F2395" t="s">
        <v>5817</v>
      </c>
      <c r="L2395" t="s">
        <v>5085</v>
      </c>
      <c r="M2395">
        <v>0</v>
      </c>
      <c r="N2395">
        <v>0</v>
      </c>
      <c r="O2395">
        <v>0</v>
      </c>
      <c r="P2395" t="s">
        <v>5819</v>
      </c>
    </row>
    <row r="2396" spans="1:16" x14ac:dyDescent="0.2">
      <c r="A2396" t="s">
        <v>5682</v>
      </c>
      <c r="B2396" t="s">
        <v>5683</v>
      </c>
      <c r="C2396" t="s">
        <v>4283</v>
      </c>
      <c r="D2396" t="s">
        <v>98</v>
      </c>
      <c r="E2396">
        <v>109.99</v>
      </c>
      <c r="F2396" t="s">
        <v>5817</v>
      </c>
      <c r="L2396" t="s">
        <v>5085</v>
      </c>
      <c r="M2396">
        <v>0</v>
      </c>
      <c r="N2396">
        <v>0</v>
      </c>
      <c r="O2396">
        <v>0</v>
      </c>
      <c r="P2396" t="s">
        <v>5819</v>
      </c>
    </row>
    <row r="2397" spans="1:16" x14ac:dyDescent="0.2">
      <c r="A2397" t="s">
        <v>4322</v>
      </c>
      <c r="B2397" t="s">
        <v>4323</v>
      </c>
      <c r="C2397" t="s">
        <v>4283</v>
      </c>
      <c r="D2397" t="s">
        <v>105</v>
      </c>
      <c r="E2397">
        <v>299.99</v>
      </c>
      <c r="F2397" t="s">
        <v>5817</v>
      </c>
      <c r="G2397">
        <v>20</v>
      </c>
      <c r="I2397">
        <v>20</v>
      </c>
      <c r="L2397" t="s">
        <v>5085</v>
      </c>
      <c r="M2397">
        <v>0</v>
      </c>
      <c r="N2397">
        <v>0</v>
      </c>
      <c r="O2397">
        <v>0</v>
      </c>
      <c r="P2397" t="s">
        <v>5819</v>
      </c>
    </row>
    <row r="2398" spans="1:16" x14ac:dyDescent="0.2">
      <c r="A2398" t="s">
        <v>4316</v>
      </c>
      <c r="B2398" t="s">
        <v>4317</v>
      </c>
      <c r="C2398" t="s">
        <v>4283</v>
      </c>
      <c r="D2398" t="s">
        <v>105</v>
      </c>
      <c r="E2398">
        <v>249.99</v>
      </c>
      <c r="F2398" t="s">
        <v>5817</v>
      </c>
      <c r="G2398">
        <v>20</v>
      </c>
      <c r="I2398">
        <v>20</v>
      </c>
      <c r="L2398" t="s">
        <v>5085</v>
      </c>
      <c r="M2398">
        <v>0</v>
      </c>
      <c r="N2398">
        <v>0</v>
      </c>
      <c r="O2398">
        <v>0</v>
      </c>
      <c r="P2398" t="s">
        <v>5819</v>
      </c>
    </row>
    <row r="2399" spans="1:16" x14ac:dyDescent="0.2">
      <c r="A2399" t="s">
        <v>5282</v>
      </c>
      <c r="B2399" t="s">
        <v>5283</v>
      </c>
      <c r="C2399" t="s">
        <v>4283</v>
      </c>
      <c r="D2399" t="s">
        <v>105</v>
      </c>
      <c r="E2399">
        <v>329.99</v>
      </c>
      <c r="F2399" t="s">
        <v>5817</v>
      </c>
      <c r="G2399">
        <v>2</v>
      </c>
      <c r="I2399">
        <v>2</v>
      </c>
      <c r="L2399" t="s">
        <v>5085</v>
      </c>
      <c r="M2399">
        <v>0</v>
      </c>
      <c r="N2399">
        <v>0</v>
      </c>
      <c r="O2399">
        <v>0</v>
      </c>
      <c r="P2399" t="s">
        <v>5819</v>
      </c>
    </row>
    <row r="2400" spans="1:16" x14ac:dyDescent="0.2">
      <c r="A2400" t="s">
        <v>5276</v>
      </c>
      <c r="B2400" t="s">
        <v>5277</v>
      </c>
      <c r="C2400" t="s">
        <v>4283</v>
      </c>
      <c r="D2400" t="s">
        <v>105</v>
      </c>
      <c r="E2400">
        <v>329.99</v>
      </c>
      <c r="F2400" t="s">
        <v>5817</v>
      </c>
      <c r="G2400">
        <v>2</v>
      </c>
      <c r="I2400">
        <v>2</v>
      </c>
      <c r="L2400" t="s">
        <v>5085</v>
      </c>
      <c r="M2400">
        <v>0</v>
      </c>
      <c r="N2400">
        <v>0</v>
      </c>
      <c r="O2400">
        <v>0</v>
      </c>
      <c r="P2400" t="s">
        <v>5819</v>
      </c>
    </row>
    <row r="2401" spans="1:16" x14ac:dyDescent="0.2">
      <c r="A2401" t="s">
        <v>5684</v>
      </c>
      <c r="B2401" t="s">
        <v>5685</v>
      </c>
      <c r="C2401" t="s">
        <v>4283</v>
      </c>
      <c r="D2401" t="s">
        <v>98</v>
      </c>
      <c r="E2401">
        <v>129.99</v>
      </c>
      <c r="F2401" t="s">
        <v>5817</v>
      </c>
      <c r="L2401" t="s">
        <v>5085</v>
      </c>
      <c r="M2401">
        <v>0</v>
      </c>
      <c r="N2401">
        <v>0</v>
      </c>
      <c r="O2401">
        <v>0</v>
      </c>
      <c r="P2401" t="s">
        <v>5819</v>
      </c>
    </row>
    <row r="2402" spans="1:16" x14ac:dyDescent="0.2">
      <c r="A2402" t="s">
        <v>4342</v>
      </c>
      <c r="B2402" t="s">
        <v>4343</v>
      </c>
      <c r="C2402" t="s">
        <v>4283</v>
      </c>
      <c r="D2402" t="s">
        <v>105</v>
      </c>
      <c r="E2402">
        <v>139.99</v>
      </c>
      <c r="F2402" t="s">
        <v>5817</v>
      </c>
      <c r="G2402">
        <v>1</v>
      </c>
      <c r="I2402">
        <v>1</v>
      </c>
      <c r="L2402" t="s">
        <v>5085</v>
      </c>
      <c r="M2402">
        <v>0</v>
      </c>
      <c r="N2402">
        <v>0</v>
      </c>
      <c r="O2402">
        <v>0</v>
      </c>
      <c r="P2402" t="s">
        <v>5819</v>
      </c>
    </row>
    <row r="2403" spans="1:16" x14ac:dyDescent="0.2">
      <c r="A2403" t="s">
        <v>5642</v>
      </c>
      <c r="B2403" t="s">
        <v>5643</v>
      </c>
      <c r="C2403" t="s">
        <v>4283</v>
      </c>
      <c r="D2403" t="s">
        <v>98</v>
      </c>
      <c r="E2403">
        <v>219.99</v>
      </c>
      <c r="F2403" t="s">
        <v>5817</v>
      </c>
      <c r="L2403" t="s">
        <v>5065</v>
      </c>
      <c r="M2403">
        <v>0</v>
      </c>
      <c r="N2403">
        <v>0</v>
      </c>
      <c r="P2403">
        <v>0</v>
      </c>
    </row>
    <row r="2404" spans="1:16" x14ac:dyDescent="0.2">
      <c r="A2404" t="s">
        <v>5349</v>
      </c>
      <c r="B2404" t="s">
        <v>5350</v>
      </c>
      <c r="C2404" t="s">
        <v>4283</v>
      </c>
      <c r="D2404" t="s">
        <v>98</v>
      </c>
      <c r="E2404">
        <v>1799.99</v>
      </c>
      <c r="F2404" t="s">
        <v>5817</v>
      </c>
      <c r="L2404" t="s">
        <v>5065</v>
      </c>
      <c r="M2404">
        <v>0</v>
      </c>
      <c r="N2404">
        <v>0</v>
      </c>
      <c r="P2404">
        <v>0</v>
      </c>
    </row>
    <row r="2405" spans="1:16" x14ac:dyDescent="0.2">
      <c r="A2405" t="s">
        <v>4322</v>
      </c>
      <c r="B2405" t="s">
        <v>4323</v>
      </c>
      <c r="C2405" t="s">
        <v>4283</v>
      </c>
      <c r="D2405" t="s">
        <v>105</v>
      </c>
      <c r="E2405">
        <v>299.99</v>
      </c>
      <c r="F2405" t="s">
        <v>5817</v>
      </c>
      <c r="G2405">
        <v>20</v>
      </c>
      <c r="I2405">
        <v>20</v>
      </c>
      <c r="L2405" t="s">
        <v>5065</v>
      </c>
      <c r="M2405">
        <v>0</v>
      </c>
      <c r="N2405">
        <v>0</v>
      </c>
      <c r="P2405">
        <v>0</v>
      </c>
    </row>
    <row r="2406" spans="1:16" x14ac:dyDescent="0.2">
      <c r="A2406" t="s">
        <v>5357</v>
      </c>
      <c r="B2406" t="s">
        <v>5358</v>
      </c>
      <c r="C2406" t="s">
        <v>4283</v>
      </c>
      <c r="D2406" t="s">
        <v>98</v>
      </c>
      <c r="E2406">
        <v>249.99</v>
      </c>
      <c r="F2406" t="s">
        <v>5817</v>
      </c>
      <c r="L2406" t="s">
        <v>5065</v>
      </c>
      <c r="M2406">
        <v>0</v>
      </c>
      <c r="N2406">
        <v>0</v>
      </c>
      <c r="P2406">
        <v>0</v>
      </c>
    </row>
    <row r="2407" spans="1:16" x14ac:dyDescent="0.2">
      <c r="A2407" t="s">
        <v>4326</v>
      </c>
      <c r="B2407" t="s">
        <v>4327</v>
      </c>
      <c r="C2407" t="s">
        <v>4283</v>
      </c>
      <c r="D2407" t="s">
        <v>98</v>
      </c>
      <c r="E2407">
        <v>89.99</v>
      </c>
      <c r="F2407" t="s">
        <v>5817</v>
      </c>
      <c r="L2407" t="s">
        <v>5065</v>
      </c>
      <c r="M2407">
        <v>0</v>
      </c>
      <c r="N2407">
        <v>0</v>
      </c>
      <c r="P2407">
        <v>0</v>
      </c>
    </row>
    <row r="2408" spans="1:16" x14ac:dyDescent="0.2">
      <c r="A2408" t="s">
        <v>5702</v>
      </c>
      <c r="B2408" t="s">
        <v>5703</v>
      </c>
      <c r="C2408" t="s">
        <v>4283</v>
      </c>
      <c r="D2408" t="s">
        <v>98</v>
      </c>
      <c r="E2408">
        <v>89.99</v>
      </c>
      <c r="F2408" t="s">
        <v>5817</v>
      </c>
      <c r="L2408" t="s">
        <v>5065</v>
      </c>
      <c r="M2408">
        <v>0</v>
      </c>
      <c r="N2408">
        <v>0</v>
      </c>
      <c r="P2408">
        <v>0</v>
      </c>
    </row>
    <row r="2409" spans="1:16" x14ac:dyDescent="0.2">
      <c r="A2409" t="s">
        <v>5644</v>
      </c>
      <c r="B2409" t="s">
        <v>5645</v>
      </c>
      <c r="C2409" t="s">
        <v>4283</v>
      </c>
      <c r="D2409" t="s">
        <v>98</v>
      </c>
      <c r="E2409">
        <v>89.99</v>
      </c>
      <c r="F2409" t="s">
        <v>5817</v>
      </c>
      <c r="L2409" t="s">
        <v>5065</v>
      </c>
      <c r="M2409">
        <v>0</v>
      </c>
      <c r="N2409">
        <v>0</v>
      </c>
      <c r="P2409">
        <v>0</v>
      </c>
    </row>
    <row r="2410" spans="1:16" x14ac:dyDescent="0.2">
      <c r="A2410" t="s">
        <v>4328</v>
      </c>
      <c r="B2410" t="s">
        <v>4329</v>
      </c>
      <c r="C2410" t="s">
        <v>4283</v>
      </c>
      <c r="D2410" t="s">
        <v>105</v>
      </c>
      <c r="E2410">
        <v>179.99</v>
      </c>
      <c r="F2410" t="s">
        <v>5817</v>
      </c>
      <c r="G2410">
        <v>63</v>
      </c>
      <c r="I2410">
        <v>63</v>
      </c>
      <c r="L2410" t="s">
        <v>5065</v>
      </c>
      <c r="M2410">
        <v>0</v>
      </c>
      <c r="N2410">
        <v>0</v>
      </c>
      <c r="P2410">
        <v>0</v>
      </c>
    </row>
    <row r="2411" spans="1:16" x14ac:dyDescent="0.2">
      <c r="A2411" t="s">
        <v>4318</v>
      </c>
      <c r="B2411" t="s">
        <v>4319</v>
      </c>
      <c r="C2411" t="s">
        <v>4283</v>
      </c>
      <c r="D2411" t="s">
        <v>105</v>
      </c>
      <c r="E2411">
        <v>2899.99</v>
      </c>
      <c r="F2411" t="s">
        <v>5817</v>
      </c>
      <c r="G2411">
        <v>5</v>
      </c>
      <c r="I2411">
        <v>5</v>
      </c>
      <c r="L2411" t="s">
        <v>5065</v>
      </c>
      <c r="M2411">
        <v>0</v>
      </c>
      <c r="N2411">
        <v>0</v>
      </c>
      <c r="O2411">
        <v>18</v>
      </c>
      <c r="P2411">
        <v>0</v>
      </c>
    </row>
    <row r="2412" spans="1:16" x14ac:dyDescent="0.2">
      <c r="A2412" t="s">
        <v>5284</v>
      </c>
      <c r="B2412" t="s">
        <v>5285</v>
      </c>
      <c r="C2412" t="s">
        <v>4283</v>
      </c>
      <c r="D2412" t="s">
        <v>105</v>
      </c>
      <c r="E2412">
        <v>329.99</v>
      </c>
      <c r="F2412" t="s">
        <v>5817</v>
      </c>
      <c r="G2412">
        <v>2</v>
      </c>
      <c r="H2412" t="s">
        <v>5823</v>
      </c>
      <c r="I2412">
        <v>1</v>
      </c>
      <c r="L2412" t="s">
        <v>5065</v>
      </c>
      <c r="M2412">
        <v>0</v>
      </c>
      <c r="N2412">
        <v>0</v>
      </c>
      <c r="P2412">
        <v>0</v>
      </c>
    </row>
    <row r="2413" spans="1:16" x14ac:dyDescent="0.2">
      <c r="A2413" t="s">
        <v>5282</v>
      </c>
      <c r="B2413" t="s">
        <v>5283</v>
      </c>
      <c r="C2413" t="s">
        <v>4283</v>
      </c>
      <c r="D2413" t="s">
        <v>105</v>
      </c>
      <c r="E2413">
        <v>329.99</v>
      </c>
      <c r="F2413" t="s">
        <v>5817</v>
      </c>
      <c r="G2413">
        <v>2</v>
      </c>
      <c r="I2413">
        <v>2</v>
      </c>
      <c r="L2413" t="s">
        <v>5065</v>
      </c>
      <c r="M2413">
        <v>0</v>
      </c>
      <c r="N2413">
        <v>0</v>
      </c>
      <c r="P2413">
        <v>0</v>
      </c>
    </row>
    <row r="2414" spans="1:16" x14ac:dyDescent="0.2">
      <c r="A2414" t="s">
        <v>5276</v>
      </c>
      <c r="B2414" t="s">
        <v>5277</v>
      </c>
      <c r="C2414" t="s">
        <v>4283</v>
      </c>
      <c r="D2414" t="s">
        <v>105</v>
      </c>
      <c r="E2414">
        <v>329.99</v>
      </c>
      <c r="F2414" t="s">
        <v>5817</v>
      </c>
      <c r="G2414">
        <v>2</v>
      </c>
      <c r="I2414">
        <v>2</v>
      </c>
      <c r="L2414" t="s">
        <v>5065</v>
      </c>
      <c r="M2414">
        <v>0</v>
      </c>
      <c r="N2414">
        <v>0</v>
      </c>
      <c r="P2414">
        <v>0</v>
      </c>
    </row>
    <row r="2415" spans="1:16" x14ac:dyDescent="0.2">
      <c r="A2415" t="s">
        <v>4316</v>
      </c>
      <c r="B2415" t="s">
        <v>4317</v>
      </c>
      <c r="C2415" t="s">
        <v>4283</v>
      </c>
      <c r="D2415" t="s">
        <v>105</v>
      </c>
      <c r="E2415">
        <v>249.99</v>
      </c>
      <c r="F2415" t="s">
        <v>5817</v>
      </c>
      <c r="G2415">
        <v>20</v>
      </c>
      <c r="I2415">
        <v>20</v>
      </c>
      <c r="L2415" t="s">
        <v>5065</v>
      </c>
      <c r="M2415">
        <v>0</v>
      </c>
      <c r="N2415">
        <v>0</v>
      </c>
      <c r="O2415">
        <v>1</v>
      </c>
      <c r="P2415">
        <v>0</v>
      </c>
    </row>
    <row r="2416" spans="1:16" x14ac:dyDescent="0.2">
      <c r="A2416" t="s">
        <v>4312</v>
      </c>
      <c r="B2416" t="s">
        <v>4313</v>
      </c>
      <c r="C2416" t="s">
        <v>4283</v>
      </c>
      <c r="D2416" t="s">
        <v>98</v>
      </c>
      <c r="E2416">
        <v>329.99</v>
      </c>
      <c r="F2416" t="s">
        <v>5817</v>
      </c>
      <c r="L2416" t="s">
        <v>5065</v>
      </c>
      <c r="M2416">
        <v>0</v>
      </c>
      <c r="N2416">
        <v>0</v>
      </c>
      <c r="P2416">
        <v>0</v>
      </c>
    </row>
    <row r="2417" spans="1:16" x14ac:dyDescent="0.2">
      <c r="A2417" t="s">
        <v>4292</v>
      </c>
      <c r="B2417" t="s">
        <v>4293</v>
      </c>
      <c r="C2417" t="s">
        <v>4283</v>
      </c>
      <c r="D2417" t="s">
        <v>105</v>
      </c>
      <c r="E2417">
        <v>379.99</v>
      </c>
      <c r="F2417" t="s">
        <v>5817</v>
      </c>
      <c r="G2417">
        <v>59</v>
      </c>
      <c r="I2417">
        <v>59</v>
      </c>
      <c r="L2417" t="s">
        <v>5065</v>
      </c>
      <c r="M2417">
        <v>0</v>
      </c>
      <c r="N2417">
        <v>0</v>
      </c>
      <c r="P2417">
        <v>0</v>
      </c>
    </row>
    <row r="2418" spans="1:16" x14ac:dyDescent="0.2">
      <c r="A2418" t="s">
        <v>4294</v>
      </c>
      <c r="B2418" t="s">
        <v>4295</v>
      </c>
      <c r="C2418" t="s">
        <v>4283</v>
      </c>
      <c r="D2418" t="s">
        <v>105</v>
      </c>
      <c r="E2418">
        <v>5699.99</v>
      </c>
      <c r="F2418" t="s">
        <v>5817</v>
      </c>
      <c r="G2418">
        <v>9</v>
      </c>
      <c r="I2418">
        <v>9</v>
      </c>
      <c r="L2418" t="s">
        <v>5065</v>
      </c>
      <c r="M2418">
        <v>0</v>
      </c>
      <c r="N2418">
        <v>0</v>
      </c>
      <c r="P2418">
        <v>0</v>
      </c>
    </row>
    <row r="2419" spans="1:16" x14ac:dyDescent="0.2">
      <c r="A2419" t="s">
        <v>4306</v>
      </c>
      <c r="B2419" t="s">
        <v>4307</v>
      </c>
      <c r="C2419" t="s">
        <v>4283</v>
      </c>
      <c r="D2419" t="s">
        <v>98</v>
      </c>
      <c r="E2419">
        <v>329.99</v>
      </c>
      <c r="F2419" t="s">
        <v>5817</v>
      </c>
      <c r="L2419" t="s">
        <v>5065</v>
      </c>
      <c r="M2419">
        <v>0</v>
      </c>
      <c r="N2419">
        <v>0</v>
      </c>
      <c r="P2419">
        <v>0</v>
      </c>
    </row>
    <row r="2420" spans="1:16" x14ac:dyDescent="0.2">
      <c r="A2420" t="s">
        <v>4328</v>
      </c>
      <c r="B2420" t="s">
        <v>4329</v>
      </c>
      <c r="C2420" t="s">
        <v>4283</v>
      </c>
      <c r="D2420" t="s">
        <v>105</v>
      </c>
      <c r="E2420">
        <v>179.99</v>
      </c>
      <c r="F2420" t="s">
        <v>5817</v>
      </c>
      <c r="G2420">
        <v>63</v>
      </c>
      <c r="I2420">
        <v>63</v>
      </c>
      <c r="L2420" t="s">
        <v>8</v>
      </c>
      <c r="N2420">
        <v>0</v>
      </c>
      <c r="O2420">
        <v>0</v>
      </c>
      <c r="P2420">
        <v>7</v>
      </c>
    </row>
    <row r="2421" spans="1:16" x14ac:dyDescent="0.2">
      <c r="A2421" t="s">
        <v>4330</v>
      </c>
      <c r="B2421" t="s">
        <v>4331</v>
      </c>
      <c r="C2421" t="s">
        <v>4283</v>
      </c>
      <c r="D2421" t="s">
        <v>98</v>
      </c>
      <c r="E2421">
        <v>89.99</v>
      </c>
      <c r="F2421" t="s">
        <v>5817</v>
      </c>
      <c r="L2421" t="s">
        <v>8</v>
      </c>
      <c r="M2421">
        <v>0</v>
      </c>
      <c r="N2421">
        <v>0</v>
      </c>
      <c r="O2421">
        <v>0</v>
      </c>
      <c r="P2421">
        <v>0</v>
      </c>
    </row>
    <row r="2422" spans="1:16" x14ac:dyDescent="0.2">
      <c r="A2422" t="s">
        <v>5349</v>
      </c>
      <c r="B2422" t="s">
        <v>5350</v>
      </c>
      <c r="C2422" t="s">
        <v>4283</v>
      </c>
      <c r="D2422" t="s">
        <v>98</v>
      </c>
      <c r="E2422">
        <v>1799.99</v>
      </c>
      <c r="F2422" t="s">
        <v>5817</v>
      </c>
      <c r="L2422" t="s">
        <v>8</v>
      </c>
      <c r="M2422">
        <v>0</v>
      </c>
      <c r="N2422">
        <v>0</v>
      </c>
      <c r="O2422">
        <v>0</v>
      </c>
      <c r="P2422">
        <v>0</v>
      </c>
    </row>
    <row r="2423" spans="1:16" x14ac:dyDescent="0.2">
      <c r="A2423" t="s">
        <v>5720</v>
      </c>
      <c r="B2423" t="s">
        <v>5721</v>
      </c>
      <c r="C2423" t="s">
        <v>4283</v>
      </c>
      <c r="D2423" t="s">
        <v>98</v>
      </c>
      <c r="E2423">
        <v>2299.9899999999998</v>
      </c>
      <c r="F2423" t="s">
        <v>5817</v>
      </c>
      <c r="L2423" t="s">
        <v>8</v>
      </c>
      <c r="M2423">
        <v>0</v>
      </c>
      <c r="N2423">
        <v>0</v>
      </c>
      <c r="O2423">
        <v>0</v>
      </c>
      <c r="P2423">
        <v>0</v>
      </c>
    </row>
    <row r="2424" spans="1:16" x14ac:dyDescent="0.2">
      <c r="A2424" t="s">
        <v>5644</v>
      </c>
      <c r="B2424" t="s">
        <v>5645</v>
      </c>
      <c r="C2424" t="s">
        <v>4283</v>
      </c>
      <c r="D2424" t="s">
        <v>98</v>
      </c>
      <c r="E2424">
        <v>89.99</v>
      </c>
      <c r="F2424" t="s">
        <v>5817</v>
      </c>
      <c r="L2424" t="s">
        <v>8</v>
      </c>
      <c r="M2424">
        <v>0</v>
      </c>
      <c r="N2424">
        <v>0</v>
      </c>
      <c r="O2424">
        <v>0</v>
      </c>
      <c r="P2424">
        <v>0</v>
      </c>
    </row>
    <row r="2425" spans="1:16" x14ac:dyDescent="0.2">
      <c r="A2425" t="s">
        <v>4326</v>
      </c>
      <c r="B2425" t="s">
        <v>4327</v>
      </c>
      <c r="C2425" t="s">
        <v>4283</v>
      </c>
      <c r="D2425" t="s">
        <v>98</v>
      </c>
      <c r="E2425">
        <v>89.99</v>
      </c>
      <c r="F2425" t="s">
        <v>5817</v>
      </c>
      <c r="L2425" t="s">
        <v>8</v>
      </c>
      <c r="M2425">
        <v>0</v>
      </c>
      <c r="N2425">
        <v>0</v>
      </c>
      <c r="O2425">
        <v>0</v>
      </c>
      <c r="P2425">
        <v>0</v>
      </c>
    </row>
    <row r="2426" spans="1:16" x14ac:dyDescent="0.2">
      <c r="A2426" t="s">
        <v>4312</v>
      </c>
      <c r="B2426" t="s">
        <v>4313</v>
      </c>
      <c r="C2426" t="s">
        <v>4283</v>
      </c>
      <c r="D2426" t="s">
        <v>98</v>
      </c>
      <c r="E2426">
        <v>329.99</v>
      </c>
      <c r="F2426" t="s">
        <v>5817</v>
      </c>
      <c r="L2426" t="s">
        <v>8</v>
      </c>
      <c r="M2426">
        <v>0</v>
      </c>
      <c r="N2426">
        <v>0</v>
      </c>
      <c r="O2426">
        <v>0</v>
      </c>
      <c r="P2426">
        <v>0</v>
      </c>
    </row>
    <row r="2427" spans="1:16" x14ac:dyDescent="0.2">
      <c r="A2427" t="s">
        <v>5284</v>
      </c>
      <c r="B2427" t="s">
        <v>5285</v>
      </c>
      <c r="C2427" t="s">
        <v>4283</v>
      </c>
      <c r="D2427" t="s">
        <v>105</v>
      </c>
      <c r="E2427">
        <v>329.99</v>
      </c>
      <c r="F2427" t="s">
        <v>5817</v>
      </c>
      <c r="G2427">
        <v>2</v>
      </c>
      <c r="H2427" t="s">
        <v>5823</v>
      </c>
      <c r="I2427">
        <v>1</v>
      </c>
      <c r="L2427" t="s">
        <v>8</v>
      </c>
      <c r="M2427">
        <v>0</v>
      </c>
      <c r="N2427">
        <v>0</v>
      </c>
      <c r="O2427">
        <v>0</v>
      </c>
      <c r="P2427">
        <v>0</v>
      </c>
    </row>
    <row r="2428" spans="1:16" x14ac:dyDescent="0.2">
      <c r="A2428" t="s">
        <v>5282</v>
      </c>
      <c r="B2428" t="s">
        <v>5283</v>
      </c>
      <c r="C2428" t="s">
        <v>4283</v>
      </c>
      <c r="D2428" t="s">
        <v>105</v>
      </c>
      <c r="E2428">
        <v>329.99</v>
      </c>
      <c r="F2428" t="s">
        <v>5817</v>
      </c>
      <c r="G2428">
        <v>2</v>
      </c>
      <c r="I2428">
        <v>2</v>
      </c>
      <c r="L2428" t="s">
        <v>8</v>
      </c>
      <c r="M2428">
        <v>0</v>
      </c>
      <c r="N2428">
        <v>0</v>
      </c>
      <c r="O2428">
        <v>0</v>
      </c>
      <c r="P2428">
        <v>0</v>
      </c>
    </row>
    <row r="2429" spans="1:16" x14ac:dyDescent="0.2">
      <c r="A2429" t="s">
        <v>5276</v>
      </c>
      <c r="B2429" t="s">
        <v>5277</v>
      </c>
      <c r="C2429" t="s">
        <v>4283</v>
      </c>
      <c r="D2429" t="s">
        <v>105</v>
      </c>
      <c r="E2429">
        <v>329.99</v>
      </c>
      <c r="F2429" t="s">
        <v>5817</v>
      </c>
      <c r="G2429">
        <v>2</v>
      </c>
      <c r="I2429">
        <v>2</v>
      </c>
      <c r="L2429" t="s">
        <v>8</v>
      </c>
      <c r="M2429">
        <v>0</v>
      </c>
      <c r="N2429">
        <v>0</v>
      </c>
      <c r="O2429">
        <v>0</v>
      </c>
      <c r="P2429">
        <v>0</v>
      </c>
    </row>
    <row r="2430" spans="1:16" x14ac:dyDescent="0.2">
      <c r="A2430" t="s">
        <v>5702</v>
      </c>
      <c r="B2430" t="s">
        <v>5703</v>
      </c>
      <c r="C2430" t="s">
        <v>4283</v>
      </c>
      <c r="D2430" t="s">
        <v>98</v>
      </c>
      <c r="E2430">
        <v>89.99</v>
      </c>
      <c r="F2430" t="s">
        <v>5817</v>
      </c>
      <c r="L2430" t="s">
        <v>8</v>
      </c>
      <c r="M2430">
        <v>0</v>
      </c>
      <c r="N2430">
        <v>0</v>
      </c>
      <c r="O2430">
        <v>0</v>
      </c>
      <c r="P2430">
        <v>0</v>
      </c>
    </row>
    <row r="2431" spans="1:16" x14ac:dyDescent="0.2">
      <c r="A2431" t="s">
        <v>4316</v>
      </c>
      <c r="B2431" t="s">
        <v>4317</v>
      </c>
      <c r="C2431" t="s">
        <v>4283</v>
      </c>
      <c r="D2431" t="s">
        <v>105</v>
      </c>
      <c r="E2431">
        <v>249.99</v>
      </c>
      <c r="F2431" t="s">
        <v>5817</v>
      </c>
      <c r="G2431">
        <v>20</v>
      </c>
      <c r="I2431">
        <v>20</v>
      </c>
      <c r="L2431" t="s">
        <v>8</v>
      </c>
      <c r="M2431">
        <v>0</v>
      </c>
      <c r="N2431">
        <v>0</v>
      </c>
      <c r="O2431">
        <v>0</v>
      </c>
      <c r="P2431">
        <v>0</v>
      </c>
    </row>
    <row r="2432" spans="1:16" x14ac:dyDescent="0.2">
      <c r="A2432" t="s">
        <v>4318</v>
      </c>
      <c r="B2432" t="s">
        <v>4319</v>
      </c>
      <c r="C2432" t="s">
        <v>4283</v>
      </c>
      <c r="D2432" t="s">
        <v>105</v>
      </c>
      <c r="E2432">
        <v>2899.99</v>
      </c>
      <c r="F2432" t="s">
        <v>5817</v>
      </c>
      <c r="G2432">
        <v>5</v>
      </c>
      <c r="I2432">
        <v>5</v>
      </c>
      <c r="L2432" t="s">
        <v>8</v>
      </c>
      <c r="M2432">
        <v>0</v>
      </c>
      <c r="N2432">
        <v>0</v>
      </c>
      <c r="O2432">
        <v>0</v>
      </c>
      <c r="P2432">
        <v>0</v>
      </c>
    </row>
    <row r="2433" spans="1:16" x14ac:dyDescent="0.2">
      <c r="A2433" t="s">
        <v>4322</v>
      </c>
      <c r="B2433" t="s">
        <v>4323</v>
      </c>
      <c r="C2433" t="s">
        <v>4283</v>
      </c>
      <c r="D2433" t="s">
        <v>105</v>
      </c>
      <c r="E2433">
        <v>299.99</v>
      </c>
      <c r="F2433" t="s">
        <v>5817</v>
      </c>
      <c r="G2433">
        <v>20</v>
      </c>
      <c r="I2433">
        <v>20</v>
      </c>
      <c r="L2433" t="s">
        <v>8</v>
      </c>
      <c r="M2433">
        <v>0</v>
      </c>
      <c r="N2433">
        <v>0</v>
      </c>
      <c r="O2433">
        <v>0</v>
      </c>
      <c r="P2433">
        <v>0</v>
      </c>
    </row>
    <row r="2434" spans="1:16" x14ac:dyDescent="0.2">
      <c r="A2434" t="s">
        <v>5357</v>
      </c>
      <c r="B2434" t="s">
        <v>5358</v>
      </c>
      <c r="C2434" t="s">
        <v>4283</v>
      </c>
      <c r="D2434" t="s">
        <v>98</v>
      </c>
      <c r="E2434">
        <v>249.99</v>
      </c>
      <c r="F2434" t="s">
        <v>5817</v>
      </c>
      <c r="L2434" t="s">
        <v>8</v>
      </c>
      <c r="M2434">
        <v>0</v>
      </c>
      <c r="N2434">
        <v>0</v>
      </c>
      <c r="O2434">
        <v>0</v>
      </c>
      <c r="P2434">
        <v>0</v>
      </c>
    </row>
    <row r="2435" spans="1:16" x14ac:dyDescent="0.2">
      <c r="A2435" t="s">
        <v>4324</v>
      </c>
      <c r="B2435" t="s">
        <v>4325</v>
      </c>
      <c r="C2435" t="s">
        <v>4283</v>
      </c>
      <c r="D2435" t="s">
        <v>98</v>
      </c>
      <c r="E2435">
        <v>89.99</v>
      </c>
      <c r="F2435" t="s">
        <v>5817</v>
      </c>
      <c r="L2435" t="s">
        <v>8</v>
      </c>
      <c r="M2435">
        <v>0</v>
      </c>
      <c r="N2435">
        <v>0</v>
      </c>
      <c r="O2435">
        <v>0</v>
      </c>
      <c r="P2435">
        <v>0</v>
      </c>
    </row>
    <row r="2436" spans="1:16" x14ac:dyDescent="0.2">
      <c r="A2436" t="s">
        <v>4306</v>
      </c>
      <c r="B2436" t="s">
        <v>4307</v>
      </c>
      <c r="C2436" t="s">
        <v>4283</v>
      </c>
      <c r="D2436" t="s">
        <v>98</v>
      </c>
      <c r="E2436">
        <v>329.99</v>
      </c>
      <c r="F2436" t="s">
        <v>5817</v>
      </c>
      <c r="L2436" t="s">
        <v>8</v>
      </c>
      <c r="M2436">
        <v>0</v>
      </c>
      <c r="N2436">
        <v>0</v>
      </c>
      <c r="O2436">
        <v>0</v>
      </c>
      <c r="P2436">
        <v>0</v>
      </c>
    </row>
    <row r="2437" spans="1:16" x14ac:dyDescent="0.2">
      <c r="A2437" t="s">
        <v>4292</v>
      </c>
      <c r="B2437" t="s">
        <v>4293</v>
      </c>
      <c r="C2437" t="s">
        <v>4283</v>
      </c>
      <c r="D2437" t="s">
        <v>105</v>
      </c>
      <c r="E2437">
        <v>379.99</v>
      </c>
      <c r="F2437" t="s">
        <v>5817</v>
      </c>
      <c r="G2437">
        <v>59</v>
      </c>
      <c r="I2437">
        <v>59</v>
      </c>
      <c r="L2437" t="s">
        <v>8</v>
      </c>
      <c r="M2437">
        <v>0</v>
      </c>
      <c r="N2437">
        <v>0</v>
      </c>
      <c r="O2437">
        <v>0</v>
      </c>
      <c r="P2437">
        <v>0</v>
      </c>
    </row>
    <row r="2438" spans="1:16" x14ac:dyDescent="0.2">
      <c r="A2438" t="s">
        <v>4294</v>
      </c>
      <c r="B2438" t="s">
        <v>4295</v>
      </c>
      <c r="C2438" t="s">
        <v>4283</v>
      </c>
      <c r="D2438" t="s">
        <v>105</v>
      </c>
      <c r="E2438">
        <v>5699.99</v>
      </c>
      <c r="F2438" t="s">
        <v>5817</v>
      </c>
      <c r="G2438">
        <v>9</v>
      </c>
      <c r="I2438">
        <v>9</v>
      </c>
      <c r="L2438" t="s">
        <v>8</v>
      </c>
      <c r="M2438">
        <v>0</v>
      </c>
      <c r="N2438">
        <v>0</v>
      </c>
      <c r="O2438">
        <v>0</v>
      </c>
      <c r="P2438">
        <v>0</v>
      </c>
    </row>
    <row r="2439" spans="1:16" x14ac:dyDescent="0.2">
      <c r="A2439" t="s">
        <v>5375</v>
      </c>
      <c r="B2439" t="s">
        <v>4436</v>
      </c>
      <c r="C2439" t="s">
        <v>4435</v>
      </c>
      <c r="D2439" t="s">
        <v>98</v>
      </c>
      <c r="E2439">
        <v>189.99</v>
      </c>
      <c r="F2439" t="s">
        <v>5817</v>
      </c>
      <c r="L2439" t="s">
        <v>73</v>
      </c>
      <c r="M2439">
        <v>0</v>
      </c>
      <c r="N2439">
        <v>0</v>
      </c>
      <c r="O2439">
        <v>0</v>
      </c>
      <c r="P2439">
        <v>0</v>
      </c>
    </row>
    <row r="2440" spans="1:16" x14ac:dyDescent="0.2">
      <c r="A2440" t="s">
        <v>5375</v>
      </c>
      <c r="B2440" t="s">
        <v>4436</v>
      </c>
      <c r="C2440" t="s">
        <v>4435</v>
      </c>
      <c r="D2440" t="s">
        <v>98</v>
      </c>
      <c r="E2440">
        <v>189.99</v>
      </c>
      <c r="F2440" t="s">
        <v>5817</v>
      </c>
      <c r="L2440" t="s">
        <v>5818</v>
      </c>
      <c r="M2440">
        <v>0</v>
      </c>
      <c r="N2440">
        <v>0</v>
      </c>
      <c r="P2440">
        <v>4</v>
      </c>
    </row>
    <row r="2441" spans="1:16" x14ac:dyDescent="0.2">
      <c r="A2441" t="s">
        <v>5375</v>
      </c>
      <c r="B2441" t="s">
        <v>4436</v>
      </c>
      <c r="C2441" t="s">
        <v>4435</v>
      </c>
      <c r="D2441" t="s">
        <v>98</v>
      </c>
      <c r="E2441">
        <v>189.99</v>
      </c>
      <c r="F2441" t="s">
        <v>5817</v>
      </c>
      <c r="L2441" t="s">
        <v>5065</v>
      </c>
      <c r="M2441">
        <v>0</v>
      </c>
      <c r="N2441">
        <v>0</v>
      </c>
      <c r="P2441">
        <v>0</v>
      </c>
    </row>
    <row r="2442" spans="1:16" x14ac:dyDescent="0.2">
      <c r="A2442" t="s">
        <v>5375</v>
      </c>
      <c r="B2442" t="s">
        <v>4436</v>
      </c>
      <c r="C2442" t="s">
        <v>4435</v>
      </c>
      <c r="D2442" t="s">
        <v>98</v>
      </c>
      <c r="E2442">
        <v>189.99</v>
      </c>
      <c r="F2442" t="s">
        <v>5817</v>
      </c>
      <c r="L2442" t="s">
        <v>8</v>
      </c>
      <c r="M2442">
        <v>0</v>
      </c>
      <c r="N2442">
        <v>0</v>
      </c>
      <c r="O2442">
        <v>0</v>
      </c>
      <c r="P2442">
        <v>0</v>
      </c>
    </row>
    <row r="2443" spans="1:16" x14ac:dyDescent="0.2">
      <c r="A2443" t="s">
        <v>4467</v>
      </c>
      <c r="B2443" t="s">
        <v>4468</v>
      </c>
      <c r="C2443" t="s">
        <v>4437</v>
      </c>
      <c r="D2443" t="s">
        <v>138</v>
      </c>
      <c r="E2443">
        <v>80.989999999999995</v>
      </c>
      <c r="F2443" t="s">
        <v>5817</v>
      </c>
      <c r="G2443">
        <v>17</v>
      </c>
      <c r="I2443">
        <v>17</v>
      </c>
      <c r="L2443" t="s">
        <v>73</v>
      </c>
      <c r="M2443">
        <v>0</v>
      </c>
      <c r="N2443">
        <v>0</v>
      </c>
      <c r="O2443">
        <v>0</v>
      </c>
      <c r="P2443">
        <v>0</v>
      </c>
    </row>
    <row r="2444" spans="1:16" x14ac:dyDescent="0.2">
      <c r="A2444" t="s">
        <v>4465</v>
      </c>
      <c r="B2444" t="s">
        <v>4466</v>
      </c>
      <c r="C2444" t="s">
        <v>4437</v>
      </c>
      <c r="D2444" t="s">
        <v>98</v>
      </c>
      <c r="E2444">
        <v>49.99</v>
      </c>
      <c r="F2444" t="s">
        <v>5817</v>
      </c>
      <c r="L2444" t="s">
        <v>73</v>
      </c>
      <c r="M2444">
        <v>0</v>
      </c>
      <c r="N2444">
        <v>0</v>
      </c>
      <c r="O2444">
        <v>0</v>
      </c>
      <c r="P2444">
        <v>0</v>
      </c>
    </row>
    <row r="2445" spans="1:16" x14ac:dyDescent="0.2">
      <c r="A2445" t="s">
        <v>4463</v>
      </c>
      <c r="B2445" t="s">
        <v>4464</v>
      </c>
      <c r="C2445" t="s">
        <v>4437</v>
      </c>
      <c r="D2445" t="s">
        <v>105</v>
      </c>
      <c r="E2445">
        <v>83.99</v>
      </c>
      <c r="F2445" t="s">
        <v>5817</v>
      </c>
      <c r="G2445">
        <v>17</v>
      </c>
      <c r="I2445">
        <v>17</v>
      </c>
      <c r="L2445" t="s">
        <v>73</v>
      </c>
      <c r="M2445">
        <v>0</v>
      </c>
      <c r="N2445">
        <v>0</v>
      </c>
      <c r="O2445">
        <v>0</v>
      </c>
      <c r="P2445">
        <v>0</v>
      </c>
    </row>
    <row r="2446" spans="1:16" x14ac:dyDescent="0.2">
      <c r="A2446" t="s">
        <v>4461</v>
      </c>
      <c r="B2446" t="s">
        <v>4462</v>
      </c>
      <c r="C2446" t="s">
        <v>4437</v>
      </c>
      <c r="D2446" t="s">
        <v>98</v>
      </c>
      <c r="E2446">
        <v>139.99</v>
      </c>
      <c r="F2446" t="s">
        <v>5817</v>
      </c>
      <c r="L2446" t="s">
        <v>73</v>
      </c>
      <c r="M2446">
        <v>0</v>
      </c>
      <c r="N2446">
        <v>0</v>
      </c>
      <c r="O2446">
        <v>0</v>
      </c>
      <c r="P2446">
        <v>0</v>
      </c>
    </row>
    <row r="2447" spans="1:16" x14ac:dyDescent="0.2">
      <c r="A2447" t="s">
        <v>4459</v>
      </c>
      <c r="B2447" t="s">
        <v>4460</v>
      </c>
      <c r="C2447" t="s">
        <v>4437</v>
      </c>
      <c r="D2447" t="s">
        <v>98</v>
      </c>
      <c r="E2447">
        <v>99.99</v>
      </c>
      <c r="F2447" t="s">
        <v>5817</v>
      </c>
      <c r="L2447" t="s">
        <v>73</v>
      </c>
      <c r="M2447">
        <v>0</v>
      </c>
      <c r="N2447">
        <v>0</v>
      </c>
      <c r="O2447">
        <v>0.16666666666666666</v>
      </c>
      <c r="P2447">
        <v>0</v>
      </c>
    </row>
    <row r="2448" spans="1:16" x14ac:dyDescent="0.2">
      <c r="A2448" t="s">
        <v>4457</v>
      </c>
      <c r="B2448" t="s">
        <v>4458</v>
      </c>
      <c r="C2448" t="s">
        <v>4437</v>
      </c>
      <c r="D2448" t="s">
        <v>98</v>
      </c>
      <c r="E2448">
        <v>249.99</v>
      </c>
      <c r="F2448" t="s">
        <v>5817</v>
      </c>
      <c r="L2448" t="s">
        <v>73</v>
      </c>
      <c r="M2448">
        <v>0</v>
      </c>
      <c r="N2448">
        <v>0</v>
      </c>
      <c r="O2448">
        <v>0</v>
      </c>
      <c r="P2448">
        <v>0</v>
      </c>
    </row>
    <row r="2449" spans="1:16" x14ac:dyDescent="0.2">
      <c r="A2449" t="s">
        <v>4469</v>
      </c>
      <c r="B2449" t="s">
        <v>4470</v>
      </c>
      <c r="C2449" t="s">
        <v>4437</v>
      </c>
      <c r="D2449" t="s">
        <v>98</v>
      </c>
      <c r="E2449">
        <v>39.99</v>
      </c>
      <c r="F2449" t="s">
        <v>5817</v>
      </c>
      <c r="L2449" t="s">
        <v>73</v>
      </c>
      <c r="M2449">
        <v>0</v>
      </c>
      <c r="N2449">
        <v>0</v>
      </c>
      <c r="O2449">
        <v>0</v>
      </c>
      <c r="P2449">
        <v>0</v>
      </c>
    </row>
    <row r="2450" spans="1:16" x14ac:dyDescent="0.2">
      <c r="A2450" t="s">
        <v>4481</v>
      </c>
      <c r="B2450" t="s">
        <v>4482</v>
      </c>
      <c r="C2450" t="s">
        <v>4437</v>
      </c>
      <c r="D2450" t="s">
        <v>98</v>
      </c>
      <c r="E2450">
        <v>119.99</v>
      </c>
      <c r="F2450" t="s">
        <v>5817</v>
      </c>
      <c r="L2450" t="s">
        <v>73</v>
      </c>
      <c r="M2450">
        <v>0</v>
      </c>
      <c r="N2450">
        <v>0</v>
      </c>
      <c r="O2450">
        <v>0</v>
      </c>
      <c r="P2450">
        <v>0</v>
      </c>
    </row>
    <row r="2451" spans="1:16" x14ac:dyDescent="0.2">
      <c r="A2451" t="s">
        <v>4479</v>
      </c>
      <c r="B2451" t="s">
        <v>4480</v>
      </c>
      <c r="C2451" t="s">
        <v>4437</v>
      </c>
      <c r="D2451" t="s">
        <v>98</v>
      </c>
      <c r="E2451">
        <v>69.989999999999995</v>
      </c>
      <c r="F2451" t="s">
        <v>5817</v>
      </c>
      <c r="L2451" t="s">
        <v>73</v>
      </c>
      <c r="M2451">
        <v>0</v>
      </c>
      <c r="N2451">
        <v>0</v>
      </c>
      <c r="O2451">
        <v>0</v>
      </c>
      <c r="P2451">
        <v>0</v>
      </c>
    </row>
    <row r="2452" spans="1:16" x14ac:dyDescent="0.2">
      <c r="A2452" t="s">
        <v>4475</v>
      </c>
      <c r="B2452" t="s">
        <v>4476</v>
      </c>
      <c r="C2452" t="s">
        <v>4437</v>
      </c>
      <c r="D2452" t="s">
        <v>98</v>
      </c>
      <c r="E2452">
        <v>119.99</v>
      </c>
      <c r="F2452" t="s">
        <v>5817</v>
      </c>
      <c r="L2452" t="s">
        <v>73</v>
      </c>
      <c r="M2452">
        <v>0</v>
      </c>
      <c r="N2452">
        <v>0</v>
      </c>
      <c r="O2452">
        <v>0</v>
      </c>
      <c r="P2452">
        <v>0</v>
      </c>
    </row>
    <row r="2453" spans="1:16" x14ac:dyDescent="0.2">
      <c r="A2453" t="s">
        <v>4473</v>
      </c>
      <c r="B2453" t="s">
        <v>4474</v>
      </c>
      <c r="C2453" t="s">
        <v>4437</v>
      </c>
      <c r="D2453" t="s">
        <v>98</v>
      </c>
      <c r="E2453">
        <v>99.99</v>
      </c>
      <c r="F2453" t="s">
        <v>5817</v>
      </c>
      <c r="L2453" t="s">
        <v>73</v>
      </c>
      <c r="M2453">
        <v>0</v>
      </c>
      <c r="N2453">
        <v>0</v>
      </c>
      <c r="O2453">
        <v>8.3333333333333329E-2</v>
      </c>
      <c r="P2453">
        <v>0</v>
      </c>
    </row>
    <row r="2454" spans="1:16" x14ac:dyDescent="0.2">
      <c r="A2454" t="s">
        <v>4471</v>
      </c>
      <c r="B2454" t="s">
        <v>4472</v>
      </c>
      <c r="C2454" t="s">
        <v>4437</v>
      </c>
      <c r="D2454" t="s">
        <v>98</v>
      </c>
      <c r="E2454">
        <v>49.99</v>
      </c>
      <c r="F2454" t="s">
        <v>5817</v>
      </c>
      <c r="L2454" t="s">
        <v>73</v>
      </c>
      <c r="M2454">
        <v>0</v>
      </c>
      <c r="N2454">
        <v>0</v>
      </c>
      <c r="O2454">
        <v>0</v>
      </c>
      <c r="P2454">
        <v>0</v>
      </c>
    </row>
    <row r="2455" spans="1:16" x14ac:dyDescent="0.2">
      <c r="A2455" t="s">
        <v>4477</v>
      </c>
      <c r="B2455" t="s">
        <v>4478</v>
      </c>
      <c r="C2455" t="s">
        <v>4437</v>
      </c>
      <c r="D2455" t="s">
        <v>98</v>
      </c>
      <c r="E2455">
        <v>119.99</v>
      </c>
      <c r="F2455" t="s">
        <v>5817</v>
      </c>
      <c r="L2455" t="s">
        <v>73</v>
      </c>
      <c r="M2455">
        <v>0</v>
      </c>
      <c r="N2455">
        <v>0</v>
      </c>
      <c r="O2455">
        <v>0</v>
      </c>
      <c r="P2455">
        <v>0</v>
      </c>
    </row>
    <row r="2456" spans="1:16" x14ac:dyDescent="0.2">
      <c r="A2456" t="s">
        <v>4455</v>
      </c>
      <c r="B2456" t="s">
        <v>4456</v>
      </c>
      <c r="C2456" t="s">
        <v>4437</v>
      </c>
      <c r="D2456" t="s">
        <v>98</v>
      </c>
      <c r="E2456">
        <v>199.99</v>
      </c>
      <c r="F2456" t="s">
        <v>5817</v>
      </c>
      <c r="L2456" t="s">
        <v>73</v>
      </c>
      <c r="M2456">
        <v>0</v>
      </c>
      <c r="N2456">
        <v>0</v>
      </c>
      <c r="O2456">
        <v>0</v>
      </c>
      <c r="P2456">
        <v>0</v>
      </c>
    </row>
    <row r="2457" spans="1:16" x14ac:dyDescent="0.2">
      <c r="A2457" t="s">
        <v>4438</v>
      </c>
      <c r="B2457" t="s">
        <v>4439</v>
      </c>
      <c r="C2457" t="s">
        <v>4437</v>
      </c>
      <c r="D2457" t="s">
        <v>105</v>
      </c>
      <c r="E2457">
        <v>98.99</v>
      </c>
      <c r="F2457" t="s">
        <v>5817</v>
      </c>
      <c r="G2457">
        <v>40</v>
      </c>
      <c r="I2457">
        <v>40</v>
      </c>
      <c r="L2457" t="s">
        <v>73</v>
      </c>
      <c r="M2457">
        <v>0</v>
      </c>
      <c r="N2457">
        <v>0</v>
      </c>
      <c r="O2457">
        <v>0</v>
      </c>
      <c r="P2457">
        <v>0</v>
      </c>
    </row>
    <row r="2458" spans="1:16" x14ac:dyDescent="0.2">
      <c r="A2458" t="s">
        <v>4453</v>
      </c>
      <c r="B2458" t="s">
        <v>4454</v>
      </c>
      <c r="C2458" t="s">
        <v>4437</v>
      </c>
      <c r="D2458" t="s">
        <v>98</v>
      </c>
      <c r="E2458">
        <v>299.99</v>
      </c>
      <c r="F2458" t="s">
        <v>5817</v>
      </c>
      <c r="L2458" t="s">
        <v>73</v>
      </c>
      <c r="M2458">
        <v>0</v>
      </c>
      <c r="N2458">
        <v>0</v>
      </c>
      <c r="O2458">
        <v>0</v>
      </c>
      <c r="P2458">
        <v>0</v>
      </c>
    </row>
    <row r="2459" spans="1:16" x14ac:dyDescent="0.2">
      <c r="A2459" t="s">
        <v>4449</v>
      </c>
      <c r="B2459" t="s">
        <v>4450</v>
      </c>
      <c r="C2459" t="s">
        <v>4437</v>
      </c>
      <c r="D2459" t="s">
        <v>98</v>
      </c>
      <c r="E2459">
        <v>179.99</v>
      </c>
      <c r="F2459" t="s">
        <v>5817</v>
      </c>
      <c r="L2459" t="s">
        <v>73</v>
      </c>
      <c r="M2459">
        <v>0</v>
      </c>
      <c r="N2459">
        <v>0</v>
      </c>
      <c r="O2459">
        <v>0</v>
      </c>
      <c r="P2459">
        <v>0</v>
      </c>
    </row>
    <row r="2460" spans="1:16" x14ac:dyDescent="0.2">
      <c r="A2460" t="s">
        <v>4447</v>
      </c>
      <c r="B2460" t="s">
        <v>4448</v>
      </c>
      <c r="C2460" t="s">
        <v>4437</v>
      </c>
      <c r="D2460" t="s">
        <v>105</v>
      </c>
      <c r="E2460">
        <v>72.989999999999995</v>
      </c>
      <c r="F2460" t="s">
        <v>5817</v>
      </c>
      <c r="G2460">
        <v>4</v>
      </c>
      <c r="I2460">
        <v>4</v>
      </c>
      <c r="L2460" t="s">
        <v>73</v>
      </c>
      <c r="M2460">
        <v>0</v>
      </c>
      <c r="N2460">
        <v>0</v>
      </c>
      <c r="O2460">
        <v>0</v>
      </c>
      <c r="P2460">
        <v>0</v>
      </c>
    </row>
    <row r="2461" spans="1:16" x14ac:dyDescent="0.2">
      <c r="A2461" t="s">
        <v>4445</v>
      </c>
      <c r="B2461" t="s">
        <v>4446</v>
      </c>
      <c r="C2461" t="s">
        <v>4437</v>
      </c>
      <c r="D2461" t="s">
        <v>98</v>
      </c>
      <c r="E2461">
        <v>139.99</v>
      </c>
      <c r="F2461" t="s">
        <v>5817</v>
      </c>
      <c r="L2461" t="s">
        <v>73</v>
      </c>
      <c r="M2461">
        <v>0</v>
      </c>
      <c r="N2461">
        <v>0</v>
      </c>
      <c r="O2461">
        <v>0</v>
      </c>
      <c r="P2461">
        <v>0</v>
      </c>
    </row>
    <row r="2462" spans="1:16" x14ac:dyDescent="0.2">
      <c r="A2462" t="s">
        <v>4443</v>
      </c>
      <c r="B2462" t="s">
        <v>4444</v>
      </c>
      <c r="C2462" t="s">
        <v>4437</v>
      </c>
      <c r="D2462" t="s">
        <v>98</v>
      </c>
      <c r="E2462">
        <v>79.989999999999995</v>
      </c>
      <c r="F2462" t="s">
        <v>5817</v>
      </c>
      <c r="L2462" t="s">
        <v>73</v>
      </c>
      <c r="M2462">
        <v>0</v>
      </c>
      <c r="N2462">
        <v>0</v>
      </c>
      <c r="O2462">
        <v>0</v>
      </c>
      <c r="P2462">
        <v>0</v>
      </c>
    </row>
    <row r="2463" spans="1:16" x14ac:dyDescent="0.2">
      <c r="A2463" t="s">
        <v>4440</v>
      </c>
      <c r="B2463" t="s">
        <v>4441</v>
      </c>
      <c r="C2463" t="s">
        <v>4437</v>
      </c>
      <c r="D2463" t="s">
        <v>98</v>
      </c>
      <c r="E2463">
        <v>99.99</v>
      </c>
      <c r="F2463" t="s">
        <v>5817</v>
      </c>
      <c r="L2463" t="s">
        <v>73</v>
      </c>
      <c r="M2463">
        <v>0</v>
      </c>
      <c r="N2463">
        <v>0</v>
      </c>
      <c r="O2463">
        <v>0</v>
      </c>
      <c r="P2463">
        <v>0</v>
      </c>
    </row>
    <row r="2464" spans="1:16" x14ac:dyDescent="0.2">
      <c r="A2464" t="s">
        <v>4481</v>
      </c>
      <c r="B2464" t="s">
        <v>4482</v>
      </c>
      <c r="C2464" t="s">
        <v>4437</v>
      </c>
      <c r="D2464" t="s">
        <v>98</v>
      </c>
      <c r="E2464">
        <v>119.99</v>
      </c>
      <c r="F2464" t="s">
        <v>5817</v>
      </c>
      <c r="L2464" t="s">
        <v>5818</v>
      </c>
      <c r="M2464">
        <v>0</v>
      </c>
      <c r="N2464">
        <v>0</v>
      </c>
      <c r="O2464">
        <v>0</v>
      </c>
      <c r="P2464" t="s">
        <v>5819</v>
      </c>
    </row>
    <row r="2465" spans="1:16" x14ac:dyDescent="0.2">
      <c r="A2465" t="s">
        <v>4479</v>
      </c>
      <c r="B2465" t="s">
        <v>4480</v>
      </c>
      <c r="C2465" t="s">
        <v>4437</v>
      </c>
      <c r="D2465" t="s">
        <v>98</v>
      </c>
      <c r="E2465">
        <v>69.989999999999995</v>
      </c>
      <c r="F2465" t="s">
        <v>5817</v>
      </c>
      <c r="L2465" t="s">
        <v>5818</v>
      </c>
      <c r="M2465">
        <v>0</v>
      </c>
      <c r="N2465">
        <v>0</v>
      </c>
      <c r="O2465">
        <v>0</v>
      </c>
      <c r="P2465" t="s">
        <v>5819</v>
      </c>
    </row>
    <row r="2466" spans="1:16" x14ac:dyDescent="0.2">
      <c r="A2466" t="s">
        <v>4477</v>
      </c>
      <c r="B2466" t="s">
        <v>4478</v>
      </c>
      <c r="C2466" t="s">
        <v>4437</v>
      </c>
      <c r="D2466" t="s">
        <v>98</v>
      </c>
      <c r="E2466">
        <v>119.99</v>
      </c>
      <c r="F2466" t="s">
        <v>5817</v>
      </c>
      <c r="L2466" t="s">
        <v>5818</v>
      </c>
      <c r="M2466">
        <v>0</v>
      </c>
      <c r="N2466">
        <v>0</v>
      </c>
      <c r="O2466">
        <v>0</v>
      </c>
      <c r="P2466" t="s">
        <v>5819</v>
      </c>
    </row>
    <row r="2467" spans="1:16" x14ac:dyDescent="0.2">
      <c r="A2467" t="s">
        <v>4475</v>
      </c>
      <c r="B2467" t="s">
        <v>4476</v>
      </c>
      <c r="C2467" t="s">
        <v>4437</v>
      </c>
      <c r="D2467" t="s">
        <v>98</v>
      </c>
      <c r="E2467">
        <v>119.99</v>
      </c>
      <c r="F2467" t="s">
        <v>5817</v>
      </c>
      <c r="L2467" t="s">
        <v>5818</v>
      </c>
      <c r="M2467">
        <v>0</v>
      </c>
      <c r="N2467">
        <v>0</v>
      </c>
      <c r="O2467">
        <v>0</v>
      </c>
      <c r="P2467" t="s">
        <v>5819</v>
      </c>
    </row>
    <row r="2468" spans="1:16" x14ac:dyDescent="0.2">
      <c r="A2468" t="s">
        <v>4473</v>
      </c>
      <c r="B2468" t="s">
        <v>4474</v>
      </c>
      <c r="C2468" t="s">
        <v>4437</v>
      </c>
      <c r="D2468" t="s">
        <v>98</v>
      </c>
      <c r="E2468">
        <v>99.99</v>
      </c>
      <c r="F2468" t="s">
        <v>5817</v>
      </c>
      <c r="L2468" t="s">
        <v>5818</v>
      </c>
      <c r="M2468">
        <v>0</v>
      </c>
      <c r="N2468">
        <v>0</v>
      </c>
      <c r="P2468">
        <v>0</v>
      </c>
    </row>
    <row r="2469" spans="1:16" x14ac:dyDescent="0.2">
      <c r="A2469" t="s">
        <v>4471</v>
      </c>
      <c r="B2469" t="s">
        <v>4472</v>
      </c>
      <c r="C2469" t="s">
        <v>4437</v>
      </c>
      <c r="D2469" t="s">
        <v>98</v>
      </c>
      <c r="E2469">
        <v>49.99</v>
      </c>
      <c r="F2469" t="s">
        <v>5817</v>
      </c>
      <c r="L2469" t="s">
        <v>5818</v>
      </c>
      <c r="M2469">
        <v>0</v>
      </c>
      <c r="N2469">
        <v>0</v>
      </c>
      <c r="P2469" t="s">
        <v>5824</v>
      </c>
    </row>
    <row r="2470" spans="1:16" x14ac:dyDescent="0.2">
      <c r="A2470" t="s">
        <v>4469</v>
      </c>
      <c r="B2470" t="s">
        <v>4470</v>
      </c>
      <c r="C2470" t="s">
        <v>4437</v>
      </c>
      <c r="D2470" t="s">
        <v>98</v>
      </c>
      <c r="E2470">
        <v>39.99</v>
      </c>
      <c r="F2470" t="s">
        <v>5817</v>
      </c>
      <c r="L2470" t="s">
        <v>5818</v>
      </c>
      <c r="M2470">
        <v>0</v>
      </c>
      <c r="N2470">
        <v>0</v>
      </c>
      <c r="P2470">
        <v>2</v>
      </c>
    </row>
    <row r="2471" spans="1:16" x14ac:dyDescent="0.2">
      <c r="A2471" t="s">
        <v>4467</v>
      </c>
      <c r="B2471" t="s">
        <v>4468</v>
      </c>
      <c r="C2471" t="s">
        <v>4437</v>
      </c>
      <c r="D2471" t="s">
        <v>138</v>
      </c>
      <c r="E2471">
        <v>80.989999999999995</v>
      </c>
      <c r="F2471" t="s">
        <v>5817</v>
      </c>
      <c r="G2471">
        <v>17</v>
      </c>
      <c r="I2471">
        <v>17</v>
      </c>
      <c r="L2471" t="s">
        <v>5818</v>
      </c>
      <c r="M2471">
        <v>0</v>
      </c>
      <c r="N2471">
        <v>0</v>
      </c>
      <c r="O2471">
        <v>0</v>
      </c>
      <c r="P2471" t="s">
        <v>5819</v>
      </c>
    </row>
    <row r="2472" spans="1:16" x14ac:dyDescent="0.2">
      <c r="A2472" t="s">
        <v>4465</v>
      </c>
      <c r="B2472" t="s">
        <v>4466</v>
      </c>
      <c r="C2472" t="s">
        <v>4437</v>
      </c>
      <c r="D2472" t="s">
        <v>98</v>
      </c>
      <c r="E2472">
        <v>49.99</v>
      </c>
      <c r="F2472" t="s">
        <v>5817</v>
      </c>
      <c r="L2472" t="s">
        <v>5818</v>
      </c>
      <c r="M2472">
        <v>0</v>
      </c>
      <c r="N2472">
        <v>0</v>
      </c>
      <c r="O2472">
        <v>0</v>
      </c>
      <c r="P2472" t="s">
        <v>5819</v>
      </c>
    </row>
    <row r="2473" spans="1:16" x14ac:dyDescent="0.2">
      <c r="A2473" t="s">
        <v>5646</v>
      </c>
      <c r="B2473" t="s">
        <v>5647</v>
      </c>
      <c r="C2473" t="s">
        <v>4437</v>
      </c>
      <c r="D2473" t="s">
        <v>98</v>
      </c>
      <c r="E2473">
        <v>149.99</v>
      </c>
      <c r="F2473" t="s">
        <v>5817</v>
      </c>
      <c r="L2473" t="s">
        <v>5818</v>
      </c>
      <c r="M2473">
        <v>0</v>
      </c>
      <c r="N2473">
        <v>0</v>
      </c>
      <c r="O2473">
        <v>0</v>
      </c>
      <c r="P2473" t="s">
        <v>5819</v>
      </c>
    </row>
    <row r="2474" spans="1:16" x14ac:dyDescent="0.2">
      <c r="A2474" t="s">
        <v>4449</v>
      </c>
      <c r="B2474" t="s">
        <v>4450</v>
      </c>
      <c r="C2474" t="s">
        <v>4437</v>
      </c>
      <c r="D2474" t="s">
        <v>98</v>
      </c>
      <c r="E2474">
        <v>179.99</v>
      </c>
      <c r="F2474" t="s">
        <v>5817</v>
      </c>
      <c r="L2474" t="s">
        <v>5818</v>
      </c>
      <c r="M2474">
        <v>0</v>
      </c>
      <c r="N2474">
        <v>0</v>
      </c>
      <c r="P2474" t="s">
        <v>5819</v>
      </c>
    </row>
    <row r="2475" spans="1:16" x14ac:dyDescent="0.2">
      <c r="A2475" t="s">
        <v>4455</v>
      </c>
      <c r="B2475" t="s">
        <v>4456</v>
      </c>
      <c r="C2475" t="s">
        <v>4437</v>
      </c>
      <c r="D2475" t="s">
        <v>98</v>
      </c>
      <c r="E2475">
        <v>199.99</v>
      </c>
      <c r="F2475" t="s">
        <v>5817</v>
      </c>
      <c r="L2475" t="s">
        <v>5818</v>
      </c>
      <c r="M2475">
        <v>0</v>
      </c>
      <c r="N2475">
        <v>0</v>
      </c>
      <c r="O2475">
        <v>0</v>
      </c>
      <c r="P2475" t="s">
        <v>5819</v>
      </c>
    </row>
    <row r="2476" spans="1:16" x14ac:dyDescent="0.2">
      <c r="A2476" t="s">
        <v>4459</v>
      </c>
      <c r="B2476" t="s">
        <v>4460</v>
      </c>
      <c r="C2476" t="s">
        <v>4437</v>
      </c>
      <c r="D2476" t="s">
        <v>98</v>
      </c>
      <c r="E2476">
        <v>99.99</v>
      </c>
      <c r="F2476" t="s">
        <v>5817</v>
      </c>
      <c r="L2476" t="s">
        <v>5818</v>
      </c>
      <c r="M2476">
        <v>0</v>
      </c>
      <c r="N2476">
        <v>0</v>
      </c>
      <c r="O2476">
        <v>0</v>
      </c>
      <c r="P2476" t="s">
        <v>5819</v>
      </c>
    </row>
    <row r="2477" spans="1:16" x14ac:dyDescent="0.2">
      <c r="A2477" t="s">
        <v>4440</v>
      </c>
      <c r="B2477" t="s">
        <v>4441</v>
      </c>
      <c r="C2477" t="s">
        <v>4437</v>
      </c>
      <c r="D2477" t="s">
        <v>98</v>
      </c>
      <c r="E2477">
        <v>99.99</v>
      </c>
      <c r="F2477" t="s">
        <v>5817</v>
      </c>
      <c r="L2477" t="s">
        <v>5818</v>
      </c>
      <c r="M2477">
        <v>0</v>
      </c>
      <c r="N2477">
        <v>0</v>
      </c>
      <c r="O2477">
        <v>0</v>
      </c>
      <c r="P2477" t="s">
        <v>5819</v>
      </c>
    </row>
    <row r="2478" spans="1:16" x14ac:dyDescent="0.2">
      <c r="A2478" t="s">
        <v>4451</v>
      </c>
      <c r="B2478" t="s">
        <v>4452</v>
      </c>
      <c r="C2478" t="s">
        <v>4437</v>
      </c>
      <c r="D2478" t="s">
        <v>98</v>
      </c>
      <c r="E2478">
        <v>299.99</v>
      </c>
      <c r="F2478" t="s">
        <v>5817</v>
      </c>
      <c r="L2478" t="s">
        <v>5818</v>
      </c>
      <c r="M2478">
        <v>0</v>
      </c>
      <c r="N2478">
        <v>0</v>
      </c>
      <c r="P2478">
        <v>1</v>
      </c>
    </row>
    <row r="2479" spans="1:16" x14ac:dyDescent="0.2">
      <c r="A2479" t="s">
        <v>4447</v>
      </c>
      <c r="B2479" t="s">
        <v>4448</v>
      </c>
      <c r="C2479" t="s">
        <v>4437</v>
      </c>
      <c r="D2479" t="s">
        <v>105</v>
      </c>
      <c r="E2479">
        <v>72.989999999999995</v>
      </c>
      <c r="F2479" t="s">
        <v>5817</v>
      </c>
      <c r="G2479">
        <v>4</v>
      </c>
      <c r="I2479">
        <v>4</v>
      </c>
      <c r="L2479" t="s">
        <v>5818</v>
      </c>
      <c r="M2479">
        <v>0</v>
      </c>
      <c r="N2479">
        <v>0</v>
      </c>
      <c r="O2479">
        <v>0</v>
      </c>
      <c r="P2479" t="s">
        <v>5819</v>
      </c>
    </row>
    <row r="2480" spans="1:16" x14ac:dyDescent="0.2">
      <c r="A2480" t="s">
        <v>4457</v>
      </c>
      <c r="B2480" t="s">
        <v>4458</v>
      </c>
      <c r="C2480" t="s">
        <v>4437</v>
      </c>
      <c r="D2480" t="s">
        <v>98</v>
      </c>
      <c r="E2480">
        <v>249.99</v>
      </c>
      <c r="F2480" t="s">
        <v>5817</v>
      </c>
      <c r="L2480" t="s">
        <v>5818</v>
      </c>
      <c r="M2480">
        <v>0</v>
      </c>
      <c r="N2480">
        <v>0</v>
      </c>
      <c r="P2480">
        <v>2</v>
      </c>
    </row>
    <row r="2481" spans="1:16" x14ac:dyDescent="0.2">
      <c r="A2481" t="s">
        <v>4438</v>
      </c>
      <c r="B2481" t="s">
        <v>4439</v>
      </c>
      <c r="C2481" t="s">
        <v>4437</v>
      </c>
      <c r="D2481" t="s">
        <v>105</v>
      </c>
      <c r="E2481">
        <v>98.99</v>
      </c>
      <c r="F2481" t="s">
        <v>5817</v>
      </c>
      <c r="G2481">
        <v>40</v>
      </c>
      <c r="I2481">
        <v>40</v>
      </c>
      <c r="L2481" t="s">
        <v>5818</v>
      </c>
      <c r="M2481">
        <v>0</v>
      </c>
      <c r="N2481">
        <v>0</v>
      </c>
      <c r="O2481">
        <v>0</v>
      </c>
      <c r="P2481" t="s">
        <v>5819</v>
      </c>
    </row>
    <row r="2482" spans="1:16" x14ac:dyDescent="0.2">
      <c r="A2482" t="s">
        <v>4445</v>
      </c>
      <c r="B2482" t="s">
        <v>4446</v>
      </c>
      <c r="C2482" t="s">
        <v>4437</v>
      </c>
      <c r="D2482" t="s">
        <v>98</v>
      </c>
      <c r="E2482">
        <v>139.99</v>
      </c>
      <c r="F2482" t="s">
        <v>5817</v>
      </c>
      <c r="L2482" t="s">
        <v>5818</v>
      </c>
      <c r="M2482">
        <v>0</v>
      </c>
      <c r="N2482">
        <v>0</v>
      </c>
      <c r="O2482">
        <v>0</v>
      </c>
      <c r="P2482" t="s">
        <v>5819</v>
      </c>
    </row>
    <row r="2483" spans="1:16" x14ac:dyDescent="0.2">
      <c r="A2483" t="s">
        <v>4443</v>
      </c>
      <c r="B2483" t="s">
        <v>4444</v>
      </c>
      <c r="C2483" t="s">
        <v>4437</v>
      </c>
      <c r="D2483" t="s">
        <v>98</v>
      </c>
      <c r="E2483">
        <v>79.989999999999995</v>
      </c>
      <c r="F2483" t="s">
        <v>5817</v>
      </c>
      <c r="L2483" t="s">
        <v>5818</v>
      </c>
      <c r="M2483">
        <v>0</v>
      </c>
      <c r="N2483">
        <v>0</v>
      </c>
      <c r="P2483">
        <v>2</v>
      </c>
    </row>
    <row r="2484" spans="1:16" x14ac:dyDescent="0.2">
      <c r="A2484" t="s">
        <v>4463</v>
      </c>
      <c r="B2484" t="s">
        <v>4464</v>
      </c>
      <c r="C2484" t="s">
        <v>4437</v>
      </c>
      <c r="D2484" t="s">
        <v>105</v>
      </c>
      <c r="E2484">
        <v>83.99</v>
      </c>
      <c r="F2484" t="s">
        <v>5817</v>
      </c>
      <c r="G2484">
        <v>17</v>
      </c>
      <c r="I2484">
        <v>17</v>
      </c>
      <c r="L2484" t="s">
        <v>5818</v>
      </c>
      <c r="M2484">
        <v>0</v>
      </c>
      <c r="N2484">
        <v>0</v>
      </c>
      <c r="O2484">
        <v>0</v>
      </c>
      <c r="P2484" t="s">
        <v>5819</v>
      </c>
    </row>
    <row r="2485" spans="1:16" x14ac:dyDescent="0.2">
      <c r="A2485" t="s">
        <v>4453</v>
      </c>
      <c r="B2485" t="s">
        <v>4454</v>
      </c>
      <c r="C2485" t="s">
        <v>4437</v>
      </c>
      <c r="D2485" t="s">
        <v>98</v>
      </c>
      <c r="E2485">
        <v>299.99</v>
      </c>
      <c r="F2485" t="s">
        <v>5817</v>
      </c>
      <c r="L2485" t="s">
        <v>5818</v>
      </c>
      <c r="M2485">
        <v>0</v>
      </c>
      <c r="N2485">
        <v>0</v>
      </c>
      <c r="O2485">
        <v>0</v>
      </c>
      <c r="P2485" t="s">
        <v>5819</v>
      </c>
    </row>
    <row r="2486" spans="1:16" x14ac:dyDescent="0.2">
      <c r="A2486" t="s">
        <v>4442</v>
      </c>
      <c r="B2486" t="s">
        <v>4441</v>
      </c>
      <c r="C2486" t="s">
        <v>4437</v>
      </c>
      <c r="D2486" t="s">
        <v>98</v>
      </c>
      <c r="E2486">
        <v>99.99</v>
      </c>
      <c r="F2486" t="s">
        <v>5817</v>
      </c>
      <c r="L2486" t="s">
        <v>5818</v>
      </c>
      <c r="M2486">
        <v>0</v>
      </c>
      <c r="N2486">
        <v>0</v>
      </c>
      <c r="O2486">
        <v>0</v>
      </c>
      <c r="P2486" t="s">
        <v>5819</v>
      </c>
    </row>
    <row r="2487" spans="1:16" x14ac:dyDescent="0.2">
      <c r="A2487" t="s">
        <v>4461</v>
      </c>
      <c r="B2487" t="s">
        <v>4462</v>
      </c>
      <c r="C2487" t="s">
        <v>4437</v>
      </c>
      <c r="D2487" t="s">
        <v>98</v>
      </c>
      <c r="E2487">
        <v>139.99</v>
      </c>
      <c r="F2487" t="s">
        <v>5817</v>
      </c>
      <c r="L2487" t="s">
        <v>5818</v>
      </c>
      <c r="M2487">
        <v>0</v>
      </c>
      <c r="N2487">
        <v>0</v>
      </c>
      <c r="P2487">
        <v>5</v>
      </c>
    </row>
    <row r="2488" spans="1:16" x14ac:dyDescent="0.2">
      <c r="A2488" t="s">
        <v>4449</v>
      </c>
      <c r="B2488" t="s">
        <v>4450</v>
      </c>
      <c r="C2488" t="s">
        <v>4437</v>
      </c>
      <c r="D2488" t="s">
        <v>98</v>
      </c>
      <c r="E2488">
        <v>179.99</v>
      </c>
      <c r="F2488" t="s">
        <v>5817</v>
      </c>
      <c r="L2488" t="s">
        <v>5085</v>
      </c>
      <c r="M2488">
        <v>0</v>
      </c>
      <c r="N2488">
        <v>0</v>
      </c>
      <c r="O2488">
        <v>0</v>
      </c>
      <c r="P2488" t="s">
        <v>5819</v>
      </c>
    </row>
    <row r="2489" spans="1:16" x14ac:dyDescent="0.2">
      <c r="A2489" t="s">
        <v>4445</v>
      </c>
      <c r="B2489" t="s">
        <v>4446</v>
      </c>
      <c r="C2489" t="s">
        <v>4437</v>
      </c>
      <c r="D2489" t="s">
        <v>98</v>
      </c>
      <c r="E2489">
        <v>139.99</v>
      </c>
      <c r="F2489" t="s">
        <v>5817</v>
      </c>
      <c r="L2489" t="s">
        <v>5085</v>
      </c>
      <c r="M2489">
        <v>0</v>
      </c>
      <c r="N2489">
        <v>0</v>
      </c>
      <c r="O2489">
        <v>0</v>
      </c>
      <c r="P2489" t="s">
        <v>5819</v>
      </c>
    </row>
    <row r="2490" spans="1:16" x14ac:dyDescent="0.2">
      <c r="A2490" t="s">
        <v>4447</v>
      </c>
      <c r="B2490" t="s">
        <v>4448</v>
      </c>
      <c r="C2490" t="s">
        <v>4437</v>
      </c>
      <c r="D2490" t="s">
        <v>105</v>
      </c>
      <c r="E2490">
        <v>72.989999999999995</v>
      </c>
      <c r="F2490" t="s">
        <v>5817</v>
      </c>
      <c r="G2490">
        <v>4</v>
      </c>
      <c r="I2490">
        <v>4</v>
      </c>
      <c r="L2490" t="s">
        <v>5085</v>
      </c>
      <c r="M2490">
        <v>0</v>
      </c>
      <c r="N2490">
        <v>0</v>
      </c>
      <c r="O2490">
        <v>0</v>
      </c>
      <c r="P2490" t="s">
        <v>5819</v>
      </c>
    </row>
    <row r="2491" spans="1:16" x14ac:dyDescent="0.2">
      <c r="A2491" t="s">
        <v>4459</v>
      </c>
      <c r="B2491" t="s">
        <v>4460</v>
      </c>
      <c r="C2491" t="s">
        <v>4437</v>
      </c>
      <c r="D2491" t="s">
        <v>98</v>
      </c>
      <c r="E2491">
        <v>99.99</v>
      </c>
      <c r="F2491" t="s">
        <v>5817</v>
      </c>
      <c r="L2491" t="s">
        <v>5085</v>
      </c>
      <c r="M2491">
        <v>0</v>
      </c>
      <c r="N2491">
        <v>0</v>
      </c>
      <c r="O2491">
        <v>0</v>
      </c>
      <c r="P2491" t="s">
        <v>5819</v>
      </c>
    </row>
    <row r="2492" spans="1:16" x14ac:dyDescent="0.2">
      <c r="A2492" t="s">
        <v>4473</v>
      </c>
      <c r="B2492" t="s">
        <v>4474</v>
      </c>
      <c r="C2492" t="s">
        <v>4437</v>
      </c>
      <c r="D2492" t="s">
        <v>98</v>
      </c>
      <c r="E2492">
        <v>99.99</v>
      </c>
      <c r="F2492" t="s">
        <v>5817</v>
      </c>
      <c r="L2492" t="s">
        <v>5085</v>
      </c>
      <c r="M2492">
        <v>0</v>
      </c>
      <c r="N2492">
        <v>0</v>
      </c>
      <c r="O2492">
        <v>8.3333333333333329E-2</v>
      </c>
      <c r="P2492" t="s">
        <v>5819</v>
      </c>
    </row>
    <row r="2493" spans="1:16" x14ac:dyDescent="0.2">
      <c r="A2493" t="s">
        <v>4469</v>
      </c>
      <c r="B2493" t="s">
        <v>4470</v>
      </c>
      <c r="C2493" t="s">
        <v>4437</v>
      </c>
      <c r="D2493" t="s">
        <v>98</v>
      </c>
      <c r="E2493">
        <v>39.99</v>
      </c>
      <c r="F2493" t="s">
        <v>5817</v>
      </c>
      <c r="L2493" t="s">
        <v>5085</v>
      </c>
      <c r="M2493">
        <v>0</v>
      </c>
      <c r="N2493">
        <v>0</v>
      </c>
      <c r="O2493">
        <v>0</v>
      </c>
      <c r="P2493" t="s">
        <v>5819</v>
      </c>
    </row>
    <row r="2494" spans="1:16" x14ac:dyDescent="0.2">
      <c r="A2494" t="s">
        <v>4463</v>
      </c>
      <c r="B2494" t="s">
        <v>4464</v>
      </c>
      <c r="C2494" t="s">
        <v>4437</v>
      </c>
      <c r="D2494" t="s">
        <v>105</v>
      </c>
      <c r="E2494">
        <v>83.99</v>
      </c>
      <c r="F2494" t="s">
        <v>5817</v>
      </c>
      <c r="G2494">
        <v>17</v>
      </c>
      <c r="I2494">
        <v>17</v>
      </c>
      <c r="L2494" t="s">
        <v>5085</v>
      </c>
      <c r="M2494">
        <v>0</v>
      </c>
      <c r="N2494">
        <v>0</v>
      </c>
      <c r="O2494">
        <v>0</v>
      </c>
      <c r="P2494" t="s">
        <v>5819</v>
      </c>
    </row>
    <row r="2495" spans="1:16" x14ac:dyDescent="0.2">
      <c r="A2495" t="s">
        <v>4467</v>
      </c>
      <c r="B2495" t="s">
        <v>4468</v>
      </c>
      <c r="C2495" t="s">
        <v>4437</v>
      </c>
      <c r="D2495" t="s">
        <v>138</v>
      </c>
      <c r="E2495">
        <v>80.989999999999995</v>
      </c>
      <c r="F2495" t="s">
        <v>5817</v>
      </c>
      <c r="G2495">
        <v>17</v>
      </c>
      <c r="I2495">
        <v>17</v>
      </c>
      <c r="L2495" t="s">
        <v>5085</v>
      </c>
      <c r="M2495">
        <v>0</v>
      </c>
      <c r="N2495">
        <v>0</v>
      </c>
      <c r="O2495">
        <v>0</v>
      </c>
      <c r="P2495" t="s">
        <v>5819</v>
      </c>
    </row>
    <row r="2496" spans="1:16" x14ac:dyDescent="0.2">
      <c r="A2496" t="s">
        <v>4455</v>
      </c>
      <c r="B2496" t="s">
        <v>4456</v>
      </c>
      <c r="C2496" t="s">
        <v>4437</v>
      </c>
      <c r="D2496" t="s">
        <v>98</v>
      </c>
      <c r="E2496">
        <v>199.99</v>
      </c>
      <c r="F2496" t="s">
        <v>5817</v>
      </c>
      <c r="L2496" t="s">
        <v>5085</v>
      </c>
      <c r="M2496">
        <v>0</v>
      </c>
      <c r="N2496">
        <v>0</v>
      </c>
      <c r="O2496">
        <v>0</v>
      </c>
      <c r="P2496" t="s">
        <v>5819</v>
      </c>
    </row>
    <row r="2497" spans="1:16" x14ac:dyDescent="0.2">
      <c r="A2497" t="s">
        <v>4479</v>
      </c>
      <c r="B2497" t="s">
        <v>4480</v>
      </c>
      <c r="C2497" t="s">
        <v>4437</v>
      </c>
      <c r="D2497" t="s">
        <v>98</v>
      </c>
      <c r="E2497">
        <v>69.989999999999995</v>
      </c>
      <c r="F2497" t="s">
        <v>5817</v>
      </c>
      <c r="L2497" t="s">
        <v>5085</v>
      </c>
      <c r="M2497">
        <v>0</v>
      </c>
      <c r="N2497">
        <v>0</v>
      </c>
      <c r="O2497">
        <v>8.3333333333333329E-2</v>
      </c>
      <c r="P2497" t="s">
        <v>5819</v>
      </c>
    </row>
    <row r="2498" spans="1:16" x14ac:dyDescent="0.2">
      <c r="A2498" t="s">
        <v>4457</v>
      </c>
      <c r="B2498" t="s">
        <v>4458</v>
      </c>
      <c r="C2498" t="s">
        <v>4437</v>
      </c>
      <c r="D2498" t="s">
        <v>98</v>
      </c>
      <c r="E2498">
        <v>249.99</v>
      </c>
      <c r="F2498" t="s">
        <v>5817</v>
      </c>
      <c r="L2498" t="s">
        <v>5085</v>
      </c>
      <c r="M2498">
        <v>0</v>
      </c>
      <c r="N2498">
        <v>0</v>
      </c>
      <c r="O2498">
        <v>0</v>
      </c>
      <c r="P2498" t="s">
        <v>5819</v>
      </c>
    </row>
    <row r="2499" spans="1:16" x14ac:dyDescent="0.2">
      <c r="A2499" t="s">
        <v>4477</v>
      </c>
      <c r="B2499" t="s">
        <v>4478</v>
      </c>
      <c r="C2499" t="s">
        <v>4437</v>
      </c>
      <c r="D2499" t="s">
        <v>98</v>
      </c>
      <c r="E2499">
        <v>119.99</v>
      </c>
      <c r="F2499" t="s">
        <v>5817</v>
      </c>
      <c r="L2499" t="s">
        <v>5085</v>
      </c>
      <c r="M2499">
        <v>0</v>
      </c>
      <c r="N2499">
        <v>0</v>
      </c>
      <c r="O2499">
        <v>0</v>
      </c>
      <c r="P2499" t="s">
        <v>5819</v>
      </c>
    </row>
    <row r="2500" spans="1:16" x14ac:dyDescent="0.2">
      <c r="A2500" t="s">
        <v>4443</v>
      </c>
      <c r="B2500" t="s">
        <v>4444</v>
      </c>
      <c r="C2500" t="s">
        <v>4437</v>
      </c>
      <c r="D2500" t="s">
        <v>98</v>
      </c>
      <c r="E2500">
        <v>79.989999999999995</v>
      </c>
      <c r="F2500" t="s">
        <v>5817</v>
      </c>
      <c r="L2500" t="s">
        <v>5085</v>
      </c>
      <c r="M2500">
        <v>0</v>
      </c>
      <c r="N2500">
        <v>0</v>
      </c>
      <c r="O2500">
        <v>0</v>
      </c>
      <c r="P2500" t="s">
        <v>5819</v>
      </c>
    </row>
    <row r="2501" spans="1:16" x14ac:dyDescent="0.2">
      <c r="A2501" t="s">
        <v>4438</v>
      </c>
      <c r="B2501" t="s">
        <v>4439</v>
      </c>
      <c r="C2501" t="s">
        <v>4437</v>
      </c>
      <c r="D2501" t="s">
        <v>105</v>
      </c>
      <c r="E2501">
        <v>98.99</v>
      </c>
      <c r="F2501" t="s">
        <v>5817</v>
      </c>
      <c r="G2501">
        <v>40</v>
      </c>
      <c r="I2501">
        <v>40</v>
      </c>
      <c r="L2501" t="s">
        <v>5085</v>
      </c>
      <c r="M2501">
        <v>0</v>
      </c>
      <c r="N2501">
        <v>0</v>
      </c>
      <c r="O2501">
        <v>0</v>
      </c>
      <c r="P2501" t="s">
        <v>5819</v>
      </c>
    </row>
    <row r="2502" spans="1:16" x14ac:dyDescent="0.2">
      <c r="A2502" t="s">
        <v>4465</v>
      </c>
      <c r="B2502" t="s">
        <v>4466</v>
      </c>
      <c r="C2502" t="s">
        <v>4437</v>
      </c>
      <c r="D2502" t="s">
        <v>98</v>
      </c>
      <c r="E2502">
        <v>49.99</v>
      </c>
      <c r="F2502" t="s">
        <v>5817</v>
      </c>
      <c r="L2502" t="s">
        <v>5085</v>
      </c>
      <c r="M2502">
        <v>0</v>
      </c>
      <c r="N2502">
        <v>0</v>
      </c>
      <c r="O2502">
        <v>0</v>
      </c>
      <c r="P2502" t="s">
        <v>5819</v>
      </c>
    </row>
    <row r="2503" spans="1:16" x14ac:dyDescent="0.2">
      <c r="A2503" t="s">
        <v>4479</v>
      </c>
      <c r="B2503" t="s">
        <v>4480</v>
      </c>
      <c r="C2503" t="s">
        <v>4437</v>
      </c>
      <c r="D2503" t="s">
        <v>98</v>
      </c>
      <c r="E2503">
        <v>69.989999999999995</v>
      </c>
      <c r="F2503" t="s">
        <v>5817</v>
      </c>
      <c r="L2503" t="s">
        <v>5065</v>
      </c>
      <c r="M2503">
        <v>0</v>
      </c>
      <c r="N2503">
        <v>0</v>
      </c>
      <c r="P2503">
        <v>0</v>
      </c>
    </row>
    <row r="2504" spans="1:16" x14ac:dyDescent="0.2">
      <c r="A2504" t="s">
        <v>4477</v>
      </c>
      <c r="B2504" t="s">
        <v>4478</v>
      </c>
      <c r="C2504" t="s">
        <v>4437</v>
      </c>
      <c r="D2504" t="s">
        <v>98</v>
      </c>
      <c r="E2504">
        <v>119.99</v>
      </c>
      <c r="F2504" t="s">
        <v>5817</v>
      </c>
      <c r="L2504" t="s">
        <v>5065</v>
      </c>
      <c r="M2504">
        <v>0</v>
      </c>
      <c r="N2504">
        <v>0</v>
      </c>
      <c r="P2504">
        <v>0</v>
      </c>
    </row>
    <row r="2505" spans="1:16" x14ac:dyDescent="0.2">
      <c r="A2505" t="s">
        <v>4438</v>
      </c>
      <c r="B2505" t="s">
        <v>4439</v>
      </c>
      <c r="C2505" t="s">
        <v>4437</v>
      </c>
      <c r="D2505" t="s">
        <v>105</v>
      </c>
      <c r="E2505">
        <v>98.99</v>
      </c>
      <c r="F2505" t="s">
        <v>5817</v>
      </c>
      <c r="G2505">
        <v>40</v>
      </c>
      <c r="I2505">
        <v>40</v>
      </c>
      <c r="L2505" t="s">
        <v>5065</v>
      </c>
      <c r="M2505">
        <v>0</v>
      </c>
      <c r="N2505">
        <v>0</v>
      </c>
      <c r="P2505">
        <v>0</v>
      </c>
    </row>
    <row r="2506" spans="1:16" x14ac:dyDescent="0.2">
      <c r="A2506" t="s">
        <v>4481</v>
      </c>
      <c r="B2506" t="s">
        <v>4482</v>
      </c>
      <c r="C2506" t="s">
        <v>4437</v>
      </c>
      <c r="D2506" t="s">
        <v>98</v>
      </c>
      <c r="E2506">
        <v>119.99</v>
      </c>
      <c r="F2506" t="s">
        <v>5817</v>
      </c>
      <c r="L2506" t="s">
        <v>5065</v>
      </c>
      <c r="M2506">
        <v>0</v>
      </c>
      <c r="N2506">
        <v>0</v>
      </c>
      <c r="P2506">
        <v>0</v>
      </c>
    </row>
    <row r="2507" spans="1:16" x14ac:dyDescent="0.2">
      <c r="A2507" t="s">
        <v>4440</v>
      </c>
      <c r="B2507" t="s">
        <v>4441</v>
      </c>
      <c r="C2507" t="s">
        <v>4437</v>
      </c>
      <c r="D2507" t="s">
        <v>98</v>
      </c>
      <c r="E2507">
        <v>99.99</v>
      </c>
      <c r="F2507" t="s">
        <v>5817</v>
      </c>
      <c r="L2507" t="s">
        <v>5065</v>
      </c>
      <c r="M2507">
        <v>0</v>
      </c>
      <c r="N2507">
        <v>0</v>
      </c>
      <c r="P2507">
        <v>0</v>
      </c>
    </row>
    <row r="2508" spans="1:16" x14ac:dyDescent="0.2">
      <c r="A2508" t="s">
        <v>4475</v>
      </c>
      <c r="B2508" t="s">
        <v>4476</v>
      </c>
      <c r="C2508" t="s">
        <v>4437</v>
      </c>
      <c r="D2508" t="s">
        <v>98</v>
      </c>
      <c r="E2508">
        <v>119.99</v>
      </c>
      <c r="F2508" t="s">
        <v>5817</v>
      </c>
      <c r="L2508" t="s">
        <v>5065</v>
      </c>
      <c r="M2508">
        <v>0</v>
      </c>
      <c r="N2508">
        <v>0</v>
      </c>
      <c r="P2508">
        <v>0</v>
      </c>
    </row>
    <row r="2509" spans="1:16" x14ac:dyDescent="0.2">
      <c r="A2509" t="s">
        <v>4455</v>
      </c>
      <c r="B2509" t="s">
        <v>4456</v>
      </c>
      <c r="C2509" t="s">
        <v>4437</v>
      </c>
      <c r="D2509" t="s">
        <v>98</v>
      </c>
      <c r="E2509">
        <v>199.99</v>
      </c>
      <c r="F2509" t="s">
        <v>5817</v>
      </c>
      <c r="L2509" t="s">
        <v>5065</v>
      </c>
      <c r="M2509">
        <v>0</v>
      </c>
      <c r="N2509">
        <v>0</v>
      </c>
      <c r="P2509">
        <v>0</v>
      </c>
    </row>
    <row r="2510" spans="1:16" x14ac:dyDescent="0.2">
      <c r="A2510" t="s">
        <v>4457</v>
      </c>
      <c r="B2510" t="s">
        <v>4458</v>
      </c>
      <c r="C2510" t="s">
        <v>4437</v>
      </c>
      <c r="D2510" t="s">
        <v>98</v>
      </c>
      <c r="E2510">
        <v>249.99</v>
      </c>
      <c r="F2510" t="s">
        <v>5817</v>
      </c>
      <c r="L2510" t="s">
        <v>5065</v>
      </c>
      <c r="M2510">
        <v>0</v>
      </c>
      <c r="N2510">
        <v>0</v>
      </c>
      <c r="P2510">
        <v>0</v>
      </c>
    </row>
    <row r="2511" spans="1:16" x14ac:dyDescent="0.2">
      <c r="A2511" t="s">
        <v>4467</v>
      </c>
      <c r="B2511" t="s">
        <v>4468</v>
      </c>
      <c r="C2511" t="s">
        <v>4437</v>
      </c>
      <c r="D2511" t="s">
        <v>138</v>
      </c>
      <c r="E2511">
        <v>80.989999999999995</v>
      </c>
      <c r="F2511" t="s">
        <v>5817</v>
      </c>
      <c r="G2511">
        <v>17</v>
      </c>
      <c r="I2511">
        <v>17</v>
      </c>
      <c r="L2511" t="s">
        <v>5065</v>
      </c>
      <c r="M2511">
        <v>0</v>
      </c>
      <c r="N2511">
        <v>0</v>
      </c>
      <c r="P2511">
        <v>0</v>
      </c>
    </row>
    <row r="2512" spans="1:16" x14ac:dyDescent="0.2">
      <c r="A2512" t="s">
        <v>4465</v>
      </c>
      <c r="B2512" t="s">
        <v>4466</v>
      </c>
      <c r="C2512" t="s">
        <v>4437</v>
      </c>
      <c r="D2512" t="s">
        <v>98</v>
      </c>
      <c r="E2512">
        <v>49.99</v>
      </c>
      <c r="F2512" t="s">
        <v>5817</v>
      </c>
      <c r="L2512" t="s">
        <v>5065</v>
      </c>
      <c r="M2512">
        <v>0</v>
      </c>
      <c r="N2512">
        <v>0</v>
      </c>
      <c r="P2512">
        <v>0</v>
      </c>
    </row>
    <row r="2513" spans="1:16" x14ac:dyDescent="0.2">
      <c r="A2513" t="s">
        <v>4459</v>
      </c>
      <c r="B2513" t="s">
        <v>4460</v>
      </c>
      <c r="C2513" t="s">
        <v>4437</v>
      </c>
      <c r="D2513" t="s">
        <v>98</v>
      </c>
      <c r="E2513">
        <v>99.99</v>
      </c>
      <c r="F2513" t="s">
        <v>5817</v>
      </c>
      <c r="L2513" t="s">
        <v>5065</v>
      </c>
      <c r="M2513">
        <v>0</v>
      </c>
      <c r="N2513">
        <v>0</v>
      </c>
      <c r="P2513">
        <v>0</v>
      </c>
    </row>
    <row r="2514" spans="1:16" x14ac:dyDescent="0.2">
      <c r="A2514" t="s">
        <v>4461</v>
      </c>
      <c r="B2514" t="s">
        <v>4462</v>
      </c>
      <c r="C2514" t="s">
        <v>4437</v>
      </c>
      <c r="D2514" t="s">
        <v>98</v>
      </c>
      <c r="E2514">
        <v>139.99</v>
      </c>
      <c r="F2514" t="s">
        <v>5817</v>
      </c>
      <c r="L2514" t="s">
        <v>5065</v>
      </c>
      <c r="M2514">
        <v>0</v>
      </c>
      <c r="N2514">
        <v>0</v>
      </c>
      <c r="P2514">
        <v>0</v>
      </c>
    </row>
    <row r="2515" spans="1:16" x14ac:dyDescent="0.2">
      <c r="A2515" t="s">
        <v>4463</v>
      </c>
      <c r="B2515" t="s">
        <v>4464</v>
      </c>
      <c r="C2515" t="s">
        <v>4437</v>
      </c>
      <c r="D2515" t="s">
        <v>105</v>
      </c>
      <c r="E2515">
        <v>83.99</v>
      </c>
      <c r="F2515" t="s">
        <v>5817</v>
      </c>
      <c r="G2515">
        <v>17</v>
      </c>
      <c r="I2515">
        <v>17</v>
      </c>
      <c r="L2515" t="s">
        <v>5065</v>
      </c>
      <c r="M2515">
        <v>0</v>
      </c>
      <c r="N2515">
        <v>0</v>
      </c>
      <c r="P2515">
        <v>0</v>
      </c>
    </row>
    <row r="2516" spans="1:16" x14ac:dyDescent="0.2">
      <c r="A2516" t="s">
        <v>4453</v>
      </c>
      <c r="B2516" t="s">
        <v>4454</v>
      </c>
      <c r="C2516" t="s">
        <v>4437</v>
      </c>
      <c r="D2516" t="s">
        <v>98</v>
      </c>
      <c r="E2516">
        <v>299.99</v>
      </c>
      <c r="F2516" t="s">
        <v>5817</v>
      </c>
      <c r="L2516" t="s">
        <v>5065</v>
      </c>
      <c r="M2516">
        <v>0</v>
      </c>
      <c r="N2516">
        <v>0</v>
      </c>
      <c r="P2516">
        <v>0</v>
      </c>
    </row>
    <row r="2517" spans="1:16" x14ac:dyDescent="0.2">
      <c r="A2517" t="s">
        <v>4443</v>
      </c>
      <c r="B2517" t="s">
        <v>4444</v>
      </c>
      <c r="C2517" t="s">
        <v>4437</v>
      </c>
      <c r="D2517" t="s">
        <v>98</v>
      </c>
      <c r="E2517">
        <v>79.989999999999995</v>
      </c>
      <c r="F2517" t="s">
        <v>5817</v>
      </c>
      <c r="L2517" t="s">
        <v>5065</v>
      </c>
      <c r="M2517">
        <v>0</v>
      </c>
      <c r="N2517">
        <v>0</v>
      </c>
      <c r="P2517">
        <v>0</v>
      </c>
    </row>
    <row r="2518" spans="1:16" x14ac:dyDescent="0.2">
      <c r="A2518" t="s">
        <v>4473</v>
      </c>
      <c r="B2518" t="s">
        <v>4474</v>
      </c>
      <c r="C2518" t="s">
        <v>4437</v>
      </c>
      <c r="D2518" t="s">
        <v>98</v>
      </c>
      <c r="E2518">
        <v>99.99</v>
      </c>
      <c r="F2518" t="s">
        <v>5817</v>
      </c>
      <c r="L2518" t="s">
        <v>5065</v>
      </c>
      <c r="N2518">
        <v>0</v>
      </c>
      <c r="O2518">
        <v>0</v>
      </c>
      <c r="P2518">
        <v>1</v>
      </c>
    </row>
    <row r="2519" spans="1:16" x14ac:dyDescent="0.2">
      <c r="A2519" t="s">
        <v>4445</v>
      </c>
      <c r="B2519" t="s">
        <v>4446</v>
      </c>
      <c r="C2519" t="s">
        <v>4437</v>
      </c>
      <c r="D2519" t="s">
        <v>98</v>
      </c>
      <c r="E2519">
        <v>139.99</v>
      </c>
      <c r="F2519" t="s">
        <v>5817</v>
      </c>
      <c r="L2519" t="s">
        <v>5065</v>
      </c>
      <c r="M2519">
        <v>0</v>
      </c>
      <c r="N2519">
        <v>0</v>
      </c>
      <c r="P2519">
        <v>0</v>
      </c>
    </row>
    <row r="2520" spans="1:16" x14ac:dyDescent="0.2">
      <c r="A2520" t="s">
        <v>4447</v>
      </c>
      <c r="B2520" t="s">
        <v>4448</v>
      </c>
      <c r="C2520" t="s">
        <v>4437</v>
      </c>
      <c r="D2520" t="s">
        <v>105</v>
      </c>
      <c r="E2520">
        <v>72.989999999999995</v>
      </c>
      <c r="F2520" t="s">
        <v>5817</v>
      </c>
      <c r="G2520">
        <v>4</v>
      </c>
      <c r="I2520">
        <v>4</v>
      </c>
      <c r="L2520" t="s">
        <v>5065</v>
      </c>
      <c r="M2520">
        <v>0</v>
      </c>
      <c r="N2520">
        <v>0</v>
      </c>
      <c r="P2520">
        <v>0</v>
      </c>
    </row>
    <row r="2521" spans="1:16" x14ac:dyDescent="0.2">
      <c r="A2521" t="s">
        <v>4471</v>
      </c>
      <c r="B2521" t="s">
        <v>4472</v>
      </c>
      <c r="C2521" t="s">
        <v>4437</v>
      </c>
      <c r="D2521" t="s">
        <v>98</v>
      </c>
      <c r="E2521">
        <v>49.99</v>
      </c>
      <c r="F2521" t="s">
        <v>5817</v>
      </c>
      <c r="L2521" t="s">
        <v>5065</v>
      </c>
      <c r="M2521">
        <v>0</v>
      </c>
      <c r="N2521">
        <v>0</v>
      </c>
      <c r="P2521">
        <v>0</v>
      </c>
    </row>
    <row r="2522" spans="1:16" x14ac:dyDescent="0.2">
      <c r="A2522" t="s">
        <v>4449</v>
      </c>
      <c r="B2522" t="s">
        <v>4450</v>
      </c>
      <c r="C2522" t="s">
        <v>4437</v>
      </c>
      <c r="D2522" t="s">
        <v>98</v>
      </c>
      <c r="E2522">
        <v>179.99</v>
      </c>
      <c r="F2522" t="s">
        <v>5817</v>
      </c>
      <c r="L2522" t="s">
        <v>5065</v>
      </c>
      <c r="M2522">
        <v>0</v>
      </c>
      <c r="N2522">
        <v>0</v>
      </c>
      <c r="P2522">
        <v>0</v>
      </c>
    </row>
    <row r="2523" spans="1:16" x14ac:dyDescent="0.2">
      <c r="A2523" t="s">
        <v>4469</v>
      </c>
      <c r="B2523" t="s">
        <v>4470</v>
      </c>
      <c r="C2523" t="s">
        <v>4437</v>
      </c>
      <c r="D2523" t="s">
        <v>98</v>
      </c>
      <c r="E2523">
        <v>39.99</v>
      </c>
      <c r="F2523" t="s">
        <v>5817</v>
      </c>
      <c r="L2523" t="s">
        <v>5065</v>
      </c>
      <c r="M2523">
        <v>0</v>
      </c>
      <c r="N2523">
        <v>0</v>
      </c>
      <c r="P2523">
        <v>0</v>
      </c>
    </row>
    <row r="2524" spans="1:16" x14ac:dyDescent="0.2">
      <c r="A2524" t="s">
        <v>4438</v>
      </c>
      <c r="B2524" t="s">
        <v>4439</v>
      </c>
      <c r="C2524" t="s">
        <v>4437</v>
      </c>
      <c r="D2524" t="s">
        <v>105</v>
      </c>
      <c r="E2524">
        <v>98.99</v>
      </c>
      <c r="F2524" t="s">
        <v>5817</v>
      </c>
      <c r="G2524">
        <v>40</v>
      </c>
      <c r="I2524">
        <v>40</v>
      </c>
      <c r="L2524" t="s">
        <v>8</v>
      </c>
      <c r="M2524">
        <v>0</v>
      </c>
      <c r="N2524">
        <v>0</v>
      </c>
      <c r="O2524">
        <v>0</v>
      </c>
      <c r="P2524">
        <v>0</v>
      </c>
    </row>
    <row r="2525" spans="1:16" x14ac:dyDescent="0.2">
      <c r="A2525" t="s">
        <v>4440</v>
      </c>
      <c r="B2525" t="s">
        <v>4441</v>
      </c>
      <c r="C2525" t="s">
        <v>4437</v>
      </c>
      <c r="D2525" t="s">
        <v>98</v>
      </c>
      <c r="E2525">
        <v>99.99</v>
      </c>
      <c r="F2525" t="s">
        <v>5817</v>
      </c>
      <c r="L2525" t="s">
        <v>8</v>
      </c>
      <c r="M2525">
        <v>0</v>
      </c>
      <c r="N2525">
        <v>0</v>
      </c>
      <c r="O2525">
        <v>0</v>
      </c>
      <c r="P2525">
        <v>0</v>
      </c>
    </row>
    <row r="2526" spans="1:16" x14ac:dyDescent="0.2">
      <c r="A2526" t="s">
        <v>4443</v>
      </c>
      <c r="B2526" t="s">
        <v>4444</v>
      </c>
      <c r="C2526" t="s">
        <v>4437</v>
      </c>
      <c r="D2526" t="s">
        <v>98</v>
      </c>
      <c r="E2526">
        <v>79.989999999999995</v>
      </c>
      <c r="F2526" t="s">
        <v>5817</v>
      </c>
      <c r="L2526" t="s">
        <v>8</v>
      </c>
      <c r="M2526">
        <v>0</v>
      </c>
      <c r="N2526">
        <v>0</v>
      </c>
      <c r="O2526">
        <v>0</v>
      </c>
      <c r="P2526">
        <v>0</v>
      </c>
    </row>
    <row r="2527" spans="1:16" x14ac:dyDescent="0.2">
      <c r="A2527" t="s">
        <v>4445</v>
      </c>
      <c r="B2527" t="s">
        <v>4446</v>
      </c>
      <c r="C2527" t="s">
        <v>4437</v>
      </c>
      <c r="D2527" t="s">
        <v>98</v>
      </c>
      <c r="E2527">
        <v>139.99</v>
      </c>
      <c r="F2527" t="s">
        <v>5817</v>
      </c>
      <c r="L2527" t="s">
        <v>8</v>
      </c>
      <c r="M2527">
        <v>0</v>
      </c>
      <c r="N2527">
        <v>0</v>
      </c>
      <c r="O2527">
        <v>0</v>
      </c>
      <c r="P2527">
        <v>0</v>
      </c>
    </row>
    <row r="2528" spans="1:16" x14ac:dyDescent="0.2">
      <c r="A2528" t="s">
        <v>4447</v>
      </c>
      <c r="B2528" t="s">
        <v>4448</v>
      </c>
      <c r="C2528" t="s">
        <v>4437</v>
      </c>
      <c r="D2528" t="s">
        <v>105</v>
      </c>
      <c r="E2528">
        <v>72.989999999999995</v>
      </c>
      <c r="F2528" t="s">
        <v>5817</v>
      </c>
      <c r="G2528">
        <v>4</v>
      </c>
      <c r="I2528">
        <v>4</v>
      </c>
      <c r="L2528" t="s">
        <v>8</v>
      </c>
      <c r="M2528">
        <v>0</v>
      </c>
      <c r="N2528">
        <v>0</v>
      </c>
      <c r="O2528">
        <v>0</v>
      </c>
      <c r="P2528">
        <v>0</v>
      </c>
    </row>
    <row r="2529" spans="1:16" x14ac:dyDescent="0.2">
      <c r="A2529" t="s">
        <v>4449</v>
      </c>
      <c r="B2529" t="s">
        <v>4450</v>
      </c>
      <c r="C2529" t="s">
        <v>4437</v>
      </c>
      <c r="D2529" t="s">
        <v>98</v>
      </c>
      <c r="E2529">
        <v>179.99</v>
      </c>
      <c r="F2529" t="s">
        <v>5817</v>
      </c>
      <c r="L2529" t="s">
        <v>8</v>
      </c>
      <c r="M2529">
        <v>0</v>
      </c>
      <c r="N2529">
        <v>0</v>
      </c>
      <c r="O2529">
        <v>0</v>
      </c>
      <c r="P2529">
        <v>0</v>
      </c>
    </row>
    <row r="2530" spans="1:16" x14ac:dyDescent="0.2">
      <c r="A2530" t="s">
        <v>4453</v>
      </c>
      <c r="B2530" t="s">
        <v>4454</v>
      </c>
      <c r="C2530" t="s">
        <v>4437</v>
      </c>
      <c r="D2530" t="s">
        <v>98</v>
      </c>
      <c r="E2530">
        <v>299.99</v>
      </c>
      <c r="F2530" t="s">
        <v>5817</v>
      </c>
      <c r="L2530" t="s">
        <v>8</v>
      </c>
      <c r="M2530">
        <v>0</v>
      </c>
      <c r="N2530">
        <v>0</v>
      </c>
      <c r="O2530">
        <v>0</v>
      </c>
      <c r="P2530">
        <v>0</v>
      </c>
    </row>
    <row r="2531" spans="1:16" x14ac:dyDescent="0.2">
      <c r="A2531" t="s">
        <v>4455</v>
      </c>
      <c r="B2531" t="s">
        <v>4456</v>
      </c>
      <c r="C2531" t="s">
        <v>4437</v>
      </c>
      <c r="D2531" t="s">
        <v>98</v>
      </c>
      <c r="E2531">
        <v>199.99</v>
      </c>
      <c r="F2531" t="s">
        <v>5817</v>
      </c>
      <c r="L2531" t="s">
        <v>8</v>
      </c>
      <c r="M2531">
        <v>0</v>
      </c>
      <c r="N2531">
        <v>0</v>
      </c>
      <c r="O2531">
        <v>0</v>
      </c>
      <c r="P2531">
        <v>0</v>
      </c>
    </row>
    <row r="2532" spans="1:16" x14ac:dyDescent="0.2">
      <c r="A2532" t="s">
        <v>4457</v>
      </c>
      <c r="B2532" t="s">
        <v>4458</v>
      </c>
      <c r="C2532" t="s">
        <v>4437</v>
      </c>
      <c r="D2532" t="s">
        <v>98</v>
      </c>
      <c r="E2532">
        <v>249.99</v>
      </c>
      <c r="F2532" t="s">
        <v>5817</v>
      </c>
      <c r="L2532" t="s">
        <v>8</v>
      </c>
      <c r="M2532">
        <v>0</v>
      </c>
      <c r="N2532">
        <v>0</v>
      </c>
      <c r="O2532">
        <v>0</v>
      </c>
      <c r="P2532">
        <v>0</v>
      </c>
    </row>
    <row r="2533" spans="1:16" x14ac:dyDescent="0.2">
      <c r="A2533" t="s">
        <v>4459</v>
      </c>
      <c r="B2533" t="s">
        <v>4460</v>
      </c>
      <c r="C2533" t="s">
        <v>4437</v>
      </c>
      <c r="D2533" t="s">
        <v>98</v>
      </c>
      <c r="E2533">
        <v>99.99</v>
      </c>
      <c r="F2533" t="s">
        <v>5817</v>
      </c>
      <c r="L2533" t="s">
        <v>8</v>
      </c>
      <c r="M2533">
        <v>0</v>
      </c>
      <c r="N2533">
        <v>0</v>
      </c>
      <c r="O2533">
        <v>0</v>
      </c>
      <c r="P2533">
        <v>0</v>
      </c>
    </row>
    <row r="2534" spans="1:16" x14ac:dyDescent="0.2">
      <c r="A2534" t="s">
        <v>4461</v>
      </c>
      <c r="B2534" t="s">
        <v>4462</v>
      </c>
      <c r="C2534" t="s">
        <v>4437</v>
      </c>
      <c r="D2534" t="s">
        <v>98</v>
      </c>
      <c r="E2534">
        <v>139.99</v>
      </c>
      <c r="F2534" t="s">
        <v>5817</v>
      </c>
      <c r="L2534" t="s">
        <v>8</v>
      </c>
      <c r="M2534">
        <v>0</v>
      </c>
      <c r="N2534">
        <v>0</v>
      </c>
      <c r="O2534">
        <v>0</v>
      </c>
      <c r="P2534">
        <v>0</v>
      </c>
    </row>
    <row r="2535" spans="1:16" x14ac:dyDescent="0.2">
      <c r="A2535" t="s">
        <v>4463</v>
      </c>
      <c r="B2535" t="s">
        <v>4464</v>
      </c>
      <c r="C2535" t="s">
        <v>4437</v>
      </c>
      <c r="D2535" t="s">
        <v>105</v>
      </c>
      <c r="E2535">
        <v>83.99</v>
      </c>
      <c r="F2535" t="s">
        <v>5817</v>
      </c>
      <c r="G2535">
        <v>17</v>
      </c>
      <c r="I2535">
        <v>17</v>
      </c>
      <c r="L2535" t="s">
        <v>8</v>
      </c>
      <c r="M2535">
        <v>0</v>
      </c>
      <c r="N2535">
        <v>0</v>
      </c>
      <c r="O2535">
        <v>0</v>
      </c>
      <c r="P2535">
        <v>0</v>
      </c>
    </row>
    <row r="2536" spans="1:16" x14ac:dyDescent="0.2">
      <c r="A2536" t="s">
        <v>4465</v>
      </c>
      <c r="B2536" t="s">
        <v>4466</v>
      </c>
      <c r="C2536" t="s">
        <v>4437</v>
      </c>
      <c r="D2536" t="s">
        <v>98</v>
      </c>
      <c r="E2536">
        <v>49.99</v>
      </c>
      <c r="F2536" t="s">
        <v>5817</v>
      </c>
      <c r="L2536" t="s">
        <v>8</v>
      </c>
      <c r="M2536">
        <v>0</v>
      </c>
      <c r="N2536">
        <v>0</v>
      </c>
      <c r="O2536">
        <v>0</v>
      </c>
      <c r="P2536">
        <v>0</v>
      </c>
    </row>
    <row r="2537" spans="1:16" x14ac:dyDescent="0.2">
      <c r="A2537" t="s">
        <v>4467</v>
      </c>
      <c r="B2537" t="s">
        <v>4468</v>
      </c>
      <c r="C2537" t="s">
        <v>4437</v>
      </c>
      <c r="D2537" t="s">
        <v>138</v>
      </c>
      <c r="E2537">
        <v>80.989999999999995</v>
      </c>
      <c r="F2537" t="s">
        <v>5817</v>
      </c>
      <c r="G2537">
        <v>17</v>
      </c>
      <c r="I2537">
        <v>17</v>
      </c>
      <c r="L2537" t="s">
        <v>8</v>
      </c>
      <c r="M2537">
        <v>0</v>
      </c>
      <c r="N2537">
        <v>0</v>
      </c>
      <c r="O2537">
        <v>0</v>
      </c>
      <c r="P2537">
        <v>0</v>
      </c>
    </row>
    <row r="2538" spans="1:16" x14ac:dyDescent="0.2">
      <c r="A2538" t="s">
        <v>4469</v>
      </c>
      <c r="B2538" t="s">
        <v>4470</v>
      </c>
      <c r="C2538" t="s">
        <v>4437</v>
      </c>
      <c r="D2538" t="s">
        <v>98</v>
      </c>
      <c r="E2538">
        <v>39.99</v>
      </c>
      <c r="F2538" t="s">
        <v>5817</v>
      </c>
      <c r="L2538" t="s">
        <v>8</v>
      </c>
      <c r="M2538">
        <v>0</v>
      </c>
      <c r="N2538">
        <v>0</v>
      </c>
      <c r="O2538">
        <v>0</v>
      </c>
      <c r="P2538">
        <v>0</v>
      </c>
    </row>
    <row r="2539" spans="1:16" x14ac:dyDescent="0.2">
      <c r="A2539" t="s">
        <v>4471</v>
      </c>
      <c r="B2539" t="s">
        <v>4472</v>
      </c>
      <c r="C2539" t="s">
        <v>4437</v>
      </c>
      <c r="D2539" t="s">
        <v>98</v>
      </c>
      <c r="E2539">
        <v>49.99</v>
      </c>
      <c r="F2539" t="s">
        <v>5817</v>
      </c>
      <c r="L2539" t="s">
        <v>8</v>
      </c>
      <c r="M2539">
        <v>0</v>
      </c>
      <c r="N2539">
        <v>0</v>
      </c>
      <c r="O2539">
        <v>0</v>
      </c>
      <c r="P2539">
        <v>0</v>
      </c>
    </row>
    <row r="2540" spans="1:16" x14ac:dyDescent="0.2">
      <c r="A2540" t="s">
        <v>4473</v>
      </c>
      <c r="B2540" t="s">
        <v>4474</v>
      </c>
      <c r="C2540" t="s">
        <v>4437</v>
      </c>
      <c r="D2540" t="s">
        <v>98</v>
      </c>
      <c r="E2540">
        <v>99.99</v>
      </c>
      <c r="F2540" t="s">
        <v>5817</v>
      </c>
      <c r="L2540" t="s">
        <v>8</v>
      </c>
      <c r="M2540">
        <v>0</v>
      </c>
      <c r="N2540">
        <v>0</v>
      </c>
      <c r="O2540">
        <v>0</v>
      </c>
      <c r="P2540">
        <v>0</v>
      </c>
    </row>
    <row r="2541" spans="1:16" x14ac:dyDescent="0.2">
      <c r="A2541" t="s">
        <v>4475</v>
      </c>
      <c r="B2541" t="s">
        <v>4476</v>
      </c>
      <c r="C2541" t="s">
        <v>4437</v>
      </c>
      <c r="D2541" t="s">
        <v>98</v>
      </c>
      <c r="E2541">
        <v>119.99</v>
      </c>
      <c r="F2541" t="s">
        <v>5817</v>
      </c>
      <c r="L2541" t="s">
        <v>8</v>
      </c>
      <c r="M2541">
        <v>0</v>
      </c>
      <c r="N2541">
        <v>0</v>
      </c>
      <c r="O2541">
        <v>0</v>
      </c>
      <c r="P2541">
        <v>0</v>
      </c>
    </row>
    <row r="2542" spans="1:16" x14ac:dyDescent="0.2">
      <c r="A2542" t="s">
        <v>4477</v>
      </c>
      <c r="B2542" t="s">
        <v>4478</v>
      </c>
      <c r="C2542" t="s">
        <v>4437</v>
      </c>
      <c r="D2542" t="s">
        <v>98</v>
      </c>
      <c r="E2542">
        <v>119.99</v>
      </c>
      <c r="F2542" t="s">
        <v>5817</v>
      </c>
      <c r="L2542" t="s">
        <v>8</v>
      </c>
      <c r="M2542">
        <v>0</v>
      </c>
      <c r="N2542">
        <v>0</v>
      </c>
      <c r="O2542">
        <v>0</v>
      </c>
      <c r="P2542">
        <v>0</v>
      </c>
    </row>
    <row r="2543" spans="1:16" x14ac:dyDescent="0.2">
      <c r="A2543" t="s">
        <v>4479</v>
      </c>
      <c r="B2543" t="s">
        <v>4480</v>
      </c>
      <c r="C2543" t="s">
        <v>4437</v>
      </c>
      <c r="D2543" t="s">
        <v>98</v>
      </c>
      <c r="E2543">
        <v>69.989999999999995</v>
      </c>
      <c r="F2543" t="s">
        <v>5817</v>
      </c>
      <c r="L2543" t="s">
        <v>8</v>
      </c>
      <c r="M2543">
        <v>0</v>
      </c>
      <c r="N2543">
        <v>0</v>
      </c>
      <c r="O2543">
        <v>0</v>
      </c>
      <c r="P2543">
        <v>0</v>
      </c>
    </row>
    <row r="2544" spans="1:16" x14ac:dyDescent="0.2">
      <c r="A2544" t="s">
        <v>4481</v>
      </c>
      <c r="B2544" t="s">
        <v>4482</v>
      </c>
      <c r="C2544" t="s">
        <v>4437</v>
      </c>
      <c r="D2544" t="s">
        <v>98</v>
      </c>
      <c r="E2544">
        <v>119.99</v>
      </c>
      <c r="F2544" t="s">
        <v>5817</v>
      </c>
      <c r="L2544" t="s">
        <v>8</v>
      </c>
      <c r="M2544">
        <v>0</v>
      </c>
      <c r="N2544">
        <v>0</v>
      </c>
      <c r="O2544">
        <v>0</v>
      </c>
      <c r="P2544">
        <v>0</v>
      </c>
    </row>
    <row r="2545" spans="1:16" x14ac:dyDescent="0.2">
      <c r="A2545" t="s">
        <v>5233</v>
      </c>
      <c r="B2545" t="s">
        <v>5851</v>
      </c>
      <c r="C2545" t="s">
        <v>4518</v>
      </c>
      <c r="D2545" t="s">
        <v>98</v>
      </c>
      <c r="E2545">
        <v>159.99</v>
      </c>
      <c r="F2545" t="s">
        <v>5817</v>
      </c>
      <c r="L2545" t="s">
        <v>73</v>
      </c>
      <c r="M2545">
        <v>0</v>
      </c>
      <c r="N2545">
        <v>0</v>
      </c>
      <c r="O2545">
        <v>0</v>
      </c>
      <c r="P2545">
        <v>0</v>
      </c>
    </row>
    <row r="2546" spans="1:16" x14ac:dyDescent="0.2">
      <c r="A2546" t="s">
        <v>5199</v>
      </c>
      <c r="B2546" t="s">
        <v>5852</v>
      </c>
      <c r="C2546" t="s">
        <v>4518</v>
      </c>
      <c r="D2546" t="s">
        <v>138</v>
      </c>
      <c r="E2546">
        <v>69.989999999999995</v>
      </c>
      <c r="F2546" t="s">
        <v>5817</v>
      </c>
      <c r="G2546">
        <v>1</v>
      </c>
      <c r="I2546">
        <v>1</v>
      </c>
      <c r="L2546" t="s">
        <v>73</v>
      </c>
      <c r="M2546">
        <v>0</v>
      </c>
      <c r="N2546">
        <v>0</v>
      </c>
      <c r="O2546">
        <v>0</v>
      </c>
      <c r="P2546">
        <v>0</v>
      </c>
    </row>
    <row r="2547" spans="1:16" x14ac:dyDescent="0.2">
      <c r="A2547" t="s">
        <v>5191</v>
      </c>
      <c r="B2547" t="s">
        <v>5853</v>
      </c>
      <c r="C2547" t="s">
        <v>4518</v>
      </c>
      <c r="D2547" t="s">
        <v>98</v>
      </c>
      <c r="E2547">
        <v>69.989999999999995</v>
      </c>
      <c r="F2547" t="s">
        <v>5817</v>
      </c>
      <c r="L2547" t="s">
        <v>73</v>
      </c>
      <c r="M2547">
        <v>0</v>
      </c>
      <c r="N2547">
        <v>0</v>
      </c>
      <c r="O2547">
        <v>0</v>
      </c>
      <c r="P2547">
        <v>0</v>
      </c>
    </row>
    <row r="2548" spans="1:16" x14ac:dyDescent="0.2">
      <c r="A2548" t="s">
        <v>5243</v>
      </c>
      <c r="B2548" t="s">
        <v>5854</v>
      </c>
      <c r="C2548" t="s">
        <v>4518</v>
      </c>
      <c r="D2548" t="s">
        <v>98</v>
      </c>
      <c r="E2548">
        <v>89.99</v>
      </c>
      <c r="F2548" t="s">
        <v>5817</v>
      </c>
      <c r="L2548" t="s">
        <v>73</v>
      </c>
      <c r="M2548">
        <v>0</v>
      </c>
      <c r="N2548">
        <v>0</v>
      </c>
      <c r="O2548">
        <v>0.16666666666666663</v>
      </c>
      <c r="P2548">
        <v>0</v>
      </c>
    </row>
    <row r="2549" spans="1:16" x14ac:dyDescent="0.2">
      <c r="A2549" t="s">
        <v>5247</v>
      </c>
      <c r="B2549" t="s">
        <v>5855</v>
      </c>
      <c r="C2549" t="s">
        <v>4518</v>
      </c>
      <c r="D2549" t="s">
        <v>98</v>
      </c>
      <c r="E2549">
        <v>89.99</v>
      </c>
      <c r="F2549" t="s">
        <v>5817</v>
      </c>
      <c r="L2549" t="s">
        <v>73</v>
      </c>
      <c r="M2549">
        <v>0</v>
      </c>
      <c r="N2549">
        <v>0</v>
      </c>
      <c r="O2549">
        <v>0</v>
      </c>
      <c r="P2549">
        <v>0</v>
      </c>
    </row>
    <row r="2550" spans="1:16" x14ac:dyDescent="0.2">
      <c r="A2550" t="s">
        <v>5251</v>
      </c>
      <c r="B2550" t="s">
        <v>5856</v>
      </c>
      <c r="C2550" t="s">
        <v>4518</v>
      </c>
      <c r="D2550" t="s">
        <v>98</v>
      </c>
      <c r="E2550">
        <v>89.99</v>
      </c>
      <c r="F2550" t="s">
        <v>5817</v>
      </c>
      <c r="L2550" t="s">
        <v>73</v>
      </c>
      <c r="M2550">
        <v>0</v>
      </c>
      <c r="N2550">
        <v>0</v>
      </c>
      <c r="O2550">
        <v>0</v>
      </c>
      <c r="P2550">
        <v>0</v>
      </c>
    </row>
    <row r="2551" spans="1:16" x14ac:dyDescent="0.2">
      <c r="A2551" t="s">
        <v>5237</v>
      </c>
      <c r="B2551" t="s">
        <v>5857</v>
      </c>
      <c r="C2551" t="s">
        <v>4518</v>
      </c>
      <c r="D2551" t="s">
        <v>98</v>
      </c>
      <c r="E2551">
        <v>89.99</v>
      </c>
      <c r="F2551" t="s">
        <v>5817</v>
      </c>
      <c r="L2551" t="s">
        <v>73</v>
      </c>
      <c r="M2551">
        <v>0</v>
      </c>
      <c r="N2551">
        <v>0</v>
      </c>
      <c r="O2551">
        <v>0</v>
      </c>
      <c r="P2551">
        <v>0</v>
      </c>
    </row>
    <row r="2552" spans="1:16" x14ac:dyDescent="0.2">
      <c r="A2552" t="s">
        <v>5235</v>
      </c>
      <c r="B2552" t="s">
        <v>5858</v>
      </c>
      <c r="C2552" t="s">
        <v>4518</v>
      </c>
      <c r="D2552" t="s">
        <v>98</v>
      </c>
      <c r="E2552">
        <v>89.99</v>
      </c>
      <c r="F2552" t="s">
        <v>5817</v>
      </c>
      <c r="L2552" t="s">
        <v>73</v>
      </c>
      <c r="M2552">
        <v>0</v>
      </c>
      <c r="N2552">
        <v>0</v>
      </c>
      <c r="O2552">
        <v>0</v>
      </c>
      <c r="P2552">
        <v>0</v>
      </c>
    </row>
    <row r="2553" spans="1:16" x14ac:dyDescent="0.2">
      <c r="A2553" t="s">
        <v>5221</v>
      </c>
      <c r="B2553" t="s">
        <v>5859</v>
      </c>
      <c r="C2553" t="s">
        <v>4518</v>
      </c>
      <c r="D2553" t="s">
        <v>98</v>
      </c>
      <c r="E2553">
        <v>89.99</v>
      </c>
      <c r="F2553" t="s">
        <v>5817</v>
      </c>
      <c r="L2553" t="s">
        <v>73</v>
      </c>
      <c r="M2553">
        <v>0</v>
      </c>
      <c r="N2553">
        <v>0</v>
      </c>
      <c r="O2553">
        <v>0</v>
      </c>
      <c r="P2553">
        <v>0</v>
      </c>
    </row>
    <row r="2554" spans="1:16" x14ac:dyDescent="0.2">
      <c r="A2554" t="s">
        <v>5223</v>
      </c>
      <c r="B2554" t="s">
        <v>5860</v>
      </c>
      <c r="C2554" t="s">
        <v>4518</v>
      </c>
      <c r="D2554" t="s">
        <v>98</v>
      </c>
      <c r="E2554">
        <v>89.99</v>
      </c>
      <c r="F2554" t="s">
        <v>5817</v>
      </c>
      <c r="L2554" t="s">
        <v>73</v>
      </c>
      <c r="M2554">
        <v>0</v>
      </c>
      <c r="N2554">
        <v>0</v>
      </c>
      <c r="O2554">
        <v>0</v>
      </c>
      <c r="P2554">
        <v>0</v>
      </c>
    </row>
    <row r="2555" spans="1:16" x14ac:dyDescent="0.2">
      <c r="A2555" t="s">
        <v>5253</v>
      </c>
      <c r="B2555" t="s">
        <v>5861</v>
      </c>
      <c r="C2555" t="s">
        <v>4518</v>
      </c>
      <c r="D2555" t="s">
        <v>98</v>
      </c>
      <c r="E2555">
        <v>89.99</v>
      </c>
      <c r="F2555" t="s">
        <v>5817</v>
      </c>
      <c r="L2555" t="s">
        <v>73</v>
      </c>
      <c r="M2555">
        <v>0</v>
      </c>
      <c r="N2555">
        <v>0</v>
      </c>
      <c r="O2555">
        <v>0</v>
      </c>
      <c r="P2555">
        <v>0</v>
      </c>
    </row>
    <row r="2556" spans="1:16" x14ac:dyDescent="0.2">
      <c r="A2556" t="s">
        <v>5239</v>
      </c>
      <c r="B2556" t="s">
        <v>5862</v>
      </c>
      <c r="C2556" t="s">
        <v>4518</v>
      </c>
      <c r="D2556" t="s">
        <v>98</v>
      </c>
      <c r="E2556">
        <v>89.99</v>
      </c>
      <c r="F2556" t="s">
        <v>5817</v>
      </c>
      <c r="L2556" t="s">
        <v>73</v>
      </c>
      <c r="M2556">
        <v>0</v>
      </c>
      <c r="N2556">
        <v>0</v>
      </c>
      <c r="O2556">
        <v>0</v>
      </c>
      <c r="P2556">
        <v>0</v>
      </c>
    </row>
    <row r="2557" spans="1:16" x14ac:dyDescent="0.2">
      <c r="A2557" t="s">
        <v>4551</v>
      </c>
      <c r="B2557" t="s">
        <v>5863</v>
      </c>
      <c r="C2557" t="s">
        <v>4518</v>
      </c>
      <c r="D2557" t="s">
        <v>105</v>
      </c>
      <c r="E2557">
        <v>149.99</v>
      </c>
      <c r="F2557" t="s">
        <v>5817</v>
      </c>
      <c r="G2557">
        <v>8</v>
      </c>
      <c r="H2557" t="s">
        <v>5823</v>
      </c>
      <c r="I2557">
        <v>7</v>
      </c>
      <c r="L2557" t="s">
        <v>73</v>
      </c>
      <c r="M2557">
        <v>1.25</v>
      </c>
      <c r="N2557">
        <v>1.6</v>
      </c>
      <c r="O2557">
        <v>0.58333333333333337</v>
      </c>
      <c r="P2557">
        <v>2</v>
      </c>
    </row>
    <row r="2558" spans="1:16" x14ac:dyDescent="0.2">
      <c r="A2558" t="s">
        <v>4549</v>
      </c>
      <c r="B2558" t="s">
        <v>5864</v>
      </c>
      <c r="C2558" t="s">
        <v>4518</v>
      </c>
      <c r="D2558" t="s">
        <v>105</v>
      </c>
      <c r="E2558">
        <v>149.99</v>
      </c>
      <c r="F2558" t="s">
        <v>5817</v>
      </c>
      <c r="G2558">
        <v>21</v>
      </c>
      <c r="I2558">
        <v>21</v>
      </c>
      <c r="L2558" t="s">
        <v>73</v>
      </c>
      <c r="M2558">
        <v>1</v>
      </c>
      <c r="N2558">
        <v>16</v>
      </c>
      <c r="O2558">
        <v>0.75</v>
      </c>
      <c r="P2558">
        <v>16</v>
      </c>
    </row>
    <row r="2559" spans="1:16" x14ac:dyDescent="0.2">
      <c r="A2559" t="s">
        <v>5203</v>
      </c>
      <c r="B2559" t="s">
        <v>5865</v>
      </c>
      <c r="C2559" t="s">
        <v>4518</v>
      </c>
      <c r="D2559" t="s">
        <v>98</v>
      </c>
      <c r="E2559">
        <v>109.99</v>
      </c>
      <c r="F2559" t="s">
        <v>5817</v>
      </c>
      <c r="L2559" t="s">
        <v>73</v>
      </c>
      <c r="M2559">
        <v>0</v>
      </c>
      <c r="N2559">
        <v>0</v>
      </c>
      <c r="O2559">
        <v>0</v>
      </c>
      <c r="P2559">
        <v>0</v>
      </c>
    </row>
    <row r="2560" spans="1:16" x14ac:dyDescent="0.2">
      <c r="A2560" t="s">
        <v>5205</v>
      </c>
      <c r="B2560" t="s">
        <v>5866</v>
      </c>
      <c r="C2560" t="s">
        <v>4518</v>
      </c>
      <c r="D2560" t="s">
        <v>98</v>
      </c>
      <c r="E2560">
        <v>89.99</v>
      </c>
      <c r="F2560" t="s">
        <v>5817</v>
      </c>
      <c r="L2560" t="s">
        <v>73</v>
      </c>
      <c r="M2560">
        <v>0</v>
      </c>
      <c r="N2560">
        <v>0</v>
      </c>
      <c r="O2560">
        <v>0</v>
      </c>
      <c r="P2560">
        <v>0</v>
      </c>
    </row>
    <row r="2561" spans="1:16" x14ac:dyDescent="0.2">
      <c r="A2561" t="s">
        <v>5207</v>
      </c>
      <c r="B2561" t="s">
        <v>5867</v>
      </c>
      <c r="C2561" t="s">
        <v>4518</v>
      </c>
      <c r="D2561" t="s">
        <v>98</v>
      </c>
      <c r="E2561">
        <v>89.99</v>
      </c>
      <c r="F2561" t="s">
        <v>5817</v>
      </c>
      <c r="L2561" t="s">
        <v>73</v>
      </c>
      <c r="M2561">
        <v>0</v>
      </c>
      <c r="N2561">
        <v>0</v>
      </c>
      <c r="O2561">
        <v>0</v>
      </c>
      <c r="P2561">
        <v>0</v>
      </c>
    </row>
    <row r="2562" spans="1:16" x14ac:dyDescent="0.2">
      <c r="A2562" t="s">
        <v>5211</v>
      </c>
      <c r="B2562" t="s">
        <v>5868</v>
      </c>
      <c r="C2562" t="s">
        <v>4518</v>
      </c>
      <c r="D2562" t="s">
        <v>98</v>
      </c>
      <c r="E2562">
        <v>89.99</v>
      </c>
      <c r="F2562" t="s">
        <v>5817</v>
      </c>
      <c r="L2562" t="s">
        <v>73</v>
      </c>
      <c r="M2562">
        <v>0</v>
      </c>
      <c r="N2562">
        <v>0</v>
      </c>
      <c r="O2562">
        <v>0</v>
      </c>
      <c r="P2562">
        <v>0</v>
      </c>
    </row>
    <row r="2563" spans="1:16" x14ac:dyDescent="0.2">
      <c r="A2563" t="s">
        <v>5225</v>
      </c>
      <c r="B2563" t="s">
        <v>5869</v>
      </c>
      <c r="C2563" t="s">
        <v>4518</v>
      </c>
      <c r="D2563" t="s">
        <v>98</v>
      </c>
      <c r="E2563">
        <v>89.99</v>
      </c>
      <c r="F2563" t="s">
        <v>5817</v>
      </c>
      <c r="L2563" t="s">
        <v>73</v>
      </c>
      <c r="M2563">
        <v>0</v>
      </c>
      <c r="N2563">
        <v>0</v>
      </c>
      <c r="O2563">
        <v>0</v>
      </c>
      <c r="P2563">
        <v>0</v>
      </c>
    </row>
    <row r="2564" spans="1:16" x14ac:dyDescent="0.2">
      <c r="A2564" t="s">
        <v>5132</v>
      </c>
      <c r="B2564" t="s">
        <v>5870</v>
      </c>
      <c r="C2564" t="s">
        <v>4518</v>
      </c>
      <c r="D2564" t="s">
        <v>98</v>
      </c>
      <c r="E2564">
        <v>49.99</v>
      </c>
      <c r="F2564" t="s">
        <v>5817</v>
      </c>
      <c r="L2564" t="s">
        <v>73</v>
      </c>
      <c r="M2564">
        <v>1.3333333333333335</v>
      </c>
      <c r="N2564">
        <v>42.749999999999993</v>
      </c>
      <c r="O2564">
        <v>0.33333333333333337</v>
      </c>
      <c r="P2564">
        <v>57</v>
      </c>
    </row>
    <row r="2565" spans="1:16" x14ac:dyDescent="0.2">
      <c r="A2565" t="s">
        <v>5154</v>
      </c>
      <c r="B2565" t="s">
        <v>5871</v>
      </c>
      <c r="C2565" t="s">
        <v>4518</v>
      </c>
      <c r="D2565" t="s">
        <v>98</v>
      </c>
      <c r="E2565">
        <v>49.99</v>
      </c>
      <c r="F2565" t="s">
        <v>5817</v>
      </c>
      <c r="L2565" t="s">
        <v>73</v>
      </c>
      <c r="M2565">
        <v>0.33333333333333326</v>
      </c>
      <c r="N2565">
        <v>27.000000000000007</v>
      </c>
      <c r="O2565">
        <v>0.16666666666666663</v>
      </c>
      <c r="P2565">
        <v>9</v>
      </c>
    </row>
    <row r="2566" spans="1:16" x14ac:dyDescent="0.2">
      <c r="A2566" t="s">
        <v>5142</v>
      </c>
      <c r="B2566" t="s">
        <v>5872</v>
      </c>
      <c r="C2566" t="s">
        <v>4518</v>
      </c>
      <c r="D2566" t="s">
        <v>98</v>
      </c>
      <c r="E2566">
        <v>109.99</v>
      </c>
      <c r="F2566" t="s">
        <v>5817</v>
      </c>
      <c r="J2566">
        <v>2</v>
      </c>
      <c r="L2566" t="s">
        <v>73</v>
      </c>
      <c r="M2566">
        <v>1</v>
      </c>
      <c r="N2566">
        <v>0</v>
      </c>
      <c r="O2566">
        <v>0.5</v>
      </c>
      <c r="P2566">
        <v>0</v>
      </c>
    </row>
    <row r="2567" spans="1:16" x14ac:dyDescent="0.2">
      <c r="A2567" t="s">
        <v>4535</v>
      </c>
      <c r="B2567" t="s">
        <v>5873</v>
      </c>
      <c r="C2567" t="s">
        <v>4518</v>
      </c>
      <c r="D2567" t="s">
        <v>105</v>
      </c>
      <c r="E2567">
        <v>69.989999999999995</v>
      </c>
      <c r="F2567" t="s">
        <v>5817</v>
      </c>
      <c r="J2567">
        <v>423</v>
      </c>
      <c r="L2567" t="s">
        <v>73</v>
      </c>
      <c r="M2567">
        <v>41.666666666666664</v>
      </c>
      <c r="N2567">
        <v>1.32</v>
      </c>
      <c r="O2567">
        <v>30.5</v>
      </c>
      <c r="P2567">
        <v>55</v>
      </c>
    </row>
    <row r="2568" spans="1:16" x14ac:dyDescent="0.2">
      <c r="A2568" t="s">
        <v>4521</v>
      </c>
      <c r="B2568" t="s">
        <v>5874</v>
      </c>
      <c r="C2568" t="s">
        <v>4518</v>
      </c>
      <c r="D2568" t="s">
        <v>105</v>
      </c>
      <c r="E2568">
        <v>89.99</v>
      </c>
      <c r="F2568" t="s">
        <v>5817</v>
      </c>
      <c r="G2568">
        <v>774</v>
      </c>
      <c r="H2568" t="s">
        <v>5875</v>
      </c>
      <c r="I2568">
        <v>664</v>
      </c>
      <c r="K2568">
        <v>36</v>
      </c>
      <c r="L2568" t="s">
        <v>73</v>
      </c>
      <c r="M2568">
        <v>34.666666666666664</v>
      </c>
      <c r="N2568">
        <v>0.75</v>
      </c>
      <c r="O2568">
        <v>27.916666666666668</v>
      </c>
      <c r="P2568">
        <v>26</v>
      </c>
    </row>
    <row r="2569" spans="1:16" x14ac:dyDescent="0.2">
      <c r="A2569" t="s">
        <v>5171</v>
      </c>
      <c r="B2569" t="s">
        <v>5876</v>
      </c>
      <c r="C2569" t="s">
        <v>4518</v>
      </c>
      <c r="D2569" t="s">
        <v>98</v>
      </c>
      <c r="E2569">
        <v>59.99</v>
      </c>
      <c r="F2569" t="s">
        <v>5817</v>
      </c>
      <c r="L2569" t="s">
        <v>73</v>
      </c>
      <c r="M2569">
        <v>0</v>
      </c>
      <c r="N2569">
        <v>0</v>
      </c>
      <c r="O2569">
        <v>0</v>
      </c>
      <c r="P2569">
        <v>0</v>
      </c>
    </row>
    <row r="2570" spans="1:16" x14ac:dyDescent="0.2">
      <c r="A2570" t="s">
        <v>5231</v>
      </c>
      <c r="B2570" t="s">
        <v>5877</v>
      </c>
      <c r="C2570" t="s">
        <v>4518</v>
      </c>
      <c r="D2570" t="s">
        <v>98</v>
      </c>
      <c r="E2570">
        <v>99.99</v>
      </c>
      <c r="F2570" t="s">
        <v>5817</v>
      </c>
      <c r="L2570" t="s">
        <v>73</v>
      </c>
      <c r="M2570">
        <v>0</v>
      </c>
      <c r="N2570">
        <v>0</v>
      </c>
      <c r="O2570">
        <v>0</v>
      </c>
      <c r="P2570">
        <v>0</v>
      </c>
    </row>
    <row r="2571" spans="1:16" x14ac:dyDescent="0.2">
      <c r="A2571" t="s">
        <v>5177</v>
      </c>
      <c r="B2571" t="s">
        <v>5878</v>
      </c>
      <c r="C2571" t="s">
        <v>4518</v>
      </c>
      <c r="D2571" t="s">
        <v>98</v>
      </c>
      <c r="E2571">
        <v>159.99</v>
      </c>
      <c r="F2571" t="s">
        <v>5817</v>
      </c>
      <c r="L2571" t="s">
        <v>73</v>
      </c>
      <c r="M2571">
        <v>0</v>
      </c>
      <c r="N2571">
        <v>0</v>
      </c>
      <c r="O2571">
        <v>0</v>
      </c>
      <c r="P2571">
        <v>0</v>
      </c>
    </row>
    <row r="2572" spans="1:16" x14ac:dyDescent="0.2">
      <c r="A2572" t="s">
        <v>5156</v>
      </c>
      <c r="B2572" t="s">
        <v>5879</v>
      </c>
      <c r="C2572" t="s">
        <v>4518</v>
      </c>
      <c r="D2572" t="s">
        <v>98</v>
      </c>
      <c r="E2572">
        <v>129.99</v>
      </c>
      <c r="F2572" t="s">
        <v>5817</v>
      </c>
      <c r="L2572" t="s">
        <v>73</v>
      </c>
      <c r="M2572">
        <v>0</v>
      </c>
      <c r="N2572">
        <v>0</v>
      </c>
      <c r="O2572">
        <v>0</v>
      </c>
      <c r="P2572">
        <v>0</v>
      </c>
    </row>
    <row r="2573" spans="1:16" x14ac:dyDescent="0.2">
      <c r="A2573" t="s">
        <v>5162</v>
      </c>
      <c r="B2573" t="s">
        <v>5880</v>
      </c>
      <c r="C2573" t="s">
        <v>4518</v>
      </c>
      <c r="D2573" t="s">
        <v>98</v>
      </c>
      <c r="E2573">
        <v>99.99</v>
      </c>
      <c r="F2573" t="s">
        <v>5817</v>
      </c>
      <c r="L2573" t="s">
        <v>73</v>
      </c>
      <c r="M2573">
        <v>0</v>
      </c>
      <c r="N2573">
        <v>0</v>
      </c>
      <c r="O2573">
        <v>0</v>
      </c>
      <c r="P2573">
        <v>0</v>
      </c>
    </row>
    <row r="2574" spans="1:16" x14ac:dyDescent="0.2">
      <c r="A2574" t="s">
        <v>5167</v>
      </c>
      <c r="B2574" t="s">
        <v>5881</v>
      </c>
      <c r="C2574" t="s">
        <v>4518</v>
      </c>
      <c r="D2574" t="s">
        <v>98</v>
      </c>
      <c r="E2574">
        <v>69.989999999999995</v>
      </c>
      <c r="F2574" t="s">
        <v>5817</v>
      </c>
      <c r="L2574" t="s">
        <v>73</v>
      </c>
      <c r="M2574">
        <v>0</v>
      </c>
      <c r="N2574">
        <v>0</v>
      </c>
      <c r="O2574">
        <v>0</v>
      </c>
      <c r="P2574">
        <v>0</v>
      </c>
    </row>
    <row r="2575" spans="1:16" x14ac:dyDescent="0.2">
      <c r="A2575" t="s">
        <v>5227</v>
      </c>
      <c r="B2575" t="s">
        <v>5882</v>
      </c>
      <c r="C2575" t="s">
        <v>4518</v>
      </c>
      <c r="D2575" t="s">
        <v>98</v>
      </c>
      <c r="E2575">
        <v>89.99</v>
      </c>
      <c r="F2575" t="s">
        <v>5817</v>
      </c>
      <c r="L2575" t="s">
        <v>73</v>
      </c>
      <c r="M2575">
        <v>0</v>
      </c>
      <c r="N2575">
        <v>0</v>
      </c>
      <c r="O2575">
        <v>0</v>
      </c>
      <c r="P2575">
        <v>0</v>
      </c>
    </row>
    <row r="2576" spans="1:16" x14ac:dyDescent="0.2">
      <c r="A2576" t="s">
        <v>4595</v>
      </c>
      <c r="B2576" t="s">
        <v>5883</v>
      </c>
      <c r="C2576" t="s">
        <v>4518</v>
      </c>
      <c r="D2576" t="s">
        <v>98</v>
      </c>
      <c r="E2576">
        <v>179.99</v>
      </c>
      <c r="F2576" t="s">
        <v>5817</v>
      </c>
      <c r="L2576" t="s">
        <v>73</v>
      </c>
      <c r="M2576">
        <v>1</v>
      </c>
      <c r="N2576">
        <v>0</v>
      </c>
      <c r="O2576">
        <v>0.41666666666666669</v>
      </c>
      <c r="P2576">
        <v>0</v>
      </c>
    </row>
    <row r="2577" spans="1:16" x14ac:dyDescent="0.2">
      <c r="A2577" t="s">
        <v>4593</v>
      </c>
      <c r="B2577" t="s">
        <v>5884</v>
      </c>
      <c r="C2577" t="s">
        <v>4518</v>
      </c>
      <c r="D2577" t="s">
        <v>105</v>
      </c>
      <c r="E2577">
        <v>179.99</v>
      </c>
      <c r="F2577" t="s">
        <v>5817</v>
      </c>
      <c r="G2577">
        <v>27</v>
      </c>
      <c r="I2577">
        <v>27</v>
      </c>
      <c r="L2577" t="s">
        <v>73</v>
      </c>
      <c r="M2577">
        <v>1.75</v>
      </c>
      <c r="N2577">
        <v>0.5714285714285714</v>
      </c>
      <c r="O2577">
        <v>0.83333333333333337</v>
      </c>
      <c r="P2577">
        <v>1</v>
      </c>
    </row>
    <row r="2578" spans="1:16" x14ac:dyDescent="0.2">
      <c r="A2578" t="s">
        <v>4591</v>
      </c>
      <c r="B2578" t="s">
        <v>5885</v>
      </c>
      <c r="C2578" t="s">
        <v>4518</v>
      </c>
      <c r="D2578" t="s">
        <v>138</v>
      </c>
      <c r="E2578">
        <v>99.99</v>
      </c>
      <c r="F2578" t="s">
        <v>5817</v>
      </c>
      <c r="G2578">
        <v>19</v>
      </c>
      <c r="I2578">
        <v>19</v>
      </c>
      <c r="L2578" t="s">
        <v>73</v>
      </c>
      <c r="M2578">
        <v>1</v>
      </c>
      <c r="N2578">
        <v>69</v>
      </c>
      <c r="O2578">
        <v>0</v>
      </c>
      <c r="P2578">
        <v>69</v>
      </c>
    </row>
    <row r="2579" spans="1:16" x14ac:dyDescent="0.2">
      <c r="A2579" t="s">
        <v>4575</v>
      </c>
      <c r="B2579" t="s">
        <v>5886</v>
      </c>
      <c r="C2579" t="s">
        <v>4518</v>
      </c>
      <c r="D2579" t="s">
        <v>105</v>
      </c>
      <c r="E2579">
        <v>149.99</v>
      </c>
      <c r="F2579" t="s">
        <v>5817</v>
      </c>
      <c r="G2579">
        <v>15</v>
      </c>
      <c r="I2579">
        <v>15</v>
      </c>
      <c r="L2579" t="s">
        <v>73</v>
      </c>
      <c r="M2579">
        <v>1</v>
      </c>
      <c r="N2579">
        <v>0</v>
      </c>
      <c r="O2579">
        <v>0.16666666666666666</v>
      </c>
      <c r="P2579">
        <v>0</v>
      </c>
    </row>
    <row r="2580" spans="1:16" x14ac:dyDescent="0.2">
      <c r="A2580" t="s">
        <v>5564</v>
      </c>
      <c r="B2580" t="s">
        <v>5887</v>
      </c>
      <c r="C2580" t="s">
        <v>4518</v>
      </c>
      <c r="D2580" t="s">
        <v>138</v>
      </c>
      <c r="E2580">
        <v>119.99</v>
      </c>
      <c r="F2580" t="s">
        <v>5817</v>
      </c>
      <c r="L2580" t="s">
        <v>73</v>
      </c>
      <c r="M2580">
        <v>1</v>
      </c>
      <c r="N2580">
        <v>0</v>
      </c>
      <c r="O2580">
        <v>0.41666666666666663</v>
      </c>
      <c r="P2580">
        <v>0</v>
      </c>
    </row>
    <row r="2581" spans="1:16" x14ac:dyDescent="0.2">
      <c r="A2581" t="s">
        <v>5568</v>
      </c>
      <c r="B2581" t="s">
        <v>5888</v>
      </c>
      <c r="C2581" t="s">
        <v>4518</v>
      </c>
      <c r="D2581" t="s">
        <v>138</v>
      </c>
      <c r="E2581">
        <v>169.99</v>
      </c>
      <c r="F2581" t="s">
        <v>5817</v>
      </c>
      <c r="J2581">
        <v>1</v>
      </c>
      <c r="L2581" t="s">
        <v>73</v>
      </c>
      <c r="M2581">
        <v>0</v>
      </c>
      <c r="N2581">
        <v>0</v>
      </c>
      <c r="O2581">
        <v>0.41666666666666669</v>
      </c>
      <c r="P2581">
        <v>0</v>
      </c>
    </row>
    <row r="2582" spans="1:16" x14ac:dyDescent="0.2">
      <c r="A2582" t="s">
        <v>4581</v>
      </c>
      <c r="B2582" t="s">
        <v>5889</v>
      </c>
      <c r="C2582" t="s">
        <v>4518</v>
      </c>
      <c r="D2582" t="s">
        <v>105</v>
      </c>
      <c r="E2582">
        <v>249.99</v>
      </c>
      <c r="F2582" t="s">
        <v>5817</v>
      </c>
      <c r="G2582">
        <v>10</v>
      </c>
      <c r="I2582">
        <v>10</v>
      </c>
      <c r="L2582" t="s">
        <v>73</v>
      </c>
      <c r="M2582">
        <v>1</v>
      </c>
      <c r="N2582">
        <v>0</v>
      </c>
      <c r="O2582">
        <v>0.16666666666666663</v>
      </c>
      <c r="P2582">
        <v>0</v>
      </c>
    </row>
    <row r="2583" spans="1:16" x14ac:dyDescent="0.2">
      <c r="A2583" t="s">
        <v>5578</v>
      </c>
      <c r="B2583" t="s">
        <v>5890</v>
      </c>
      <c r="C2583" t="s">
        <v>4518</v>
      </c>
      <c r="D2583" t="s">
        <v>98</v>
      </c>
      <c r="E2583">
        <v>139.99</v>
      </c>
      <c r="F2583" t="s">
        <v>5817</v>
      </c>
      <c r="L2583" t="s">
        <v>73</v>
      </c>
      <c r="M2583">
        <v>0</v>
      </c>
      <c r="N2583">
        <v>0</v>
      </c>
      <c r="O2583">
        <v>0</v>
      </c>
      <c r="P2583">
        <v>0</v>
      </c>
    </row>
    <row r="2584" spans="1:16" x14ac:dyDescent="0.2">
      <c r="A2584" t="s">
        <v>4579</v>
      </c>
      <c r="B2584" t="s">
        <v>5891</v>
      </c>
      <c r="C2584" t="s">
        <v>4518</v>
      </c>
      <c r="D2584" t="s">
        <v>105</v>
      </c>
      <c r="E2584">
        <v>139.99</v>
      </c>
      <c r="F2584" t="s">
        <v>5817</v>
      </c>
      <c r="G2584">
        <v>22</v>
      </c>
      <c r="I2584">
        <v>22</v>
      </c>
      <c r="L2584" t="s">
        <v>73</v>
      </c>
      <c r="M2584">
        <v>0</v>
      </c>
      <c r="N2584">
        <v>0</v>
      </c>
      <c r="O2584">
        <v>1</v>
      </c>
      <c r="P2584">
        <v>0</v>
      </c>
    </row>
    <row r="2585" spans="1:16" x14ac:dyDescent="0.2">
      <c r="A2585" t="s">
        <v>4555</v>
      </c>
      <c r="B2585" t="s">
        <v>5892</v>
      </c>
      <c r="C2585" t="s">
        <v>4518</v>
      </c>
      <c r="D2585" t="s">
        <v>105</v>
      </c>
      <c r="E2585">
        <v>99.99</v>
      </c>
      <c r="F2585" t="s">
        <v>5817</v>
      </c>
      <c r="G2585">
        <v>40</v>
      </c>
      <c r="I2585">
        <v>40</v>
      </c>
      <c r="L2585" t="s">
        <v>73</v>
      </c>
      <c r="M2585">
        <v>3</v>
      </c>
      <c r="N2585">
        <v>0.33333333333333331</v>
      </c>
      <c r="O2585">
        <v>0.83333333333333304</v>
      </c>
      <c r="P2585">
        <v>1</v>
      </c>
    </row>
    <row r="2586" spans="1:16" x14ac:dyDescent="0.2">
      <c r="A2586" t="s">
        <v>4553</v>
      </c>
      <c r="B2586" t="s">
        <v>5893</v>
      </c>
      <c r="C2586" t="s">
        <v>4518</v>
      </c>
      <c r="D2586" t="s">
        <v>105</v>
      </c>
      <c r="E2586">
        <v>99.99</v>
      </c>
      <c r="F2586" t="s">
        <v>5817</v>
      </c>
      <c r="G2586">
        <v>145</v>
      </c>
      <c r="H2586" t="s">
        <v>5835</v>
      </c>
      <c r="I2586">
        <v>140</v>
      </c>
      <c r="L2586" t="s">
        <v>73</v>
      </c>
      <c r="M2586">
        <v>0</v>
      </c>
      <c r="N2586">
        <v>0</v>
      </c>
      <c r="O2586">
        <v>4.8333333333333339</v>
      </c>
      <c r="P2586">
        <v>0</v>
      </c>
    </row>
    <row r="2587" spans="1:16" x14ac:dyDescent="0.2">
      <c r="A2587" t="s">
        <v>4569</v>
      </c>
      <c r="B2587" t="s">
        <v>5894</v>
      </c>
      <c r="C2587" t="s">
        <v>4518</v>
      </c>
      <c r="D2587" t="s">
        <v>105</v>
      </c>
      <c r="E2587">
        <v>79.989999999999995</v>
      </c>
      <c r="F2587" t="s">
        <v>5817</v>
      </c>
      <c r="G2587">
        <v>54</v>
      </c>
      <c r="I2587">
        <v>54</v>
      </c>
      <c r="L2587" t="s">
        <v>73</v>
      </c>
      <c r="M2587">
        <v>0</v>
      </c>
      <c r="N2587">
        <v>0</v>
      </c>
      <c r="O2587">
        <v>8.333333333333337E-2</v>
      </c>
      <c r="P2587">
        <v>0</v>
      </c>
    </row>
    <row r="2588" spans="1:16" x14ac:dyDescent="0.2">
      <c r="A2588" t="s">
        <v>4567</v>
      </c>
      <c r="B2588" t="s">
        <v>5895</v>
      </c>
      <c r="C2588" t="s">
        <v>4518</v>
      </c>
      <c r="D2588" t="s">
        <v>105</v>
      </c>
      <c r="E2588">
        <v>89.99</v>
      </c>
      <c r="F2588" t="s">
        <v>5817</v>
      </c>
      <c r="G2588">
        <v>30</v>
      </c>
      <c r="I2588">
        <v>30</v>
      </c>
      <c r="L2588" t="s">
        <v>73</v>
      </c>
      <c r="M2588">
        <v>1</v>
      </c>
      <c r="N2588">
        <v>1</v>
      </c>
      <c r="O2588">
        <v>0.41666666666666669</v>
      </c>
      <c r="P2588">
        <v>1</v>
      </c>
    </row>
    <row r="2589" spans="1:16" x14ac:dyDescent="0.2">
      <c r="A2589" t="s">
        <v>4565</v>
      </c>
      <c r="B2589" t="s">
        <v>5896</v>
      </c>
      <c r="C2589" t="s">
        <v>4518</v>
      </c>
      <c r="D2589" t="s">
        <v>138</v>
      </c>
      <c r="E2589">
        <v>159.99</v>
      </c>
      <c r="F2589" t="s">
        <v>5817</v>
      </c>
      <c r="G2589">
        <v>15</v>
      </c>
      <c r="I2589">
        <v>15</v>
      </c>
      <c r="L2589" t="s">
        <v>73</v>
      </c>
      <c r="M2589">
        <v>1</v>
      </c>
      <c r="N2589">
        <v>18</v>
      </c>
      <c r="O2589">
        <v>0.25</v>
      </c>
      <c r="P2589">
        <v>18</v>
      </c>
    </row>
    <row r="2590" spans="1:16" x14ac:dyDescent="0.2">
      <c r="A2590" t="s">
        <v>4589</v>
      </c>
      <c r="B2590" t="s">
        <v>5897</v>
      </c>
      <c r="C2590" t="s">
        <v>4518</v>
      </c>
      <c r="D2590" t="s">
        <v>98</v>
      </c>
      <c r="E2590">
        <v>119.99</v>
      </c>
      <c r="F2590" t="s">
        <v>5817</v>
      </c>
      <c r="L2590" t="s">
        <v>73</v>
      </c>
      <c r="M2590">
        <v>0</v>
      </c>
      <c r="N2590">
        <v>0</v>
      </c>
      <c r="O2590">
        <v>0</v>
      </c>
      <c r="P2590">
        <v>0</v>
      </c>
    </row>
    <row r="2591" spans="1:16" x14ac:dyDescent="0.2">
      <c r="A2591" t="s">
        <v>5548</v>
      </c>
      <c r="B2591" t="s">
        <v>5898</v>
      </c>
      <c r="C2591" t="s">
        <v>4518</v>
      </c>
      <c r="D2591" t="s">
        <v>138</v>
      </c>
      <c r="E2591">
        <v>249.99</v>
      </c>
      <c r="F2591" t="s">
        <v>5817</v>
      </c>
      <c r="G2591">
        <v>3</v>
      </c>
      <c r="I2591">
        <v>3</v>
      </c>
      <c r="L2591" t="s">
        <v>73</v>
      </c>
      <c r="M2591">
        <v>0</v>
      </c>
      <c r="N2591">
        <v>0</v>
      </c>
      <c r="O2591">
        <v>0</v>
      </c>
      <c r="P2591">
        <v>0</v>
      </c>
    </row>
    <row r="2592" spans="1:16" x14ac:dyDescent="0.2">
      <c r="A2592" t="s">
        <v>5536</v>
      </c>
      <c r="B2592" t="s">
        <v>5899</v>
      </c>
      <c r="C2592" t="s">
        <v>4518</v>
      </c>
      <c r="D2592" t="s">
        <v>98</v>
      </c>
      <c r="E2592">
        <v>99.99</v>
      </c>
      <c r="F2592" t="s">
        <v>5817</v>
      </c>
      <c r="L2592" t="s">
        <v>73</v>
      </c>
      <c r="M2592">
        <v>0</v>
      </c>
      <c r="N2592">
        <v>0</v>
      </c>
      <c r="O2592">
        <v>0</v>
      </c>
      <c r="P2592">
        <v>0</v>
      </c>
    </row>
    <row r="2593" spans="1:16" x14ac:dyDescent="0.2">
      <c r="A2593" t="s">
        <v>4583</v>
      </c>
      <c r="B2593" t="s">
        <v>5900</v>
      </c>
      <c r="C2593" t="s">
        <v>4518</v>
      </c>
      <c r="D2593" t="s">
        <v>138</v>
      </c>
      <c r="E2593">
        <v>249.99</v>
      </c>
      <c r="F2593" t="s">
        <v>5817</v>
      </c>
      <c r="G2593">
        <v>9</v>
      </c>
      <c r="I2593">
        <v>9</v>
      </c>
      <c r="L2593" t="s">
        <v>73</v>
      </c>
      <c r="M2593">
        <v>0</v>
      </c>
      <c r="N2593">
        <v>0</v>
      </c>
      <c r="O2593">
        <v>0</v>
      </c>
      <c r="P2593">
        <v>0</v>
      </c>
    </row>
    <row r="2594" spans="1:16" x14ac:dyDescent="0.2">
      <c r="A2594" t="s">
        <v>5574</v>
      </c>
      <c r="B2594" t="s">
        <v>5901</v>
      </c>
      <c r="C2594" t="s">
        <v>4518</v>
      </c>
      <c r="D2594" t="s">
        <v>98</v>
      </c>
      <c r="E2594">
        <v>79.989999999999995</v>
      </c>
      <c r="F2594" t="s">
        <v>5817</v>
      </c>
      <c r="L2594" t="s">
        <v>73</v>
      </c>
      <c r="M2594">
        <v>0</v>
      </c>
      <c r="N2594">
        <v>0</v>
      </c>
      <c r="O2594">
        <v>0</v>
      </c>
      <c r="P2594">
        <v>0</v>
      </c>
    </row>
    <row r="2595" spans="1:16" x14ac:dyDescent="0.2">
      <c r="A2595" t="s">
        <v>5538</v>
      </c>
      <c r="B2595" t="s">
        <v>5902</v>
      </c>
      <c r="C2595" t="s">
        <v>4518</v>
      </c>
      <c r="D2595" t="s">
        <v>98</v>
      </c>
      <c r="E2595">
        <v>99.99</v>
      </c>
      <c r="F2595" t="s">
        <v>5817</v>
      </c>
      <c r="L2595" t="s">
        <v>73</v>
      </c>
      <c r="M2595">
        <v>0</v>
      </c>
      <c r="N2595">
        <v>0</v>
      </c>
      <c r="O2595">
        <v>0</v>
      </c>
      <c r="P2595">
        <v>0</v>
      </c>
    </row>
    <row r="2596" spans="1:16" x14ac:dyDescent="0.2">
      <c r="A2596" t="s">
        <v>5572</v>
      </c>
      <c r="B2596" t="s">
        <v>5903</v>
      </c>
      <c r="C2596" t="s">
        <v>4518</v>
      </c>
      <c r="D2596" t="s">
        <v>98</v>
      </c>
      <c r="E2596">
        <v>79.989999999999995</v>
      </c>
      <c r="F2596" t="s">
        <v>5817</v>
      </c>
      <c r="L2596" t="s">
        <v>73</v>
      </c>
      <c r="M2596">
        <v>0</v>
      </c>
      <c r="N2596">
        <v>0</v>
      </c>
      <c r="O2596">
        <v>0</v>
      </c>
      <c r="P2596">
        <v>0</v>
      </c>
    </row>
    <row r="2597" spans="1:16" x14ac:dyDescent="0.2">
      <c r="A2597" t="s">
        <v>5560</v>
      </c>
      <c r="B2597" t="s">
        <v>5904</v>
      </c>
      <c r="C2597" t="s">
        <v>4518</v>
      </c>
      <c r="D2597" t="s">
        <v>98</v>
      </c>
      <c r="E2597">
        <v>119.99</v>
      </c>
      <c r="F2597" t="s">
        <v>5817</v>
      </c>
      <c r="L2597" t="s">
        <v>73</v>
      </c>
      <c r="M2597">
        <v>0</v>
      </c>
      <c r="N2597">
        <v>0</v>
      </c>
      <c r="O2597">
        <v>0</v>
      </c>
      <c r="P2597">
        <v>0</v>
      </c>
    </row>
    <row r="2598" spans="1:16" x14ac:dyDescent="0.2">
      <c r="A2598" t="s">
        <v>4553</v>
      </c>
      <c r="B2598" t="s">
        <v>5893</v>
      </c>
      <c r="C2598" t="s">
        <v>4518</v>
      </c>
      <c r="D2598" t="s">
        <v>105</v>
      </c>
      <c r="E2598">
        <v>99.99</v>
      </c>
      <c r="F2598" t="s">
        <v>5817</v>
      </c>
      <c r="G2598">
        <v>145</v>
      </c>
      <c r="H2598" t="s">
        <v>5835</v>
      </c>
      <c r="I2598">
        <v>140</v>
      </c>
      <c r="L2598" t="s">
        <v>5818</v>
      </c>
      <c r="M2598">
        <v>3.166666666666667</v>
      </c>
      <c r="N2598">
        <v>15.157894736842104</v>
      </c>
      <c r="P2598">
        <v>48</v>
      </c>
    </row>
    <row r="2599" spans="1:16" x14ac:dyDescent="0.2">
      <c r="A2599" t="s">
        <v>4551</v>
      </c>
      <c r="B2599" t="s">
        <v>5863</v>
      </c>
      <c r="C2599" t="s">
        <v>4518</v>
      </c>
      <c r="D2599" t="s">
        <v>105</v>
      </c>
      <c r="E2599">
        <v>149.99</v>
      </c>
      <c r="F2599" t="s">
        <v>5817</v>
      </c>
      <c r="G2599">
        <v>8</v>
      </c>
      <c r="H2599" t="s">
        <v>5823</v>
      </c>
      <c r="I2599">
        <v>7</v>
      </c>
      <c r="L2599" t="s">
        <v>5818</v>
      </c>
      <c r="M2599">
        <v>0</v>
      </c>
      <c r="N2599">
        <v>0</v>
      </c>
      <c r="P2599">
        <v>8</v>
      </c>
    </row>
    <row r="2600" spans="1:16" x14ac:dyDescent="0.2">
      <c r="A2600" t="s">
        <v>4549</v>
      </c>
      <c r="B2600" t="s">
        <v>5864</v>
      </c>
      <c r="C2600" t="s">
        <v>4518</v>
      </c>
      <c r="D2600" t="s">
        <v>105</v>
      </c>
      <c r="E2600">
        <v>149.99</v>
      </c>
      <c r="F2600" t="s">
        <v>5817</v>
      </c>
      <c r="G2600">
        <v>21</v>
      </c>
      <c r="I2600">
        <v>21</v>
      </c>
      <c r="L2600" t="s">
        <v>5818</v>
      </c>
      <c r="M2600">
        <v>0</v>
      </c>
      <c r="N2600">
        <v>0</v>
      </c>
      <c r="P2600">
        <v>7</v>
      </c>
    </row>
    <row r="2601" spans="1:16" x14ac:dyDescent="0.2">
      <c r="A2601" t="s">
        <v>5203</v>
      </c>
      <c r="B2601" t="s">
        <v>5865</v>
      </c>
      <c r="C2601" t="s">
        <v>4518</v>
      </c>
      <c r="D2601" t="s">
        <v>98</v>
      </c>
      <c r="E2601">
        <v>109.99</v>
      </c>
      <c r="F2601" t="s">
        <v>5817</v>
      </c>
      <c r="L2601" t="s">
        <v>5818</v>
      </c>
      <c r="M2601">
        <v>0</v>
      </c>
      <c r="N2601">
        <v>0</v>
      </c>
      <c r="P2601" t="s">
        <v>5819</v>
      </c>
    </row>
    <row r="2602" spans="1:16" x14ac:dyDescent="0.2">
      <c r="A2602" t="s">
        <v>5662</v>
      </c>
      <c r="B2602" t="s">
        <v>5905</v>
      </c>
      <c r="C2602" t="s">
        <v>4518</v>
      </c>
      <c r="D2602" t="s">
        <v>98</v>
      </c>
      <c r="E2602">
        <v>129.99</v>
      </c>
      <c r="F2602" t="s">
        <v>5817</v>
      </c>
      <c r="L2602" t="s">
        <v>5818</v>
      </c>
      <c r="M2602">
        <v>0</v>
      </c>
      <c r="N2602">
        <v>0</v>
      </c>
      <c r="O2602">
        <v>0</v>
      </c>
      <c r="P2602" t="s">
        <v>5819</v>
      </c>
    </row>
    <row r="2603" spans="1:16" x14ac:dyDescent="0.2">
      <c r="A2603" t="s">
        <v>5205</v>
      </c>
      <c r="B2603" t="s">
        <v>5866</v>
      </c>
      <c r="C2603" t="s">
        <v>4518</v>
      </c>
      <c r="D2603" t="s">
        <v>98</v>
      </c>
      <c r="E2603">
        <v>89.99</v>
      </c>
      <c r="F2603" t="s">
        <v>5817</v>
      </c>
      <c r="L2603" t="s">
        <v>5818</v>
      </c>
      <c r="M2603">
        <v>0</v>
      </c>
      <c r="N2603">
        <v>0</v>
      </c>
      <c r="O2603">
        <v>0</v>
      </c>
      <c r="P2603" t="s">
        <v>5819</v>
      </c>
    </row>
    <row r="2604" spans="1:16" x14ac:dyDescent="0.2">
      <c r="A2604" t="s">
        <v>5207</v>
      </c>
      <c r="B2604" t="s">
        <v>5867</v>
      </c>
      <c r="C2604" t="s">
        <v>4518</v>
      </c>
      <c r="D2604" t="s">
        <v>98</v>
      </c>
      <c r="E2604">
        <v>89.99</v>
      </c>
      <c r="F2604" t="s">
        <v>5817</v>
      </c>
      <c r="L2604" t="s">
        <v>5818</v>
      </c>
      <c r="M2604">
        <v>0</v>
      </c>
      <c r="N2604">
        <v>0</v>
      </c>
      <c r="O2604">
        <v>0</v>
      </c>
      <c r="P2604" t="s">
        <v>5819</v>
      </c>
    </row>
    <row r="2605" spans="1:16" x14ac:dyDescent="0.2">
      <c r="A2605" t="s">
        <v>5660</v>
      </c>
      <c r="B2605" t="s">
        <v>5906</v>
      </c>
      <c r="C2605" t="s">
        <v>4518</v>
      </c>
      <c r="D2605" t="s">
        <v>98</v>
      </c>
      <c r="E2605">
        <v>89.99</v>
      </c>
      <c r="F2605" t="s">
        <v>5817</v>
      </c>
      <c r="L2605" t="s">
        <v>5818</v>
      </c>
      <c r="M2605">
        <v>0</v>
      </c>
      <c r="N2605">
        <v>0</v>
      </c>
      <c r="P2605" t="s">
        <v>5819</v>
      </c>
    </row>
    <row r="2606" spans="1:16" x14ac:dyDescent="0.2">
      <c r="A2606" t="s">
        <v>5211</v>
      </c>
      <c r="B2606" t="s">
        <v>5868</v>
      </c>
      <c r="C2606" t="s">
        <v>4518</v>
      </c>
      <c r="D2606" t="s">
        <v>98</v>
      </c>
      <c r="E2606">
        <v>89.99</v>
      </c>
      <c r="F2606" t="s">
        <v>5817</v>
      </c>
      <c r="L2606" t="s">
        <v>5818</v>
      </c>
      <c r="M2606">
        <v>0</v>
      </c>
      <c r="N2606">
        <v>0</v>
      </c>
      <c r="O2606">
        <v>0</v>
      </c>
      <c r="P2606" t="s">
        <v>5819</v>
      </c>
    </row>
    <row r="2607" spans="1:16" x14ac:dyDescent="0.2">
      <c r="A2607" t="s">
        <v>5239</v>
      </c>
      <c r="B2607" t="s">
        <v>5862</v>
      </c>
      <c r="C2607" t="s">
        <v>4518</v>
      </c>
      <c r="D2607" t="s">
        <v>98</v>
      </c>
      <c r="E2607">
        <v>89.99</v>
      </c>
      <c r="F2607" t="s">
        <v>5817</v>
      </c>
      <c r="L2607" t="s">
        <v>5818</v>
      </c>
      <c r="M2607">
        <v>0</v>
      </c>
      <c r="N2607">
        <v>0</v>
      </c>
      <c r="O2607">
        <v>0</v>
      </c>
      <c r="P2607" t="s">
        <v>5819</v>
      </c>
    </row>
    <row r="2608" spans="1:16" x14ac:dyDescent="0.2">
      <c r="A2608" t="s">
        <v>5243</v>
      </c>
      <c r="B2608" t="s">
        <v>5854</v>
      </c>
      <c r="C2608" t="s">
        <v>4518</v>
      </c>
      <c r="D2608" t="s">
        <v>98</v>
      </c>
      <c r="E2608">
        <v>89.99</v>
      </c>
      <c r="F2608" t="s">
        <v>5817</v>
      </c>
      <c r="L2608" t="s">
        <v>5818</v>
      </c>
      <c r="M2608">
        <v>0</v>
      </c>
      <c r="N2608">
        <v>0</v>
      </c>
      <c r="O2608">
        <v>0</v>
      </c>
      <c r="P2608" t="s">
        <v>5819</v>
      </c>
    </row>
    <row r="2609" spans="1:16" x14ac:dyDescent="0.2">
      <c r="A2609" t="s">
        <v>4555</v>
      </c>
      <c r="B2609" t="s">
        <v>5892</v>
      </c>
      <c r="C2609" t="s">
        <v>4518</v>
      </c>
      <c r="D2609" t="s">
        <v>105</v>
      </c>
      <c r="E2609">
        <v>99.99</v>
      </c>
      <c r="F2609" t="s">
        <v>5817</v>
      </c>
      <c r="G2609">
        <v>40</v>
      </c>
      <c r="I2609">
        <v>40</v>
      </c>
      <c r="L2609" t="s">
        <v>5818</v>
      </c>
      <c r="M2609">
        <v>0</v>
      </c>
      <c r="N2609">
        <v>0</v>
      </c>
      <c r="P2609">
        <v>4</v>
      </c>
    </row>
    <row r="2610" spans="1:16" x14ac:dyDescent="0.2">
      <c r="A2610" t="s">
        <v>4565</v>
      </c>
      <c r="B2610" t="s">
        <v>5896</v>
      </c>
      <c r="C2610" t="s">
        <v>4518</v>
      </c>
      <c r="D2610" t="s">
        <v>138</v>
      </c>
      <c r="E2610">
        <v>159.99</v>
      </c>
      <c r="F2610" t="s">
        <v>5817</v>
      </c>
      <c r="G2610">
        <v>15</v>
      </c>
      <c r="I2610">
        <v>15</v>
      </c>
      <c r="L2610" t="s">
        <v>5818</v>
      </c>
      <c r="M2610">
        <v>0</v>
      </c>
      <c r="N2610">
        <v>0</v>
      </c>
      <c r="O2610">
        <v>0</v>
      </c>
      <c r="P2610" t="s">
        <v>5819</v>
      </c>
    </row>
    <row r="2611" spans="1:16" x14ac:dyDescent="0.2">
      <c r="A2611" t="s">
        <v>4583</v>
      </c>
      <c r="B2611" t="s">
        <v>5900</v>
      </c>
      <c r="C2611" t="s">
        <v>4518</v>
      </c>
      <c r="D2611" t="s">
        <v>138</v>
      </c>
      <c r="E2611">
        <v>249.99</v>
      </c>
      <c r="F2611" t="s">
        <v>5817</v>
      </c>
      <c r="G2611">
        <v>9</v>
      </c>
      <c r="I2611">
        <v>9</v>
      </c>
      <c r="L2611" t="s">
        <v>5818</v>
      </c>
      <c r="M2611">
        <v>0</v>
      </c>
      <c r="N2611">
        <v>0</v>
      </c>
      <c r="O2611">
        <v>0</v>
      </c>
      <c r="P2611" t="s">
        <v>5819</v>
      </c>
    </row>
    <row r="2612" spans="1:16" x14ac:dyDescent="0.2">
      <c r="A2612" t="s">
        <v>5548</v>
      </c>
      <c r="B2612" t="s">
        <v>5898</v>
      </c>
      <c r="C2612" t="s">
        <v>4518</v>
      </c>
      <c r="D2612" t="s">
        <v>138</v>
      </c>
      <c r="E2612">
        <v>249.99</v>
      </c>
      <c r="F2612" t="s">
        <v>5817</v>
      </c>
      <c r="G2612">
        <v>3</v>
      </c>
      <c r="I2612">
        <v>3</v>
      </c>
      <c r="L2612" t="s">
        <v>5818</v>
      </c>
      <c r="M2612">
        <v>0</v>
      </c>
      <c r="N2612">
        <v>0</v>
      </c>
      <c r="O2612">
        <v>0</v>
      </c>
      <c r="P2612" t="s">
        <v>5819</v>
      </c>
    </row>
    <row r="2613" spans="1:16" x14ac:dyDescent="0.2">
      <c r="A2613" t="s">
        <v>5572</v>
      </c>
      <c r="B2613" t="s">
        <v>5903</v>
      </c>
      <c r="C2613" t="s">
        <v>4518</v>
      </c>
      <c r="D2613" t="s">
        <v>98</v>
      </c>
      <c r="E2613">
        <v>79.989999999999995</v>
      </c>
      <c r="F2613" t="s">
        <v>5817</v>
      </c>
      <c r="L2613" t="s">
        <v>5818</v>
      </c>
      <c r="M2613">
        <v>0</v>
      </c>
      <c r="N2613">
        <v>0</v>
      </c>
      <c r="O2613">
        <v>0</v>
      </c>
      <c r="P2613" t="s">
        <v>5819</v>
      </c>
    </row>
    <row r="2614" spans="1:16" x14ac:dyDescent="0.2">
      <c r="A2614" t="s">
        <v>5648</v>
      </c>
      <c r="B2614" t="s">
        <v>5907</v>
      </c>
      <c r="C2614" t="s">
        <v>4518</v>
      </c>
      <c r="D2614" t="s">
        <v>98</v>
      </c>
      <c r="E2614">
        <v>79.989999999999995</v>
      </c>
      <c r="F2614" t="s">
        <v>5817</v>
      </c>
      <c r="L2614" t="s">
        <v>5818</v>
      </c>
      <c r="M2614">
        <v>0</v>
      </c>
      <c r="N2614">
        <v>0</v>
      </c>
      <c r="P2614" t="s">
        <v>5819</v>
      </c>
    </row>
    <row r="2615" spans="1:16" x14ac:dyDescent="0.2">
      <c r="A2615" t="s">
        <v>4581</v>
      </c>
      <c r="B2615" t="s">
        <v>5889</v>
      </c>
      <c r="C2615" t="s">
        <v>4518</v>
      </c>
      <c r="D2615" t="s">
        <v>105</v>
      </c>
      <c r="E2615">
        <v>249.99</v>
      </c>
      <c r="F2615" t="s">
        <v>5817</v>
      </c>
      <c r="G2615">
        <v>10</v>
      </c>
      <c r="I2615">
        <v>10</v>
      </c>
      <c r="L2615" t="s">
        <v>5818</v>
      </c>
      <c r="M2615">
        <v>0</v>
      </c>
      <c r="N2615">
        <v>0</v>
      </c>
      <c r="P2615">
        <v>13</v>
      </c>
    </row>
    <row r="2616" spans="1:16" x14ac:dyDescent="0.2">
      <c r="A2616" t="s">
        <v>5578</v>
      </c>
      <c r="B2616" t="s">
        <v>5890</v>
      </c>
      <c r="C2616" t="s">
        <v>4518</v>
      </c>
      <c r="D2616" t="s">
        <v>98</v>
      </c>
      <c r="E2616">
        <v>139.99</v>
      </c>
      <c r="F2616" t="s">
        <v>5817</v>
      </c>
      <c r="L2616" t="s">
        <v>5818</v>
      </c>
      <c r="M2616">
        <v>0</v>
      </c>
      <c r="N2616">
        <v>0</v>
      </c>
      <c r="O2616">
        <v>0</v>
      </c>
      <c r="P2616" t="s">
        <v>5819</v>
      </c>
    </row>
    <row r="2617" spans="1:16" x14ac:dyDescent="0.2">
      <c r="A2617" t="s">
        <v>4579</v>
      </c>
      <c r="B2617" t="s">
        <v>5891</v>
      </c>
      <c r="C2617" t="s">
        <v>4518</v>
      </c>
      <c r="D2617" t="s">
        <v>105</v>
      </c>
      <c r="E2617">
        <v>139.99</v>
      </c>
      <c r="F2617" t="s">
        <v>5817</v>
      </c>
      <c r="G2617">
        <v>22</v>
      </c>
      <c r="I2617">
        <v>22</v>
      </c>
      <c r="L2617" t="s">
        <v>5818</v>
      </c>
      <c r="M2617">
        <v>0</v>
      </c>
      <c r="N2617">
        <v>0</v>
      </c>
      <c r="P2617">
        <v>7</v>
      </c>
    </row>
    <row r="2618" spans="1:16" x14ac:dyDescent="0.2">
      <c r="A2618" t="s">
        <v>4575</v>
      </c>
      <c r="B2618" t="s">
        <v>5886</v>
      </c>
      <c r="C2618" t="s">
        <v>4518</v>
      </c>
      <c r="D2618" t="s">
        <v>105</v>
      </c>
      <c r="E2618">
        <v>149.99</v>
      </c>
      <c r="F2618" t="s">
        <v>5817</v>
      </c>
      <c r="G2618">
        <v>15</v>
      </c>
      <c r="I2618">
        <v>15</v>
      </c>
      <c r="L2618" t="s">
        <v>5818</v>
      </c>
      <c r="M2618">
        <v>0</v>
      </c>
      <c r="N2618">
        <v>0</v>
      </c>
      <c r="P2618">
        <v>12</v>
      </c>
    </row>
    <row r="2619" spans="1:16" x14ac:dyDescent="0.2">
      <c r="A2619" t="s">
        <v>5564</v>
      </c>
      <c r="B2619" t="s">
        <v>5887</v>
      </c>
      <c r="C2619" t="s">
        <v>4518</v>
      </c>
      <c r="D2619" t="s">
        <v>138</v>
      </c>
      <c r="E2619">
        <v>119.99</v>
      </c>
      <c r="F2619" t="s">
        <v>5817</v>
      </c>
      <c r="L2619" t="s">
        <v>5818</v>
      </c>
      <c r="M2619">
        <v>0</v>
      </c>
      <c r="N2619">
        <v>0</v>
      </c>
      <c r="P2619">
        <v>1</v>
      </c>
    </row>
    <row r="2620" spans="1:16" x14ac:dyDescent="0.2">
      <c r="A2620" t="s">
        <v>5650</v>
      </c>
      <c r="B2620" t="s">
        <v>5908</v>
      </c>
      <c r="C2620" t="s">
        <v>4518</v>
      </c>
      <c r="D2620" t="s">
        <v>98</v>
      </c>
      <c r="E2620">
        <v>69.989999999999995</v>
      </c>
      <c r="F2620" t="s">
        <v>5817</v>
      </c>
      <c r="L2620" t="s">
        <v>5818</v>
      </c>
      <c r="M2620">
        <v>0</v>
      </c>
      <c r="N2620">
        <v>0</v>
      </c>
      <c r="O2620">
        <v>0</v>
      </c>
      <c r="P2620" t="s">
        <v>5819</v>
      </c>
    </row>
    <row r="2621" spans="1:16" x14ac:dyDescent="0.2">
      <c r="A2621" t="s">
        <v>5568</v>
      </c>
      <c r="B2621" t="s">
        <v>5888</v>
      </c>
      <c r="C2621" t="s">
        <v>4518</v>
      </c>
      <c r="D2621" t="s">
        <v>138</v>
      </c>
      <c r="E2621">
        <v>169.99</v>
      </c>
      <c r="F2621" t="s">
        <v>5817</v>
      </c>
      <c r="J2621">
        <v>1</v>
      </c>
      <c r="L2621" t="s">
        <v>5818</v>
      </c>
      <c r="M2621">
        <v>0</v>
      </c>
      <c r="N2621">
        <v>0</v>
      </c>
      <c r="P2621">
        <v>4</v>
      </c>
    </row>
    <row r="2622" spans="1:16" x14ac:dyDescent="0.2">
      <c r="A2622" t="s">
        <v>5652</v>
      </c>
      <c r="B2622" t="s">
        <v>5909</v>
      </c>
      <c r="C2622" t="s">
        <v>4518</v>
      </c>
      <c r="D2622" t="s">
        <v>98</v>
      </c>
      <c r="E2622">
        <v>59.99</v>
      </c>
      <c r="F2622" t="s">
        <v>5817</v>
      </c>
      <c r="L2622" t="s">
        <v>5818</v>
      </c>
      <c r="M2622">
        <v>0</v>
      </c>
      <c r="N2622">
        <v>0</v>
      </c>
      <c r="O2622">
        <v>0</v>
      </c>
      <c r="P2622" t="s">
        <v>5819</v>
      </c>
    </row>
    <row r="2623" spans="1:16" x14ac:dyDescent="0.2">
      <c r="A2623" t="s">
        <v>5656</v>
      </c>
      <c r="B2623" t="s">
        <v>5910</v>
      </c>
      <c r="C2623" t="s">
        <v>4518</v>
      </c>
      <c r="D2623" t="s">
        <v>98</v>
      </c>
      <c r="E2623">
        <v>129.99</v>
      </c>
      <c r="F2623" t="s">
        <v>5817</v>
      </c>
      <c r="L2623" t="s">
        <v>5818</v>
      </c>
      <c r="M2623">
        <v>0</v>
      </c>
      <c r="N2623">
        <v>0</v>
      </c>
      <c r="P2623" t="s">
        <v>5819</v>
      </c>
    </row>
    <row r="2624" spans="1:16" x14ac:dyDescent="0.2">
      <c r="A2624" t="s">
        <v>5658</v>
      </c>
      <c r="B2624" t="s">
        <v>5911</v>
      </c>
      <c r="C2624" t="s">
        <v>4518</v>
      </c>
      <c r="D2624" t="s">
        <v>98</v>
      </c>
      <c r="E2624">
        <v>129.99</v>
      </c>
      <c r="F2624" t="s">
        <v>5817</v>
      </c>
      <c r="L2624" t="s">
        <v>5818</v>
      </c>
      <c r="M2624">
        <v>0</v>
      </c>
      <c r="N2624">
        <v>0</v>
      </c>
      <c r="P2624" t="s">
        <v>5819</v>
      </c>
    </row>
    <row r="2625" spans="1:16" x14ac:dyDescent="0.2">
      <c r="A2625" t="s">
        <v>5247</v>
      </c>
      <c r="B2625" t="s">
        <v>5855</v>
      </c>
      <c r="C2625" t="s">
        <v>4518</v>
      </c>
      <c r="D2625" t="s">
        <v>98</v>
      </c>
      <c r="E2625">
        <v>89.99</v>
      </c>
      <c r="F2625" t="s">
        <v>5817</v>
      </c>
      <c r="L2625" t="s">
        <v>5818</v>
      </c>
      <c r="M2625">
        <v>0</v>
      </c>
      <c r="N2625">
        <v>0</v>
      </c>
      <c r="O2625">
        <v>0</v>
      </c>
      <c r="P2625" t="s">
        <v>5819</v>
      </c>
    </row>
    <row r="2626" spans="1:16" x14ac:dyDescent="0.2">
      <c r="A2626" t="s">
        <v>5251</v>
      </c>
      <c r="B2626" t="s">
        <v>5856</v>
      </c>
      <c r="C2626" t="s">
        <v>4518</v>
      </c>
      <c r="D2626" t="s">
        <v>98</v>
      </c>
      <c r="E2626">
        <v>89.99</v>
      </c>
      <c r="F2626" t="s">
        <v>5817</v>
      </c>
      <c r="L2626" t="s">
        <v>5818</v>
      </c>
      <c r="M2626">
        <v>0</v>
      </c>
      <c r="N2626">
        <v>0</v>
      </c>
      <c r="O2626">
        <v>0</v>
      </c>
      <c r="P2626" t="s">
        <v>5819</v>
      </c>
    </row>
    <row r="2627" spans="1:16" x14ac:dyDescent="0.2">
      <c r="A2627" t="s">
        <v>5253</v>
      </c>
      <c r="B2627" t="s">
        <v>5861</v>
      </c>
      <c r="C2627" t="s">
        <v>4518</v>
      </c>
      <c r="D2627" t="s">
        <v>98</v>
      </c>
      <c r="E2627">
        <v>89.99</v>
      </c>
      <c r="F2627" t="s">
        <v>5817</v>
      </c>
      <c r="L2627" t="s">
        <v>5818</v>
      </c>
      <c r="M2627">
        <v>0</v>
      </c>
      <c r="N2627">
        <v>0</v>
      </c>
      <c r="O2627">
        <v>0</v>
      </c>
      <c r="P2627" t="s">
        <v>5819</v>
      </c>
    </row>
    <row r="2628" spans="1:16" x14ac:dyDescent="0.2">
      <c r="A2628" t="s">
        <v>5142</v>
      </c>
      <c r="B2628" t="s">
        <v>5872</v>
      </c>
      <c r="C2628" t="s">
        <v>4518</v>
      </c>
      <c r="D2628" t="s">
        <v>98</v>
      </c>
      <c r="E2628">
        <v>109.99</v>
      </c>
      <c r="F2628" t="s">
        <v>5817</v>
      </c>
      <c r="J2628">
        <v>2</v>
      </c>
      <c r="L2628" t="s">
        <v>5818</v>
      </c>
      <c r="M2628">
        <v>0</v>
      </c>
      <c r="N2628">
        <v>0</v>
      </c>
      <c r="P2628" t="s">
        <v>5819</v>
      </c>
    </row>
    <row r="2629" spans="1:16" x14ac:dyDescent="0.2">
      <c r="A2629" t="s">
        <v>4535</v>
      </c>
      <c r="B2629" t="s">
        <v>5873</v>
      </c>
      <c r="C2629" t="s">
        <v>4518</v>
      </c>
      <c r="D2629" t="s">
        <v>105</v>
      </c>
      <c r="E2629">
        <v>69.989999999999995</v>
      </c>
      <c r="F2629" t="s">
        <v>5817</v>
      </c>
      <c r="J2629">
        <v>423</v>
      </c>
      <c r="L2629" t="s">
        <v>5818</v>
      </c>
      <c r="M2629">
        <v>48.833333333333336</v>
      </c>
      <c r="N2629">
        <v>0.90102389078498291</v>
      </c>
      <c r="O2629">
        <v>32.916666666666671</v>
      </c>
      <c r="P2629">
        <v>44</v>
      </c>
    </row>
    <row r="2630" spans="1:16" x14ac:dyDescent="0.2">
      <c r="A2630" t="s">
        <v>4521</v>
      </c>
      <c r="B2630" t="s">
        <v>5874</v>
      </c>
      <c r="C2630" t="s">
        <v>4518</v>
      </c>
      <c r="D2630" t="s">
        <v>105</v>
      </c>
      <c r="E2630">
        <v>89.99</v>
      </c>
      <c r="F2630" t="s">
        <v>5817</v>
      </c>
      <c r="G2630">
        <v>774</v>
      </c>
      <c r="H2630" t="s">
        <v>5875</v>
      </c>
      <c r="I2630">
        <v>664</v>
      </c>
      <c r="K2630">
        <v>36</v>
      </c>
      <c r="L2630" t="s">
        <v>5818</v>
      </c>
      <c r="M2630">
        <v>34.833333333333336</v>
      </c>
      <c r="N2630">
        <v>6.143540669856459</v>
      </c>
      <c r="O2630">
        <v>21.833333333333332</v>
      </c>
      <c r="P2630">
        <v>214</v>
      </c>
    </row>
    <row r="2631" spans="1:16" x14ac:dyDescent="0.2">
      <c r="A2631" t="s">
        <v>4519</v>
      </c>
      <c r="B2631" t="s">
        <v>5912</v>
      </c>
      <c r="C2631" t="s">
        <v>4518</v>
      </c>
      <c r="D2631" t="s">
        <v>105</v>
      </c>
      <c r="E2631">
        <v>89.99</v>
      </c>
      <c r="F2631" t="s">
        <v>5817</v>
      </c>
      <c r="G2631">
        <v>495</v>
      </c>
      <c r="H2631" t="s">
        <v>5845</v>
      </c>
      <c r="I2631">
        <v>491</v>
      </c>
      <c r="L2631" t="s">
        <v>5818</v>
      </c>
      <c r="M2631">
        <v>37.5</v>
      </c>
      <c r="N2631">
        <v>6.8</v>
      </c>
      <c r="O2631">
        <v>26.25</v>
      </c>
      <c r="P2631">
        <v>255</v>
      </c>
    </row>
    <row r="2632" spans="1:16" x14ac:dyDescent="0.2">
      <c r="A2632" t="s">
        <v>5191</v>
      </c>
      <c r="B2632" t="s">
        <v>5853</v>
      </c>
      <c r="C2632" t="s">
        <v>4518</v>
      </c>
      <c r="D2632" t="s">
        <v>98</v>
      </c>
      <c r="E2632">
        <v>69.989999999999995</v>
      </c>
      <c r="F2632" t="s">
        <v>5817</v>
      </c>
      <c r="L2632" t="s">
        <v>5818</v>
      </c>
      <c r="M2632">
        <v>0</v>
      </c>
      <c r="N2632">
        <v>0</v>
      </c>
      <c r="O2632">
        <v>0</v>
      </c>
      <c r="P2632" t="s">
        <v>5819</v>
      </c>
    </row>
    <row r="2633" spans="1:16" x14ac:dyDescent="0.2">
      <c r="A2633" t="s">
        <v>5199</v>
      </c>
      <c r="B2633" t="s">
        <v>5852</v>
      </c>
      <c r="C2633" t="s">
        <v>4518</v>
      </c>
      <c r="D2633" t="s">
        <v>138</v>
      </c>
      <c r="E2633">
        <v>69.989999999999995</v>
      </c>
      <c r="F2633" t="s">
        <v>5817</v>
      </c>
      <c r="G2633">
        <v>1</v>
      </c>
      <c r="I2633">
        <v>1</v>
      </c>
      <c r="L2633" t="s">
        <v>5818</v>
      </c>
      <c r="M2633">
        <v>0</v>
      </c>
      <c r="N2633">
        <v>0</v>
      </c>
      <c r="P2633">
        <v>0</v>
      </c>
    </row>
    <row r="2634" spans="1:16" x14ac:dyDescent="0.2">
      <c r="A2634" t="s">
        <v>5654</v>
      </c>
      <c r="B2634" t="s">
        <v>5913</v>
      </c>
      <c r="C2634" t="s">
        <v>4518</v>
      </c>
      <c r="D2634" t="s">
        <v>98</v>
      </c>
      <c r="E2634">
        <v>59.99</v>
      </c>
      <c r="F2634" t="s">
        <v>5817</v>
      </c>
      <c r="L2634" t="s">
        <v>5818</v>
      </c>
      <c r="M2634">
        <v>0</v>
      </c>
      <c r="N2634">
        <v>0</v>
      </c>
      <c r="P2634" t="s">
        <v>5819</v>
      </c>
    </row>
    <row r="2635" spans="1:16" x14ac:dyDescent="0.2">
      <c r="A2635" t="s">
        <v>5640</v>
      </c>
      <c r="B2635" t="s">
        <v>5914</v>
      </c>
      <c r="C2635" t="s">
        <v>4518</v>
      </c>
      <c r="D2635" t="s">
        <v>98</v>
      </c>
      <c r="E2635">
        <v>59.99</v>
      </c>
      <c r="F2635" t="s">
        <v>5817</v>
      </c>
      <c r="L2635" t="s">
        <v>5818</v>
      </c>
      <c r="M2635">
        <v>0</v>
      </c>
      <c r="N2635">
        <v>0</v>
      </c>
      <c r="P2635" t="s">
        <v>5819</v>
      </c>
    </row>
    <row r="2636" spans="1:16" x14ac:dyDescent="0.2">
      <c r="A2636" t="s">
        <v>5237</v>
      </c>
      <c r="B2636" t="s">
        <v>5857</v>
      </c>
      <c r="C2636" t="s">
        <v>4518</v>
      </c>
      <c r="D2636" t="s">
        <v>98</v>
      </c>
      <c r="E2636">
        <v>89.99</v>
      </c>
      <c r="F2636" t="s">
        <v>5817</v>
      </c>
      <c r="L2636" t="s">
        <v>5818</v>
      </c>
      <c r="M2636">
        <v>0</v>
      </c>
      <c r="N2636">
        <v>0</v>
      </c>
      <c r="O2636">
        <v>0</v>
      </c>
      <c r="P2636" t="s">
        <v>5819</v>
      </c>
    </row>
    <row r="2637" spans="1:16" x14ac:dyDescent="0.2">
      <c r="A2637" t="s">
        <v>5235</v>
      </c>
      <c r="B2637" t="s">
        <v>5858</v>
      </c>
      <c r="C2637" t="s">
        <v>4518</v>
      </c>
      <c r="D2637" t="s">
        <v>98</v>
      </c>
      <c r="E2637">
        <v>89.99</v>
      </c>
      <c r="F2637" t="s">
        <v>5817</v>
      </c>
      <c r="L2637" t="s">
        <v>5818</v>
      </c>
      <c r="M2637">
        <v>0</v>
      </c>
      <c r="N2637">
        <v>0</v>
      </c>
      <c r="O2637">
        <v>0</v>
      </c>
      <c r="P2637" t="s">
        <v>5819</v>
      </c>
    </row>
    <row r="2638" spans="1:16" x14ac:dyDescent="0.2">
      <c r="A2638" t="s">
        <v>5221</v>
      </c>
      <c r="B2638" t="s">
        <v>5859</v>
      </c>
      <c r="C2638" t="s">
        <v>4518</v>
      </c>
      <c r="D2638" t="s">
        <v>98</v>
      </c>
      <c r="E2638">
        <v>89.99</v>
      </c>
      <c r="F2638" t="s">
        <v>5817</v>
      </c>
      <c r="L2638" t="s">
        <v>5818</v>
      </c>
      <c r="M2638">
        <v>0</v>
      </c>
      <c r="N2638">
        <v>0</v>
      </c>
      <c r="O2638">
        <v>0</v>
      </c>
      <c r="P2638" t="s">
        <v>5819</v>
      </c>
    </row>
    <row r="2639" spans="1:16" x14ac:dyDescent="0.2">
      <c r="A2639" t="s">
        <v>5223</v>
      </c>
      <c r="B2639" t="s">
        <v>5860</v>
      </c>
      <c r="C2639" t="s">
        <v>4518</v>
      </c>
      <c r="D2639" t="s">
        <v>98</v>
      </c>
      <c r="E2639">
        <v>89.99</v>
      </c>
      <c r="F2639" t="s">
        <v>5817</v>
      </c>
      <c r="L2639" t="s">
        <v>5818</v>
      </c>
      <c r="M2639">
        <v>0</v>
      </c>
      <c r="N2639">
        <v>0</v>
      </c>
      <c r="O2639">
        <v>0</v>
      </c>
      <c r="P2639" t="s">
        <v>5819</v>
      </c>
    </row>
    <row r="2640" spans="1:16" x14ac:dyDescent="0.2">
      <c r="A2640" t="s">
        <v>5225</v>
      </c>
      <c r="B2640" t="s">
        <v>5869</v>
      </c>
      <c r="C2640" t="s">
        <v>4518</v>
      </c>
      <c r="D2640" t="s">
        <v>98</v>
      </c>
      <c r="E2640">
        <v>89.99</v>
      </c>
      <c r="F2640" t="s">
        <v>5817</v>
      </c>
      <c r="L2640" t="s">
        <v>5818</v>
      </c>
      <c r="M2640">
        <v>0</v>
      </c>
      <c r="N2640">
        <v>0</v>
      </c>
      <c r="O2640">
        <v>0</v>
      </c>
      <c r="P2640" t="s">
        <v>5819</v>
      </c>
    </row>
    <row r="2641" spans="1:16" x14ac:dyDescent="0.2">
      <c r="A2641" t="s">
        <v>5227</v>
      </c>
      <c r="B2641" t="s">
        <v>5882</v>
      </c>
      <c r="C2641" t="s">
        <v>4518</v>
      </c>
      <c r="D2641" t="s">
        <v>98</v>
      </c>
      <c r="E2641">
        <v>89.99</v>
      </c>
      <c r="F2641" t="s">
        <v>5817</v>
      </c>
      <c r="L2641" t="s">
        <v>5818</v>
      </c>
      <c r="M2641">
        <v>0</v>
      </c>
      <c r="N2641">
        <v>0</v>
      </c>
      <c r="O2641">
        <v>0</v>
      </c>
      <c r="P2641" t="s">
        <v>5819</v>
      </c>
    </row>
    <row r="2642" spans="1:16" x14ac:dyDescent="0.2">
      <c r="A2642" t="s">
        <v>5233</v>
      </c>
      <c r="B2642" t="s">
        <v>5851</v>
      </c>
      <c r="C2642" t="s">
        <v>4518</v>
      </c>
      <c r="D2642" t="s">
        <v>98</v>
      </c>
      <c r="E2642">
        <v>159.99</v>
      </c>
      <c r="F2642" t="s">
        <v>5817</v>
      </c>
      <c r="L2642" t="s">
        <v>5818</v>
      </c>
      <c r="M2642">
        <v>0</v>
      </c>
      <c r="N2642">
        <v>0</v>
      </c>
      <c r="P2642" t="s">
        <v>5819</v>
      </c>
    </row>
    <row r="2643" spans="1:16" x14ac:dyDescent="0.2">
      <c r="A2643" t="s">
        <v>5177</v>
      </c>
      <c r="B2643" t="s">
        <v>5878</v>
      </c>
      <c r="C2643" t="s">
        <v>4518</v>
      </c>
      <c r="D2643" t="s">
        <v>98</v>
      </c>
      <c r="E2643">
        <v>159.99</v>
      </c>
      <c r="F2643" t="s">
        <v>5817</v>
      </c>
      <c r="L2643" t="s">
        <v>5818</v>
      </c>
      <c r="M2643">
        <v>0</v>
      </c>
      <c r="N2643">
        <v>0</v>
      </c>
      <c r="O2643">
        <v>0</v>
      </c>
      <c r="P2643" t="s">
        <v>5819</v>
      </c>
    </row>
    <row r="2644" spans="1:16" x14ac:dyDescent="0.2">
      <c r="A2644" t="s">
        <v>5156</v>
      </c>
      <c r="B2644" t="s">
        <v>5879</v>
      </c>
      <c r="C2644" t="s">
        <v>4518</v>
      </c>
      <c r="D2644" t="s">
        <v>98</v>
      </c>
      <c r="E2644">
        <v>129.99</v>
      </c>
      <c r="F2644" t="s">
        <v>5817</v>
      </c>
      <c r="L2644" t="s">
        <v>5818</v>
      </c>
      <c r="M2644">
        <v>0</v>
      </c>
      <c r="N2644">
        <v>0</v>
      </c>
      <c r="O2644">
        <v>0</v>
      </c>
      <c r="P2644" t="s">
        <v>5819</v>
      </c>
    </row>
    <row r="2645" spans="1:16" x14ac:dyDescent="0.2">
      <c r="A2645" t="s">
        <v>5162</v>
      </c>
      <c r="B2645" t="s">
        <v>5880</v>
      </c>
      <c r="C2645" t="s">
        <v>4518</v>
      </c>
      <c r="D2645" t="s">
        <v>98</v>
      </c>
      <c r="E2645">
        <v>99.99</v>
      </c>
      <c r="F2645" t="s">
        <v>5817</v>
      </c>
      <c r="L2645" t="s">
        <v>5818</v>
      </c>
      <c r="M2645">
        <v>0</v>
      </c>
      <c r="N2645">
        <v>0</v>
      </c>
      <c r="P2645">
        <v>5</v>
      </c>
    </row>
    <row r="2646" spans="1:16" x14ac:dyDescent="0.2">
      <c r="A2646" t="s">
        <v>5638</v>
      </c>
      <c r="B2646" t="s">
        <v>5915</v>
      </c>
      <c r="C2646" t="s">
        <v>4518</v>
      </c>
      <c r="D2646" t="s">
        <v>98</v>
      </c>
      <c r="E2646">
        <v>69.989999999999995</v>
      </c>
      <c r="F2646" t="s">
        <v>5817</v>
      </c>
      <c r="L2646" t="s">
        <v>5818</v>
      </c>
      <c r="M2646">
        <v>0</v>
      </c>
      <c r="N2646">
        <v>0</v>
      </c>
      <c r="P2646" t="s">
        <v>5819</v>
      </c>
    </row>
    <row r="2647" spans="1:16" x14ac:dyDescent="0.2">
      <c r="A2647" t="s">
        <v>5167</v>
      </c>
      <c r="B2647" t="s">
        <v>5881</v>
      </c>
      <c r="C2647" t="s">
        <v>4518</v>
      </c>
      <c r="D2647" t="s">
        <v>98</v>
      </c>
      <c r="E2647">
        <v>69.989999999999995</v>
      </c>
      <c r="F2647" t="s">
        <v>5817</v>
      </c>
      <c r="L2647" t="s">
        <v>5818</v>
      </c>
      <c r="M2647">
        <v>0</v>
      </c>
      <c r="N2647">
        <v>0</v>
      </c>
      <c r="O2647">
        <v>0</v>
      </c>
      <c r="P2647" t="s">
        <v>5819</v>
      </c>
    </row>
    <row r="2648" spans="1:16" x14ac:dyDescent="0.2">
      <c r="A2648" t="s">
        <v>5171</v>
      </c>
      <c r="B2648" t="s">
        <v>5876</v>
      </c>
      <c r="C2648" t="s">
        <v>4518</v>
      </c>
      <c r="D2648" t="s">
        <v>98</v>
      </c>
      <c r="E2648">
        <v>59.99</v>
      </c>
      <c r="F2648" t="s">
        <v>5817</v>
      </c>
      <c r="L2648" t="s">
        <v>5818</v>
      </c>
      <c r="M2648">
        <v>0</v>
      </c>
      <c r="N2648">
        <v>0</v>
      </c>
      <c r="O2648">
        <v>0</v>
      </c>
      <c r="P2648" t="s">
        <v>5819</v>
      </c>
    </row>
    <row r="2649" spans="1:16" x14ac:dyDescent="0.2">
      <c r="A2649" t="s">
        <v>5154</v>
      </c>
      <c r="B2649" t="s">
        <v>5871</v>
      </c>
      <c r="C2649" t="s">
        <v>4518</v>
      </c>
      <c r="D2649" t="s">
        <v>98</v>
      </c>
      <c r="E2649">
        <v>49.99</v>
      </c>
      <c r="F2649" t="s">
        <v>5817</v>
      </c>
      <c r="L2649" t="s">
        <v>5818</v>
      </c>
      <c r="M2649">
        <v>0</v>
      </c>
      <c r="N2649">
        <v>0</v>
      </c>
      <c r="O2649">
        <v>0</v>
      </c>
      <c r="P2649" t="s">
        <v>5819</v>
      </c>
    </row>
    <row r="2650" spans="1:16" x14ac:dyDescent="0.2">
      <c r="A2650" t="s">
        <v>5132</v>
      </c>
      <c r="B2650" t="s">
        <v>5870</v>
      </c>
      <c r="C2650" t="s">
        <v>4518</v>
      </c>
      <c r="D2650" t="s">
        <v>98</v>
      </c>
      <c r="E2650">
        <v>49.99</v>
      </c>
      <c r="F2650" t="s">
        <v>5817</v>
      </c>
      <c r="L2650" t="s">
        <v>5818</v>
      </c>
      <c r="M2650">
        <v>0</v>
      </c>
      <c r="N2650">
        <v>0</v>
      </c>
      <c r="O2650">
        <v>0</v>
      </c>
      <c r="P2650" t="s">
        <v>5819</v>
      </c>
    </row>
    <row r="2651" spans="1:16" x14ac:dyDescent="0.2">
      <c r="A2651" t="s">
        <v>4539</v>
      </c>
      <c r="B2651" t="s">
        <v>5916</v>
      </c>
      <c r="C2651" t="s">
        <v>4518</v>
      </c>
      <c r="D2651" t="s">
        <v>98</v>
      </c>
      <c r="E2651">
        <v>59.99</v>
      </c>
      <c r="F2651" t="s">
        <v>5817</v>
      </c>
      <c r="L2651" t="s">
        <v>5818</v>
      </c>
      <c r="M2651">
        <v>0</v>
      </c>
      <c r="N2651">
        <v>0</v>
      </c>
      <c r="O2651">
        <v>0</v>
      </c>
      <c r="P2651" t="s">
        <v>5819</v>
      </c>
    </row>
    <row r="2652" spans="1:16" x14ac:dyDescent="0.2">
      <c r="A2652" t="s">
        <v>5538</v>
      </c>
      <c r="B2652" t="s">
        <v>5902</v>
      </c>
      <c r="C2652" t="s">
        <v>4518</v>
      </c>
      <c r="D2652" t="s">
        <v>98</v>
      </c>
      <c r="E2652">
        <v>99.99</v>
      </c>
      <c r="F2652" t="s">
        <v>5817</v>
      </c>
      <c r="L2652" t="s">
        <v>5818</v>
      </c>
      <c r="M2652">
        <v>0</v>
      </c>
      <c r="N2652">
        <v>0</v>
      </c>
      <c r="O2652">
        <v>0</v>
      </c>
      <c r="P2652" t="s">
        <v>5819</v>
      </c>
    </row>
    <row r="2653" spans="1:16" x14ac:dyDescent="0.2">
      <c r="A2653" t="s">
        <v>4595</v>
      </c>
      <c r="B2653" t="s">
        <v>5883</v>
      </c>
      <c r="C2653" t="s">
        <v>4518</v>
      </c>
      <c r="D2653" t="s">
        <v>98</v>
      </c>
      <c r="E2653">
        <v>179.99</v>
      </c>
      <c r="F2653" t="s">
        <v>5817</v>
      </c>
      <c r="L2653" t="s">
        <v>5818</v>
      </c>
      <c r="M2653">
        <v>0</v>
      </c>
      <c r="N2653">
        <v>0</v>
      </c>
      <c r="O2653">
        <v>0</v>
      </c>
      <c r="P2653" t="s">
        <v>5819</v>
      </c>
    </row>
    <row r="2654" spans="1:16" x14ac:dyDescent="0.2">
      <c r="A2654" t="s">
        <v>4593</v>
      </c>
      <c r="B2654" t="s">
        <v>5884</v>
      </c>
      <c r="C2654" t="s">
        <v>4518</v>
      </c>
      <c r="D2654" t="s">
        <v>105</v>
      </c>
      <c r="E2654">
        <v>179.99</v>
      </c>
      <c r="F2654" t="s">
        <v>5817</v>
      </c>
      <c r="G2654">
        <v>27</v>
      </c>
      <c r="I2654">
        <v>27</v>
      </c>
      <c r="L2654" t="s">
        <v>5818</v>
      </c>
      <c r="M2654">
        <v>0</v>
      </c>
      <c r="N2654">
        <v>0</v>
      </c>
      <c r="O2654">
        <v>0</v>
      </c>
      <c r="P2654" t="s">
        <v>5819</v>
      </c>
    </row>
    <row r="2655" spans="1:16" x14ac:dyDescent="0.2">
      <c r="A2655" t="s">
        <v>4591</v>
      </c>
      <c r="B2655" t="s">
        <v>5885</v>
      </c>
      <c r="C2655" t="s">
        <v>4518</v>
      </c>
      <c r="D2655" t="s">
        <v>138</v>
      </c>
      <c r="E2655">
        <v>99.99</v>
      </c>
      <c r="F2655" t="s">
        <v>5817</v>
      </c>
      <c r="G2655">
        <v>19</v>
      </c>
      <c r="I2655">
        <v>19</v>
      </c>
      <c r="L2655" t="s">
        <v>5818</v>
      </c>
      <c r="M2655">
        <v>0</v>
      </c>
      <c r="N2655">
        <v>0</v>
      </c>
      <c r="O2655">
        <v>0</v>
      </c>
      <c r="P2655" t="s">
        <v>5819</v>
      </c>
    </row>
    <row r="2656" spans="1:16" x14ac:dyDescent="0.2">
      <c r="A2656" t="s">
        <v>5560</v>
      </c>
      <c r="B2656" t="s">
        <v>5904</v>
      </c>
      <c r="C2656" t="s">
        <v>4518</v>
      </c>
      <c r="D2656" t="s">
        <v>98</v>
      </c>
      <c r="E2656">
        <v>119.99</v>
      </c>
      <c r="F2656" t="s">
        <v>5817</v>
      </c>
      <c r="L2656" t="s">
        <v>5818</v>
      </c>
      <c r="M2656">
        <v>0</v>
      </c>
      <c r="N2656">
        <v>0</v>
      </c>
      <c r="O2656">
        <v>0</v>
      </c>
      <c r="P2656" t="s">
        <v>5819</v>
      </c>
    </row>
    <row r="2657" spans="1:16" x14ac:dyDescent="0.2">
      <c r="A2657" t="s">
        <v>4589</v>
      </c>
      <c r="B2657" t="s">
        <v>5897</v>
      </c>
      <c r="C2657" t="s">
        <v>4518</v>
      </c>
      <c r="D2657" t="s">
        <v>98</v>
      </c>
      <c r="E2657">
        <v>119.99</v>
      </c>
      <c r="F2657" t="s">
        <v>5817</v>
      </c>
      <c r="L2657" t="s">
        <v>5818</v>
      </c>
      <c r="M2657">
        <v>0</v>
      </c>
      <c r="N2657">
        <v>0</v>
      </c>
      <c r="O2657">
        <v>0</v>
      </c>
      <c r="P2657" t="s">
        <v>5819</v>
      </c>
    </row>
    <row r="2658" spans="1:16" x14ac:dyDescent="0.2">
      <c r="A2658" t="s">
        <v>5536</v>
      </c>
      <c r="B2658" t="s">
        <v>5899</v>
      </c>
      <c r="C2658" t="s">
        <v>4518</v>
      </c>
      <c r="D2658" t="s">
        <v>98</v>
      </c>
      <c r="E2658">
        <v>99.99</v>
      </c>
      <c r="F2658" t="s">
        <v>5817</v>
      </c>
      <c r="L2658" t="s">
        <v>5818</v>
      </c>
      <c r="M2658">
        <v>0</v>
      </c>
      <c r="N2658">
        <v>0</v>
      </c>
      <c r="O2658">
        <v>0</v>
      </c>
      <c r="P2658" t="s">
        <v>5819</v>
      </c>
    </row>
    <row r="2659" spans="1:16" x14ac:dyDescent="0.2">
      <c r="A2659" t="s">
        <v>5231</v>
      </c>
      <c r="B2659" t="s">
        <v>5877</v>
      </c>
      <c r="C2659" t="s">
        <v>4518</v>
      </c>
      <c r="D2659" t="s">
        <v>98</v>
      </c>
      <c r="E2659">
        <v>99.99</v>
      </c>
      <c r="F2659" t="s">
        <v>5817</v>
      </c>
      <c r="L2659" t="s">
        <v>5818</v>
      </c>
      <c r="M2659">
        <v>0</v>
      </c>
      <c r="N2659">
        <v>0</v>
      </c>
      <c r="O2659">
        <v>0</v>
      </c>
      <c r="P2659" t="s">
        <v>5819</v>
      </c>
    </row>
    <row r="2660" spans="1:16" x14ac:dyDescent="0.2">
      <c r="A2660" t="s">
        <v>4521</v>
      </c>
      <c r="B2660" t="s">
        <v>5874</v>
      </c>
      <c r="C2660" t="s">
        <v>4518</v>
      </c>
      <c r="D2660" t="s">
        <v>105</v>
      </c>
      <c r="E2660">
        <v>89.99</v>
      </c>
      <c r="F2660" t="s">
        <v>5817</v>
      </c>
      <c r="G2660">
        <v>774</v>
      </c>
      <c r="H2660" t="s">
        <v>5875</v>
      </c>
      <c r="I2660">
        <v>664</v>
      </c>
      <c r="K2660">
        <v>36</v>
      </c>
      <c r="L2660" t="s">
        <v>5085</v>
      </c>
      <c r="M2660">
        <v>0</v>
      </c>
      <c r="N2660">
        <v>0</v>
      </c>
      <c r="O2660">
        <v>6.166666666666667</v>
      </c>
      <c r="P2660">
        <v>99</v>
      </c>
    </row>
    <row r="2661" spans="1:16" x14ac:dyDescent="0.2">
      <c r="A2661" t="s">
        <v>4519</v>
      </c>
      <c r="B2661" t="s">
        <v>5912</v>
      </c>
      <c r="C2661" t="s">
        <v>4518</v>
      </c>
      <c r="D2661" t="s">
        <v>105</v>
      </c>
      <c r="E2661">
        <v>89.99</v>
      </c>
      <c r="F2661" t="s">
        <v>5817</v>
      </c>
      <c r="G2661">
        <v>495</v>
      </c>
      <c r="H2661" t="s">
        <v>5845</v>
      </c>
      <c r="I2661">
        <v>491</v>
      </c>
      <c r="L2661" t="s">
        <v>5085</v>
      </c>
      <c r="M2661">
        <v>0</v>
      </c>
      <c r="N2661">
        <v>0</v>
      </c>
      <c r="O2661">
        <v>0</v>
      </c>
      <c r="P2661">
        <v>5</v>
      </c>
    </row>
    <row r="2662" spans="1:16" x14ac:dyDescent="0.2">
      <c r="A2662" t="s">
        <v>5132</v>
      </c>
      <c r="B2662" t="s">
        <v>5870</v>
      </c>
      <c r="C2662" t="s">
        <v>4518</v>
      </c>
      <c r="D2662" t="s">
        <v>98</v>
      </c>
      <c r="E2662">
        <v>49.99</v>
      </c>
      <c r="F2662" t="s">
        <v>5817</v>
      </c>
      <c r="L2662" t="s">
        <v>5085</v>
      </c>
      <c r="M2662">
        <v>0</v>
      </c>
      <c r="N2662">
        <v>0</v>
      </c>
      <c r="O2662">
        <v>0</v>
      </c>
      <c r="P2662" t="s">
        <v>5819</v>
      </c>
    </row>
    <row r="2663" spans="1:16" x14ac:dyDescent="0.2">
      <c r="A2663" t="s">
        <v>5142</v>
      </c>
      <c r="B2663" t="s">
        <v>5872</v>
      </c>
      <c r="C2663" t="s">
        <v>4518</v>
      </c>
      <c r="D2663" t="s">
        <v>98</v>
      </c>
      <c r="E2663">
        <v>109.99</v>
      </c>
      <c r="F2663" t="s">
        <v>5817</v>
      </c>
      <c r="J2663">
        <v>2</v>
      </c>
      <c r="L2663" t="s">
        <v>5085</v>
      </c>
      <c r="M2663">
        <v>0</v>
      </c>
      <c r="N2663">
        <v>0</v>
      </c>
      <c r="O2663">
        <v>0</v>
      </c>
      <c r="P2663" t="s">
        <v>5819</v>
      </c>
    </row>
    <row r="2664" spans="1:16" x14ac:dyDescent="0.2">
      <c r="A2664" t="s">
        <v>4535</v>
      </c>
      <c r="B2664" t="s">
        <v>5873</v>
      </c>
      <c r="C2664" t="s">
        <v>4518</v>
      </c>
      <c r="D2664" t="s">
        <v>105</v>
      </c>
      <c r="E2664">
        <v>69.989999999999995</v>
      </c>
      <c r="F2664" t="s">
        <v>5817</v>
      </c>
      <c r="J2664">
        <v>423</v>
      </c>
      <c r="L2664" t="s">
        <v>5085</v>
      </c>
      <c r="M2664">
        <v>0</v>
      </c>
      <c r="N2664">
        <v>0</v>
      </c>
      <c r="O2664">
        <v>2.4166666666666665</v>
      </c>
      <c r="P2664">
        <v>51</v>
      </c>
    </row>
    <row r="2665" spans="1:16" x14ac:dyDescent="0.2">
      <c r="A2665" t="s">
        <v>5211</v>
      </c>
      <c r="B2665" t="s">
        <v>5868</v>
      </c>
      <c r="C2665" t="s">
        <v>4518</v>
      </c>
      <c r="D2665" t="s">
        <v>98</v>
      </c>
      <c r="E2665">
        <v>89.99</v>
      </c>
      <c r="F2665" t="s">
        <v>5817</v>
      </c>
      <c r="L2665" t="s">
        <v>5085</v>
      </c>
      <c r="M2665">
        <v>0</v>
      </c>
      <c r="N2665">
        <v>0</v>
      </c>
      <c r="O2665">
        <v>0</v>
      </c>
      <c r="P2665" t="s">
        <v>5819</v>
      </c>
    </row>
    <row r="2666" spans="1:16" x14ac:dyDescent="0.2">
      <c r="A2666" t="s">
        <v>5154</v>
      </c>
      <c r="B2666" t="s">
        <v>5871</v>
      </c>
      <c r="C2666" t="s">
        <v>4518</v>
      </c>
      <c r="D2666" t="s">
        <v>98</v>
      </c>
      <c r="E2666">
        <v>49.99</v>
      </c>
      <c r="F2666" t="s">
        <v>5817</v>
      </c>
      <c r="L2666" t="s">
        <v>5085</v>
      </c>
      <c r="M2666">
        <v>0</v>
      </c>
      <c r="N2666">
        <v>0</v>
      </c>
      <c r="O2666">
        <v>0</v>
      </c>
      <c r="P2666" t="s">
        <v>5819</v>
      </c>
    </row>
    <row r="2667" spans="1:16" x14ac:dyDescent="0.2">
      <c r="A2667" t="s">
        <v>4569</v>
      </c>
      <c r="B2667" t="s">
        <v>5894</v>
      </c>
      <c r="C2667" t="s">
        <v>4518</v>
      </c>
      <c r="D2667" t="s">
        <v>105</v>
      </c>
      <c r="E2667">
        <v>79.989999999999995</v>
      </c>
      <c r="F2667" t="s">
        <v>5817</v>
      </c>
      <c r="G2667">
        <v>54</v>
      </c>
      <c r="I2667">
        <v>54</v>
      </c>
      <c r="L2667" t="s">
        <v>5085</v>
      </c>
      <c r="M2667">
        <v>0</v>
      </c>
      <c r="N2667">
        <v>0</v>
      </c>
      <c r="O2667">
        <v>0.16666666666666666</v>
      </c>
      <c r="P2667" t="s">
        <v>5819</v>
      </c>
    </row>
    <row r="2668" spans="1:16" x14ac:dyDescent="0.2">
      <c r="A2668" t="s">
        <v>5568</v>
      </c>
      <c r="B2668" t="s">
        <v>5888</v>
      </c>
      <c r="C2668" t="s">
        <v>4518</v>
      </c>
      <c r="D2668" t="s">
        <v>138</v>
      </c>
      <c r="E2668">
        <v>169.99</v>
      </c>
      <c r="F2668" t="s">
        <v>5817</v>
      </c>
      <c r="J2668">
        <v>1</v>
      </c>
      <c r="L2668" t="s">
        <v>5085</v>
      </c>
      <c r="M2668">
        <v>0</v>
      </c>
      <c r="N2668">
        <v>0</v>
      </c>
      <c r="O2668">
        <v>0</v>
      </c>
      <c r="P2668" t="s">
        <v>5819</v>
      </c>
    </row>
    <row r="2669" spans="1:16" x14ac:dyDescent="0.2">
      <c r="A2669" t="s">
        <v>5564</v>
      </c>
      <c r="B2669" t="s">
        <v>5887</v>
      </c>
      <c r="C2669" t="s">
        <v>4518</v>
      </c>
      <c r="D2669" t="s">
        <v>138</v>
      </c>
      <c r="E2669">
        <v>119.99</v>
      </c>
      <c r="F2669" t="s">
        <v>5817</v>
      </c>
      <c r="L2669" t="s">
        <v>5085</v>
      </c>
      <c r="M2669">
        <v>0</v>
      </c>
      <c r="N2669">
        <v>0</v>
      </c>
      <c r="O2669">
        <v>8.3333333333333329E-2</v>
      </c>
      <c r="P2669" t="s">
        <v>5819</v>
      </c>
    </row>
    <row r="2670" spans="1:16" x14ac:dyDescent="0.2">
      <c r="A2670" t="s">
        <v>4575</v>
      </c>
      <c r="B2670" t="s">
        <v>5886</v>
      </c>
      <c r="C2670" t="s">
        <v>4518</v>
      </c>
      <c r="D2670" t="s">
        <v>105</v>
      </c>
      <c r="E2670">
        <v>149.99</v>
      </c>
      <c r="F2670" t="s">
        <v>5817</v>
      </c>
      <c r="G2670">
        <v>15</v>
      </c>
      <c r="I2670">
        <v>15</v>
      </c>
      <c r="L2670" t="s">
        <v>5085</v>
      </c>
      <c r="M2670">
        <v>0</v>
      </c>
      <c r="N2670">
        <v>0</v>
      </c>
      <c r="O2670">
        <v>0.33333333333333331</v>
      </c>
      <c r="P2670" t="s">
        <v>5819</v>
      </c>
    </row>
    <row r="2671" spans="1:16" x14ac:dyDescent="0.2">
      <c r="A2671" t="s">
        <v>4579</v>
      </c>
      <c r="B2671" t="s">
        <v>5891</v>
      </c>
      <c r="C2671" t="s">
        <v>4518</v>
      </c>
      <c r="D2671" t="s">
        <v>105</v>
      </c>
      <c r="E2671">
        <v>139.99</v>
      </c>
      <c r="F2671" t="s">
        <v>5817</v>
      </c>
      <c r="G2671">
        <v>22</v>
      </c>
      <c r="I2671">
        <v>22</v>
      </c>
      <c r="L2671" t="s">
        <v>5085</v>
      </c>
      <c r="M2671">
        <v>0</v>
      </c>
      <c r="N2671">
        <v>0</v>
      </c>
      <c r="O2671">
        <v>0.16666666666666666</v>
      </c>
      <c r="P2671" t="s">
        <v>5819</v>
      </c>
    </row>
    <row r="2672" spans="1:16" x14ac:dyDescent="0.2">
      <c r="A2672" t="s">
        <v>4581</v>
      </c>
      <c r="B2672" t="s">
        <v>5889</v>
      </c>
      <c r="C2672" t="s">
        <v>4518</v>
      </c>
      <c r="D2672" t="s">
        <v>105</v>
      </c>
      <c r="E2672">
        <v>249.99</v>
      </c>
      <c r="F2672" t="s">
        <v>5817</v>
      </c>
      <c r="G2672">
        <v>10</v>
      </c>
      <c r="I2672">
        <v>10</v>
      </c>
      <c r="L2672" t="s">
        <v>5085</v>
      </c>
      <c r="M2672">
        <v>0</v>
      </c>
      <c r="N2672">
        <v>0</v>
      </c>
      <c r="O2672">
        <v>0.33333333333333337</v>
      </c>
      <c r="P2672" t="s">
        <v>5819</v>
      </c>
    </row>
    <row r="2673" spans="1:16" x14ac:dyDescent="0.2">
      <c r="A2673" t="s">
        <v>5692</v>
      </c>
      <c r="B2673" t="s">
        <v>5917</v>
      </c>
      <c r="C2673" t="s">
        <v>4518</v>
      </c>
      <c r="D2673" t="s">
        <v>98</v>
      </c>
      <c r="E2673">
        <v>79.989999999999995</v>
      </c>
      <c r="F2673" t="s">
        <v>5817</v>
      </c>
      <c r="L2673" t="s">
        <v>5085</v>
      </c>
      <c r="M2673">
        <v>0</v>
      </c>
      <c r="N2673">
        <v>0</v>
      </c>
      <c r="O2673">
        <v>0</v>
      </c>
      <c r="P2673" t="s">
        <v>5819</v>
      </c>
    </row>
    <row r="2674" spans="1:16" x14ac:dyDescent="0.2">
      <c r="A2674" t="s">
        <v>5548</v>
      </c>
      <c r="B2674" t="s">
        <v>5898</v>
      </c>
      <c r="C2674" t="s">
        <v>4518</v>
      </c>
      <c r="D2674" t="s">
        <v>138</v>
      </c>
      <c r="E2674">
        <v>249.99</v>
      </c>
      <c r="F2674" t="s">
        <v>5817</v>
      </c>
      <c r="G2674">
        <v>3</v>
      </c>
      <c r="I2674">
        <v>3</v>
      </c>
      <c r="L2674" t="s">
        <v>5085</v>
      </c>
      <c r="M2674">
        <v>0</v>
      </c>
      <c r="N2674">
        <v>0</v>
      </c>
      <c r="O2674">
        <v>0</v>
      </c>
      <c r="P2674" t="s">
        <v>5819</v>
      </c>
    </row>
    <row r="2675" spans="1:16" x14ac:dyDescent="0.2">
      <c r="A2675" t="s">
        <v>4567</v>
      </c>
      <c r="B2675" t="s">
        <v>5895</v>
      </c>
      <c r="C2675" t="s">
        <v>4518</v>
      </c>
      <c r="D2675" t="s">
        <v>105</v>
      </c>
      <c r="E2675">
        <v>89.99</v>
      </c>
      <c r="F2675" t="s">
        <v>5817</v>
      </c>
      <c r="G2675">
        <v>30</v>
      </c>
      <c r="I2675">
        <v>30</v>
      </c>
      <c r="L2675" t="s">
        <v>5085</v>
      </c>
      <c r="M2675">
        <v>0</v>
      </c>
      <c r="N2675">
        <v>0</v>
      </c>
      <c r="O2675">
        <v>0.16666666666666666</v>
      </c>
      <c r="P2675" t="s">
        <v>5819</v>
      </c>
    </row>
    <row r="2676" spans="1:16" x14ac:dyDescent="0.2">
      <c r="A2676" t="s">
        <v>5239</v>
      </c>
      <c r="B2676" t="s">
        <v>5862</v>
      </c>
      <c r="C2676" t="s">
        <v>4518</v>
      </c>
      <c r="D2676" t="s">
        <v>98</v>
      </c>
      <c r="E2676">
        <v>89.99</v>
      </c>
      <c r="F2676" t="s">
        <v>5817</v>
      </c>
      <c r="L2676" t="s">
        <v>5085</v>
      </c>
      <c r="M2676">
        <v>0</v>
      </c>
      <c r="N2676">
        <v>0</v>
      </c>
      <c r="O2676">
        <v>8.3333333333333329E-2</v>
      </c>
      <c r="P2676" t="s">
        <v>5819</v>
      </c>
    </row>
    <row r="2677" spans="1:16" x14ac:dyDescent="0.2">
      <c r="A2677" t="s">
        <v>4549</v>
      </c>
      <c r="B2677" t="s">
        <v>5864</v>
      </c>
      <c r="C2677" t="s">
        <v>4518</v>
      </c>
      <c r="D2677" t="s">
        <v>105</v>
      </c>
      <c r="E2677">
        <v>149.99</v>
      </c>
      <c r="F2677" t="s">
        <v>5817</v>
      </c>
      <c r="G2677">
        <v>21</v>
      </c>
      <c r="I2677">
        <v>21</v>
      </c>
      <c r="L2677" t="s">
        <v>5085</v>
      </c>
      <c r="M2677">
        <v>0</v>
      </c>
      <c r="N2677">
        <v>0</v>
      </c>
      <c r="O2677">
        <v>0</v>
      </c>
      <c r="P2677" t="s">
        <v>5819</v>
      </c>
    </row>
    <row r="2678" spans="1:16" x14ac:dyDescent="0.2">
      <c r="A2678" t="s">
        <v>5243</v>
      </c>
      <c r="B2678" t="s">
        <v>5854</v>
      </c>
      <c r="C2678" t="s">
        <v>4518</v>
      </c>
      <c r="D2678" t="s">
        <v>98</v>
      </c>
      <c r="E2678">
        <v>89.99</v>
      </c>
      <c r="F2678" t="s">
        <v>5817</v>
      </c>
      <c r="L2678" t="s">
        <v>5085</v>
      </c>
      <c r="M2678">
        <v>0</v>
      </c>
      <c r="N2678">
        <v>0</v>
      </c>
      <c r="O2678">
        <v>0.16666666666666666</v>
      </c>
      <c r="P2678" t="s">
        <v>5819</v>
      </c>
    </row>
    <row r="2679" spans="1:16" x14ac:dyDescent="0.2">
      <c r="A2679" t="s">
        <v>4551</v>
      </c>
      <c r="B2679" t="s">
        <v>5863</v>
      </c>
      <c r="C2679" t="s">
        <v>4518</v>
      </c>
      <c r="D2679" t="s">
        <v>105</v>
      </c>
      <c r="E2679">
        <v>149.99</v>
      </c>
      <c r="F2679" t="s">
        <v>5817</v>
      </c>
      <c r="G2679">
        <v>8</v>
      </c>
      <c r="H2679" t="s">
        <v>5823</v>
      </c>
      <c r="I2679">
        <v>7</v>
      </c>
      <c r="L2679" t="s">
        <v>5085</v>
      </c>
      <c r="M2679">
        <v>0</v>
      </c>
      <c r="N2679">
        <v>0</v>
      </c>
      <c r="O2679">
        <v>0</v>
      </c>
      <c r="P2679" t="s">
        <v>5819</v>
      </c>
    </row>
    <row r="2680" spans="1:16" x14ac:dyDescent="0.2">
      <c r="A2680" t="s">
        <v>4565</v>
      </c>
      <c r="B2680" t="s">
        <v>5896</v>
      </c>
      <c r="C2680" t="s">
        <v>4518</v>
      </c>
      <c r="D2680" t="s">
        <v>138</v>
      </c>
      <c r="E2680">
        <v>159.99</v>
      </c>
      <c r="F2680" t="s">
        <v>5817</v>
      </c>
      <c r="G2680">
        <v>15</v>
      </c>
      <c r="I2680">
        <v>15</v>
      </c>
      <c r="L2680" t="s">
        <v>5085</v>
      </c>
      <c r="M2680">
        <v>0</v>
      </c>
      <c r="N2680">
        <v>0</v>
      </c>
      <c r="O2680">
        <v>0</v>
      </c>
      <c r="P2680" t="s">
        <v>5819</v>
      </c>
    </row>
    <row r="2681" spans="1:16" x14ac:dyDescent="0.2">
      <c r="A2681" t="s">
        <v>4555</v>
      </c>
      <c r="B2681" t="s">
        <v>5892</v>
      </c>
      <c r="C2681" t="s">
        <v>4518</v>
      </c>
      <c r="D2681" t="s">
        <v>105</v>
      </c>
      <c r="E2681">
        <v>99.99</v>
      </c>
      <c r="F2681" t="s">
        <v>5817</v>
      </c>
      <c r="G2681">
        <v>40</v>
      </c>
      <c r="I2681">
        <v>40</v>
      </c>
      <c r="L2681" t="s">
        <v>5085</v>
      </c>
      <c r="M2681">
        <v>0</v>
      </c>
      <c r="N2681">
        <v>0</v>
      </c>
      <c r="O2681">
        <v>8.3333333333333329E-2</v>
      </c>
      <c r="P2681" t="s">
        <v>5819</v>
      </c>
    </row>
    <row r="2682" spans="1:16" x14ac:dyDescent="0.2">
      <c r="A2682" t="s">
        <v>5247</v>
      </c>
      <c r="B2682" t="s">
        <v>5855</v>
      </c>
      <c r="C2682" t="s">
        <v>4518</v>
      </c>
      <c r="D2682" t="s">
        <v>98</v>
      </c>
      <c r="E2682">
        <v>89.99</v>
      </c>
      <c r="F2682" t="s">
        <v>5817</v>
      </c>
      <c r="L2682" t="s">
        <v>5085</v>
      </c>
      <c r="M2682">
        <v>0</v>
      </c>
      <c r="N2682">
        <v>0</v>
      </c>
      <c r="O2682">
        <v>0</v>
      </c>
      <c r="P2682" t="s">
        <v>5819</v>
      </c>
    </row>
    <row r="2683" spans="1:16" x14ac:dyDescent="0.2">
      <c r="A2683" t="s">
        <v>4553</v>
      </c>
      <c r="B2683" t="s">
        <v>5893</v>
      </c>
      <c r="C2683" t="s">
        <v>4518</v>
      </c>
      <c r="D2683" t="s">
        <v>105</v>
      </c>
      <c r="E2683">
        <v>99.99</v>
      </c>
      <c r="F2683" t="s">
        <v>5817</v>
      </c>
      <c r="G2683">
        <v>145</v>
      </c>
      <c r="H2683" t="s">
        <v>5835</v>
      </c>
      <c r="I2683">
        <v>140</v>
      </c>
      <c r="L2683" t="s">
        <v>5085</v>
      </c>
      <c r="M2683">
        <v>0</v>
      </c>
      <c r="N2683">
        <v>0</v>
      </c>
      <c r="O2683">
        <v>0.25</v>
      </c>
      <c r="P2683">
        <v>10</v>
      </c>
    </row>
    <row r="2684" spans="1:16" x14ac:dyDescent="0.2">
      <c r="A2684" t="s">
        <v>4583</v>
      </c>
      <c r="B2684" t="s">
        <v>5900</v>
      </c>
      <c r="C2684" t="s">
        <v>4518</v>
      </c>
      <c r="D2684" t="s">
        <v>138</v>
      </c>
      <c r="E2684">
        <v>249.99</v>
      </c>
      <c r="F2684" t="s">
        <v>5817</v>
      </c>
      <c r="G2684">
        <v>9</v>
      </c>
      <c r="I2684">
        <v>9</v>
      </c>
      <c r="L2684" t="s">
        <v>5085</v>
      </c>
      <c r="M2684">
        <v>0</v>
      </c>
      <c r="N2684">
        <v>0</v>
      </c>
      <c r="O2684">
        <v>0</v>
      </c>
      <c r="P2684" t="s">
        <v>5819</v>
      </c>
    </row>
    <row r="2685" spans="1:16" x14ac:dyDescent="0.2">
      <c r="A2685" t="s">
        <v>5162</v>
      </c>
      <c r="B2685" t="s">
        <v>5880</v>
      </c>
      <c r="C2685" t="s">
        <v>4518</v>
      </c>
      <c r="D2685" t="s">
        <v>98</v>
      </c>
      <c r="E2685">
        <v>99.99</v>
      </c>
      <c r="F2685" t="s">
        <v>5817</v>
      </c>
      <c r="L2685" t="s">
        <v>5085</v>
      </c>
      <c r="M2685">
        <v>0</v>
      </c>
      <c r="N2685">
        <v>0</v>
      </c>
      <c r="O2685">
        <v>0</v>
      </c>
      <c r="P2685" t="s">
        <v>5819</v>
      </c>
    </row>
    <row r="2686" spans="1:16" x14ac:dyDescent="0.2">
      <c r="A2686" t="s">
        <v>5231</v>
      </c>
      <c r="B2686" t="s">
        <v>5877</v>
      </c>
      <c r="C2686" t="s">
        <v>4518</v>
      </c>
      <c r="D2686" t="s">
        <v>98</v>
      </c>
      <c r="E2686">
        <v>99.99</v>
      </c>
      <c r="F2686" t="s">
        <v>5817</v>
      </c>
      <c r="L2686" t="s">
        <v>5085</v>
      </c>
      <c r="M2686">
        <v>0</v>
      </c>
      <c r="N2686">
        <v>0</v>
      </c>
      <c r="O2686">
        <v>0</v>
      </c>
      <c r="P2686" t="s">
        <v>5819</v>
      </c>
    </row>
    <row r="2687" spans="1:16" x14ac:dyDescent="0.2">
      <c r="A2687" t="s">
        <v>5538</v>
      </c>
      <c r="B2687" t="s">
        <v>5902</v>
      </c>
      <c r="C2687" t="s">
        <v>4518</v>
      </c>
      <c r="D2687" t="s">
        <v>98</v>
      </c>
      <c r="E2687">
        <v>99.99</v>
      </c>
      <c r="F2687" t="s">
        <v>5817</v>
      </c>
      <c r="L2687" t="s">
        <v>5085</v>
      </c>
      <c r="M2687">
        <v>0</v>
      </c>
      <c r="N2687">
        <v>0</v>
      </c>
      <c r="O2687">
        <v>0</v>
      </c>
      <c r="P2687" t="s">
        <v>5819</v>
      </c>
    </row>
    <row r="2688" spans="1:16" x14ac:dyDescent="0.2">
      <c r="A2688" t="s">
        <v>4589</v>
      </c>
      <c r="B2688" t="s">
        <v>5897</v>
      </c>
      <c r="C2688" t="s">
        <v>4518</v>
      </c>
      <c r="D2688" t="s">
        <v>98</v>
      </c>
      <c r="E2688">
        <v>119.99</v>
      </c>
      <c r="F2688" t="s">
        <v>5817</v>
      </c>
      <c r="L2688" t="s">
        <v>5085</v>
      </c>
      <c r="M2688">
        <v>0</v>
      </c>
      <c r="N2688">
        <v>0</v>
      </c>
      <c r="O2688">
        <v>0</v>
      </c>
      <c r="P2688" t="s">
        <v>5819</v>
      </c>
    </row>
    <row r="2689" spans="1:16" x14ac:dyDescent="0.2">
      <c r="A2689" t="s">
        <v>5560</v>
      </c>
      <c r="B2689" t="s">
        <v>5904</v>
      </c>
      <c r="C2689" t="s">
        <v>4518</v>
      </c>
      <c r="D2689" t="s">
        <v>98</v>
      </c>
      <c r="E2689">
        <v>119.99</v>
      </c>
      <c r="F2689" t="s">
        <v>5817</v>
      </c>
      <c r="L2689" t="s">
        <v>5085</v>
      </c>
      <c r="M2689">
        <v>0</v>
      </c>
      <c r="N2689">
        <v>0</v>
      </c>
      <c r="O2689">
        <v>0</v>
      </c>
      <c r="P2689" t="s">
        <v>5819</v>
      </c>
    </row>
    <row r="2690" spans="1:16" x14ac:dyDescent="0.2">
      <c r="A2690" t="s">
        <v>4591</v>
      </c>
      <c r="B2690" t="s">
        <v>5885</v>
      </c>
      <c r="C2690" t="s">
        <v>4518</v>
      </c>
      <c r="D2690" t="s">
        <v>138</v>
      </c>
      <c r="E2690">
        <v>99.99</v>
      </c>
      <c r="F2690" t="s">
        <v>5817</v>
      </c>
      <c r="G2690">
        <v>19</v>
      </c>
      <c r="I2690">
        <v>19</v>
      </c>
      <c r="L2690" t="s">
        <v>5085</v>
      </c>
      <c r="M2690">
        <v>0</v>
      </c>
      <c r="N2690">
        <v>0</v>
      </c>
      <c r="O2690">
        <v>8.333333333333337E-2</v>
      </c>
      <c r="P2690" t="s">
        <v>5819</v>
      </c>
    </row>
    <row r="2691" spans="1:16" x14ac:dyDescent="0.2">
      <c r="A2691" t="s">
        <v>4595</v>
      </c>
      <c r="B2691" t="s">
        <v>5883</v>
      </c>
      <c r="C2691" t="s">
        <v>4518</v>
      </c>
      <c r="D2691" t="s">
        <v>98</v>
      </c>
      <c r="E2691">
        <v>179.99</v>
      </c>
      <c r="F2691" t="s">
        <v>5817</v>
      </c>
      <c r="L2691" t="s">
        <v>5085</v>
      </c>
      <c r="M2691">
        <v>0</v>
      </c>
      <c r="N2691">
        <v>0</v>
      </c>
      <c r="O2691">
        <v>0</v>
      </c>
      <c r="P2691" t="s">
        <v>5819</v>
      </c>
    </row>
    <row r="2692" spans="1:16" x14ac:dyDescent="0.2">
      <c r="A2692" t="s">
        <v>5156</v>
      </c>
      <c r="B2692" t="s">
        <v>5879</v>
      </c>
      <c r="C2692" t="s">
        <v>4518</v>
      </c>
      <c r="D2692" t="s">
        <v>98</v>
      </c>
      <c r="E2692">
        <v>129.99</v>
      </c>
      <c r="F2692" t="s">
        <v>5817</v>
      </c>
      <c r="L2692" t="s">
        <v>5085</v>
      </c>
      <c r="M2692">
        <v>0</v>
      </c>
      <c r="N2692">
        <v>0</v>
      </c>
      <c r="O2692">
        <v>0</v>
      </c>
      <c r="P2692" t="s">
        <v>5819</v>
      </c>
    </row>
    <row r="2693" spans="1:16" x14ac:dyDescent="0.2">
      <c r="A2693" t="s">
        <v>4593</v>
      </c>
      <c r="B2693" t="s">
        <v>5884</v>
      </c>
      <c r="C2693" t="s">
        <v>4518</v>
      </c>
      <c r="D2693" t="s">
        <v>105</v>
      </c>
      <c r="E2693">
        <v>179.99</v>
      </c>
      <c r="F2693" t="s">
        <v>5817</v>
      </c>
      <c r="G2693">
        <v>27</v>
      </c>
      <c r="I2693">
        <v>27</v>
      </c>
      <c r="L2693" t="s">
        <v>5085</v>
      </c>
      <c r="M2693">
        <v>0</v>
      </c>
      <c r="N2693">
        <v>0</v>
      </c>
      <c r="O2693">
        <v>0</v>
      </c>
      <c r="P2693" t="s">
        <v>5819</v>
      </c>
    </row>
    <row r="2694" spans="1:16" x14ac:dyDescent="0.2">
      <c r="A2694" t="s">
        <v>5694</v>
      </c>
      <c r="B2694" t="s">
        <v>5918</v>
      </c>
      <c r="C2694" t="s">
        <v>4518</v>
      </c>
      <c r="D2694" t="s">
        <v>98</v>
      </c>
      <c r="E2694">
        <v>189.99</v>
      </c>
      <c r="F2694" t="s">
        <v>5817</v>
      </c>
      <c r="L2694" t="s">
        <v>5085</v>
      </c>
      <c r="M2694">
        <v>0</v>
      </c>
      <c r="N2694">
        <v>0</v>
      </c>
      <c r="O2694">
        <v>0</v>
      </c>
      <c r="P2694" t="s">
        <v>5819</v>
      </c>
    </row>
    <row r="2695" spans="1:16" x14ac:dyDescent="0.2">
      <c r="A2695" t="s">
        <v>5167</v>
      </c>
      <c r="B2695" t="s">
        <v>5881</v>
      </c>
      <c r="C2695" t="s">
        <v>4518</v>
      </c>
      <c r="D2695" t="s">
        <v>98</v>
      </c>
      <c r="E2695">
        <v>69.989999999999995</v>
      </c>
      <c r="F2695" t="s">
        <v>5817</v>
      </c>
      <c r="L2695" t="s">
        <v>5065</v>
      </c>
      <c r="M2695">
        <v>0</v>
      </c>
      <c r="N2695">
        <v>0</v>
      </c>
      <c r="P2695">
        <v>0</v>
      </c>
    </row>
    <row r="2696" spans="1:16" x14ac:dyDescent="0.2">
      <c r="A2696" t="s">
        <v>5253</v>
      </c>
      <c r="B2696" t="s">
        <v>5861</v>
      </c>
      <c r="C2696" t="s">
        <v>4518</v>
      </c>
      <c r="D2696" t="s">
        <v>98</v>
      </c>
      <c r="E2696">
        <v>89.99</v>
      </c>
      <c r="F2696" t="s">
        <v>5817</v>
      </c>
      <c r="L2696" t="s">
        <v>5065</v>
      </c>
      <c r="M2696">
        <v>0</v>
      </c>
      <c r="N2696">
        <v>0</v>
      </c>
      <c r="P2696">
        <v>0</v>
      </c>
    </row>
    <row r="2697" spans="1:16" x14ac:dyDescent="0.2">
      <c r="A2697" t="s">
        <v>5223</v>
      </c>
      <c r="B2697" t="s">
        <v>5860</v>
      </c>
      <c r="C2697" t="s">
        <v>4518</v>
      </c>
      <c r="D2697" t="s">
        <v>98</v>
      </c>
      <c r="E2697">
        <v>89.99</v>
      </c>
      <c r="F2697" t="s">
        <v>5817</v>
      </c>
      <c r="L2697" t="s">
        <v>5065</v>
      </c>
      <c r="M2697">
        <v>0</v>
      </c>
      <c r="N2697">
        <v>0</v>
      </c>
      <c r="P2697">
        <v>0</v>
      </c>
    </row>
    <row r="2698" spans="1:16" x14ac:dyDescent="0.2">
      <c r="A2698" t="s">
        <v>5154</v>
      </c>
      <c r="B2698" t="s">
        <v>5871</v>
      </c>
      <c r="C2698" t="s">
        <v>4518</v>
      </c>
      <c r="D2698" t="s">
        <v>98</v>
      </c>
      <c r="E2698">
        <v>49.99</v>
      </c>
      <c r="F2698" t="s">
        <v>5817</v>
      </c>
      <c r="L2698" t="s">
        <v>5065</v>
      </c>
      <c r="M2698">
        <v>0</v>
      </c>
      <c r="N2698">
        <v>0</v>
      </c>
      <c r="P2698">
        <v>0</v>
      </c>
    </row>
    <row r="2699" spans="1:16" x14ac:dyDescent="0.2">
      <c r="A2699" t="s">
        <v>4595</v>
      </c>
      <c r="B2699" t="s">
        <v>5883</v>
      </c>
      <c r="C2699" t="s">
        <v>4518</v>
      </c>
      <c r="D2699" t="s">
        <v>98</v>
      </c>
      <c r="E2699">
        <v>179.99</v>
      </c>
      <c r="F2699" t="s">
        <v>5817</v>
      </c>
      <c r="L2699" t="s">
        <v>5065</v>
      </c>
      <c r="M2699">
        <v>0</v>
      </c>
      <c r="N2699">
        <v>0</v>
      </c>
      <c r="P2699">
        <v>0</v>
      </c>
    </row>
    <row r="2700" spans="1:16" x14ac:dyDescent="0.2">
      <c r="A2700" t="s">
        <v>5171</v>
      </c>
      <c r="B2700" t="s">
        <v>5876</v>
      </c>
      <c r="C2700" t="s">
        <v>4518</v>
      </c>
      <c r="D2700" t="s">
        <v>98</v>
      </c>
      <c r="E2700">
        <v>59.99</v>
      </c>
      <c r="F2700" t="s">
        <v>5817</v>
      </c>
      <c r="L2700" t="s">
        <v>5065</v>
      </c>
      <c r="M2700">
        <v>0</v>
      </c>
      <c r="N2700">
        <v>0</v>
      </c>
      <c r="P2700">
        <v>0</v>
      </c>
    </row>
    <row r="2701" spans="1:16" x14ac:dyDescent="0.2">
      <c r="A2701" t="s">
        <v>5251</v>
      </c>
      <c r="B2701" t="s">
        <v>5856</v>
      </c>
      <c r="C2701" t="s">
        <v>4518</v>
      </c>
      <c r="D2701" t="s">
        <v>98</v>
      </c>
      <c r="E2701">
        <v>89.99</v>
      </c>
      <c r="F2701" t="s">
        <v>5817</v>
      </c>
      <c r="L2701" t="s">
        <v>5065</v>
      </c>
      <c r="M2701">
        <v>0</v>
      </c>
      <c r="N2701">
        <v>0</v>
      </c>
      <c r="P2701">
        <v>0</v>
      </c>
    </row>
    <row r="2702" spans="1:16" x14ac:dyDescent="0.2">
      <c r="A2702" t="s">
        <v>5162</v>
      </c>
      <c r="B2702" t="s">
        <v>5880</v>
      </c>
      <c r="C2702" t="s">
        <v>4518</v>
      </c>
      <c r="D2702" t="s">
        <v>98</v>
      </c>
      <c r="E2702">
        <v>99.99</v>
      </c>
      <c r="F2702" t="s">
        <v>5817</v>
      </c>
      <c r="L2702" t="s">
        <v>5065</v>
      </c>
      <c r="M2702">
        <v>0</v>
      </c>
      <c r="N2702">
        <v>0</v>
      </c>
      <c r="P2702">
        <v>0</v>
      </c>
    </row>
    <row r="2703" spans="1:16" x14ac:dyDescent="0.2">
      <c r="A2703" t="s">
        <v>5231</v>
      </c>
      <c r="B2703" t="s">
        <v>5877</v>
      </c>
      <c r="C2703" t="s">
        <v>4518</v>
      </c>
      <c r="D2703" t="s">
        <v>98</v>
      </c>
      <c r="E2703">
        <v>99.99</v>
      </c>
      <c r="F2703" t="s">
        <v>5817</v>
      </c>
      <c r="L2703" t="s">
        <v>5065</v>
      </c>
      <c r="M2703">
        <v>0</v>
      </c>
      <c r="N2703">
        <v>0</v>
      </c>
      <c r="O2703">
        <v>52</v>
      </c>
      <c r="P2703">
        <v>0</v>
      </c>
    </row>
    <row r="2704" spans="1:16" x14ac:dyDescent="0.2">
      <c r="A2704" t="s">
        <v>5233</v>
      </c>
      <c r="B2704" t="s">
        <v>5851</v>
      </c>
      <c r="C2704" t="s">
        <v>4518</v>
      </c>
      <c r="D2704" t="s">
        <v>98</v>
      </c>
      <c r="E2704">
        <v>159.99</v>
      </c>
      <c r="F2704" t="s">
        <v>5817</v>
      </c>
      <c r="L2704" t="s">
        <v>5065</v>
      </c>
      <c r="M2704">
        <v>0</v>
      </c>
      <c r="N2704">
        <v>0</v>
      </c>
      <c r="P2704">
        <v>0</v>
      </c>
    </row>
    <row r="2705" spans="1:16" x14ac:dyDescent="0.2">
      <c r="A2705" t="s">
        <v>5235</v>
      </c>
      <c r="B2705" t="s">
        <v>5858</v>
      </c>
      <c r="C2705" t="s">
        <v>4518</v>
      </c>
      <c r="D2705" t="s">
        <v>98</v>
      </c>
      <c r="E2705">
        <v>89.99</v>
      </c>
      <c r="F2705" t="s">
        <v>5817</v>
      </c>
      <c r="L2705" t="s">
        <v>5065</v>
      </c>
      <c r="M2705">
        <v>0</v>
      </c>
      <c r="N2705">
        <v>0</v>
      </c>
      <c r="P2705">
        <v>0</v>
      </c>
    </row>
    <row r="2706" spans="1:16" x14ac:dyDescent="0.2">
      <c r="A2706" t="s">
        <v>5227</v>
      </c>
      <c r="B2706" t="s">
        <v>5882</v>
      </c>
      <c r="C2706" t="s">
        <v>4518</v>
      </c>
      <c r="D2706" t="s">
        <v>98</v>
      </c>
      <c r="E2706">
        <v>89.99</v>
      </c>
      <c r="F2706" t="s">
        <v>5817</v>
      </c>
      <c r="L2706" t="s">
        <v>5065</v>
      </c>
      <c r="M2706">
        <v>0</v>
      </c>
      <c r="N2706">
        <v>0</v>
      </c>
      <c r="O2706">
        <v>66</v>
      </c>
      <c r="P2706">
        <v>0</v>
      </c>
    </row>
    <row r="2707" spans="1:16" x14ac:dyDescent="0.2">
      <c r="A2707" t="s">
        <v>5221</v>
      </c>
      <c r="B2707" t="s">
        <v>5859</v>
      </c>
      <c r="C2707" t="s">
        <v>4518</v>
      </c>
      <c r="D2707" t="s">
        <v>98</v>
      </c>
      <c r="E2707">
        <v>89.99</v>
      </c>
      <c r="F2707" t="s">
        <v>5817</v>
      </c>
      <c r="L2707" t="s">
        <v>5065</v>
      </c>
      <c r="M2707">
        <v>0</v>
      </c>
      <c r="N2707">
        <v>0</v>
      </c>
      <c r="P2707">
        <v>0</v>
      </c>
    </row>
    <row r="2708" spans="1:16" x14ac:dyDescent="0.2">
      <c r="A2708" t="s">
        <v>5156</v>
      </c>
      <c r="B2708" t="s">
        <v>5879</v>
      </c>
      <c r="C2708" t="s">
        <v>4518</v>
      </c>
      <c r="D2708" t="s">
        <v>98</v>
      </c>
      <c r="E2708">
        <v>129.99</v>
      </c>
      <c r="F2708" t="s">
        <v>5817</v>
      </c>
      <c r="L2708" t="s">
        <v>5065</v>
      </c>
      <c r="M2708">
        <v>0</v>
      </c>
      <c r="N2708">
        <v>0</v>
      </c>
      <c r="P2708">
        <v>0</v>
      </c>
    </row>
    <row r="2709" spans="1:16" x14ac:dyDescent="0.2">
      <c r="A2709" t="s">
        <v>5177</v>
      </c>
      <c r="B2709" t="s">
        <v>5878</v>
      </c>
      <c r="C2709" t="s">
        <v>4518</v>
      </c>
      <c r="D2709" t="s">
        <v>98</v>
      </c>
      <c r="E2709">
        <v>159.99</v>
      </c>
      <c r="F2709" t="s">
        <v>5817</v>
      </c>
      <c r="L2709" t="s">
        <v>5065</v>
      </c>
      <c r="M2709">
        <v>0</v>
      </c>
      <c r="N2709">
        <v>0</v>
      </c>
      <c r="P2709">
        <v>0</v>
      </c>
    </row>
    <row r="2710" spans="1:16" x14ac:dyDescent="0.2">
      <c r="A2710" t="s">
        <v>5237</v>
      </c>
      <c r="B2710" t="s">
        <v>5857</v>
      </c>
      <c r="C2710" t="s">
        <v>4518</v>
      </c>
      <c r="D2710" t="s">
        <v>98</v>
      </c>
      <c r="E2710">
        <v>89.99</v>
      </c>
      <c r="F2710" t="s">
        <v>5817</v>
      </c>
      <c r="L2710" t="s">
        <v>5065</v>
      </c>
      <c r="M2710">
        <v>0</v>
      </c>
      <c r="N2710">
        <v>0</v>
      </c>
      <c r="P2710">
        <v>0</v>
      </c>
    </row>
    <row r="2711" spans="1:16" x14ac:dyDescent="0.2">
      <c r="A2711" t="s">
        <v>5225</v>
      </c>
      <c r="B2711" t="s">
        <v>5869</v>
      </c>
      <c r="C2711" t="s">
        <v>4518</v>
      </c>
      <c r="D2711" t="s">
        <v>98</v>
      </c>
      <c r="E2711">
        <v>89.99</v>
      </c>
      <c r="F2711" t="s">
        <v>5817</v>
      </c>
      <c r="L2711" t="s">
        <v>5065</v>
      </c>
      <c r="M2711">
        <v>0</v>
      </c>
      <c r="N2711">
        <v>0</v>
      </c>
      <c r="P2711">
        <v>0</v>
      </c>
    </row>
    <row r="2712" spans="1:16" x14ac:dyDescent="0.2">
      <c r="A2712" t="s">
        <v>5203</v>
      </c>
      <c r="B2712" t="s">
        <v>5865</v>
      </c>
      <c r="C2712" t="s">
        <v>4518</v>
      </c>
      <c r="D2712" t="s">
        <v>98</v>
      </c>
      <c r="E2712">
        <v>109.99</v>
      </c>
      <c r="F2712" t="s">
        <v>5817</v>
      </c>
      <c r="L2712" t="s">
        <v>5065</v>
      </c>
      <c r="M2712">
        <v>0</v>
      </c>
      <c r="N2712">
        <v>0</v>
      </c>
      <c r="P2712">
        <v>0</v>
      </c>
    </row>
    <row r="2713" spans="1:16" x14ac:dyDescent="0.2">
      <c r="A2713" t="s">
        <v>4565</v>
      </c>
      <c r="B2713" t="s">
        <v>5896</v>
      </c>
      <c r="C2713" t="s">
        <v>4518</v>
      </c>
      <c r="D2713" t="s">
        <v>138</v>
      </c>
      <c r="E2713">
        <v>159.99</v>
      </c>
      <c r="F2713" t="s">
        <v>5817</v>
      </c>
      <c r="G2713">
        <v>15</v>
      </c>
      <c r="I2713">
        <v>15</v>
      </c>
      <c r="L2713" t="s">
        <v>5065</v>
      </c>
      <c r="M2713">
        <v>0</v>
      </c>
      <c r="N2713">
        <v>0</v>
      </c>
      <c r="P2713">
        <v>0</v>
      </c>
    </row>
    <row r="2714" spans="1:16" x14ac:dyDescent="0.2">
      <c r="A2714" t="s">
        <v>5211</v>
      </c>
      <c r="B2714" t="s">
        <v>5868</v>
      </c>
      <c r="C2714" t="s">
        <v>4518</v>
      </c>
      <c r="D2714" t="s">
        <v>98</v>
      </c>
      <c r="E2714">
        <v>89.99</v>
      </c>
      <c r="F2714" t="s">
        <v>5817</v>
      </c>
      <c r="L2714" t="s">
        <v>5065</v>
      </c>
      <c r="M2714">
        <v>0</v>
      </c>
      <c r="N2714">
        <v>0</v>
      </c>
      <c r="P2714">
        <v>0</v>
      </c>
    </row>
    <row r="2715" spans="1:16" x14ac:dyDescent="0.2">
      <c r="A2715" t="s">
        <v>5191</v>
      </c>
      <c r="B2715" t="s">
        <v>5853</v>
      </c>
      <c r="C2715" t="s">
        <v>4518</v>
      </c>
      <c r="D2715" t="s">
        <v>98</v>
      </c>
      <c r="E2715">
        <v>69.989999999999995</v>
      </c>
      <c r="F2715" t="s">
        <v>5817</v>
      </c>
      <c r="L2715" t="s">
        <v>5065</v>
      </c>
      <c r="M2715">
        <v>0</v>
      </c>
      <c r="N2715">
        <v>0</v>
      </c>
      <c r="P2715">
        <v>0</v>
      </c>
    </row>
    <row r="2716" spans="1:16" x14ac:dyDescent="0.2">
      <c r="A2716" t="s">
        <v>5564</v>
      </c>
      <c r="B2716" t="s">
        <v>5887</v>
      </c>
      <c r="C2716" t="s">
        <v>4518</v>
      </c>
      <c r="D2716" t="s">
        <v>138</v>
      </c>
      <c r="E2716">
        <v>119.99</v>
      </c>
      <c r="F2716" t="s">
        <v>5817</v>
      </c>
      <c r="L2716" t="s">
        <v>5065</v>
      </c>
      <c r="M2716">
        <v>0</v>
      </c>
      <c r="N2716">
        <v>0</v>
      </c>
      <c r="O2716">
        <v>0</v>
      </c>
      <c r="P2716">
        <v>0</v>
      </c>
    </row>
    <row r="2717" spans="1:16" x14ac:dyDescent="0.2">
      <c r="A2717" t="s">
        <v>5239</v>
      </c>
      <c r="B2717" t="s">
        <v>5862</v>
      </c>
      <c r="C2717" t="s">
        <v>4518</v>
      </c>
      <c r="D2717" t="s">
        <v>98</v>
      </c>
      <c r="E2717">
        <v>89.99</v>
      </c>
      <c r="F2717" t="s">
        <v>5817</v>
      </c>
      <c r="L2717" t="s">
        <v>5065</v>
      </c>
      <c r="M2717">
        <v>0</v>
      </c>
      <c r="N2717">
        <v>0</v>
      </c>
      <c r="P2717">
        <v>0</v>
      </c>
    </row>
    <row r="2718" spans="1:16" x14ac:dyDescent="0.2">
      <c r="A2718" t="s">
        <v>5205</v>
      </c>
      <c r="B2718" t="s">
        <v>5866</v>
      </c>
      <c r="C2718" t="s">
        <v>4518</v>
      </c>
      <c r="D2718" t="s">
        <v>98</v>
      </c>
      <c r="E2718">
        <v>89.99</v>
      </c>
      <c r="F2718" t="s">
        <v>5817</v>
      </c>
      <c r="L2718" t="s">
        <v>5065</v>
      </c>
      <c r="M2718">
        <v>0</v>
      </c>
      <c r="N2718">
        <v>0</v>
      </c>
      <c r="P2718">
        <v>0</v>
      </c>
    </row>
    <row r="2719" spans="1:16" x14ac:dyDescent="0.2">
      <c r="A2719" t="s">
        <v>4555</v>
      </c>
      <c r="B2719" t="s">
        <v>5892</v>
      </c>
      <c r="C2719" t="s">
        <v>4518</v>
      </c>
      <c r="D2719" t="s">
        <v>105</v>
      </c>
      <c r="E2719">
        <v>99.99</v>
      </c>
      <c r="F2719" t="s">
        <v>5817</v>
      </c>
      <c r="G2719">
        <v>40</v>
      </c>
      <c r="I2719">
        <v>40</v>
      </c>
      <c r="L2719" t="s">
        <v>5065</v>
      </c>
      <c r="M2719">
        <v>0</v>
      </c>
      <c r="N2719">
        <v>0</v>
      </c>
      <c r="P2719">
        <v>0</v>
      </c>
    </row>
    <row r="2720" spans="1:16" x14ac:dyDescent="0.2">
      <c r="A2720" t="s">
        <v>4553</v>
      </c>
      <c r="B2720" t="s">
        <v>5893</v>
      </c>
      <c r="C2720" t="s">
        <v>4518</v>
      </c>
      <c r="D2720" t="s">
        <v>105</v>
      </c>
      <c r="E2720">
        <v>99.99</v>
      </c>
      <c r="F2720" t="s">
        <v>5817</v>
      </c>
      <c r="G2720">
        <v>145</v>
      </c>
      <c r="H2720" t="s">
        <v>5835</v>
      </c>
      <c r="I2720">
        <v>140</v>
      </c>
      <c r="L2720" t="s">
        <v>5065</v>
      </c>
      <c r="M2720">
        <v>1.4</v>
      </c>
      <c r="N2720">
        <v>20.714285714285715</v>
      </c>
      <c r="O2720">
        <v>1.0909090909090908</v>
      </c>
      <c r="P2720">
        <v>29</v>
      </c>
    </row>
    <row r="2721" spans="1:16" x14ac:dyDescent="0.2">
      <c r="A2721" t="s">
        <v>5207</v>
      </c>
      <c r="B2721" t="s">
        <v>5867</v>
      </c>
      <c r="C2721" t="s">
        <v>4518</v>
      </c>
      <c r="D2721" t="s">
        <v>98</v>
      </c>
      <c r="E2721">
        <v>89.99</v>
      </c>
      <c r="F2721" t="s">
        <v>5817</v>
      </c>
      <c r="L2721" t="s">
        <v>5065</v>
      </c>
      <c r="M2721">
        <v>0</v>
      </c>
      <c r="N2721">
        <v>0</v>
      </c>
      <c r="P2721">
        <v>0</v>
      </c>
    </row>
    <row r="2722" spans="1:16" x14ac:dyDescent="0.2">
      <c r="A2722" t="s">
        <v>5560</v>
      </c>
      <c r="B2722" t="s">
        <v>5904</v>
      </c>
      <c r="C2722" t="s">
        <v>4518</v>
      </c>
      <c r="D2722" t="s">
        <v>98</v>
      </c>
      <c r="E2722">
        <v>119.99</v>
      </c>
      <c r="F2722" t="s">
        <v>5817</v>
      </c>
      <c r="L2722" t="s">
        <v>5065</v>
      </c>
      <c r="M2722">
        <v>0</v>
      </c>
      <c r="N2722">
        <v>0</v>
      </c>
      <c r="P2722">
        <v>0</v>
      </c>
    </row>
    <row r="2723" spans="1:16" x14ac:dyDescent="0.2">
      <c r="A2723" t="s">
        <v>5247</v>
      </c>
      <c r="B2723" t="s">
        <v>5855</v>
      </c>
      <c r="C2723" t="s">
        <v>4518</v>
      </c>
      <c r="D2723" t="s">
        <v>98</v>
      </c>
      <c r="E2723">
        <v>89.99</v>
      </c>
      <c r="F2723" t="s">
        <v>5817</v>
      </c>
      <c r="L2723" t="s">
        <v>5065</v>
      </c>
      <c r="M2723">
        <v>0</v>
      </c>
      <c r="N2723">
        <v>0</v>
      </c>
      <c r="P2723">
        <v>0</v>
      </c>
    </row>
    <row r="2724" spans="1:16" x14ac:dyDescent="0.2">
      <c r="A2724" t="s">
        <v>4589</v>
      </c>
      <c r="B2724" t="s">
        <v>5897</v>
      </c>
      <c r="C2724" t="s">
        <v>4518</v>
      </c>
      <c r="D2724" t="s">
        <v>98</v>
      </c>
      <c r="E2724">
        <v>119.99</v>
      </c>
      <c r="F2724" t="s">
        <v>5817</v>
      </c>
      <c r="L2724" t="s">
        <v>5065</v>
      </c>
      <c r="M2724">
        <v>0</v>
      </c>
      <c r="N2724">
        <v>0</v>
      </c>
      <c r="O2724">
        <v>3</v>
      </c>
      <c r="P2724">
        <v>0</v>
      </c>
    </row>
    <row r="2725" spans="1:16" x14ac:dyDescent="0.2">
      <c r="A2725" t="s">
        <v>5536</v>
      </c>
      <c r="B2725" t="s">
        <v>5899</v>
      </c>
      <c r="C2725" t="s">
        <v>4518</v>
      </c>
      <c r="D2725" t="s">
        <v>98</v>
      </c>
      <c r="E2725">
        <v>99.99</v>
      </c>
      <c r="F2725" t="s">
        <v>5817</v>
      </c>
      <c r="L2725" t="s">
        <v>5065</v>
      </c>
      <c r="M2725">
        <v>0</v>
      </c>
      <c r="N2725">
        <v>0</v>
      </c>
      <c r="P2725">
        <v>0</v>
      </c>
    </row>
    <row r="2726" spans="1:16" x14ac:dyDescent="0.2">
      <c r="A2726" t="s">
        <v>5538</v>
      </c>
      <c r="B2726" t="s">
        <v>5902</v>
      </c>
      <c r="C2726" t="s">
        <v>4518</v>
      </c>
      <c r="D2726" t="s">
        <v>98</v>
      </c>
      <c r="E2726">
        <v>99.99</v>
      </c>
      <c r="F2726" t="s">
        <v>5817</v>
      </c>
      <c r="L2726" t="s">
        <v>5065</v>
      </c>
      <c r="M2726">
        <v>0</v>
      </c>
      <c r="N2726">
        <v>0</v>
      </c>
      <c r="P2726">
        <v>0</v>
      </c>
    </row>
    <row r="2727" spans="1:16" x14ac:dyDescent="0.2">
      <c r="A2727" t="s">
        <v>4593</v>
      </c>
      <c r="B2727" t="s">
        <v>5884</v>
      </c>
      <c r="C2727" t="s">
        <v>4518</v>
      </c>
      <c r="D2727" t="s">
        <v>105</v>
      </c>
      <c r="E2727">
        <v>179.99</v>
      </c>
      <c r="F2727" t="s">
        <v>5817</v>
      </c>
      <c r="G2727">
        <v>27</v>
      </c>
      <c r="I2727">
        <v>27</v>
      </c>
      <c r="L2727" t="s">
        <v>5065</v>
      </c>
      <c r="M2727">
        <v>0</v>
      </c>
      <c r="N2727">
        <v>0</v>
      </c>
      <c r="P2727">
        <v>0</v>
      </c>
    </row>
    <row r="2728" spans="1:16" x14ac:dyDescent="0.2">
      <c r="A2728" t="s">
        <v>5132</v>
      </c>
      <c r="B2728" t="s">
        <v>5870</v>
      </c>
      <c r="C2728" t="s">
        <v>4518</v>
      </c>
      <c r="D2728" t="s">
        <v>98</v>
      </c>
      <c r="E2728">
        <v>49.99</v>
      </c>
      <c r="F2728" t="s">
        <v>5817</v>
      </c>
      <c r="L2728" t="s">
        <v>5065</v>
      </c>
      <c r="M2728">
        <v>0</v>
      </c>
      <c r="N2728">
        <v>0</v>
      </c>
      <c r="O2728">
        <v>0</v>
      </c>
      <c r="P2728">
        <v>0</v>
      </c>
    </row>
    <row r="2729" spans="1:16" x14ac:dyDescent="0.2">
      <c r="A2729" t="s">
        <v>4591</v>
      </c>
      <c r="B2729" t="s">
        <v>5885</v>
      </c>
      <c r="C2729" t="s">
        <v>4518</v>
      </c>
      <c r="D2729" t="s">
        <v>138</v>
      </c>
      <c r="E2729">
        <v>99.99</v>
      </c>
      <c r="F2729" t="s">
        <v>5817</v>
      </c>
      <c r="G2729">
        <v>19</v>
      </c>
      <c r="I2729">
        <v>19</v>
      </c>
      <c r="L2729" t="s">
        <v>5065</v>
      </c>
      <c r="M2729">
        <v>0</v>
      </c>
      <c r="N2729">
        <v>0</v>
      </c>
      <c r="P2729">
        <v>0</v>
      </c>
    </row>
    <row r="2730" spans="1:16" x14ac:dyDescent="0.2">
      <c r="A2730" t="s">
        <v>5142</v>
      </c>
      <c r="B2730" t="s">
        <v>5872</v>
      </c>
      <c r="C2730" t="s">
        <v>4518</v>
      </c>
      <c r="D2730" t="s">
        <v>98</v>
      </c>
      <c r="E2730">
        <v>109.99</v>
      </c>
      <c r="F2730" t="s">
        <v>5817</v>
      </c>
      <c r="J2730">
        <v>2</v>
      </c>
      <c r="L2730" t="s">
        <v>5065</v>
      </c>
      <c r="M2730">
        <v>0</v>
      </c>
      <c r="N2730">
        <v>0</v>
      </c>
      <c r="P2730">
        <v>0</v>
      </c>
    </row>
    <row r="2731" spans="1:16" x14ac:dyDescent="0.2">
      <c r="A2731" t="s">
        <v>5578</v>
      </c>
      <c r="B2731" t="s">
        <v>5890</v>
      </c>
      <c r="C2731" t="s">
        <v>4518</v>
      </c>
      <c r="D2731" t="s">
        <v>98</v>
      </c>
      <c r="E2731">
        <v>139.99</v>
      </c>
      <c r="F2731" t="s">
        <v>5817</v>
      </c>
      <c r="L2731" t="s">
        <v>5065</v>
      </c>
      <c r="M2731">
        <v>0</v>
      </c>
      <c r="N2731">
        <v>0</v>
      </c>
      <c r="P2731">
        <v>0</v>
      </c>
    </row>
    <row r="2732" spans="1:16" x14ac:dyDescent="0.2">
      <c r="A2732" t="s">
        <v>4521</v>
      </c>
      <c r="B2732" t="s">
        <v>5874</v>
      </c>
      <c r="C2732" t="s">
        <v>4518</v>
      </c>
      <c r="D2732" t="s">
        <v>105</v>
      </c>
      <c r="E2732">
        <v>89.99</v>
      </c>
      <c r="F2732" t="s">
        <v>5817</v>
      </c>
      <c r="G2732">
        <v>774</v>
      </c>
      <c r="H2732" t="s">
        <v>5875</v>
      </c>
      <c r="I2732">
        <v>664</v>
      </c>
      <c r="K2732">
        <v>36</v>
      </c>
      <c r="L2732" t="s">
        <v>5065</v>
      </c>
      <c r="M2732">
        <v>41.4</v>
      </c>
      <c r="N2732">
        <v>4.2270531400966185</v>
      </c>
      <c r="O2732">
        <v>40.545454545454547</v>
      </c>
      <c r="P2732">
        <v>175</v>
      </c>
    </row>
    <row r="2733" spans="1:16" x14ac:dyDescent="0.2">
      <c r="A2733" t="s">
        <v>4579</v>
      </c>
      <c r="B2733" t="s">
        <v>5891</v>
      </c>
      <c r="C2733" t="s">
        <v>4518</v>
      </c>
      <c r="D2733" t="s">
        <v>105</v>
      </c>
      <c r="E2733">
        <v>139.99</v>
      </c>
      <c r="F2733" t="s">
        <v>5817</v>
      </c>
      <c r="G2733">
        <v>22</v>
      </c>
      <c r="I2733">
        <v>22</v>
      </c>
      <c r="L2733" t="s">
        <v>5065</v>
      </c>
      <c r="M2733">
        <v>1.75</v>
      </c>
      <c r="N2733">
        <v>18.285714285714285</v>
      </c>
      <c r="O2733">
        <v>1.1818181818181817</v>
      </c>
      <c r="P2733">
        <v>32</v>
      </c>
    </row>
    <row r="2734" spans="1:16" x14ac:dyDescent="0.2">
      <c r="A2734" t="s">
        <v>5243</v>
      </c>
      <c r="B2734" t="s">
        <v>5854</v>
      </c>
      <c r="C2734" t="s">
        <v>4518</v>
      </c>
      <c r="D2734" t="s">
        <v>98</v>
      </c>
      <c r="E2734">
        <v>89.99</v>
      </c>
      <c r="F2734" t="s">
        <v>5817</v>
      </c>
      <c r="L2734" t="s">
        <v>5065</v>
      </c>
      <c r="M2734">
        <v>0</v>
      </c>
      <c r="N2734">
        <v>0</v>
      </c>
      <c r="P2734">
        <v>0</v>
      </c>
    </row>
    <row r="2735" spans="1:16" x14ac:dyDescent="0.2">
      <c r="A2735" t="s">
        <v>4583</v>
      </c>
      <c r="B2735" t="s">
        <v>5900</v>
      </c>
      <c r="C2735" t="s">
        <v>4518</v>
      </c>
      <c r="D2735" t="s">
        <v>138</v>
      </c>
      <c r="E2735">
        <v>249.99</v>
      </c>
      <c r="F2735" t="s">
        <v>5817</v>
      </c>
      <c r="G2735">
        <v>9</v>
      </c>
      <c r="I2735">
        <v>9</v>
      </c>
      <c r="L2735" t="s">
        <v>5065</v>
      </c>
      <c r="M2735">
        <v>0</v>
      </c>
      <c r="N2735">
        <v>0</v>
      </c>
      <c r="P2735">
        <v>0</v>
      </c>
    </row>
    <row r="2736" spans="1:16" x14ac:dyDescent="0.2">
      <c r="A2736" t="s">
        <v>5548</v>
      </c>
      <c r="B2736" t="s">
        <v>5898</v>
      </c>
      <c r="C2736" t="s">
        <v>4518</v>
      </c>
      <c r="D2736" t="s">
        <v>138</v>
      </c>
      <c r="E2736">
        <v>249.99</v>
      </c>
      <c r="F2736" t="s">
        <v>5817</v>
      </c>
      <c r="G2736">
        <v>3</v>
      </c>
      <c r="I2736">
        <v>3</v>
      </c>
      <c r="L2736" t="s">
        <v>5065</v>
      </c>
      <c r="M2736">
        <v>0</v>
      </c>
      <c r="N2736">
        <v>0</v>
      </c>
      <c r="P2736">
        <v>0</v>
      </c>
    </row>
    <row r="2737" spans="1:16" x14ac:dyDescent="0.2">
      <c r="A2737" t="s">
        <v>4535</v>
      </c>
      <c r="B2737" t="s">
        <v>5873</v>
      </c>
      <c r="C2737" t="s">
        <v>4518</v>
      </c>
      <c r="D2737" t="s">
        <v>105</v>
      </c>
      <c r="E2737">
        <v>69.989999999999995</v>
      </c>
      <c r="F2737" t="s">
        <v>5817</v>
      </c>
      <c r="J2737">
        <v>423</v>
      </c>
      <c r="L2737" t="s">
        <v>5065</v>
      </c>
      <c r="M2737">
        <v>70</v>
      </c>
      <c r="N2737">
        <v>7.7142857142857144</v>
      </c>
      <c r="O2737">
        <v>60.18181818181818</v>
      </c>
      <c r="P2737">
        <v>540</v>
      </c>
    </row>
    <row r="2738" spans="1:16" x14ac:dyDescent="0.2">
      <c r="A2738" t="s">
        <v>5572</v>
      </c>
      <c r="B2738" t="s">
        <v>5903</v>
      </c>
      <c r="C2738" t="s">
        <v>4518</v>
      </c>
      <c r="D2738" t="s">
        <v>98</v>
      </c>
      <c r="E2738">
        <v>79.989999999999995</v>
      </c>
      <c r="F2738" t="s">
        <v>5817</v>
      </c>
      <c r="L2738" t="s">
        <v>5065</v>
      </c>
      <c r="M2738">
        <v>0</v>
      </c>
      <c r="N2738">
        <v>0</v>
      </c>
      <c r="P2738">
        <v>0</v>
      </c>
    </row>
    <row r="2739" spans="1:16" x14ac:dyDescent="0.2">
      <c r="A2739" t="s">
        <v>5243</v>
      </c>
      <c r="B2739" t="s">
        <v>5854</v>
      </c>
      <c r="C2739" t="s">
        <v>4518</v>
      </c>
      <c r="D2739" t="s">
        <v>98</v>
      </c>
      <c r="E2739">
        <v>89.99</v>
      </c>
      <c r="F2739" t="s">
        <v>5817</v>
      </c>
      <c r="L2739" t="s">
        <v>8</v>
      </c>
      <c r="M2739">
        <v>0</v>
      </c>
      <c r="N2739">
        <v>0</v>
      </c>
      <c r="O2739">
        <v>0</v>
      </c>
      <c r="P2739">
        <v>0</v>
      </c>
    </row>
    <row r="2740" spans="1:16" x14ac:dyDescent="0.2">
      <c r="A2740" t="s">
        <v>4591</v>
      </c>
      <c r="B2740" t="s">
        <v>5885</v>
      </c>
      <c r="C2740" t="s">
        <v>4518</v>
      </c>
      <c r="D2740" t="s">
        <v>138</v>
      </c>
      <c r="E2740">
        <v>99.99</v>
      </c>
      <c r="F2740" t="s">
        <v>5817</v>
      </c>
      <c r="G2740">
        <v>19</v>
      </c>
      <c r="I2740">
        <v>19</v>
      </c>
      <c r="L2740" t="s">
        <v>8</v>
      </c>
      <c r="M2740">
        <v>1.5</v>
      </c>
      <c r="N2740">
        <v>45.333333333333336</v>
      </c>
      <c r="O2740">
        <v>0.5</v>
      </c>
      <c r="P2740">
        <v>68</v>
      </c>
    </row>
    <row r="2741" spans="1:16" x14ac:dyDescent="0.2">
      <c r="A2741" t="s">
        <v>5572</v>
      </c>
      <c r="B2741" t="s">
        <v>5903</v>
      </c>
      <c r="C2741" t="s">
        <v>4518</v>
      </c>
      <c r="D2741" t="s">
        <v>98</v>
      </c>
      <c r="E2741">
        <v>79.989999999999995</v>
      </c>
      <c r="F2741" t="s">
        <v>5817</v>
      </c>
      <c r="L2741" t="s">
        <v>8</v>
      </c>
      <c r="M2741">
        <v>0</v>
      </c>
      <c r="N2741">
        <v>0</v>
      </c>
      <c r="O2741">
        <v>0</v>
      </c>
      <c r="P2741">
        <v>0</v>
      </c>
    </row>
    <row r="2742" spans="1:16" x14ac:dyDescent="0.2">
      <c r="A2742" t="s">
        <v>5239</v>
      </c>
      <c r="B2742" t="s">
        <v>5862</v>
      </c>
      <c r="C2742" t="s">
        <v>4518</v>
      </c>
      <c r="D2742" t="s">
        <v>98</v>
      </c>
      <c r="E2742">
        <v>89.99</v>
      </c>
      <c r="F2742" t="s">
        <v>5817</v>
      </c>
      <c r="L2742" t="s">
        <v>8</v>
      </c>
      <c r="M2742">
        <v>0</v>
      </c>
      <c r="N2742">
        <v>0</v>
      </c>
      <c r="O2742">
        <v>0</v>
      </c>
      <c r="P2742">
        <v>0</v>
      </c>
    </row>
    <row r="2743" spans="1:16" x14ac:dyDescent="0.2">
      <c r="A2743" t="s">
        <v>5548</v>
      </c>
      <c r="B2743" t="s">
        <v>5898</v>
      </c>
      <c r="C2743" t="s">
        <v>4518</v>
      </c>
      <c r="D2743" t="s">
        <v>138</v>
      </c>
      <c r="E2743">
        <v>249.99</v>
      </c>
      <c r="F2743" t="s">
        <v>5817</v>
      </c>
      <c r="G2743">
        <v>3</v>
      </c>
      <c r="I2743">
        <v>3</v>
      </c>
      <c r="L2743" t="s">
        <v>8</v>
      </c>
      <c r="M2743">
        <v>0</v>
      </c>
      <c r="N2743">
        <v>0</v>
      </c>
      <c r="O2743">
        <v>0</v>
      </c>
      <c r="P2743">
        <v>0</v>
      </c>
    </row>
    <row r="2744" spans="1:16" x14ac:dyDescent="0.2">
      <c r="A2744" t="s">
        <v>5237</v>
      </c>
      <c r="B2744" t="s">
        <v>5857</v>
      </c>
      <c r="C2744" t="s">
        <v>4518</v>
      </c>
      <c r="D2744" t="s">
        <v>98</v>
      </c>
      <c r="E2744">
        <v>89.99</v>
      </c>
      <c r="F2744" t="s">
        <v>5817</v>
      </c>
      <c r="L2744" t="s">
        <v>8</v>
      </c>
      <c r="M2744">
        <v>0</v>
      </c>
      <c r="N2744">
        <v>0</v>
      </c>
      <c r="O2744">
        <v>0</v>
      </c>
      <c r="P2744">
        <v>0</v>
      </c>
    </row>
    <row r="2745" spans="1:16" x14ac:dyDescent="0.2">
      <c r="A2745" t="s">
        <v>5538</v>
      </c>
      <c r="B2745" t="s">
        <v>5902</v>
      </c>
      <c r="C2745" t="s">
        <v>4518</v>
      </c>
      <c r="D2745" t="s">
        <v>98</v>
      </c>
      <c r="E2745">
        <v>99.99</v>
      </c>
      <c r="F2745" t="s">
        <v>5817</v>
      </c>
      <c r="L2745" t="s">
        <v>8</v>
      </c>
      <c r="M2745">
        <v>0</v>
      </c>
      <c r="N2745">
        <v>0</v>
      </c>
      <c r="O2745">
        <v>0</v>
      </c>
      <c r="P2745">
        <v>0</v>
      </c>
    </row>
    <row r="2746" spans="1:16" x14ac:dyDescent="0.2">
      <c r="A2746" t="s">
        <v>4589</v>
      </c>
      <c r="B2746" t="s">
        <v>5897</v>
      </c>
      <c r="C2746" t="s">
        <v>4518</v>
      </c>
      <c r="D2746" t="s">
        <v>98</v>
      </c>
      <c r="E2746">
        <v>119.99</v>
      </c>
      <c r="F2746" t="s">
        <v>5817</v>
      </c>
      <c r="L2746" t="s">
        <v>8</v>
      </c>
      <c r="M2746">
        <v>0</v>
      </c>
      <c r="N2746">
        <v>0</v>
      </c>
      <c r="O2746">
        <v>0</v>
      </c>
      <c r="P2746">
        <v>0</v>
      </c>
    </row>
    <row r="2747" spans="1:16" x14ac:dyDescent="0.2">
      <c r="A2747" t="s">
        <v>5235</v>
      </c>
      <c r="B2747" t="s">
        <v>5858</v>
      </c>
      <c r="C2747" t="s">
        <v>4518</v>
      </c>
      <c r="D2747" t="s">
        <v>98</v>
      </c>
      <c r="E2747">
        <v>89.99</v>
      </c>
      <c r="F2747" t="s">
        <v>5817</v>
      </c>
      <c r="L2747" t="s">
        <v>8</v>
      </c>
      <c r="M2747">
        <v>0</v>
      </c>
      <c r="N2747">
        <v>0</v>
      </c>
      <c r="O2747">
        <v>0</v>
      </c>
      <c r="P2747">
        <v>0</v>
      </c>
    </row>
    <row r="2748" spans="1:16" x14ac:dyDescent="0.2">
      <c r="A2748" t="s">
        <v>5536</v>
      </c>
      <c r="B2748" t="s">
        <v>5899</v>
      </c>
      <c r="C2748" t="s">
        <v>4518</v>
      </c>
      <c r="D2748" t="s">
        <v>98</v>
      </c>
      <c r="E2748">
        <v>99.99</v>
      </c>
      <c r="F2748" t="s">
        <v>5817</v>
      </c>
      <c r="L2748" t="s">
        <v>8</v>
      </c>
      <c r="M2748">
        <v>0</v>
      </c>
      <c r="N2748">
        <v>0</v>
      </c>
      <c r="O2748">
        <v>0</v>
      </c>
      <c r="P2748">
        <v>0</v>
      </c>
    </row>
    <row r="2749" spans="1:16" x14ac:dyDescent="0.2">
      <c r="A2749" t="s">
        <v>5253</v>
      </c>
      <c r="B2749" t="s">
        <v>5861</v>
      </c>
      <c r="C2749" t="s">
        <v>4518</v>
      </c>
      <c r="D2749" t="s">
        <v>98</v>
      </c>
      <c r="E2749">
        <v>89.99</v>
      </c>
      <c r="F2749" t="s">
        <v>5817</v>
      </c>
      <c r="L2749" t="s">
        <v>8</v>
      </c>
      <c r="M2749">
        <v>0</v>
      </c>
      <c r="N2749">
        <v>0</v>
      </c>
      <c r="O2749">
        <v>0</v>
      </c>
      <c r="P2749">
        <v>0</v>
      </c>
    </row>
    <row r="2750" spans="1:16" x14ac:dyDescent="0.2">
      <c r="A2750" t="s">
        <v>5247</v>
      </c>
      <c r="B2750" t="s">
        <v>5855</v>
      </c>
      <c r="C2750" t="s">
        <v>4518</v>
      </c>
      <c r="D2750" t="s">
        <v>98</v>
      </c>
      <c r="E2750">
        <v>89.99</v>
      </c>
      <c r="F2750" t="s">
        <v>5817</v>
      </c>
      <c r="L2750" t="s">
        <v>8</v>
      </c>
      <c r="M2750">
        <v>0</v>
      </c>
      <c r="N2750">
        <v>0</v>
      </c>
      <c r="O2750">
        <v>0</v>
      </c>
      <c r="P2750">
        <v>0</v>
      </c>
    </row>
    <row r="2751" spans="1:16" x14ac:dyDescent="0.2">
      <c r="A2751" t="s">
        <v>5211</v>
      </c>
      <c r="B2751" t="s">
        <v>5868</v>
      </c>
      <c r="C2751" t="s">
        <v>4518</v>
      </c>
      <c r="D2751" t="s">
        <v>98</v>
      </c>
      <c r="E2751">
        <v>89.99</v>
      </c>
      <c r="F2751" t="s">
        <v>5817</v>
      </c>
      <c r="L2751" t="s">
        <v>8</v>
      </c>
      <c r="M2751">
        <v>0</v>
      </c>
      <c r="N2751">
        <v>0</v>
      </c>
      <c r="O2751">
        <v>0</v>
      </c>
      <c r="P2751">
        <v>0</v>
      </c>
    </row>
    <row r="2752" spans="1:16" x14ac:dyDescent="0.2">
      <c r="A2752" t="s">
        <v>5560</v>
      </c>
      <c r="B2752" t="s">
        <v>5904</v>
      </c>
      <c r="C2752" t="s">
        <v>4518</v>
      </c>
      <c r="D2752" t="s">
        <v>98</v>
      </c>
      <c r="E2752">
        <v>119.99</v>
      </c>
      <c r="F2752" t="s">
        <v>5817</v>
      </c>
      <c r="L2752" t="s">
        <v>8</v>
      </c>
      <c r="M2752">
        <v>0</v>
      </c>
      <c r="N2752">
        <v>0</v>
      </c>
      <c r="O2752">
        <v>0</v>
      </c>
      <c r="P2752">
        <v>0</v>
      </c>
    </row>
    <row r="2753" spans="1:16" x14ac:dyDescent="0.2">
      <c r="A2753" t="s">
        <v>5251</v>
      </c>
      <c r="B2753" t="s">
        <v>5856</v>
      </c>
      <c r="C2753" t="s">
        <v>4518</v>
      </c>
      <c r="D2753" t="s">
        <v>98</v>
      </c>
      <c r="E2753">
        <v>89.99</v>
      </c>
      <c r="F2753" t="s">
        <v>5817</v>
      </c>
      <c r="L2753" t="s">
        <v>8</v>
      </c>
      <c r="M2753">
        <v>0</v>
      </c>
      <c r="N2753">
        <v>0</v>
      </c>
      <c r="O2753">
        <v>0</v>
      </c>
      <c r="P2753">
        <v>0</v>
      </c>
    </row>
    <row r="2754" spans="1:16" x14ac:dyDescent="0.2">
      <c r="A2754" t="s">
        <v>4583</v>
      </c>
      <c r="B2754" t="s">
        <v>5900</v>
      </c>
      <c r="C2754" t="s">
        <v>4518</v>
      </c>
      <c r="D2754" t="s">
        <v>138</v>
      </c>
      <c r="E2754">
        <v>249.99</v>
      </c>
      <c r="F2754" t="s">
        <v>5817</v>
      </c>
      <c r="G2754">
        <v>9</v>
      </c>
      <c r="I2754">
        <v>9</v>
      </c>
      <c r="L2754" t="s">
        <v>8</v>
      </c>
      <c r="M2754">
        <v>0</v>
      </c>
      <c r="N2754">
        <v>0</v>
      </c>
      <c r="O2754">
        <v>0</v>
      </c>
      <c r="P2754">
        <v>0</v>
      </c>
    </row>
    <row r="2755" spans="1:16" x14ac:dyDescent="0.2">
      <c r="A2755" t="s">
        <v>4555</v>
      </c>
      <c r="B2755" t="s">
        <v>5892</v>
      </c>
      <c r="C2755" t="s">
        <v>4518</v>
      </c>
      <c r="D2755" t="s">
        <v>105</v>
      </c>
      <c r="E2755">
        <v>99.99</v>
      </c>
      <c r="F2755" t="s">
        <v>5817</v>
      </c>
      <c r="G2755">
        <v>40</v>
      </c>
      <c r="I2755">
        <v>40</v>
      </c>
      <c r="L2755" t="s">
        <v>8</v>
      </c>
      <c r="M2755">
        <v>0</v>
      </c>
      <c r="N2755">
        <v>0</v>
      </c>
      <c r="O2755">
        <v>0</v>
      </c>
      <c r="P2755">
        <v>0</v>
      </c>
    </row>
    <row r="2756" spans="1:16" x14ac:dyDescent="0.2">
      <c r="A2756" t="s">
        <v>4553</v>
      </c>
      <c r="B2756" t="s">
        <v>5893</v>
      </c>
      <c r="C2756" t="s">
        <v>4518</v>
      </c>
      <c r="D2756" t="s">
        <v>105</v>
      </c>
      <c r="E2756">
        <v>99.99</v>
      </c>
      <c r="F2756" t="s">
        <v>5817</v>
      </c>
      <c r="G2756">
        <v>145</v>
      </c>
      <c r="H2756" t="s">
        <v>5835</v>
      </c>
      <c r="I2756">
        <v>140</v>
      </c>
      <c r="L2756" t="s">
        <v>8</v>
      </c>
      <c r="M2756">
        <v>0</v>
      </c>
      <c r="N2756">
        <v>0</v>
      </c>
      <c r="O2756">
        <v>0</v>
      </c>
      <c r="P2756">
        <v>0</v>
      </c>
    </row>
    <row r="2757" spans="1:16" x14ac:dyDescent="0.2">
      <c r="A2757" t="s">
        <v>5564</v>
      </c>
      <c r="B2757" t="s">
        <v>5887</v>
      </c>
      <c r="C2757" t="s">
        <v>4518</v>
      </c>
      <c r="D2757" t="s">
        <v>138</v>
      </c>
      <c r="E2757">
        <v>119.99</v>
      </c>
      <c r="F2757" t="s">
        <v>5817</v>
      </c>
      <c r="L2757" t="s">
        <v>8</v>
      </c>
      <c r="M2757">
        <v>0</v>
      </c>
      <c r="N2757">
        <v>0</v>
      </c>
      <c r="O2757">
        <v>0</v>
      </c>
      <c r="P2757">
        <v>0</v>
      </c>
    </row>
    <row r="2758" spans="1:16" x14ac:dyDescent="0.2">
      <c r="A2758" t="s">
        <v>4565</v>
      </c>
      <c r="B2758" t="s">
        <v>5896</v>
      </c>
      <c r="C2758" t="s">
        <v>4518</v>
      </c>
      <c r="D2758" t="s">
        <v>138</v>
      </c>
      <c r="E2758">
        <v>159.99</v>
      </c>
      <c r="F2758" t="s">
        <v>5817</v>
      </c>
      <c r="G2758">
        <v>15</v>
      </c>
      <c r="I2758">
        <v>15</v>
      </c>
      <c r="L2758" t="s">
        <v>8</v>
      </c>
      <c r="M2758">
        <v>0</v>
      </c>
      <c r="N2758">
        <v>0</v>
      </c>
      <c r="O2758">
        <v>0</v>
      </c>
      <c r="P2758">
        <v>0</v>
      </c>
    </row>
    <row r="2759" spans="1:16" x14ac:dyDescent="0.2">
      <c r="A2759" t="s">
        <v>5568</v>
      </c>
      <c r="B2759" t="s">
        <v>5888</v>
      </c>
      <c r="C2759" t="s">
        <v>4518</v>
      </c>
      <c r="D2759" t="s">
        <v>138</v>
      </c>
      <c r="E2759">
        <v>169.99</v>
      </c>
      <c r="F2759" t="s">
        <v>5817</v>
      </c>
      <c r="J2759">
        <v>1</v>
      </c>
      <c r="L2759" t="s">
        <v>8</v>
      </c>
      <c r="M2759">
        <v>2</v>
      </c>
      <c r="N2759">
        <v>19.5</v>
      </c>
      <c r="O2759">
        <v>1.1666666666666667</v>
      </c>
      <c r="P2759">
        <v>39</v>
      </c>
    </row>
    <row r="2760" spans="1:16" x14ac:dyDescent="0.2">
      <c r="A2760" t="s">
        <v>4595</v>
      </c>
      <c r="B2760" t="s">
        <v>5883</v>
      </c>
      <c r="C2760" t="s">
        <v>4518</v>
      </c>
      <c r="D2760" t="s">
        <v>98</v>
      </c>
      <c r="E2760">
        <v>179.99</v>
      </c>
      <c r="F2760" t="s">
        <v>5817</v>
      </c>
      <c r="L2760" t="s">
        <v>8</v>
      </c>
      <c r="M2760">
        <v>0</v>
      </c>
      <c r="N2760">
        <v>0</v>
      </c>
      <c r="O2760">
        <v>0</v>
      </c>
      <c r="P2760">
        <v>0</v>
      </c>
    </row>
    <row r="2761" spans="1:16" x14ac:dyDescent="0.2">
      <c r="A2761" t="s">
        <v>5205</v>
      </c>
      <c r="B2761" t="s">
        <v>5866</v>
      </c>
      <c r="C2761" t="s">
        <v>4518</v>
      </c>
      <c r="D2761" t="s">
        <v>98</v>
      </c>
      <c r="E2761">
        <v>89.99</v>
      </c>
      <c r="F2761" t="s">
        <v>5817</v>
      </c>
      <c r="L2761" t="s">
        <v>8</v>
      </c>
      <c r="M2761">
        <v>0</v>
      </c>
      <c r="N2761">
        <v>0</v>
      </c>
      <c r="O2761">
        <v>0</v>
      </c>
      <c r="P2761">
        <v>0</v>
      </c>
    </row>
    <row r="2762" spans="1:16" x14ac:dyDescent="0.2">
      <c r="A2762" t="s">
        <v>4593</v>
      </c>
      <c r="B2762" t="s">
        <v>5884</v>
      </c>
      <c r="C2762" t="s">
        <v>4518</v>
      </c>
      <c r="D2762" t="s">
        <v>105</v>
      </c>
      <c r="E2762">
        <v>179.99</v>
      </c>
      <c r="F2762" t="s">
        <v>5817</v>
      </c>
      <c r="G2762">
        <v>27</v>
      </c>
      <c r="I2762">
        <v>27</v>
      </c>
      <c r="L2762" t="s">
        <v>8</v>
      </c>
      <c r="M2762">
        <v>1</v>
      </c>
      <c r="N2762">
        <v>74</v>
      </c>
      <c r="O2762">
        <v>0.25</v>
      </c>
      <c r="P2762">
        <v>74</v>
      </c>
    </row>
    <row r="2763" spans="1:16" x14ac:dyDescent="0.2">
      <c r="A2763" t="s">
        <v>5578</v>
      </c>
      <c r="B2763" t="s">
        <v>5890</v>
      </c>
      <c r="C2763" t="s">
        <v>4518</v>
      </c>
      <c r="D2763" t="s">
        <v>98</v>
      </c>
      <c r="E2763">
        <v>139.99</v>
      </c>
      <c r="F2763" t="s">
        <v>5817</v>
      </c>
      <c r="L2763" t="s">
        <v>8</v>
      </c>
      <c r="M2763">
        <v>0</v>
      </c>
      <c r="N2763">
        <v>0</v>
      </c>
      <c r="O2763">
        <v>0</v>
      </c>
      <c r="P2763">
        <v>0</v>
      </c>
    </row>
    <row r="2764" spans="1:16" x14ac:dyDescent="0.2">
      <c r="A2764" t="s">
        <v>5207</v>
      </c>
      <c r="B2764" t="s">
        <v>5867</v>
      </c>
      <c r="C2764" t="s">
        <v>4518</v>
      </c>
      <c r="D2764" t="s">
        <v>98</v>
      </c>
      <c r="E2764">
        <v>89.99</v>
      </c>
      <c r="F2764" t="s">
        <v>5817</v>
      </c>
      <c r="L2764" t="s">
        <v>8</v>
      </c>
      <c r="M2764">
        <v>0</v>
      </c>
      <c r="N2764">
        <v>0</v>
      </c>
      <c r="O2764">
        <v>0</v>
      </c>
      <c r="P2764">
        <v>0</v>
      </c>
    </row>
    <row r="2765" spans="1:16" x14ac:dyDescent="0.2">
      <c r="A2765" t="s">
        <v>5203</v>
      </c>
      <c r="B2765" t="s">
        <v>5865</v>
      </c>
      <c r="C2765" t="s">
        <v>4518</v>
      </c>
      <c r="D2765" t="s">
        <v>98</v>
      </c>
      <c r="E2765">
        <v>109.99</v>
      </c>
      <c r="F2765" t="s">
        <v>5817</v>
      </c>
      <c r="L2765" t="s">
        <v>8</v>
      </c>
      <c r="M2765">
        <v>0</v>
      </c>
      <c r="N2765">
        <v>0</v>
      </c>
      <c r="O2765">
        <v>0</v>
      </c>
      <c r="P2765">
        <v>0</v>
      </c>
    </row>
    <row r="2766" spans="1:16" x14ac:dyDescent="0.2">
      <c r="A2766" t="s">
        <v>4579</v>
      </c>
      <c r="B2766" t="s">
        <v>5891</v>
      </c>
      <c r="C2766" t="s">
        <v>4518</v>
      </c>
      <c r="D2766" t="s">
        <v>105</v>
      </c>
      <c r="E2766">
        <v>139.99</v>
      </c>
      <c r="F2766" t="s">
        <v>5817</v>
      </c>
      <c r="G2766">
        <v>22</v>
      </c>
      <c r="I2766">
        <v>22</v>
      </c>
      <c r="L2766" t="s">
        <v>8</v>
      </c>
      <c r="M2766">
        <v>1</v>
      </c>
      <c r="N2766">
        <v>27</v>
      </c>
      <c r="O2766">
        <v>0.75</v>
      </c>
      <c r="P2766">
        <v>27</v>
      </c>
    </row>
    <row r="2767" spans="1:16" x14ac:dyDescent="0.2">
      <c r="A2767" t="s">
        <v>5223</v>
      </c>
      <c r="B2767" t="s">
        <v>5860</v>
      </c>
      <c r="C2767" t="s">
        <v>4518</v>
      </c>
      <c r="D2767" t="s">
        <v>98</v>
      </c>
      <c r="E2767">
        <v>89.99</v>
      </c>
      <c r="F2767" t="s">
        <v>5817</v>
      </c>
      <c r="L2767" t="s">
        <v>8</v>
      </c>
      <c r="M2767">
        <v>0</v>
      </c>
      <c r="N2767">
        <v>0</v>
      </c>
      <c r="O2767">
        <v>0</v>
      </c>
      <c r="P2767">
        <v>0</v>
      </c>
    </row>
    <row r="2768" spans="1:16" x14ac:dyDescent="0.2">
      <c r="A2768" t="s">
        <v>5221</v>
      </c>
      <c r="B2768" t="s">
        <v>5859</v>
      </c>
      <c r="C2768" t="s">
        <v>4518</v>
      </c>
      <c r="D2768" t="s">
        <v>98</v>
      </c>
      <c r="E2768">
        <v>89.99</v>
      </c>
      <c r="F2768" t="s">
        <v>5817</v>
      </c>
      <c r="L2768" t="s">
        <v>8</v>
      </c>
      <c r="M2768">
        <v>0</v>
      </c>
      <c r="N2768">
        <v>0</v>
      </c>
      <c r="O2768">
        <v>0</v>
      </c>
      <c r="P2768">
        <v>0</v>
      </c>
    </row>
    <row r="2769" spans="1:16" x14ac:dyDescent="0.2">
      <c r="A2769" t="s">
        <v>5142</v>
      </c>
      <c r="B2769" t="s">
        <v>5872</v>
      </c>
      <c r="C2769" t="s">
        <v>4518</v>
      </c>
      <c r="D2769" t="s">
        <v>98</v>
      </c>
      <c r="E2769">
        <v>109.99</v>
      </c>
      <c r="F2769" t="s">
        <v>5817</v>
      </c>
      <c r="J2769">
        <v>2</v>
      </c>
      <c r="L2769" t="s">
        <v>8</v>
      </c>
      <c r="M2769">
        <v>0</v>
      </c>
      <c r="N2769">
        <v>0</v>
      </c>
      <c r="O2769">
        <v>0</v>
      </c>
      <c r="P2769">
        <v>0</v>
      </c>
    </row>
    <row r="2770" spans="1:16" x14ac:dyDescent="0.2">
      <c r="A2770" t="s">
        <v>5132</v>
      </c>
      <c r="B2770" t="s">
        <v>5870</v>
      </c>
      <c r="C2770" t="s">
        <v>4518</v>
      </c>
      <c r="D2770" t="s">
        <v>98</v>
      </c>
      <c r="E2770">
        <v>49.99</v>
      </c>
      <c r="F2770" t="s">
        <v>5817</v>
      </c>
      <c r="L2770" t="s">
        <v>8</v>
      </c>
      <c r="M2770">
        <v>0</v>
      </c>
      <c r="N2770">
        <v>0</v>
      </c>
      <c r="O2770">
        <v>0</v>
      </c>
      <c r="P2770">
        <v>0</v>
      </c>
    </row>
    <row r="2771" spans="1:16" x14ac:dyDescent="0.2">
      <c r="A2771" t="s">
        <v>5154</v>
      </c>
      <c r="B2771" t="s">
        <v>5871</v>
      </c>
      <c r="C2771" t="s">
        <v>4518</v>
      </c>
      <c r="D2771" t="s">
        <v>98</v>
      </c>
      <c r="E2771">
        <v>49.99</v>
      </c>
      <c r="F2771" t="s">
        <v>5817</v>
      </c>
      <c r="L2771" t="s">
        <v>8</v>
      </c>
      <c r="M2771">
        <v>0</v>
      </c>
      <c r="N2771">
        <v>0</v>
      </c>
      <c r="O2771">
        <v>0</v>
      </c>
      <c r="P2771">
        <v>0</v>
      </c>
    </row>
    <row r="2772" spans="1:16" x14ac:dyDescent="0.2">
      <c r="A2772" t="s">
        <v>5171</v>
      </c>
      <c r="B2772" t="s">
        <v>5876</v>
      </c>
      <c r="C2772" t="s">
        <v>4518</v>
      </c>
      <c r="D2772" t="s">
        <v>98</v>
      </c>
      <c r="E2772">
        <v>59.99</v>
      </c>
      <c r="F2772" t="s">
        <v>5817</v>
      </c>
      <c r="L2772" t="s">
        <v>8</v>
      </c>
      <c r="M2772">
        <v>0</v>
      </c>
      <c r="N2772">
        <v>0</v>
      </c>
      <c r="O2772">
        <v>0</v>
      </c>
      <c r="P2772">
        <v>0</v>
      </c>
    </row>
    <row r="2773" spans="1:16" x14ac:dyDescent="0.2">
      <c r="A2773" t="s">
        <v>5167</v>
      </c>
      <c r="B2773" t="s">
        <v>5881</v>
      </c>
      <c r="C2773" t="s">
        <v>4518</v>
      </c>
      <c r="D2773" t="s">
        <v>98</v>
      </c>
      <c r="E2773">
        <v>69.989999999999995</v>
      </c>
      <c r="F2773" t="s">
        <v>5817</v>
      </c>
      <c r="L2773" t="s">
        <v>8</v>
      </c>
      <c r="M2773">
        <v>0</v>
      </c>
      <c r="N2773">
        <v>0</v>
      </c>
      <c r="O2773">
        <v>0</v>
      </c>
      <c r="P2773">
        <v>0</v>
      </c>
    </row>
    <row r="2774" spans="1:16" x14ac:dyDescent="0.2">
      <c r="A2774" t="s">
        <v>4535</v>
      </c>
      <c r="B2774" t="s">
        <v>5873</v>
      </c>
      <c r="C2774" t="s">
        <v>4518</v>
      </c>
      <c r="D2774" t="s">
        <v>105</v>
      </c>
      <c r="E2774">
        <v>69.989999999999995</v>
      </c>
      <c r="F2774" t="s">
        <v>5817</v>
      </c>
      <c r="J2774">
        <v>423</v>
      </c>
      <c r="L2774" t="s">
        <v>8</v>
      </c>
      <c r="M2774">
        <v>6.833333333333333</v>
      </c>
      <c r="N2774">
        <v>4.2439024390243905</v>
      </c>
      <c r="O2774">
        <v>6.583333333333333</v>
      </c>
      <c r="P2774">
        <v>29</v>
      </c>
    </row>
    <row r="2775" spans="1:16" x14ac:dyDescent="0.2">
      <c r="A2775" t="s">
        <v>5162</v>
      </c>
      <c r="B2775" t="s">
        <v>5880</v>
      </c>
      <c r="C2775" t="s">
        <v>4518</v>
      </c>
      <c r="D2775" t="s">
        <v>98</v>
      </c>
      <c r="E2775">
        <v>99.99</v>
      </c>
      <c r="F2775" t="s">
        <v>5817</v>
      </c>
      <c r="L2775" t="s">
        <v>8</v>
      </c>
      <c r="M2775">
        <v>0</v>
      </c>
      <c r="N2775">
        <v>0</v>
      </c>
      <c r="O2775">
        <v>0</v>
      </c>
      <c r="P2775">
        <v>0</v>
      </c>
    </row>
    <row r="2776" spans="1:16" x14ac:dyDescent="0.2">
      <c r="A2776" t="s">
        <v>5156</v>
      </c>
      <c r="B2776" t="s">
        <v>5879</v>
      </c>
      <c r="C2776" t="s">
        <v>4518</v>
      </c>
      <c r="D2776" t="s">
        <v>98</v>
      </c>
      <c r="E2776">
        <v>129.99</v>
      </c>
      <c r="F2776" t="s">
        <v>5817</v>
      </c>
      <c r="L2776" t="s">
        <v>8</v>
      </c>
      <c r="M2776">
        <v>0</v>
      </c>
      <c r="N2776">
        <v>0</v>
      </c>
      <c r="O2776">
        <v>0</v>
      </c>
      <c r="P2776">
        <v>0</v>
      </c>
    </row>
    <row r="2777" spans="1:16" x14ac:dyDescent="0.2">
      <c r="A2777" t="s">
        <v>5177</v>
      </c>
      <c r="B2777" t="s">
        <v>5878</v>
      </c>
      <c r="C2777" t="s">
        <v>4518</v>
      </c>
      <c r="D2777" t="s">
        <v>98</v>
      </c>
      <c r="E2777">
        <v>159.99</v>
      </c>
      <c r="F2777" t="s">
        <v>5817</v>
      </c>
      <c r="L2777" t="s">
        <v>8</v>
      </c>
      <c r="M2777">
        <v>0</v>
      </c>
      <c r="N2777">
        <v>0</v>
      </c>
      <c r="O2777">
        <v>0</v>
      </c>
      <c r="P2777">
        <v>0</v>
      </c>
    </row>
    <row r="2778" spans="1:16" x14ac:dyDescent="0.2">
      <c r="A2778" t="s">
        <v>5233</v>
      </c>
      <c r="B2778" t="s">
        <v>5851</v>
      </c>
      <c r="C2778" t="s">
        <v>4518</v>
      </c>
      <c r="D2778" t="s">
        <v>98</v>
      </c>
      <c r="E2778">
        <v>159.99</v>
      </c>
      <c r="F2778" t="s">
        <v>5817</v>
      </c>
      <c r="L2778" t="s">
        <v>8</v>
      </c>
      <c r="M2778">
        <v>0</v>
      </c>
      <c r="N2778">
        <v>0</v>
      </c>
      <c r="O2778">
        <v>0</v>
      </c>
      <c r="P2778">
        <v>0</v>
      </c>
    </row>
    <row r="2779" spans="1:16" x14ac:dyDescent="0.2">
      <c r="A2779" t="s">
        <v>5231</v>
      </c>
      <c r="B2779" t="s">
        <v>5877</v>
      </c>
      <c r="C2779" t="s">
        <v>4518</v>
      </c>
      <c r="D2779" t="s">
        <v>98</v>
      </c>
      <c r="E2779">
        <v>99.99</v>
      </c>
      <c r="F2779" t="s">
        <v>5817</v>
      </c>
      <c r="L2779" t="s">
        <v>8</v>
      </c>
      <c r="M2779">
        <v>0</v>
      </c>
      <c r="N2779">
        <v>0</v>
      </c>
      <c r="O2779">
        <v>0</v>
      </c>
      <c r="P2779">
        <v>0</v>
      </c>
    </row>
    <row r="2780" spans="1:16" x14ac:dyDescent="0.2">
      <c r="A2780" t="s">
        <v>5227</v>
      </c>
      <c r="B2780" t="s">
        <v>5882</v>
      </c>
      <c r="C2780" t="s">
        <v>4518</v>
      </c>
      <c r="D2780" t="s">
        <v>98</v>
      </c>
      <c r="E2780">
        <v>89.99</v>
      </c>
      <c r="F2780" t="s">
        <v>5817</v>
      </c>
      <c r="L2780" t="s">
        <v>8</v>
      </c>
      <c r="M2780">
        <v>0</v>
      </c>
      <c r="N2780">
        <v>0</v>
      </c>
      <c r="O2780">
        <v>0</v>
      </c>
      <c r="P2780">
        <v>0</v>
      </c>
    </row>
    <row r="2781" spans="1:16" x14ac:dyDescent="0.2">
      <c r="A2781" t="s">
        <v>5225</v>
      </c>
      <c r="B2781" t="s">
        <v>5869</v>
      </c>
      <c r="C2781" t="s">
        <v>4518</v>
      </c>
      <c r="D2781" t="s">
        <v>98</v>
      </c>
      <c r="E2781">
        <v>89.99</v>
      </c>
      <c r="F2781" t="s">
        <v>5817</v>
      </c>
      <c r="L2781" t="s">
        <v>8</v>
      </c>
      <c r="M2781">
        <v>0</v>
      </c>
      <c r="N2781">
        <v>0</v>
      </c>
      <c r="O2781">
        <v>0</v>
      </c>
      <c r="P2781">
        <v>0</v>
      </c>
    </row>
    <row r="2782" spans="1:16" x14ac:dyDescent="0.2">
      <c r="A2782" t="s">
        <v>4521</v>
      </c>
      <c r="B2782" t="s">
        <v>5874</v>
      </c>
      <c r="C2782" t="s">
        <v>4518</v>
      </c>
      <c r="D2782" t="s">
        <v>105</v>
      </c>
      <c r="E2782">
        <v>89.99</v>
      </c>
      <c r="F2782" t="s">
        <v>5817</v>
      </c>
      <c r="G2782">
        <v>774</v>
      </c>
      <c r="H2782" t="s">
        <v>5875</v>
      </c>
      <c r="I2782">
        <v>664</v>
      </c>
      <c r="K2782">
        <v>36</v>
      </c>
      <c r="L2782" t="s">
        <v>8</v>
      </c>
      <c r="M2782">
        <v>8.1666666666666661</v>
      </c>
      <c r="N2782">
        <v>6.4897959183673475</v>
      </c>
      <c r="O2782">
        <v>5.5</v>
      </c>
      <c r="P2782">
        <v>53</v>
      </c>
    </row>
    <row r="2783" spans="1:16" x14ac:dyDescent="0.2">
      <c r="A2783" t="s">
        <v>5191</v>
      </c>
      <c r="B2783" t="s">
        <v>5853</v>
      </c>
      <c r="C2783" t="s">
        <v>4518</v>
      </c>
      <c r="D2783" t="s">
        <v>98</v>
      </c>
      <c r="E2783">
        <v>69.989999999999995</v>
      </c>
      <c r="F2783" t="s">
        <v>5817</v>
      </c>
      <c r="L2783" t="s">
        <v>8</v>
      </c>
      <c r="M2783">
        <v>0</v>
      </c>
      <c r="N2783">
        <v>0</v>
      </c>
      <c r="O2783">
        <v>0</v>
      </c>
      <c r="P2783">
        <v>0</v>
      </c>
    </row>
    <row r="2784" spans="1:16" x14ac:dyDescent="0.2">
      <c r="A2784" t="s">
        <v>4600</v>
      </c>
      <c r="B2784" t="s">
        <v>4601</v>
      </c>
      <c r="C2784" t="s">
        <v>4597</v>
      </c>
      <c r="D2784" t="s">
        <v>98</v>
      </c>
      <c r="E2784">
        <v>129.99</v>
      </c>
      <c r="F2784" t="s">
        <v>5817</v>
      </c>
      <c r="L2784" t="s">
        <v>73</v>
      </c>
      <c r="M2784">
        <v>0</v>
      </c>
      <c r="N2784">
        <v>0</v>
      </c>
      <c r="O2784">
        <v>0</v>
      </c>
      <c r="P2784">
        <v>0</v>
      </c>
    </row>
    <row r="2785" spans="1:16" x14ac:dyDescent="0.2">
      <c r="A2785" t="s">
        <v>4602</v>
      </c>
      <c r="B2785" t="s">
        <v>4603</v>
      </c>
      <c r="C2785" t="s">
        <v>4597</v>
      </c>
      <c r="D2785" t="s">
        <v>98</v>
      </c>
      <c r="E2785">
        <v>139.99</v>
      </c>
      <c r="F2785" t="s">
        <v>5817</v>
      </c>
      <c r="L2785" t="s">
        <v>73</v>
      </c>
      <c r="M2785">
        <v>0</v>
      </c>
      <c r="N2785">
        <v>0</v>
      </c>
      <c r="O2785">
        <v>0</v>
      </c>
      <c r="P2785">
        <v>0</v>
      </c>
    </row>
    <row r="2786" spans="1:16" x14ac:dyDescent="0.2">
      <c r="A2786" t="s">
        <v>4608</v>
      </c>
      <c r="B2786" t="s">
        <v>4609</v>
      </c>
      <c r="C2786" t="s">
        <v>4597</v>
      </c>
      <c r="D2786" t="s">
        <v>98</v>
      </c>
      <c r="E2786">
        <v>139.99</v>
      </c>
      <c r="F2786" t="s">
        <v>5817</v>
      </c>
      <c r="L2786" t="s">
        <v>73</v>
      </c>
      <c r="M2786">
        <v>0</v>
      </c>
      <c r="N2786">
        <v>0</v>
      </c>
      <c r="O2786">
        <v>0</v>
      </c>
      <c r="P2786">
        <v>0</v>
      </c>
    </row>
    <row r="2787" spans="1:16" x14ac:dyDescent="0.2">
      <c r="A2787" t="s">
        <v>4604</v>
      </c>
      <c r="B2787" t="s">
        <v>4605</v>
      </c>
      <c r="C2787" t="s">
        <v>4597</v>
      </c>
      <c r="D2787" t="s">
        <v>98</v>
      </c>
      <c r="E2787">
        <v>174.99</v>
      </c>
      <c r="F2787" t="s">
        <v>5817</v>
      </c>
      <c r="L2787" t="s">
        <v>73</v>
      </c>
      <c r="M2787">
        <v>0</v>
      </c>
      <c r="N2787">
        <v>0</v>
      </c>
      <c r="O2787">
        <v>8.3333333333333329E-2</v>
      </c>
      <c r="P2787">
        <v>0</v>
      </c>
    </row>
    <row r="2788" spans="1:16" x14ac:dyDescent="0.2">
      <c r="A2788" t="s">
        <v>4606</v>
      </c>
      <c r="B2788" t="s">
        <v>4607</v>
      </c>
      <c r="C2788" t="s">
        <v>4597</v>
      </c>
      <c r="D2788" t="s">
        <v>98</v>
      </c>
      <c r="E2788">
        <v>99.99</v>
      </c>
      <c r="F2788" t="s">
        <v>5817</v>
      </c>
      <c r="L2788" t="s">
        <v>73</v>
      </c>
      <c r="M2788">
        <v>0</v>
      </c>
      <c r="N2788">
        <v>0</v>
      </c>
      <c r="O2788">
        <v>0</v>
      </c>
      <c r="P2788">
        <v>0</v>
      </c>
    </row>
    <row r="2789" spans="1:16" x14ac:dyDescent="0.2">
      <c r="A2789" t="s">
        <v>4608</v>
      </c>
      <c r="B2789" t="s">
        <v>4609</v>
      </c>
      <c r="C2789" t="s">
        <v>4597</v>
      </c>
      <c r="D2789" t="s">
        <v>98</v>
      </c>
      <c r="E2789">
        <v>139.99</v>
      </c>
      <c r="F2789" t="s">
        <v>5817</v>
      </c>
      <c r="L2789" t="s">
        <v>5818</v>
      </c>
      <c r="M2789">
        <v>0</v>
      </c>
      <c r="N2789">
        <v>0</v>
      </c>
      <c r="O2789">
        <v>0</v>
      </c>
      <c r="P2789" t="s">
        <v>5819</v>
      </c>
    </row>
    <row r="2790" spans="1:16" x14ac:dyDescent="0.2">
      <c r="A2790" t="s">
        <v>4606</v>
      </c>
      <c r="B2790" t="s">
        <v>4607</v>
      </c>
      <c r="C2790" t="s">
        <v>4597</v>
      </c>
      <c r="D2790" t="s">
        <v>98</v>
      </c>
      <c r="E2790">
        <v>99.99</v>
      </c>
      <c r="F2790" t="s">
        <v>5817</v>
      </c>
      <c r="L2790" t="s">
        <v>5818</v>
      </c>
      <c r="M2790">
        <v>0</v>
      </c>
      <c r="N2790">
        <v>0</v>
      </c>
      <c r="O2790">
        <v>0</v>
      </c>
      <c r="P2790" t="s">
        <v>5819</v>
      </c>
    </row>
    <row r="2791" spans="1:16" x14ac:dyDescent="0.2">
      <c r="A2791" t="s">
        <v>4604</v>
      </c>
      <c r="B2791" t="s">
        <v>4605</v>
      </c>
      <c r="C2791" t="s">
        <v>4597</v>
      </c>
      <c r="D2791" t="s">
        <v>98</v>
      </c>
      <c r="E2791">
        <v>174.99</v>
      </c>
      <c r="F2791" t="s">
        <v>5817</v>
      </c>
      <c r="L2791" t="s">
        <v>5818</v>
      </c>
      <c r="M2791">
        <v>0</v>
      </c>
      <c r="N2791">
        <v>0</v>
      </c>
      <c r="O2791">
        <v>0</v>
      </c>
      <c r="P2791" t="s">
        <v>5819</v>
      </c>
    </row>
    <row r="2792" spans="1:16" x14ac:dyDescent="0.2">
      <c r="A2792" t="s">
        <v>4602</v>
      </c>
      <c r="B2792" t="s">
        <v>4603</v>
      </c>
      <c r="C2792" t="s">
        <v>4597</v>
      </c>
      <c r="D2792" t="s">
        <v>98</v>
      </c>
      <c r="E2792">
        <v>139.99</v>
      </c>
      <c r="F2792" t="s">
        <v>5817</v>
      </c>
      <c r="L2792" t="s">
        <v>5818</v>
      </c>
      <c r="M2792">
        <v>0</v>
      </c>
      <c r="N2792">
        <v>0</v>
      </c>
      <c r="O2792">
        <v>0</v>
      </c>
      <c r="P2792" t="s">
        <v>5819</v>
      </c>
    </row>
    <row r="2793" spans="1:16" x14ac:dyDescent="0.2">
      <c r="A2793" t="s">
        <v>4600</v>
      </c>
      <c r="B2793" t="s">
        <v>4601</v>
      </c>
      <c r="C2793" t="s">
        <v>4597</v>
      </c>
      <c r="D2793" t="s">
        <v>98</v>
      </c>
      <c r="E2793">
        <v>129.99</v>
      </c>
      <c r="F2793" t="s">
        <v>5817</v>
      </c>
      <c r="L2793" t="s">
        <v>5818</v>
      </c>
      <c r="M2793">
        <v>0</v>
      </c>
      <c r="N2793">
        <v>0</v>
      </c>
      <c r="O2793">
        <v>0</v>
      </c>
      <c r="P2793" t="s">
        <v>5819</v>
      </c>
    </row>
    <row r="2794" spans="1:16" x14ac:dyDescent="0.2">
      <c r="A2794" t="s">
        <v>4606</v>
      </c>
      <c r="B2794" t="s">
        <v>4607</v>
      </c>
      <c r="C2794" t="s">
        <v>4597</v>
      </c>
      <c r="D2794" t="s">
        <v>98</v>
      </c>
      <c r="E2794">
        <v>99.99</v>
      </c>
      <c r="F2794" t="s">
        <v>5817</v>
      </c>
      <c r="L2794" t="s">
        <v>5085</v>
      </c>
      <c r="M2794">
        <v>0</v>
      </c>
      <c r="N2794">
        <v>0</v>
      </c>
      <c r="O2794">
        <v>0</v>
      </c>
      <c r="P2794" t="s">
        <v>5819</v>
      </c>
    </row>
    <row r="2795" spans="1:16" x14ac:dyDescent="0.2">
      <c r="A2795" t="s">
        <v>4608</v>
      </c>
      <c r="B2795" t="s">
        <v>4609</v>
      </c>
      <c r="C2795" t="s">
        <v>4597</v>
      </c>
      <c r="D2795" t="s">
        <v>98</v>
      </c>
      <c r="E2795">
        <v>139.99</v>
      </c>
      <c r="F2795" t="s">
        <v>5817</v>
      </c>
      <c r="L2795" t="s">
        <v>5085</v>
      </c>
      <c r="M2795">
        <v>0</v>
      </c>
      <c r="N2795">
        <v>0</v>
      </c>
      <c r="O2795">
        <v>0</v>
      </c>
      <c r="P2795" t="s">
        <v>5819</v>
      </c>
    </row>
    <row r="2796" spans="1:16" x14ac:dyDescent="0.2">
      <c r="A2796" t="s">
        <v>4604</v>
      </c>
      <c r="B2796" t="s">
        <v>4605</v>
      </c>
      <c r="C2796" t="s">
        <v>4597</v>
      </c>
      <c r="D2796" t="s">
        <v>98</v>
      </c>
      <c r="E2796">
        <v>174.99</v>
      </c>
      <c r="F2796" t="s">
        <v>5817</v>
      </c>
      <c r="L2796" t="s">
        <v>5085</v>
      </c>
      <c r="M2796">
        <v>0</v>
      </c>
      <c r="N2796">
        <v>0</v>
      </c>
      <c r="O2796">
        <v>0</v>
      </c>
      <c r="P2796" t="s">
        <v>5819</v>
      </c>
    </row>
    <row r="2797" spans="1:16" x14ac:dyDescent="0.2">
      <c r="A2797" t="s">
        <v>4600</v>
      </c>
      <c r="B2797" t="s">
        <v>4601</v>
      </c>
      <c r="C2797" t="s">
        <v>4597</v>
      </c>
      <c r="D2797" t="s">
        <v>98</v>
      </c>
      <c r="E2797">
        <v>129.99</v>
      </c>
      <c r="F2797" t="s">
        <v>5817</v>
      </c>
      <c r="L2797" t="s">
        <v>5085</v>
      </c>
      <c r="M2797">
        <v>0</v>
      </c>
      <c r="N2797">
        <v>0</v>
      </c>
      <c r="O2797">
        <v>0.16666666666666666</v>
      </c>
      <c r="P2797" t="s">
        <v>5819</v>
      </c>
    </row>
    <row r="2798" spans="1:16" x14ac:dyDescent="0.2">
      <c r="A2798" t="s">
        <v>4606</v>
      </c>
      <c r="B2798" t="s">
        <v>4607</v>
      </c>
      <c r="C2798" t="s">
        <v>4597</v>
      </c>
      <c r="D2798" t="s">
        <v>98</v>
      </c>
      <c r="E2798">
        <v>99.99</v>
      </c>
      <c r="F2798" t="s">
        <v>5817</v>
      </c>
      <c r="L2798" t="s">
        <v>5065</v>
      </c>
      <c r="M2798">
        <v>0</v>
      </c>
      <c r="N2798">
        <v>0</v>
      </c>
      <c r="P2798">
        <v>0</v>
      </c>
    </row>
    <row r="2799" spans="1:16" x14ac:dyDescent="0.2">
      <c r="A2799" t="s">
        <v>4608</v>
      </c>
      <c r="B2799" t="s">
        <v>4609</v>
      </c>
      <c r="C2799" t="s">
        <v>4597</v>
      </c>
      <c r="D2799" t="s">
        <v>98</v>
      </c>
      <c r="E2799">
        <v>139.99</v>
      </c>
      <c r="F2799" t="s">
        <v>5817</v>
      </c>
      <c r="L2799" t="s">
        <v>5065</v>
      </c>
      <c r="M2799">
        <v>0</v>
      </c>
      <c r="N2799">
        <v>0</v>
      </c>
      <c r="P2799">
        <v>0</v>
      </c>
    </row>
    <row r="2800" spans="1:16" x14ac:dyDescent="0.2">
      <c r="A2800" t="s">
        <v>4600</v>
      </c>
      <c r="B2800" t="s">
        <v>4601</v>
      </c>
      <c r="C2800" t="s">
        <v>4597</v>
      </c>
      <c r="D2800" t="s">
        <v>98</v>
      </c>
      <c r="E2800">
        <v>129.99</v>
      </c>
      <c r="F2800" t="s">
        <v>5817</v>
      </c>
      <c r="L2800" t="s">
        <v>5065</v>
      </c>
      <c r="M2800">
        <v>0</v>
      </c>
      <c r="N2800">
        <v>0</v>
      </c>
      <c r="P2800">
        <v>0</v>
      </c>
    </row>
    <row r="2801" spans="1:16" x14ac:dyDescent="0.2">
      <c r="A2801" t="s">
        <v>4604</v>
      </c>
      <c r="B2801" t="s">
        <v>4605</v>
      </c>
      <c r="C2801" t="s">
        <v>4597</v>
      </c>
      <c r="D2801" t="s">
        <v>98</v>
      </c>
      <c r="E2801">
        <v>174.99</v>
      </c>
      <c r="F2801" t="s">
        <v>5817</v>
      </c>
      <c r="L2801" t="s">
        <v>5065</v>
      </c>
      <c r="M2801">
        <v>0</v>
      </c>
      <c r="N2801">
        <v>0</v>
      </c>
      <c r="P2801">
        <v>0</v>
      </c>
    </row>
    <row r="2802" spans="1:16" x14ac:dyDescent="0.2">
      <c r="A2802" t="s">
        <v>4602</v>
      </c>
      <c r="B2802" t="s">
        <v>4603</v>
      </c>
      <c r="C2802" t="s">
        <v>4597</v>
      </c>
      <c r="D2802" t="s">
        <v>98</v>
      </c>
      <c r="E2802">
        <v>139.99</v>
      </c>
      <c r="F2802" t="s">
        <v>5817</v>
      </c>
      <c r="L2802" t="s">
        <v>5065</v>
      </c>
      <c r="N2802">
        <v>0</v>
      </c>
      <c r="O2802">
        <v>0</v>
      </c>
      <c r="P2802">
        <v>1</v>
      </c>
    </row>
    <row r="2803" spans="1:16" x14ac:dyDescent="0.2">
      <c r="A2803" t="s">
        <v>4606</v>
      </c>
      <c r="B2803" t="s">
        <v>4607</v>
      </c>
      <c r="C2803" t="s">
        <v>4597</v>
      </c>
      <c r="D2803" t="s">
        <v>98</v>
      </c>
      <c r="E2803">
        <v>99.99</v>
      </c>
      <c r="F2803" t="s">
        <v>5817</v>
      </c>
      <c r="L2803" t="s">
        <v>8</v>
      </c>
      <c r="M2803">
        <v>0</v>
      </c>
      <c r="N2803">
        <v>0</v>
      </c>
      <c r="O2803">
        <v>0</v>
      </c>
      <c r="P2803">
        <v>0</v>
      </c>
    </row>
    <row r="2804" spans="1:16" x14ac:dyDescent="0.2">
      <c r="A2804" t="s">
        <v>4608</v>
      </c>
      <c r="B2804" t="s">
        <v>4609</v>
      </c>
      <c r="C2804" t="s">
        <v>4597</v>
      </c>
      <c r="D2804" t="s">
        <v>98</v>
      </c>
      <c r="E2804">
        <v>139.99</v>
      </c>
      <c r="F2804" t="s">
        <v>5817</v>
      </c>
      <c r="L2804" t="s">
        <v>8</v>
      </c>
      <c r="M2804">
        <v>0</v>
      </c>
      <c r="N2804">
        <v>0</v>
      </c>
      <c r="O2804">
        <v>0</v>
      </c>
      <c r="P2804">
        <v>0</v>
      </c>
    </row>
    <row r="2805" spans="1:16" x14ac:dyDescent="0.2">
      <c r="A2805" t="s">
        <v>4602</v>
      </c>
      <c r="B2805" t="s">
        <v>4603</v>
      </c>
      <c r="C2805" t="s">
        <v>4597</v>
      </c>
      <c r="D2805" t="s">
        <v>98</v>
      </c>
      <c r="E2805">
        <v>139.99</v>
      </c>
      <c r="F2805" t="s">
        <v>5817</v>
      </c>
      <c r="L2805" t="s">
        <v>8</v>
      </c>
      <c r="M2805">
        <v>0</v>
      </c>
      <c r="N2805">
        <v>0</v>
      </c>
      <c r="O2805">
        <v>0</v>
      </c>
      <c r="P2805">
        <v>0</v>
      </c>
    </row>
    <row r="2806" spans="1:16" x14ac:dyDescent="0.2">
      <c r="A2806" t="s">
        <v>4604</v>
      </c>
      <c r="B2806" t="s">
        <v>4605</v>
      </c>
      <c r="C2806" t="s">
        <v>4597</v>
      </c>
      <c r="D2806" t="s">
        <v>98</v>
      </c>
      <c r="E2806">
        <v>174.99</v>
      </c>
      <c r="F2806" t="s">
        <v>5817</v>
      </c>
      <c r="L2806" t="s">
        <v>8</v>
      </c>
      <c r="M2806">
        <v>0</v>
      </c>
      <c r="N2806">
        <v>0</v>
      </c>
      <c r="O2806">
        <v>0</v>
      </c>
      <c r="P2806">
        <v>0</v>
      </c>
    </row>
    <row r="2807" spans="1:16" x14ac:dyDescent="0.2">
      <c r="A2807" t="s">
        <v>4600</v>
      </c>
      <c r="B2807" t="s">
        <v>4601</v>
      </c>
      <c r="C2807" t="s">
        <v>4597</v>
      </c>
      <c r="D2807" t="s">
        <v>98</v>
      </c>
      <c r="E2807">
        <v>129.99</v>
      </c>
      <c r="F2807" t="s">
        <v>5817</v>
      </c>
      <c r="L2807" t="s">
        <v>8</v>
      </c>
      <c r="M2807">
        <v>0</v>
      </c>
      <c r="N2807">
        <v>0</v>
      </c>
      <c r="O2807">
        <v>0</v>
      </c>
      <c r="P2807">
        <v>0</v>
      </c>
    </row>
    <row r="2808" spans="1:16" x14ac:dyDescent="0.2">
      <c r="A2808" t="s">
        <v>4931</v>
      </c>
      <c r="B2808" t="s">
        <v>4930</v>
      </c>
      <c r="C2808" t="s">
        <v>4905</v>
      </c>
      <c r="D2808" t="s">
        <v>105</v>
      </c>
      <c r="E2808">
        <v>219.99</v>
      </c>
      <c r="F2808" t="s">
        <v>5817</v>
      </c>
      <c r="G2808">
        <v>124</v>
      </c>
      <c r="H2808" t="s">
        <v>5823</v>
      </c>
      <c r="I2808">
        <v>123</v>
      </c>
      <c r="K2808">
        <v>32</v>
      </c>
      <c r="L2808" t="s">
        <v>5818</v>
      </c>
      <c r="M2808">
        <v>7.333333333333333</v>
      </c>
      <c r="N2808">
        <v>3.6818181818181821</v>
      </c>
      <c r="O2808">
        <v>7.583333333333333</v>
      </c>
      <c r="P2808">
        <v>27</v>
      </c>
    </row>
    <row r="2809" spans="1:16" x14ac:dyDescent="0.2">
      <c r="A2809" t="s">
        <v>4928</v>
      </c>
      <c r="B2809" t="s">
        <v>4927</v>
      </c>
      <c r="C2809" t="s">
        <v>4905</v>
      </c>
      <c r="D2809" t="s">
        <v>105</v>
      </c>
      <c r="E2809">
        <v>819.99</v>
      </c>
      <c r="F2809" t="s">
        <v>5817</v>
      </c>
      <c r="G2809">
        <v>43</v>
      </c>
      <c r="I2809">
        <v>43</v>
      </c>
      <c r="L2809" t="s">
        <v>5818</v>
      </c>
      <c r="M2809">
        <v>0</v>
      </c>
      <c r="N2809">
        <v>0</v>
      </c>
      <c r="O2809">
        <v>0</v>
      </c>
      <c r="P2809">
        <v>14</v>
      </c>
    </row>
    <row r="2810" spans="1:16" x14ac:dyDescent="0.2">
      <c r="A2810" t="s">
        <v>4923</v>
      </c>
      <c r="B2810" t="s">
        <v>4924</v>
      </c>
      <c r="C2810" t="s">
        <v>4905</v>
      </c>
      <c r="D2810" t="s">
        <v>105</v>
      </c>
      <c r="E2810">
        <v>379.99</v>
      </c>
      <c r="F2810" t="s">
        <v>5817</v>
      </c>
      <c r="G2810">
        <v>48</v>
      </c>
      <c r="I2810">
        <v>48</v>
      </c>
      <c r="L2810" t="s">
        <v>5818</v>
      </c>
      <c r="M2810">
        <v>3.5</v>
      </c>
      <c r="N2810">
        <v>5.1428571428571432</v>
      </c>
      <c r="P2810">
        <v>18</v>
      </c>
    </row>
    <row r="2811" spans="1:16" x14ac:dyDescent="0.2">
      <c r="A2811" t="s">
        <v>4917</v>
      </c>
      <c r="B2811" t="s">
        <v>4918</v>
      </c>
      <c r="C2811" t="s">
        <v>4905</v>
      </c>
      <c r="D2811" t="s">
        <v>105</v>
      </c>
      <c r="E2811">
        <v>119.99</v>
      </c>
      <c r="F2811" t="s">
        <v>5817</v>
      </c>
      <c r="G2811">
        <v>118</v>
      </c>
      <c r="I2811">
        <v>118</v>
      </c>
      <c r="L2811" t="s">
        <v>5818</v>
      </c>
      <c r="M2811">
        <v>0</v>
      </c>
      <c r="N2811">
        <v>0</v>
      </c>
      <c r="P2811">
        <v>78</v>
      </c>
    </row>
    <row r="2812" spans="1:16" x14ac:dyDescent="0.2">
      <c r="A2812" t="s">
        <v>4916</v>
      </c>
      <c r="B2812" t="s">
        <v>4915</v>
      </c>
      <c r="C2812" t="s">
        <v>4905</v>
      </c>
      <c r="D2812" t="s">
        <v>105</v>
      </c>
      <c r="E2812">
        <v>119.99</v>
      </c>
      <c r="F2812" t="s">
        <v>5817</v>
      </c>
      <c r="G2812">
        <v>157</v>
      </c>
      <c r="I2812">
        <v>157</v>
      </c>
      <c r="L2812" t="s">
        <v>5818</v>
      </c>
      <c r="M2812">
        <v>5.166666666666667</v>
      </c>
      <c r="N2812">
        <v>16.064516129032256</v>
      </c>
      <c r="O2812">
        <v>4.833333333333333</v>
      </c>
      <c r="P2812">
        <v>83</v>
      </c>
    </row>
    <row r="2813" spans="1:16" x14ac:dyDescent="0.2">
      <c r="A2813" t="s">
        <v>4908</v>
      </c>
      <c r="B2813" t="s">
        <v>4909</v>
      </c>
      <c r="C2813" t="s">
        <v>4905</v>
      </c>
      <c r="D2813" t="s">
        <v>138</v>
      </c>
      <c r="E2813">
        <v>199.99</v>
      </c>
      <c r="F2813" t="s">
        <v>5817</v>
      </c>
      <c r="L2813" t="s">
        <v>5818</v>
      </c>
      <c r="M2813">
        <v>0</v>
      </c>
      <c r="N2813">
        <v>0</v>
      </c>
      <c r="O2813">
        <v>0</v>
      </c>
      <c r="P2813" t="s">
        <v>5819</v>
      </c>
    </row>
    <row r="2814" spans="1:16" x14ac:dyDescent="0.2">
      <c r="A2814" t="s">
        <v>4934</v>
      </c>
      <c r="B2814" t="s">
        <v>4933</v>
      </c>
      <c r="C2814" t="s">
        <v>4905</v>
      </c>
      <c r="D2814" t="s">
        <v>105</v>
      </c>
      <c r="E2814">
        <v>219.99</v>
      </c>
      <c r="F2814" t="s">
        <v>5817</v>
      </c>
      <c r="G2814">
        <v>121</v>
      </c>
      <c r="H2814" t="s">
        <v>5823</v>
      </c>
      <c r="I2814">
        <v>120</v>
      </c>
      <c r="L2814" t="s">
        <v>5818</v>
      </c>
      <c r="M2814">
        <v>3.3333333333333335</v>
      </c>
      <c r="N2814">
        <v>13.5</v>
      </c>
      <c r="O2814">
        <v>4.25</v>
      </c>
      <c r="P2814">
        <v>45</v>
      </c>
    </row>
    <row r="2815" spans="1:16" x14ac:dyDescent="0.2">
      <c r="A2815" t="s">
        <v>5005</v>
      </c>
      <c r="B2815" t="s">
        <v>5006</v>
      </c>
      <c r="C2815" t="s">
        <v>4905</v>
      </c>
      <c r="D2815" t="s">
        <v>105</v>
      </c>
      <c r="E2815">
        <v>199</v>
      </c>
      <c r="F2815" t="s">
        <v>5817</v>
      </c>
      <c r="G2815">
        <v>7</v>
      </c>
      <c r="H2815" t="s">
        <v>5823</v>
      </c>
      <c r="I2815">
        <v>6</v>
      </c>
      <c r="L2815" t="s">
        <v>5818</v>
      </c>
      <c r="M2815">
        <v>0</v>
      </c>
      <c r="N2815">
        <v>0</v>
      </c>
      <c r="P2815">
        <v>44</v>
      </c>
    </row>
    <row r="2816" spans="1:16" x14ac:dyDescent="0.2">
      <c r="A2816" t="s">
        <v>4937</v>
      </c>
      <c r="B2816" t="s">
        <v>4936</v>
      </c>
      <c r="C2816" t="s">
        <v>4905</v>
      </c>
      <c r="D2816" t="s">
        <v>105</v>
      </c>
      <c r="E2816">
        <v>199.99</v>
      </c>
      <c r="F2816" t="s">
        <v>5817</v>
      </c>
      <c r="G2816">
        <v>62</v>
      </c>
      <c r="I2816">
        <v>62</v>
      </c>
      <c r="K2816">
        <v>48</v>
      </c>
      <c r="L2816" t="s">
        <v>5818</v>
      </c>
      <c r="M2816">
        <v>8</v>
      </c>
      <c r="N2816">
        <v>4.875</v>
      </c>
      <c r="O2816">
        <v>6.75</v>
      </c>
      <c r="P2816">
        <v>39</v>
      </c>
    </row>
    <row r="2817" spans="1:16" x14ac:dyDescent="0.2">
      <c r="A2817" t="s">
        <v>4916</v>
      </c>
      <c r="B2817" t="s">
        <v>4915</v>
      </c>
      <c r="C2817" t="s">
        <v>4905</v>
      </c>
      <c r="D2817" t="s">
        <v>105</v>
      </c>
      <c r="E2817">
        <v>119.99</v>
      </c>
      <c r="F2817" t="s">
        <v>5817</v>
      </c>
      <c r="G2817">
        <v>157</v>
      </c>
      <c r="I2817">
        <v>157</v>
      </c>
      <c r="L2817" t="s">
        <v>5085</v>
      </c>
      <c r="M2817">
        <v>0</v>
      </c>
      <c r="N2817">
        <v>0</v>
      </c>
      <c r="O2817">
        <v>0.25</v>
      </c>
      <c r="P2817" t="s">
        <v>5819</v>
      </c>
    </row>
    <row r="2818" spans="1:16" x14ac:dyDescent="0.2">
      <c r="A2818" t="s">
        <v>4923</v>
      </c>
      <c r="B2818" t="s">
        <v>4924</v>
      </c>
      <c r="C2818" t="s">
        <v>4905</v>
      </c>
      <c r="D2818" t="s">
        <v>105</v>
      </c>
      <c r="E2818">
        <v>379.99</v>
      </c>
      <c r="F2818" t="s">
        <v>5817</v>
      </c>
      <c r="G2818">
        <v>48</v>
      </c>
      <c r="I2818">
        <v>48</v>
      </c>
      <c r="L2818" t="s">
        <v>5085</v>
      </c>
      <c r="M2818">
        <v>0</v>
      </c>
      <c r="N2818">
        <v>0</v>
      </c>
      <c r="O2818">
        <v>0</v>
      </c>
      <c r="P2818" t="s">
        <v>5819</v>
      </c>
    </row>
    <row r="2819" spans="1:16" x14ac:dyDescent="0.2">
      <c r="A2819" t="s">
        <v>4928</v>
      </c>
      <c r="B2819" t="s">
        <v>4927</v>
      </c>
      <c r="C2819" t="s">
        <v>4905</v>
      </c>
      <c r="D2819" t="s">
        <v>105</v>
      </c>
      <c r="E2819">
        <v>819.99</v>
      </c>
      <c r="F2819" t="s">
        <v>5817</v>
      </c>
      <c r="G2819">
        <v>43</v>
      </c>
      <c r="I2819">
        <v>43</v>
      </c>
      <c r="L2819" t="s">
        <v>5085</v>
      </c>
      <c r="M2819">
        <v>0</v>
      </c>
      <c r="N2819">
        <v>0</v>
      </c>
      <c r="O2819">
        <v>0.58333333333333337</v>
      </c>
      <c r="P2819" t="s">
        <v>5819</v>
      </c>
    </row>
    <row r="2820" spans="1:16" x14ac:dyDescent="0.2">
      <c r="A2820" t="s">
        <v>4931</v>
      </c>
      <c r="B2820" t="s">
        <v>4930</v>
      </c>
      <c r="C2820" t="s">
        <v>4905</v>
      </c>
      <c r="D2820" t="s">
        <v>105</v>
      </c>
      <c r="E2820">
        <v>219.99</v>
      </c>
      <c r="F2820" t="s">
        <v>5817</v>
      </c>
      <c r="G2820">
        <v>124</v>
      </c>
      <c r="H2820" t="s">
        <v>5823</v>
      </c>
      <c r="I2820">
        <v>123</v>
      </c>
      <c r="K2820">
        <v>32</v>
      </c>
      <c r="L2820" t="s">
        <v>5085</v>
      </c>
      <c r="M2820">
        <v>0</v>
      </c>
      <c r="N2820">
        <v>0</v>
      </c>
      <c r="O2820">
        <v>0</v>
      </c>
      <c r="P2820" t="s">
        <v>5819</v>
      </c>
    </row>
    <row r="2821" spans="1:16" x14ac:dyDescent="0.2">
      <c r="A2821" t="s">
        <v>5005</v>
      </c>
      <c r="B2821" t="s">
        <v>5006</v>
      </c>
      <c r="C2821" t="s">
        <v>4905</v>
      </c>
      <c r="D2821" t="s">
        <v>105</v>
      </c>
      <c r="E2821">
        <v>199</v>
      </c>
      <c r="F2821" t="s">
        <v>5817</v>
      </c>
      <c r="G2821">
        <v>7</v>
      </c>
      <c r="H2821" t="s">
        <v>5823</v>
      </c>
      <c r="I2821">
        <v>6</v>
      </c>
      <c r="L2821" t="s">
        <v>5085</v>
      </c>
      <c r="M2821">
        <v>0</v>
      </c>
      <c r="N2821">
        <v>0</v>
      </c>
      <c r="O2821">
        <v>0.16666666666666666</v>
      </c>
      <c r="P2821" t="s">
        <v>5819</v>
      </c>
    </row>
    <row r="2822" spans="1:16" x14ac:dyDescent="0.2">
      <c r="A2822" t="s">
        <v>5002</v>
      </c>
      <c r="B2822" t="s">
        <v>5003</v>
      </c>
      <c r="C2822" t="s">
        <v>4905</v>
      </c>
      <c r="D2822" t="s">
        <v>105</v>
      </c>
      <c r="E2822">
        <v>219</v>
      </c>
      <c r="F2822" t="s">
        <v>5817</v>
      </c>
      <c r="J2822">
        <v>6</v>
      </c>
      <c r="K2822">
        <v>10</v>
      </c>
      <c r="L2822" t="s">
        <v>5085</v>
      </c>
      <c r="M2822">
        <v>0</v>
      </c>
      <c r="N2822">
        <v>0</v>
      </c>
      <c r="O2822">
        <v>0</v>
      </c>
      <c r="P2822" t="s">
        <v>5819</v>
      </c>
    </row>
    <row r="2823" spans="1:16" x14ac:dyDescent="0.2">
      <c r="A2823" t="s">
        <v>4980</v>
      </c>
      <c r="B2823" t="s">
        <v>4979</v>
      </c>
      <c r="C2823" t="s">
        <v>4905</v>
      </c>
      <c r="D2823" t="s">
        <v>138</v>
      </c>
      <c r="E2823">
        <v>729.99</v>
      </c>
      <c r="F2823" t="s">
        <v>5817</v>
      </c>
      <c r="L2823" t="s">
        <v>5085</v>
      </c>
      <c r="M2823">
        <v>0</v>
      </c>
      <c r="N2823">
        <v>0</v>
      </c>
      <c r="O2823">
        <v>0</v>
      </c>
      <c r="P2823" t="s">
        <v>5819</v>
      </c>
    </row>
    <row r="2824" spans="1:16" x14ac:dyDescent="0.2">
      <c r="A2824" t="s">
        <v>4974</v>
      </c>
      <c r="B2824" t="s">
        <v>4973</v>
      </c>
      <c r="C2824" t="s">
        <v>4905</v>
      </c>
      <c r="D2824" t="s">
        <v>138</v>
      </c>
      <c r="E2824">
        <v>549.99</v>
      </c>
      <c r="F2824" t="s">
        <v>5817</v>
      </c>
      <c r="L2824" t="s">
        <v>5085</v>
      </c>
      <c r="M2824">
        <v>0</v>
      </c>
      <c r="N2824">
        <v>0</v>
      </c>
      <c r="O2824">
        <v>0</v>
      </c>
      <c r="P2824" t="s">
        <v>5819</v>
      </c>
    </row>
    <row r="2825" spans="1:16" x14ac:dyDescent="0.2">
      <c r="A2825" t="s">
        <v>4971</v>
      </c>
      <c r="B2825" t="s">
        <v>4970</v>
      </c>
      <c r="C2825" t="s">
        <v>4905</v>
      </c>
      <c r="D2825" t="s">
        <v>138</v>
      </c>
      <c r="E2825">
        <v>549.99</v>
      </c>
      <c r="F2825" t="s">
        <v>5817</v>
      </c>
      <c r="L2825" t="s">
        <v>5085</v>
      </c>
      <c r="M2825">
        <v>0</v>
      </c>
      <c r="N2825">
        <v>0</v>
      </c>
      <c r="O2825">
        <v>8.3333333333333329E-2</v>
      </c>
      <c r="P2825" t="s">
        <v>5819</v>
      </c>
    </row>
    <row r="2826" spans="1:16" x14ac:dyDescent="0.2">
      <c r="A2826" t="s">
        <v>4966</v>
      </c>
      <c r="B2826" t="s">
        <v>4967</v>
      </c>
      <c r="C2826" t="s">
        <v>4905</v>
      </c>
      <c r="D2826" t="s">
        <v>138</v>
      </c>
      <c r="E2826">
        <v>549.99</v>
      </c>
      <c r="F2826" t="s">
        <v>5817</v>
      </c>
      <c r="L2826" t="s">
        <v>5085</v>
      </c>
      <c r="M2826">
        <v>0</v>
      </c>
      <c r="N2826">
        <v>0</v>
      </c>
      <c r="O2826">
        <v>0</v>
      </c>
      <c r="P2826" t="s">
        <v>5819</v>
      </c>
    </row>
    <row r="2827" spans="1:16" x14ac:dyDescent="0.2">
      <c r="A2827" t="s">
        <v>4937</v>
      </c>
      <c r="B2827" t="s">
        <v>4936</v>
      </c>
      <c r="C2827" t="s">
        <v>4905</v>
      </c>
      <c r="D2827" t="s">
        <v>105</v>
      </c>
      <c r="E2827">
        <v>199.99</v>
      </c>
      <c r="F2827" t="s">
        <v>5817</v>
      </c>
      <c r="G2827">
        <v>62</v>
      </c>
      <c r="I2827">
        <v>62</v>
      </c>
      <c r="K2827">
        <v>48</v>
      </c>
      <c r="L2827" t="s">
        <v>5085</v>
      </c>
      <c r="M2827">
        <v>0</v>
      </c>
      <c r="N2827">
        <v>0</v>
      </c>
      <c r="O2827">
        <v>1.5833333333333333</v>
      </c>
      <c r="P2827" t="s">
        <v>5819</v>
      </c>
    </row>
    <row r="2828" spans="1:16" x14ac:dyDescent="0.2">
      <c r="A2828" t="s">
        <v>4934</v>
      </c>
      <c r="B2828" t="s">
        <v>4933</v>
      </c>
      <c r="C2828" t="s">
        <v>4905</v>
      </c>
      <c r="D2828" t="s">
        <v>105</v>
      </c>
      <c r="E2828">
        <v>219.99</v>
      </c>
      <c r="F2828" t="s">
        <v>5817</v>
      </c>
      <c r="G2828">
        <v>121</v>
      </c>
      <c r="H2828" t="s">
        <v>5823</v>
      </c>
      <c r="I2828">
        <v>120</v>
      </c>
      <c r="L2828" t="s">
        <v>5085</v>
      </c>
      <c r="M2828">
        <v>0</v>
      </c>
      <c r="N2828">
        <v>0</v>
      </c>
      <c r="O2828">
        <v>0</v>
      </c>
      <c r="P2828" t="s">
        <v>5819</v>
      </c>
    </row>
    <row r="2829" spans="1:16" x14ac:dyDescent="0.2">
      <c r="A2829" t="s">
        <v>4956</v>
      </c>
      <c r="B2829" t="s">
        <v>4955</v>
      </c>
      <c r="C2829" t="s">
        <v>4905</v>
      </c>
      <c r="D2829" t="s">
        <v>105</v>
      </c>
      <c r="E2829">
        <v>669</v>
      </c>
      <c r="F2829" t="s">
        <v>5817</v>
      </c>
      <c r="G2829">
        <v>10</v>
      </c>
      <c r="I2829">
        <v>10</v>
      </c>
      <c r="L2829" t="s">
        <v>5065</v>
      </c>
      <c r="M2829">
        <v>1.5</v>
      </c>
      <c r="N2829">
        <v>26</v>
      </c>
      <c r="O2829">
        <v>0.63636363636363635</v>
      </c>
      <c r="P2829">
        <v>39</v>
      </c>
    </row>
    <row r="2830" spans="1:16" x14ac:dyDescent="0.2">
      <c r="A2830" t="s">
        <v>4990</v>
      </c>
      <c r="B2830" t="s">
        <v>4991</v>
      </c>
      <c r="C2830" t="s">
        <v>4905</v>
      </c>
      <c r="D2830" t="s">
        <v>105</v>
      </c>
      <c r="E2830">
        <v>479</v>
      </c>
      <c r="F2830" t="s">
        <v>5817</v>
      </c>
      <c r="G2830">
        <v>8</v>
      </c>
      <c r="I2830">
        <v>8</v>
      </c>
      <c r="L2830" t="s">
        <v>5065</v>
      </c>
      <c r="M2830">
        <v>1.5</v>
      </c>
      <c r="N2830">
        <v>28.666666666666668</v>
      </c>
      <c r="O2830">
        <v>0.90909090909090917</v>
      </c>
      <c r="P2830">
        <v>43</v>
      </c>
    </row>
    <row r="2831" spans="1:16" x14ac:dyDescent="0.2">
      <c r="A2831" t="s">
        <v>4993</v>
      </c>
      <c r="B2831" t="s">
        <v>4994</v>
      </c>
      <c r="C2831" t="s">
        <v>4905</v>
      </c>
      <c r="D2831" t="s">
        <v>105</v>
      </c>
      <c r="E2831">
        <v>889</v>
      </c>
      <c r="F2831" t="s">
        <v>5817</v>
      </c>
      <c r="G2831">
        <v>11</v>
      </c>
      <c r="H2831" t="s">
        <v>5823</v>
      </c>
      <c r="I2831">
        <v>10</v>
      </c>
      <c r="L2831" t="s">
        <v>5065</v>
      </c>
      <c r="M2831">
        <v>1</v>
      </c>
      <c r="N2831">
        <v>44</v>
      </c>
      <c r="O2831">
        <v>0.27272727272727271</v>
      </c>
      <c r="P2831">
        <v>44</v>
      </c>
    </row>
    <row r="2832" spans="1:16" x14ac:dyDescent="0.2">
      <c r="A2832" t="s">
        <v>4989</v>
      </c>
      <c r="B2832" t="s">
        <v>4988</v>
      </c>
      <c r="C2832" t="s">
        <v>4905</v>
      </c>
      <c r="D2832" t="s">
        <v>105</v>
      </c>
      <c r="E2832">
        <v>479</v>
      </c>
      <c r="F2832" t="s">
        <v>5817</v>
      </c>
      <c r="G2832">
        <v>2</v>
      </c>
      <c r="I2832">
        <v>2</v>
      </c>
      <c r="L2832" t="s">
        <v>5065</v>
      </c>
      <c r="M2832">
        <v>-1</v>
      </c>
      <c r="N2832">
        <v>-51</v>
      </c>
      <c r="O2832">
        <v>9.0909090909090912E-2</v>
      </c>
      <c r="P2832">
        <v>51</v>
      </c>
    </row>
    <row r="2833" spans="1:16" x14ac:dyDescent="0.2">
      <c r="A2833" t="s">
        <v>4908</v>
      </c>
      <c r="B2833" t="s">
        <v>4909</v>
      </c>
      <c r="C2833" t="s">
        <v>4905</v>
      </c>
      <c r="D2833" t="s">
        <v>138</v>
      </c>
      <c r="E2833">
        <v>199.99</v>
      </c>
      <c r="F2833" t="s">
        <v>5817</v>
      </c>
      <c r="L2833" t="s">
        <v>5065</v>
      </c>
      <c r="N2833">
        <v>0</v>
      </c>
      <c r="O2833">
        <v>0</v>
      </c>
      <c r="P2833">
        <v>0</v>
      </c>
    </row>
    <row r="2834" spans="1:16" x14ac:dyDescent="0.2">
      <c r="A2834" t="s">
        <v>4913</v>
      </c>
      <c r="B2834" t="s">
        <v>4912</v>
      </c>
      <c r="C2834" t="s">
        <v>4905</v>
      </c>
      <c r="D2834" t="s">
        <v>138</v>
      </c>
      <c r="E2834">
        <v>199.99</v>
      </c>
      <c r="F2834" t="s">
        <v>5817</v>
      </c>
      <c r="L2834" t="s">
        <v>5065</v>
      </c>
      <c r="M2834">
        <v>0</v>
      </c>
      <c r="N2834">
        <v>0</v>
      </c>
      <c r="P2834">
        <v>0</v>
      </c>
    </row>
    <row r="2835" spans="1:16" x14ac:dyDescent="0.2">
      <c r="A2835" t="s">
        <v>5001</v>
      </c>
      <c r="B2835" t="s">
        <v>5000</v>
      </c>
      <c r="C2835" t="s">
        <v>4905</v>
      </c>
      <c r="D2835" t="s">
        <v>105</v>
      </c>
      <c r="E2835">
        <v>889</v>
      </c>
      <c r="F2835" t="s">
        <v>5817</v>
      </c>
      <c r="J2835">
        <v>16</v>
      </c>
      <c r="K2835">
        <v>30</v>
      </c>
      <c r="L2835" t="s">
        <v>5065</v>
      </c>
      <c r="M2835">
        <v>1</v>
      </c>
      <c r="N2835">
        <v>21</v>
      </c>
      <c r="O2835">
        <v>9.0909090909090912E-2</v>
      </c>
      <c r="P2835">
        <v>21</v>
      </c>
    </row>
    <row r="2836" spans="1:16" x14ac:dyDescent="0.2">
      <c r="A2836" t="s">
        <v>4996</v>
      </c>
      <c r="B2836" t="s">
        <v>4997</v>
      </c>
      <c r="C2836" t="s">
        <v>4905</v>
      </c>
      <c r="D2836" t="s">
        <v>105</v>
      </c>
      <c r="E2836">
        <v>889</v>
      </c>
      <c r="F2836" t="s">
        <v>5817</v>
      </c>
      <c r="G2836">
        <v>2</v>
      </c>
      <c r="I2836">
        <v>2</v>
      </c>
      <c r="K2836">
        <v>10</v>
      </c>
      <c r="L2836" t="s">
        <v>5065</v>
      </c>
      <c r="M2836">
        <v>1.25</v>
      </c>
      <c r="N2836">
        <v>28</v>
      </c>
      <c r="O2836">
        <v>0.27272727272727271</v>
      </c>
      <c r="P2836">
        <v>35</v>
      </c>
    </row>
    <row r="2837" spans="1:16" x14ac:dyDescent="0.2">
      <c r="A2837" t="s">
        <v>4934</v>
      </c>
      <c r="B2837" t="s">
        <v>4933</v>
      </c>
      <c r="C2837" t="s">
        <v>4905</v>
      </c>
      <c r="D2837" t="s">
        <v>105</v>
      </c>
      <c r="E2837">
        <v>219.99</v>
      </c>
      <c r="F2837" t="s">
        <v>5817</v>
      </c>
      <c r="G2837">
        <v>121</v>
      </c>
      <c r="H2837" t="s">
        <v>5823</v>
      </c>
      <c r="I2837">
        <v>120</v>
      </c>
      <c r="L2837" t="s">
        <v>5065</v>
      </c>
      <c r="M2837">
        <v>2</v>
      </c>
      <c r="N2837">
        <v>24</v>
      </c>
      <c r="O2837">
        <v>1.4545454545454546</v>
      </c>
      <c r="P2837">
        <v>48</v>
      </c>
    </row>
    <row r="2838" spans="1:16" x14ac:dyDescent="0.2">
      <c r="A2838" t="s">
        <v>4960</v>
      </c>
      <c r="B2838" t="s">
        <v>4961</v>
      </c>
      <c r="C2838" t="s">
        <v>4905</v>
      </c>
      <c r="D2838" t="s">
        <v>105</v>
      </c>
      <c r="E2838">
        <v>669</v>
      </c>
      <c r="F2838" t="s">
        <v>5817</v>
      </c>
      <c r="G2838">
        <v>9</v>
      </c>
      <c r="H2838" t="s">
        <v>5823</v>
      </c>
      <c r="I2838">
        <v>8</v>
      </c>
      <c r="L2838" t="s">
        <v>5065</v>
      </c>
      <c r="M2838">
        <v>1</v>
      </c>
      <c r="N2838">
        <v>48</v>
      </c>
      <c r="O2838">
        <v>1</v>
      </c>
      <c r="P2838">
        <v>48</v>
      </c>
    </row>
    <row r="2839" spans="1:16" x14ac:dyDescent="0.2">
      <c r="A2839" t="s">
        <v>4931</v>
      </c>
      <c r="B2839" t="s">
        <v>4930</v>
      </c>
      <c r="C2839" t="s">
        <v>4905</v>
      </c>
      <c r="D2839" t="s">
        <v>105</v>
      </c>
      <c r="E2839">
        <v>219.99</v>
      </c>
      <c r="F2839" t="s">
        <v>5817</v>
      </c>
      <c r="G2839">
        <v>124</v>
      </c>
      <c r="H2839" t="s">
        <v>5823</v>
      </c>
      <c r="I2839">
        <v>123</v>
      </c>
      <c r="K2839">
        <v>32</v>
      </c>
      <c r="L2839" t="s">
        <v>5065</v>
      </c>
      <c r="M2839">
        <v>2.4</v>
      </c>
      <c r="N2839">
        <v>15.416666666666668</v>
      </c>
      <c r="O2839">
        <v>4.8181818181818183</v>
      </c>
      <c r="P2839">
        <v>37</v>
      </c>
    </row>
    <row r="2840" spans="1:16" x14ac:dyDescent="0.2">
      <c r="A2840" t="s">
        <v>4953</v>
      </c>
      <c r="B2840" t="s">
        <v>4952</v>
      </c>
      <c r="C2840" t="s">
        <v>4905</v>
      </c>
      <c r="D2840" t="s">
        <v>105</v>
      </c>
      <c r="E2840">
        <v>669</v>
      </c>
      <c r="F2840" t="s">
        <v>5817</v>
      </c>
      <c r="G2840">
        <v>10</v>
      </c>
      <c r="I2840">
        <v>10</v>
      </c>
      <c r="L2840" t="s">
        <v>5065</v>
      </c>
      <c r="M2840">
        <v>2</v>
      </c>
      <c r="N2840">
        <v>26</v>
      </c>
      <c r="O2840">
        <v>0.45454545454545453</v>
      </c>
      <c r="P2840">
        <v>52</v>
      </c>
    </row>
    <row r="2841" spans="1:16" x14ac:dyDescent="0.2">
      <c r="A2841" t="s">
        <v>4957</v>
      </c>
      <c r="B2841" t="s">
        <v>4958</v>
      </c>
      <c r="C2841" t="s">
        <v>4905</v>
      </c>
      <c r="D2841" t="s">
        <v>105</v>
      </c>
      <c r="E2841">
        <v>669</v>
      </c>
      <c r="F2841" t="s">
        <v>5817</v>
      </c>
      <c r="G2841">
        <v>36</v>
      </c>
      <c r="I2841">
        <v>36</v>
      </c>
      <c r="L2841" t="s">
        <v>5065</v>
      </c>
      <c r="M2841">
        <v>1</v>
      </c>
      <c r="N2841">
        <v>49</v>
      </c>
      <c r="O2841">
        <v>1.6363636363636365</v>
      </c>
      <c r="P2841">
        <v>49</v>
      </c>
    </row>
    <row r="2842" spans="1:16" x14ac:dyDescent="0.2">
      <c r="A2842" t="s">
        <v>4938</v>
      </c>
      <c r="B2842" t="s">
        <v>4939</v>
      </c>
      <c r="C2842" t="s">
        <v>4905</v>
      </c>
      <c r="D2842" t="s">
        <v>105</v>
      </c>
      <c r="E2842">
        <v>489.99</v>
      </c>
      <c r="F2842" t="s">
        <v>5817</v>
      </c>
      <c r="G2842">
        <v>4</v>
      </c>
      <c r="H2842" t="s">
        <v>5823</v>
      </c>
      <c r="I2842">
        <v>3</v>
      </c>
      <c r="L2842" t="s">
        <v>5065</v>
      </c>
      <c r="N2842">
        <v>0</v>
      </c>
      <c r="O2842">
        <v>0.18181818181818182</v>
      </c>
      <c r="P2842">
        <v>0</v>
      </c>
    </row>
    <row r="2843" spans="1:16" x14ac:dyDescent="0.2">
      <c r="A2843" t="s">
        <v>4937</v>
      </c>
      <c r="B2843" t="s">
        <v>4936</v>
      </c>
      <c r="C2843" t="s">
        <v>4905</v>
      </c>
      <c r="D2843" t="s">
        <v>105</v>
      </c>
      <c r="E2843">
        <v>199.99</v>
      </c>
      <c r="F2843" t="s">
        <v>5817</v>
      </c>
      <c r="G2843">
        <v>62</v>
      </c>
      <c r="I2843">
        <v>62</v>
      </c>
      <c r="K2843">
        <v>48</v>
      </c>
      <c r="L2843" t="s">
        <v>5065</v>
      </c>
      <c r="M2843">
        <v>1.75</v>
      </c>
      <c r="N2843">
        <v>12</v>
      </c>
      <c r="O2843">
        <v>1.2727272727272727</v>
      </c>
      <c r="P2843">
        <v>21</v>
      </c>
    </row>
    <row r="2844" spans="1:16" x14ac:dyDescent="0.2">
      <c r="A2844" t="s">
        <v>4928</v>
      </c>
      <c r="B2844" t="s">
        <v>4927</v>
      </c>
      <c r="C2844" t="s">
        <v>4905</v>
      </c>
      <c r="D2844" t="s">
        <v>105</v>
      </c>
      <c r="E2844">
        <v>819.99</v>
      </c>
      <c r="F2844" t="s">
        <v>5817</v>
      </c>
      <c r="G2844">
        <v>43</v>
      </c>
      <c r="I2844">
        <v>43</v>
      </c>
      <c r="L2844" t="s">
        <v>5065</v>
      </c>
      <c r="M2844">
        <v>0</v>
      </c>
      <c r="N2844">
        <v>0</v>
      </c>
      <c r="O2844">
        <v>0</v>
      </c>
      <c r="P2844">
        <v>0</v>
      </c>
    </row>
    <row r="2845" spans="1:16" x14ac:dyDescent="0.2">
      <c r="A2845" t="s">
        <v>4980</v>
      </c>
      <c r="B2845" t="s">
        <v>4979</v>
      </c>
      <c r="C2845" t="s">
        <v>4905</v>
      </c>
      <c r="D2845" t="s">
        <v>138</v>
      </c>
      <c r="E2845">
        <v>729.99</v>
      </c>
      <c r="F2845" t="s">
        <v>5817</v>
      </c>
      <c r="L2845" t="s">
        <v>5065</v>
      </c>
      <c r="M2845">
        <v>1.5</v>
      </c>
      <c r="N2845">
        <v>4.666666666666667</v>
      </c>
      <c r="O2845">
        <v>0.58333333333333337</v>
      </c>
      <c r="P2845">
        <v>7</v>
      </c>
    </row>
    <row r="2846" spans="1:16" x14ac:dyDescent="0.2">
      <c r="A2846" t="s">
        <v>4922</v>
      </c>
      <c r="B2846" t="s">
        <v>4921</v>
      </c>
      <c r="C2846" t="s">
        <v>4905</v>
      </c>
      <c r="D2846" t="s">
        <v>138</v>
      </c>
      <c r="E2846">
        <v>269.99</v>
      </c>
      <c r="F2846" t="s">
        <v>5817</v>
      </c>
      <c r="L2846" t="s">
        <v>5065</v>
      </c>
      <c r="M2846">
        <v>0</v>
      </c>
      <c r="N2846">
        <v>0</v>
      </c>
      <c r="O2846">
        <v>1</v>
      </c>
      <c r="P2846">
        <v>0</v>
      </c>
    </row>
    <row r="2847" spans="1:16" x14ac:dyDescent="0.2">
      <c r="A2847" t="s">
        <v>4917</v>
      </c>
      <c r="B2847" t="s">
        <v>4918</v>
      </c>
      <c r="C2847" t="s">
        <v>4905</v>
      </c>
      <c r="D2847" t="s">
        <v>105</v>
      </c>
      <c r="E2847">
        <v>119.99</v>
      </c>
      <c r="F2847" t="s">
        <v>5817</v>
      </c>
      <c r="G2847">
        <v>118</v>
      </c>
      <c r="I2847">
        <v>118</v>
      </c>
      <c r="L2847" t="s">
        <v>5065</v>
      </c>
      <c r="M2847">
        <v>0</v>
      </c>
      <c r="N2847">
        <v>0</v>
      </c>
      <c r="O2847">
        <v>0</v>
      </c>
      <c r="P2847">
        <v>0</v>
      </c>
    </row>
    <row r="2848" spans="1:16" x14ac:dyDescent="0.2">
      <c r="A2848" t="s">
        <v>4916</v>
      </c>
      <c r="B2848" t="s">
        <v>4915</v>
      </c>
      <c r="C2848" t="s">
        <v>4905</v>
      </c>
      <c r="D2848" t="s">
        <v>105</v>
      </c>
      <c r="E2848">
        <v>119.99</v>
      </c>
      <c r="F2848" t="s">
        <v>5817</v>
      </c>
      <c r="G2848">
        <v>157</v>
      </c>
      <c r="I2848">
        <v>157</v>
      </c>
      <c r="L2848" t="s">
        <v>5065</v>
      </c>
      <c r="M2848">
        <v>2.25</v>
      </c>
      <c r="N2848">
        <v>18.666666666666668</v>
      </c>
      <c r="O2848">
        <v>6.0909090909090908</v>
      </c>
      <c r="P2848">
        <v>42</v>
      </c>
    </row>
    <row r="2849" spans="1:16" x14ac:dyDescent="0.2">
      <c r="A2849" t="s">
        <v>4986</v>
      </c>
      <c r="B2849" t="s">
        <v>4985</v>
      </c>
      <c r="C2849" t="s">
        <v>4905</v>
      </c>
      <c r="D2849" t="s">
        <v>105</v>
      </c>
      <c r="E2849">
        <v>479</v>
      </c>
      <c r="F2849" t="s">
        <v>5817</v>
      </c>
      <c r="G2849">
        <v>3</v>
      </c>
      <c r="I2849">
        <v>3</v>
      </c>
      <c r="L2849" t="s">
        <v>5065</v>
      </c>
      <c r="N2849">
        <v>0</v>
      </c>
      <c r="O2849">
        <v>9.0909090909090912E-2</v>
      </c>
      <c r="P2849">
        <v>50</v>
      </c>
    </row>
    <row r="2850" spans="1:16" x14ac:dyDescent="0.2">
      <c r="A2850" t="s">
        <v>4971</v>
      </c>
      <c r="B2850" t="s">
        <v>4970</v>
      </c>
      <c r="C2850" t="s">
        <v>4905</v>
      </c>
      <c r="D2850" t="s">
        <v>138</v>
      </c>
      <c r="E2850">
        <v>549.99</v>
      </c>
      <c r="F2850" t="s">
        <v>5817</v>
      </c>
      <c r="L2850" t="s">
        <v>5065</v>
      </c>
      <c r="M2850">
        <v>0</v>
      </c>
      <c r="N2850">
        <v>0</v>
      </c>
      <c r="O2850">
        <v>9.0909090909090912E-2</v>
      </c>
      <c r="P2850">
        <v>8</v>
      </c>
    </row>
    <row r="2851" spans="1:16" x14ac:dyDescent="0.2">
      <c r="A2851" t="s">
        <v>4974</v>
      </c>
      <c r="B2851" t="s">
        <v>4973</v>
      </c>
      <c r="C2851" t="s">
        <v>4905</v>
      </c>
      <c r="D2851" t="s">
        <v>138</v>
      </c>
      <c r="E2851">
        <v>549.99</v>
      </c>
      <c r="F2851" t="s">
        <v>5817</v>
      </c>
      <c r="L2851" t="s">
        <v>5065</v>
      </c>
      <c r="M2851">
        <v>2.5</v>
      </c>
      <c r="N2851">
        <v>3.2</v>
      </c>
      <c r="O2851">
        <v>0.66666666666666652</v>
      </c>
      <c r="P2851">
        <v>8</v>
      </c>
    </row>
    <row r="2852" spans="1:16" x14ac:dyDescent="0.2">
      <c r="A2852" t="s">
        <v>4923</v>
      </c>
      <c r="B2852" t="s">
        <v>4924</v>
      </c>
      <c r="C2852" t="s">
        <v>4905</v>
      </c>
      <c r="D2852" t="s">
        <v>105</v>
      </c>
      <c r="E2852">
        <v>379.99</v>
      </c>
      <c r="F2852" t="s">
        <v>5817</v>
      </c>
      <c r="G2852">
        <v>48</v>
      </c>
      <c r="I2852">
        <v>48</v>
      </c>
      <c r="L2852" t="s">
        <v>5065</v>
      </c>
      <c r="M2852">
        <v>0</v>
      </c>
      <c r="N2852">
        <v>0</v>
      </c>
      <c r="O2852">
        <v>0</v>
      </c>
      <c r="P2852">
        <v>0</v>
      </c>
    </row>
    <row r="2853" spans="1:16" x14ac:dyDescent="0.2">
      <c r="A2853" t="s">
        <v>5005</v>
      </c>
      <c r="B2853" t="s">
        <v>5006</v>
      </c>
      <c r="C2853" t="s">
        <v>4905</v>
      </c>
      <c r="D2853" t="s">
        <v>105</v>
      </c>
      <c r="E2853">
        <v>199</v>
      </c>
      <c r="F2853" t="s">
        <v>5817</v>
      </c>
      <c r="G2853">
        <v>7</v>
      </c>
      <c r="H2853" t="s">
        <v>5823</v>
      </c>
      <c r="I2853">
        <v>6</v>
      </c>
      <c r="L2853" t="s">
        <v>5065</v>
      </c>
      <c r="M2853">
        <v>1</v>
      </c>
      <c r="N2853">
        <v>52</v>
      </c>
      <c r="O2853">
        <v>0.36363636363636365</v>
      </c>
      <c r="P2853">
        <v>52</v>
      </c>
    </row>
    <row r="2854" spans="1:16" x14ac:dyDescent="0.2">
      <c r="A2854" t="s">
        <v>4937</v>
      </c>
      <c r="B2854" t="s">
        <v>4936</v>
      </c>
      <c r="C2854" t="s">
        <v>4905</v>
      </c>
      <c r="D2854" t="s">
        <v>105</v>
      </c>
      <c r="E2854">
        <v>199.99</v>
      </c>
      <c r="F2854" t="s">
        <v>5817</v>
      </c>
      <c r="G2854">
        <v>62</v>
      </c>
      <c r="I2854">
        <v>62</v>
      </c>
      <c r="K2854">
        <v>48</v>
      </c>
      <c r="L2854" t="s">
        <v>8</v>
      </c>
      <c r="M2854">
        <v>0</v>
      </c>
      <c r="N2854">
        <v>0</v>
      </c>
      <c r="O2854">
        <v>0</v>
      </c>
      <c r="P2854">
        <v>107</v>
      </c>
    </row>
    <row r="2855" spans="1:16" x14ac:dyDescent="0.2">
      <c r="A2855" t="s">
        <v>4938</v>
      </c>
      <c r="B2855" t="s">
        <v>4939</v>
      </c>
      <c r="C2855" t="s">
        <v>4905</v>
      </c>
      <c r="D2855" t="s">
        <v>105</v>
      </c>
      <c r="E2855">
        <v>489.99</v>
      </c>
      <c r="F2855" t="s">
        <v>5817</v>
      </c>
      <c r="G2855">
        <v>4</v>
      </c>
      <c r="H2855" t="s">
        <v>5823</v>
      </c>
      <c r="I2855">
        <v>3</v>
      </c>
      <c r="L2855" t="s">
        <v>8</v>
      </c>
      <c r="M2855">
        <v>0</v>
      </c>
      <c r="N2855">
        <v>0</v>
      </c>
      <c r="O2855">
        <v>0</v>
      </c>
      <c r="P2855">
        <v>4</v>
      </c>
    </row>
    <row r="2856" spans="1:16" x14ac:dyDescent="0.2">
      <c r="A2856" t="s">
        <v>5002</v>
      </c>
      <c r="B2856" t="s">
        <v>5003</v>
      </c>
      <c r="C2856" t="s">
        <v>4905</v>
      </c>
      <c r="D2856" t="s">
        <v>105</v>
      </c>
      <c r="E2856">
        <v>219</v>
      </c>
      <c r="F2856" t="s">
        <v>5817</v>
      </c>
      <c r="J2856">
        <v>6</v>
      </c>
      <c r="K2856">
        <v>10</v>
      </c>
      <c r="L2856" t="s">
        <v>8</v>
      </c>
      <c r="M2856">
        <v>0</v>
      </c>
      <c r="N2856">
        <v>0</v>
      </c>
      <c r="O2856">
        <v>0</v>
      </c>
      <c r="P2856">
        <v>37</v>
      </c>
    </row>
    <row r="2857" spans="1:16" x14ac:dyDescent="0.2">
      <c r="A2857" t="s">
        <v>4916</v>
      </c>
      <c r="B2857" t="s">
        <v>4915</v>
      </c>
      <c r="C2857" t="s">
        <v>4905</v>
      </c>
      <c r="D2857" t="s">
        <v>105</v>
      </c>
      <c r="E2857">
        <v>119.99</v>
      </c>
      <c r="F2857" t="s">
        <v>5817</v>
      </c>
      <c r="G2857">
        <v>157</v>
      </c>
      <c r="I2857">
        <v>157</v>
      </c>
      <c r="L2857" t="s">
        <v>8</v>
      </c>
      <c r="M2857">
        <v>0</v>
      </c>
      <c r="N2857">
        <v>0</v>
      </c>
      <c r="O2857">
        <v>0</v>
      </c>
      <c r="P2857">
        <v>107</v>
      </c>
    </row>
    <row r="2858" spans="1:16" x14ac:dyDescent="0.2">
      <c r="A2858" t="s">
        <v>5005</v>
      </c>
      <c r="B2858" t="s">
        <v>5006</v>
      </c>
      <c r="C2858" t="s">
        <v>4905</v>
      </c>
      <c r="D2858" t="s">
        <v>105</v>
      </c>
      <c r="E2858">
        <v>199</v>
      </c>
      <c r="F2858" t="s">
        <v>5817</v>
      </c>
      <c r="G2858">
        <v>7</v>
      </c>
      <c r="H2858" t="s">
        <v>5823</v>
      </c>
      <c r="I2858">
        <v>6</v>
      </c>
      <c r="L2858" t="s">
        <v>8</v>
      </c>
      <c r="M2858">
        <v>0</v>
      </c>
      <c r="N2858">
        <v>0</v>
      </c>
      <c r="O2858">
        <v>0</v>
      </c>
      <c r="P2858">
        <v>37</v>
      </c>
    </row>
    <row r="2859" spans="1:16" x14ac:dyDescent="0.2">
      <c r="A2859" t="s">
        <v>5019</v>
      </c>
      <c r="B2859" t="s">
        <v>5020</v>
      </c>
      <c r="C2859" t="s">
        <v>5010</v>
      </c>
      <c r="D2859" t="s">
        <v>138</v>
      </c>
      <c r="E2859">
        <v>22.99</v>
      </c>
      <c r="F2859" t="s">
        <v>5817</v>
      </c>
      <c r="L2859" t="s">
        <v>73</v>
      </c>
      <c r="M2859">
        <v>0</v>
      </c>
      <c r="N2859">
        <v>0</v>
      </c>
      <c r="O2859">
        <v>0.41666666666666652</v>
      </c>
      <c r="P2859">
        <v>0</v>
      </c>
    </row>
    <row r="2860" spans="1:16" x14ac:dyDescent="0.2">
      <c r="A2860" t="s">
        <v>5013</v>
      </c>
      <c r="B2860" t="s">
        <v>5014</v>
      </c>
      <c r="C2860" t="s">
        <v>5010</v>
      </c>
      <c r="D2860" t="s">
        <v>138</v>
      </c>
      <c r="E2860">
        <v>29.99</v>
      </c>
      <c r="F2860" t="s">
        <v>5817</v>
      </c>
      <c r="L2860" t="s">
        <v>73</v>
      </c>
      <c r="M2860">
        <v>0</v>
      </c>
      <c r="N2860">
        <v>0</v>
      </c>
      <c r="O2860">
        <v>0</v>
      </c>
      <c r="P2860">
        <v>0</v>
      </c>
    </row>
    <row r="2861" spans="1:16" x14ac:dyDescent="0.2">
      <c r="A2861" t="s">
        <v>5011</v>
      </c>
      <c r="B2861" t="s">
        <v>5012</v>
      </c>
      <c r="C2861" t="s">
        <v>5010</v>
      </c>
      <c r="D2861" t="s">
        <v>138</v>
      </c>
      <c r="E2861">
        <v>99.99</v>
      </c>
      <c r="F2861" t="s">
        <v>5817</v>
      </c>
      <c r="L2861" t="s">
        <v>73</v>
      </c>
      <c r="M2861">
        <v>0</v>
      </c>
      <c r="N2861">
        <v>0</v>
      </c>
      <c r="O2861">
        <v>0</v>
      </c>
      <c r="P2861">
        <v>0</v>
      </c>
    </row>
    <row r="2862" spans="1:16" x14ac:dyDescent="0.2">
      <c r="A2862" t="s">
        <v>5015</v>
      </c>
      <c r="B2862" t="s">
        <v>5016</v>
      </c>
      <c r="C2862" t="s">
        <v>5010</v>
      </c>
      <c r="D2862" t="s">
        <v>138</v>
      </c>
      <c r="E2862">
        <v>22.99</v>
      </c>
      <c r="F2862" t="s">
        <v>5817</v>
      </c>
      <c r="L2862" t="s">
        <v>73</v>
      </c>
      <c r="M2862">
        <v>0</v>
      </c>
      <c r="N2862">
        <v>0</v>
      </c>
      <c r="O2862">
        <v>8.3333333333333329E-2</v>
      </c>
      <c r="P2862">
        <v>0</v>
      </c>
    </row>
    <row r="2863" spans="1:16" x14ac:dyDescent="0.2">
      <c r="A2863" t="s">
        <v>5037</v>
      </c>
      <c r="B2863" t="s">
        <v>5038</v>
      </c>
      <c r="C2863" t="s">
        <v>5010</v>
      </c>
      <c r="D2863" t="s">
        <v>138</v>
      </c>
      <c r="E2863">
        <v>94.99</v>
      </c>
      <c r="F2863" t="s">
        <v>5817</v>
      </c>
      <c r="L2863" t="s">
        <v>73</v>
      </c>
      <c r="M2863">
        <v>0</v>
      </c>
      <c r="N2863">
        <v>0</v>
      </c>
      <c r="O2863">
        <v>0</v>
      </c>
      <c r="P2863">
        <v>0</v>
      </c>
    </row>
    <row r="2864" spans="1:16" x14ac:dyDescent="0.2">
      <c r="A2864" t="s">
        <v>5017</v>
      </c>
      <c r="B2864" t="s">
        <v>5018</v>
      </c>
      <c r="C2864" t="s">
        <v>5010</v>
      </c>
      <c r="D2864" t="s">
        <v>138</v>
      </c>
      <c r="E2864">
        <v>22.99</v>
      </c>
      <c r="F2864" t="s">
        <v>5817</v>
      </c>
      <c r="L2864" t="s">
        <v>73</v>
      </c>
      <c r="M2864">
        <v>0</v>
      </c>
      <c r="N2864">
        <v>0</v>
      </c>
      <c r="O2864">
        <v>0.5</v>
      </c>
      <c r="P2864">
        <v>0</v>
      </c>
    </row>
    <row r="2865" spans="1:16" x14ac:dyDescent="0.2">
      <c r="A2865" t="s">
        <v>5027</v>
      </c>
      <c r="B2865" t="s">
        <v>5028</v>
      </c>
      <c r="C2865" t="s">
        <v>5010</v>
      </c>
      <c r="D2865" t="s">
        <v>98</v>
      </c>
      <c r="E2865">
        <v>649.99</v>
      </c>
      <c r="F2865" t="s">
        <v>5817</v>
      </c>
      <c r="L2865" t="s">
        <v>73</v>
      </c>
      <c r="M2865">
        <v>0</v>
      </c>
      <c r="N2865">
        <v>0</v>
      </c>
      <c r="O2865">
        <v>0</v>
      </c>
      <c r="P2865">
        <v>0</v>
      </c>
    </row>
    <row r="2866" spans="1:16" x14ac:dyDescent="0.2">
      <c r="A2866" t="s">
        <v>5033</v>
      </c>
      <c r="B2866" t="s">
        <v>5034</v>
      </c>
      <c r="C2866" t="s">
        <v>5010</v>
      </c>
      <c r="D2866" t="s">
        <v>138</v>
      </c>
      <c r="E2866">
        <v>199.99</v>
      </c>
      <c r="F2866" t="s">
        <v>5817</v>
      </c>
      <c r="L2866" t="s">
        <v>73</v>
      </c>
      <c r="M2866">
        <v>0</v>
      </c>
      <c r="N2866">
        <v>0</v>
      </c>
      <c r="O2866">
        <v>8.3333333333333329E-2</v>
      </c>
      <c r="P2866">
        <v>0</v>
      </c>
    </row>
    <row r="2867" spans="1:16" x14ac:dyDescent="0.2">
      <c r="A2867" t="s">
        <v>5035</v>
      </c>
      <c r="B2867" t="s">
        <v>5036</v>
      </c>
      <c r="C2867" t="s">
        <v>5010</v>
      </c>
      <c r="D2867" t="s">
        <v>138</v>
      </c>
      <c r="E2867">
        <v>22.99</v>
      </c>
      <c r="F2867" t="s">
        <v>5817</v>
      </c>
      <c r="L2867" t="s">
        <v>73</v>
      </c>
      <c r="M2867">
        <v>0</v>
      </c>
      <c r="N2867">
        <v>0</v>
      </c>
      <c r="O2867">
        <v>0.16666666666666666</v>
      </c>
      <c r="P2867">
        <v>0</v>
      </c>
    </row>
    <row r="2868" spans="1:16" x14ac:dyDescent="0.2">
      <c r="A2868" t="s">
        <v>5029</v>
      </c>
      <c r="B2868" t="s">
        <v>5030</v>
      </c>
      <c r="C2868" t="s">
        <v>5010</v>
      </c>
      <c r="D2868" t="s">
        <v>138</v>
      </c>
      <c r="E2868">
        <v>799.99</v>
      </c>
      <c r="F2868" t="s">
        <v>5817</v>
      </c>
      <c r="L2868" t="s">
        <v>73</v>
      </c>
      <c r="M2868">
        <v>0</v>
      </c>
      <c r="N2868">
        <v>0</v>
      </c>
      <c r="O2868">
        <v>0.16666666666666666</v>
      </c>
      <c r="P2868">
        <v>0</v>
      </c>
    </row>
    <row r="2869" spans="1:16" x14ac:dyDescent="0.2">
      <c r="A2869" t="s">
        <v>5031</v>
      </c>
      <c r="B2869" t="s">
        <v>5032</v>
      </c>
      <c r="C2869" t="s">
        <v>5010</v>
      </c>
      <c r="D2869" t="s">
        <v>138</v>
      </c>
      <c r="E2869">
        <v>449.99</v>
      </c>
      <c r="F2869" t="s">
        <v>5817</v>
      </c>
      <c r="L2869" t="s">
        <v>73</v>
      </c>
      <c r="N2869">
        <v>0</v>
      </c>
      <c r="O2869">
        <v>0</v>
      </c>
      <c r="P2869">
        <v>1</v>
      </c>
    </row>
    <row r="2870" spans="1:16" x14ac:dyDescent="0.2">
      <c r="A2870" t="s">
        <v>5037</v>
      </c>
      <c r="B2870" t="s">
        <v>5038</v>
      </c>
      <c r="C2870" t="s">
        <v>5010</v>
      </c>
      <c r="D2870" t="s">
        <v>138</v>
      </c>
      <c r="E2870">
        <v>94.99</v>
      </c>
      <c r="F2870" t="s">
        <v>5817</v>
      </c>
      <c r="L2870" t="s">
        <v>5818</v>
      </c>
      <c r="M2870">
        <v>0</v>
      </c>
      <c r="N2870">
        <v>0</v>
      </c>
      <c r="O2870">
        <v>0</v>
      </c>
      <c r="P2870" t="s">
        <v>5819</v>
      </c>
    </row>
    <row r="2871" spans="1:16" x14ac:dyDescent="0.2">
      <c r="A2871" t="s">
        <v>5035</v>
      </c>
      <c r="B2871" t="s">
        <v>5036</v>
      </c>
      <c r="C2871" t="s">
        <v>5010</v>
      </c>
      <c r="D2871" t="s">
        <v>138</v>
      </c>
      <c r="E2871">
        <v>22.99</v>
      </c>
      <c r="F2871" t="s">
        <v>5817</v>
      </c>
      <c r="L2871" t="s">
        <v>5818</v>
      </c>
      <c r="M2871">
        <v>0</v>
      </c>
      <c r="N2871">
        <v>0</v>
      </c>
      <c r="O2871">
        <v>0</v>
      </c>
      <c r="P2871" t="s">
        <v>5819</v>
      </c>
    </row>
    <row r="2872" spans="1:16" x14ac:dyDescent="0.2">
      <c r="A2872" t="s">
        <v>5033</v>
      </c>
      <c r="B2872" t="s">
        <v>5034</v>
      </c>
      <c r="C2872" t="s">
        <v>5010</v>
      </c>
      <c r="D2872" t="s">
        <v>138</v>
      </c>
      <c r="E2872">
        <v>199.99</v>
      </c>
      <c r="F2872" t="s">
        <v>5817</v>
      </c>
      <c r="L2872" t="s">
        <v>5818</v>
      </c>
      <c r="M2872">
        <v>0</v>
      </c>
      <c r="N2872">
        <v>0</v>
      </c>
      <c r="O2872">
        <v>0</v>
      </c>
      <c r="P2872" t="s">
        <v>5819</v>
      </c>
    </row>
    <row r="2873" spans="1:16" x14ac:dyDescent="0.2">
      <c r="A2873" t="s">
        <v>5031</v>
      </c>
      <c r="B2873" t="s">
        <v>5032</v>
      </c>
      <c r="C2873" t="s">
        <v>5010</v>
      </c>
      <c r="D2873" t="s">
        <v>138</v>
      </c>
      <c r="E2873">
        <v>449.99</v>
      </c>
      <c r="F2873" t="s">
        <v>5817</v>
      </c>
      <c r="L2873" t="s">
        <v>5818</v>
      </c>
      <c r="M2873">
        <v>0</v>
      </c>
      <c r="N2873">
        <v>0</v>
      </c>
      <c r="O2873">
        <v>0</v>
      </c>
      <c r="P2873" t="s">
        <v>5819</v>
      </c>
    </row>
    <row r="2874" spans="1:16" x14ac:dyDescent="0.2">
      <c r="A2874" t="s">
        <v>5029</v>
      </c>
      <c r="B2874" t="s">
        <v>5030</v>
      </c>
      <c r="C2874" t="s">
        <v>5010</v>
      </c>
      <c r="D2874" t="s">
        <v>138</v>
      </c>
      <c r="E2874">
        <v>799.99</v>
      </c>
      <c r="F2874" t="s">
        <v>5817</v>
      </c>
      <c r="L2874" t="s">
        <v>5818</v>
      </c>
      <c r="M2874">
        <v>0</v>
      </c>
      <c r="N2874">
        <v>0</v>
      </c>
      <c r="O2874">
        <v>0</v>
      </c>
      <c r="P2874" t="s">
        <v>5819</v>
      </c>
    </row>
    <row r="2875" spans="1:16" x14ac:dyDescent="0.2">
      <c r="A2875" t="s">
        <v>5027</v>
      </c>
      <c r="B2875" t="s">
        <v>5028</v>
      </c>
      <c r="C2875" t="s">
        <v>5010</v>
      </c>
      <c r="D2875" t="s">
        <v>98</v>
      </c>
      <c r="E2875">
        <v>649.99</v>
      </c>
      <c r="F2875" t="s">
        <v>5817</v>
      </c>
      <c r="L2875" t="s">
        <v>5818</v>
      </c>
      <c r="M2875">
        <v>0</v>
      </c>
      <c r="N2875">
        <v>0</v>
      </c>
      <c r="O2875">
        <v>0</v>
      </c>
      <c r="P2875" t="s">
        <v>5819</v>
      </c>
    </row>
    <row r="2876" spans="1:16" x14ac:dyDescent="0.2">
      <c r="A2876" t="s">
        <v>5019</v>
      </c>
      <c r="B2876" t="s">
        <v>5020</v>
      </c>
      <c r="C2876" t="s">
        <v>5010</v>
      </c>
      <c r="D2876" t="s">
        <v>138</v>
      </c>
      <c r="E2876">
        <v>22.99</v>
      </c>
      <c r="F2876" t="s">
        <v>5817</v>
      </c>
      <c r="L2876" t="s">
        <v>5818</v>
      </c>
      <c r="M2876">
        <v>0</v>
      </c>
      <c r="N2876">
        <v>0</v>
      </c>
      <c r="O2876">
        <v>0</v>
      </c>
      <c r="P2876" t="s">
        <v>5819</v>
      </c>
    </row>
    <row r="2877" spans="1:16" x14ac:dyDescent="0.2">
      <c r="A2877" t="s">
        <v>5017</v>
      </c>
      <c r="B2877" t="s">
        <v>5018</v>
      </c>
      <c r="C2877" t="s">
        <v>5010</v>
      </c>
      <c r="D2877" t="s">
        <v>138</v>
      </c>
      <c r="E2877">
        <v>22.99</v>
      </c>
      <c r="F2877" t="s">
        <v>5817</v>
      </c>
      <c r="L2877" t="s">
        <v>5818</v>
      </c>
      <c r="M2877">
        <v>0</v>
      </c>
      <c r="N2877">
        <v>0</v>
      </c>
      <c r="O2877">
        <v>0</v>
      </c>
      <c r="P2877" t="s">
        <v>5819</v>
      </c>
    </row>
    <row r="2878" spans="1:16" x14ac:dyDescent="0.2">
      <c r="A2878" t="s">
        <v>5015</v>
      </c>
      <c r="B2878" t="s">
        <v>5016</v>
      </c>
      <c r="C2878" t="s">
        <v>5010</v>
      </c>
      <c r="D2878" t="s">
        <v>138</v>
      </c>
      <c r="E2878">
        <v>22.99</v>
      </c>
      <c r="F2878" t="s">
        <v>5817</v>
      </c>
      <c r="L2878" t="s">
        <v>5818</v>
      </c>
      <c r="M2878">
        <v>0</v>
      </c>
      <c r="N2878">
        <v>0</v>
      </c>
      <c r="O2878">
        <v>0</v>
      </c>
      <c r="P2878" t="s">
        <v>5819</v>
      </c>
    </row>
    <row r="2879" spans="1:16" x14ac:dyDescent="0.2">
      <c r="A2879" t="s">
        <v>5013</v>
      </c>
      <c r="B2879" t="s">
        <v>5014</v>
      </c>
      <c r="C2879" t="s">
        <v>5010</v>
      </c>
      <c r="D2879" t="s">
        <v>138</v>
      </c>
      <c r="E2879">
        <v>29.99</v>
      </c>
      <c r="F2879" t="s">
        <v>5817</v>
      </c>
      <c r="L2879" t="s">
        <v>5818</v>
      </c>
      <c r="M2879">
        <v>0</v>
      </c>
      <c r="N2879">
        <v>0</v>
      </c>
      <c r="O2879">
        <v>0</v>
      </c>
      <c r="P2879" t="s">
        <v>5819</v>
      </c>
    </row>
    <row r="2880" spans="1:16" x14ac:dyDescent="0.2">
      <c r="A2880" t="s">
        <v>5011</v>
      </c>
      <c r="B2880" t="s">
        <v>5012</v>
      </c>
      <c r="C2880" t="s">
        <v>5010</v>
      </c>
      <c r="D2880" t="s">
        <v>138</v>
      </c>
      <c r="E2880">
        <v>99.99</v>
      </c>
      <c r="F2880" t="s">
        <v>5817</v>
      </c>
      <c r="L2880" t="s">
        <v>5818</v>
      </c>
      <c r="M2880">
        <v>0</v>
      </c>
      <c r="N2880">
        <v>0</v>
      </c>
      <c r="O2880">
        <v>0</v>
      </c>
      <c r="P2880" t="s">
        <v>5819</v>
      </c>
    </row>
    <row r="2881" spans="1:16" x14ac:dyDescent="0.2">
      <c r="A2881" t="s">
        <v>5033</v>
      </c>
      <c r="B2881" t="s">
        <v>5034</v>
      </c>
      <c r="C2881" t="s">
        <v>5010</v>
      </c>
      <c r="D2881" t="s">
        <v>138</v>
      </c>
      <c r="E2881">
        <v>199.99</v>
      </c>
      <c r="F2881" t="s">
        <v>5817</v>
      </c>
      <c r="L2881" t="s">
        <v>5085</v>
      </c>
      <c r="M2881">
        <v>0</v>
      </c>
      <c r="N2881">
        <v>0</v>
      </c>
      <c r="O2881">
        <v>8.3333333333333329E-2</v>
      </c>
      <c r="P2881">
        <v>15</v>
      </c>
    </row>
    <row r="2882" spans="1:16" x14ac:dyDescent="0.2">
      <c r="A2882" t="s">
        <v>5037</v>
      </c>
      <c r="B2882" t="s">
        <v>5038</v>
      </c>
      <c r="C2882" t="s">
        <v>5010</v>
      </c>
      <c r="D2882" t="s">
        <v>138</v>
      </c>
      <c r="E2882">
        <v>94.99</v>
      </c>
      <c r="F2882" t="s">
        <v>5817</v>
      </c>
      <c r="L2882" t="s">
        <v>5085</v>
      </c>
      <c r="M2882">
        <v>0</v>
      </c>
      <c r="N2882">
        <v>0</v>
      </c>
      <c r="O2882">
        <v>0</v>
      </c>
      <c r="P2882" t="s">
        <v>5819</v>
      </c>
    </row>
    <row r="2883" spans="1:16" x14ac:dyDescent="0.2">
      <c r="A2883" t="s">
        <v>5013</v>
      </c>
      <c r="B2883" t="s">
        <v>5014</v>
      </c>
      <c r="C2883" t="s">
        <v>5010</v>
      </c>
      <c r="D2883" t="s">
        <v>138</v>
      </c>
      <c r="E2883">
        <v>29.99</v>
      </c>
      <c r="F2883" t="s">
        <v>5817</v>
      </c>
      <c r="L2883" t="s">
        <v>5085</v>
      </c>
      <c r="M2883">
        <v>0</v>
      </c>
      <c r="N2883">
        <v>0</v>
      </c>
      <c r="O2883">
        <v>0</v>
      </c>
      <c r="P2883" t="s">
        <v>5819</v>
      </c>
    </row>
    <row r="2884" spans="1:16" x14ac:dyDescent="0.2">
      <c r="A2884" t="s">
        <v>5015</v>
      </c>
      <c r="B2884" t="s">
        <v>5016</v>
      </c>
      <c r="C2884" t="s">
        <v>5010</v>
      </c>
      <c r="D2884" t="s">
        <v>138</v>
      </c>
      <c r="E2884">
        <v>22.99</v>
      </c>
      <c r="F2884" t="s">
        <v>5817</v>
      </c>
      <c r="L2884" t="s">
        <v>5085</v>
      </c>
      <c r="M2884">
        <v>0</v>
      </c>
      <c r="N2884">
        <v>0</v>
      </c>
      <c r="O2884">
        <v>8.3333333333333329E-2</v>
      </c>
      <c r="P2884">
        <v>6</v>
      </c>
    </row>
    <row r="2885" spans="1:16" x14ac:dyDescent="0.2">
      <c r="A2885" t="s">
        <v>5017</v>
      </c>
      <c r="B2885" t="s">
        <v>5018</v>
      </c>
      <c r="C2885" t="s">
        <v>5010</v>
      </c>
      <c r="D2885" t="s">
        <v>138</v>
      </c>
      <c r="E2885">
        <v>22.99</v>
      </c>
      <c r="F2885" t="s">
        <v>5817</v>
      </c>
      <c r="L2885" t="s">
        <v>5085</v>
      </c>
      <c r="M2885">
        <v>0</v>
      </c>
      <c r="N2885">
        <v>0</v>
      </c>
      <c r="O2885">
        <v>1.4166666666666667</v>
      </c>
      <c r="P2885">
        <v>29</v>
      </c>
    </row>
    <row r="2886" spans="1:16" x14ac:dyDescent="0.2">
      <c r="A2886" t="s">
        <v>5019</v>
      </c>
      <c r="B2886" t="s">
        <v>5020</v>
      </c>
      <c r="C2886" t="s">
        <v>5010</v>
      </c>
      <c r="D2886" t="s">
        <v>138</v>
      </c>
      <c r="E2886">
        <v>22.99</v>
      </c>
      <c r="F2886" t="s">
        <v>5817</v>
      </c>
      <c r="L2886" t="s">
        <v>5085</v>
      </c>
      <c r="M2886">
        <v>0</v>
      </c>
      <c r="N2886">
        <v>0</v>
      </c>
      <c r="O2886">
        <v>0.58333333333333337</v>
      </c>
      <c r="P2886">
        <v>91</v>
      </c>
    </row>
    <row r="2887" spans="1:16" x14ac:dyDescent="0.2">
      <c r="A2887" t="s">
        <v>5021</v>
      </c>
      <c r="B2887" t="s">
        <v>5022</v>
      </c>
      <c r="C2887" t="s">
        <v>5010</v>
      </c>
      <c r="D2887" t="s">
        <v>138</v>
      </c>
      <c r="E2887">
        <v>3499.99</v>
      </c>
      <c r="F2887" t="s">
        <v>5817</v>
      </c>
      <c r="L2887" t="s">
        <v>5085</v>
      </c>
      <c r="M2887">
        <v>0</v>
      </c>
      <c r="N2887">
        <v>0</v>
      </c>
      <c r="O2887">
        <v>0</v>
      </c>
      <c r="P2887" t="s">
        <v>5819</v>
      </c>
    </row>
    <row r="2888" spans="1:16" x14ac:dyDescent="0.2">
      <c r="A2888" t="s">
        <v>5027</v>
      </c>
      <c r="B2888" t="s">
        <v>5028</v>
      </c>
      <c r="C2888" t="s">
        <v>5010</v>
      </c>
      <c r="D2888" t="s">
        <v>98</v>
      </c>
      <c r="E2888">
        <v>649.99</v>
      </c>
      <c r="F2888" t="s">
        <v>5817</v>
      </c>
      <c r="L2888" t="s">
        <v>5085</v>
      </c>
      <c r="M2888">
        <v>0</v>
      </c>
      <c r="N2888">
        <v>0</v>
      </c>
      <c r="O2888">
        <v>0</v>
      </c>
      <c r="P2888" t="s">
        <v>5819</v>
      </c>
    </row>
    <row r="2889" spans="1:16" x14ac:dyDescent="0.2">
      <c r="A2889" t="s">
        <v>5029</v>
      </c>
      <c r="B2889" t="s">
        <v>5030</v>
      </c>
      <c r="C2889" t="s">
        <v>5010</v>
      </c>
      <c r="D2889" t="s">
        <v>138</v>
      </c>
      <c r="E2889">
        <v>799.99</v>
      </c>
      <c r="F2889" t="s">
        <v>5817</v>
      </c>
      <c r="L2889" t="s">
        <v>5085</v>
      </c>
      <c r="M2889">
        <v>0</v>
      </c>
      <c r="N2889">
        <v>0</v>
      </c>
      <c r="O2889">
        <v>0</v>
      </c>
      <c r="P2889" t="s">
        <v>5819</v>
      </c>
    </row>
    <row r="2890" spans="1:16" x14ac:dyDescent="0.2">
      <c r="A2890" t="s">
        <v>5031</v>
      </c>
      <c r="B2890" t="s">
        <v>5032</v>
      </c>
      <c r="C2890" t="s">
        <v>5010</v>
      </c>
      <c r="D2890" t="s">
        <v>138</v>
      </c>
      <c r="E2890">
        <v>449.99</v>
      </c>
      <c r="F2890" t="s">
        <v>5817</v>
      </c>
      <c r="L2890" t="s">
        <v>5085</v>
      </c>
      <c r="M2890">
        <v>0</v>
      </c>
      <c r="N2890">
        <v>0</v>
      </c>
      <c r="O2890">
        <v>8.3333333333333329E-2</v>
      </c>
      <c r="P2890" t="s">
        <v>5819</v>
      </c>
    </row>
    <row r="2891" spans="1:16" x14ac:dyDescent="0.2">
      <c r="A2891" t="s">
        <v>5035</v>
      </c>
      <c r="B2891" t="s">
        <v>5036</v>
      </c>
      <c r="C2891" t="s">
        <v>5010</v>
      </c>
      <c r="D2891" t="s">
        <v>138</v>
      </c>
      <c r="E2891">
        <v>22.99</v>
      </c>
      <c r="F2891" t="s">
        <v>5817</v>
      </c>
      <c r="L2891" t="s">
        <v>5085</v>
      </c>
      <c r="M2891">
        <v>0</v>
      </c>
      <c r="N2891">
        <v>0</v>
      </c>
      <c r="O2891">
        <v>0</v>
      </c>
      <c r="P2891" t="s">
        <v>5819</v>
      </c>
    </row>
    <row r="2892" spans="1:16" x14ac:dyDescent="0.2">
      <c r="A2892" t="s">
        <v>5025</v>
      </c>
      <c r="B2892" t="s">
        <v>5026</v>
      </c>
      <c r="C2892" t="s">
        <v>5010</v>
      </c>
      <c r="D2892" t="s">
        <v>98</v>
      </c>
      <c r="E2892">
        <v>4499.99</v>
      </c>
      <c r="F2892" t="s">
        <v>5817</v>
      </c>
      <c r="L2892" t="s">
        <v>5085</v>
      </c>
      <c r="M2892">
        <v>0</v>
      </c>
      <c r="N2892">
        <v>0</v>
      </c>
      <c r="O2892">
        <v>0</v>
      </c>
      <c r="P2892" t="s">
        <v>5819</v>
      </c>
    </row>
    <row r="2893" spans="1:16" x14ac:dyDescent="0.2">
      <c r="A2893" t="s">
        <v>5011</v>
      </c>
      <c r="B2893" t="s">
        <v>5012</v>
      </c>
      <c r="C2893" t="s">
        <v>5010</v>
      </c>
      <c r="D2893" t="s">
        <v>138</v>
      </c>
      <c r="E2893">
        <v>99.99</v>
      </c>
      <c r="F2893" t="s">
        <v>5817</v>
      </c>
      <c r="L2893" t="s">
        <v>5085</v>
      </c>
      <c r="M2893">
        <v>0</v>
      </c>
      <c r="N2893">
        <v>0</v>
      </c>
      <c r="O2893">
        <v>0</v>
      </c>
      <c r="P2893" t="s">
        <v>5819</v>
      </c>
    </row>
    <row r="2894" spans="1:16" x14ac:dyDescent="0.2">
      <c r="A2894" t="s">
        <v>5031</v>
      </c>
      <c r="B2894" t="s">
        <v>5032</v>
      </c>
      <c r="C2894" t="s">
        <v>5010</v>
      </c>
      <c r="D2894" t="s">
        <v>138</v>
      </c>
      <c r="E2894">
        <v>449.99</v>
      </c>
      <c r="F2894" t="s">
        <v>5817</v>
      </c>
      <c r="L2894" t="s">
        <v>5065</v>
      </c>
      <c r="M2894">
        <v>0</v>
      </c>
      <c r="N2894">
        <v>0</v>
      </c>
      <c r="P2894">
        <v>0</v>
      </c>
    </row>
    <row r="2895" spans="1:16" x14ac:dyDescent="0.2">
      <c r="A2895" t="s">
        <v>5029</v>
      </c>
      <c r="B2895" t="s">
        <v>5030</v>
      </c>
      <c r="C2895" t="s">
        <v>5010</v>
      </c>
      <c r="D2895" t="s">
        <v>138</v>
      </c>
      <c r="E2895">
        <v>799.99</v>
      </c>
      <c r="F2895" t="s">
        <v>5817</v>
      </c>
      <c r="L2895" t="s">
        <v>5065</v>
      </c>
      <c r="M2895">
        <v>0</v>
      </c>
      <c r="N2895">
        <v>0</v>
      </c>
      <c r="P2895">
        <v>0</v>
      </c>
    </row>
    <row r="2896" spans="1:16" x14ac:dyDescent="0.2">
      <c r="A2896" t="s">
        <v>5027</v>
      </c>
      <c r="B2896" t="s">
        <v>5028</v>
      </c>
      <c r="C2896" t="s">
        <v>5010</v>
      </c>
      <c r="D2896" t="s">
        <v>98</v>
      </c>
      <c r="E2896">
        <v>649.99</v>
      </c>
      <c r="F2896" t="s">
        <v>5817</v>
      </c>
      <c r="L2896" t="s">
        <v>5065</v>
      </c>
      <c r="M2896">
        <v>0</v>
      </c>
      <c r="N2896">
        <v>0</v>
      </c>
      <c r="P2896">
        <v>0</v>
      </c>
    </row>
    <row r="2897" spans="1:16" x14ac:dyDescent="0.2">
      <c r="A2897" t="s">
        <v>5033</v>
      </c>
      <c r="B2897" t="s">
        <v>5034</v>
      </c>
      <c r="C2897" t="s">
        <v>5010</v>
      </c>
      <c r="D2897" t="s">
        <v>138</v>
      </c>
      <c r="E2897">
        <v>199.99</v>
      </c>
      <c r="F2897" t="s">
        <v>5817</v>
      </c>
      <c r="L2897" t="s">
        <v>5065</v>
      </c>
      <c r="M2897">
        <v>0</v>
      </c>
      <c r="N2897">
        <v>0</v>
      </c>
      <c r="O2897">
        <v>0</v>
      </c>
      <c r="P2897">
        <v>0</v>
      </c>
    </row>
    <row r="2898" spans="1:16" x14ac:dyDescent="0.2">
      <c r="A2898" t="s">
        <v>5037</v>
      </c>
      <c r="B2898" t="s">
        <v>5038</v>
      </c>
      <c r="C2898" t="s">
        <v>5010</v>
      </c>
      <c r="D2898" t="s">
        <v>138</v>
      </c>
      <c r="E2898">
        <v>94.99</v>
      </c>
      <c r="F2898" t="s">
        <v>5817</v>
      </c>
      <c r="L2898" t="s">
        <v>5065</v>
      </c>
      <c r="M2898">
        <v>0</v>
      </c>
      <c r="N2898">
        <v>0</v>
      </c>
      <c r="O2898">
        <v>0</v>
      </c>
      <c r="P2898">
        <v>0</v>
      </c>
    </row>
    <row r="2899" spans="1:16" x14ac:dyDescent="0.2">
      <c r="A2899" t="s">
        <v>5035</v>
      </c>
      <c r="B2899" t="s">
        <v>5036</v>
      </c>
      <c r="C2899" t="s">
        <v>5010</v>
      </c>
      <c r="D2899" t="s">
        <v>138</v>
      </c>
      <c r="E2899">
        <v>22.99</v>
      </c>
      <c r="F2899" t="s">
        <v>5817</v>
      </c>
      <c r="L2899" t="s">
        <v>5065</v>
      </c>
      <c r="M2899">
        <v>0</v>
      </c>
      <c r="N2899">
        <v>0</v>
      </c>
      <c r="P2899">
        <v>0</v>
      </c>
    </row>
    <row r="2900" spans="1:16" x14ac:dyDescent="0.2">
      <c r="A2900" t="s">
        <v>5013</v>
      </c>
      <c r="B2900" t="s">
        <v>5014</v>
      </c>
      <c r="C2900" t="s">
        <v>5010</v>
      </c>
      <c r="D2900" t="s">
        <v>138</v>
      </c>
      <c r="E2900">
        <v>29.99</v>
      </c>
      <c r="F2900" t="s">
        <v>5817</v>
      </c>
      <c r="L2900" t="s">
        <v>5065</v>
      </c>
      <c r="M2900">
        <v>0</v>
      </c>
      <c r="N2900">
        <v>0</v>
      </c>
      <c r="O2900">
        <v>-1</v>
      </c>
      <c r="P2900">
        <v>0</v>
      </c>
    </row>
    <row r="2901" spans="1:16" x14ac:dyDescent="0.2">
      <c r="A2901" t="s">
        <v>5011</v>
      </c>
      <c r="B2901" t="s">
        <v>5012</v>
      </c>
      <c r="C2901" t="s">
        <v>5010</v>
      </c>
      <c r="D2901" t="s">
        <v>138</v>
      </c>
      <c r="E2901">
        <v>99.99</v>
      </c>
      <c r="F2901" t="s">
        <v>5817</v>
      </c>
      <c r="L2901" t="s">
        <v>5065</v>
      </c>
      <c r="M2901">
        <v>0</v>
      </c>
      <c r="N2901">
        <v>0</v>
      </c>
      <c r="P2901">
        <v>0</v>
      </c>
    </row>
    <row r="2902" spans="1:16" x14ac:dyDescent="0.2">
      <c r="A2902" t="s">
        <v>5019</v>
      </c>
      <c r="B2902" t="s">
        <v>5020</v>
      </c>
      <c r="C2902" t="s">
        <v>5010</v>
      </c>
      <c r="D2902" t="s">
        <v>138</v>
      </c>
      <c r="E2902">
        <v>22.99</v>
      </c>
      <c r="F2902" t="s">
        <v>5817</v>
      </c>
      <c r="L2902" t="s">
        <v>5065</v>
      </c>
      <c r="M2902">
        <v>0</v>
      </c>
      <c r="N2902">
        <v>0</v>
      </c>
      <c r="P2902">
        <v>0</v>
      </c>
    </row>
    <row r="2903" spans="1:16" x14ac:dyDescent="0.2">
      <c r="A2903" t="s">
        <v>5015</v>
      </c>
      <c r="B2903" t="s">
        <v>5016</v>
      </c>
      <c r="C2903" t="s">
        <v>5010</v>
      </c>
      <c r="D2903" t="s">
        <v>138</v>
      </c>
      <c r="E2903">
        <v>22.99</v>
      </c>
      <c r="F2903" t="s">
        <v>5817</v>
      </c>
      <c r="L2903" t="s">
        <v>5065</v>
      </c>
      <c r="M2903">
        <v>0</v>
      </c>
      <c r="N2903">
        <v>0</v>
      </c>
      <c r="P2903">
        <v>0</v>
      </c>
    </row>
    <row r="2904" spans="1:16" x14ac:dyDescent="0.2">
      <c r="A2904" t="s">
        <v>5017</v>
      </c>
      <c r="B2904" t="s">
        <v>5018</v>
      </c>
      <c r="C2904" t="s">
        <v>5010</v>
      </c>
      <c r="D2904" t="s">
        <v>138</v>
      </c>
      <c r="E2904">
        <v>22.99</v>
      </c>
      <c r="F2904" t="s">
        <v>5817</v>
      </c>
      <c r="L2904" t="s">
        <v>5065</v>
      </c>
      <c r="M2904">
        <v>0</v>
      </c>
      <c r="N2904">
        <v>0</v>
      </c>
      <c r="O2904">
        <v>0</v>
      </c>
      <c r="P2904">
        <v>0</v>
      </c>
    </row>
    <row r="2905" spans="1:16" x14ac:dyDescent="0.2">
      <c r="A2905" t="s">
        <v>5019</v>
      </c>
      <c r="B2905" t="s">
        <v>5020</v>
      </c>
      <c r="C2905" t="s">
        <v>5010</v>
      </c>
      <c r="D2905" t="s">
        <v>138</v>
      </c>
      <c r="E2905">
        <v>22.99</v>
      </c>
      <c r="F2905" t="s">
        <v>5817</v>
      </c>
      <c r="L2905" t="s">
        <v>8</v>
      </c>
      <c r="M2905">
        <v>0</v>
      </c>
      <c r="N2905">
        <v>0</v>
      </c>
      <c r="O2905">
        <v>0</v>
      </c>
      <c r="P2905">
        <v>0</v>
      </c>
    </row>
    <row r="2906" spans="1:16" x14ac:dyDescent="0.2">
      <c r="A2906" t="s">
        <v>5017</v>
      </c>
      <c r="B2906" t="s">
        <v>5018</v>
      </c>
      <c r="C2906" t="s">
        <v>5010</v>
      </c>
      <c r="D2906" t="s">
        <v>138</v>
      </c>
      <c r="E2906">
        <v>22.99</v>
      </c>
      <c r="F2906" t="s">
        <v>5817</v>
      </c>
      <c r="L2906" t="s">
        <v>8</v>
      </c>
      <c r="M2906">
        <v>0</v>
      </c>
      <c r="N2906">
        <v>0</v>
      </c>
      <c r="O2906">
        <v>0</v>
      </c>
      <c r="P2906">
        <v>0</v>
      </c>
    </row>
    <row r="2907" spans="1:16" x14ac:dyDescent="0.2">
      <c r="A2907" t="s">
        <v>5011</v>
      </c>
      <c r="B2907" t="s">
        <v>5012</v>
      </c>
      <c r="C2907" t="s">
        <v>5010</v>
      </c>
      <c r="D2907" t="s">
        <v>138</v>
      </c>
      <c r="E2907">
        <v>99.99</v>
      </c>
      <c r="F2907" t="s">
        <v>5817</v>
      </c>
      <c r="L2907" t="s">
        <v>8</v>
      </c>
      <c r="M2907">
        <v>0</v>
      </c>
      <c r="N2907">
        <v>0</v>
      </c>
      <c r="O2907">
        <v>0</v>
      </c>
      <c r="P2907">
        <v>0</v>
      </c>
    </row>
    <row r="2908" spans="1:16" x14ac:dyDescent="0.2">
      <c r="A2908" t="s">
        <v>5015</v>
      </c>
      <c r="B2908" t="s">
        <v>5016</v>
      </c>
      <c r="C2908" t="s">
        <v>5010</v>
      </c>
      <c r="D2908" t="s">
        <v>138</v>
      </c>
      <c r="E2908">
        <v>22.99</v>
      </c>
      <c r="F2908" t="s">
        <v>5817</v>
      </c>
      <c r="L2908" t="s">
        <v>8</v>
      </c>
      <c r="M2908">
        <v>0</v>
      </c>
      <c r="N2908">
        <v>0</v>
      </c>
      <c r="O2908">
        <v>0</v>
      </c>
      <c r="P2908">
        <v>0</v>
      </c>
    </row>
    <row r="2909" spans="1:16" x14ac:dyDescent="0.2">
      <c r="A2909" t="s">
        <v>5013</v>
      </c>
      <c r="B2909" t="s">
        <v>5014</v>
      </c>
      <c r="C2909" t="s">
        <v>5010</v>
      </c>
      <c r="D2909" t="s">
        <v>138</v>
      </c>
      <c r="E2909">
        <v>29.99</v>
      </c>
      <c r="F2909" t="s">
        <v>5817</v>
      </c>
      <c r="L2909" t="s">
        <v>8</v>
      </c>
      <c r="M2909">
        <v>0</v>
      </c>
      <c r="N2909">
        <v>0</v>
      </c>
      <c r="O2909">
        <v>0</v>
      </c>
      <c r="P2909">
        <v>0</v>
      </c>
    </row>
    <row r="2910" spans="1:16" x14ac:dyDescent="0.2">
      <c r="A2910" t="s">
        <v>5027</v>
      </c>
      <c r="B2910" t="s">
        <v>5028</v>
      </c>
      <c r="C2910" t="s">
        <v>5010</v>
      </c>
      <c r="D2910" t="s">
        <v>98</v>
      </c>
      <c r="E2910">
        <v>649.99</v>
      </c>
      <c r="F2910" t="s">
        <v>5817</v>
      </c>
      <c r="L2910" t="s">
        <v>8</v>
      </c>
      <c r="M2910">
        <v>0</v>
      </c>
      <c r="N2910">
        <v>0</v>
      </c>
      <c r="O2910">
        <v>0</v>
      </c>
      <c r="P2910">
        <v>0</v>
      </c>
    </row>
    <row r="2911" spans="1:16" x14ac:dyDescent="0.2">
      <c r="A2911" t="s">
        <v>5037</v>
      </c>
      <c r="B2911" t="s">
        <v>5038</v>
      </c>
      <c r="C2911" t="s">
        <v>5010</v>
      </c>
      <c r="D2911" t="s">
        <v>138</v>
      </c>
      <c r="E2911">
        <v>94.99</v>
      </c>
      <c r="F2911" t="s">
        <v>5817</v>
      </c>
      <c r="L2911" t="s">
        <v>8</v>
      </c>
      <c r="M2911">
        <v>0</v>
      </c>
      <c r="N2911">
        <v>0</v>
      </c>
      <c r="O2911">
        <v>0</v>
      </c>
      <c r="P2911">
        <v>0</v>
      </c>
    </row>
    <row r="2912" spans="1:16" x14ac:dyDescent="0.2">
      <c r="A2912" t="s">
        <v>5035</v>
      </c>
      <c r="B2912" t="s">
        <v>5036</v>
      </c>
      <c r="C2912" t="s">
        <v>5010</v>
      </c>
      <c r="D2912" t="s">
        <v>138</v>
      </c>
      <c r="E2912">
        <v>22.99</v>
      </c>
      <c r="F2912" t="s">
        <v>5817</v>
      </c>
      <c r="L2912" t="s">
        <v>8</v>
      </c>
      <c r="M2912">
        <v>0</v>
      </c>
      <c r="N2912">
        <v>0</v>
      </c>
      <c r="O2912">
        <v>0</v>
      </c>
      <c r="P2912">
        <v>0</v>
      </c>
    </row>
    <row r="2913" spans="1:16" x14ac:dyDescent="0.2">
      <c r="A2913" t="s">
        <v>5029</v>
      </c>
      <c r="B2913" t="s">
        <v>5030</v>
      </c>
      <c r="C2913" t="s">
        <v>5010</v>
      </c>
      <c r="D2913" t="s">
        <v>138</v>
      </c>
      <c r="E2913">
        <v>799.99</v>
      </c>
      <c r="F2913" t="s">
        <v>5817</v>
      </c>
      <c r="L2913" t="s">
        <v>8</v>
      </c>
      <c r="M2913">
        <v>0</v>
      </c>
      <c r="N2913">
        <v>0</v>
      </c>
      <c r="O2913">
        <v>0</v>
      </c>
      <c r="P2913">
        <v>0</v>
      </c>
    </row>
    <row r="2914" spans="1:16" x14ac:dyDescent="0.2">
      <c r="A2914" t="s">
        <v>5033</v>
      </c>
      <c r="B2914" t="s">
        <v>5034</v>
      </c>
      <c r="C2914" t="s">
        <v>5010</v>
      </c>
      <c r="D2914" t="s">
        <v>138</v>
      </c>
      <c r="E2914">
        <v>199.99</v>
      </c>
      <c r="F2914" t="s">
        <v>5817</v>
      </c>
      <c r="L2914" t="s">
        <v>8</v>
      </c>
      <c r="M2914">
        <v>0</v>
      </c>
      <c r="N2914">
        <v>0</v>
      </c>
      <c r="O2914">
        <v>0</v>
      </c>
      <c r="P2914">
        <v>0</v>
      </c>
    </row>
    <row r="2915" spans="1:16" x14ac:dyDescent="0.2">
      <c r="A2915" t="s">
        <v>5031</v>
      </c>
      <c r="B2915" t="s">
        <v>5032</v>
      </c>
      <c r="C2915" t="s">
        <v>5010</v>
      </c>
      <c r="D2915" t="s">
        <v>138</v>
      </c>
      <c r="E2915">
        <v>449.99</v>
      </c>
      <c r="F2915" t="s">
        <v>5817</v>
      </c>
      <c r="L2915" t="s">
        <v>8</v>
      </c>
      <c r="M2915">
        <v>0</v>
      </c>
      <c r="N2915">
        <v>0</v>
      </c>
      <c r="O2915">
        <v>0</v>
      </c>
      <c r="P2915">
        <v>0</v>
      </c>
    </row>
    <row r="2916" spans="1:16" x14ac:dyDescent="0.2">
      <c r="A2916" t="s">
        <v>5495</v>
      </c>
      <c r="B2916" t="s">
        <v>5496</v>
      </c>
      <c r="C2916" t="s">
        <v>5039</v>
      </c>
      <c r="D2916" t="s">
        <v>98</v>
      </c>
      <c r="E2916">
        <v>69.989999999999995</v>
      </c>
      <c r="F2916" t="s">
        <v>5817</v>
      </c>
      <c r="L2916" t="s">
        <v>73</v>
      </c>
      <c r="M2916">
        <v>0</v>
      </c>
      <c r="N2916">
        <v>0</v>
      </c>
      <c r="O2916">
        <v>0</v>
      </c>
      <c r="P2916">
        <v>0</v>
      </c>
    </row>
    <row r="2917" spans="1:16" x14ac:dyDescent="0.2">
      <c r="A2917" t="s">
        <v>5499</v>
      </c>
      <c r="B2917" t="s">
        <v>5500</v>
      </c>
      <c r="C2917" t="s">
        <v>5039</v>
      </c>
      <c r="D2917" t="s">
        <v>98</v>
      </c>
      <c r="E2917">
        <v>39.99</v>
      </c>
      <c r="F2917" t="s">
        <v>5817</v>
      </c>
      <c r="L2917" t="s">
        <v>73</v>
      </c>
      <c r="M2917">
        <v>0</v>
      </c>
      <c r="N2917">
        <v>0</v>
      </c>
      <c r="O2917">
        <v>0</v>
      </c>
      <c r="P2917">
        <v>0</v>
      </c>
    </row>
    <row r="2918" spans="1:16" x14ac:dyDescent="0.2">
      <c r="A2918" t="s">
        <v>5501</v>
      </c>
      <c r="B2918" t="s">
        <v>5502</v>
      </c>
      <c r="C2918" t="s">
        <v>5039</v>
      </c>
      <c r="D2918" t="s">
        <v>98</v>
      </c>
      <c r="E2918">
        <v>79.989999999999995</v>
      </c>
      <c r="F2918" t="s">
        <v>5817</v>
      </c>
      <c r="L2918" t="s">
        <v>73</v>
      </c>
      <c r="M2918">
        <v>0</v>
      </c>
      <c r="N2918">
        <v>0</v>
      </c>
      <c r="O2918">
        <v>0</v>
      </c>
      <c r="P2918">
        <v>0</v>
      </c>
    </row>
    <row r="2919" spans="1:16" x14ac:dyDescent="0.2">
      <c r="A2919" t="s">
        <v>5046</v>
      </c>
      <c r="B2919" t="s">
        <v>5047</v>
      </c>
      <c r="C2919" t="s">
        <v>5039</v>
      </c>
      <c r="D2919" t="s">
        <v>98</v>
      </c>
      <c r="E2919">
        <v>149.99</v>
      </c>
      <c r="F2919" t="s">
        <v>5817</v>
      </c>
      <c r="L2919" t="s">
        <v>73</v>
      </c>
      <c r="M2919">
        <v>0</v>
      </c>
      <c r="N2919">
        <v>0</v>
      </c>
      <c r="O2919">
        <v>0</v>
      </c>
      <c r="P2919">
        <v>0</v>
      </c>
    </row>
    <row r="2920" spans="1:16" x14ac:dyDescent="0.2">
      <c r="A2920" t="s">
        <v>5044</v>
      </c>
      <c r="B2920" t="s">
        <v>5045</v>
      </c>
      <c r="C2920" t="s">
        <v>5039</v>
      </c>
      <c r="D2920" t="s">
        <v>98</v>
      </c>
      <c r="E2920">
        <v>149.99</v>
      </c>
      <c r="F2920" t="s">
        <v>5817</v>
      </c>
      <c r="L2920" t="s">
        <v>73</v>
      </c>
      <c r="M2920">
        <v>0</v>
      </c>
      <c r="N2920">
        <v>0</v>
      </c>
      <c r="O2920">
        <v>0</v>
      </c>
      <c r="P2920">
        <v>0</v>
      </c>
    </row>
    <row r="2921" spans="1:16" x14ac:dyDescent="0.2">
      <c r="A2921" t="s">
        <v>5530</v>
      </c>
      <c r="B2921" t="s">
        <v>5531</v>
      </c>
      <c r="C2921" t="s">
        <v>5039</v>
      </c>
      <c r="D2921" t="s">
        <v>98</v>
      </c>
      <c r="E2921">
        <v>99.99</v>
      </c>
      <c r="F2921" t="s">
        <v>5817</v>
      </c>
      <c r="L2921" t="s">
        <v>73</v>
      </c>
      <c r="M2921">
        <v>0</v>
      </c>
      <c r="N2921">
        <v>0</v>
      </c>
      <c r="O2921">
        <v>0</v>
      </c>
      <c r="P2921">
        <v>0</v>
      </c>
    </row>
    <row r="2922" spans="1:16" x14ac:dyDescent="0.2">
      <c r="A2922" t="s">
        <v>5534</v>
      </c>
      <c r="B2922" t="s">
        <v>5535</v>
      </c>
      <c r="C2922" t="s">
        <v>5039</v>
      </c>
      <c r="D2922" t="s">
        <v>98</v>
      </c>
      <c r="E2922">
        <v>49.99</v>
      </c>
      <c r="F2922" t="s">
        <v>5817</v>
      </c>
      <c r="L2922" t="s">
        <v>73</v>
      </c>
      <c r="M2922">
        <v>0</v>
      </c>
      <c r="N2922">
        <v>0</v>
      </c>
      <c r="O2922">
        <v>0</v>
      </c>
      <c r="P2922">
        <v>0</v>
      </c>
    </row>
    <row r="2923" spans="1:16" x14ac:dyDescent="0.2">
      <c r="A2923" t="s">
        <v>5503</v>
      </c>
      <c r="B2923" t="s">
        <v>5504</v>
      </c>
      <c r="C2923" t="s">
        <v>5039</v>
      </c>
      <c r="D2923" t="s">
        <v>98</v>
      </c>
      <c r="E2923">
        <v>79.989999999999995</v>
      </c>
      <c r="F2923" t="s">
        <v>5817</v>
      </c>
      <c r="L2923" t="s">
        <v>73</v>
      </c>
      <c r="M2923">
        <v>0</v>
      </c>
      <c r="N2923">
        <v>0</v>
      </c>
      <c r="O2923">
        <v>0</v>
      </c>
      <c r="P2923">
        <v>0</v>
      </c>
    </row>
    <row r="2924" spans="1:16" x14ac:dyDescent="0.2">
      <c r="A2924" t="s">
        <v>5421</v>
      </c>
      <c r="B2924" t="s">
        <v>5422</v>
      </c>
      <c r="C2924" t="s">
        <v>5039</v>
      </c>
      <c r="D2924" t="s">
        <v>98</v>
      </c>
      <c r="E2924">
        <v>54.99</v>
      </c>
      <c r="F2924" t="s">
        <v>5817</v>
      </c>
      <c r="L2924" t="s">
        <v>73</v>
      </c>
      <c r="M2924">
        <v>0</v>
      </c>
      <c r="N2924">
        <v>0</v>
      </c>
      <c r="O2924">
        <v>0</v>
      </c>
      <c r="P2924">
        <v>0</v>
      </c>
    </row>
    <row r="2925" spans="1:16" x14ac:dyDescent="0.2">
      <c r="A2925" t="s">
        <v>5417</v>
      </c>
      <c r="B2925" t="s">
        <v>5418</v>
      </c>
      <c r="C2925" t="s">
        <v>5039</v>
      </c>
      <c r="D2925" t="s">
        <v>98</v>
      </c>
      <c r="E2925">
        <v>149.99</v>
      </c>
      <c r="F2925" t="s">
        <v>5817</v>
      </c>
      <c r="L2925" t="s">
        <v>73</v>
      </c>
      <c r="M2925">
        <v>0</v>
      </c>
      <c r="N2925">
        <v>0</v>
      </c>
      <c r="O2925">
        <v>0</v>
      </c>
      <c r="P2925">
        <v>0</v>
      </c>
    </row>
    <row r="2926" spans="1:16" x14ac:dyDescent="0.2">
      <c r="A2926" t="s">
        <v>5439</v>
      </c>
      <c r="B2926" t="s">
        <v>5440</v>
      </c>
      <c r="C2926" t="s">
        <v>5039</v>
      </c>
      <c r="D2926" t="s">
        <v>98</v>
      </c>
      <c r="E2926">
        <v>799.99</v>
      </c>
      <c r="F2926" t="s">
        <v>5817</v>
      </c>
      <c r="L2926" t="s">
        <v>73</v>
      </c>
      <c r="M2926">
        <v>0</v>
      </c>
      <c r="N2926">
        <v>0</v>
      </c>
      <c r="O2926">
        <v>0</v>
      </c>
      <c r="P2926">
        <v>0</v>
      </c>
    </row>
    <row r="2927" spans="1:16" x14ac:dyDescent="0.2">
      <c r="A2927" t="s">
        <v>5443</v>
      </c>
      <c r="B2927" t="s">
        <v>5444</v>
      </c>
      <c r="C2927" t="s">
        <v>5039</v>
      </c>
      <c r="D2927" t="s">
        <v>98</v>
      </c>
      <c r="E2927">
        <v>649.99</v>
      </c>
      <c r="F2927" t="s">
        <v>5817</v>
      </c>
      <c r="L2927" t="s">
        <v>73</v>
      </c>
      <c r="M2927">
        <v>0</v>
      </c>
      <c r="N2927">
        <v>0</v>
      </c>
      <c r="O2927">
        <v>0</v>
      </c>
      <c r="P2927">
        <v>0</v>
      </c>
    </row>
    <row r="2928" spans="1:16" x14ac:dyDescent="0.2">
      <c r="A2928" t="s">
        <v>5407</v>
      </c>
      <c r="B2928" t="s">
        <v>5408</v>
      </c>
      <c r="C2928" t="s">
        <v>5039</v>
      </c>
      <c r="D2928" t="s">
        <v>98</v>
      </c>
      <c r="E2928">
        <v>179.99</v>
      </c>
      <c r="F2928" t="s">
        <v>5817</v>
      </c>
      <c r="L2928" t="s">
        <v>73</v>
      </c>
      <c r="M2928">
        <v>0</v>
      </c>
      <c r="N2928">
        <v>0</v>
      </c>
      <c r="O2928">
        <v>0</v>
      </c>
      <c r="P2928">
        <v>0</v>
      </c>
    </row>
    <row r="2929" spans="1:16" x14ac:dyDescent="0.2">
      <c r="A2929" t="s">
        <v>5042</v>
      </c>
      <c r="B2929" t="s">
        <v>5043</v>
      </c>
      <c r="C2929" t="s">
        <v>5039</v>
      </c>
      <c r="D2929" t="s">
        <v>98</v>
      </c>
      <c r="E2929">
        <v>149.99</v>
      </c>
      <c r="F2929" t="s">
        <v>5817</v>
      </c>
      <c r="L2929" t="s">
        <v>73</v>
      </c>
      <c r="M2929">
        <v>0</v>
      </c>
      <c r="N2929">
        <v>0</v>
      </c>
      <c r="O2929">
        <v>0</v>
      </c>
      <c r="P2929">
        <v>0</v>
      </c>
    </row>
    <row r="2930" spans="1:16" x14ac:dyDescent="0.2">
      <c r="A2930" t="s">
        <v>5411</v>
      </c>
      <c r="B2930" t="s">
        <v>5412</v>
      </c>
      <c r="C2930" t="s">
        <v>5039</v>
      </c>
      <c r="D2930" t="s">
        <v>98</v>
      </c>
      <c r="E2930">
        <v>99.99</v>
      </c>
      <c r="F2930" t="s">
        <v>5817</v>
      </c>
      <c r="L2930" t="s">
        <v>73</v>
      </c>
      <c r="M2930">
        <v>0</v>
      </c>
      <c r="N2930">
        <v>0</v>
      </c>
      <c r="O2930">
        <v>0</v>
      </c>
      <c r="P2930">
        <v>0</v>
      </c>
    </row>
    <row r="2931" spans="1:16" x14ac:dyDescent="0.2">
      <c r="A2931" t="s">
        <v>5397</v>
      </c>
      <c r="B2931" t="s">
        <v>5398</v>
      </c>
      <c r="C2931" t="s">
        <v>5039</v>
      </c>
      <c r="D2931" t="s">
        <v>98</v>
      </c>
      <c r="E2931">
        <v>99.99</v>
      </c>
      <c r="F2931" t="s">
        <v>5817</v>
      </c>
      <c r="L2931" t="s">
        <v>73</v>
      </c>
      <c r="M2931">
        <v>0</v>
      </c>
      <c r="N2931">
        <v>0</v>
      </c>
      <c r="O2931">
        <v>0</v>
      </c>
      <c r="P2931">
        <v>0</v>
      </c>
    </row>
    <row r="2932" spans="1:16" x14ac:dyDescent="0.2">
      <c r="A2932" t="s">
        <v>5395</v>
      </c>
      <c r="B2932" t="s">
        <v>5396</v>
      </c>
      <c r="C2932" t="s">
        <v>5039</v>
      </c>
      <c r="D2932" t="s">
        <v>98</v>
      </c>
      <c r="E2932">
        <v>99.99</v>
      </c>
      <c r="F2932" t="s">
        <v>5817</v>
      </c>
      <c r="L2932" t="s">
        <v>73</v>
      </c>
      <c r="M2932">
        <v>0</v>
      </c>
      <c r="N2932">
        <v>0</v>
      </c>
      <c r="O2932">
        <v>0</v>
      </c>
      <c r="P2932">
        <v>0</v>
      </c>
    </row>
    <row r="2933" spans="1:16" x14ac:dyDescent="0.2">
      <c r="A2933" t="s">
        <v>5391</v>
      </c>
      <c r="B2933" t="s">
        <v>5392</v>
      </c>
      <c r="C2933" t="s">
        <v>5039</v>
      </c>
      <c r="D2933" t="s">
        <v>98</v>
      </c>
      <c r="E2933">
        <v>149.99</v>
      </c>
      <c r="F2933" t="s">
        <v>5817</v>
      </c>
      <c r="L2933" t="s">
        <v>73</v>
      </c>
      <c r="M2933">
        <v>0</v>
      </c>
      <c r="N2933">
        <v>0</v>
      </c>
      <c r="O2933">
        <v>0</v>
      </c>
      <c r="P2933">
        <v>0</v>
      </c>
    </row>
    <row r="2934" spans="1:16" x14ac:dyDescent="0.2">
      <c r="A2934" t="s">
        <v>5435</v>
      </c>
      <c r="B2934" t="s">
        <v>5436</v>
      </c>
      <c r="C2934" t="s">
        <v>5039</v>
      </c>
      <c r="D2934" t="s">
        <v>98</v>
      </c>
      <c r="E2934">
        <v>149.99</v>
      </c>
      <c r="F2934" t="s">
        <v>5817</v>
      </c>
      <c r="L2934" t="s">
        <v>73</v>
      </c>
      <c r="M2934">
        <v>0</v>
      </c>
      <c r="N2934">
        <v>0</v>
      </c>
      <c r="O2934">
        <v>0</v>
      </c>
      <c r="P2934">
        <v>0</v>
      </c>
    </row>
    <row r="2935" spans="1:16" x14ac:dyDescent="0.2">
      <c r="A2935" t="s">
        <v>5510</v>
      </c>
      <c r="B2935" t="s">
        <v>5511</v>
      </c>
      <c r="C2935" t="s">
        <v>5039</v>
      </c>
      <c r="D2935" t="s">
        <v>98</v>
      </c>
      <c r="E2935">
        <v>69.989999999999995</v>
      </c>
      <c r="F2935" t="s">
        <v>5817</v>
      </c>
      <c r="L2935" t="s">
        <v>73</v>
      </c>
      <c r="M2935">
        <v>0</v>
      </c>
      <c r="N2935">
        <v>0</v>
      </c>
      <c r="O2935">
        <v>0</v>
      </c>
      <c r="P2935">
        <v>0</v>
      </c>
    </row>
    <row r="2936" spans="1:16" x14ac:dyDescent="0.2">
      <c r="A2936" t="s">
        <v>5405</v>
      </c>
      <c r="B2936" t="s">
        <v>5406</v>
      </c>
      <c r="C2936" t="s">
        <v>5039</v>
      </c>
      <c r="D2936" t="s">
        <v>98</v>
      </c>
      <c r="E2936">
        <v>149.99</v>
      </c>
      <c r="F2936" t="s">
        <v>5817</v>
      </c>
      <c r="L2936" t="s">
        <v>73</v>
      </c>
      <c r="M2936">
        <v>0</v>
      </c>
      <c r="N2936">
        <v>0</v>
      </c>
      <c r="O2936">
        <v>0</v>
      </c>
      <c r="P2936">
        <v>0</v>
      </c>
    </row>
    <row r="2937" spans="1:16" x14ac:dyDescent="0.2">
      <c r="A2937" t="s">
        <v>5401</v>
      </c>
      <c r="B2937" t="s">
        <v>5402</v>
      </c>
      <c r="C2937" t="s">
        <v>5039</v>
      </c>
      <c r="D2937" t="s">
        <v>98</v>
      </c>
      <c r="E2937">
        <v>99.99</v>
      </c>
      <c r="F2937" t="s">
        <v>5817</v>
      </c>
      <c r="L2937" t="s">
        <v>73</v>
      </c>
      <c r="M2937">
        <v>0</v>
      </c>
      <c r="N2937">
        <v>0</v>
      </c>
      <c r="O2937">
        <v>0</v>
      </c>
      <c r="P2937">
        <v>0</v>
      </c>
    </row>
    <row r="2938" spans="1:16" x14ac:dyDescent="0.2">
      <c r="A2938" t="s">
        <v>5054</v>
      </c>
      <c r="B2938" t="s">
        <v>5055</v>
      </c>
      <c r="C2938" t="s">
        <v>5039</v>
      </c>
      <c r="D2938" t="s">
        <v>98</v>
      </c>
      <c r="E2938">
        <v>99.99</v>
      </c>
      <c r="F2938" t="s">
        <v>5817</v>
      </c>
      <c r="L2938" t="s">
        <v>73</v>
      </c>
      <c r="M2938">
        <v>0</v>
      </c>
      <c r="N2938">
        <v>0</v>
      </c>
      <c r="O2938">
        <v>0</v>
      </c>
      <c r="P2938">
        <v>0</v>
      </c>
    </row>
    <row r="2939" spans="1:16" x14ac:dyDescent="0.2">
      <c r="A2939" t="s">
        <v>5489</v>
      </c>
      <c r="B2939" t="s">
        <v>5490</v>
      </c>
      <c r="C2939" t="s">
        <v>5039</v>
      </c>
      <c r="D2939" t="s">
        <v>98</v>
      </c>
      <c r="E2939">
        <v>149.99</v>
      </c>
      <c r="F2939" t="s">
        <v>5817</v>
      </c>
      <c r="L2939" t="s">
        <v>73</v>
      </c>
      <c r="M2939">
        <v>0</v>
      </c>
      <c r="N2939">
        <v>0</v>
      </c>
      <c r="O2939">
        <v>0</v>
      </c>
      <c r="P2939">
        <v>0</v>
      </c>
    </row>
    <row r="2940" spans="1:16" x14ac:dyDescent="0.2">
      <c r="A2940" t="s">
        <v>5453</v>
      </c>
      <c r="B2940" t="s">
        <v>5919</v>
      </c>
      <c r="C2940" t="s">
        <v>5039</v>
      </c>
      <c r="D2940" t="s">
        <v>98</v>
      </c>
      <c r="E2940">
        <v>1199.99</v>
      </c>
      <c r="F2940" t="s">
        <v>5817</v>
      </c>
      <c r="L2940" t="s">
        <v>73</v>
      </c>
      <c r="M2940">
        <v>0</v>
      </c>
      <c r="N2940">
        <v>0</v>
      </c>
      <c r="O2940">
        <v>0</v>
      </c>
      <c r="P2940">
        <v>0</v>
      </c>
    </row>
    <row r="2941" spans="1:16" x14ac:dyDescent="0.2">
      <c r="A2941" t="s">
        <v>5471</v>
      </c>
      <c r="B2941" t="s">
        <v>5472</v>
      </c>
      <c r="C2941" t="s">
        <v>5039</v>
      </c>
      <c r="D2941" t="s">
        <v>98</v>
      </c>
      <c r="E2941">
        <v>149.99</v>
      </c>
      <c r="F2941" t="s">
        <v>5817</v>
      </c>
      <c r="L2941" t="s">
        <v>73</v>
      </c>
      <c r="M2941">
        <v>0</v>
      </c>
      <c r="N2941">
        <v>0</v>
      </c>
      <c r="O2941">
        <v>0</v>
      </c>
      <c r="P2941">
        <v>0</v>
      </c>
    </row>
    <row r="2942" spans="1:16" x14ac:dyDescent="0.2">
      <c r="A2942" t="s">
        <v>5477</v>
      </c>
      <c r="B2942" t="s">
        <v>5478</v>
      </c>
      <c r="C2942" t="s">
        <v>5039</v>
      </c>
      <c r="D2942" t="s">
        <v>98</v>
      </c>
      <c r="E2942">
        <v>99.99</v>
      </c>
      <c r="F2942" t="s">
        <v>5817</v>
      </c>
      <c r="L2942" t="s">
        <v>73</v>
      </c>
      <c r="M2942">
        <v>0</v>
      </c>
      <c r="N2942">
        <v>0</v>
      </c>
      <c r="O2942">
        <v>0</v>
      </c>
      <c r="P2942">
        <v>0</v>
      </c>
    </row>
    <row r="2943" spans="1:16" x14ac:dyDescent="0.2">
      <c r="A2943" t="s">
        <v>5485</v>
      </c>
      <c r="B2943" t="s">
        <v>5486</v>
      </c>
      <c r="C2943" t="s">
        <v>5039</v>
      </c>
      <c r="D2943" t="s">
        <v>98</v>
      </c>
      <c r="E2943">
        <v>99.99</v>
      </c>
      <c r="F2943" t="s">
        <v>5817</v>
      </c>
      <c r="L2943" t="s">
        <v>73</v>
      </c>
      <c r="M2943">
        <v>0</v>
      </c>
      <c r="N2943">
        <v>0</v>
      </c>
      <c r="O2943">
        <v>0</v>
      </c>
      <c r="P2943">
        <v>0</v>
      </c>
    </row>
    <row r="2944" spans="1:16" x14ac:dyDescent="0.2">
      <c r="A2944" t="s">
        <v>5479</v>
      </c>
      <c r="B2944" t="s">
        <v>5480</v>
      </c>
      <c r="C2944" t="s">
        <v>5039</v>
      </c>
      <c r="D2944" t="s">
        <v>98</v>
      </c>
      <c r="E2944">
        <v>149.99</v>
      </c>
      <c r="F2944" t="s">
        <v>5817</v>
      </c>
      <c r="L2944" t="s">
        <v>73</v>
      </c>
      <c r="M2944">
        <v>0</v>
      </c>
      <c r="N2944">
        <v>0</v>
      </c>
      <c r="O2944">
        <v>0</v>
      </c>
      <c r="P2944">
        <v>0</v>
      </c>
    </row>
    <row r="2945" spans="1:16" x14ac:dyDescent="0.2">
      <c r="A2945" t="s">
        <v>5459</v>
      </c>
      <c r="B2945" t="s">
        <v>5460</v>
      </c>
      <c r="C2945" t="s">
        <v>5039</v>
      </c>
      <c r="D2945" t="s">
        <v>98</v>
      </c>
      <c r="E2945">
        <v>899.99</v>
      </c>
      <c r="F2945" t="s">
        <v>5817</v>
      </c>
      <c r="L2945" t="s">
        <v>73</v>
      </c>
      <c r="M2945">
        <v>0</v>
      </c>
      <c r="N2945">
        <v>0</v>
      </c>
      <c r="O2945">
        <v>0</v>
      </c>
      <c r="P2945">
        <v>0</v>
      </c>
    </row>
    <row r="2946" spans="1:16" x14ac:dyDescent="0.2">
      <c r="A2946" t="s">
        <v>5050</v>
      </c>
      <c r="B2946" t="s">
        <v>5051</v>
      </c>
      <c r="C2946" t="s">
        <v>5039</v>
      </c>
      <c r="D2946" t="s">
        <v>98</v>
      </c>
      <c r="E2946">
        <v>899.99</v>
      </c>
      <c r="F2946" t="s">
        <v>5817</v>
      </c>
      <c r="L2946" t="s">
        <v>73</v>
      </c>
      <c r="M2946">
        <v>0</v>
      </c>
      <c r="N2946">
        <v>0</v>
      </c>
      <c r="O2946">
        <v>0</v>
      </c>
      <c r="P2946">
        <v>0</v>
      </c>
    </row>
    <row r="2947" spans="1:16" x14ac:dyDescent="0.2">
      <c r="A2947" t="s">
        <v>5518</v>
      </c>
      <c r="B2947" t="s">
        <v>5519</v>
      </c>
      <c r="C2947" t="s">
        <v>5039</v>
      </c>
      <c r="D2947" t="s">
        <v>98</v>
      </c>
      <c r="E2947">
        <v>149.99</v>
      </c>
      <c r="F2947" t="s">
        <v>5817</v>
      </c>
      <c r="L2947" t="s">
        <v>73</v>
      </c>
      <c r="M2947">
        <v>0</v>
      </c>
      <c r="N2947">
        <v>0</v>
      </c>
      <c r="O2947">
        <v>0</v>
      </c>
      <c r="P2947">
        <v>0</v>
      </c>
    </row>
    <row r="2948" spans="1:16" x14ac:dyDescent="0.2">
      <c r="A2948" t="s">
        <v>5522</v>
      </c>
      <c r="B2948" t="s">
        <v>5523</v>
      </c>
      <c r="C2948" t="s">
        <v>5039</v>
      </c>
      <c r="D2948" t="s">
        <v>98</v>
      </c>
      <c r="E2948">
        <v>99.99</v>
      </c>
      <c r="F2948" t="s">
        <v>5817</v>
      </c>
      <c r="L2948" t="s">
        <v>73</v>
      </c>
      <c r="M2948">
        <v>0</v>
      </c>
      <c r="N2948">
        <v>0</v>
      </c>
      <c r="O2948">
        <v>0</v>
      </c>
      <c r="P2948">
        <v>0</v>
      </c>
    </row>
    <row r="2949" spans="1:16" x14ac:dyDescent="0.2">
      <c r="A2949" t="s">
        <v>5048</v>
      </c>
      <c r="B2949" t="s">
        <v>5049</v>
      </c>
      <c r="C2949" t="s">
        <v>5039</v>
      </c>
      <c r="D2949" t="s">
        <v>98</v>
      </c>
      <c r="E2949">
        <v>429.99</v>
      </c>
      <c r="F2949" t="s">
        <v>5817</v>
      </c>
      <c r="L2949" t="s">
        <v>73</v>
      </c>
      <c r="M2949">
        <v>0</v>
      </c>
      <c r="N2949">
        <v>0</v>
      </c>
      <c r="O2949">
        <v>0</v>
      </c>
      <c r="P2949">
        <v>0</v>
      </c>
    </row>
    <row r="2950" spans="1:16" x14ac:dyDescent="0.2">
      <c r="A2950" t="s">
        <v>5471</v>
      </c>
      <c r="B2950" t="s">
        <v>5472</v>
      </c>
      <c r="C2950" t="s">
        <v>5039</v>
      </c>
      <c r="D2950" t="s">
        <v>98</v>
      </c>
      <c r="E2950">
        <v>149.99</v>
      </c>
      <c r="F2950" t="s">
        <v>5817</v>
      </c>
      <c r="L2950" t="s">
        <v>5818</v>
      </c>
      <c r="M2950">
        <v>0</v>
      </c>
      <c r="N2950">
        <v>0</v>
      </c>
      <c r="O2950">
        <v>0</v>
      </c>
      <c r="P2950" t="s">
        <v>5819</v>
      </c>
    </row>
    <row r="2951" spans="1:16" x14ac:dyDescent="0.2">
      <c r="A2951" t="s">
        <v>5495</v>
      </c>
      <c r="B2951" t="s">
        <v>5496</v>
      </c>
      <c r="C2951" t="s">
        <v>5039</v>
      </c>
      <c r="D2951" t="s">
        <v>98</v>
      </c>
      <c r="E2951">
        <v>69.989999999999995</v>
      </c>
      <c r="F2951" t="s">
        <v>5817</v>
      </c>
      <c r="L2951" t="s">
        <v>5818</v>
      </c>
      <c r="M2951">
        <v>0</v>
      </c>
      <c r="N2951">
        <v>0</v>
      </c>
      <c r="O2951">
        <v>0</v>
      </c>
      <c r="P2951" t="s">
        <v>5819</v>
      </c>
    </row>
    <row r="2952" spans="1:16" x14ac:dyDescent="0.2">
      <c r="A2952" t="s">
        <v>5501</v>
      </c>
      <c r="B2952" t="s">
        <v>5502</v>
      </c>
      <c r="C2952" t="s">
        <v>5039</v>
      </c>
      <c r="D2952" t="s">
        <v>98</v>
      </c>
      <c r="E2952">
        <v>79.989999999999995</v>
      </c>
      <c r="F2952" t="s">
        <v>5817</v>
      </c>
      <c r="L2952" t="s">
        <v>5818</v>
      </c>
      <c r="M2952">
        <v>0</v>
      </c>
      <c r="N2952">
        <v>0</v>
      </c>
      <c r="O2952">
        <v>0</v>
      </c>
      <c r="P2952" t="s">
        <v>5819</v>
      </c>
    </row>
    <row r="2953" spans="1:16" x14ac:dyDescent="0.2">
      <c r="A2953" t="s">
        <v>5503</v>
      </c>
      <c r="B2953" t="s">
        <v>5504</v>
      </c>
      <c r="C2953" t="s">
        <v>5039</v>
      </c>
      <c r="D2953" t="s">
        <v>98</v>
      </c>
      <c r="E2953">
        <v>79.989999999999995</v>
      </c>
      <c r="F2953" t="s">
        <v>5817</v>
      </c>
      <c r="L2953" t="s">
        <v>5818</v>
      </c>
      <c r="M2953">
        <v>0</v>
      </c>
      <c r="N2953">
        <v>0</v>
      </c>
      <c r="O2953">
        <v>0</v>
      </c>
      <c r="P2953" t="s">
        <v>5819</v>
      </c>
    </row>
    <row r="2954" spans="1:16" x14ac:dyDescent="0.2">
      <c r="A2954" t="s">
        <v>5510</v>
      </c>
      <c r="B2954" t="s">
        <v>5511</v>
      </c>
      <c r="C2954" t="s">
        <v>5039</v>
      </c>
      <c r="D2954" t="s">
        <v>98</v>
      </c>
      <c r="E2954">
        <v>69.989999999999995</v>
      </c>
      <c r="F2954" t="s">
        <v>5817</v>
      </c>
      <c r="L2954" t="s">
        <v>5818</v>
      </c>
      <c r="M2954">
        <v>0</v>
      </c>
      <c r="N2954">
        <v>0</v>
      </c>
      <c r="O2954">
        <v>0</v>
      </c>
      <c r="P2954" t="s">
        <v>5819</v>
      </c>
    </row>
    <row r="2955" spans="1:16" x14ac:dyDescent="0.2">
      <c r="A2955" t="s">
        <v>5435</v>
      </c>
      <c r="B2955" t="s">
        <v>5436</v>
      </c>
      <c r="C2955" t="s">
        <v>5039</v>
      </c>
      <c r="D2955" t="s">
        <v>98</v>
      </c>
      <c r="E2955">
        <v>149.99</v>
      </c>
      <c r="F2955" t="s">
        <v>5817</v>
      </c>
      <c r="L2955" t="s">
        <v>5818</v>
      </c>
      <c r="M2955">
        <v>0</v>
      </c>
      <c r="N2955">
        <v>0</v>
      </c>
      <c r="O2955">
        <v>0</v>
      </c>
      <c r="P2955" t="s">
        <v>5819</v>
      </c>
    </row>
    <row r="2956" spans="1:16" x14ac:dyDescent="0.2">
      <c r="A2956" t="s">
        <v>5401</v>
      </c>
      <c r="B2956" t="s">
        <v>5402</v>
      </c>
      <c r="C2956" t="s">
        <v>5039</v>
      </c>
      <c r="D2956" t="s">
        <v>98</v>
      </c>
      <c r="E2956">
        <v>99.99</v>
      </c>
      <c r="F2956" t="s">
        <v>5817</v>
      </c>
      <c r="L2956" t="s">
        <v>5818</v>
      </c>
      <c r="M2956">
        <v>0</v>
      </c>
      <c r="N2956">
        <v>0</v>
      </c>
      <c r="O2956">
        <v>0</v>
      </c>
      <c r="P2956" t="s">
        <v>5819</v>
      </c>
    </row>
    <row r="2957" spans="1:16" x14ac:dyDescent="0.2">
      <c r="A2957" t="s">
        <v>5405</v>
      </c>
      <c r="B2957" t="s">
        <v>5406</v>
      </c>
      <c r="C2957" t="s">
        <v>5039</v>
      </c>
      <c r="D2957" t="s">
        <v>98</v>
      </c>
      <c r="E2957">
        <v>149.99</v>
      </c>
      <c r="F2957" t="s">
        <v>5817</v>
      </c>
      <c r="L2957" t="s">
        <v>5818</v>
      </c>
      <c r="M2957">
        <v>0</v>
      </c>
      <c r="N2957">
        <v>0</v>
      </c>
      <c r="O2957">
        <v>0</v>
      </c>
      <c r="P2957" t="s">
        <v>5819</v>
      </c>
    </row>
    <row r="2958" spans="1:16" x14ac:dyDescent="0.2">
      <c r="A2958" t="s">
        <v>5411</v>
      </c>
      <c r="B2958" t="s">
        <v>5412</v>
      </c>
      <c r="C2958" t="s">
        <v>5039</v>
      </c>
      <c r="D2958" t="s">
        <v>98</v>
      </c>
      <c r="E2958">
        <v>99.99</v>
      </c>
      <c r="F2958" t="s">
        <v>5817</v>
      </c>
      <c r="L2958" t="s">
        <v>5818</v>
      </c>
      <c r="M2958">
        <v>0</v>
      </c>
      <c r="N2958">
        <v>0</v>
      </c>
      <c r="O2958">
        <v>0</v>
      </c>
      <c r="P2958" t="s">
        <v>5819</v>
      </c>
    </row>
    <row r="2959" spans="1:16" x14ac:dyDescent="0.2">
      <c r="A2959" t="s">
        <v>5417</v>
      </c>
      <c r="B2959" t="s">
        <v>5418</v>
      </c>
      <c r="C2959" t="s">
        <v>5039</v>
      </c>
      <c r="D2959" t="s">
        <v>98</v>
      </c>
      <c r="E2959">
        <v>149.99</v>
      </c>
      <c r="F2959" t="s">
        <v>5817</v>
      </c>
      <c r="L2959" t="s">
        <v>5818</v>
      </c>
      <c r="M2959">
        <v>0</v>
      </c>
      <c r="N2959">
        <v>0</v>
      </c>
      <c r="O2959">
        <v>0</v>
      </c>
      <c r="P2959" t="s">
        <v>5819</v>
      </c>
    </row>
    <row r="2960" spans="1:16" x14ac:dyDescent="0.2">
      <c r="A2960" t="s">
        <v>5397</v>
      </c>
      <c r="B2960" t="s">
        <v>5398</v>
      </c>
      <c r="C2960" t="s">
        <v>5039</v>
      </c>
      <c r="D2960" t="s">
        <v>98</v>
      </c>
      <c r="E2960">
        <v>99.99</v>
      </c>
      <c r="F2960" t="s">
        <v>5817</v>
      </c>
      <c r="L2960" t="s">
        <v>5818</v>
      </c>
      <c r="M2960">
        <v>0</v>
      </c>
      <c r="N2960">
        <v>0</v>
      </c>
      <c r="O2960">
        <v>0</v>
      </c>
      <c r="P2960" t="s">
        <v>5819</v>
      </c>
    </row>
    <row r="2961" spans="1:16" x14ac:dyDescent="0.2">
      <c r="A2961" t="s">
        <v>5044</v>
      </c>
      <c r="B2961" t="s">
        <v>5045</v>
      </c>
      <c r="C2961" t="s">
        <v>5039</v>
      </c>
      <c r="D2961" t="s">
        <v>98</v>
      </c>
      <c r="E2961">
        <v>149.99</v>
      </c>
      <c r="F2961" t="s">
        <v>5817</v>
      </c>
      <c r="L2961" t="s">
        <v>5818</v>
      </c>
      <c r="M2961">
        <v>0</v>
      </c>
      <c r="N2961">
        <v>0</v>
      </c>
      <c r="O2961">
        <v>0</v>
      </c>
      <c r="P2961" t="s">
        <v>5819</v>
      </c>
    </row>
    <row r="2962" spans="1:16" x14ac:dyDescent="0.2">
      <c r="A2962" t="s">
        <v>5042</v>
      </c>
      <c r="B2962" t="s">
        <v>5043</v>
      </c>
      <c r="C2962" t="s">
        <v>5039</v>
      </c>
      <c r="D2962" t="s">
        <v>98</v>
      </c>
      <c r="E2962">
        <v>149.99</v>
      </c>
      <c r="F2962" t="s">
        <v>5817</v>
      </c>
      <c r="L2962" t="s">
        <v>5818</v>
      </c>
      <c r="M2962">
        <v>0</v>
      </c>
      <c r="N2962">
        <v>0</v>
      </c>
      <c r="O2962">
        <v>0</v>
      </c>
      <c r="P2962" t="s">
        <v>5819</v>
      </c>
    </row>
    <row r="2963" spans="1:16" x14ac:dyDescent="0.2">
      <c r="A2963" t="s">
        <v>5391</v>
      </c>
      <c r="B2963" t="s">
        <v>5392</v>
      </c>
      <c r="C2963" t="s">
        <v>5039</v>
      </c>
      <c r="D2963" t="s">
        <v>98</v>
      </c>
      <c r="E2963">
        <v>149.99</v>
      </c>
      <c r="F2963" t="s">
        <v>5817</v>
      </c>
      <c r="L2963" t="s">
        <v>5818</v>
      </c>
      <c r="M2963">
        <v>0</v>
      </c>
      <c r="N2963">
        <v>0</v>
      </c>
      <c r="O2963">
        <v>0</v>
      </c>
      <c r="P2963" t="s">
        <v>5819</v>
      </c>
    </row>
    <row r="2964" spans="1:16" x14ac:dyDescent="0.2">
      <c r="A2964" t="s">
        <v>5395</v>
      </c>
      <c r="B2964" t="s">
        <v>5396</v>
      </c>
      <c r="C2964" t="s">
        <v>5039</v>
      </c>
      <c r="D2964" t="s">
        <v>98</v>
      </c>
      <c r="E2964">
        <v>99.99</v>
      </c>
      <c r="F2964" t="s">
        <v>5817</v>
      </c>
      <c r="L2964" t="s">
        <v>5818</v>
      </c>
      <c r="M2964">
        <v>0</v>
      </c>
      <c r="N2964">
        <v>0</v>
      </c>
      <c r="O2964">
        <v>0</v>
      </c>
      <c r="P2964" t="s">
        <v>5819</v>
      </c>
    </row>
    <row r="2965" spans="1:16" x14ac:dyDescent="0.2">
      <c r="A2965" t="s">
        <v>5499</v>
      </c>
      <c r="B2965" t="s">
        <v>5500</v>
      </c>
      <c r="C2965" t="s">
        <v>5039</v>
      </c>
      <c r="D2965" t="s">
        <v>98</v>
      </c>
      <c r="E2965">
        <v>39.99</v>
      </c>
      <c r="F2965" t="s">
        <v>5817</v>
      </c>
      <c r="L2965" t="s">
        <v>5818</v>
      </c>
      <c r="M2965">
        <v>0</v>
      </c>
      <c r="N2965">
        <v>0</v>
      </c>
      <c r="O2965">
        <v>0</v>
      </c>
      <c r="P2965" t="s">
        <v>5819</v>
      </c>
    </row>
    <row r="2966" spans="1:16" x14ac:dyDescent="0.2">
      <c r="A2966" t="s">
        <v>5477</v>
      </c>
      <c r="B2966" t="s">
        <v>5478</v>
      </c>
      <c r="C2966" t="s">
        <v>5039</v>
      </c>
      <c r="D2966" t="s">
        <v>98</v>
      </c>
      <c r="E2966">
        <v>99.99</v>
      </c>
      <c r="F2966" t="s">
        <v>5817</v>
      </c>
      <c r="L2966" t="s">
        <v>5818</v>
      </c>
      <c r="M2966">
        <v>0</v>
      </c>
      <c r="N2966">
        <v>0</v>
      </c>
      <c r="O2966">
        <v>0</v>
      </c>
      <c r="P2966" t="s">
        <v>5819</v>
      </c>
    </row>
    <row r="2967" spans="1:16" x14ac:dyDescent="0.2">
      <c r="A2967" t="s">
        <v>5479</v>
      </c>
      <c r="B2967" t="s">
        <v>5480</v>
      </c>
      <c r="C2967" t="s">
        <v>5039</v>
      </c>
      <c r="D2967" t="s">
        <v>98</v>
      </c>
      <c r="E2967">
        <v>149.99</v>
      </c>
      <c r="F2967" t="s">
        <v>5817</v>
      </c>
      <c r="L2967" t="s">
        <v>5818</v>
      </c>
      <c r="M2967">
        <v>0</v>
      </c>
      <c r="N2967">
        <v>0</v>
      </c>
      <c r="O2967">
        <v>0</v>
      </c>
      <c r="P2967" t="s">
        <v>5819</v>
      </c>
    </row>
    <row r="2968" spans="1:16" x14ac:dyDescent="0.2">
      <c r="A2968" t="s">
        <v>5485</v>
      </c>
      <c r="B2968" t="s">
        <v>5486</v>
      </c>
      <c r="C2968" t="s">
        <v>5039</v>
      </c>
      <c r="D2968" t="s">
        <v>98</v>
      </c>
      <c r="E2968">
        <v>99.99</v>
      </c>
      <c r="F2968" t="s">
        <v>5817</v>
      </c>
      <c r="L2968" t="s">
        <v>5818</v>
      </c>
      <c r="M2968">
        <v>0</v>
      </c>
      <c r="N2968">
        <v>0</v>
      </c>
      <c r="O2968">
        <v>0</v>
      </c>
      <c r="P2968" t="s">
        <v>5819</v>
      </c>
    </row>
    <row r="2969" spans="1:16" x14ac:dyDescent="0.2">
      <c r="A2969" t="s">
        <v>5489</v>
      </c>
      <c r="B2969" t="s">
        <v>5490</v>
      </c>
      <c r="C2969" t="s">
        <v>5039</v>
      </c>
      <c r="D2969" t="s">
        <v>98</v>
      </c>
      <c r="E2969">
        <v>149.99</v>
      </c>
      <c r="F2969" t="s">
        <v>5817</v>
      </c>
      <c r="L2969" t="s">
        <v>5818</v>
      </c>
      <c r="M2969">
        <v>0</v>
      </c>
      <c r="N2969">
        <v>0</v>
      </c>
      <c r="O2969">
        <v>0</v>
      </c>
      <c r="P2969" t="s">
        <v>5819</v>
      </c>
    </row>
    <row r="2970" spans="1:16" x14ac:dyDescent="0.2">
      <c r="A2970" t="s">
        <v>5054</v>
      </c>
      <c r="B2970" t="s">
        <v>5055</v>
      </c>
      <c r="C2970" t="s">
        <v>5039</v>
      </c>
      <c r="D2970" t="s">
        <v>98</v>
      </c>
      <c r="E2970">
        <v>99.99</v>
      </c>
      <c r="F2970" t="s">
        <v>5817</v>
      </c>
      <c r="L2970" t="s">
        <v>5818</v>
      </c>
      <c r="M2970">
        <v>0</v>
      </c>
      <c r="N2970">
        <v>0</v>
      </c>
      <c r="O2970">
        <v>0</v>
      </c>
      <c r="P2970" t="s">
        <v>5819</v>
      </c>
    </row>
    <row r="2971" spans="1:16" x14ac:dyDescent="0.2">
      <c r="A2971" t="s">
        <v>5453</v>
      </c>
      <c r="B2971" t="s">
        <v>5919</v>
      </c>
      <c r="C2971" t="s">
        <v>5039</v>
      </c>
      <c r="D2971" t="s">
        <v>98</v>
      </c>
      <c r="E2971">
        <v>1199.99</v>
      </c>
      <c r="F2971" t="s">
        <v>5817</v>
      </c>
      <c r="L2971" t="s">
        <v>5818</v>
      </c>
      <c r="M2971">
        <v>0</v>
      </c>
      <c r="N2971">
        <v>0</v>
      </c>
      <c r="O2971">
        <v>0</v>
      </c>
      <c r="P2971" t="s">
        <v>5819</v>
      </c>
    </row>
    <row r="2972" spans="1:16" x14ac:dyDescent="0.2">
      <c r="A2972" t="s">
        <v>5459</v>
      </c>
      <c r="B2972" t="s">
        <v>5460</v>
      </c>
      <c r="C2972" t="s">
        <v>5039</v>
      </c>
      <c r="D2972" t="s">
        <v>98</v>
      </c>
      <c r="E2972">
        <v>899.99</v>
      </c>
      <c r="F2972" t="s">
        <v>5817</v>
      </c>
      <c r="L2972" t="s">
        <v>5818</v>
      </c>
      <c r="M2972">
        <v>0</v>
      </c>
      <c r="N2972">
        <v>0</v>
      </c>
      <c r="O2972">
        <v>0</v>
      </c>
      <c r="P2972" t="s">
        <v>5819</v>
      </c>
    </row>
    <row r="2973" spans="1:16" x14ac:dyDescent="0.2">
      <c r="A2973" t="s">
        <v>5050</v>
      </c>
      <c r="B2973" t="s">
        <v>5051</v>
      </c>
      <c r="C2973" t="s">
        <v>5039</v>
      </c>
      <c r="D2973" t="s">
        <v>98</v>
      </c>
      <c r="E2973">
        <v>899.99</v>
      </c>
      <c r="F2973" t="s">
        <v>5817</v>
      </c>
      <c r="L2973" t="s">
        <v>5818</v>
      </c>
      <c r="M2973">
        <v>0</v>
      </c>
      <c r="N2973">
        <v>0</v>
      </c>
      <c r="O2973">
        <v>0</v>
      </c>
      <c r="P2973" t="s">
        <v>5819</v>
      </c>
    </row>
    <row r="2974" spans="1:16" x14ac:dyDescent="0.2">
      <c r="A2974" t="s">
        <v>5048</v>
      </c>
      <c r="B2974" t="s">
        <v>5049</v>
      </c>
      <c r="C2974" t="s">
        <v>5039</v>
      </c>
      <c r="D2974" t="s">
        <v>98</v>
      </c>
      <c r="E2974">
        <v>429.99</v>
      </c>
      <c r="F2974" t="s">
        <v>5817</v>
      </c>
      <c r="L2974" t="s">
        <v>5818</v>
      </c>
      <c r="M2974">
        <v>0</v>
      </c>
      <c r="N2974">
        <v>0</v>
      </c>
      <c r="O2974">
        <v>0</v>
      </c>
      <c r="P2974" t="s">
        <v>5819</v>
      </c>
    </row>
    <row r="2975" spans="1:16" x14ac:dyDescent="0.2">
      <c r="A2975" t="s">
        <v>5518</v>
      </c>
      <c r="B2975" t="s">
        <v>5519</v>
      </c>
      <c r="C2975" t="s">
        <v>5039</v>
      </c>
      <c r="D2975" t="s">
        <v>98</v>
      </c>
      <c r="E2975">
        <v>149.99</v>
      </c>
      <c r="F2975" t="s">
        <v>5817</v>
      </c>
      <c r="L2975" t="s">
        <v>5818</v>
      </c>
      <c r="M2975">
        <v>0</v>
      </c>
      <c r="N2975">
        <v>0</v>
      </c>
      <c r="O2975">
        <v>0</v>
      </c>
      <c r="P2975" t="s">
        <v>5819</v>
      </c>
    </row>
    <row r="2976" spans="1:16" x14ac:dyDescent="0.2">
      <c r="A2976" t="s">
        <v>5522</v>
      </c>
      <c r="B2976" t="s">
        <v>5523</v>
      </c>
      <c r="C2976" t="s">
        <v>5039</v>
      </c>
      <c r="D2976" t="s">
        <v>98</v>
      </c>
      <c r="E2976">
        <v>99.99</v>
      </c>
      <c r="F2976" t="s">
        <v>5817</v>
      </c>
      <c r="L2976" t="s">
        <v>5818</v>
      </c>
      <c r="M2976">
        <v>0</v>
      </c>
      <c r="N2976">
        <v>0</v>
      </c>
      <c r="O2976">
        <v>0</v>
      </c>
      <c r="P2976" t="s">
        <v>5819</v>
      </c>
    </row>
    <row r="2977" spans="1:16" x14ac:dyDescent="0.2">
      <c r="A2977" t="s">
        <v>5046</v>
      </c>
      <c r="B2977" t="s">
        <v>5047</v>
      </c>
      <c r="C2977" t="s">
        <v>5039</v>
      </c>
      <c r="D2977" t="s">
        <v>98</v>
      </c>
      <c r="E2977">
        <v>149.99</v>
      </c>
      <c r="F2977" t="s">
        <v>5817</v>
      </c>
      <c r="L2977" t="s">
        <v>5818</v>
      </c>
      <c r="M2977">
        <v>0</v>
      </c>
      <c r="N2977">
        <v>0</v>
      </c>
      <c r="O2977">
        <v>0</v>
      </c>
      <c r="P2977" t="s">
        <v>5819</v>
      </c>
    </row>
    <row r="2978" spans="1:16" x14ac:dyDescent="0.2">
      <c r="A2978" t="s">
        <v>5530</v>
      </c>
      <c r="B2978" t="s">
        <v>5531</v>
      </c>
      <c r="C2978" t="s">
        <v>5039</v>
      </c>
      <c r="D2978" t="s">
        <v>98</v>
      </c>
      <c r="E2978">
        <v>99.99</v>
      </c>
      <c r="F2978" t="s">
        <v>5817</v>
      </c>
      <c r="L2978" t="s">
        <v>5818</v>
      </c>
      <c r="M2978">
        <v>0</v>
      </c>
      <c r="N2978">
        <v>0</v>
      </c>
      <c r="O2978">
        <v>0</v>
      </c>
      <c r="P2978" t="s">
        <v>5819</v>
      </c>
    </row>
    <row r="2979" spans="1:16" x14ac:dyDescent="0.2">
      <c r="A2979" t="s">
        <v>5534</v>
      </c>
      <c r="B2979" t="s">
        <v>5535</v>
      </c>
      <c r="C2979" t="s">
        <v>5039</v>
      </c>
      <c r="D2979" t="s">
        <v>98</v>
      </c>
      <c r="E2979">
        <v>49.99</v>
      </c>
      <c r="F2979" t="s">
        <v>5817</v>
      </c>
      <c r="L2979" t="s">
        <v>5818</v>
      </c>
      <c r="M2979">
        <v>0</v>
      </c>
      <c r="N2979">
        <v>0</v>
      </c>
      <c r="O2979">
        <v>0</v>
      </c>
      <c r="P2979" t="s">
        <v>5819</v>
      </c>
    </row>
    <row r="2980" spans="1:16" x14ac:dyDescent="0.2">
      <c r="A2980" t="s">
        <v>5407</v>
      </c>
      <c r="B2980" t="s">
        <v>5408</v>
      </c>
      <c r="C2980" t="s">
        <v>5039</v>
      </c>
      <c r="D2980" t="s">
        <v>98</v>
      </c>
      <c r="E2980">
        <v>179.99</v>
      </c>
      <c r="F2980" t="s">
        <v>5817</v>
      </c>
      <c r="L2980" t="s">
        <v>5818</v>
      </c>
      <c r="M2980">
        <v>0</v>
      </c>
      <c r="N2980">
        <v>0</v>
      </c>
      <c r="O2980">
        <v>0</v>
      </c>
      <c r="P2980" t="s">
        <v>5819</v>
      </c>
    </row>
    <row r="2981" spans="1:16" x14ac:dyDescent="0.2">
      <c r="A2981" t="s">
        <v>5421</v>
      </c>
      <c r="B2981" t="s">
        <v>5422</v>
      </c>
      <c r="C2981" t="s">
        <v>5039</v>
      </c>
      <c r="D2981" t="s">
        <v>98</v>
      </c>
      <c r="E2981">
        <v>54.99</v>
      </c>
      <c r="F2981" t="s">
        <v>5817</v>
      </c>
      <c r="L2981" t="s">
        <v>5818</v>
      </c>
      <c r="M2981">
        <v>0</v>
      </c>
      <c r="N2981">
        <v>0</v>
      </c>
      <c r="O2981">
        <v>0</v>
      </c>
      <c r="P2981" t="s">
        <v>5819</v>
      </c>
    </row>
    <row r="2982" spans="1:16" x14ac:dyDescent="0.2">
      <c r="A2982" t="s">
        <v>5439</v>
      </c>
      <c r="B2982" t="s">
        <v>5440</v>
      </c>
      <c r="C2982" t="s">
        <v>5039</v>
      </c>
      <c r="D2982" t="s">
        <v>98</v>
      </c>
      <c r="E2982">
        <v>799.99</v>
      </c>
      <c r="F2982" t="s">
        <v>5817</v>
      </c>
      <c r="L2982" t="s">
        <v>5818</v>
      </c>
      <c r="M2982">
        <v>0</v>
      </c>
      <c r="N2982">
        <v>0</v>
      </c>
      <c r="O2982">
        <v>0</v>
      </c>
      <c r="P2982" t="s">
        <v>5819</v>
      </c>
    </row>
    <row r="2983" spans="1:16" x14ac:dyDescent="0.2">
      <c r="A2983" t="s">
        <v>5443</v>
      </c>
      <c r="B2983" t="s">
        <v>5444</v>
      </c>
      <c r="C2983" t="s">
        <v>5039</v>
      </c>
      <c r="D2983" t="s">
        <v>98</v>
      </c>
      <c r="E2983">
        <v>649.99</v>
      </c>
      <c r="F2983" t="s">
        <v>5817</v>
      </c>
      <c r="L2983" t="s">
        <v>5818</v>
      </c>
      <c r="M2983">
        <v>0</v>
      </c>
      <c r="N2983">
        <v>0</v>
      </c>
      <c r="O2983">
        <v>0</v>
      </c>
      <c r="P2983" t="s">
        <v>5819</v>
      </c>
    </row>
    <row r="2984" spans="1:16" x14ac:dyDescent="0.2">
      <c r="A2984" t="s">
        <v>5391</v>
      </c>
      <c r="B2984" t="s">
        <v>5392</v>
      </c>
      <c r="C2984" t="s">
        <v>5039</v>
      </c>
      <c r="D2984" t="s">
        <v>98</v>
      </c>
      <c r="E2984">
        <v>149.99</v>
      </c>
      <c r="F2984" t="s">
        <v>5817</v>
      </c>
      <c r="L2984" t="s">
        <v>5085</v>
      </c>
      <c r="M2984">
        <v>0</v>
      </c>
      <c r="N2984">
        <v>0</v>
      </c>
      <c r="O2984">
        <v>0.33333333333333331</v>
      </c>
      <c r="P2984" t="s">
        <v>5819</v>
      </c>
    </row>
    <row r="2985" spans="1:16" x14ac:dyDescent="0.2">
      <c r="A2985" t="s">
        <v>5042</v>
      </c>
      <c r="B2985" t="s">
        <v>5043</v>
      </c>
      <c r="C2985" t="s">
        <v>5039</v>
      </c>
      <c r="D2985" t="s">
        <v>98</v>
      </c>
      <c r="E2985">
        <v>149.99</v>
      </c>
      <c r="F2985" t="s">
        <v>5817</v>
      </c>
      <c r="L2985" t="s">
        <v>5085</v>
      </c>
      <c r="M2985">
        <v>0</v>
      </c>
      <c r="N2985">
        <v>0</v>
      </c>
      <c r="O2985">
        <v>8.3333333333333329E-2</v>
      </c>
      <c r="P2985" t="s">
        <v>5819</v>
      </c>
    </row>
    <row r="2986" spans="1:16" x14ac:dyDescent="0.2">
      <c r="A2986" t="s">
        <v>5421</v>
      </c>
      <c r="B2986" t="s">
        <v>5422</v>
      </c>
      <c r="C2986" t="s">
        <v>5039</v>
      </c>
      <c r="D2986" t="s">
        <v>98</v>
      </c>
      <c r="E2986">
        <v>54.99</v>
      </c>
      <c r="F2986" t="s">
        <v>5817</v>
      </c>
      <c r="L2986" t="s">
        <v>5085</v>
      </c>
      <c r="M2986">
        <v>0</v>
      </c>
      <c r="N2986">
        <v>0</v>
      </c>
      <c r="O2986">
        <v>0.33333333333333331</v>
      </c>
      <c r="P2986" t="s">
        <v>5819</v>
      </c>
    </row>
    <row r="2987" spans="1:16" x14ac:dyDescent="0.2">
      <c r="A2987" t="s">
        <v>5397</v>
      </c>
      <c r="B2987" t="s">
        <v>5398</v>
      </c>
      <c r="C2987" t="s">
        <v>5039</v>
      </c>
      <c r="D2987" t="s">
        <v>98</v>
      </c>
      <c r="E2987">
        <v>99.99</v>
      </c>
      <c r="F2987" t="s">
        <v>5817</v>
      </c>
      <c r="L2987" t="s">
        <v>5085</v>
      </c>
      <c r="M2987">
        <v>0</v>
      </c>
      <c r="N2987">
        <v>0</v>
      </c>
      <c r="O2987">
        <v>0</v>
      </c>
      <c r="P2987" t="s">
        <v>5819</v>
      </c>
    </row>
    <row r="2988" spans="1:16" x14ac:dyDescent="0.2">
      <c r="A2988" t="s">
        <v>5046</v>
      </c>
      <c r="B2988" t="s">
        <v>5047</v>
      </c>
      <c r="C2988" t="s">
        <v>5039</v>
      </c>
      <c r="D2988" t="s">
        <v>98</v>
      </c>
      <c r="E2988">
        <v>149.99</v>
      </c>
      <c r="F2988" t="s">
        <v>5817</v>
      </c>
      <c r="L2988" t="s">
        <v>5085</v>
      </c>
      <c r="M2988">
        <v>0</v>
      </c>
      <c r="N2988">
        <v>0</v>
      </c>
      <c r="O2988">
        <v>0</v>
      </c>
      <c r="P2988" t="s">
        <v>5819</v>
      </c>
    </row>
    <row r="2989" spans="1:16" x14ac:dyDescent="0.2">
      <c r="A2989" t="s">
        <v>5522</v>
      </c>
      <c r="B2989" t="s">
        <v>5523</v>
      </c>
      <c r="C2989" t="s">
        <v>5039</v>
      </c>
      <c r="D2989" t="s">
        <v>98</v>
      </c>
      <c r="E2989">
        <v>99.99</v>
      </c>
      <c r="F2989" t="s">
        <v>5817</v>
      </c>
      <c r="L2989" t="s">
        <v>5085</v>
      </c>
      <c r="M2989">
        <v>0</v>
      </c>
      <c r="N2989">
        <v>0</v>
      </c>
      <c r="O2989">
        <v>0.33333333333333337</v>
      </c>
      <c r="P2989">
        <v>18</v>
      </c>
    </row>
    <row r="2990" spans="1:16" x14ac:dyDescent="0.2">
      <c r="A2990" t="s">
        <v>5518</v>
      </c>
      <c r="B2990" t="s">
        <v>5519</v>
      </c>
      <c r="C2990" t="s">
        <v>5039</v>
      </c>
      <c r="D2990" t="s">
        <v>98</v>
      </c>
      <c r="E2990">
        <v>149.99</v>
      </c>
      <c r="F2990" t="s">
        <v>5817</v>
      </c>
      <c r="L2990" t="s">
        <v>5085</v>
      </c>
      <c r="M2990">
        <v>0</v>
      </c>
      <c r="N2990">
        <v>0</v>
      </c>
      <c r="O2990">
        <v>0</v>
      </c>
      <c r="P2990" t="s">
        <v>5819</v>
      </c>
    </row>
    <row r="2991" spans="1:16" x14ac:dyDescent="0.2">
      <c r="A2991" t="s">
        <v>5048</v>
      </c>
      <c r="B2991" t="s">
        <v>5049</v>
      </c>
      <c r="C2991" t="s">
        <v>5039</v>
      </c>
      <c r="D2991" t="s">
        <v>98</v>
      </c>
      <c r="E2991">
        <v>429.99</v>
      </c>
      <c r="F2991" t="s">
        <v>5817</v>
      </c>
      <c r="L2991" t="s">
        <v>5085</v>
      </c>
      <c r="M2991">
        <v>0</v>
      </c>
      <c r="N2991">
        <v>0</v>
      </c>
      <c r="O2991">
        <v>0</v>
      </c>
      <c r="P2991" t="s">
        <v>5819</v>
      </c>
    </row>
    <row r="2992" spans="1:16" x14ac:dyDescent="0.2">
      <c r="A2992" t="s">
        <v>5050</v>
      </c>
      <c r="B2992" t="s">
        <v>5051</v>
      </c>
      <c r="C2992" t="s">
        <v>5039</v>
      </c>
      <c r="D2992" t="s">
        <v>98</v>
      </c>
      <c r="E2992">
        <v>899.99</v>
      </c>
      <c r="F2992" t="s">
        <v>5817</v>
      </c>
      <c r="L2992" t="s">
        <v>5085</v>
      </c>
      <c r="M2992">
        <v>0</v>
      </c>
      <c r="N2992">
        <v>0</v>
      </c>
      <c r="O2992">
        <v>0</v>
      </c>
      <c r="P2992" t="s">
        <v>5819</v>
      </c>
    </row>
    <row r="2993" spans="1:16" x14ac:dyDescent="0.2">
      <c r="A2993" t="s">
        <v>5052</v>
      </c>
      <c r="B2993" t="s">
        <v>5920</v>
      </c>
      <c r="C2993" t="s">
        <v>5039</v>
      </c>
      <c r="D2993" t="s">
        <v>98</v>
      </c>
      <c r="E2993">
        <v>1299.99</v>
      </c>
      <c r="F2993" t="s">
        <v>5817</v>
      </c>
      <c r="L2993" t="s">
        <v>5085</v>
      </c>
      <c r="M2993">
        <v>0</v>
      </c>
      <c r="N2993">
        <v>0</v>
      </c>
      <c r="O2993">
        <v>0</v>
      </c>
      <c r="P2993" t="s">
        <v>5819</v>
      </c>
    </row>
    <row r="2994" spans="1:16" x14ac:dyDescent="0.2">
      <c r="A2994" t="s">
        <v>5054</v>
      </c>
      <c r="B2994" t="s">
        <v>5055</v>
      </c>
      <c r="C2994" t="s">
        <v>5039</v>
      </c>
      <c r="D2994" t="s">
        <v>98</v>
      </c>
      <c r="E2994">
        <v>99.99</v>
      </c>
      <c r="F2994" t="s">
        <v>5817</v>
      </c>
      <c r="L2994" t="s">
        <v>5085</v>
      </c>
      <c r="M2994">
        <v>0</v>
      </c>
      <c r="N2994">
        <v>0</v>
      </c>
      <c r="O2994">
        <v>0.33333333333333331</v>
      </c>
      <c r="P2994" t="s">
        <v>5819</v>
      </c>
    </row>
    <row r="2995" spans="1:16" x14ac:dyDescent="0.2">
      <c r="A2995" t="s">
        <v>5489</v>
      </c>
      <c r="B2995" t="s">
        <v>5490</v>
      </c>
      <c r="C2995" t="s">
        <v>5039</v>
      </c>
      <c r="D2995" t="s">
        <v>98</v>
      </c>
      <c r="E2995">
        <v>149.99</v>
      </c>
      <c r="F2995" t="s">
        <v>5817</v>
      </c>
      <c r="L2995" t="s">
        <v>5085</v>
      </c>
      <c r="M2995">
        <v>0</v>
      </c>
      <c r="N2995">
        <v>0</v>
      </c>
      <c r="O2995">
        <v>0</v>
      </c>
      <c r="P2995" t="s">
        <v>5819</v>
      </c>
    </row>
    <row r="2996" spans="1:16" x14ac:dyDescent="0.2">
      <c r="A2996" t="s">
        <v>5485</v>
      </c>
      <c r="B2996" t="s">
        <v>5486</v>
      </c>
      <c r="C2996" t="s">
        <v>5039</v>
      </c>
      <c r="D2996" t="s">
        <v>98</v>
      </c>
      <c r="E2996">
        <v>99.99</v>
      </c>
      <c r="F2996" t="s">
        <v>5817</v>
      </c>
      <c r="L2996" t="s">
        <v>5085</v>
      </c>
      <c r="M2996">
        <v>0</v>
      </c>
      <c r="N2996">
        <v>0</v>
      </c>
      <c r="O2996">
        <v>0.41666666666666669</v>
      </c>
      <c r="P2996" t="s">
        <v>5819</v>
      </c>
    </row>
    <row r="2997" spans="1:16" x14ac:dyDescent="0.2">
      <c r="A2997" t="s">
        <v>5479</v>
      </c>
      <c r="B2997" t="s">
        <v>5480</v>
      </c>
      <c r="C2997" t="s">
        <v>5039</v>
      </c>
      <c r="D2997" t="s">
        <v>98</v>
      </c>
      <c r="E2997">
        <v>149.99</v>
      </c>
      <c r="F2997" t="s">
        <v>5817</v>
      </c>
      <c r="L2997" t="s">
        <v>5085</v>
      </c>
      <c r="M2997">
        <v>0</v>
      </c>
      <c r="N2997">
        <v>0</v>
      </c>
      <c r="O2997">
        <v>0</v>
      </c>
      <c r="P2997">
        <v>9</v>
      </c>
    </row>
    <row r="2998" spans="1:16" x14ac:dyDescent="0.2">
      <c r="A2998" t="s">
        <v>5471</v>
      </c>
      <c r="B2998" t="s">
        <v>5472</v>
      </c>
      <c r="C2998" t="s">
        <v>5039</v>
      </c>
      <c r="D2998" t="s">
        <v>98</v>
      </c>
      <c r="E2998">
        <v>149.99</v>
      </c>
      <c r="F2998" t="s">
        <v>5817</v>
      </c>
      <c r="L2998" t="s">
        <v>5085</v>
      </c>
      <c r="M2998">
        <v>0</v>
      </c>
      <c r="N2998">
        <v>0</v>
      </c>
      <c r="O2998">
        <v>0</v>
      </c>
      <c r="P2998" t="s">
        <v>5819</v>
      </c>
    </row>
    <row r="2999" spans="1:16" x14ac:dyDescent="0.2">
      <c r="A2999" t="s">
        <v>5680</v>
      </c>
      <c r="B2999" t="s">
        <v>5681</v>
      </c>
      <c r="C2999" t="s">
        <v>5039</v>
      </c>
      <c r="D2999" t="s">
        <v>98</v>
      </c>
      <c r="E2999">
        <v>1199.99</v>
      </c>
      <c r="F2999" t="s">
        <v>5817</v>
      </c>
      <c r="L2999" t="s">
        <v>5085</v>
      </c>
      <c r="M2999">
        <v>0</v>
      </c>
      <c r="N2999">
        <v>0</v>
      </c>
      <c r="O2999">
        <v>0.25</v>
      </c>
      <c r="P2999" t="s">
        <v>5819</v>
      </c>
    </row>
    <row r="3000" spans="1:16" x14ac:dyDescent="0.2">
      <c r="A3000" t="s">
        <v>5044</v>
      </c>
      <c r="B3000" t="s">
        <v>5045</v>
      </c>
      <c r="C3000" t="s">
        <v>5039</v>
      </c>
      <c r="D3000" t="s">
        <v>98</v>
      </c>
      <c r="E3000">
        <v>149.99</v>
      </c>
      <c r="F3000" t="s">
        <v>5817</v>
      </c>
      <c r="L3000" t="s">
        <v>5085</v>
      </c>
      <c r="M3000">
        <v>0</v>
      </c>
      <c r="N3000">
        <v>0</v>
      </c>
      <c r="O3000">
        <v>0</v>
      </c>
      <c r="P3000" t="s">
        <v>5819</v>
      </c>
    </row>
    <row r="3001" spans="1:16" x14ac:dyDescent="0.2">
      <c r="A3001" t="s">
        <v>5417</v>
      </c>
      <c r="B3001" t="s">
        <v>5418</v>
      </c>
      <c r="C3001" t="s">
        <v>5039</v>
      </c>
      <c r="D3001" t="s">
        <v>98</v>
      </c>
      <c r="E3001">
        <v>149.99</v>
      </c>
      <c r="F3001" t="s">
        <v>5817</v>
      </c>
      <c r="L3001" t="s">
        <v>5085</v>
      </c>
      <c r="M3001">
        <v>0</v>
      </c>
      <c r="N3001">
        <v>0</v>
      </c>
      <c r="O3001">
        <v>8.3333333333333329E-2</v>
      </c>
      <c r="P3001" t="s">
        <v>5819</v>
      </c>
    </row>
    <row r="3002" spans="1:16" x14ac:dyDescent="0.2">
      <c r="A3002" t="s">
        <v>5411</v>
      </c>
      <c r="B3002" t="s">
        <v>5412</v>
      </c>
      <c r="C3002" t="s">
        <v>5039</v>
      </c>
      <c r="D3002" t="s">
        <v>98</v>
      </c>
      <c r="E3002">
        <v>99.99</v>
      </c>
      <c r="F3002" t="s">
        <v>5817</v>
      </c>
      <c r="L3002" t="s">
        <v>5085</v>
      </c>
      <c r="M3002">
        <v>0</v>
      </c>
      <c r="N3002">
        <v>0</v>
      </c>
      <c r="O3002">
        <v>0</v>
      </c>
      <c r="P3002" t="s">
        <v>5819</v>
      </c>
    </row>
    <row r="3003" spans="1:16" x14ac:dyDescent="0.2">
      <c r="A3003" t="s">
        <v>5405</v>
      </c>
      <c r="B3003" t="s">
        <v>5406</v>
      </c>
      <c r="C3003" t="s">
        <v>5039</v>
      </c>
      <c r="D3003" t="s">
        <v>98</v>
      </c>
      <c r="E3003">
        <v>149.99</v>
      </c>
      <c r="F3003" t="s">
        <v>5817</v>
      </c>
      <c r="L3003" t="s">
        <v>5085</v>
      </c>
      <c r="M3003">
        <v>0</v>
      </c>
      <c r="N3003">
        <v>0</v>
      </c>
      <c r="O3003">
        <v>0</v>
      </c>
      <c r="P3003" t="s">
        <v>5819</v>
      </c>
    </row>
    <row r="3004" spans="1:16" x14ac:dyDescent="0.2">
      <c r="A3004" t="s">
        <v>5435</v>
      </c>
      <c r="B3004" t="s">
        <v>5436</v>
      </c>
      <c r="C3004" t="s">
        <v>5039</v>
      </c>
      <c r="D3004" t="s">
        <v>98</v>
      </c>
      <c r="E3004">
        <v>149.99</v>
      </c>
      <c r="F3004" t="s">
        <v>5817</v>
      </c>
      <c r="L3004" t="s">
        <v>5085</v>
      </c>
      <c r="M3004">
        <v>0</v>
      </c>
      <c r="N3004">
        <v>0</v>
      </c>
      <c r="O3004">
        <v>8.3333333333333329E-2</v>
      </c>
      <c r="P3004" t="s">
        <v>5819</v>
      </c>
    </row>
    <row r="3005" spans="1:16" x14ac:dyDescent="0.2">
      <c r="A3005" t="s">
        <v>5530</v>
      </c>
      <c r="B3005" t="s">
        <v>5531</v>
      </c>
      <c r="C3005" t="s">
        <v>5039</v>
      </c>
      <c r="D3005" t="s">
        <v>98</v>
      </c>
      <c r="E3005">
        <v>99.99</v>
      </c>
      <c r="F3005" t="s">
        <v>5817</v>
      </c>
      <c r="L3005" t="s">
        <v>5085</v>
      </c>
      <c r="M3005">
        <v>0</v>
      </c>
      <c r="N3005">
        <v>0</v>
      </c>
      <c r="O3005">
        <v>0.33333333333333331</v>
      </c>
      <c r="P3005">
        <v>1</v>
      </c>
    </row>
    <row r="3006" spans="1:16" x14ac:dyDescent="0.2">
      <c r="A3006" t="s">
        <v>5510</v>
      </c>
      <c r="B3006" t="s">
        <v>5511</v>
      </c>
      <c r="C3006" t="s">
        <v>5039</v>
      </c>
      <c r="D3006" t="s">
        <v>98</v>
      </c>
      <c r="E3006">
        <v>69.989999999999995</v>
      </c>
      <c r="F3006" t="s">
        <v>5817</v>
      </c>
      <c r="L3006" t="s">
        <v>5085</v>
      </c>
      <c r="M3006">
        <v>0</v>
      </c>
      <c r="N3006">
        <v>0</v>
      </c>
      <c r="O3006">
        <v>0</v>
      </c>
      <c r="P3006" t="s">
        <v>5819</v>
      </c>
    </row>
    <row r="3007" spans="1:16" x14ac:dyDescent="0.2">
      <c r="A3007" t="s">
        <v>5501</v>
      </c>
      <c r="B3007" t="s">
        <v>5502</v>
      </c>
      <c r="C3007" t="s">
        <v>5039</v>
      </c>
      <c r="D3007" t="s">
        <v>98</v>
      </c>
      <c r="E3007">
        <v>79.989999999999995</v>
      </c>
      <c r="F3007" t="s">
        <v>5817</v>
      </c>
      <c r="L3007" t="s">
        <v>5085</v>
      </c>
      <c r="M3007">
        <v>0</v>
      </c>
      <c r="N3007">
        <v>0</v>
      </c>
      <c r="O3007">
        <v>0</v>
      </c>
      <c r="P3007" t="s">
        <v>5819</v>
      </c>
    </row>
    <row r="3008" spans="1:16" x14ac:dyDescent="0.2">
      <c r="A3008" t="s">
        <v>5495</v>
      </c>
      <c r="B3008" t="s">
        <v>5496</v>
      </c>
      <c r="C3008" t="s">
        <v>5039</v>
      </c>
      <c r="D3008" t="s">
        <v>98</v>
      </c>
      <c r="E3008">
        <v>69.989999999999995</v>
      </c>
      <c r="F3008" t="s">
        <v>5817</v>
      </c>
      <c r="L3008" t="s">
        <v>5085</v>
      </c>
      <c r="M3008">
        <v>0</v>
      </c>
      <c r="N3008">
        <v>0</v>
      </c>
      <c r="O3008">
        <v>0</v>
      </c>
      <c r="P3008" t="s">
        <v>5819</v>
      </c>
    </row>
    <row r="3009" spans="1:16" x14ac:dyDescent="0.2">
      <c r="A3009" t="s">
        <v>5499</v>
      </c>
      <c r="B3009" t="s">
        <v>5500</v>
      </c>
      <c r="C3009" t="s">
        <v>5039</v>
      </c>
      <c r="D3009" t="s">
        <v>98</v>
      </c>
      <c r="E3009">
        <v>39.99</v>
      </c>
      <c r="F3009" t="s">
        <v>5817</v>
      </c>
      <c r="L3009" t="s">
        <v>5085</v>
      </c>
      <c r="M3009">
        <v>0</v>
      </c>
      <c r="N3009">
        <v>0</v>
      </c>
      <c r="O3009">
        <v>8.3333333333333329E-2</v>
      </c>
      <c r="P3009" t="s">
        <v>5819</v>
      </c>
    </row>
    <row r="3010" spans="1:16" x14ac:dyDescent="0.2">
      <c r="A3010" t="s">
        <v>5534</v>
      </c>
      <c r="B3010" t="s">
        <v>5535</v>
      </c>
      <c r="C3010" t="s">
        <v>5039</v>
      </c>
      <c r="D3010" t="s">
        <v>98</v>
      </c>
      <c r="E3010">
        <v>49.99</v>
      </c>
      <c r="F3010" t="s">
        <v>5817</v>
      </c>
      <c r="L3010" t="s">
        <v>5085</v>
      </c>
      <c r="M3010">
        <v>0</v>
      </c>
      <c r="N3010">
        <v>0</v>
      </c>
      <c r="O3010">
        <v>0</v>
      </c>
      <c r="P3010" t="s">
        <v>5819</v>
      </c>
    </row>
    <row r="3011" spans="1:16" x14ac:dyDescent="0.2">
      <c r="A3011" t="s">
        <v>5471</v>
      </c>
      <c r="B3011" t="s">
        <v>5472</v>
      </c>
      <c r="C3011" t="s">
        <v>5039</v>
      </c>
      <c r="D3011" t="s">
        <v>98</v>
      </c>
      <c r="E3011">
        <v>149.99</v>
      </c>
      <c r="F3011" t="s">
        <v>5817</v>
      </c>
      <c r="L3011" t="s">
        <v>5065</v>
      </c>
      <c r="M3011">
        <v>0</v>
      </c>
      <c r="N3011">
        <v>0</v>
      </c>
      <c r="P3011">
        <v>0</v>
      </c>
    </row>
    <row r="3012" spans="1:16" x14ac:dyDescent="0.2">
      <c r="A3012" t="s">
        <v>5501</v>
      </c>
      <c r="B3012" t="s">
        <v>5502</v>
      </c>
      <c r="C3012" t="s">
        <v>5039</v>
      </c>
      <c r="D3012" t="s">
        <v>98</v>
      </c>
      <c r="E3012">
        <v>79.989999999999995</v>
      </c>
      <c r="F3012" t="s">
        <v>5817</v>
      </c>
      <c r="L3012" t="s">
        <v>5065</v>
      </c>
      <c r="M3012">
        <v>0</v>
      </c>
      <c r="N3012">
        <v>0</v>
      </c>
      <c r="P3012">
        <v>0</v>
      </c>
    </row>
    <row r="3013" spans="1:16" x14ac:dyDescent="0.2">
      <c r="A3013" t="s">
        <v>5495</v>
      </c>
      <c r="B3013" t="s">
        <v>5496</v>
      </c>
      <c r="C3013" t="s">
        <v>5039</v>
      </c>
      <c r="D3013" t="s">
        <v>98</v>
      </c>
      <c r="E3013">
        <v>69.989999999999995</v>
      </c>
      <c r="F3013" t="s">
        <v>5817</v>
      </c>
      <c r="L3013" t="s">
        <v>5065</v>
      </c>
      <c r="M3013">
        <v>0</v>
      </c>
      <c r="N3013">
        <v>0</v>
      </c>
      <c r="O3013">
        <v>0</v>
      </c>
      <c r="P3013">
        <v>0</v>
      </c>
    </row>
    <row r="3014" spans="1:16" x14ac:dyDescent="0.2">
      <c r="A3014" t="s">
        <v>5503</v>
      </c>
      <c r="B3014" t="s">
        <v>5504</v>
      </c>
      <c r="C3014" t="s">
        <v>5039</v>
      </c>
      <c r="D3014" t="s">
        <v>98</v>
      </c>
      <c r="E3014">
        <v>79.989999999999995</v>
      </c>
      <c r="F3014" t="s">
        <v>5817</v>
      </c>
      <c r="L3014" t="s">
        <v>5065</v>
      </c>
      <c r="M3014">
        <v>0</v>
      </c>
      <c r="N3014">
        <v>0</v>
      </c>
      <c r="O3014">
        <v>1</v>
      </c>
      <c r="P3014">
        <v>0</v>
      </c>
    </row>
    <row r="3015" spans="1:16" x14ac:dyDescent="0.2">
      <c r="A3015" t="s">
        <v>5510</v>
      </c>
      <c r="B3015" t="s">
        <v>5511</v>
      </c>
      <c r="C3015" t="s">
        <v>5039</v>
      </c>
      <c r="D3015" t="s">
        <v>98</v>
      </c>
      <c r="E3015">
        <v>69.989999999999995</v>
      </c>
      <c r="F3015" t="s">
        <v>5817</v>
      </c>
      <c r="L3015" t="s">
        <v>5065</v>
      </c>
      <c r="M3015">
        <v>0</v>
      </c>
      <c r="N3015">
        <v>0</v>
      </c>
      <c r="O3015">
        <v>0</v>
      </c>
      <c r="P3015">
        <v>0</v>
      </c>
    </row>
    <row r="3016" spans="1:16" x14ac:dyDescent="0.2">
      <c r="A3016" t="s">
        <v>5499</v>
      </c>
      <c r="B3016" t="s">
        <v>5500</v>
      </c>
      <c r="C3016" t="s">
        <v>5039</v>
      </c>
      <c r="D3016" t="s">
        <v>98</v>
      </c>
      <c r="E3016">
        <v>39.99</v>
      </c>
      <c r="F3016" t="s">
        <v>5817</v>
      </c>
      <c r="L3016" t="s">
        <v>5065</v>
      </c>
      <c r="M3016">
        <v>0</v>
      </c>
      <c r="N3016">
        <v>0</v>
      </c>
      <c r="O3016">
        <v>1</v>
      </c>
      <c r="P3016">
        <v>0</v>
      </c>
    </row>
    <row r="3017" spans="1:16" x14ac:dyDescent="0.2">
      <c r="A3017" t="s">
        <v>5417</v>
      </c>
      <c r="B3017" t="s">
        <v>5418</v>
      </c>
      <c r="C3017" t="s">
        <v>5039</v>
      </c>
      <c r="D3017" t="s">
        <v>98</v>
      </c>
      <c r="E3017">
        <v>149.99</v>
      </c>
      <c r="F3017" t="s">
        <v>5817</v>
      </c>
      <c r="L3017" t="s">
        <v>5065</v>
      </c>
      <c r="M3017">
        <v>0</v>
      </c>
      <c r="N3017">
        <v>0</v>
      </c>
      <c r="P3017">
        <v>0</v>
      </c>
    </row>
    <row r="3018" spans="1:16" x14ac:dyDescent="0.2">
      <c r="A3018" t="s">
        <v>5397</v>
      </c>
      <c r="B3018" t="s">
        <v>5398</v>
      </c>
      <c r="C3018" t="s">
        <v>5039</v>
      </c>
      <c r="D3018" t="s">
        <v>98</v>
      </c>
      <c r="E3018">
        <v>99.99</v>
      </c>
      <c r="F3018" t="s">
        <v>5817</v>
      </c>
      <c r="L3018" t="s">
        <v>5065</v>
      </c>
      <c r="M3018">
        <v>0</v>
      </c>
      <c r="N3018">
        <v>0</v>
      </c>
      <c r="P3018">
        <v>0</v>
      </c>
    </row>
    <row r="3019" spans="1:16" x14ac:dyDescent="0.2">
      <c r="A3019" t="s">
        <v>5044</v>
      </c>
      <c r="B3019" t="s">
        <v>5045</v>
      </c>
      <c r="C3019" t="s">
        <v>5039</v>
      </c>
      <c r="D3019" t="s">
        <v>98</v>
      </c>
      <c r="E3019">
        <v>149.99</v>
      </c>
      <c r="F3019" t="s">
        <v>5817</v>
      </c>
      <c r="L3019" t="s">
        <v>5065</v>
      </c>
      <c r="M3019">
        <v>0</v>
      </c>
      <c r="N3019">
        <v>0</v>
      </c>
      <c r="P3019">
        <v>0</v>
      </c>
    </row>
    <row r="3020" spans="1:16" x14ac:dyDescent="0.2">
      <c r="A3020" t="s">
        <v>5411</v>
      </c>
      <c r="B3020" t="s">
        <v>5412</v>
      </c>
      <c r="C3020" t="s">
        <v>5039</v>
      </c>
      <c r="D3020" t="s">
        <v>98</v>
      </c>
      <c r="E3020">
        <v>99.99</v>
      </c>
      <c r="F3020" t="s">
        <v>5817</v>
      </c>
      <c r="L3020" t="s">
        <v>5065</v>
      </c>
      <c r="M3020">
        <v>0</v>
      </c>
      <c r="N3020">
        <v>0</v>
      </c>
      <c r="P3020">
        <v>0</v>
      </c>
    </row>
    <row r="3021" spans="1:16" x14ac:dyDescent="0.2">
      <c r="A3021" t="s">
        <v>5435</v>
      </c>
      <c r="B3021" t="s">
        <v>5436</v>
      </c>
      <c r="C3021" t="s">
        <v>5039</v>
      </c>
      <c r="D3021" t="s">
        <v>98</v>
      </c>
      <c r="E3021">
        <v>149.99</v>
      </c>
      <c r="F3021" t="s">
        <v>5817</v>
      </c>
      <c r="L3021" t="s">
        <v>5065</v>
      </c>
      <c r="M3021">
        <v>0</v>
      </c>
      <c r="N3021">
        <v>0</v>
      </c>
      <c r="P3021">
        <v>0</v>
      </c>
    </row>
    <row r="3022" spans="1:16" x14ac:dyDescent="0.2">
      <c r="A3022" t="s">
        <v>5401</v>
      </c>
      <c r="B3022" t="s">
        <v>5402</v>
      </c>
      <c r="C3022" t="s">
        <v>5039</v>
      </c>
      <c r="D3022" t="s">
        <v>98</v>
      </c>
      <c r="E3022">
        <v>99.99</v>
      </c>
      <c r="F3022" t="s">
        <v>5817</v>
      </c>
      <c r="L3022" t="s">
        <v>5065</v>
      </c>
      <c r="M3022">
        <v>0</v>
      </c>
      <c r="N3022">
        <v>0</v>
      </c>
      <c r="O3022">
        <v>0</v>
      </c>
      <c r="P3022">
        <v>0</v>
      </c>
    </row>
    <row r="3023" spans="1:16" x14ac:dyDescent="0.2">
      <c r="A3023" t="s">
        <v>5405</v>
      </c>
      <c r="B3023" t="s">
        <v>5406</v>
      </c>
      <c r="C3023" t="s">
        <v>5039</v>
      </c>
      <c r="D3023" t="s">
        <v>98</v>
      </c>
      <c r="E3023">
        <v>149.99</v>
      </c>
      <c r="F3023" t="s">
        <v>5817</v>
      </c>
      <c r="L3023" t="s">
        <v>5065</v>
      </c>
      <c r="M3023">
        <v>0</v>
      </c>
      <c r="N3023">
        <v>0</v>
      </c>
      <c r="P3023">
        <v>0</v>
      </c>
    </row>
    <row r="3024" spans="1:16" x14ac:dyDescent="0.2">
      <c r="A3024" t="s">
        <v>5534</v>
      </c>
      <c r="B3024" t="s">
        <v>5535</v>
      </c>
      <c r="C3024" t="s">
        <v>5039</v>
      </c>
      <c r="D3024" t="s">
        <v>98</v>
      </c>
      <c r="E3024">
        <v>49.99</v>
      </c>
      <c r="F3024" t="s">
        <v>5817</v>
      </c>
      <c r="L3024" t="s">
        <v>5065</v>
      </c>
      <c r="M3024">
        <v>0</v>
      </c>
      <c r="N3024">
        <v>0</v>
      </c>
      <c r="O3024">
        <v>2</v>
      </c>
      <c r="P3024">
        <v>0</v>
      </c>
    </row>
    <row r="3025" spans="1:16" x14ac:dyDescent="0.2">
      <c r="A3025" t="s">
        <v>5054</v>
      </c>
      <c r="B3025" t="s">
        <v>5055</v>
      </c>
      <c r="C3025" t="s">
        <v>5039</v>
      </c>
      <c r="D3025" t="s">
        <v>98</v>
      </c>
      <c r="E3025">
        <v>99.99</v>
      </c>
      <c r="F3025" t="s">
        <v>5817</v>
      </c>
      <c r="L3025" t="s">
        <v>5065</v>
      </c>
      <c r="M3025">
        <v>0</v>
      </c>
      <c r="N3025">
        <v>0</v>
      </c>
      <c r="P3025">
        <v>0</v>
      </c>
    </row>
    <row r="3026" spans="1:16" x14ac:dyDescent="0.2">
      <c r="A3026" t="s">
        <v>5453</v>
      </c>
      <c r="B3026" t="s">
        <v>5919</v>
      </c>
      <c r="C3026" t="s">
        <v>5039</v>
      </c>
      <c r="D3026" t="s">
        <v>98</v>
      </c>
      <c r="E3026">
        <v>1199.99</v>
      </c>
      <c r="F3026" t="s">
        <v>5817</v>
      </c>
      <c r="L3026" t="s">
        <v>5065</v>
      </c>
      <c r="M3026">
        <v>0</v>
      </c>
      <c r="N3026">
        <v>0</v>
      </c>
      <c r="P3026">
        <v>0</v>
      </c>
    </row>
    <row r="3027" spans="1:16" x14ac:dyDescent="0.2">
      <c r="A3027" t="s">
        <v>5459</v>
      </c>
      <c r="B3027" t="s">
        <v>5460</v>
      </c>
      <c r="C3027" t="s">
        <v>5039</v>
      </c>
      <c r="D3027" t="s">
        <v>98</v>
      </c>
      <c r="E3027">
        <v>899.99</v>
      </c>
      <c r="F3027" t="s">
        <v>5817</v>
      </c>
      <c r="L3027" t="s">
        <v>5065</v>
      </c>
      <c r="M3027">
        <v>0</v>
      </c>
      <c r="N3027">
        <v>0</v>
      </c>
      <c r="P3027">
        <v>0</v>
      </c>
    </row>
    <row r="3028" spans="1:16" x14ac:dyDescent="0.2">
      <c r="A3028" t="s">
        <v>5489</v>
      </c>
      <c r="B3028" t="s">
        <v>5490</v>
      </c>
      <c r="C3028" t="s">
        <v>5039</v>
      </c>
      <c r="D3028" t="s">
        <v>98</v>
      </c>
      <c r="E3028">
        <v>149.99</v>
      </c>
      <c r="F3028" t="s">
        <v>5817</v>
      </c>
      <c r="L3028" t="s">
        <v>5065</v>
      </c>
      <c r="M3028">
        <v>0</v>
      </c>
      <c r="N3028">
        <v>0</v>
      </c>
      <c r="P3028">
        <v>0</v>
      </c>
    </row>
    <row r="3029" spans="1:16" x14ac:dyDescent="0.2">
      <c r="A3029" t="s">
        <v>5477</v>
      </c>
      <c r="B3029" t="s">
        <v>5478</v>
      </c>
      <c r="C3029" t="s">
        <v>5039</v>
      </c>
      <c r="D3029" t="s">
        <v>98</v>
      </c>
      <c r="E3029">
        <v>99.99</v>
      </c>
      <c r="F3029" t="s">
        <v>5817</v>
      </c>
      <c r="L3029" t="s">
        <v>5065</v>
      </c>
      <c r="M3029">
        <v>0</v>
      </c>
      <c r="N3029">
        <v>0</v>
      </c>
      <c r="P3029">
        <v>0</v>
      </c>
    </row>
    <row r="3030" spans="1:16" x14ac:dyDescent="0.2">
      <c r="A3030" t="s">
        <v>5479</v>
      </c>
      <c r="B3030" t="s">
        <v>5480</v>
      </c>
      <c r="C3030" t="s">
        <v>5039</v>
      </c>
      <c r="D3030" t="s">
        <v>98</v>
      </c>
      <c r="E3030">
        <v>149.99</v>
      </c>
      <c r="F3030" t="s">
        <v>5817</v>
      </c>
      <c r="L3030" t="s">
        <v>5065</v>
      </c>
      <c r="M3030">
        <v>0</v>
      </c>
      <c r="N3030">
        <v>0</v>
      </c>
      <c r="P3030">
        <v>0</v>
      </c>
    </row>
    <row r="3031" spans="1:16" x14ac:dyDescent="0.2">
      <c r="A3031" t="s">
        <v>5485</v>
      </c>
      <c r="B3031" t="s">
        <v>5486</v>
      </c>
      <c r="C3031" t="s">
        <v>5039</v>
      </c>
      <c r="D3031" t="s">
        <v>98</v>
      </c>
      <c r="E3031">
        <v>99.99</v>
      </c>
      <c r="F3031" t="s">
        <v>5817</v>
      </c>
      <c r="L3031" t="s">
        <v>5065</v>
      </c>
      <c r="M3031">
        <v>0</v>
      </c>
      <c r="N3031">
        <v>0</v>
      </c>
      <c r="P3031">
        <v>0</v>
      </c>
    </row>
    <row r="3032" spans="1:16" x14ac:dyDescent="0.2">
      <c r="A3032" t="s">
        <v>5046</v>
      </c>
      <c r="B3032" t="s">
        <v>5047</v>
      </c>
      <c r="C3032" t="s">
        <v>5039</v>
      </c>
      <c r="D3032" t="s">
        <v>98</v>
      </c>
      <c r="E3032">
        <v>149.99</v>
      </c>
      <c r="F3032" t="s">
        <v>5817</v>
      </c>
      <c r="L3032" t="s">
        <v>5065</v>
      </c>
      <c r="M3032">
        <v>0</v>
      </c>
      <c r="N3032">
        <v>0</v>
      </c>
      <c r="P3032">
        <v>0</v>
      </c>
    </row>
    <row r="3033" spans="1:16" x14ac:dyDescent="0.2">
      <c r="A3033" t="s">
        <v>5530</v>
      </c>
      <c r="B3033" t="s">
        <v>5531</v>
      </c>
      <c r="C3033" t="s">
        <v>5039</v>
      </c>
      <c r="D3033" t="s">
        <v>98</v>
      </c>
      <c r="E3033">
        <v>99.99</v>
      </c>
      <c r="F3033" t="s">
        <v>5817</v>
      </c>
      <c r="L3033" t="s">
        <v>5065</v>
      </c>
      <c r="M3033">
        <v>0</v>
      </c>
      <c r="N3033">
        <v>0</v>
      </c>
      <c r="O3033">
        <v>3</v>
      </c>
      <c r="P3033">
        <v>0</v>
      </c>
    </row>
    <row r="3034" spans="1:16" x14ac:dyDescent="0.2">
      <c r="A3034" t="s">
        <v>5050</v>
      </c>
      <c r="B3034" t="s">
        <v>5051</v>
      </c>
      <c r="C3034" t="s">
        <v>5039</v>
      </c>
      <c r="D3034" t="s">
        <v>98</v>
      </c>
      <c r="E3034">
        <v>899.99</v>
      </c>
      <c r="F3034" t="s">
        <v>5817</v>
      </c>
      <c r="L3034" t="s">
        <v>5065</v>
      </c>
      <c r="M3034">
        <v>0</v>
      </c>
      <c r="N3034">
        <v>0</v>
      </c>
      <c r="P3034">
        <v>0</v>
      </c>
    </row>
    <row r="3035" spans="1:16" x14ac:dyDescent="0.2">
      <c r="A3035" t="s">
        <v>5048</v>
      </c>
      <c r="B3035" t="s">
        <v>5049</v>
      </c>
      <c r="C3035" t="s">
        <v>5039</v>
      </c>
      <c r="D3035" t="s">
        <v>98</v>
      </c>
      <c r="E3035">
        <v>429.99</v>
      </c>
      <c r="F3035" t="s">
        <v>5817</v>
      </c>
      <c r="L3035" t="s">
        <v>5065</v>
      </c>
      <c r="M3035">
        <v>0</v>
      </c>
      <c r="N3035">
        <v>0</v>
      </c>
      <c r="P3035">
        <v>0</v>
      </c>
    </row>
    <row r="3036" spans="1:16" x14ac:dyDescent="0.2">
      <c r="A3036" t="s">
        <v>5518</v>
      </c>
      <c r="B3036" t="s">
        <v>5519</v>
      </c>
      <c r="C3036" t="s">
        <v>5039</v>
      </c>
      <c r="D3036" t="s">
        <v>98</v>
      </c>
      <c r="E3036">
        <v>149.99</v>
      </c>
      <c r="F3036" t="s">
        <v>5817</v>
      </c>
      <c r="L3036" t="s">
        <v>5065</v>
      </c>
      <c r="M3036">
        <v>0</v>
      </c>
      <c r="N3036">
        <v>0</v>
      </c>
      <c r="P3036">
        <v>0</v>
      </c>
    </row>
    <row r="3037" spans="1:16" x14ac:dyDescent="0.2">
      <c r="A3037" t="s">
        <v>5522</v>
      </c>
      <c r="B3037" t="s">
        <v>5523</v>
      </c>
      <c r="C3037" t="s">
        <v>5039</v>
      </c>
      <c r="D3037" t="s">
        <v>98</v>
      </c>
      <c r="E3037">
        <v>99.99</v>
      </c>
      <c r="F3037" t="s">
        <v>5817</v>
      </c>
      <c r="L3037" t="s">
        <v>5065</v>
      </c>
      <c r="M3037">
        <v>0</v>
      </c>
      <c r="N3037">
        <v>0</v>
      </c>
      <c r="O3037">
        <v>1</v>
      </c>
      <c r="P3037">
        <v>0</v>
      </c>
    </row>
    <row r="3038" spans="1:16" x14ac:dyDescent="0.2">
      <c r="A3038" t="s">
        <v>5443</v>
      </c>
      <c r="B3038" t="s">
        <v>5444</v>
      </c>
      <c r="C3038" t="s">
        <v>5039</v>
      </c>
      <c r="D3038" t="s">
        <v>98</v>
      </c>
      <c r="E3038">
        <v>649.99</v>
      </c>
      <c r="F3038" t="s">
        <v>5817</v>
      </c>
      <c r="L3038" t="s">
        <v>5065</v>
      </c>
      <c r="M3038">
        <v>0</v>
      </c>
      <c r="N3038">
        <v>0</v>
      </c>
      <c r="P3038">
        <v>0</v>
      </c>
    </row>
    <row r="3039" spans="1:16" x14ac:dyDescent="0.2">
      <c r="A3039" t="s">
        <v>5439</v>
      </c>
      <c r="B3039" t="s">
        <v>5440</v>
      </c>
      <c r="C3039" t="s">
        <v>5039</v>
      </c>
      <c r="D3039" t="s">
        <v>98</v>
      </c>
      <c r="E3039">
        <v>799.99</v>
      </c>
      <c r="F3039" t="s">
        <v>5817</v>
      </c>
      <c r="L3039" t="s">
        <v>5065</v>
      </c>
      <c r="M3039">
        <v>0</v>
      </c>
      <c r="N3039">
        <v>0</v>
      </c>
      <c r="O3039">
        <v>0</v>
      </c>
      <c r="P3039">
        <v>0</v>
      </c>
    </row>
    <row r="3040" spans="1:16" x14ac:dyDescent="0.2">
      <c r="A3040" t="s">
        <v>5042</v>
      </c>
      <c r="B3040" t="s">
        <v>5043</v>
      </c>
      <c r="C3040" t="s">
        <v>5039</v>
      </c>
      <c r="D3040" t="s">
        <v>98</v>
      </c>
      <c r="E3040">
        <v>149.99</v>
      </c>
      <c r="F3040" t="s">
        <v>5817</v>
      </c>
      <c r="L3040" t="s">
        <v>5065</v>
      </c>
      <c r="M3040">
        <v>0</v>
      </c>
      <c r="N3040">
        <v>0</v>
      </c>
      <c r="P3040">
        <v>0</v>
      </c>
    </row>
    <row r="3041" spans="1:16" x14ac:dyDescent="0.2">
      <c r="A3041" t="s">
        <v>5407</v>
      </c>
      <c r="B3041" t="s">
        <v>5408</v>
      </c>
      <c r="C3041" t="s">
        <v>5039</v>
      </c>
      <c r="D3041" t="s">
        <v>98</v>
      </c>
      <c r="E3041">
        <v>179.99</v>
      </c>
      <c r="F3041" t="s">
        <v>5817</v>
      </c>
      <c r="L3041" t="s">
        <v>5065</v>
      </c>
      <c r="M3041">
        <v>0</v>
      </c>
      <c r="N3041">
        <v>0</v>
      </c>
      <c r="O3041">
        <v>4</v>
      </c>
      <c r="P3041">
        <v>0</v>
      </c>
    </row>
    <row r="3042" spans="1:16" x14ac:dyDescent="0.2">
      <c r="A3042" t="s">
        <v>5421</v>
      </c>
      <c r="B3042" t="s">
        <v>5422</v>
      </c>
      <c r="C3042" t="s">
        <v>5039</v>
      </c>
      <c r="D3042" t="s">
        <v>98</v>
      </c>
      <c r="E3042">
        <v>54.99</v>
      </c>
      <c r="F3042" t="s">
        <v>5817</v>
      </c>
      <c r="L3042" t="s">
        <v>5065</v>
      </c>
      <c r="M3042">
        <v>0</v>
      </c>
      <c r="N3042">
        <v>0</v>
      </c>
      <c r="O3042">
        <v>2</v>
      </c>
      <c r="P3042">
        <v>0</v>
      </c>
    </row>
    <row r="3043" spans="1:16" x14ac:dyDescent="0.2">
      <c r="A3043" t="s">
        <v>5391</v>
      </c>
      <c r="B3043" t="s">
        <v>5392</v>
      </c>
      <c r="C3043" t="s">
        <v>5039</v>
      </c>
      <c r="D3043" t="s">
        <v>98</v>
      </c>
      <c r="E3043">
        <v>149.99</v>
      </c>
      <c r="F3043" t="s">
        <v>5817</v>
      </c>
      <c r="L3043" t="s">
        <v>5065</v>
      </c>
      <c r="M3043">
        <v>0</v>
      </c>
      <c r="N3043">
        <v>0</v>
      </c>
      <c r="P3043">
        <v>0</v>
      </c>
    </row>
    <row r="3044" spans="1:16" x14ac:dyDescent="0.2">
      <c r="A3044" t="s">
        <v>5395</v>
      </c>
      <c r="B3044" t="s">
        <v>5396</v>
      </c>
      <c r="C3044" t="s">
        <v>5039</v>
      </c>
      <c r="D3044" t="s">
        <v>98</v>
      </c>
      <c r="E3044">
        <v>99.99</v>
      </c>
      <c r="F3044" t="s">
        <v>5817</v>
      </c>
      <c r="L3044" t="s">
        <v>5065</v>
      </c>
      <c r="M3044">
        <v>0</v>
      </c>
      <c r="N3044">
        <v>0</v>
      </c>
      <c r="O3044">
        <v>1</v>
      </c>
      <c r="P3044">
        <v>0</v>
      </c>
    </row>
    <row r="3045" spans="1:16" x14ac:dyDescent="0.2">
      <c r="A3045" t="s">
        <v>5054</v>
      </c>
      <c r="B3045" t="s">
        <v>5055</v>
      </c>
      <c r="C3045" t="s">
        <v>5039</v>
      </c>
      <c r="D3045" t="s">
        <v>98</v>
      </c>
      <c r="E3045">
        <v>99.99</v>
      </c>
      <c r="F3045" t="s">
        <v>5817</v>
      </c>
      <c r="L3045" t="s">
        <v>8</v>
      </c>
      <c r="M3045">
        <v>0</v>
      </c>
      <c r="N3045">
        <v>0</v>
      </c>
      <c r="O3045">
        <v>0</v>
      </c>
      <c r="P3045">
        <v>0</v>
      </c>
    </row>
    <row r="3046" spans="1:16" x14ac:dyDescent="0.2">
      <c r="A3046" t="s">
        <v>5042</v>
      </c>
      <c r="B3046" t="s">
        <v>5043</v>
      </c>
      <c r="C3046" t="s">
        <v>5039</v>
      </c>
      <c r="D3046" t="s">
        <v>98</v>
      </c>
      <c r="E3046">
        <v>149.99</v>
      </c>
      <c r="F3046" t="s">
        <v>5817</v>
      </c>
      <c r="L3046" t="s">
        <v>8</v>
      </c>
      <c r="M3046">
        <v>0</v>
      </c>
      <c r="N3046">
        <v>0</v>
      </c>
      <c r="O3046">
        <v>0</v>
      </c>
      <c r="P3046">
        <v>0</v>
      </c>
    </row>
    <row r="3047" spans="1:16" x14ac:dyDescent="0.2">
      <c r="A3047" t="s">
        <v>5050</v>
      </c>
      <c r="B3047" t="s">
        <v>5051</v>
      </c>
      <c r="C3047" t="s">
        <v>5039</v>
      </c>
      <c r="D3047" t="s">
        <v>98</v>
      </c>
      <c r="E3047">
        <v>899.99</v>
      </c>
      <c r="F3047" t="s">
        <v>5817</v>
      </c>
      <c r="L3047" t="s">
        <v>8</v>
      </c>
      <c r="M3047">
        <v>0</v>
      </c>
      <c r="N3047">
        <v>0</v>
      </c>
      <c r="O3047">
        <v>0</v>
      </c>
      <c r="P3047">
        <v>0</v>
      </c>
    </row>
    <row r="3048" spans="1:16" x14ac:dyDescent="0.2">
      <c r="A3048" t="s">
        <v>5453</v>
      </c>
      <c r="B3048" t="s">
        <v>5919</v>
      </c>
      <c r="C3048" t="s">
        <v>5039</v>
      </c>
      <c r="D3048" t="s">
        <v>98</v>
      </c>
      <c r="E3048">
        <v>1199.99</v>
      </c>
      <c r="F3048" t="s">
        <v>5817</v>
      </c>
      <c r="L3048" t="s">
        <v>8</v>
      </c>
      <c r="M3048">
        <v>0</v>
      </c>
      <c r="N3048">
        <v>0</v>
      </c>
      <c r="O3048">
        <v>0</v>
      </c>
      <c r="P3048">
        <v>0</v>
      </c>
    </row>
    <row r="3049" spans="1:16" x14ac:dyDescent="0.2">
      <c r="A3049" t="s">
        <v>5411</v>
      </c>
      <c r="B3049" t="s">
        <v>5412</v>
      </c>
      <c r="C3049" t="s">
        <v>5039</v>
      </c>
      <c r="D3049" t="s">
        <v>98</v>
      </c>
      <c r="E3049">
        <v>99.99</v>
      </c>
      <c r="F3049" t="s">
        <v>5817</v>
      </c>
      <c r="L3049" t="s">
        <v>8</v>
      </c>
      <c r="M3049">
        <v>0</v>
      </c>
      <c r="N3049">
        <v>0</v>
      </c>
      <c r="O3049">
        <v>0</v>
      </c>
      <c r="P3049">
        <v>0</v>
      </c>
    </row>
    <row r="3050" spans="1:16" x14ac:dyDescent="0.2">
      <c r="A3050" t="s">
        <v>5459</v>
      </c>
      <c r="B3050" t="s">
        <v>5460</v>
      </c>
      <c r="C3050" t="s">
        <v>5039</v>
      </c>
      <c r="D3050" t="s">
        <v>98</v>
      </c>
      <c r="E3050">
        <v>899.99</v>
      </c>
      <c r="F3050" t="s">
        <v>5817</v>
      </c>
      <c r="L3050" t="s">
        <v>8</v>
      </c>
      <c r="M3050">
        <v>0</v>
      </c>
      <c r="N3050">
        <v>0</v>
      </c>
      <c r="O3050">
        <v>0</v>
      </c>
      <c r="P3050">
        <v>0</v>
      </c>
    </row>
    <row r="3051" spans="1:16" x14ac:dyDescent="0.2">
      <c r="A3051" t="s">
        <v>5397</v>
      </c>
      <c r="B3051" t="s">
        <v>5398</v>
      </c>
      <c r="C3051" t="s">
        <v>5039</v>
      </c>
      <c r="D3051" t="s">
        <v>98</v>
      </c>
      <c r="E3051">
        <v>99.99</v>
      </c>
      <c r="F3051" t="s">
        <v>5817</v>
      </c>
      <c r="L3051" t="s">
        <v>8</v>
      </c>
      <c r="M3051">
        <v>0</v>
      </c>
      <c r="N3051">
        <v>0</v>
      </c>
      <c r="O3051">
        <v>0</v>
      </c>
      <c r="P3051">
        <v>0</v>
      </c>
    </row>
    <row r="3052" spans="1:16" x14ac:dyDescent="0.2">
      <c r="A3052" t="s">
        <v>5044</v>
      </c>
      <c r="B3052" t="s">
        <v>5045</v>
      </c>
      <c r="C3052" t="s">
        <v>5039</v>
      </c>
      <c r="D3052" t="s">
        <v>98</v>
      </c>
      <c r="E3052">
        <v>149.99</v>
      </c>
      <c r="F3052" t="s">
        <v>5817</v>
      </c>
      <c r="L3052" t="s">
        <v>8</v>
      </c>
      <c r="M3052">
        <v>0</v>
      </c>
      <c r="N3052">
        <v>0</v>
      </c>
      <c r="O3052">
        <v>0</v>
      </c>
      <c r="P3052">
        <v>0</v>
      </c>
    </row>
    <row r="3053" spans="1:16" x14ac:dyDescent="0.2">
      <c r="A3053" t="s">
        <v>5477</v>
      </c>
      <c r="B3053" t="s">
        <v>5478</v>
      </c>
      <c r="C3053" t="s">
        <v>5039</v>
      </c>
      <c r="D3053" t="s">
        <v>98</v>
      </c>
      <c r="E3053">
        <v>99.99</v>
      </c>
      <c r="F3053" t="s">
        <v>5817</v>
      </c>
      <c r="L3053" t="s">
        <v>8</v>
      </c>
      <c r="M3053">
        <v>0</v>
      </c>
      <c r="N3053">
        <v>0</v>
      </c>
      <c r="O3053">
        <v>0</v>
      </c>
      <c r="P3053">
        <v>0</v>
      </c>
    </row>
    <row r="3054" spans="1:16" x14ac:dyDescent="0.2">
      <c r="A3054" t="s">
        <v>5479</v>
      </c>
      <c r="B3054" t="s">
        <v>5480</v>
      </c>
      <c r="C3054" t="s">
        <v>5039</v>
      </c>
      <c r="D3054" t="s">
        <v>98</v>
      </c>
      <c r="E3054">
        <v>149.99</v>
      </c>
      <c r="F3054" t="s">
        <v>5817</v>
      </c>
      <c r="L3054" t="s">
        <v>8</v>
      </c>
      <c r="M3054">
        <v>0</v>
      </c>
      <c r="N3054">
        <v>0</v>
      </c>
      <c r="O3054">
        <v>0</v>
      </c>
      <c r="P3054">
        <v>0</v>
      </c>
    </row>
    <row r="3055" spans="1:16" x14ac:dyDescent="0.2">
      <c r="A3055" t="s">
        <v>5471</v>
      </c>
      <c r="B3055" t="s">
        <v>5472</v>
      </c>
      <c r="C3055" t="s">
        <v>5039</v>
      </c>
      <c r="D3055" t="s">
        <v>98</v>
      </c>
      <c r="E3055">
        <v>149.99</v>
      </c>
      <c r="F3055" t="s">
        <v>5817</v>
      </c>
      <c r="L3055" t="s">
        <v>8</v>
      </c>
      <c r="M3055">
        <v>0</v>
      </c>
      <c r="N3055">
        <v>0</v>
      </c>
      <c r="O3055">
        <v>0</v>
      </c>
      <c r="P3055">
        <v>0</v>
      </c>
    </row>
    <row r="3056" spans="1:16" x14ac:dyDescent="0.2">
      <c r="A3056" t="s">
        <v>5489</v>
      </c>
      <c r="B3056" t="s">
        <v>5490</v>
      </c>
      <c r="C3056" t="s">
        <v>5039</v>
      </c>
      <c r="D3056" t="s">
        <v>98</v>
      </c>
      <c r="E3056">
        <v>149.99</v>
      </c>
      <c r="F3056" t="s">
        <v>5817</v>
      </c>
      <c r="L3056" t="s">
        <v>8</v>
      </c>
      <c r="M3056">
        <v>0</v>
      </c>
      <c r="N3056">
        <v>0</v>
      </c>
      <c r="O3056">
        <v>0</v>
      </c>
      <c r="P3056">
        <v>0</v>
      </c>
    </row>
    <row r="3057" spans="1:16" x14ac:dyDescent="0.2">
      <c r="A3057" t="s">
        <v>5417</v>
      </c>
      <c r="B3057" t="s">
        <v>5418</v>
      </c>
      <c r="C3057" t="s">
        <v>5039</v>
      </c>
      <c r="D3057" t="s">
        <v>98</v>
      </c>
      <c r="E3057">
        <v>149.99</v>
      </c>
      <c r="F3057" t="s">
        <v>5817</v>
      </c>
      <c r="L3057" t="s">
        <v>8</v>
      </c>
      <c r="M3057">
        <v>0</v>
      </c>
      <c r="N3057">
        <v>0</v>
      </c>
      <c r="O3057">
        <v>0</v>
      </c>
      <c r="P3057">
        <v>0</v>
      </c>
    </row>
    <row r="3058" spans="1:16" x14ac:dyDescent="0.2">
      <c r="A3058" t="s">
        <v>5485</v>
      </c>
      <c r="B3058" t="s">
        <v>5486</v>
      </c>
      <c r="C3058" t="s">
        <v>5039</v>
      </c>
      <c r="D3058" t="s">
        <v>98</v>
      </c>
      <c r="E3058">
        <v>99.99</v>
      </c>
      <c r="F3058" t="s">
        <v>5817</v>
      </c>
      <c r="L3058" t="s">
        <v>8</v>
      </c>
      <c r="M3058">
        <v>0</v>
      </c>
      <c r="N3058">
        <v>0</v>
      </c>
      <c r="O3058">
        <v>0</v>
      </c>
      <c r="P3058">
        <v>0</v>
      </c>
    </row>
    <row r="3059" spans="1:16" x14ac:dyDescent="0.2">
      <c r="A3059" t="s">
        <v>5407</v>
      </c>
      <c r="B3059" t="s">
        <v>5408</v>
      </c>
      <c r="C3059" t="s">
        <v>5039</v>
      </c>
      <c r="D3059" t="s">
        <v>98</v>
      </c>
      <c r="E3059">
        <v>179.99</v>
      </c>
      <c r="F3059" t="s">
        <v>5817</v>
      </c>
      <c r="L3059" t="s">
        <v>8</v>
      </c>
      <c r="M3059">
        <v>0</v>
      </c>
      <c r="N3059">
        <v>0</v>
      </c>
      <c r="O3059">
        <v>0</v>
      </c>
      <c r="P3059">
        <v>0</v>
      </c>
    </row>
    <row r="3060" spans="1:16" x14ac:dyDescent="0.2">
      <c r="A3060" t="s">
        <v>5510</v>
      </c>
      <c r="B3060" t="s">
        <v>5511</v>
      </c>
      <c r="C3060" t="s">
        <v>5039</v>
      </c>
      <c r="D3060" t="s">
        <v>98</v>
      </c>
      <c r="E3060">
        <v>69.989999999999995</v>
      </c>
      <c r="F3060" t="s">
        <v>5817</v>
      </c>
      <c r="L3060" t="s">
        <v>8</v>
      </c>
      <c r="M3060">
        <v>0</v>
      </c>
      <c r="N3060">
        <v>0</v>
      </c>
      <c r="O3060">
        <v>0</v>
      </c>
      <c r="P3060">
        <v>0</v>
      </c>
    </row>
    <row r="3061" spans="1:16" x14ac:dyDescent="0.2">
      <c r="A3061" t="s">
        <v>5534</v>
      </c>
      <c r="B3061" t="s">
        <v>5535</v>
      </c>
      <c r="C3061" t="s">
        <v>5039</v>
      </c>
      <c r="D3061" t="s">
        <v>98</v>
      </c>
      <c r="E3061">
        <v>49.99</v>
      </c>
      <c r="F3061" t="s">
        <v>5817</v>
      </c>
      <c r="L3061" t="s">
        <v>8</v>
      </c>
      <c r="M3061">
        <v>0</v>
      </c>
      <c r="N3061">
        <v>0</v>
      </c>
      <c r="O3061">
        <v>0</v>
      </c>
      <c r="P3061">
        <v>0</v>
      </c>
    </row>
    <row r="3062" spans="1:16" x14ac:dyDescent="0.2">
      <c r="A3062" t="s">
        <v>5499</v>
      </c>
      <c r="B3062" t="s">
        <v>5500</v>
      </c>
      <c r="C3062" t="s">
        <v>5039</v>
      </c>
      <c r="D3062" t="s">
        <v>98</v>
      </c>
      <c r="E3062">
        <v>39.99</v>
      </c>
      <c r="F3062" t="s">
        <v>5817</v>
      </c>
      <c r="L3062" t="s">
        <v>8</v>
      </c>
      <c r="M3062">
        <v>0</v>
      </c>
      <c r="N3062">
        <v>0</v>
      </c>
      <c r="O3062">
        <v>0</v>
      </c>
      <c r="P3062">
        <v>0</v>
      </c>
    </row>
    <row r="3063" spans="1:16" x14ac:dyDescent="0.2">
      <c r="A3063" t="s">
        <v>5501</v>
      </c>
      <c r="B3063" t="s">
        <v>5502</v>
      </c>
      <c r="C3063" t="s">
        <v>5039</v>
      </c>
      <c r="D3063" t="s">
        <v>98</v>
      </c>
      <c r="E3063">
        <v>79.989999999999995</v>
      </c>
      <c r="F3063" t="s">
        <v>5817</v>
      </c>
      <c r="L3063" t="s">
        <v>8</v>
      </c>
      <c r="M3063">
        <v>0</v>
      </c>
      <c r="N3063">
        <v>0</v>
      </c>
      <c r="O3063">
        <v>0</v>
      </c>
      <c r="P3063">
        <v>0</v>
      </c>
    </row>
    <row r="3064" spans="1:16" x14ac:dyDescent="0.2">
      <c r="A3064" t="s">
        <v>5421</v>
      </c>
      <c r="B3064" t="s">
        <v>5422</v>
      </c>
      <c r="C3064" t="s">
        <v>5039</v>
      </c>
      <c r="D3064" t="s">
        <v>98</v>
      </c>
      <c r="E3064">
        <v>54.99</v>
      </c>
      <c r="F3064" t="s">
        <v>5817</v>
      </c>
      <c r="L3064" t="s">
        <v>8</v>
      </c>
      <c r="M3064">
        <v>0</v>
      </c>
      <c r="N3064">
        <v>0</v>
      </c>
      <c r="O3064">
        <v>0</v>
      </c>
      <c r="P3064">
        <v>0</v>
      </c>
    </row>
    <row r="3065" spans="1:16" x14ac:dyDescent="0.2">
      <c r="A3065" t="s">
        <v>5439</v>
      </c>
      <c r="B3065" t="s">
        <v>5440</v>
      </c>
      <c r="C3065" t="s">
        <v>5039</v>
      </c>
      <c r="D3065" t="s">
        <v>98</v>
      </c>
      <c r="E3065">
        <v>799.99</v>
      </c>
      <c r="F3065" t="s">
        <v>5817</v>
      </c>
      <c r="L3065" t="s">
        <v>8</v>
      </c>
      <c r="M3065">
        <v>0</v>
      </c>
      <c r="N3065">
        <v>0</v>
      </c>
      <c r="O3065">
        <v>0</v>
      </c>
      <c r="P3065">
        <v>0</v>
      </c>
    </row>
    <row r="3066" spans="1:16" x14ac:dyDescent="0.2">
      <c r="A3066" t="s">
        <v>5443</v>
      </c>
      <c r="B3066" t="s">
        <v>5444</v>
      </c>
      <c r="C3066" t="s">
        <v>5039</v>
      </c>
      <c r="D3066" t="s">
        <v>98</v>
      </c>
      <c r="E3066">
        <v>649.99</v>
      </c>
      <c r="F3066" t="s">
        <v>5817</v>
      </c>
      <c r="L3066" t="s">
        <v>8</v>
      </c>
      <c r="M3066">
        <v>0</v>
      </c>
      <c r="N3066">
        <v>0</v>
      </c>
      <c r="O3066">
        <v>0</v>
      </c>
      <c r="P3066">
        <v>0</v>
      </c>
    </row>
    <row r="3067" spans="1:16" x14ac:dyDescent="0.2">
      <c r="A3067" t="s">
        <v>5503</v>
      </c>
      <c r="B3067" t="s">
        <v>5504</v>
      </c>
      <c r="C3067" t="s">
        <v>5039</v>
      </c>
      <c r="D3067" t="s">
        <v>98</v>
      </c>
      <c r="E3067">
        <v>79.989999999999995</v>
      </c>
      <c r="F3067" t="s">
        <v>5817</v>
      </c>
      <c r="L3067" t="s">
        <v>8</v>
      </c>
      <c r="M3067">
        <v>0</v>
      </c>
      <c r="N3067">
        <v>0</v>
      </c>
      <c r="O3067">
        <v>0</v>
      </c>
      <c r="P3067">
        <v>0</v>
      </c>
    </row>
    <row r="3068" spans="1:16" x14ac:dyDescent="0.2">
      <c r="A3068" t="s">
        <v>5495</v>
      </c>
      <c r="B3068" t="s">
        <v>5496</v>
      </c>
      <c r="C3068" t="s">
        <v>5039</v>
      </c>
      <c r="D3068" t="s">
        <v>98</v>
      </c>
      <c r="E3068">
        <v>69.989999999999995</v>
      </c>
      <c r="F3068" t="s">
        <v>5817</v>
      </c>
      <c r="L3068" t="s">
        <v>8</v>
      </c>
      <c r="M3068">
        <v>0</v>
      </c>
      <c r="N3068">
        <v>0</v>
      </c>
      <c r="O3068">
        <v>0</v>
      </c>
      <c r="P3068">
        <v>0</v>
      </c>
    </row>
    <row r="3069" spans="1:16" x14ac:dyDescent="0.2">
      <c r="A3069" t="s">
        <v>5522</v>
      </c>
      <c r="B3069" t="s">
        <v>5523</v>
      </c>
      <c r="C3069" t="s">
        <v>5039</v>
      </c>
      <c r="D3069" t="s">
        <v>98</v>
      </c>
      <c r="E3069">
        <v>99.99</v>
      </c>
      <c r="F3069" t="s">
        <v>5817</v>
      </c>
      <c r="L3069" t="s">
        <v>8</v>
      </c>
      <c r="M3069">
        <v>0</v>
      </c>
      <c r="N3069">
        <v>0</v>
      </c>
      <c r="O3069">
        <v>0</v>
      </c>
      <c r="P3069">
        <v>0</v>
      </c>
    </row>
    <row r="3070" spans="1:16" x14ac:dyDescent="0.2">
      <c r="A3070" t="s">
        <v>5405</v>
      </c>
      <c r="B3070" t="s">
        <v>5406</v>
      </c>
      <c r="C3070" t="s">
        <v>5039</v>
      </c>
      <c r="D3070" t="s">
        <v>98</v>
      </c>
      <c r="E3070">
        <v>149.99</v>
      </c>
      <c r="F3070" t="s">
        <v>5817</v>
      </c>
      <c r="L3070" t="s">
        <v>8</v>
      </c>
      <c r="M3070">
        <v>0</v>
      </c>
      <c r="N3070">
        <v>0</v>
      </c>
      <c r="O3070">
        <v>0</v>
      </c>
      <c r="P3070">
        <v>0</v>
      </c>
    </row>
    <row r="3071" spans="1:16" x14ac:dyDescent="0.2">
      <c r="A3071" t="s">
        <v>5391</v>
      </c>
      <c r="B3071" t="s">
        <v>5392</v>
      </c>
      <c r="C3071" t="s">
        <v>5039</v>
      </c>
      <c r="D3071" t="s">
        <v>98</v>
      </c>
      <c r="E3071">
        <v>149.99</v>
      </c>
      <c r="F3071" t="s">
        <v>5817</v>
      </c>
      <c r="L3071" t="s">
        <v>8</v>
      </c>
      <c r="M3071">
        <v>0</v>
      </c>
      <c r="N3071">
        <v>0</v>
      </c>
      <c r="O3071">
        <v>0</v>
      </c>
      <c r="P3071">
        <v>0</v>
      </c>
    </row>
    <row r="3072" spans="1:16" x14ac:dyDescent="0.2">
      <c r="A3072" t="s">
        <v>5048</v>
      </c>
      <c r="B3072" t="s">
        <v>5049</v>
      </c>
      <c r="C3072" t="s">
        <v>5039</v>
      </c>
      <c r="D3072" t="s">
        <v>98</v>
      </c>
      <c r="E3072">
        <v>429.99</v>
      </c>
      <c r="F3072" t="s">
        <v>5817</v>
      </c>
      <c r="L3072" t="s">
        <v>8</v>
      </c>
      <c r="M3072">
        <v>0</v>
      </c>
      <c r="N3072">
        <v>0</v>
      </c>
      <c r="O3072">
        <v>0</v>
      </c>
      <c r="P3072">
        <v>0</v>
      </c>
    </row>
    <row r="3073" spans="1:16" x14ac:dyDescent="0.2">
      <c r="A3073" t="s">
        <v>5518</v>
      </c>
      <c r="B3073" t="s">
        <v>5519</v>
      </c>
      <c r="C3073" t="s">
        <v>5039</v>
      </c>
      <c r="D3073" t="s">
        <v>98</v>
      </c>
      <c r="E3073">
        <v>149.99</v>
      </c>
      <c r="F3073" t="s">
        <v>5817</v>
      </c>
      <c r="L3073" t="s">
        <v>8</v>
      </c>
      <c r="M3073">
        <v>0</v>
      </c>
      <c r="N3073">
        <v>0</v>
      </c>
      <c r="O3073">
        <v>0</v>
      </c>
      <c r="P3073">
        <v>0</v>
      </c>
    </row>
    <row r="3074" spans="1:16" x14ac:dyDescent="0.2">
      <c r="A3074" t="s">
        <v>5530</v>
      </c>
      <c r="B3074" t="s">
        <v>5531</v>
      </c>
      <c r="C3074" t="s">
        <v>5039</v>
      </c>
      <c r="D3074" t="s">
        <v>98</v>
      </c>
      <c r="E3074">
        <v>99.99</v>
      </c>
      <c r="F3074" t="s">
        <v>5817</v>
      </c>
      <c r="L3074" t="s">
        <v>8</v>
      </c>
      <c r="M3074">
        <v>0</v>
      </c>
      <c r="N3074">
        <v>0</v>
      </c>
      <c r="O3074">
        <v>0</v>
      </c>
      <c r="P3074">
        <v>0</v>
      </c>
    </row>
    <row r="3075" spans="1:16" x14ac:dyDescent="0.2">
      <c r="A3075" t="s">
        <v>5435</v>
      </c>
      <c r="B3075" t="s">
        <v>5436</v>
      </c>
      <c r="C3075" t="s">
        <v>5039</v>
      </c>
      <c r="D3075" t="s">
        <v>98</v>
      </c>
      <c r="E3075">
        <v>149.99</v>
      </c>
      <c r="F3075" t="s">
        <v>5817</v>
      </c>
      <c r="L3075" t="s">
        <v>8</v>
      </c>
      <c r="M3075">
        <v>0</v>
      </c>
      <c r="N3075">
        <v>0</v>
      </c>
      <c r="O3075">
        <v>0</v>
      </c>
      <c r="P3075">
        <v>0</v>
      </c>
    </row>
    <row r="3076" spans="1:16" x14ac:dyDescent="0.2">
      <c r="A3076" t="s">
        <v>5046</v>
      </c>
      <c r="B3076" t="s">
        <v>5047</v>
      </c>
      <c r="C3076" t="s">
        <v>5039</v>
      </c>
      <c r="D3076" t="s">
        <v>98</v>
      </c>
      <c r="E3076">
        <v>149.99</v>
      </c>
      <c r="F3076" t="s">
        <v>5817</v>
      </c>
      <c r="L3076" t="s">
        <v>8</v>
      </c>
      <c r="M3076">
        <v>0</v>
      </c>
      <c r="N3076">
        <v>0</v>
      </c>
      <c r="O3076">
        <v>0</v>
      </c>
      <c r="P3076">
        <v>0</v>
      </c>
    </row>
    <row r="3077" spans="1:16" x14ac:dyDescent="0.2">
      <c r="A3077" t="s">
        <v>5401</v>
      </c>
      <c r="B3077" t="s">
        <v>5402</v>
      </c>
      <c r="C3077" t="s">
        <v>5039</v>
      </c>
      <c r="D3077" t="s">
        <v>98</v>
      </c>
      <c r="E3077">
        <v>99.99</v>
      </c>
      <c r="F3077" t="s">
        <v>5817</v>
      </c>
      <c r="L3077" t="s">
        <v>8</v>
      </c>
      <c r="M3077">
        <v>0</v>
      </c>
      <c r="N3077">
        <v>0</v>
      </c>
      <c r="O3077">
        <v>0</v>
      </c>
      <c r="P3077">
        <v>0</v>
      </c>
    </row>
    <row r="3078" spans="1:16" x14ac:dyDescent="0.2">
      <c r="A3078" t="s">
        <v>5395</v>
      </c>
      <c r="B3078" t="s">
        <v>5396</v>
      </c>
      <c r="C3078" t="s">
        <v>5039</v>
      </c>
      <c r="D3078" t="s">
        <v>98</v>
      </c>
      <c r="E3078">
        <v>99.99</v>
      </c>
      <c r="F3078" t="s">
        <v>5817</v>
      </c>
      <c r="L3078" t="s">
        <v>8</v>
      </c>
      <c r="M3078">
        <v>0</v>
      </c>
      <c r="N3078">
        <v>0</v>
      </c>
      <c r="O3078">
        <v>0</v>
      </c>
      <c r="P3078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5e7394-3a85-4fca-89fe-b78355874945">
      <Terms xmlns="http://schemas.microsoft.com/office/infopath/2007/PartnerControls"/>
    </lcf76f155ced4ddcb4097134ff3c332f>
    <TaxCatchAll xmlns="fe183642-49b9-422f-a64d-4c4a3e4cab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AA14BE7D30964394E4ECF9DCA931A0" ma:contentTypeVersion="16" ma:contentTypeDescription="Create a new document." ma:contentTypeScope="" ma:versionID="3d99969d141a42c2dfcfe640ea4c1606">
  <xsd:schema xmlns:xsd="http://www.w3.org/2001/XMLSchema" xmlns:xs="http://www.w3.org/2001/XMLSchema" xmlns:p="http://schemas.microsoft.com/office/2006/metadata/properties" xmlns:ns2="295e7394-3a85-4fca-89fe-b78355874945" xmlns:ns3="fe183642-49b9-422f-a64d-4c4a3e4cab98" targetNamespace="http://schemas.microsoft.com/office/2006/metadata/properties" ma:root="true" ma:fieldsID="e48f17fe83670d91088d0cc4964b45fa" ns2:_="" ns3:_="">
    <xsd:import namespace="295e7394-3a85-4fca-89fe-b78355874945"/>
    <xsd:import namespace="fe183642-49b9-422f-a64d-4c4a3e4cab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e7394-3a85-4fca-89fe-b783558749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59d8aba-1f49-48de-8bcb-8477f596ac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183642-49b9-422f-a64d-4c4a3e4cab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e925c8-2446-48fb-99bc-bcab9d350b02}" ma:internalName="TaxCatchAll" ma:showField="CatchAllData" ma:web="fe183642-49b9-422f-a64d-4c4a3e4cab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5D95C1-4F89-44CC-8979-16570BCA2F4D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fe183642-49b9-422f-a64d-4c4a3e4cab98"/>
    <ds:schemaRef ds:uri="http://www.w3.org/XML/1998/namespace"/>
    <ds:schemaRef ds:uri="http://schemas.openxmlformats.org/package/2006/metadata/core-properties"/>
    <ds:schemaRef ds:uri="http://purl.org/dc/terms/"/>
    <ds:schemaRef ds:uri="295e7394-3a85-4fca-89fe-b78355874945"/>
  </ds:schemaRefs>
</ds:datastoreItem>
</file>

<file path=customXml/itemProps2.xml><?xml version="1.0" encoding="utf-8"?>
<ds:datastoreItem xmlns:ds="http://schemas.openxmlformats.org/officeDocument/2006/customXml" ds:itemID="{109D2A29-B644-410F-B4DA-0E0BA8CE5C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97EEEB-A248-B74D-9EC7-A4060523FF9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EF5EF377-0BD0-4A1C-8ADC-6DF0438B4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e7394-3a85-4fca-89fe-b78355874945"/>
    <ds:schemaRef ds:uri="fe183642-49b9-422f-a64d-4c4a3e4cab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Promo Form</vt:lpstr>
      <vt:lpstr>Sales Copy</vt:lpstr>
      <vt:lpstr>Vendor Copy</vt:lpstr>
      <vt:lpstr>Data Validation</vt:lpstr>
      <vt:lpstr>Master Price Level NZ</vt:lpstr>
      <vt:lpstr>Merge</vt:lpstr>
      <vt:lpstr>ST</vt:lpstr>
      <vt:lpstr>Sell Through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Steel</dc:creator>
  <cp:keywords/>
  <dc:description/>
  <cp:lastModifiedBy>Rachel Harris</cp:lastModifiedBy>
  <cp:revision/>
  <dcterms:created xsi:type="dcterms:W3CDTF">2024-05-23T00:45:40Z</dcterms:created>
  <dcterms:modified xsi:type="dcterms:W3CDTF">2026-06-22T02:14:34Z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0x010100E3AA14BE7D30964394E4ECF9DCA931A0</vt:lpwstr>
  </property>
  <property fmtid="{D5CDD505-2E9C-101B-9397-08002B2CF9AE}" pid="3" name="MediaServiceImageTags">
    <vt:lpwstr/>
  </property>
</Properties>
</file>